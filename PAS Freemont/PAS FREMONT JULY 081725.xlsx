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hanfu\Dropbox\PEL Milpitas-Fremont\PEL Fremont\"/>
    </mc:Choice>
  </mc:AlternateContent>
  <xr:revisionPtr revIDLastSave="0" documentId="13_ncr:1_{3E36D473-B48A-4096-BFDC-C8E9A4809C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" sheetId="1" r:id="rId1"/>
    <sheet name="S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QwsCUIVnLGYESl9fvAzZ1VFsYVf6aEcTwvD2ApgS2IM="/>
    </ext>
  </extLst>
</workbook>
</file>

<file path=xl/calcChain.xml><?xml version="1.0" encoding="utf-8"?>
<calcChain xmlns="http://schemas.openxmlformats.org/spreadsheetml/2006/main">
  <c r="W3" i="2" l="1"/>
  <c r="W2" i="2"/>
  <c r="W4" i="2" s="1"/>
  <c r="U3" i="2"/>
  <c r="U4" i="2" s="1"/>
  <c r="U2" i="2"/>
  <c r="T2" i="2"/>
  <c r="T3" i="2"/>
  <c r="R3" i="2"/>
  <c r="R2" i="2"/>
  <c r="X2" i="2" s="1"/>
  <c r="V4" i="2"/>
  <c r="T4" i="2"/>
  <c r="V3" i="2"/>
  <c r="S3" i="2"/>
  <c r="C3" i="2"/>
  <c r="V2" i="2"/>
  <c r="S2" i="2"/>
  <c r="S4" i="2" s="1"/>
  <c r="M2" i="2"/>
  <c r="C2" i="2"/>
  <c r="M1" i="2"/>
  <c r="C53" i="1"/>
  <c r="C51" i="1"/>
  <c r="C49" i="1"/>
  <c r="C55" i="1" s="1"/>
  <c r="D9" i="1" s="1"/>
  <c r="D44" i="1"/>
  <c r="C44" i="1"/>
  <c r="C43" i="1"/>
  <c r="L42" i="1"/>
  <c r="C54" i="1" s="1"/>
  <c r="D13" i="1" s="1"/>
  <c r="E13" i="1" s="1"/>
  <c r="I42" i="1"/>
  <c r="C50" i="1" s="1"/>
  <c r="L41" i="1"/>
  <c r="I41" i="1"/>
  <c r="A31" i="1"/>
  <c r="A30" i="1"/>
  <c r="A29" i="1"/>
  <c r="A28" i="1"/>
  <c r="A27" i="1"/>
  <c r="A26" i="1"/>
  <c r="E25" i="1"/>
  <c r="A25" i="1"/>
  <c r="E24" i="1"/>
  <c r="A24" i="1"/>
  <c r="E23" i="1"/>
  <c r="A23" i="1"/>
  <c r="E22" i="1"/>
  <c r="A22" i="1"/>
  <c r="E21" i="1"/>
  <c r="A21" i="1"/>
  <c r="E20" i="1"/>
  <c r="A20" i="1"/>
  <c r="E19" i="1"/>
  <c r="A19" i="1"/>
  <c r="E18" i="1"/>
  <c r="A18" i="1"/>
  <c r="C17" i="1"/>
  <c r="A17" i="1"/>
  <c r="D16" i="1"/>
  <c r="E16" i="1" s="1"/>
  <c r="C16" i="1"/>
  <c r="A16" i="1"/>
  <c r="D15" i="1"/>
  <c r="E15" i="1" s="1"/>
  <c r="C15" i="1"/>
  <c r="A15" i="1"/>
  <c r="D14" i="1"/>
  <c r="C14" i="1"/>
  <c r="E14" i="1" s="1"/>
  <c r="A14" i="1"/>
  <c r="A13" i="1"/>
  <c r="D12" i="1"/>
  <c r="E12" i="1" s="1"/>
  <c r="A12" i="1"/>
  <c r="D11" i="1"/>
  <c r="E11" i="1" s="1"/>
  <c r="A11" i="1"/>
  <c r="A10" i="1"/>
  <c r="A9" i="1"/>
  <c r="AB3" i="2" l="1"/>
  <c r="Y3" i="2"/>
  <c r="Y2" i="2"/>
  <c r="Y4" i="2" s="1"/>
  <c r="Z3" i="2"/>
  <c r="Z2" i="2"/>
  <c r="AB2" i="2"/>
  <c r="R4" i="2"/>
  <c r="D17" i="1"/>
  <c r="E17" i="1" s="1"/>
  <c r="E26" i="1" s="1"/>
  <c r="E31" i="1" s="1"/>
  <c r="C52" i="1"/>
  <c r="C56" i="1" s="1"/>
  <c r="X3" i="2"/>
  <c r="X4" i="2" s="1"/>
  <c r="D10" i="1" l="1"/>
  <c r="D56" i="1"/>
  <c r="Z4" i="2"/>
  <c r="S5" i="2"/>
</calcChain>
</file>

<file path=xl/sharedStrings.xml><?xml version="1.0" encoding="utf-8"?>
<sst xmlns="http://schemas.openxmlformats.org/spreadsheetml/2006/main" count="3099" uniqueCount="955">
  <si>
    <t xml:space="preserve">  </t>
  </si>
  <si>
    <t>Due by: 8/1/25</t>
  </si>
  <si>
    <t>Late charge applies after the 10th.</t>
  </si>
  <si>
    <t>Bill To:</t>
  </si>
  <si>
    <t>PEL Learning Center, Fremont</t>
  </si>
  <si>
    <t>Date:</t>
  </si>
  <si>
    <t>47958 Warm Springs Blvd, Fremont, CA 94539</t>
  </si>
  <si>
    <t>Center No.</t>
  </si>
  <si>
    <t>LW2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</si>
  <si>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</si>
  <si>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</si>
  <si>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</si>
  <si>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</si>
  <si>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</si>
  <si>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</si>
  <si>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</si>
  <si>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</si>
  <si>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</si>
  <si>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</si>
  <si>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</si>
  <si>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</si>
  <si>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</si>
  <si>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</si>
  <si>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</si>
  <si>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Group Marketing Fund</t>
  </si>
  <si>
    <t>Credits for Returning Students/Incoming Transfer</t>
  </si>
  <si>
    <t>Credits for 2nd subject registration fees</t>
  </si>
  <si>
    <t>Balance due this mth</t>
  </si>
  <si>
    <t>Balance from prior mth</t>
  </si>
  <si>
    <t>Less: Pymt received</t>
  </si>
  <si>
    <t>Total due this mth (to be deducted via et on or after 8/10/25)</t>
  </si>
  <si>
    <t>Student Statistics (No Subsidy)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</si>
  <si>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</si>
  <si>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</si>
  <si>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</si>
  <si>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</si>
  <si>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</si>
  <si>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</si>
  <si>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</si>
  <si>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</si>
  <si>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</si>
  <si>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</si>
  <si>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</si>
  <si>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</si>
  <si>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</si>
  <si>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</si>
  <si>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</si>
  <si>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</si>
  <si>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</si>
  <si>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</si>
  <si>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</si>
  <si>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</si>
  <si>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</si>
  <si>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</si>
  <si>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</si>
  <si>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</si>
  <si>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</si>
  <si>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</si>
  <si>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</si>
  <si>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</si>
  <si>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</si>
  <si>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</si>
  <si>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</si>
  <si>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</si>
  <si>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 xml:space="preserve">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</si>
  <si>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</si>
  <si>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</si>
  <si>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</si>
  <si>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</si>
  <si>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</si>
  <si>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</si>
  <si>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</si>
  <si>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</si>
  <si>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</si>
  <si>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</si>
  <si>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</si>
  <si>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</si>
  <si>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</si>
  <si>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</si>
  <si>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</si>
  <si>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eo</t>
  </si>
  <si>
    <t>Report S</t>
  </si>
  <si>
    <t>x</t>
  </si>
  <si>
    <t>N</t>
  </si>
  <si>
    <t>R</t>
  </si>
  <si>
    <t>IT</t>
  </si>
  <si>
    <t>Start</t>
  </si>
  <si>
    <t>END</t>
  </si>
  <si>
    <t>CK</t>
  </si>
  <si>
    <t>M</t>
  </si>
  <si>
    <t>Center No.: LW2</t>
  </si>
  <si>
    <t>T</t>
  </si>
  <si>
    <t>Subject (M/E)</t>
  </si>
  <si>
    <t>Last Name</t>
  </si>
  <si>
    <t>First Name</t>
  </si>
  <si>
    <t>School Grade</t>
  </si>
  <si>
    <t>DOB (MM/DD/YY)</t>
  </si>
  <si>
    <t>Address</t>
  </si>
  <si>
    <t>Tel:</t>
  </si>
  <si>
    <t>Email</t>
  </si>
  <si>
    <t>DOE (Date of Enrollment MM/DD/YY)</t>
  </si>
  <si>
    <t>July. WKS Lv</t>
  </si>
  <si>
    <t>July. WKS #</t>
  </si>
  <si>
    <t>Notes</t>
  </si>
  <si>
    <t>Code                  (C, N, A, R)</t>
  </si>
  <si>
    <t>Mth Absent</t>
  </si>
  <si>
    <t xml:space="preserve"> Vengalam</t>
  </si>
  <si>
    <t>Karthik</t>
  </si>
  <si>
    <t>753 Nodaway Ave</t>
  </si>
  <si>
    <t>njayanthi@gmail.com</t>
  </si>
  <si>
    <t>QUIT</t>
  </si>
  <si>
    <t xml:space="preserve">Abigail </t>
  </si>
  <si>
    <t>Lee</t>
  </si>
  <si>
    <t>46180 Sentinel Drive</t>
  </si>
  <si>
    <t>vannguy+pel@gmail.com</t>
  </si>
  <si>
    <t>EG2</t>
  </si>
  <si>
    <t>Adalynn</t>
  </si>
  <si>
    <t>46182 Sentinel Drive</t>
  </si>
  <si>
    <t>EG5</t>
  </si>
  <si>
    <t>46183 Sentinel Drive</t>
  </si>
  <si>
    <t>MG7</t>
  </si>
  <si>
    <t xml:space="preserve">Second Subject </t>
  </si>
  <si>
    <t>Avyakth</t>
  </si>
  <si>
    <t>Sridhar</t>
  </si>
  <si>
    <t>3690 Innovation way</t>
  </si>
  <si>
    <t>reechshree@gmail.com</t>
  </si>
  <si>
    <t>MG5</t>
  </si>
  <si>
    <t>EG2B</t>
  </si>
  <si>
    <t>Second Subject</t>
  </si>
  <si>
    <t>Cai</t>
  </si>
  <si>
    <t>Ethan</t>
  </si>
  <si>
    <t>10/16/2013</t>
  </si>
  <si>
    <t>136 Gamma Grass terFremontCA94539</t>
  </si>
  <si>
    <t>zoelulu9898@gmail.com</t>
  </si>
  <si>
    <t>7/22/2024</t>
  </si>
  <si>
    <t>MG11</t>
  </si>
  <si>
    <t>EG9</t>
  </si>
  <si>
    <t>Chandra</t>
  </si>
  <si>
    <t>Vivaan</t>
  </si>
  <si>
    <t>6/23/2017</t>
  </si>
  <si>
    <t>3465 Inspiration Way #205</t>
  </si>
  <si>
    <t>vishsan06@gmail.com</t>
  </si>
  <si>
    <t>12/10/2024</t>
  </si>
  <si>
    <t>MG4</t>
  </si>
  <si>
    <t>Chang</t>
  </si>
  <si>
    <t>Raeya</t>
  </si>
  <si>
    <t>3909 Engage Ter Unit 301</t>
  </si>
  <si>
    <t>lcleeman@gmail.com</t>
  </si>
  <si>
    <t>3910 Engage Ter Unit 301</t>
  </si>
  <si>
    <t>MG2</t>
  </si>
  <si>
    <t>Chen</t>
  </si>
  <si>
    <t>Charlene</t>
  </si>
  <si>
    <t>46 Eagle Green, Fremont, CA</t>
  </si>
  <si>
    <t>bettyguan1990@gmail.com</t>
  </si>
  <si>
    <t>MG6</t>
  </si>
  <si>
    <t>CHENG</t>
  </si>
  <si>
    <t>PHOEBE</t>
  </si>
  <si>
    <t>6/2/2017</t>
  </si>
  <si>
    <t>46710 crawford St</t>
  </si>
  <si>
    <t>nancyw0602@gmail.com</t>
  </si>
  <si>
    <t>06/1/2024</t>
  </si>
  <si>
    <t>EG4</t>
  </si>
  <si>
    <t>MG8</t>
  </si>
  <si>
    <t>Cherie</t>
  </si>
  <si>
    <t>Yin</t>
  </si>
  <si>
    <t>4157 Redstone Ter</t>
  </si>
  <si>
    <t>chialingwynn@gmail.com</t>
  </si>
  <si>
    <t>EK1</t>
  </si>
  <si>
    <t>4158 Redstone Ter</t>
  </si>
  <si>
    <t>Cho</t>
  </si>
  <si>
    <t>Eaint Khun(Hazel)</t>
  </si>
  <si>
    <t>5/17/2015</t>
  </si>
  <si>
    <t>49002 Cinnamon Fern Common</t>
  </si>
  <si>
    <t>hsumon.tarm@gmail.com</t>
  </si>
  <si>
    <t>12/9/2024</t>
  </si>
  <si>
    <t>EG7</t>
  </si>
  <si>
    <t>MG9</t>
  </si>
  <si>
    <t>Choudhary</t>
  </si>
  <si>
    <t>Pryansh</t>
  </si>
  <si>
    <t>48175 Leigh St, Fremont</t>
  </si>
  <si>
    <t xml:space="preserve">	amit.2105@gmail.com</t>
  </si>
  <si>
    <t>Coodnapur</t>
  </si>
  <si>
    <t>Samarth</t>
  </si>
  <si>
    <t>K</t>
  </si>
  <si>
    <t>47631 Gridley court</t>
  </si>
  <si>
    <t>rashmihholla@gmail.com</t>
  </si>
  <si>
    <t>EG1B</t>
  </si>
  <si>
    <t>Coondapur</t>
  </si>
  <si>
    <t>Dang</t>
  </si>
  <si>
    <t>Deion</t>
  </si>
  <si>
    <t>40989 Pajaro Dr</t>
  </si>
  <si>
    <t>bkmlxx@yahoo.com</t>
  </si>
  <si>
    <t>Du</t>
  </si>
  <si>
    <t>Jeffrey</t>
  </si>
  <si>
    <t>2190 Cuesta Dr, Milpitas CA</t>
  </si>
  <si>
    <t>tingnaxu1120@gmail.com</t>
  </si>
  <si>
    <t>MG10</t>
  </si>
  <si>
    <t>Terina</t>
  </si>
  <si>
    <t>2190 Cuesta Dr, Milpitas, CA, 95035</t>
  </si>
  <si>
    <t>Dutia</t>
  </si>
  <si>
    <t>Manay</t>
  </si>
  <si>
    <t>k</t>
  </si>
  <si>
    <t>12/26/2018</t>
  </si>
  <si>
    <t>3848 Advancement Ter, Unit 1000</t>
  </si>
  <si>
    <t>Jinal.jani@gmail.com</t>
  </si>
  <si>
    <t>EG1</t>
  </si>
  <si>
    <t>Fan</t>
  </si>
  <si>
    <t>Angela</t>
  </si>
  <si>
    <t>295 Fusteria Ct., Fremont, CA</t>
  </si>
  <si>
    <t>fwentao@gmail.com</t>
  </si>
  <si>
    <t>EM2</t>
  </si>
  <si>
    <t>back in July</t>
  </si>
  <si>
    <t>MM2</t>
  </si>
  <si>
    <t>Golla</t>
  </si>
  <si>
    <t>Kanishk</t>
  </si>
  <si>
    <t>48943 Air fern common</t>
  </si>
  <si>
    <t xml:space="preserve">harish.golla@gmail.com
</t>
  </si>
  <si>
    <t>will be on vocation in July</t>
  </si>
  <si>
    <t>harish.golla@gmail.com</t>
  </si>
  <si>
    <t>EG3</t>
  </si>
  <si>
    <t>Gu</t>
  </si>
  <si>
    <t>Mark</t>
  </si>
  <si>
    <t xml:space="preserve">	3909 Adams Ave, Fremont, CA</t>
  </si>
  <si>
    <t>(510)6737301</t>
  </si>
  <si>
    <t>qinlingli1985@gmail.com</t>
  </si>
  <si>
    <t>Hang</t>
  </si>
  <si>
    <t>Kate</t>
  </si>
  <si>
    <t>9/1/2014</t>
  </si>
  <si>
    <t>310 Stocker Ct，Fremont</t>
  </si>
  <si>
    <t>leeliantan@gmail.com</t>
  </si>
  <si>
    <t>11/16/2024</t>
  </si>
  <si>
    <t>9/2/2014</t>
  </si>
  <si>
    <t>311 Stocker Ct，Fremont</t>
  </si>
  <si>
    <t>Held</t>
  </si>
  <si>
    <t>Matthew</t>
  </si>
  <si>
    <t>Warm Spring Fremotn Ca 94540</t>
  </si>
  <si>
    <t>Zhuxi@hotmail.com</t>
  </si>
  <si>
    <t>MH3</t>
  </si>
  <si>
    <t>Michael</t>
  </si>
  <si>
    <t>Warm Spring, Fremont,CA</t>
  </si>
  <si>
    <t>MM1</t>
  </si>
  <si>
    <t>Hsieh</t>
  </si>
  <si>
    <t>Lawrence</t>
  </si>
  <si>
    <t>PK</t>
  </si>
  <si>
    <t>50 ESMERELDA FALLS TERRACE, Fremont, CA</t>
  </si>
  <si>
    <t>songjinglan@hotmail.com</t>
  </si>
  <si>
    <t>Ivan</t>
  </si>
  <si>
    <t>Zhang</t>
  </si>
  <si>
    <t>4207 Ogden</t>
  </si>
  <si>
    <t>kathy09041101@gmail.com</t>
  </si>
  <si>
    <t>4208 Ogden</t>
  </si>
  <si>
    <t>6/30/0202</t>
  </si>
  <si>
    <t>Jain</t>
  </si>
  <si>
    <t>Aahana</t>
  </si>
  <si>
    <t>47646 Mardis St, Fremont CA 94539</t>
  </si>
  <si>
    <t>preetma.mishra@gmail.com</t>
  </si>
  <si>
    <t>Johnny</t>
  </si>
  <si>
    <t>Cheng</t>
  </si>
  <si>
    <t>4207 Ogden Drive</t>
  </si>
  <si>
    <t>Babality_4u@yahoo.com</t>
  </si>
  <si>
    <t>EG10</t>
  </si>
  <si>
    <t>4208 Ogden Drive</t>
  </si>
  <si>
    <t>Kaiya</t>
  </si>
  <si>
    <t>Hooks</t>
  </si>
  <si>
    <t>34196 Rowland Dr</t>
  </si>
  <si>
    <t>aong47@yahoo.com</t>
  </si>
  <si>
    <t>34197 Rowland Dr</t>
  </si>
  <si>
    <t xml:space="preserve">Kyrie </t>
  </si>
  <si>
    <t>4159 Redstone Ter</t>
  </si>
  <si>
    <t>4160 Redstone Ter</t>
  </si>
  <si>
    <t>Second Subject.</t>
  </si>
  <si>
    <t>Leo</t>
  </si>
  <si>
    <t>Tang</t>
  </si>
  <si>
    <t>2021 N Milpitas Blvd</t>
  </si>
  <si>
    <t>anglilly95@gmail.com</t>
  </si>
  <si>
    <t>Li</t>
  </si>
  <si>
    <t>Eli</t>
  </si>
  <si>
    <t>7/3/2020</t>
  </si>
  <si>
    <t>5431 shattuck aveFremontCA94555</t>
  </si>
  <si>
    <t>yoyomaidongxi@gmail.com</t>
  </si>
  <si>
    <t>Ian</t>
  </si>
  <si>
    <t>12/5/2017</t>
  </si>
  <si>
    <t>Liu</t>
  </si>
  <si>
    <t xml:space="preserve">Alysia </t>
  </si>
  <si>
    <t>47074 Palo Amarillo Dr, , Fremont, CA</t>
  </si>
  <si>
    <t>danlirealty@gmail.com</t>
  </si>
  <si>
    <t>liu</t>
  </si>
  <si>
    <t>Helena</t>
  </si>
  <si>
    <t>455 Tonopah Drive, Fremont</t>
  </si>
  <si>
    <t>xyanglove@gmail.com</t>
  </si>
  <si>
    <t>EM3</t>
  </si>
  <si>
    <t>Jasper</t>
  </si>
  <si>
    <t>455 Tonopah Drive, Fremont, CA</t>
  </si>
  <si>
    <t>MG3</t>
  </si>
  <si>
    <t>Jeremy</t>
  </si>
  <si>
    <t>EM4</t>
  </si>
  <si>
    <t>Xu</t>
  </si>
  <si>
    <t>Lucas</t>
  </si>
  <si>
    <t>46913 Fernald Common</t>
  </si>
  <si>
    <t>panpanfu1986@gmail.com</t>
  </si>
  <si>
    <t>Luna</t>
  </si>
  <si>
    <t>46912 Fernald Common</t>
  </si>
  <si>
    <t>Melody</t>
  </si>
  <si>
    <t>51 ESMERELDA FALLS TERRACE</t>
  </si>
  <si>
    <t>50 ESMERELDA FALLS TERRACE</t>
  </si>
  <si>
    <t>EK2</t>
  </si>
  <si>
    <t>NERUKAR</t>
  </si>
  <si>
    <t>MEERA</t>
  </si>
  <si>
    <t>4/16/2018</t>
  </si>
  <si>
    <t>48432 Silva Pomar Ter</t>
  </si>
  <si>
    <t>ameyavnerurkar@gmail.com</t>
  </si>
  <si>
    <t>06/18/2024</t>
  </si>
  <si>
    <t>11/1/2024</t>
  </si>
  <si>
    <t>typo: M</t>
  </si>
  <si>
    <t>NGUYEN</t>
  </si>
  <si>
    <t>RICKY</t>
  </si>
  <si>
    <t>434 Curtner Dr, milpitas</t>
  </si>
  <si>
    <t>bichngocqn84@yahoo.com</t>
  </si>
  <si>
    <t>RUBY</t>
  </si>
  <si>
    <t>Pei</t>
  </si>
  <si>
    <t>Amy</t>
  </si>
  <si>
    <t>4503 longview ter</t>
  </si>
  <si>
    <t>otto28082008@gmail.com</t>
  </si>
  <si>
    <t>EG6</t>
  </si>
  <si>
    <t>Chao</t>
  </si>
  <si>
    <t>Raydon</t>
  </si>
  <si>
    <t>1884 Travertine Way Union City CA</t>
  </si>
  <si>
    <t>wmaung07@gmail.com</t>
  </si>
  <si>
    <t>1885 Travertine Way Union City CA</t>
  </si>
  <si>
    <t xml:space="preserve">Sharma </t>
  </si>
  <si>
    <t>Haanish</t>
  </si>
  <si>
    <t>3229 accelerator avn. Unit 1000</t>
  </si>
  <si>
    <t>Sharma.dipika5@gmail.com</t>
  </si>
  <si>
    <t>EK4</t>
  </si>
  <si>
    <t>Siddharth</t>
  </si>
  <si>
    <t>Darshan</t>
  </si>
  <si>
    <t>49114 Rose Ter</t>
  </si>
  <si>
    <t>darshan.d.komarlu@gmail.com</t>
  </si>
  <si>
    <t>Sindri</t>
  </si>
  <si>
    <t>Vora</t>
  </si>
  <si>
    <t>44153 Boitano dr</t>
  </si>
  <si>
    <t>lindsayvora@gmail.com</t>
  </si>
  <si>
    <t>Su</t>
  </si>
  <si>
    <t>736 Maya Ct. Fremont, CA 94539</t>
  </si>
  <si>
    <t>jinghuazhao950@gmail.com</t>
  </si>
  <si>
    <t>EK5</t>
  </si>
  <si>
    <t xml:space="preserve">Taluna </t>
  </si>
  <si>
    <t>519 Mayten Way</t>
  </si>
  <si>
    <t>zhchni@hotmail.com</t>
  </si>
  <si>
    <t>520 Mayten Way</t>
  </si>
  <si>
    <t xml:space="preserve">Tan </t>
  </si>
  <si>
    <t xml:space="preserve">Jayden </t>
  </si>
  <si>
    <t>48404 Ursa Dr, , Fremont, CA</t>
  </si>
  <si>
    <t>mingao168@yahoo.com</t>
  </si>
  <si>
    <t>MM3</t>
  </si>
  <si>
    <t>Aiden</t>
  </si>
  <si>
    <t>44642 Gabrielino Way, Fremont, CA, 94539</t>
  </si>
  <si>
    <t>etang@pacbell.net</t>
  </si>
  <si>
    <t>8/30/2024</t>
  </si>
  <si>
    <t>EG8</t>
  </si>
  <si>
    <t>back in Sep</t>
  </si>
  <si>
    <t>Vaddiraju</t>
  </si>
  <si>
    <t>Sahasra</t>
  </si>
  <si>
    <t>4/4/2017</t>
  </si>
  <si>
    <t>49062 Tickle Grass TerrFremontCA94539</t>
  </si>
  <si>
    <t>vaddirajs@yahoo.com</t>
  </si>
  <si>
    <t>8/19/2024</t>
  </si>
  <si>
    <t>from Milpitas</t>
  </si>
  <si>
    <t>Virani</t>
  </si>
  <si>
    <t>Ezar</t>
  </si>
  <si>
    <t>48867 Sauvignon Ct Fremont CA  94539</t>
  </si>
  <si>
    <t>sonia.12t@gmail.com</t>
  </si>
  <si>
    <t>MK3</t>
  </si>
  <si>
    <t xml:space="preserve">New Student </t>
  </si>
  <si>
    <t xml:space="preserve">Vivaan </t>
  </si>
  <si>
    <t>Singh</t>
  </si>
  <si>
    <t>47613 MARDIS STREET</t>
  </si>
  <si>
    <t>vishwajit.kumaratsf@yahoo.com</t>
  </si>
  <si>
    <t>Wan</t>
  </si>
  <si>
    <t>Fang</t>
  </si>
  <si>
    <t>10/2/2017</t>
  </si>
  <si>
    <t>40930 Fairmont Ter</t>
  </si>
  <si>
    <t>shuichen17@gmail.com</t>
  </si>
  <si>
    <t>WAN</t>
  </si>
  <si>
    <t>YUAN</t>
  </si>
  <si>
    <t>Wang</t>
  </si>
  <si>
    <t>Chloe</t>
  </si>
  <si>
    <t>5630 central pkwy</t>
  </si>
  <si>
    <t>469 268 9535</t>
  </si>
  <si>
    <t>wenwen179505@gmail.com</t>
  </si>
  <si>
    <t>Eric</t>
  </si>
  <si>
    <t>5/1/2015</t>
  </si>
  <si>
    <t>251 Bunch Grass TerFremontCA94539</t>
  </si>
  <si>
    <t>mail.liang.wang@gmail.com</t>
  </si>
  <si>
    <t>8/1/2024</t>
  </si>
  <si>
    <t>1326 Nelson Way</t>
  </si>
  <si>
    <t>lianzhigu5@gmail.com</t>
  </si>
  <si>
    <t>Vera</t>
  </si>
  <si>
    <t>1/1/2017</t>
  </si>
  <si>
    <t>Cindy</t>
  </si>
  <si>
    <t>4092 Central Ave Fremont Ca 94536</t>
  </si>
  <si>
    <t>taozi5963527@outlook.com</t>
  </si>
  <si>
    <t>7/31/2017</t>
  </si>
  <si>
    <t>235 Lippert AveFremontCA94539</t>
  </si>
  <si>
    <t>bjunzhang@gmail.com</t>
  </si>
  <si>
    <t>Yi</t>
  </si>
  <si>
    <t>Zijin (Leo)</t>
  </si>
  <si>
    <t>392 Farley common, Fremont, CA 94539</t>
  </si>
  <si>
    <t>Liuxin170619@gmail.com</t>
  </si>
  <si>
    <t>Yvonne</t>
  </si>
  <si>
    <t>87 delta green</t>
  </si>
  <si>
    <t>mei5206543@gmail.com</t>
  </si>
  <si>
    <t>88 delta green</t>
  </si>
  <si>
    <t>MK4</t>
  </si>
  <si>
    <t>Karnam</t>
  </si>
  <si>
    <t>Spruha</t>
  </si>
  <si>
    <t>3819 improvement ter</t>
  </si>
  <si>
    <t>sree.2k@gmail.com</t>
  </si>
  <si>
    <t>3820 improvement ter</t>
  </si>
  <si>
    <t>MG1</t>
  </si>
  <si>
    <t>Madhavan</t>
  </si>
  <si>
    <t>Avika</t>
  </si>
  <si>
    <t>47675 Mardis Street</t>
  </si>
  <si>
    <t>madhavans007@gmail.com</t>
  </si>
  <si>
    <t>47676 Mardis Street</t>
  </si>
  <si>
    <t>Shivansh</t>
  </si>
  <si>
    <t>30 Washington Square</t>
  </si>
  <si>
    <t>aks.bitsg@gmail.com</t>
  </si>
  <si>
    <t>Reya</t>
  </si>
  <si>
    <t xml:space="preserve">389 Starlite Way, Fremont, CA </t>
  </si>
  <si>
    <t>sumitj@gmail.com</t>
  </si>
  <si>
    <t>Kaiden Wong</t>
  </si>
  <si>
    <t>Wong</t>
  </si>
  <si>
    <t>47644 Bannon Ct, Fremont</t>
  </si>
  <si>
    <t>kcwong2002@gmail.com</t>
  </si>
  <si>
    <t>Zhu</t>
  </si>
  <si>
    <t>Danyka Zhu</t>
  </si>
  <si>
    <t>4589 Bianca Drive, Fremont</t>
  </si>
  <si>
    <t>510-673-8505</t>
  </si>
  <si>
    <t>winnybear@gmail.com</t>
  </si>
  <si>
    <t>Quit List</t>
  </si>
  <si>
    <t>Joanna</t>
  </si>
  <si>
    <t>Cao</t>
  </si>
  <si>
    <t>201 Starlite Way, Fremont 94539</t>
  </si>
  <si>
    <t>phyllis.yuen@gmail.com</t>
  </si>
  <si>
    <t>2nd</t>
  </si>
  <si>
    <t>back in Aug</t>
  </si>
  <si>
    <t>Richard</t>
  </si>
  <si>
    <t>39871 Duran Ct</t>
  </si>
  <si>
    <t>fangli.sf@gmail.com</t>
  </si>
  <si>
    <t>Lao</t>
  </si>
  <si>
    <t>Laura</t>
  </si>
  <si>
    <t>180 Preston Ct, Fremont 94536</t>
  </si>
  <si>
    <t>woten1978@gmail.com</t>
  </si>
  <si>
    <t>Ashilee</t>
  </si>
  <si>
    <t>121 WOODCREEK COMMON, FREMONT 94539</t>
  </si>
  <si>
    <t>WENDISHI@HOTMAIL.COM</t>
  </si>
  <si>
    <t>Loo</t>
  </si>
  <si>
    <t>Edwin</t>
  </si>
  <si>
    <t>4250 Stevenson blvd</t>
  </si>
  <si>
    <t>zar.hlaing@gmail.com</t>
  </si>
  <si>
    <t>LingQun(Joy)</t>
  </si>
  <si>
    <t>44930 Lynx Dr., Fremont, CA, 94539</t>
  </si>
  <si>
    <t>jie9ding18@gmail.com</t>
  </si>
  <si>
    <t>back in Sep.</t>
  </si>
  <si>
    <t>Xiao</t>
  </si>
  <si>
    <t>251 Lippert Ave， Fremont</t>
  </si>
  <si>
    <t>sminyao@gmail.com</t>
  </si>
  <si>
    <t>will be back</t>
  </si>
  <si>
    <t>Andrew</t>
  </si>
  <si>
    <t>moved</t>
  </si>
  <si>
    <t>Yu</t>
  </si>
  <si>
    <t>Allen</t>
  </si>
  <si>
    <t>48974wood grove common, Fremont 94539</t>
  </si>
  <si>
    <t>si1004126666@gmail.com</t>
  </si>
  <si>
    <t>will be back in Oct.</t>
  </si>
  <si>
    <t>yu</t>
  </si>
  <si>
    <t>Angie</t>
  </si>
  <si>
    <t>Steven</t>
  </si>
  <si>
    <t>3922 Borgo Common, Fremont</t>
  </si>
  <si>
    <t>wendyecho23@gmail.com</t>
  </si>
  <si>
    <t>travel, back in Sep.</t>
  </si>
  <si>
    <t xml:space="preserve">Ji </t>
  </si>
  <si>
    <t xml:space="preserve">Claire </t>
  </si>
  <si>
    <t>47632 Zunic Dr, , Fremont, CA</t>
  </si>
  <si>
    <t>zf426@hotmail.com</t>
  </si>
  <si>
    <t>it’s a duplicate</t>
  </si>
  <si>
    <t>Lin</t>
  </si>
  <si>
    <t>Crystal</t>
  </si>
  <si>
    <t>2982 Verna Dr, San Jose 95133</t>
  </si>
  <si>
    <t>wenyechen@yahoo.com</t>
  </si>
  <si>
    <t>left in Aug</t>
  </si>
  <si>
    <t>Sharma</t>
  </si>
  <si>
    <t>Shanaya</t>
  </si>
  <si>
    <t>4075 Michael ave, Fremont, CA, 94538</t>
  </si>
  <si>
    <t>shashanksharma83@gmail.com</t>
  </si>
  <si>
    <t>went to indian for two months</t>
  </si>
  <si>
    <t>121 Woodcreek Common</t>
  </si>
  <si>
    <t>wendishi@hotmail.com</t>
  </si>
  <si>
    <t>quit</t>
  </si>
  <si>
    <t>Felicity</t>
  </si>
  <si>
    <t>275 Quinault Way, Fremont, CA, 94539</t>
  </si>
  <si>
    <t>shaoqin156@gmail.com</t>
  </si>
  <si>
    <t>will move back to Milpitas</t>
  </si>
  <si>
    <t>Lyu</t>
  </si>
  <si>
    <t>George</t>
  </si>
  <si>
    <t>468 Pagosa Way, Fremont</t>
  </si>
  <si>
    <t>lingchanxu@gmail.com</t>
  </si>
  <si>
    <t xml:space="preserve">back in Jan. </t>
  </si>
  <si>
    <t xml:space="preserve">Xu </t>
  </si>
  <si>
    <t>235 Lippert Ave, , Fremont, CA</t>
  </si>
  <si>
    <t>English Only</t>
  </si>
  <si>
    <t>Maximilian</t>
  </si>
  <si>
    <t>Xingchuan</t>
  </si>
  <si>
    <t>468 Pagosa Way</t>
  </si>
  <si>
    <t>will be absent from Dec</t>
  </si>
  <si>
    <t>Biswas</t>
  </si>
  <si>
    <t>Juhi</t>
  </si>
  <si>
    <t>2010 verbena ct, Fremont, CA, 94539</t>
  </si>
  <si>
    <t>(925)-6232456</t>
  </si>
  <si>
    <t>swati.aggarwal1@gmail.com</t>
  </si>
  <si>
    <t>Ji</t>
  </si>
  <si>
    <t>Claire</t>
  </si>
  <si>
    <t>47632 Zunic Dr, Fremont</t>
  </si>
  <si>
    <t>Changed to English</t>
  </si>
  <si>
    <t>Mengyao</t>
  </si>
  <si>
    <t>43275 chatterton ct</t>
  </si>
  <si>
    <t>bosong198802@gmail.com</t>
  </si>
  <si>
    <t>math only</t>
  </si>
  <si>
    <t>Yuan</t>
  </si>
  <si>
    <t>Arick</t>
  </si>
  <si>
    <t>450 s 19th st, San Jose</t>
  </si>
  <si>
    <t>Gfyuan@gmail.com</t>
  </si>
  <si>
    <t>over reported,  at Milpitas</t>
  </si>
  <si>
    <t>Zhao</t>
  </si>
  <si>
    <t>382 Wheat Grass Ter, Fremont, CA 94539</t>
  </si>
  <si>
    <t>screwyterror83@gmail.com</t>
  </si>
  <si>
    <t xml:space="preserve">Feng </t>
  </si>
  <si>
    <t xml:space="preserve">Samuel </t>
  </si>
  <si>
    <t>4601 Margery Drive, , Fremont, CA</t>
  </si>
  <si>
    <t>Shirleylinge@gmail.com</t>
  </si>
  <si>
    <t>focus on English first</t>
  </si>
  <si>
    <t>Sarah</t>
  </si>
  <si>
    <t>165 Tonopah Drive, Fremont CA 94539</t>
  </si>
  <si>
    <t>408-8961078</t>
  </si>
  <si>
    <t>xufeixixi@gmail.com</t>
  </si>
  <si>
    <t>166 Tonopah Drive, Fremont CA 94539</t>
  </si>
  <si>
    <t>408-8961079</t>
  </si>
  <si>
    <t>Lu</t>
  </si>
  <si>
    <t>Anthony</t>
  </si>
  <si>
    <t>117 Fisk Terrace, Fremont, CA, 94539</t>
  </si>
  <si>
    <t>lewis1318@hotmail.com</t>
  </si>
  <si>
    <t>time conflict</t>
  </si>
  <si>
    <t>Zeng</t>
  </si>
  <si>
    <t>Felix</t>
  </si>
  <si>
    <t>PO Box 360424, MILPITAS, CA</t>
  </si>
  <si>
    <t>kenzeng2@yahoo.com</t>
  </si>
  <si>
    <t>Ma</t>
  </si>
  <si>
    <t>Mengtong (Amy)</t>
  </si>
  <si>
    <t>49053 Meadowfaire Cmn, Fremont 94539</t>
  </si>
  <si>
    <t>angela.liu8101@gmail.com</t>
  </si>
  <si>
    <t>Travel, will leave after April</t>
  </si>
  <si>
    <t>Nathan</t>
  </si>
  <si>
    <t>Deng</t>
  </si>
  <si>
    <t>Ocean</t>
  </si>
  <si>
    <t>42567 Newport dr, Fremont, CA, 94538</t>
  </si>
  <si>
    <t>Wile4409@gmail.com</t>
  </si>
  <si>
    <t>Sky</t>
  </si>
  <si>
    <t>Gupta</t>
  </si>
  <si>
    <t xml:space="preserve">Abeer </t>
  </si>
  <si>
    <t>47658 Zunic drive, Fremont, CA, 94539</t>
  </si>
  <si>
    <t>shilpil81@gmail.com</t>
  </si>
  <si>
    <t>will leave in April</t>
  </si>
  <si>
    <t>47069 Benns Ter</t>
  </si>
  <si>
    <t>janezh3080@gmail.com</t>
  </si>
  <si>
    <t>will be absent in May</t>
  </si>
  <si>
    <t>Niu</t>
  </si>
  <si>
    <t>3871 Vanguard Cmn 1001, Fremont, CA, 94538</t>
  </si>
  <si>
    <t>nkniuchao@gmail.com</t>
  </si>
  <si>
    <t>will leave after May</t>
  </si>
  <si>
    <t>Padhi</t>
  </si>
  <si>
    <t>Richa</t>
  </si>
  <si>
    <t xml:space="preserve">	309 Horsetail Fern Cmn, Fremont, CA 94539</t>
  </si>
  <si>
    <t>tanmay.padhi@gmail.com</t>
  </si>
  <si>
    <t>Raghavendra</t>
  </si>
  <si>
    <t>Rachith</t>
  </si>
  <si>
    <t>46862 Fernald common</t>
  </si>
  <si>
    <t>rags79@gmail.com</t>
  </si>
  <si>
    <t>Xincheng</t>
  </si>
  <si>
    <t>49195 Violet Terence, , Fremont, CA</t>
  </si>
  <si>
    <t>dingshan.cn@gmail.com</t>
  </si>
  <si>
    <t xml:space="preserve">Yuan </t>
  </si>
  <si>
    <t xml:space="preserve">Carson </t>
  </si>
  <si>
    <t>47522 Fortner Street, , FREMONT, CA</t>
  </si>
  <si>
    <t>zhoujiewu@gmail.com</t>
  </si>
  <si>
    <t xml:space="preserve">Patrick </t>
  </si>
  <si>
    <t>Zheng</t>
  </si>
  <si>
    <t>47879 maya st</t>
  </si>
  <si>
    <t>gaolili20100@gmail.com</t>
  </si>
  <si>
    <t>will drop in May</t>
  </si>
  <si>
    <t>Hannah</t>
  </si>
  <si>
    <t>47879 maya st, Fremont, CA 94539</t>
  </si>
  <si>
    <t>Oct.1, 2021</t>
  </si>
  <si>
    <t>Pasupuleti</t>
  </si>
  <si>
    <t>Aanya</t>
  </si>
  <si>
    <t>4738 wadsworth ct</t>
  </si>
  <si>
    <t>sumanth.pleti@gmail.com</t>
  </si>
  <si>
    <t xml:space="preserve">moved </t>
  </si>
  <si>
    <t>Aaron</t>
  </si>
  <si>
    <t>will be back in Sep</t>
  </si>
  <si>
    <t xml:space="preserve">Wong </t>
  </si>
  <si>
    <t>40291 Cottage Rose Ter, , Fremont, CA</t>
  </si>
  <si>
    <t>tawita@yahoo.com</t>
  </si>
  <si>
    <t xml:space="preserve">Aiden </t>
  </si>
  <si>
    <t>Chow</t>
  </si>
  <si>
    <t>Aileen</t>
  </si>
  <si>
    <t>506 Bristle Grass Terrace, Fremont CA</t>
  </si>
  <si>
    <t>510-2602020</t>
  </si>
  <si>
    <t>ginah.kid@gmail.com</t>
  </si>
  <si>
    <t xml:space="preserve">will be back in Aug. </t>
  </si>
  <si>
    <t xml:space="preserve">Alex </t>
  </si>
  <si>
    <t>48913 Ventura Dr, , Fremont, CA</t>
  </si>
  <si>
    <t>cissychenjingjing311@gmail.com</t>
  </si>
  <si>
    <t xml:space="preserve">Tang </t>
  </si>
  <si>
    <t xml:space="preserve">Wei </t>
  </si>
  <si>
    <t>227 Lippert Ave, Fremont CA</t>
  </si>
  <si>
    <t>cf.hsudafang@gmail.com</t>
  </si>
  <si>
    <t xml:space="preserve">Jiang </t>
  </si>
  <si>
    <t xml:space="preserve">Alvin </t>
  </si>
  <si>
    <t>46776 Fernald St., , Fremont, CA</t>
  </si>
  <si>
    <t>hgao5515@gmail.com</t>
  </si>
  <si>
    <t xml:space="preserve">Yen </t>
  </si>
  <si>
    <t>Anna</t>
  </si>
  <si>
    <t>48950 Tulare Dr, Fremont</t>
  </si>
  <si>
    <t>yyt_biw@hotmail.com</t>
  </si>
  <si>
    <t xml:space="preserve">Wang </t>
  </si>
  <si>
    <t xml:space="preserve">Avery </t>
  </si>
  <si>
    <t>48464 Cereus Ct, , Fremont, CA</t>
  </si>
  <si>
    <t>wtt4477@gmail.com</t>
  </si>
  <si>
    <t>Fu</t>
  </si>
  <si>
    <t xml:space="preserve">Bryan </t>
  </si>
  <si>
    <t>306 Bayberry Cmn, Fremont</t>
  </si>
  <si>
    <t>zhuangqianyan0918@gmail.com</t>
  </si>
  <si>
    <t xml:space="preserve">Fu </t>
  </si>
  <si>
    <t xml:space="preserve">Chandru </t>
  </si>
  <si>
    <t xml:space="preserve">Darshan </t>
  </si>
  <si>
    <t>281 Merrill ave, , Fremont, CA</t>
  </si>
  <si>
    <t>ramya.victory@gmail.com</t>
  </si>
  <si>
    <t>Sivaruban</t>
  </si>
  <si>
    <t>DHIVYA</t>
  </si>
  <si>
    <t>559 Tumble Grass Ter, Fremont, CA</t>
  </si>
  <si>
    <t>prytta@yahoo.fr</t>
  </si>
  <si>
    <t xml:space="preserve">Chen </t>
  </si>
  <si>
    <t xml:space="preserve">Emily </t>
  </si>
  <si>
    <t>670 Cochise ct, Fremont</t>
  </si>
  <si>
    <t>amy99.chen@gmail.com</t>
  </si>
  <si>
    <t>Xin</t>
  </si>
  <si>
    <t>47260 Havasu Street</t>
  </si>
  <si>
    <t>xixirain@gmail.com</t>
  </si>
  <si>
    <t>will be back in Aug. add English</t>
  </si>
  <si>
    <t>Evan</t>
  </si>
  <si>
    <t>5480 borgia road, Fremont, CA 94539</t>
  </si>
  <si>
    <t>liusheng188888@gmail.com</t>
  </si>
  <si>
    <t>Oct.1, 2023</t>
  </si>
  <si>
    <t>468 Pagosa Way Fremont, CA</t>
  </si>
  <si>
    <t xml:space="preserve">will be back in Sep. </t>
  </si>
  <si>
    <t>Hana</t>
  </si>
  <si>
    <t>49019 Woodgrove Cmn, Fremont, CA, 94539</t>
  </si>
  <si>
    <t>Tanabeusa@yahoo.com</t>
  </si>
  <si>
    <t xml:space="preserve">Yang </t>
  </si>
  <si>
    <t xml:space="preserve">Ivan </t>
  </si>
  <si>
    <t>46940 shale common, , Fremont, CA</t>
  </si>
  <si>
    <t>chtjulia@gmail.com</t>
  </si>
  <si>
    <t>Jason</t>
  </si>
  <si>
    <t>172 Chama Way</t>
  </si>
  <si>
    <t>732-491-6636</t>
  </si>
  <si>
    <t>linshu8518@gmail.com</t>
  </si>
  <si>
    <t>48625 Taos Rd, Fremont</t>
  </si>
  <si>
    <t>nataliessyu@gmail.com</t>
  </si>
  <si>
    <t xml:space="preserve">Jonathan </t>
  </si>
  <si>
    <t>47830 Maya st, , Fremont, CA</t>
  </si>
  <si>
    <t>Xianghonglicpa@gmail.com</t>
  </si>
  <si>
    <t xml:space="preserve">Liu </t>
  </si>
  <si>
    <t>Katie</t>
  </si>
  <si>
    <t>45220 Parkmeadow w</t>
  </si>
  <si>
    <t>510-366-6707</t>
  </si>
  <si>
    <t>Yuansun@gmail.com</t>
  </si>
  <si>
    <t xml:space="preserve">Katie </t>
  </si>
  <si>
    <t xml:space="preserve">Kiera </t>
  </si>
  <si>
    <t>48909 rustyleaf ter</t>
  </si>
  <si>
    <t>lihuisophia@gmail.com</t>
  </si>
  <si>
    <t>Meggie</t>
  </si>
  <si>
    <t>245 Wenatchee CMN ,Fremont ,CA 94539</t>
  </si>
  <si>
    <t>hxzhou@gmail.com</t>
  </si>
  <si>
    <t>Warm Spring, Fremont, CA, 94539</t>
  </si>
  <si>
    <t xml:space="preserve"> will be back in Sep</t>
  </si>
  <si>
    <t xml:space="preserve">Sheth </t>
  </si>
  <si>
    <t xml:space="preserve">Moksh </t>
  </si>
  <si>
    <t>527 Palo Verde Cmns, , Fremont, CA</t>
  </si>
  <si>
    <t>shethju@gmail.com</t>
  </si>
  <si>
    <t>Noah</t>
  </si>
  <si>
    <t xml:space="preserve">Ngan </t>
  </si>
  <si>
    <t>Scarlett</t>
  </si>
  <si>
    <t>36371 Magellan Drive, , Fremont, CA</t>
  </si>
  <si>
    <t>yingzi27@gmail.com</t>
  </si>
  <si>
    <t>SHREYA</t>
  </si>
  <si>
    <t xml:space="preserve">Timothy </t>
  </si>
  <si>
    <t>Tracy</t>
  </si>
  <si>
    <t>William</t>
  </si>
  <si>
    <t>Alice</t>
  </si>
  <si>
    <t>211 Buskirk St</t>
  </si>
  <si>
    <t>smileqing@gmail.com</t>
  </si>
  <si>
    <t xml:space="preserve">Travel, will be back in Aug. </t>
  </si>
  <si>
    <t xml:space="preserve">Gao </t>
  </si>
  <si>
    <t xml:space="preserve">Dylan </t>
  </si>
  <si>
    <t>4407 Keepsake Rose Cmn, , Fremont, CA</t>
  </si>
  <si>
    <t>gracesmallrain@yahoo.com</t>
  </si>
  <si>
    <t>will be absent from July</t>
  </si>
  <si>
    <t>KARTHIK</t>
  </si>
  <si>
    <t>KATYAAYANI</t>
  </si>
  <si>
    <t>4/3/2018</t>
  </si>
  <si>
    <t>48968 Lady Fern Cmn</t>
  </si>
  <si>
    <t>karthikm2006@gmail.com</t>
  </si>
  <si>
    <t>Sasha</t>
  </si>
  <si>
    <t>660 Navajo Way Fremont, CA</t>
  </si>
  <si>
    <t>ryamamoto5196@gmail.com</t>
  </si>
  <si>
    <t xml:space="preserve">back in Aug. </t>
  </si>
  <si>
    <t xml:space="preserve">travel back in Aug. </t>
  </si>
  <si>
    <t>Taluna</t>
  </si>
  <si>
    <t>46912 Bodie Ter, Fremont, CA</t>
  </si>
  <si>
    <t>will be absent in July</t>
  </si>
  <si>
    <t>KELLY</t>
  </si>
  <si>
    <t>10/1/2012</t>
  </si>
  <si>
    <t>1750 Lundy Ave</t>
  </si>
  <si>
    <t>cube@ymail.com</t>
  </si>
  <si>
    <t>6/3/2024</t>
  </si>
  <si>
    <t>2nd subject</t>
  </si>
  <si>
    <t>CHEUNG</t>
  </si>
  <si>
    <t>ALEXIAS</t>
  </si>
  <si>
    <t>10/24/2011</t>
  </si>
  <si>
    <t>321 Barton Dr.</t>
  </si>
  <si>
    <t>510-331-3330</t>
  </si>
  <si>
    <t>minmin118@gmail.com</t>
  </si>
  <si>
    <t>06/24/2024</t>
  </si>
  <si>
    <t xml:space="preserve">back in Sep. </t>
  </si>
  <si>
    <t>Jayden</t>
  </si>
  <si>
    <t>1/5/2009</t>
  </si>
  <si>
    <t>FANG</t>
  </si>
  <si>
    <t>NORNE</t>
  </si>
  <si>
    <t>12/2/2017</t>
  </si>
  <si>
    <t>305 Merrill Ave</t>
  </si>
  <si>
    <t>765-426-6580</t>
  </si>
  <si>
    <t>nf.fang.family@gmail.com</t>
  </si>
  <si>
    <t>6/17/2024</t>
  </si>
  <si>
    <t xml:space="preserve">Travel, be back in Sep. </t>
  </si>
  <si>
    <t>ZHOU</t>
  </si>
  <si>
    <t>OLIVIA</t>
  </si>
  <si>
    <t>8/20/2013</t>
  </si>
  <si>
    <t>45897 Bridgeport pl</t>
  </si>
  <si>
    <t>whil2005@gmail.com</t>
  </si>
  <si>
    <t>06/03/2024</t>
  </si>
  <si>
    <t>HSIEH</t>
  </si>
  <si>
    <t>MELODY</t>
  </si>
  <si>
    <t>TK</t>
  </si>
  <si>
    <t>1/1/2019</t>
  </si>
  <si>
    <t>06/7/2024</t>
  </si>
  <si>
    <t>Poon</t>
  </si>
  <si>
    <t>Elliott</t>
  </si>
  <si>
    <t>3508 innovation way unit 201</t>
  </si>
  <si>
    <t>soomeo@gmail.com</t>
  </si>
  <si>
    <t xml:space="preserve">will quit in Sep. </t>
  </si>
  <si>
    <t>SureshKumar</t>
  </si>
  <si>
    <t>KeertiSri</t>
  </si>
  <si>
    <t>12/8/2013</t>
  </si>
  <si>
    <t>37327 Lantana Cmn</t>
  </si>
  <si>
    <t>suresh.ucce@gmail.com</t>
  </si>
  <si>
    <t>06/02/2024</t>
  </si>
  <si>
    <t>06/05/2024</t>
  </si>
  <si>
    <t>ZHANG</t>
  </si>
  <si>
    <t>YUCHENG</t>
  </si>
  <si>
    <t>2/15/2018</t>
  </si>
  <si>
    <t>43295 Bush ct</t>
  </si>
  <si>
    <t>cathyzou10@outlook.com</t>
  </si>
  <si>
    <t>Louis</t>
  </si>
  <si>
    <t>47342 Mission falls ct, Fremont 94539</t>
  </si>
  <si>
    <t>leehomc123@gmail.com</t>
  </si>
  <si>
    <t>Olivia</t>
  </si>
  <si>
    <t>Hagos</t>
  </si>
  <si>
    <t>Luliya</t>
  </si>
  <si>
    <t>3/8/2015</t>
  </si>
  <si>
    <t>41299 paseo padre pkwy Apt 235fremontCA94539</t>
  </si>
  <si>
    <t>mehretek12@gmail.com</t>
  </si>
  <si>
    <t>8/26/2024</t>
  </si>
  <si>
    <t>will quit in Oct. too far</t>
  </si>
  <si>
    <t>Sheth</t>
  </si>
  <si>
    <t>Moksh</t>
  </si>
  <si>
    <t>6/22/2015</t>
  </si>
  <si>
    <t>527 Palo Verde CmnsFremontCA94539</t>
  </si>
  <si>
    <t>8/16/2024</t>
  </si>
  <si>
    <t xml:space="preserve">will quit in Oct. </t>
  </si>
  <si>
    <t>will quit in Oct.</t>
  </si>
  <si>
    <t>will be absent in Nov.</t>
  </si>
  <si>
    <t>will be absent from Nov.</t>
  </si>
  <si>
    <t>will leave in Nov.</t>
  </si>
  <si>
    <t>Ge</t>
  </si>
  <si>
    <t>Grace</t>
  </si>
  <si>
    <t>404 Bent Grass Ter, Fremont, CA</t>
  </si>
  <si>
    <t>qige81@gmail.com</t>
  </si>
  <si>
    <t>will quit in Dec</t>
  </si>
  <si>
    <t>absent for 2 month for India</t>
  </si>
  <si>
    <t>Yiyao</t>
  </si>
  <si>
    <t>8930 Wave Cove Way</t>
  </si>
  <si>
    <t>caijie0620@gmail.com</t>
  </si>
  <si>
    <t>Correct to Math</t>
  </si>
  <si>
    <t>Atharva</t>
  </si>
  <si>
    <t>4269 Delaware Dr, Fremont, CA, 94538</t>
  </si>
  <si>
    <t>kameshwar2004@gmail.com</t>
  </si>
  <si>
    <t>EK3</t>
  </si>
  <si>
    <t>78P</t>
  </si>
  <si>
    <t>absent in Feb.  back in late march</t>
  </si>
  <si>
    <t>1P</t>
  </si>
  <si>
    <t>4/28/2015</t>
  </si>
  <si>
    <t>350 Phantom Falls CMNFremontCA94539</t>
  </si>
  <si>
    <t>haimingw24@gmail.com</t>
  </si>
  <si>
    <t>61P</t>
  </si>
  <si>
    <t>changed school</t>
  </si>
  <si>
    <t>101P</t>
  </si>
  <si>
    <t>Andy</t>
  </si>
  <si>
    <t>39953 Cedar Blvd unit 221, Newark</t>
  </si>
  <si>
    <t>510-896-9021</t>
  </si>
  <si>
    <t>Cyberlei23@gmail.com</t>
  </si>
  <si>
    <t>EM1</t>
  </si>
  <si>
    <t>86P</t>
  </si>
  <si>
    <t>Quit</t>
  </si>
  <si>
    <t>10/10/2014</t>
  </si>
  <si>
    <t>506 Bristle Grass TerraceFremontCA94539</t>
  </si>
  <si>
    <t>8/21/2024</t>
  </si>
  <si>
    <t xml:space="preserve">QUIT </t>
  </si>
  <si>
    <t>Patil</t>
  </si>
  <si>
    <t>Anvika</t>
  </si>
  <si>
    <t>4/1/2019</t>
  </si>
  <si>
    <t>3511 Vision Cmn Unit 1004FremontCA94538</t>
  </si>
  <si>
    <t>jeetenpatil@gmail.com</t>
  </si>
  <si>
    <t>back in Aug.</t>
  </si>
  <si>
    <t>Bhatti</t>
  </si>
  <si>
    <t>Aria</t>
  </si>
  <si>
    <t>6/12/2014</t>
  </si>
  <si>
    <t>48016 leontine ctFremontCA94539</t>
  </si>
  <si>
    <t>Vaishali221@gmail.com</t>
  </si>
  <si>
    <t>7/23/2024</t>
  </si>
  <si>
    <t>QUIT leave after May</t>
  </si>
  <si>
    <t>Carson</t>
  </si>
  <si>
    <t>4/30/2015</t>
  </si>
  <si>
    <t>47522 Fortner StreetFREMONTCA94539</t>
  </si>
  <si>
    <t>4/30/2016</t>
  </si>
  <si>
    <t>47523 Fortner StreetFREMONTCA94539</t>
  </si>
  <si>
    <t>4/5/2015</t>
  </si>
  <si>
    <t>382 Wheat Grass TerFremontCA94539</t>
  </si>
  <si>
    <t>8/20/2024</t>
  </si>
  <si>
    <t>3/28/2017</t>
  </si>
  <si>
    <t>47260 Havasu StreetFremontCA94539</t>
  </si>
  <si>
    <t>5/21/2016</t>
  </si>
  <si>
    <t>5480 borgia roadFremontCA94538</t>
  </si>
  <si>
    <t>Huang</t>
  </si>
  <si>
    <t>Harvey</t>
  </si>
  <si>
    <t>12/26/2017</t>
  </si>
  <si>
    <t>47555 Escondido Falls TerraceFremontCA94539</t>
  </si>
  <si>
    <t>yichen.jen.wu@gmail.com</t>
  </si>
  <si>
    <t>8/17/2024</t>
  </si>
  <si>
    <t>Jasmine</t>
  </si>
  <si>
    <t xml:space="preserve">44 Essanay Ave , Fremont, CA </t>
  </si>
  <si>
    <t>jiazi3303@gmail.com</t>
  </si>
  <si>
    <t>Mekoyo</t>
  </si>
  <si>
    <t>Jean</t>
  </si>
  <si>
    <t>29505 mission Blvd Apt 406</t>
  </si>
  <si>
    <t>brunnelf@yahoo.com</t>
  </si>
  <si>
    <t>financial prob. will quit</t>
  </si>
  <si>
    <t>Kaylee</t>
  </si>
  <si>
    <t>11/25/2017</t>
  </si>
  <si>
    <t>473 Craycroft DrFremontCA94539</t>
  </si>
  <si>
    <t>victor_chen82@yahoo.com</t>
  </si>
  <si>
    <t>Krish</t>
  </si>
  <si>
    <t>4/17/2017</t>
  </si>
  <si>
    <t>3715 broadcast common，Fremont</t>
  </si>
  <si>
    <t>suchitra.pv@gmail.com</t>
  </si>
  <si>
    <t>4/18/2017</t>
  </si>
  <si>
    <t>3716 broadcast common，Fremont</t>
  </si>
  <si>
    <t>Krishank</t>
  </si>
  <si>
    <t>4/5/2018</t>
  </si>
  <si>
    <t>375 Starlite WayFremontCA94539</t>
  </si>
  <si>
    <t>vaishali.khatale@gmail.com</t>
  </si>
  <si>
    <t>Kyna</t>
  </si>
  <si>
    <t>49119 Rose Ter Fremont Ca 94539</t>
  </si>
  <si>
    <t>gcychen@outlook.com</t>
  </si>
  <si>
    <t>4093 Central Ave Fremont Ca 94536</t>
  </si>
  <si>
    <t>LeBeuf</t>
  </si>
  <si>
    <t>Liam</t>
  </si>
  <si>
    <t>47500 Kinner Falls Cmn, Fremont, CA 94539</t>
  </si>
  <si>
    <t>hulanb@icloud.com</t>
  </si>
  <si>
    <t>Patrick</t>
  </si>
  <si>
    <t>Mekala</t>
  </si>
  <si>
    <t>Prahan</t>
  </si>
  <si>
    <t>7/16/2019</t>
  </si>
  <si>
    <t>285 hackamore cmnfremontCA94539</t>
  </si>
  <si>
    <t>prashanthreddykm@gmail.com</t>
  </si>
  <si>
    <t>8/23/2024</t>
  </si>
  <si>
    <t>Shaik</t>
  </si>
  <si>
    <t>Rashid</t>
  </si>
  <si>
    <t>747 Choctaw Dr，Fremont</t>
  </si>
  <si>
    <t>hi.moulaali@gmail.com</t>
  </si>
  <si>
    <t>11/18/2024</t>
  </si>
  <si>
    <t>5/2/2015</t>
  </si>
  <si>
    <t>748 Choctaw Dr，Fremont</t>
  </si>
  <si>
    <t>Shelley</t>
  </si>
  <si>
    <t>1499 Piedmont Rd, San Jose, CA</t>
  </si>
  <si>
    <t>rannie_chen@hotmail.com</t>
  </si>
  <si>
    <t>Sophie</t>
  </si>
  <si>
    <t>12/11/2013</t>
  </si>
  <si>
    <t>47821 Masters Ct</t>
  </si>
  <si>
    <t>zhaocnus@gmail.com</t>
  </si>
  <si>
    <t>Timothy</t>
  </si>
  <si>
    <t>3/14/2015</t>
  </si>
  <si>
    <t>MH4</t>
  </si>
  <si>
    <t>8931 Wave Cove Way</t>
  </si>
  <si>
    <t>LIN</t>
  </si>
  <si>
    <t>YUENING</t>
  </si>
  <si>
    <t>6/24/2018</t>
  </si>
  <si>
    <t>44908 Wisdom rd</t>
  </si>
  <si>
    <t>flora.qu@compass.com</t>
  </si>
  <si>
    <t>6/24/2019</t>
  </si>
  <si>
    <t>44909 Wisdom rd</t>
  </si>
  <si>
    <t>Student Last Name</t>
  </si>
  <si>
    <t>Guardian</t>
  </si>
  <si>
    <t>Age</t>
  </si>
  <si>
    <t>Dob</t>
  </si>
  <si>
    <t>Gender</t>
  </si>
  <si>
    <t>Performing</t>
  </si>
  <si>
    <t>Phone1</t>
  </si>
  <si>
    <t>Phone2</t>
  </si>
  <si>
    <t>Phone3</t>
  </si>
  <si>
    <t>Waiver</t>
  </si>
  <si>
    <t>Student Waiver Acceptance Date</t>
  </si>
  <si>
    <t>Last Measured Date</t>
  </si>
  <si>
    <t>First Enrolled</t>
  </si>
  <si>
    <t>Van</t>
  </si>
  <si>
    <t>Nguy</t>
  </si>
  <si>
    <t>Female</t>
  </si>
  <si>
    <t>Yes</t>
  </si>
  <si>
    <t>No</t>
  </si>
  <si>
    <t>Abigail</t>
  </si>
  <si>
    <t>Becky</t>
  </si>
  <si>
    <t>510-945-8888</t>
  </si>
  <si>
    <t>Kathy</t>
  </si>
  <si>
    <t>Han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</si>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</sst>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mmm\ d\,\ yyyy"/>
    <numFmt numFmtId="166" formatCode="mmm\ d\,\ yyyy\ h:mm\ AM/PM"/>
    <numFmt numFmtId="167" formatCode="mmmm\ d\,\ yyyy"/>
    <numFmt numFmtId="168" formatCode="mmmm\ d\,\ yyyy\ h:mm\ AM/PM"/>
  </numFmts>
  <fonts count="3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20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sz val="11"/>
      <color theme="1"/>
      <name val="Century Gothic"/>
      <family val="2"/>
    </font>
    <font>
      <b/>
      <i/>
      <sz val="12"/>
      <color theme="5"/>
      <name val="Century Gothic"/>
      <family val="2"/>
    </font>
    <font>
      <i/>
      <sz val="12"/>
      <color theme="1"/>
      <name val="Century Gothic"/>
      <family val="2"/>
    </font>
    <font>
      <b/>
      <i/>
      <sz val="12"/>
      <color theme="1"/>
      <name val="Century Gothic"/>
      <family val="2"/>
    </font>
    <font>
      <b/>
      <i/>
      <sz val="12"/>
      <color rgb="FFFF0000"/>
      <name val="Century Gothic"/>
      <family val="2"/>
    </font>
    <font>
      <b/>
      <sz val="12"/>
      <color rgb="FFFF0000"/>
      <name val="Century Gothic"/>
      <family val="2"/>
    </font>
    <font>
      <sz val="12"/>
      <color rgb="FFFF0000"/>
      <name val="Century Gothic"/>
      <family val="2"/>
    </font>
    <font>
      <b/>
      <sz val="12"/>
      <color rgb="FF00B050"/>
      <name val="Century Gothic"/>
      <family val="2"/>
    </font>
    <font>
      <sz val="12"/>
      <color rgb="FF9C0006"/>
      <name val="Century Gothic"/>
      <family val="2"/>
    </font>
    <font>
      <sz val="12"/>
      <color theme="1"/>
      <name val="Calibri"/>
      <family val="2"/>
    </font>
    <font>
      <sz val="12"/>
      <color rgb="FF333333"/>
      <name val="Open Sans"/>
    </font>
    <font>
      <sz val="12"/>
      <color rgb="FF000000"/>
      <name val="Century Gothic"/>
      <family val="2"/>
    </font>
    <font>
      <sz val="12"/>
      <color rgb="FF333333"/>
      <name val="Century Gothic"/>
      <family val="2"/>
    </font>
    <font>
      <u/>
      <sz val="12"/>
      <color theme="1"/>
      <name val="Century Gothic"/>
      <family val="2"/>
    </font>
    <font>
      <sz val="12"/>
      <color rgb="FF006100"/>
      <name val="Calibri"/>
      <family val="2"/>
    </font>
    <font>
      <sz val="13"/>
      <color theme="1"/>
      <name val="Century Gothic"/>
      <family val="2"/>
    </font>
    <font>
      <sz val="11"/>
      <color theme="1"/>
      <name val="Calibri"/>
      <family val="2"/>
    </font>
    <font>
      <b/>
      <sz val="11"/>
      <color rgb="FF333333"/>
      <name val="Open Sans"/>
    </font>
    <font>
      <b/>
      <sz val="11"/>
      <color theme="1"/>
      <name val="Century Gothic"/>
      <family val="2"/>
    </font>
    <font>
      <b/>
      <sz val="11"/>
      <color theme="1"/>
      <name val="Calibri"/>
      <family val="2"/>
    </font>
    <font>
      <u/>
      <sz val="11"/>
      <color rgb="FF0000FF"/>
      <name val="Century Gothic"/>
      <family val="2"/>
    </font>
    <font>
      <u/>
      <sz val="11"/>
      <color rgb="FF0000FF"/>
      <name val="Century Gothic"/>
      <family val="2"/>
    </font>
    <font>
      <sz val="11"/>
      <color rgb="FF000000"/>
      <name val="Century Gothic"/>
      <family val="2"/>
    </font>
    <font>
      <sz val="11"/>
      <color rgb="FF9C0006"/>
      <name val="Calibri"/>
      <family val="2"/>
    </font>
    <font>
      <u/>
      <sz val="12"/>
      <color theme="1"/>
      <name val="Century Gothic"/>
      <family val="2"/>
    </font>
    <font>
      <sz val="11"/>
      <color rgb="FF344563"/>
      <name val="Open Sans"/>
    </font>
    <font>
      <sz val="11"/>
      <color rgb="FF333333"/>
      <name val="Open Sans"/>
    </font>
  </fonts>
  <fills count="21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FF0000"/>
        <bgColor rgb="FFFF0000"/>
      </patternFill>
    </fill>
    <fill>
      <patternFill patternType="solid">
        <fgColor rgb="FFFFE598"/>
        <bgColor rgb="FFFFE598"/>
      </patternFill>
    </fill>
    <fill>
      <patternFill patternType="solid">
        <fgColor rgb="FFFFC7CE"/>
        <bgColor rgb="FFFFC7CE"/>
      </patternFill>
    </fill>
    <fill>
      <patternFill patternType="solid">
        <fgColor rgb="FFF7CAAC"/>
        <bgColor rgb="FFF7CAAC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EB9C"/>
        <bgColor rgb="FFFFEB9C"/>
      </patternFill>
    </fill>
    <fill>
      <patternFill patternType="solid">
        <fgColor rgb="FFEA9999"/>
        <bgColor rgb="FFEA9999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  <fill>
      <patternFill patternType="solid">
        <fgColor rgb="FFF4F7F9"/>
        <bgColor rgb="FFF4F7F9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0E0E0"/>
      </left>
      <right/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447">
    <xf numFmtId="0" fontId="0" fillId="0" borderId="0" xfId="0"/>
    <xf numFmtId="0" fontId="3" fillId="0" borderId="0" xfId="0" applyFont="1" applyAlignment="1">
      <alignment horizontal="left"/>
    </xf>
    <xf numFmtId="0" fontId="4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14" fontId="4" fillId="0" borderId="0" xfId="0" applyNumberFormat="1" applyFont="1"/>
    <xf numFmtId="44" fontId="4" fillId="0" borderId="0" xfId="0" applyNumberFormat="1" applyFont="1"/>
    <xf numFmtId="44" fontId="5" fillId="0" borderId="0" xfId="0" applyNumberFormat="1" applyFont="1"/>
    <xf numFmtId="0" fontId="4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4" fontId="3" fillId="0" borderId="0" xfId="0" applyNumberFormat="1" applyFont="1" applyAlignment="1">
      <alignment horizontal="center" vertical="center"/>
    </xf>
    <xf numFmtId="14" fontId="4" fillId="3" borderId="4" xfId="0" applyNumberFormat="1" applyFont="1" applyFill="1" applyBorder="1"/>
    <xf numFmtId="0" fontId="4" fillId="3" borderId="5" xfId="0" applyFont="1" applyFill="1" applyBorder="1"/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/>
    <xf numFmtId="44" fontId="4" fillId="3" borderId="5" xfId="0" applyNumberFormat="1" applyFont="1" applyFill="1" applyBorder="1" applyAlignment="1">
      <alignment horizontal="center" vertical="center"/>
    </xf>
    <xf numFmtId="44" fontId="4" fillId="3" borderId="5" xfId="0" applyNumberFormat="1" applyFont="1" applyFill="1" applyBorder="1"/>
    <xf numFmtId="0" fontId="6" fillId="0" borderId="0" xfId="0" applyFont="1"/>
    <xf numFmtId="0" fontId="7" fillId="3" borderId="5" xfId="0" applyFont="1" applyFill="1" applyBorder="1" applyAlignment="1">
      <alignment horizontal="center" vertical="center"/>
    </xf>
    <xf numFmtId="44" fontId="7" fillId="3" borderId="5" xfId="0" applyNumberFormat="1" applyFont="1" applyFill="1" applyBorder="1" applyAlignment="1">
      <alignment horizontal="center" vertical="center"/>
    </xf>
    <xf numFmtId="0" fontId="6" fillId="3" borderId="5" xfId="0" applyFont="1" applyFill="1" applyBorder="1" applyAlignment="1">
      <alignment vertical="center" wrapText="1"/>
    </xf>
    <xf numFmtId="44" fontId="6" fillId="3" borderId="5" xfId="0" applyNumberFormat="1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vertical="center" wrapText="1"/>
    </xf>
    <xf numFmtId="44" fontId="3" fillId="3" borderId="5" xfId="0" applyNumberFormat="1" applyFont="1" applyFill="1" applyBorder="1"/>
    <xf numFmtId="0" fontId="4" fillId="3" borderId="6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8" fillId="3" borderId="5" xfId="0" applyFont="1" applyFill="1" applyBorder="1"/>
    <xf numFmtId="44" fontId="8" fillId="3" borderId="5" xfId="0" applyNumberFormat="1" applyFont="1" applyFill="1" applyBorder="1" applyAlignment="1">
      <alignment horizontal="center" vertical="center"/>
    </xf>
    <xf numFmtId="164" fontId="8" fillId="3" borderId="5" xfId="0" applyNumberFormat="1" applyFont="1" applyFill="1" applyBorder="1" applyAlignment="1">
      <alignment horizontal="center" vertical="center"/>
    </xf>
    <xf numFmtId="0" fontId="9" fillId="3" borderId="5" xfId="0" applyFont="1" applyFill="1" applyBorder="1"/>
    <xf numFmtId="44" fontId="9" fillId="3" borderId="5" xfId="0" applyNumberFormat="1" applyFont="1" applyFill="1" applyBorder="1"/>
    <xf numFmtId="44" fontId="10" fillId="3" borderId="5" xfId="0" applyNumberFormat="1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44" fontId="10" fillId="3" borderId="5" xfId="0" applyNumberFormat="1" applyFont="1" applyFill="1" applyBorder="1"/>
    <xf numFmtId="44" fontId="4" fillId="3" borderId="5" xfId="0" applyNumberFormat="1" applyFont="1" applyFill="1" applyBorder="1" applyAlignment="1">
      <alignment vertical="center"/>
    </xf>
    <xf numFmtId="0" fontId="3" fillId="3" borderId="5" xfId="0" applyFont="1" applyFill="1" applyBorder="1"/>
    <xf numFmtId="44" fontId="3" fillId="3" borderId="5" xfId="0" applyNumberFormat="1" applyFont="1" applyFill="1" applyBorder="1" applyAlignment="1">
      <alignment vertical="center"/>
    </xf>
    <xf numFmtId="14" fontId="4" fillId="3" borderId="7" xfId="0" applyNumberFormat="1" applyFont="1" applyFill="1" applyBorder="1"/>
    <xf numFmtId="0" fontId="4" fillId="3" borderId="8" xfId="0" applyFont="1" applyFill="1" applyBorder="1"/>
    <xf numFmtId="0" fontId="4" fillId="3" borderId="8" xfId="0" applyFont="1" applyFill="1" applyBorder="1" applyAlignment="1">
      <alignment horizontal="center" vertical="center"/>
    </xf>
    <xf numFmtId="44" fontId="4" fillId="3" borderId="8" xfId="0" applyNumberFormat="1" applyFont="1" applyFill="1" applyBorder="1"/>
    <xf numFmtId="0" fontId="4" fillId="3" borderId="9" xfId="0" applyFont="1" applyFill="1" applyBorder="1"/>
    <xf numFmtId="0" fontId="3" fillId="4" borderId="10" xfId="0" applyFont="1" applyFill="1" applyBorder="1"/>
    <xf numFmtId="0" fontId="4" fillId="4" borderId="11" xfId="0" applyFont="1" applyFill="1" applyBorder="1" applyAlignment="1">
      <alignment horizontal="center" vertical="center"/>
    </xf>
    <xf numFmtId="0" fontId="4" fillId="3" borderId="12" xfId="0" applyFont="1" applyFill="1" applyBorder="1"/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/>
    <xf numFmtId="0" fontId="4" fillId="3" borderId="15" xfId="0" applyFont="1" applyFill="1" applyBorder="1" applyAlignment="1">
      <alignment horizontal="center" vertical="center"/>
    </xf>
    <xf numFmtId="0" fontId="4" fillId="2" borderId="12" xfId="0" applyFont="1" applyFill="1" applyBorder="1"/>
    <xf numFmtId="0" fontId="3" fillId="5" borderId="13" xfId="0" applyFont="1" applyFill="1" applyBorder="1" applyAlignment="1">
      <alignment horizontal="center" vertical="center"/>
    </xf>
    <xf numFmtId="0" fontId="4" fillId="6" borderId="12" xfId="0" applyFont="1" applyFill="1" applyBorder="1"/>
    <xf numFmtId="0" fontId="4" fillId="5" borderId="13" xfId="0" applyFont="1" applyFill="1" applyBorder="1" applyAlignment="1">
      <alignment horizontal="center" vertical="center"/>
    </xf>
    <xf numFmtId="0" fontId="4" fillId="2" borderId="14" xfId="0" applyFont="1" applyFill="1" applyBorder="1"/>
    <xf numFmtId="0" fontId="3" fillId="5" borderId="15" xfId="0" applyFont="1" applyFill="1" applyBorder="1" applyAlignment="1">
      <alignment horizontal="center" vertical="center"/>
    </xf>
    <xf numFmtId="0" fontId="4" fillId="6" borderId="14" xfId="0" applyFont="1" applyFill="1" applyBorder="1"/>
    <xf numFmtId="0" fontId="4" fillId="5" borderId="15" xfId="0" applyFont="1" applyFill="1" applyBorder="1" applyAlignment="1">
      <alignment horizontal="center" vertical="center"/>
    </xf>
    <xf numFmtId="0" fontId="3" fillId="7" borderId="12" xfId="0" applyFont="1" applyFill="1" applyBorder="1"/>
    <xf numFmtId="0" fontId="3" fillId="7" borderId="13" xfId="0" applyFont="1" applyFill="1" applyBorder="1" applyAlignment="1">
      <alignment horizontal="center" vertical="center"/>
    </xf>
    <xf numFmtId="0" fontId="3" fillId="7" borderId="14" xfId="0" applyFont="1" applyFill="1" applyBorder="1"/>
    <xf numFmtId="0" fontId="3" fillId="7" borderId="16" xfId="0" applyFont="1" applyFill="1" applyBorder="1" applyAlignment="1">
      <alignment horizontal="center" vertical="center"/>
    </xf>
    <xf numFmtId="43" fontId="4" fillId="0" borderId="0" xfId="0" applyNumberFormat="1" applyFont="1" applyAlignment="1">
      <alignment horizontal="center" vertical="center"/>
    </xf>
    <xf numFmtId="44" fontId="11" fillId="0" borderId="0" xfId="0" applyNumberFormat="1" applyFont="1"/>
    <xf numFmtId="0" fontId="4" fillId="7" borderId="12" xfId="0" applyFont="1" applyFill="1" applyBorder="1"/>
    <xf numFmtId="0" fontId="4" fillId="7" borderId="13" xfId="0" applyFont="1" applyFill="1" applyBorder="1" applyAlignment="1">
      <alignment horizontal="center" vertical="center"/>
    </xf>
    <xf numFmtId="0" fontId="4" fillId="7" borderId="14" xfId="0" applyFont="1" applyFill="1" applyBorder="1"/>
    <xf numFmtId="0" fontId="4" fillId="7" borderId="15" xfId="0" applyFont="1" applyFill="1" applyBorder="1" applyAlignment="1">
      <alignment horizontal="center" vertical="center"/>
    </xf>
    <xf numFmtId="44" fontId="3" fillId="0" borderId="0" xfId="0" applyNumberFormat="1" applyFont="1"/>
    <xf numFmtId="0" fontId="12" fillId="0" borderId="0" xfId="0" applyFont="1"/>
    <xf numFmtId="0" fontId="10" fillId="0" borderId="0" xfId="0" applyFont="1"/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13" fillId="8" borderId="5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4" fontId="4" fillId="0" borderId="0" xfId="0" applyNumberFormat="1" applyFont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1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10" borderId="5" xfId="0" applyFont="1" applyFill="1" applyBorder="1" applyAlignment="1">
      <alignment horizontal="center" wrapText="1"/>
    </xf>
    <xf numFmtId="0" fontId="4" fillId="10" borderId="5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left"/>
    </xf>
    <xf numFmtId="14" fontId="4" fillId="10" borderId="5" xfId="0" applyNumberFormat="1" applyFont="1" applyFill="1" applyBorder="1" applyAlignment="1">
      <alignment horizontal="left"/>
    </xf>
    <xf numFmtId="0" fontId="4" fillId="10" borderId="5" xfId="0" applyFont="1" applyFill="1" applyBorder="1" applyAlignment="1">
      <alignment horizontal="center" vertical="center" wrapText="1"/>
    </xf>
    <xf numFmtId="0" fontId="4" fillId="10" borderId="5" xfId="0" applyFont="1" applyFill="1" applyBorder="1"/>
    <xf numFmtId="0" fontId="4" fillId="11" borderId="17" xfId="0" applyFont="1" applyFill="1" applyBorder="1"/>
    <xf numFmtId="0" fontId="14" fillId="11" borderId="17" xfId="0" applyFont="1" applyFill="1" applyBorder="1"/>
    <xf numFmtId="0" fontId="4" fillId="0" borderId="5" xfId="0" applyFont="1" applyBorder="1" applyAlignment="1">
      <alignment horizontal="center" wrapText="1"/>
    </xf>
    <xf numFmtId="0" fontId="4" fillId="11" borderId="5" xfId="0" applyFont="1" applyFill="1" applyBorder="1" applyAlignment="1">
      <alignment horizontal="center" vertical="center" wrapText="1"/>
    </xf>
    <xf numFmtId="0" fontId="4" fillId="11" borderId="5" xfId="0" applyFont="1" applyFill="1" applyBorder="1" applyAlignment="1">
      <alignment horizontal="left" wrapText="1"/>
    </xf>
    <xf numFmtId="0" fontId="4" fillId="11" borderId="5" xfId="0" applyFont="1" applyFill="1" applyBorder="1" applyAlignment="1">
      <alignment horizontal="center" wrapText="1"/>
    </xf>
    <xf numFmtId="14" fontId="4" fillId="11" borderId="5" xfId="0" applyNumberFormat="1" applyFont="1" applyFill="1" applyBorder="1" applyAlignment="1">
      <alignment horizontal="left" wrapText="1"/>
    </xf>
    <xf numFmtId="0" fontId="15" fillId="11" borderId="5" xfId="0" applyFont="1" applyFill="1" applyBorder="1"/>
    <xf numFmtId="0" fontId="4" fillId="11" borderId="5" xfId="0" applyFont="1" applyFill="1" applyBorder="1" applyAlignment="1">
      <alignment wrapText="1"/>
    </xf>
    <xf numFmtId="14" fontId="4" fillId="11" borderId="5" xfId="0" applyNumberFormat="1" applyFont="1" applyFill="1" applyBorder="1" applyAlignment="1">
      <alignment wrapText="1"/>
    </xf>
    <xf numFmtId="0" fontId="4" fillId="11" borderId="5" xfId="0" applyFont="1" applyFill="1" applyBorder="1" applyAlignment="1">
      <alignment horizontal="center"/>
    </xf>
    <xf numFmtId="0" fontId="4" fillId="11" borderId="5" xfId="0" applyFont="1" applyFill="1" applyBorder="1"/>
    <xf numFmtId="14" fontId="4" fillId="11" borderId="5" xfId="0" applyNumberFormat="1" applyFont="1" applyFill="1" applyBorder="1"/>
    <xf numFmtId="0" fontId="4" fillId="11" borderId="5" xfId="0" applyFont="1" applyFill="1" applyBorder="1" applyAlignment="1">
      <alignment horizontal="left"/>
    </xf>
    <xf numFmtId="14" fontId="4" fillId="11" borderId="5" xfId="0" applyNumberFormat="1" applyFont="1" applyFill="1" applyBorder="1" applyAlignment="1">
      <alignment horizontal="left"/>
    </xf>
    <xf numFmtId="0" fontId="16" fillId="11" borderId="17" xfId="0" applyFont="1" applyFill="1" applyBorder="1"/>
    <xf numFmtId="0" fontId="4" fillId="12" borderId="5" xfId="0" applyFont="1" applyFill="1" applyBorder="1" applyAlignment="1">
      <alignment horizontal="center" vertical="center"/>
    </xf>
    <xf numFmtId="0" fontId="4" fillId="12" borderId="5" xfId="0" applyFont="1" applyFill="1" applyBorder="1" applyAlignment="1">
      <alignment horizontal="left"/>
    </xf>
    <xf numFmtId="14" fontId="4" fillId="12" borderId="5" xfId="0" applyNumberFormat="1" applyFont="1" applyFill="1" applyBorder="1" applyAlignment="1">
      <alignment horizontal="left"/>
    </xf>
    <xf numFmtId="0" fontId="4" fillId="12" borderId="5" xfId="0" applyFont="1" applyFill="1" applyBorder="1" applyAlignment="1">
      <alignment horizontal="center" vertical="center" wrapText="1"/>
    </xf>
    <xf numFmtId="0" fontId="4" fillId="12" borderId="5" xfId="0" applyFont="1" applyFill="1" applyBorder="1"/>
    <xf numFmtId="0" fontId="4" fillId="12" borderId="17" xfId="0" applyFont="1" applyFill="1" applyBorder="1"/>
    <xf numFmtId="0" fontId="14" fillId="12" borderId="17" xfId="0" applyFont="1" applyFill="1" applyBorder="1"/>
    <xf numFmtId="0" fontId="4" fillId="0" borderId="5" xfId="0" applyFont="1" applyBorder="1" applyAlignment="1">
      <alignment horizontal="left"/>
    </xf>
    <xf numFmtId="14" fontId="4" fillId="0" borderId="5" xfId="0" applyNumberFormat="1" applyFont="1" applyBorder="1" applyAlignment="1">
      <alignment horizontal="left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/>
    <xf numFmtId="0" fontId="4" fillId="0" borderId="5" xfId="0" applyFont="1" applyBorder="1" applyAlignment="1">
      <alignment horizontal="left" wrapText="1"/>
    </xf>
    <xf numFmtId="14" fontId="4" fillId="0" borderId="5" xfId="0" applyNumberFormat="1" applyFont="1" applyBorder="1" applyAlignment="1">
      <alignment horizontal="left" wrapText="1"/>
    </xf>
    <xf numFmtId="0" fontId="17" fillId="0" borderId="5" xfId="0" applyFont="1" applyBorder="1" applyAlignment="1">
      <alignment horizontal="left"/>
    </xf>
    <xf numFmtId="14" fontId="4" fillId="0" borderId="5" xfId="0" applyNumberFormat="1" applyFont="1" applyBorder="1"/>
    <xf numFmtId="0" fontId="4" fillId="0" borderId="18" xfId="0" applyFont="1" applyBorder="1" applyAlignment="1">
      <alignment horizontal="left"/>
    </xf>
    <xf numFmtId="0" fontId="4" fillId="12" borderId="17" xfId="0" applyFont="1" applyFill="1" applyBorder="1" applyAlignment="1">
      <alignment horizontal="left"/>
    </xf>
    <xf numFmtId="0" fontId="4" fillId="10" borderId="5" xfId="0" applyFont="1" applyFill="1" applyBorder="1" applyAlignment="1">
      <alignment horizontal="center"/>
    </xf>
    <xf numFmtId="14" fontId="4" fillId="10" borderId="5" xfId="0" applyNumberFormat="1" applyFont="1" applyFill="1" applyBorder="1"/>
    <xf numFmtId="0" fontId="15" fillId="10" borderId="5" xfId="0" applyFont="1" applyFill="1" applyBorder="1"/>
    <xf numFmtId="0" fontId="14" fillId="10" borderId="17" xfId="0" applyFont="1" applyFill="1" applyBorder="1"/>
    <xf numFmtId="0" fontId="4" fillId="10" borderId="17" xfId="0" applyFont="1" applyFill="1" applyBorder="1"/>
    <xf numFmtId="0" fontId="4" fillId="11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18" fillId="0" borderId="5" xfId="0" applyFont="1" applyBorder="1" applyAlignment="1">
      <alignment horizontal="left"/>
    </xf>
    <xf numFmtId="0" fontId="19" fillId="11" borderId="17" xfId="0" applyFont="1" applyFill="1" applyBorder="1"/>
    <xf numFmtId="0" fontId="17" fillId="11" borderId="5" xfId="0" applyFont="1" applyFill="1" applyBorder="1" applyAlignment="1">
      <alignment horizontal="left"/>
    </xf>
    <xf numFmtId="0" fontId="4" fillId="11" borderId="5" xfId="0" applyFont="1" applyFill="1" applyBorder="1" applyAlignment="1">
      <alignment horizontal="right"/>
    </xf>
    <xf numFmtId="0" fontId="19" fillId="10" borderId="17" xfId="0" applyFont="1" applyFill="1" applyBorder="1"/>
    <xf numFmtId="0" fontId="4" fillId="11" borderId="17" xfId="0" applyFont="1" applyFill="1" applyBorder="1" applyAlignment="1">
      <alignment horizontal="left"/>
    </xf>
    <xf numFmtId="0" fontId="20" fillId="10" borderId="5" xfId="0" applyFont="1" applyFill="1" applyBorder="1"/>
    <xf numFmtId="0" fontId="14" fillId="10" borderId="5" xfId="0" applyFont="1" applyFill="1" applyBorder="1"/>
    <xf numFmtId="0" fontId="4" fillId="11" borderId="0" xfId="0" applyFont="1" applyFill="1"/>
    <xf numFmtId="0" fontId="15" fillId="11" borderId="19" xfId="0" applyFont="1" applyFill="1" applyBorder="1"/>
    <xf numFmtId="14" fontId="4" fillId="11" borderId="20" xfId="0" applyNumberFormat="1" applyFont="1" applyFill="1" applyBorder="1" applyAlignment="1">
      <alignment horizontal="left" wrapText="1"/>
    </xf>
    <xf numFmtId="0" fontId="4" fillId="11" borderId="19" xfId="0" applyFont="1" applyFill="1" applyBorder="1" applyAlignment="1">
      <alignment horizontal="left"/>
    </xf>
    <xf numFmtId="14" fontId="4" fillId="11" borderId="19" xfId="0" applyNumberFormat="1" applyFont="1" applyFill="1" applyBorder="1" applyAlignment="1">
      <alignment horizontal="left"/>
    </xf>
    <xf numFmtId="14" fontId="4" fillId="11" borderId="19" xfId="0" applyNumberFormat="1" applyFont="1" applyFill="1" applyBorder="1"/>
    <xf numFmtId="14" fontId="4" fillId="11" borderId="21" xfId="0" applyNumberFormat="1" applyFont="1" applyFill="1" applyBorder="1" applyAlignment="1">
      <alignment horizontal="left"/>
    </xf>
    <xf numFmtId="14" fontId="4" fillId="10" borderId="20" xfId="0" applyNumberFormat="1" applyFont="1" applyFill="1" applyBorder="1"/>
    <xf numFmtId="0" fontId="4" fillId="11" borderId="22" xfId="0" applyFont="1" applyFill="1" applyBorder="1"/>
    <xf numFmtId="0" fontId="4" fillId="11" borderId="23" xfId="0" applyFont="1" applyFill="1" applyBorder="1"/>
    <xf numFmtId="0" fontId="19" fillId="11" borderId="22" xfId="0" applyFont="1" applyFill="1" applyBorder="1"/>
    <xf numFmtId="0" fontId="19" fillId="11" borderId="23" xfId="0" applyFont="1" applyFill="1" applyBorder="1"/>
    <xf numFmtId="0" fontId="16" fillId="11" borderId="22" xfId="0" applyFont="1" applyFill="1" applyBorder="1"/>
    <xf numFmtId="0" fontId="16" fillId="11" borderId="23" xfId="0" applyFont="1" applyFill="1" applyBorder="1"/>
    <xf numFmtId="0" fontId="17" fillId="11" borderId="5" xfId="0" applyFont="1" applyFill="1" applyBorder="1"/>
    <xf numFmtId="0" fontId="16" fillId="12" borderId="17" xfId="0" applyFont="1" applyFill="1" applyBorder="1"/>
    <xf numFmtId="0" fontId="14" fillId="0" borderId="0" xfId="0" applyFont="1"/>
    <xf numFmtId="0" fontId="15" fillId="0" borderId="5" xfId="0" applyFont="1" applyBorder="1"/>
    <xf numFmtId="0" fontId="4" fillId="0" borderId="5" xfId="0" applyFont="1" applyBorder="1" applyAlignment="1">
      <alignment wrapText="1"/>
    </xf>
    <xf numFmtId="14" fontId="4" fillId="0" borderId="5" xfId="0" applyNumberFormat="1" applyFont="1" applyBorder="1" applyAlignment="1">
      <alignment wrapText="1"/>
    </xf>
    <xf numFmtId="0" fontId="4" fillId="13" borderId="5" xfId="0" applyFont="1" applyFill="1" applyBorder="1" applyAlignment="1">
      <alignment horizontal="center" vertical="center" wrapText="1"/>
    </xf>
    <xf numFmtId="0" fontId="4" fillId="13" borderId="5" xfId="0" applyFont="1" applyFill="1" applyBorder="1" applyAlignment="1">
      <alignment horizontal="left" wrapText="1"/>
    </xf>
    <xf numFmtId="14" fontId="4" fillId="13" borderId="5" xfId="0" applyNumberFormat="1" applyFont="1" applyFill="1" applyBorder="1" applyAlignment="1">
      <alignment horizontal="left" wrapText="1"/>
    </xf>
    <xf numFmtId="0" fontId="17" fillId="13" borderId="5" xfId="0" applyFont="1" applyFill="1" applyBorder="1"/>
    <xf numFmtId="0" fontId="4" fillId="13" borderId="5" xfId="0" applyFont="1" applyFill="1" applyBorder="1" applyAlignment="1">
      <alignment wrapText="1"/>
    </xf>
    <xf numFmtId="14" fontId="4" fillId="13" borderId="5" xfId="0" applyNumberFormat="1" applyFont="1" applyFill="1" applyBorder="1" applyAlignment="1">
      <alignment wrapText="1"/>
    </xf>
    <xf numFmtId="0" fontId="4" fillId="13" borderId="5" xfId="0" applyFont="1" applyFill="1" applyBorder="1" applyAlignment="1">
      <alignment horizontal="center" vertical="center"/>
    </xf>
    <xf numFmtId="0" fontId="4" fillId="13" borderId="5" xfId="0" applyFont="1" applyFill="1" applyBorder="1"/>
    <xf numFmtId="0" fontId="4" fillId="13" borderId="5" xfId="0" applyFont="1" applyFill="1" applyBorder="1" applyAlignment="1">
      <alignment horizontal="left"/>
    </xf>
    <xf numFmtId="14" fontId="4" fillId="13" borderId="5" xfId="0" applyNumberFormat="1" applyFont="1" applyFill="1" applyBorder="1" applyAlignment="1">
      <alignment horizontal="center"/>
    </xf>
    <xf numFmtId="0" fontId="17" fillId="13" borderId="5" xfId="0" applyFont="1" applyFill="1" applyBorder="1" applyAlignment="1">
      <alignment horizontal="left"/>
    </xf>
    <xf numFmtId="14" fontId="4" fillId="13" borderId="5" xfId="0" applyNumberFormat="1" applyFont="1" applyFill="1" applyBorder="1" applyAlignment="1">
      <alignment horizontal="left"/>
    </xf>
    <xf numFmtId="0" fontId="4" fillId="13" borderId="5" xfId="0" applyFont="1" applyFill="1" applyBorder="1" applyAlignment="1">
      <alignment horizontal="center"/>
    </xf>
    <xf numFmtId="0" fontId="4" fillId="14" borderId="5" xfId="0" applyFont="1" applyFill="1" applyBorder="1" applyAlignment="1">
      <alignment horizontal="center" vertical="center"/>
    </xf>
    <xf numFmtId="0" fontId="4" fillId="14" borderId="5" xfId="0" applyFont="1" applyFill="1" applyBorder="1" applyAlignment="1">
      <alignment horizontal="left"/>
    </xf>
    <xf numFmtId="14" fontId="4" fillId="14" borderId="5" xfId="0" applyNumberFormat="1" applyFont="1" applyFill="1" applyBorder="1" applyAlignment="1">
      <alignment horizontal="left"/>
    </xf>
    <xf numFmtId="0" fontId="4" fillId="14" borderId="5" xfId="0" applyFont="1" applyFill="1" applyBorder="1" applyAlignment="1">
      <alignment horizontal="center" vertical="center" wrapText="1"/>
    </xf>
    <xf numFmtId="14" fontId="4" fillId="14" borderId="5" xfId="0" applyNumberFormat="1" applyFont="1" applyFill="1" applyBorder="1"/>
    <xf numFmtId="0" fontId="4" fillId="14" borderId="17" xfId="0" applyFont="1" applyFill="1" applyBorder="1"/>
    <xf numFmtId="0" fontId="21" fillId="14" borderId="17" xfId="0" applyFont="1" applyFill="1" applyBorder="1"/>
    <xf numFmtId="0" fontId="4" fillId="13" borderId="5" xfId="0" applyFont="1" applyFill="1" applyBorder="1" applyAlignment="1">
      <alignment horizontal="center" wrapText="1"/>
    </xf>
    <xf numFmtId="0" fontId="15" fillId="13" borderId="5" xfId="0" applyFont="1" applyFill="1" applyBorder="1"/>
    <xf numFmtId="0" fontId="4" fillId="13" borderId="0" xfId="0" applyFont="1" applyFill="1"/>
    <xf numFmtId="0" fontId="14" fillId="13" borderId="0" xfId="0" applyFont="1" applyFill="1"/>
    <xf numFmtId="0" fontId="3" fillId="0" borderId="5" xfId="0" applyFont="1" applyBorder="1" applyAlignment="1">
      <alignment horizontal="left" wrapText="1"/>
    </xf>
    <xf numFmtId="0" fontId="3" fillId="0" borderId="5" xfId="0" applyFont="1" applyBorder="1" applyAlignment="1">
      <alignment horizontal="center" wrapText="1"/>
    </xf>
    <xf numFmtId="14" fontId="3" fillId="0" borderId="5" xfId="0" applyNumberFormat="1" applyFont="1" applyBorder="1" applyAlignment="1">
      <alignment horizontal="left" wrapText="1"/>
    </xf>
    <xf numFmtId="0" fontId="22" fillId="0" borderId="5" xfId="0" applyFont="1" applyBorder="1"/>
    <xf numFmtId="0" fontId="3" fillId="0" borderId="5" xfId="0" applyFont="1" applyBorder="1" applyAlignment="1">
      <alignment wrapText="1"/>
    </xf>
    <xf numFmtId="14" fontId="3" fillId="0" borderId="5" xfId="0" applyNumberFormat="1" applyFont="1" applyBorder="1" applyAlignment="1">
      <alignment wrapText="1"/>
    </xf>
    <xf numFmtId="0" fontId="23" fillId="0" borderId="0" xfId="0" applyFont="1"/>
    <xf numFmtId="0" fontId="24" fillId="0" borderId="0" xfId="0" applyFont="1"/>
    <xf numFmtId="0" fontId="2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0" fontId="5" fillId="10" borderId="24" xfId="0" applyFont="1" applyFill="1" applyBorder="1" applyAlignment="1">
      <alignment horizontal="center" wrapText="1"/>
    </xf>
    <xf numFmtId="0" fontId="5" fillId="10" borderId="25" xfId="0" applyFont="1" applyFill="1" applyBorder="1" applyAlignment="1">
      <alignment horizontal="center" vertical="center" wrapText="1"/>
    </xf>
    <xf numFmtId="0" fontId="5" fillId="10" borderId="25" xfId="0" applyFont="1" applyFill="1" applyBorder="1" applyAlignment="1">
      <alignment horizontal="left" wrapText="1"/>
    </xf>
    <xf numFmtId="0" fontId="5" fillId="10" borderId="25" xfId="0" applyFont="1" applyFill="1" applyBorder="1" applyAlignment="1">
      <alignment horizontal="center" wrapText="1"/>
    </xf>
    <xf numFmtId="14" fontId="5" fillId="10" borderId="25" xfId="0" applyNumberFormat="1" applyFont="1" applyFill="1" applyBorder="1" applyAlignment="1">
      <alignment horizontal="left" wrapText="1"/>
    </xf>
    <xf numFmtId="0" fontId="5" fillId="10" borderId="25" xfId="0" applyFont="1" applyFill="1" applyBorder="1" applyAlignment="1">
      <alignment wrapText="1"/>
    </xf>
    <xf numFmtId="14" fontId="5" fillId="10" borderId="25" xfId="0" applyNumberFormat="1" applyFont="1" applyFill="1" applyBorder="1" applyAlignment="1">
      <alignment wrapText="1"/>
    </xf>
    <xf numFmtId="0" fontId="5" fillId="10" borderId="26" xfId="0" applyFont="1" applyFill="1" applyBorder="1" applyAlignment="1">
      <alignment horizontal="center" wrapText="1"/>
    </xf>
    <xf numFmtId="0" fontId="5" fillId="10" borderId="27" xfId="0" applyFont="1" applyFill="1" applyBorder="1" applyAlignment="1">
      <alignment horizontal="center" vertical="center" wrapText="1"/>
    </xf>
    <xf numFmtId="0" fontId="5" fillId="10" borderId="27" xfId="0" applyFont="1" applyFill="1" applyBorder="1" applyAlignment="1">
      <alignment horizontal="left" wrapText="1"/>
    </xf>
    <xf numFmtId="0" fontId="5" fillId="10" borderId="27" xfId="0" applyFont="1" applyFill="1" applyBorder="1" applyAlignment="1">
      <alignment horizontal="center" wrapText="1"/>
    </xf>
    <xf numFmtId="14" fontId="5" fillId="10" borderId="27" xfId="0" applyNumberFormat="1" applyFont="1" applyFill="1" applyBorder="1" applyAlignment="1">
      <alignment horizontal="left" wrapText="1"/>
    </xf>
    <xf numFmtId="0" fontId="5" fillId="10" borderId="27" xfId="0" applyFont="1" applyFill="1" applyBorder="1" applyAlignment="1">
      <alignment wrapText="1"/>
    </xf>
    <xf numFmtId="0" fontId="5" fillId="15" borderId="26" xfId="0" applyFont="1" applyFill="1" applyBorder="1" applyAlignment="1">
      <alignment horizontal="center" wrapText="1"/>
    </xf>
    <xf numFmtId="0" fontId="5" fillId="15" borderId="27" xfId="0" applyFont="1" applyFill="1" applyBorder="1" applyAlignment="1">
      <alignment horizontal="center" vertical="center" wrapText="1"/>
    </xf>
    <xf numFmtId="0" fontId="5" fillId="15" borderId="27" xfId="0" applyFont="1" applyFill="1" applyBorder="1" applyAlignment="1">
      <alignment horizontal="left" wrapText="1"/>
    </xf>
    <xf numFmtId="0" fontId="5" fillId="15" borderId="27" xfId="0" applyFont="1" applyFill="1" applyBorder="1" applyAlignment="1">
      <alignment horizontal="center" wrapText="1"/>
    </xf>
    <xf numFmtId="14" fontId="5" fillId="15" borderId="27" xfId="0" applyNumberFormat="1" applyFont="1" applyFill="1" applyBorder="1" applyAlignment="1">
      <alignment horizontal="left" wrapText="1"/>
    </xf>
    <xf numFmtId="0" fontId="5" fillId="15" borderId="27" xfId="0" applyFont="1" applyFill="1" applyBorder="1" applyAlignment="1">
      <alignment wrapText="1"/>
    </xf>
    <xf numFmtId="14" fontId="5" fillId="15" borderId="25" xfId="0" applyNumberFormat="1" applyFont="1" applyFill="1" applyBorder="1" applyAlignment="1">
      <alignment wrapText="1"/>
    </xf>
    <xf numFmtId="0" fontId="5" fillId="15" borderId="17" xfId="0" applyFont="1" applyFill="1" applyBorder="1"/>
    <xf numFmtId="0" fontId="5" fillId="12" borderId="5" xfId="0" applyFont="1" applyFill="1" applyBorder="1" applyAlignment="1">
      <alignment horizontal="center" wrapText="1"/>
    </xf>
    <xf numFmtId="0" fontId="5" fillId="12" borderId="5" xfId="0" applyFont="1" applyFill="1" applyBorder="1" applyAlignment="1">
      <alignment horizontal="center" vertical="center" wrapText="1"/>
    </xf>
    <xf numFmtId="0" fontId="5" fillId="12" borderId="5" xfId="0" applyFont="1" applyFill="1" applyBorder="1" applyAlignment="1">
      <alignment horizontal="left" wrapText="1"/>
    </xf>
    <xf numFmtId="14" fontId="5" fillId="12" borderId="5" xfId="0" applyNumberFormat="1" applyFont="1" applyFill="1" applyBorder="1" applyAlignment="1">
      <alignment horizontal="left" wrapText="1"/>
    </xf>
    <xf numFmtId="0" fontId="5" fillId="12" borderId="5" xfId="0" applyFont="1" applyFill="1" applyBorder="1" applyAlignment="1">
      <alignment wrapText="1"/>
    </xf>
    <xf numFmtId="14" fontId="5" fillId="12" borderId="5" xfId="0" applyNumberFormat="1" applyFont="1" applyFill="1" applyBorder="1" applyAlignment="1">
      <alignment wrapText="1"/>
    </xf>
    <xf numFmtId="0" fontId="5" fillId="12" borderId="17" xfId="0" applyFont="1" applyFill="1" applyBorder="1"/>
    <xf numFmtId="0" fontId="5" fillId="15" borderId="5" xfId="0" applyFont="1" applyFill="1" applyBorder="1" applyAlignment="1">
      <alignment horizontal="center" wrapText="1"/>
    </xf>
    <xf numFmtId="0" fontId="5" fillId="15" borderId="5" xfId="0" applyFont="1" applyFill="1" applyBorder="1" applyAlignment="1">
      <alignment horizontal="center" vertical="center" wrapText="1"/>
    </xf>
    <xf numFmtId="0" fontId="5" fillId="15" borderId="5" xfId="0" applyFont="1" applyFill="1" applyBorder="1" applyAlignment="1">
      <alignment horizontal="left" wrapText="1"/>
    </xf>
    <xf numFmtId="14" fontId="5" fillId="15" borderId="5" xfId="0" applyNumberFormat="1" applyFont="1" applyFill="1" applyBorder="1" applyAlignment="1">
      <alignment horizontal="left" wrapText="1"/>
    </xf>
    <xf numFmtId="0" fontId="5" fillId="15" borderId="5" xfId="0" applyFont="1" applyFill="1" applyBorder="1" applyAlignment="1">
      <alignment wrapText="1"/>
    </xf>
    <xf numFmtId="14" fontId="5" fillId="15" borderId="5" xfId="0" applyNumberFormat="1" applyFont="1" applyFill="1" applyBorder="1" applyAlignment="1">
      <alignment wrapText="1"/>
    </xf>
    <xf numFmtId="0" fontId="5" fillId="12" borderId="5" xfId="0" applyFont="1" applyFill="1" applyBorder="1" applyAlignment="1">
      <alignment horizontal="left" vertical="center" wrapText="1"/>
    </xf>
    <xf numFmtId="14" fontId="5" fillId="12" borderId="5" xfId="0" applyNumberFormat="1" applyFont="1" applyFill="1" applyBorder="1" applyAlignment="1">
      <alignment horizontal="left" vertical="center" wrapText="1"/>
    </xf>
    <xf numFmtId="0" fontId="5" fillId="12" borderId="5" xfId="0" applyFont="1" applyFill="1" applyBorder="1" applyAlignment="1">
      <alignment vertical="center" wrapText="1"/>
    </xf>
    <xf numFmtId="0" fontId="5" fillId="12" borderId="17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wrapText="1"/>
    </xf>
    <xf numFmtId="0" fontId="5" fillId="8" borderId="5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left"/>
    </xf>
    <xf numFmtId="0" fontId="5" fillId="8" borderId="5" xfId="0" applyFont="1" applyFill="1" applyBorder="1" applyAlignment="1">
      <alignment horizontal="center"/>
    </xf>
    <xf numFmtId="14" fontId="5" fillId="8" borderId="5" xfId="0" applyNumberFormat="1" applyFont="1" applyFill="1" applyBorder="1" applyAlignment="1">
      <alignment horizontal="left"/>
    </xf>
    <xf numFmtId="0" fontId="5" fillId="8" borderId="5" xfId="0" applyFont="1" applyFill="1" applyBorder="1"/>
    <xf numFmtId="14" fontId="5" fillId="8" borderId="5" xfId="0" applyNumberFormat="1" applyFont="1" applyFill="1" applyBorder="1" applyAlignment="1">
      <alignment wrapText="1"/>
    </xf>
    <xf numFmtId="0" fontId="5" fillId="8" borderId="17" xfId="0" applyFont="1" applyFill="1" applyBorder="1"/>
    <xf numFmtId="0" fontId="5" fillId="8" borderId="5" xfId="0" applyFont="1" applyFill="1" applyBorder="1" applyAlignment="1">
      <alignment horizontal="left" wrapText="1"/>
    </xf>
    <xf numFmtId="14" fontId="5" fillId="8" borderId="5" xfId="0" applyNumberFormat="1" applyFont="1" applyFill="1" applyBorder="1" applyAlignment="1">
      <alignment horizontal="left" wrapText="1"/>
    </xf>
    <xf numFmtId="0" fontId="5" fillId="8" borderId="5" xfId="0" applyFont="1" applyFill="1" applyBorder="1" applyAlignment="1">
      <alignment wrapText="1"/>
    </xf>
    <xf numFmtId="0" fontId="5" fillId="8" borderId="5" xfId="0" applyFont="1" applyFill="1" applyBorder="1" applyAlignment="1">
      <alignment horizontal="left" vertical="center" wrapText="1"/>
    </xf>
    <xf numFmtId="0" fontId="5" fillId="0" borderId="5" xfId="0" applyFont="1" applyBorder="1" applyAlignment="1">
      <alignment horizontal="center" wrapText="1"/>
    </xf>
    <xf numFmtId="0" fontId="5" fillId="10" borderId="5" xfId="0" applyFont="1" applyFill="1" applyBorder="1" applyAlignment="1">
      <alignment horizontal="center" vertical="center"/>
    </xf>
    <xf numFmtId="0" fontId="5" fillId="10" borderId="5" xfId="0" applyFont="1" applyFill="1" applyBorder="1" applyAlignment="1">
      <alignment horizontal="left"/>
    </xf>
    <xf numFmtId="0" fontId="5" fillId="10" borderId="5" xfId="0" applyFont="1" applyFill="1" applyBorder="1" applyAlignment="1">
      <alignment horizontal="center"/>
    </xf>
    <xf numFmtId="14" fontId="5" fillId="10" borderId="5" xfId="0" applyNumberFormat="1" applyFont="1" applyFill="1" applyBorder="1" applyAlignment="1">
      <alignment horizontal="left"/>
    </xf>
    <xf numFmtId="0" fontId="5" fillId="10" borderId="5" xfId="0" applyFont="1" applyFill="1" applyBorder="1"/>
    <xf numFmtId="0" fontId="5" fillId="10" borderId="5" xfId="0" applyFont="1" applyFill="1" applyBorder="1" applyAlignment="1">
      <alignment horizontal="center" vertical="center" wrapText="1"/>
    </xf>
    <xf numFmtId="14" fontId="5" fillId="10" borderId="5" xfId="0" applyNumberFormat="1" applyFont="1" applyFill="1" applyBorder="1"/>
    <xf numFmtId="0" fontId="5" fillId="10" borderId="17" xfId="0" applyFont="1" applyFill="1" applyBorder="1"/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wrapText="1"/>
    </xf>
    <xf numFmtId="14" fontId="5" fillId="0" borderId="5" xfId="0" applyNumberFormat="1" applyFont="1" applyBorder="1" applyAlignment="1">
      <alignment horizontal="left" wrapText="1"/>
    </xf>
    <xf numFmtId="0" fontId="5" fillId="0" borderId="5" xfId="0" applyFont="1" applyBorder="1"/>
    <xf numFmtId="0" fontId="5" fillId="0" borderId="5" xfId="0" applyFont="1" applyBorder="1" applyAlignment="1">
      <alignment wrapText="1"/>
    </xf>
    <xf numFmtId="14" fontId="5" fillId="0" borderId="5" xfId="0" applyNumberFormat="1" applyFont="1" applyBorder="1" applyAlignment="1">
      <alignment wrapText="1"/>
    </xf>
    <xf numFmtId="0" fontId="5" fillId="0" borderId="5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/>
    </xf>
    <xf numFmtId="0" fontId="5" fillId="0" borderId="5" xfId="0" applyFont="1" applyBorder="1" applyAlignment="1">
      <alignment horizontal="center"/>
    </xf>
    <xf numFmtId="14" fontId="5" fillId="0" borderId="5" xfId="0" applyNumberFormat="1" applyFont="1" applyBorder="1" applyAlignment="1">
      <alignment horizontal="left"/>
    </xf>
    <xf numFmtId="14" fontId="5" fillId="0" borderId="5" xfId="0" applyNumberFormat="1" applyFont="1" applyBorder="1"/>
    <xf numFmtId="0" fontId="5" fillId="10" borderId="5" xfId="0" applyFont="1" applyFill="1" applyBorder="1" applyAlignment="1">
      <alignment horizontal="center" wrapText="1"/>
    </xf>
    <xf numFmtId="0" fontId="5" fillId="10" borderId="17" xfId="0" applyFont="1" applyFill="1" applyBorder="1" applyAlignment="1">
      <alignment horizontal="center" wrapText="1"/>
    </xf>
    <xf numFmtId="0" fontId="5" fillId="10" borderId="5" xfId="0" applyFont="1" applyFill="1" applyBorder="1" applyAlignment="1">
      <alignment horizontal="left" wrapText="1"/>
    </xf>
    <xf numFmtId="14" fontId="5" fillId="10" borderId="5" xfId="0" applyNumberFormat="1" applyFont="1" applyFill="1" applyBorder="1" applyAlignment="1">
      <alignment horizontal="left" wrapText="1"/>
    </xf>
    <xf numFmtId="0" fontId="5" fillId="10" borderId="5" xfId="0" applyFont="1" applyFill="1" applyBorder="1" applyAlignment="1">
      <alignment wrapText="1"/>
    </xf>
    <xf numFmtId="0" fontId="25" fillId="10" borderId="5" xfId="0" applyFont="1" applyFill="1" applyBorder="1" applyAlignment="1">
      <alignment wrapText="1"/>
    </xf>
    <xf numFmtId="0" fontId="5" fillId="16" borderId="5" xfId="0" applyFont="1" applyFill="1" applyBorder="1" applyAlignment="1">
      <alignment horizontal="center" wrapText="1"/>
    </xf>
    <xf numFmtId="0" fontId="5" fillId="16" borderId="5" xfId="0" applyFont="1" applyFill="1" applyBorder="1" applyAlignment="1">
      <alignment horizontal="center" vertical="center" wrapText="1"/>
    </xf>
    <xf numFmtId="0" fontId="5" fillId="16" borderId="5" xfId="0" applyFont="1" applyFill="1" applyBorder="1" applyAlignment="1">
      <alignment horizontal="left" vertical="center" wrapText="1"/>
    </xf>
    <xf numFmtId="14" fontId="5" fillId="16" borderId="5" xfId="0" applyNumberFormat="1" applyFont="1" applyFill="1" applyBorder="1" applyAlignment="1">
      <alignment horizontal="left" wrapText="1"/>
    </xf>
    <xf numFmtId="0" fontId="5" fillId="16" borderId="5" xfId="0" applyFont="1" applyFill="1" applyBorder="1" applyAlignment="1">
      <alignment wrapText="1"/>
    </xf>
    <xf numFmtId="0" fontId="5" fillId="16" borderId="5" xfId="0" applyFont="1" applyFill="1" applyBorder="1" applyAlignment="1">
      <alignment horizontal="left" wrapText="1"/>
    </xf>
    <xf numFmtId="0" fontId="5" fillId="16" borderId="17" xfId="0" applyFont="1" applyFill="1" applyBorder="1"/>
    <xf numFmtId="0" fontId="5" fillId="0" borderId="5" xfId="0" applyFont="1" applyBorder="1" applyAlignment="1">
      <alignment vertical="center" wrapText="1"/>
    </xf>
    <xf numFmtId="0" fontId="5" fillId="17" borderId="5" xfId="0" applyFont="1" applyFill="1" applyBorder="1" applyAlignment="1">
      <alignment horizontal="center" wrapText="1"/>
    </xf>
    <xf numFmtId="0" fontId="5" fillId="17" borderId="5" xfId="0" applyFont="1" applyFill="1" applyBorder="1" applyAlignment="1">
      <alignment horizontal="center" vertical="center"/>
    </xf>
    <xf numFmtId="0" fontId="5" fillId="17" borderId="5" xfId="0" applyFont="1" applyFill="1" applyBorder="1" applyAlignment="1">
      <alignment horizontal="left"/>
    </xf>
    <xf numFmtId="0" fontId="5" fillId="17" borderId="5" xfId="0" applyFont="1" applyFill="1" applyBorder="1" applyAlignment="1">
      <alignment horizontal="center"/>
    </xf>
    <xf numFmtId="14" fontId="5" fillId="17" borderId="5" xfId="0" applyNumberFormat="1" applyFont="1" applyFill="1" applyBorder="1" applyAlignment="1">
      <alignment horizontal="left"/>
    </xf>
    <xf numFmtId="0" fontId="5" fillId="17" borderId="5" xfId="0" applyFont="1" applyFill="1" applyBorder="1"/>
    <xf numFmtId="0" fontId="5" fillId="17" borderId="5" xfId="0" applyFont="1" applyFill="1" applyBorder="1" applyAlignment="1">
      <alignment horizontal="center" vertical="center" wrapText="1"/>
    </xf>
    <xf numFmtId="14" fontId="5" fillId="17" borderId="5" xfId="0" applyNumberFormat="1" applyFont="1" applyFill="1" applyBorder="1"/>
    <xf numFmtId="0" fontId="5" fillId="17" borderId="5" xfId="0" applyFont="1" applyFill="1" applyBorder="1" applyAlignment="1">
      <alignment horizontal="left" wrapText="1"/>
    </xf>
    <xf numFmtId="14" fontId="5" fillId="17" borderId="5" xfId="0" applyNumberFormat="1" applyFont="1" applyFill="1" applyBorder="1" applyAlignment="1">
      <alignment horizontal="left" wrapText="1"/>
    </xf>
    <xf numFmtId="0" fontId="5" fillId="17" borderId="5" xfId="0" applyFont="1" applyFill="1" applyBorder="1" applyAlignment="1">
      <alignment wrapText="1"/>
    </xf>
    <xf numFmtId="0" fontId="5" fillId="0" borderId="5" xfId="0" applyFont="1" applyBorder="1" applyAlignment="1">
      <alignment horizontal="center" vertical="center"/>
    </xf>
    <xf numFmtId="0" fontId="26" fillId="0" borderId="5" xfId="0" applyFont="1" applyBorder="1" applyAlignment="1">
      <alignment wrapText="1"/>
    </xf>
    <xf numFmtId="0" fontId="5" fillId="15" borderId="5" xfId="0" applyFont="1" applyFill="1" applyBorder="1" applyAlignment="1">
      <alignment horizontal="center" vertical="center"/>
    </xf>
    <xf numFmtId="0" fontId="5" fillId="15" borderId="5" xfId="0" applyFont="1" applyFill="1" applyBorder="1" applyAlignment="1">
      <alignment horizontal="left"/>
    </xf>
    <xf numFmtId="0" fontId="5" fillId="15" borderId="5" xfId="0" applyFont="1" applyFill="1" applyBorder="1" applyAlignment="1">
      <alignment horizontal="center"/>
    </xf>
    <xf numFmtId="14" fontId="5" fillId="15" borderId="5" xfId="0" applyNumberFormat="1" applyFont="1" applyFill="1" applyBorder="1" applyAlignment="1">
      <alignment horizontal="left"/>
    </xf>
    <xf numFmtId="0" fontId="5" fillId="15" borderId="5" xfId="0" applyFont="1" applyFill="1" applyBorder="1"/>
    <xf numFmtId="14" fontId="5" fillId="15" borderId="5" xfId="0" applyNumberFormat="1" applyFont="1" applyFill="1" applyBorder="1"/>
    <xf numFmtId="0" fontId="5" fillId="8" borderId="5" xfId="0" applyFont="1" applyFill="1" applyBorder="1" applyAlignment="1">
      <alignment horizontal="center" vertical="center"/>
    </xf>
    <xf numFmtId="0" fontId="5" fillId="14" borderId="5" xfId="0" applyFont="1" applyFill="1" applyBorder="1" applyAlignment="1">
      <alignment horizontal="center" wrapText="1"/>
    </xf>
    <xf numFmtId="0" fontId="5" fillId="14" borderId="5" xfId="0" applyFont="1" applyFill="1" applyBorder="1" applyAlignment="1">
      <alignment horizontal="center" vertical="center" wrapText="1"/>
    </xf>
    <xf numFmtId="0" fontId="5" fillId="14" borderId="5" xfId="0" applyFont="1" applyFill="1" applyBorder="1" applyAlignment="1">
      <alignment horizontal="left" wrapText="1"/>
    </xf>
    <xf numFmtId="14" fontId="5" fillId="14" borderId="5" xfId="0" applyNumberFormat="1" applyFont="1" applyFill="1" applyBorder="1" applyAlignment="1">
      <alignment horizontal="left" wrapText="1"/>
    </xf>
    <xf numFmtId="0" fontId="5" fillId="14" borderId="5" xfId="0" applyFont="1" applyFill="1" applyBorder="1"/>
    <xf numFmtId="0" fontId="5" fillId="14" borderId="5" xfId="0" applyFont="1" applyFill="1" applyBorder="1" applyAlignment="1">
      <alignment wrapText="1"/>
    </xf>
    <xf numFmtId="14" fontId="5" fillId="14" borderId="5" xfId="0" applyNumberFormat="1" applyFont="1" applyFill="1" applyBorder="1"/>
    <xf numFmtId="0" fontId="5" fillId="14" borderId="17" xfId="0" applyFont="1" applyFill="1" applyBorder="1"/>
    <xf numFmtId="0" fontId="5" fillId="0" borderId="28" xfId="0" applyFont="1" applyBorder="1"/>
    <xf numFmtId="0" fontId="5" fillId="18" borderId="5" xfId="0" applyFont="1" applyFill="1" applyBorder="1" applyAlignment="1">
      <alignment horizontal="center" wrapText="1"/>
    </xf>
    <xf numFmtId="0" fontId="5" fillId="18" borderId="5" xfId="0" applyFont="1" applyFill="1" applyBorder="1" applyAlignment="1">
      <alignment horizontal="center" vertical="center" wrapText="1"/>
    </xf>
    <xf numFmtId="0" fontId="5" fillId="18" borderId="5" xfId="0" applyFont="1" applyFill="1" applyBorder="1" applyAlignment="1">
      <alignment horizontal="left"/>
    </xf>
    <xf numFmtId="0" fontId="5" fillId="18" borderId="5" xfId="0" applyFont="1" applyFill="1" applyBorder="1" applyAlignment="1">
      <alignment horizontal="center"/>
    </xf>
    <xf numFmtId="14" fontId="5" fillId="18" borderId="5" xfId="0" applyNumberFormat="1" applyFont="1" applyFill="1" applyBorder="1" applyAlignment="1">
      <alignment horizontal="left"/>
    </xf>
    <xf numFmtId="0" fontId="5" fillId="18" borderId="5" xfId="0" applyFont="1" applyFill="1" applyBorder="1"/>
    <xf numFmtId="14" fontId="5" fillId="18" borderId="5" xfId="0" applyNumberFormat="1" applyFont="1" applyFill="1" applyBorder="1"/>
    <xf numFmtId="0" fontId="5" fillId="3" borderId="5" xfId="0" applyFont="1" applyFill="1" applyBorder="1" applyAlignment="1">
      <alignment horizont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center"/>
    </xf>
    <xf numFmtId="14" fontId="5" fillId="3" borderId="5" xfId="0" applyNumberFormat="1" applyFont="1" applyFill="1" applyBorder="1" applyAlignment="1">
      <alignment horizontal="left"/>
    </xf>
    <xf numFmtId="0" fontId="5" fillId="3" borderId="5" xfId="0" applyFont="1" applyFill="1" applyBorder="1"/>
    <xf numFmtId="0" fontId="5" fillId="3" borderId="5" xfId="0" applyFont="1" applyFill="1" applyBorder="1" applyAlignment="1">
      <alignment horizontal="right"/>
    </xf>
    <xf numFmtId="14" fontId="5" fillId="3" borderId="5" xfId="0" applyNumberFormat="1" applyFont="1" applyFill="1" applyBorder="1"/>
    <xf numFmtId="0" fontId="5" fillId="3" borderId="17" xfId="0" applyFont="1" applyFill="1" applyBorder="1"/>
    <xf numFmtId="0" fontId="5" fillId="3" borderId="5" xfId="0" applyFont="1" applyFill="1" applyBorder="1" applyAlignment="1">
      <alignment horizontal="left" wrapText="1"/>
    </xf>
    <xf numFmtId="14" fontId="5" fillId="3" borderId="5" xfId="0" applyNumberFormat="1" applyFont="1" applyFill="1" applyBorder="1" applyAlignment="1">
      <alignment horizontal="left" wrapText="1"/>
    </xf>
    <xf numFmtId="0" fontId="5" fillId="3" borderId="5" xfId="0" applyFont="1" applyFill="1" applyBorder="1" applyAlignment="1">
      <alignment wrapText="1"/>
    </xf>
    <xf numFmtId="0" fontId="5" fillId="3" borderId="5" xfId="0" applyFont="1" applyFill="1" applyBorder="1" applyAlignment="1">
      <alignment horizontal="right" wrapText="1"/>
    </xf>
    <xf numFmtId="0" fontId="23" fillId="3" borderId="17" xfId="0" applyFont="1" applyFill="1" applyBorder="1"/>
    <xf numFmtId="0" fontId="5" fillId="19" borderId="5" xfId="0" applyFont="1" applyFill="1" applyBorder="1" applyAlignment="1">
      <alignment horizontal="center" vertical="center" wrapText="1"/>
    </xf>
    <xf numFmtId="0" fontId="5" fillId="19" borderId="5" xfId="0" applyFont="1" applyFill="1" applyBorder="1" applyAlignment="1">
      <alignment horizontal="left"/>
    </xf>
    <xf numFmtId="0" fontId="5" fillId="19" borderId="5" xfId="0" applyFont="1" applyFill="1" applyBorder="1" applyAlignment="1">
      <alignment horizontal="center"/>
    </xf>
    <xf numFmtId="14" fontId="5" fillId="19" borderId="5" xfId="0" applyNumberFormat="1" applyFont="1" applyFill="1" applyBorder="1" applyAlignment="1">
      <alignment horizontal="left"/>
    </xf>
    <xf numFmtId="0" fontId="5" fillId="19" borderId="5" xfId="0" applyFont="1" applyFill="1" applyBorder="1"/>
    <xf numFmtId="0" fontId="5" fillId="19" borderId="5" xfId="0" applyFont="1" applyFill="1" applyBorder="1" applyAlignment="1">
      <alignment horizontal="right"/>
    </xf>
    <xf numFmtId="14" fontId="5" fillId="19" borderId="5" xfId="0" applyNumberFormat="1" applyFont="1" applyFill="1" applyBorder="1"/>
    <xf numFmtId="0" fontId="4" fillId="19" borderId="5" xfId="0" applyFont="1" applyFill="1" applyBorder="1" applyAlignment="1">
      <alignment horizontal="center" vertical="center" wrapText="1"/>
    </xf>
    <xf numFmtId="0" fontId="4" fillId="19" borderId="5" xfId="0" applyFont="1" applyFill="1" applyBorder="1" applyAlignment="1">
      <alignment horizontal="left" wrapText="1"/>
    </xf>
    <xf numFmtId="0" fontId="4" fillId="19" borderId="5" xfId="0" applyFont="1" applyFill="1" applyBorder="1" applyAlignment="1">
      <alignment horizontal="center" wrapText="1"/>
    </xf>
    <xf numFmtId="14" fontId="4" fillId="19" borderId="5" xfId="0" applyNumberFormat="1" applyFont="1" applyFill="1" applyBorder="1" applyAlignment="1">
      <alignment horizontal="left" wrapText="1"/>
    </xf>
    <xf numFmtId="0" fontId="4" fillId="19" borderId="5" xfId="0" applyFont="1" applyFill="1" applyBorder="1" applyAlignment="1">
      <alignment wrapText="1"/>
    </xf>
    <xf numFmtId="0" fontId="4" fillId="19" borderId="5" xfId="0" applyFont="1" applyFill="1" applyBorder="1" applyAlignment="1">
      <alignment horizontal="right" wrapText="1"/>
    </xf>
    <xf numFmtId="0" fontId="23" fillId="10" borderId="17" xfId="0" applyFont="1" applyFill="1" applyBorder="1"/>
    <xf numFmtId="0" fontId="4" fillId="19" borderId="17" xfId="0" applyFont="1" applyFill="1" applyBorder="1" applyAlignment="1">
      <alignment horizontal="center" vertical="center"/>
    </xf>
    <xf numFmtId="0" fontId="4" fillId="19" borderId="17" xfId="0" applyFont="1" applyFill="1" applyBorder="1" applyAlignment="1">
      <alignment horizontal="left" vertical="center"/>
    </xf>
    <xf numFmtId="0" fontId="4" fillId="19" borderId="17" xfId="0" applyFont="1" applyFill="1" applyBorder="1" applyAlignment="1">
      <alignment vertical="center"/>
    </xf>
    <xf numFmtId="0" fontId="4" fillId="19" borderId="5" xfId="0" applyFont="1" applyFill="1" applyBorder="1"/>
    <xf numFmtId="0" fontId="4" fillId="19" borderId="5" xfId="0" applyFont="1" applyFill="1" applyBorder="1" applyAlignment="1">
      <alignment horizontal="left"/>
    </xf>
    <xf numFmtId="0" fontId="21" fillId="10" borderId="17" xfId="0" applyFont="1" applyFill="1" applyBorder="1"/>
    <xf numFmtId="0" fontId="4" fillId="2" borderId="5" xfId="0" applyFont="1" applyFill="1" applyBorder="1" applyAlignment="1">
      <alignment horizontal="center" wrapText="1"/>
    </xf>
    <xf numFmtId="0" fontId="16" fillId="2" borderId="5" xfId="0" applyFont="1" applyFill="1" applyBorder="1" applyAlignment="1">
      <alignment horizontal="center" vertical="center"/>
    </xf>
    <xf numFmtId="0" fontId="16" fillId="2" borderId="5" xfId="0" applyFont="1" applyFill="1" applyBorder="1"/>
    <xf numFmtId="0" fontId="16" fillId="2" borderId="5" xfId="0" applyFont="1" applyFill="1" applyBorder="1" applyAlignment="1">
      <alignment horizontal="center"/>
    </xf>
    <xf numFmtId="14" fontId="16" fillId="2" borderId="5" xfId="0" applyNumberFormat="1" applyFont="1" applyFill="1" applyBorder="1"/>
    <xf numFmtId="0" fontId="16" fillId="2" borderId="5" xfId="0" applyFont="1" applyFill="1" applyBorder="1" applyAlignment="1">
      <alignment horizontal="right"/>
    </xf>
    <xf numFmtId="0" fontId="16" fillId="2" borderId="5" xfId="0" applyFont="1" applyFill="1" applyBorder="1" applyAlignment="1">
      <alignment horizontal="left"/>
    </xf>
    <xf numFmtId="0" fontId="27" fillId="10" borderId="17" xfId="0" applyFont="1" applyFill="1" applyBorder="1"/>
    <xf numFmtId="0" fontId="13" fillId="8" borderId="5" xfId="0" applyFont="1" applyFill="1" applyBorder="1" applyAlignment="1">
      <alignment horizontal="center" vertical="center" wrapText="1"/>
    </xf>
    <xf numFmtId="0" fontId="13" fillId="8" borderId="5" xfId="0" applyFont="1" applyFill="1" applyBorder="1" applyAlignment="1">
      <alignment horizontal="left"/>
    </xf>
    <xf numFmtId="14" fontId="13" fillId="8" borderId="5" xfId="0" applyNumberFormat="1" applyFont="1" applyFill="1" applyBorder="1" applyAlignment="1">
      <alignment horizontal="left"/>
    </xf>
    <xf numFmtId="0" fontId="13" fillId="8" borderId="5" xfId="0" applyFont="1" applyFill="1" applyBorder="1"/>
    <xf numFmtId="0" fontId="13" fillId="8" borderId="5" xfId="0" applyFont="1" applyFill="1" applyBorder="1" applyAlignment="1">
      <alignment horizontal="right"/>
    </xf>
    <xf numFmtId="14" fontId="13" fillId="8" borderId="5" xfId="0" applyNumberFormat="1" applyFont="1" applyFill="1" applyBorder="1"/>
    <xf numFmtId="0" fontId="13" fillId="8" borderId="17" xfId="0" applyFont="1" applyFill="1" applyBorder="1"/>
    <xf numFmtId="0" fontId="13" fillId="8" borderId="5" xfId="0" applyFont="1" applyFill="1" applyBorder="1" applyAlignment="1">
      <alignment horizontal="center" vertical="center"/>
    </xf>
    <xf numFmtId="0" fontId="13" fillId="8" borderId="5" xfId="0" applyFont="1" applyFill="1" applyBorder="1" applyAlignment="1">
      <alignment horizontal="left" wrapText="1"/>
    </xf>
    <xf numFmtId="0" fontId="13" fillId="8" borderId="5" xfId="0" applyFont="1" applyFill="1" applyBorder="1" applyAlignment="1">
      <alignment horizontal="center" wrapText="1"/>
    </xf>
    <xf numFmtId="14" fontId="13" fillId="8" borderId="5" xfId="0" applyNumberFormat="1" applyFont="1" applyFill="1" applyBorder="1" applyAlignment="1">
      <alignment horizontal="left" wrapText="1"/>
    </xf>
    <xf numFmtId="0" fontId="13" fillId="8" borderId="5" xfId="0" applyFont="1" applyFill="1" applyBorder="1" applyAlignment="1">
      <alignment wrapText="1"/>
    </xf>
    <xf numFmtId="0" fontId="4" fillId="0" borderId="18" xfId="0" applyFont="1" applyBorder="1" applyAlignment="1">
      <alignment horizontal="center" wrapText="1"/>
    </xf>
    <xf numFmtId="0" fontId="13" fillId="8" borderId="19" xfId="0" applyFont="1" applyFill="1" applyBorder="1" applyAlignment="1">
      <alignment horizontal="center" vertical="center" wrapText="1"/>
    </xf>
    <xf numFmtId="0" fontId="13" fillId="8" borderId="19" xfId="0" applyFont="1" applyFill="1" applyBorder="1" applyAlignment="1">
      <alignment horizontal="left" wrapText="1"/>
    </xf>
    <xf numFmtId="0" fontId="13" fillId="8" borderId="19" xfId="0" applyFont="1" applyFill="1" applyBorder="1" applyAlignment="1">
      <alignment horizontal="center" wrapText="1"/>
    </xf>
    <xf numFmtId="14" fontId="13" fillId="8" borderId="19" xfId="0" applyNumberFormat="1" applyFont="1" applyFill="1" applyBorder="1" applyAlignment="1">
      <alignment horizontal="left" wrapText="1"/>
    </xf>
    <xf numFmtId="0" fontId="13" fillId="8" borderId="19" xfId="0" applyFont="1" applyFill="1" applyBorder="1"/>
    <xf numFmtId="0" fontId="13" fillId="8" borderId="19" xfId="0" applyFont="1" applyFill="1" applyBorder="1" applyAlignment="1">
      <alignment horizontal="right"/>
    </xf>
    <xf numFmtId="0" fontId="13" fillId="8" borderId="19" xfId="0" applyFont="1" applyFill="1" applyBorder="1" applyAlignment="1">
      <alignment wrapText="1"/>
    </xf>
    <xf numFmtId="14" fontId="13" fillId="8" borderId="19" xfId="0" applyNumberFormat="1" applyFont="1" applyFill="1" applyBorder="1"/>
    <xf numFmtId="0" fontId="13" fillId="0" borderId="5" xfId="0" applyFont="1" applyBorder="1" applyAlignment="1">
      <alignment horizontal="center" vertical="center" wrapText="1"/>
    </xf>
    <xf numFmtId="0" fontId="13" fillId="0" borderId="5" xfId="0" applyFont="1" applyBorder="1" applyAlignment="1">
      <alignment wrapText="1"/>
    </xf>
    <xf numFmtId="0" fontId="13" fillId="0" borderId="5" xfId="0" applyFont="1" applyBorder="1" applyAlignment="1">
      <alignment horizontal="center" wrapText="1"/>
    </xf>
    <xf numFmtId="0" fontId="13" fillId="0" borderId="5" xfId="0" applyFont="1" applyBorder="1" applyAlignment="1">
      <alignment horizontal="right" wrapText="1"/>
    </xf>
    <xf numFmtId="14" fontId="13" fillId="0" borderId="5" xfId="0" applyNumberFormat="1" applyFont="1" applyBorder="1" applyAlignment="1">
      <alignment horizontal="center" wrapText="1"/>
    </xf>
    <xf numFmtId="0" fontId="13" fillId="0" borderId="5" xfId="0" applyFont="1" applyBorder="1"/>
    <xf numFmtId="0" fontId="13" fillId="0" borderId="5" xfId="0" applyFont="1" applyBorder="1" applyAlignment="1">
      <alignment horizontal="left"/>
    </xf>
    <xf numFmtId="14" fontId="13" fillId="0" borderId="5" xfId="0" applyNumberFormat="1" applyFont="1" applyBorder="1"/>
    <xf numFmtId="0" fontId="28" fillId="0" borderId="0" xfId="0" applyFont="1"/>
    <xf numFmtId="0" fontId="13" fillId="0" borderId="5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/>
    </xf>
    <xf numFmtId="14" fontId="13" fillId="0" borderId="5" xfId="0" applyNumberFormat="1" applyFont="1" applyBorder="1" applyAlignment="1">
      <alignment horizontal="left"/>
    </xf>
    <xf numFmtId="14" fontId="13" fillId="0" borderId="5" xfId="0" applyNumberFormat="1" applyFont="1" applyBorder="1" applyAlignment="1">
      <alignment horizontal="center"/>
    </xf>
    <xf numFmtId="0" fontId="13" fillId="0" borderId="5" xfId="0" applyFont="1" applyBorder="1" applyAlignment="1">
      <alignment horizontal="right"/>
    </xf>
    <xf numFmtId="14" fontId="13" fillId="0" borderId="5" xfId="0" applyNumberFormat="1" applyFont="1" applyBorder="1" applyAlignment="1">
      <alignment wrapText="1"/>
    </xf>
    <xf numFmtId="14" fontId="13" fillId="8" borderId="5" xfId="0" applyNumberFormat="1" applyFont="1" applyFill="1" applyBorder="1" applyAlignment="1">
      <alignment horizontal="center"/>
    </xf>
    <xf numFmtId="0" fontId="28" fillId="8" borderId="17" xfId="0" applyFont="1" applyFill="1" applyBorder="1"/>
    <xf numFmtId="0" fontId="4" fillId="10" borderId="5" xfId="0" applyFont="1" applyFill="1" applyBorder="1" applyAlignment="1">
      <alignment horizontal="right"/>
    </xf>
    <xf numFmtId="0" fontId="29" fillId="10" borderId="5" xfId="0" applyFont="1" applyFill="1" applyBorder="1"/>
    <xf numFmtId="14" fontId="4" fillId="10" borderId="5" xfId="0" applyNumberFormat="1" applyFont="1" applyFill="1" applyBorder="1" applyAlignment="1">
      <alignment horizontal="center"/>
    </xf>
    <xf numFmtId="0" fontId="16" fillId="10" borderId="17" xfId="0" applyFont="1" applyFill="1" applyBorder="1"/>
    <xf numFmtId="0" fontId="4" fillId="10" borderId="5" xfId="0" applyFont="1" applyFill="1" applyBorder="1" applyAlignment="1">
      <alignment wrapText="1"/>
    </xf>
    <xf numFmtId="14" fontId="4" fillId="10" borderId="5" xfId="0" applyNumberFormat="1" applyFont="1" applyFill="1" applyBorder="1" applyAlignment="1">
      <alignment wrapText="1"/>
    </xf>
    <xf numFmtId="0" fontId="4" fillId="10" borderId="5" xfId="0" applyFont="1" applyFill="1" applyBorder="1" applyAlignment="1">
      <alignment horizontal="right" wrapText="1"/>
    </xf>
    <xf numFmtId="14" fontId="4" fillId="10" borderId="5" xfId="0" applyNumberFormat="1" applyFont="1" applyFill="1" applyBorder="1" applyAlignment="1">
      <alignment horizontal="center" wrapText="1"/>
    </xf>
    <xf numFmtId="0" fontId="4" fillId="17" borderId="5" xfId="0" applyFont="1" applyFill="1" applyBorder="1" applyAlignment="1">
      <alignment horizontal="center" wrapText="1"/>
    </xf>
    <xf numFmtId="0" fontId="4" fillId="17" borderId="5" xfId="0" applyFont="1" applyFill="1" applyBorder="1" applyAlignment="1">
      <alignment horizontal="center" vertical="center"/>
    </xf>
    <xf numFmtId="0" fontId="4" fillId="17" borderId="5" xfId="0" applyFont="1" applyFill="1" applyBorder="1"/>
    <xf numFmtId="0" fontId="4" fillId="17" borderId="5" xfId="0" applyFont="1" applyFill="1" applyBorder="1" applyAlignment="1">
      <alignment horizontal="center"/>
    </xf>
    <xf numFmtId="14" fontId="4" fillId="17" borderId="5" xfId="0" applyNumberFormat="1" applyFont="1" applyFill="1" applyBorder="1" applyAlignment="1">
      <alignment horizontal="left"/>
    </xf>
    <xf numFmtId="14" fontId="4" fillId="17" borderId="5" xfId="0" applyNumberFormat="1" applyFont="1" applyFill="1" applyBorder="1" applyAlignment="1">
      <alignment horizontal="center"/>
    </xf>
    <xf numFmtId="0" fontId="4" fillId="17" borderId="5" xfId="0" applyFont="1" applyFill="1" applyBorder="1" applyAlignment="1">
      <alignment horizontal="left"/>
    </xf>
    <xf numFmtId="0" fontId="4" fillId="17" borderId="5" xfId="0" applyFont="1" applyFill="1" applyBorder="1" applyAlignment="1">
      <alignment horizontal="center" vertical="center" wrapText="1"/>
    </xf>
    <xf numFmtId="14" fontId="13" fillId="17" borderId="5" xfId="0" applyNumberFormat="1" applyFont="1" applyFill="1" applyBorder="1"/>
    <xf numFmtId="0" fontId="21" fillId="11" borderId="17" xfId="0" applyFont="1" applyFill="1" applyBorder="1"/>
    <xf numFmtId="0" fontId="4" fillId="17" borderId="5" xfId="0" applyFont="1" applyFill="1" applyBorder="1" applyAlignment="1">
      <alignment horizontal="right"/>
    </xf>
    <xf numFmtId="0" fontId="4" fillId="17" borderId="5" xfId="0" applyFont="1" applyFill="1" applyBorder="1" applyAlignment="1">
      <alignment wrapText="1"/>
    </xf>
    <xf numFmtId="14" fontId="4" fillId="17" borderId="5" xfId="0" applyNumberFormat="1" applyFont="1" applyFill="1" applyBorder="1" applyAlignment="1">
      <alignment wrapText="1"/>
    </xf>
    <xf numFmtId="0" fontId="4" fillId="17" borderId="5" xfId="0" applyFont="1" applyFill="1" applyBorder="1" applyAlignment="1">
      <alignment horizontal="right" wrapText="1"/>
    </xf>
    <xf numFmtId="14" fontId="4" fillId="17" borderId="5" xfId="0" applyNumberFormat="1" applyFont="1" applyFill="1" applyBorder="1" applyAlignment="1">
      <alignment horizontal="center" wrapText="1"/>
    </xf>
    <xf numFmtId="0" fontId="21" fillId="0" borderId="0" xfId="0" applyFont="1"/>
    <xf numFmtId="0" fontId="16" fillId="10" borderId="5" xfId="0" applyFont="1" applyFill="1" applyBorder="1" applyAlignment="1">
      <alignment horizontal="left"/>
    </xf>
    <xf numFmtId="0" fontId="14" fillId="10" borderId="5" xfId="0" applyFont="1" applyFill="1" applyBorder="1" applyAlignment="1">
      <alignment horizontal="left"/>
    </xf>
    <xf numFmtId="0" fontId="17" fillId="10" borderId="5" xfId="0" applyFont="1" applyFill="1" applyBorder="1" applyAlignment="1">
      <alignment horizontal="left"/>
    </xf>
    <xf numFmtId="0" fontId="21" fillId="10" borderId="5" xfId="0" applyFont="1" applyFill="1" applyBorder="1"/>
    <xf numFmtId="0" fontId="17" fillId="10" borderId="5" xfId="0" applyFont="1" applyFill="1" applyBorder="1"/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30" fillId="20" borderId="29" xfId="0" applyFont="1" applyFill="1" applyBorder="1" applyAlignment="1">
      <alignment horizontal="left" vertical="top"/>
    </xf>
    <xf numFmtId="0" fontId="30" fillId="20" borderId="30" xfId="0" applyFont="1" applyFill="1" applyBorder="1" applyAlignment="1">
      <alignment horizontal="left" vertical="top"/>
    </xf>
    <xf numFmtId="0" fontId="31" fillId="11" borderId="17" xfId="0" applyFont="1" applyFill="1" applyBorder="1"/>
    <xf numFmtId="0" fontId="31" fillId="11" borderId="31" xfId="0" applyFont="1" applyFill="1" applyBorder="1" applyAlignment="1">
      <alignment horizontal="left"/>
    </xf>
    <xf numFmtId="0" fontId="31" fillId="11" borderId="31" xfId="0" applyFont="1" applyFill="1" applyBorder="1" applyAlignment="1">
      <alignment horizontal="right"/>
    </xf>
    <xf numFmtId="165" fontId="31" fillId="11" borderId="31" xfId="0" applyNumberFormat="1" applyFont="1" applyFill="1" applyBorder="1" applyAlignment="1">
      <alignment horizontal="right"/>
    </xf>
    <xf numFmtId="166" fontId="31" fillId="11" borderId="31" xfId="0" applyNumberFormat="1" applyFont="1" applyFill="1" applyBorder="1" applyAlignment="1">
      <alignment horizontal="left"/>
    </xf>
    <xf numFmtId="167" fontId="31" fillId="11" borderId="31" xfId="0" applyNumberFormat="1" applyFont="1" applyFill="1" applyBorder="1" applyAlignment="1">
      <alignment horizontal="right"/>
    </xf>
    <xf numFmtId="168" fontId="31" fillId="11" borderId="31" xfId="0" applyNumberFormat="1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133350</xdr:rowOff>
    </xdr:from>
    <xdr:ext cx="1076325" cy="105727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76200</xdr:rowOff>
    </xdr:from>
    <xdr:ext cx="742950" cy="50482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janezh3080@gmail.com" TargetMode="External"/><Relationship Id="rId2" Type="http://schemas.openxmlformats.org/officeDocument/2006/relationships/hyperlink" Target="mailto:zf426@hotmail.com" TargetMode="External"/><Relationship Id="rId1" Type="http://schemas.openxmlformats.org/officeDocument/2006/relationships/hyperlink" Target="mailto:qinlingli1985@gmail.com" TargetMode="External"/><Relationship Id="rId6" Type="http://schemas.openxmlformats.org/officeDocument/2006/relationships/drawing" Target="../drawings/drawing2.xml"/><Relationship Id="rId5" Type="http://schemas.openxmlformats.org/officeDocument/2006/relationships/hyperlink" Target="mailto:zf426@hotmail.com" TargetMode="External"/><Relationship Id="rId4" Type="http://schemas.openxmlformats.org/officeDocument/2006/relationships/hyperlink" Target="mailto:janezh308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22" workbookViewId="0">
      <selection activeCell="D23" sqref="D23"/>
    </sheetView>
  </sheetViews>
  <sheetFormatPr defaultColWidth="14.44140625" defaultRowHeight="15" customHeight="1" x14ac:dyDescent="0.3"/>
  <cols>
    <col min="1" max="1" width="16.88671875" customWidth="1"/>
    <col min="2" max="2" width="65.88671875" customWidth="1"/>
    <col min="3" max="3" width="10.44140625" bestFit="1" customWidth="1"/>
    <col min="4" max="4" width="10.44140625" customWidth="1"/>
    <col min="5" max="5" width="24" customWidth="1"/>
    <col min="6" max="6" width="11.5546875" bestFit="1" customWidth="1"/>
    <col min="7" max="7" width="8.88671875" customWidth="1"/>
    <col min="8" max="8" width="36.44140625" customWidth="1"/>
    <col min="9" max="10" width="8.88671875" customWidth="1"/>
    <col min="11" max="11" width="41.88671875" customWidth="1"/>
    <col min="12" max="26" width="8.88671875" customWidth="1"/>
  </cols>
  <sheetData>
    <row r="1" spans="1:26" ht="24" x14ac:dyDescent="0.35">
      <c r="A1" s="444" t="s">
        <v>0</v>
      </c>
      <c r="B1" s="445"/>
      <c r="C1" s="445"/>
      <c r="D1" s="445"/>
      <c r="E1" s="1" t="s">
        <v>1</v>
      </c>
      <c r="F1" s="2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4" x14ac:dyDescent="0.3">
      <c r="A2" s="3"/>
      <c r="B2" s="4"/>
      <c r="C2" s="4"/>
      <c r="D2" s="4"/>
      <c r="E2" s="5" t="s">
        <v>2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3">
      <c r="A3" s="2" t="s">
        <v>3</v>
      </c>
      <c r="B3" s="6" t="s">
        <v>4</v>
      </c>
      <c r="C3" s="7"/>
      <c r="D3" s="6"/>
      <c r="E3" s="6" t="s">
        <v>5</v>
      </c>
      <c r="F3" s="8">
        <v>45869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3">
      <c r="A4" s="2"/>
      <c r="B4" s="6" t="s">
        <v>6</v>
      </c>
      <c r="C4" s="7"/>
      <c r="D4" s="6"/>
      <c r="E4" s="6" t="s">
        <v>7</v>
      </c>
      <c r="F4" s="9" t="s">
        <v>8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3">
      <c r="A5" s="2"/>
      <c r="B5" s="6"/>
      <c r="C5" s="7"/>
      <c r="D5" s="6"/>
      <c r="E5" s="10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3">
      <c r="A6" s="2"/>
      <c r="B6" s="6" t="s">
        <v>9</v>
      </c>
      <c r="C6" s="7"/>
      <c r="D6" s="6"/>
      <c r="E6" s="10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3">
      <c r="A7" s="2"/>
      <c r="B7" s="2"/>
      <c r="C7" s="11"/>
      <c r="D7" s="2"/>
      <c r="E7" s="9"/>
      <c r="F7" s="2"/>
      <c r="G7" s="2"/>
      <c r="H7" s="2"/>
      <c r="I7" s="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3">
      <c r="A8" s="12" t="s">
        <v>10</v>
      </c>
      <c r="B8" s="13" t="s">
        <v>11</v>
      </c>
      <c r="C8" s="13" t="s">
        <v>12</v>
      </c>
      <c r="D8" s="13" t="s">
        <v>13</v>
      </c>
      <c r="E8" s="13" t="s">
        <v>14</v>
      </c>
      <c r="F8" s="14"/>
      <c r="G8" s="15"/>
      <c r="H8" s="15"/>
      <c r="I8" s="16"/>
      <c r="J8" s="15"/>
      <c r="K8" s="15"/>
      <c r="L8" s="15"/>
      <c r="M8" s="15"/>
      <c r="N8" s="15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3">
      <c r="A9" s="17">
        <f t="shared" ref="A9:A31" si="0">$F$3</f>
        <v>45869</v>
      </c>
      <c r="B9" s="18" t="s">
        <v>15</v>
      </c>
      <c r="C9" s="18"/>
      <c r="D9" s="19">
        <f t="shared" ref="D9:D10" si="1">C55</f>
        <v>48</v>
      </c>
      <c r="E9" s="18"/>
      <c r="F9" s="20"/>
      <c r="G9" s="2"/>
      <c r="H9" s="15"/>
      <c r="I9" s="16"/>
      <c r="J9" s="15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3">
      <c r="A10" s="17">
        <f t="shared" si="0"/>
        <v>45869</v>
      </c>
      <c r="B10" s="18" t="s">
        <v>16</v>
      </c>
      <c r="C10" s="18"/>
      <c r="D10" s="19">
        <f t="shared" si="1"/>
        <v>63</v>
      </c>
      <c r="E10" s="18"/>
      <c r="F10" s="20"/>
      <c r="G10" s="2"/>
      <c r="H10" s="15"/>
      <c r="I10" s="16"/>
      <c r="J10" s="15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3">
      <c r="A11" s="17">
        <f t="shared" si="0"/>
        <v>45869</v>
      </c>
      <c r="B11" s="18" t="s">
        <v>17</v>
      </c>
      <c r="C11" s="21">
        <v>25</v>
      </c>
      <c r="D11" s="19">
        <f>SUM(C37:C40)</f>
        <v>10</v>
      </c>
      <c r="E11" s="22">
        <f t="shared" ref="E11:E25" si="2">C11*D11</f>
        <v>250</v>
      </c>
      <c r="F11" s="20"/>
      <c r="G11" s="23"/>
      <c r="H11" s="15"/>
      <c r="I11" s="16"/>
      <c r="J11" s="15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3">
      <c r="A12" s="17">
        <f t="shared" si="0"/>
        <v>45869</v>
      </c>
      <c r="B12" s="18" t="s">
        <v>18</v>
      </c>
      <c r="C12" s="21">
        <v>22</v>
      </c>
      <c r="D12" s="19">
        <f t="shared" ref="D12:D13" si="3">C35+C37-C41-C53</f>
        <v>45</v>
      </c>
      <c r="E12" s="22">
        <f t="shared" si="2"/>
        <v>990</v>
      </c>
      <c r="F12" s="20"/>
      <c r="G12" s="2"/>
      <c r="H12" s="15"/>
      <c r="I12" s="16"/>
      <c r="J12" s="15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">
      <c r="A13" s="17">
        <f t="shared" si="0"/>
        <v>45869</v>
      </c>
      <c r="B13" s="18" t="s">
        <v>19</v>
      </c>
      <c r="C13" s="21">
        <v>22</v>
      </c>
      <c r="D13" s="19">
        <f t="shared" si="3"/>
        <v>60</v>
      </c>
      <c r="E13" s="22">
        <f t="shared" si="2"/>
        <v>1320</v>
      </c>
      <c r="F13" s="20"/>
      <c r="G13" s="2"/>
      <c r="H13" s="15"/>
      <c r="I13" s="16"/>
      <c r="J13" s="15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">
      <c r="A14" s="17">
        <f t="shared" si="0"/>
        <v>45869</v>
      </c>
      <c r="B14" s="18" t="s">
        <v>20</v>
      </c>
      <c r="C14" s="21">
        <f t="shared" ref="C14:C15" si="4">C12/2</f>
        <v>11</v>
      </c>
      <c r="D14" s="19">
        <f t="shared" ref="D14:D15" si="5">C39</f>
        <v>3</v>
      </c>
      <c r="E14" s="22">
        <f t="shared" si="2"/>
        <v>33</v>
      </c>
      <c r="F14" s="20"/>
      <c r="G14" s="2"/>
      <c r="H14" s="15"/>
      <c r="I14" s="16"/>
      <c r="J14" s="15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">
      <c r="A15" s="17">
        <f t="shared" si="0"/>
        <v>45869</v>
      </c>
      <c r="B15" s="18" t="s">
        <v>21</v>
      </c>
      <c r="C15" s="21">
        <f t="shared" si="4"/>
        <v>11</v>
      </c>
      <c r="D15" s="19">
        <f t="shared" si="5"/>
        <v>3</v>
      </c>
      <c r="E15" s="22">
        <f t="shared" si="2"/>
        <v>33</v>
      </c>
      <c r="F15" s="20"/>
      <c r="G15" s="2"/>
      <c r="H15" s="15"/>
      <c r="I15" s="16"/>
      <c r="J15" s="15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">
      <c r="A16" s="17">
        <f t="shared" si="0"/>
        <v>45869</v>
      </c>
      <c r="B16" s="18" t="s">
        <v>22</v>
      </c>
      <c r="C16" s="21">
        <f t="shared" ref="C16:C17" si="6">C12/2</f>
        <v>11</v>
      </c>
      <c r="D16" s="19">
        <f t="shared" ref="D16:D17" si="7">I41</f>
        <v>0</v>
      </c>
      <c r="E16" s="22">
        <f t="shared" si="2"/>
        <v>0</v>
      </c>
      <c r="F16" s="20"/>
      <c r="G16" s="2"/>
      <c r="H16" s="15"/>
      <c r="I16" s="16"/>
      <c r="J16" s="15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">
      <c r="A17" s="17">
        <f t="shared" si="0"/>
        <v>45869</v>
      </c>
      <c r="B17" s="18" t="s">
        <v>23</v>
      </c>
      <c r="C17" s="21">
        <f t="shared" si="6"/>
        <v>11</v>
      </c>
      <c r="D17" s="19">
        <f t="shared" si="7"/>
        <v>0</v>
      </c>
      <c r="E17" s="22">
        <f t="shared" si="2"/>
        <v>0</v>
      </c>
      <c r="F17" s="20"/>
      <c r="G17" s="2"/>
      <c r="H17" s="15"/>
      <c r="I17" s="16"/>
      <c r="J17" s="15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">
      <c r="A18" s="17">
        <f t="shared" si="0"/>
        <v>45869</v>
      </c>
      <c r="B18" s="18" t="s">
        <v>24</v>
      </c>
      <c r="C18" s="21">
        <v>150</v>
      </c>
      <c r="D18" s="19">
        <v>1</v>
      </c>
      <c r="E18" s="22">
        <f t="shared" si="2"/>
        <v>150</v>
      </c>
      <c r="F18" s="20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">
      <c r="A19" s="17">
        <f t="shared" si="0"/>
        <v>45869</v>
      </c>
      <c r="B19" s="18"/>
      <c r="C19" s="21"/>
      <c r="D19" s="24"/>
      <c r="E19" s="22">
        <f t="shared" si="2"/>
        <v>0</v>
      </c>
      <c r="F19" s="20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">
      <c r="A20" s="17">
        <f t="shared" si="0"/>
        <v>45869</v>
      </c>
      <c r="B20" s="18"/>
      <c r="C20" s="21"/>
      <c r="D20" s="24"/>
      <c r="E20" s="22">
        <f t="shared" si="2"/>
        <v>0</v>
      </c>
      <c r="F20" s="20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17">
        <f t="shared" si="0"/>
        <v>45869</v>
      </c>
      <c r="B21" s="18"/>
      <c r="C21" s="25"/>
      <c r="D21" s="24"/>
      <c r="E21" s="22">
        <f t="shared" si="2"/>
        <v>0</v>
      </c>
      <c r="F21" s="20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17">
        <f t="shared" si="0"/>
        <v>45869</v>
      </c>
      <c r="B22" s="26"/>
      <c r="C22" s="27"/>
      <c r="D22" s="28"/>
      <c r="E22" s="22">
        <f t="shared" si="2"/>
        <v>0</v>
      </c>
      <c r="F22" s="20"/>
      <c r="G22" s="2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17">
        <f t="shared" si="0"/>
        <v>45869</v>
      </c>
      <c r="B23" s="29" t="s">
        <v>25</v>
      </c>
      <c r="C23" s="21">
        <v>-25</v>
      </c>
      <c r="D23" s="19">
        <v>2</v>
      </c>
      <c r="E23" s="30">
        <f t="shared" si="2"/>
        <v>-50</v>
      </c>
      <c r="F23" s="20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17">
        <f t="shared" si="0"/>
        <v>45869</v>
      </c>
      <c r="B24" s="29" t="s">
        <v>26</v>
      </c>
      <c r="C24" s="21">
        <v>-25</v>
      </c>
      <c r="D24" s="19">
        <v>3</v>
      </c>
      <c r="E24" s="30">
        <f t="shared" si="2"/>
        <v>-75</v>
      </c>
      <c r="F24" s="31"/>
      <c r="G24" s="32"/>
      <c r="H24" s="32"/>
      <c r="I24" s="32"/>
      <c r="J24" s="32"/>
      <c r="K24" s="32"/>
      <c r="L24" s="32"/>
      <c r="M24" s="32"/>
      <c r="N24" s="3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17">
        <f t="shared" si="0"/>
        <v>45869</v>
      </c>
      <c r="B25" s="33"/>
      <c r="C25" s="34"/>
      <c r="D25" s="35"/>
      <c r="E25" s="30">
        <f t="shared" si="2"/>
        <v>0</v>
      </c>
      <c r="F25" s="20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17">
        <f t="shared" si="0"/>
        <v>45869</v>
      </c>
      <c r="B26" s="18" t="s">
        <v>27</v>
      </c>
      <c r="C26" s="21"/>
      <c r="D26" s="21"/>
      <c r="E26" s="22">
        <f>SUM(E11:E25)</f>
        <v>2651</v>
      </c>
      <c r="F26" s="20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17">
        <f t="shared" si="0"/>
        <v>45869</v>
      </c>
      <c r="B27" s="36"/>
      <c r="C27" s="21"/>
      <c r="D27" s="19"/>
      <c r="E27" s="37"/>
      <c r="F27" s="20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17">
        <f t="shared" si="0"/>
        <v>45869</v>
      </c>
      <c r="B28" s="36"/>
      <c r="C28" s="38"/>
      <c r="D28" s="39"/>
      <c r="E28" s="40"/>
      <c r="F28" s="20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17">
        <f t="shared" si="0"/>
        <v>45869</v>
      </c>
      <c r="B29" s="18" t="s">
        <v>28</v>
      </c>
      <c r="C29" s="21"/>
      <c r="D29" s="41"/>
      <c r="E29" s="41"/>
      <c r="F29" s="20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17">
        <f t="shared" si="0"/>
        <v>45869</v>
      </c>
      <c r="B30" s="18" t="s">
        <v>29</v>
      </c>
      <c r="C30" s="21"/>
      <c r="D30" s="22"/>
      <c r="E30" s="41">
        <v>0</v>
      </c>
      <c r="F30" s="20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17">
        <f t="shared" si="0"/>
        <v>45869</v>
      </c>
      <c r="B31" s="42" t="s">
        <v>30</v>
      </c>
      <c r="C31" s="21"/>
      <c r="D31" s="22"/>
      <c r="E31" s="43">
        <f>E26+E27+E28+E29-E30</f>
        <v>2651</v>
      </c>
      <c r="F31" s="20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44"/>
      <c r="B32" s="45"/>
      <c r="C32" s="46"/>
      <c r="D32" s="46"/>
      <c r="E32" s="47"/>
      <c r="F32" s="48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8"/>
      <c r="B33" s="2"/>
      <c r="C33" s="11"/>
      <c r="D33" s="2"/>
      <c r="E33" s="9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49" t="s">
        <v>31</v>
      </c>
      <c r="C34" s="50"/>
      <c r="D34" s="2"/>
      <c r="E34" s="9"/>
      <c r="F34" s="2"/>
      <c r="G34" s="2"/>
      <c r="H34" s="49" t="s">
        <v>32</v>
      </c>
      <c r="I34" s="50"/>
      <c r="J34" s="2"/>
      <c r="K34" s="49" t="s">
        <v>33</v>
      </c>
      <c r="L34" s="50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11" t="s">
        <v>34</v>
      </c>
      <c r="B35" s="51" t="s">
        <v>35</v>
      </c>
      <c r="C35" s="52">
        <v>48</v>
      </c>
      <c r="D35" s="2" t="s">
        <v>36</v>
      </c>
      <c r="E35" s="9"/>
      <c r="F35" s="2"/>
      <c r="G35" s="2"/>
      <c r="H35" s="51" t="s">
        <v>35</v>
      </c>
      <c r="I35" s="52">
        <v>0</v>
      </c>
      <c r="J35" s="2"/>
      <c r="K35" s="51" t="s">
        <v>35</v>
      </c>
      <c r="L35" s="52">
        <v>0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11" t="s">
        <v>37</v>
      </c>
      <c r="B36" s="53" t="s">
        <v>38</v>
      </c>
      <c r="C36" s="54">
        <v>63</v>
      </c>
      <c r="D36" s="2" t="s">
        <v>39</v>
      </c>
      <c r="E36" s="9"/>
      <c r="F36" s="11"/>
      <c r="G36" s="2"/>
      <c r="H36" s="53" t="s">
        <v>38</v>
      </c>
      <c r="I36" s="54">
        <v>0</v>
      </c>
      <c r="J36" s="2"/>
      <c r="K36" s="53" t="s">
        <v>38</v>
      </c>
      <c r="L36" s="54">
        <v>0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11" t="s">
        <v>40</v>
      </c>
      <c r="B37" s="55" t="s">
        <v>41</v>
      </c>
      <c r="C37" s="56">
        <v>2</v>
      </c>
      <c r="D37" s="2" t="s">
        <v>42</v>
      </c>
      <c r="E37" s="9"/>
      <c r="F37" s="2"/>
      <c r="G37" s="2"/>
      <c r="H37" s="57" t="s">
        <v>43</v>
      </c>
      <c r="I37" s="58">
        <v>0</v>
      </c>
      <c r="J37" s="2"/>
      <c r="K37" s="57" t="s">
        <v>43</v>
      </c>
      <c r="L37" s="58">
        <v>0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11" t="s">
        <v>44</v>
      </c>
      <c r="B38" s="59" t="s">
        <v>45</v>
      </c>
      <c r="C38" s="60">
        <v>2</v>
      </c>
      <c r="D38" s="2" t="s">
        <v>46</v>
      </c>
      <c r="E38" s="9"/>
      <c r="F38" s="2"/>
      <c r="G38" s="2"/>
      <c r="H38" s="61" t="s">
        <v>47</v>
      </c>
      <c r="I38" s="62">
        <v>0</v>
      </c>
      <c r="J38" s="2"/>
      <c r="K38" s="61" t="s">
        <v>47</v>
      </c>
      <c r="L38" s="62">
        <v>0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11" t="s">
        <v>48</v>
      </c>
      <c r="B39" s="55" t="s">
        <v>49</v>
      </c>
      <c r="C39" s="56">
        <v>3</v>
      </c>
      <c r="D39" s="2" t="s">
        <v>50</v>
      </c>
      <c r="E39" s="9"/>
      <c r="F39" s="2"/>
      <c r="G39" s="2"/>
      <c r="H39" s="55" t="s">
        <v>51</v>
      </c>
      <c r="I39" s="58">
        <v>0</v>
      </c>
      <c r="J39" s="9"/>
      <c r="K39" s="55" t="s">
        <v>51</v>
      </c>
      <c r="L39" s="58">
        <v>0</v>
      </c>
      <c r="M39" s="9"/>
      <c r="N39" s="9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11" t="s">
        <v>52</v>
      </c>
      <c r="B40" s="59" t="s">
        <v>53</v>
      </c>
      <c r="C40" s="60">
        <v>3</v>
      </c>
      <c r="D40" s="2" t="s">
        <v>54</v>
      </c>
      <c r="E40" s="9"/>
      <c r="F40" s="2"/>
      <c r="G40" s="2"/>
      <c r="H40" s="59" t="s">
        <v>55</v>
      </c>
      <c r="I40" s="62">
        <v>0</v>
      </c>
      <c r="J40" s="9"/>
      <c r="K40" s="59" t="s">
        <v>55</v>
      </c>
      <c r="L40" s="62">
        <v>0</v>
      </c>
      <c r="M40" s="9"/>
      <c r="N40" s="9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11" t="s">
        <v>56</v>
      </c>
      <c r="B41" s="57" t="s">
        <v>43</v>
      </c>
      <c r="C41" s="60">
        <v>5</v>
      </c>
      <c r="D41" s="2" t="s">
        <v>57</v>
      </c>
      <c r="E41" s="9"/>
      <c r="F41" s="2"/>
      <c r="G41" s="2"/>
      <c r="H41" s="63" t="s">
        <v>58</v>
      </c>
      <c r="I41" s="64">
        <f t="shared" ref="I41:I42" si="8">I35-I37+I39</f>
        <v>0</v>
      </c>
      <c r="J41" s="9"/>
      <c r="K41" s="63" t="s">
        <v>59</v>
      </c>
      <c r="L41" s="64">
        <f t="shared" ref="L41:L42" si="9">L35-L37+L39</f>
        <v>0</v>
      </c>
      <c r="M41" s="9"/>
      <c r="N41" s="9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11" t="s">
        <v>60</v>
      </c>
      <c r="B42" s="61" t="s">
        <v>47</v>
      </c>
      <c r="C42" s="60">
        <v>5</v>
      </c>
      <c r="D42" s="2" t="s">
        <v>61</v>
      </c>
      <c r="E42" s="9"/>
      <c r="F42" s="2"/>
      <c r="G42" s="2"/>
      <c r="H42" s="65" t="s">
        <v>62</v>
      </c>
      <c r="I42" s="66">
        <f t="shared" si="8"/>
        <v>0</v>
      </c>
      <c r="J42" s="9"/>
      <c r="K42" s="65" t="s">
        <v>63</v>
      </c>
      <c r="L42" s="66">
        <f t="shared" si="9"/>
        <v>0</v>
      </c>
      <c r="M42" s="9" t="s">
        <v>64</v>
      </c>
      <c r="N42" s="9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11" t="s">
        <v>65</v>
      </c>
      <c r="B43" s="63" t="s">
        <v>58</v>
      </c>
      <c r="C43" s="64">
        <f t="shared" ref="C43:C44" si="10">C35+C37+C39-C41</f>
        <v>48</v>
      </c>
      <c r="D43" s="2"/>
      <c r="E43" s="9"/>
      <c r="F43" s="2"/>
      <c r="G43" s="2"/>
      <c r="H43" s="2"/>
      <c r="I43" s="2"/>
      <c r="J43" s="2"/>
      <c r="K43" s="2"/>
      <c r="L43" s="2"/>
      <c r="M43" s="9"/>
      <c r="N43" s="9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11" t="s">
        <v>66</v>
      </c>
      <c r="B44" s="65" t="s">
        <v>62</v>
      </c>
      <c r="C44" s="66">
        <f t="shared" si="10"/>
        <v>63</v>
      </c>
      <c r="D44" s="2">
        <f>C44+C43</f>
        <v>111</v>
      </c>
      <c r="E44" s="9"/>
      <c r="F44" s="2"/>
      <c r="G44" s="2"/>
      <c r="H44" s="2"/>
      <c r="I44" s="2"/>
      <c r="J44" s="2"/>
      <c r="K44" s="2"/>
      <c r="L44" s="2"/>
      <c r="M44" s="9"/>
      <c r="N44" s="9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2"/>
      <c r="C45" s="67"/>
      <c r="D45" s="2"/>
      <c r="E45" s="68"/>
      <c r="F45" s="2"/>
      <c r="G45" s="2"/>
      <c r="H45" s="2"/>
      <c r="I45" s="2"/>
      <c r="J45" s="2"/>
      <c r="K45" s="2"/>
      <c r="L45" s="2"/>
      <c r="M45" s="9"/>
      <c r="N45" s="9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2"/>
      <c r="C46" s="67"/>
      <c r="D46" s="2"/>
      <c r="E46" s="9"/>
      <c r="F46" s="2"/>
      <c r="G46" s="2"/>
      <c r="H46" s="2"/>
      <c r="I46" s="2"/>
      <c r="J46" s="9"/>
      <c r="K46" s="9"/>
      <c r="L46" s="9"/>
      <c r="M46" s="9"/>
      <c r="N46" s="9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67"/>
      <c r="D47" s="2"/>
      <c r="E47" s="9"/>
      <c r="F47" s="2"/>
      <c r="G47" s="2"/>
      <c r="H47" s="2"/>
      <c r="I47" s="2"/>
      <c r="J47" s="9"/>
      <c r="K47" s="9"/>
      <c r="L47" s="9"/>
      <c r="M47" s="9"/>
      <c r="N47" s="9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49" t="s">
        <v>67</v>
      </c>
      <c r="C48" s="50"/>
      <c r="D48" s="2"/>
      <c r="E48" s="9"/>
      <c r="F48" s="2"/>
      <c r="G48" s="2"/>
      <c r="H48" s="2"/>
      <c r="I48" s="2"/>
      <c r="J48" s="9"/>
      <c r="K48" s="9" t="s">
        <v>64</v>
      </c>
      <c r="L48" s="9"/>
      <c r="M48" s="9"/>
      <c r="N48" s="9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69" t="s">
        <v>68</v>
      </c>
      <c r="C49" s="70">
        <f t="shared" ref="C49:C50" si="11">C43-I41-L41</f>
        <v>48</v>
      </c>
      <c r="D49" s="2"/>
      <c r="E49" s="9"/>
      <c r="F49" s="2"/>
      <c r="G49" s="2"/>
      <c r="H49" s="2"/>
      <c r="I49" s="2"/>
      <c r="J49" s="9"/>
      <c r="K49" s="9"/>
      <c r="L49" s="9"/>
      <c r="M49" s="9"/>
      <c r="N49" s="9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71" t="s">
        <v>69</v>
      </c>
      <c r="C50" s="70">
        <f t="shared" si="11"/>
        <v>63</v>
      </c>
      <c r="D50" s="2"/>
      <c r="E50" s="9"/>
      <c r="F50" s="2"/>
      <c r="G50" s="2"/>
      <c r="H50" s="2"/>
      <c r="I50" s="2"/>
      <c r="J50" s="9"/>
      <c r="K50" s="9"/>
      <c r="L50" s="9"/>
      <c r="M50" s="9"/>
      <c r="N50" s="9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69" t="s">
        <v>70</v>
      </c>
      <c r="C51" s="70">
        <f t="shared" ref="C51:C52" si="12">I41</f>
        <v>0</v>
      </c>
      <c r="D51" s="2"/>
      <c r="E51" s="9"/>
      <c r="F51" s="2"/>
      <c r="G51" s="2"/>
      <c r="H51" s="2"/>
      <c r="I51" s="2"/>
      <c r="J51" s="9"/>
      <c r="K51" s="9"/>
      <c r="L51" s="9"/>
      <c r="M51" s="9"/>
      <c r="N51" s="9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71" t="s">
        <v>71</v>
      </c>
      <c r="C52" s="72">
        <f t="shared" si="12"/>
        <v>0</v>
      </c>
      <c r="D52" s="2"/>
      <c r="E52" s="9"/>
      <c r="F52" s="2"/>
      <c r="G52" s="2"/>
      <c r="H52" s="2"/>
      <c r="I52" s="2"/>
      <c r="J52" s="9"/>
      <c r="K52" s="9"/>
      <c r="L52" s="9"/>
      <c r="M52" s="9"/>
      <c r="N52" s="9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3"/>
      <c r="B53" s="69" t="s">
        <v>72</v>
      </c>
      <c r="C53" s="70">
        <f t="shared" ref="C53:C54" si="13">L41</f>
        <v>0</v>
      </c>
      <c r="D53" s="3"/>
      <c r="E53" s="73"/>
      <c r="F53" s="3"/>
      <c r="G53" s="3"/>
      <c r="H53" s="3"/>
      <c r="I53" s="3"/>
      <c r="J53" s="73"/>
      <c r="K53" s="73"/>
      <c r="L53" s="73"/>
      <c r="M53" s="73"/>
      <c r="N53" s="73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71" t="s">
        <v>73</v>
      </c>
      <c r="C54" s="72">
        <f t="shared" si="13"/>
        <v>0</v>
      </c>
      <c r="D54" s="3"/>
      <c r="E54" s="9"/>
      <c r="F54" s="2"/>
      <c r="G54" s="2"/>
      <c r="H54" s="2"/>
      <c r="I54" s="2"/>
      <c r="J54" s="9"/>
      <c r="K54" s="9"/>
      <c r="L54" s="9"/>
      <c r="M54" s="9"/>
      <c r="N54" s="9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63" t="s">
        <v>58</v>
      </c>
      <c r="C55" s="64">
        <f t="shared" ref="C55:C56" si="14">C49+C51+C53</f>
        <v>48</v>
      </c>
      <c r="D55" s="2"/>
      <c r="E55" s="9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9"/>
      <c r="B56" s="65" t="s">
        <v>62</v>
      </c>
      <c r="C56" s="66">
        <f t="shared" si="14"/>
        <v>63</v>
      </c>
      <c r="D56" s="2">
        <f>C56+C55</f>
        <v>111</v>
      </c>
      <c r="E56" s="9"/>
      <c r="F56" s="2"/>
      <c r="G56" s="2"/>
      <c r="H56" s="2"/>
      <c r="I56" s="2"/>
      <c r="J56" s="9"/>
      <c r="K56" s="9"/>
      <c r="L56" s="9"/>
      <c r="M56" s="9"/>
      <c r="N56" s="9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9"/>
      <c r="F57" s="2"/>
      <c r="G57" s="2"/>
      <c r="H57" s="2"/>
      <c r="I57" s="2"/>
      <c r="J57" s="9"/>
      <c r="K57" s="9"/>
      <c r="L57" s="9"/>
      <c r="M57" s="9"/>
      <c r="N57" s="9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9"/>
      <c r="F58" s="2"/>
      <c r="G58" s="2"/>
      <c r="H58" s="2"/>
      <c r="I58" s="2"/>
      <c r="J58" s="9"/>
      <c r="K58" s="9"/>
      <c r="L58" s="9"/>
      <c r="M58" s="9"/>
      <c r="N58" s="9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 t="s">
        <v>74</v>
      </c>
      <c r="B59" s="2"/>
      <c r="C59" s="2"/>
      <c r="D59" s="2"/>
      <c r="E59" s="9"/>
      <c r="F59" s="2"/>
      <c r="G59" s="2"/>
      <c r="H59" s="2"/>
      <c r="I59" s="2"/>
      <c r="J59" s="9"/>
      <c r="K59" s="9"/>
      <c r="L59" s="9"/>
      <c r="M59" s="9"/>
      <c r="N59" s="9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11"/>
      <c r="D60" s="2"/>
      <c r="E60" s="9"/>
      <c r="F60" s="2"/>
      <c r="G60" s="2"/>
      <c r="H60" s="2"/>
      <c r="I60" s="2"/>
      <c r="J60" s="9"/>
      <c r="K60" s="9"/>
      <c r="L60" s="9"/>
      <c r="M60" s="9"/>
      <c r="N60" s="9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3" t="s">
        <v>75</v>
      </c>
      <c r="B61" s="2"/>
      <c r="C61" s="11"/>
      <c r="D61" s="2"/>
      <c r="E61" s="9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 t="s">
        <v>76</v>
      </c>
      <c r="B62" s="2"/>
      <c r="C62" s="11"/>
      <c r="D62" s="2"/>
      <c r="E62" s="9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 t="s">
        <v>77</v>
      </c>
      <c r="B63" s="2"/>
      <c r="C63" s="11"/>
      <c r="D63" s="2"/>
      <c r="E63" s="9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74" t="s">
        <v>78</v>
      </c>
      <c r="B64" s="2"/>
      <c r="C64" s="11"/>
      <c r="D64" s="2"/>
      <c r="E64" s="9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75" t="s">
        <v>79</v>
      </c>
      <c r="B65" s="76"/>
      <c r="C65" s="77"/>
      <c r="D65" s="76"/>
      <c r="E65" s="68"/>
      <c r="F65" s="76"/>
      <c r="G65" s="76"/>
      <c r="H65" s="76"/>
      <c r="I65" s="76"/>
      <c r="J65" s="76"/>
      <c r="K65" s="76"/>
      <c r="L65" s="76"/>
      <c r="M65" s="76"/>
      <c r="N65" s="7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75"/>
      <c r="B66" s="76"/>
      <c r="C66" s="77"/>
      <c r="D66" s="76"/>
      <c r="E66" s="68"/>
      <c r="F66" s="76"/>
      <c r="G66" s="76"/>
      <c r="H66" s="76"/>
      <c r="I66" s="76"/>
      <c r="J66" s="76"/>
      <c r="K66" s="76"/>
      <c r="L66" s="76"/>
      <c r="M66" s="76"/>
      <c r="N66" s="7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75"/>
      <c r="B67" s="76"/>
      <c r="C67" s="77"/>
      <c r="D67" s="76"/>
      <c r="E67" s="68"/>
      <c r="F67" s="76"/>
      <c r="G67" s="76"/>
      <c r="H67" s="76"/>
      <c r="I67" s="76"/>
      <c r="J67" s="76"/>
      <c r="K67" s="76"/>
      <c r="L67" s="76"/>
      <c r="M67" s="76"/>
      <c r="N67" s="7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74"/>
      <c r="B68" s="2"/>
      <c r="C68" s="2"/>
      <c r="D68" s="11"/>
      <c r="E68" s="11"/>
      <c r="F68" s="11"/>
      <c r="G68" s="11"/>
      <c r="H68" s="11"/>
      <c r="I68" s="1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76"/>
      <c r="B69" s="76"/>
      <c r="C69" s="76"/>
      <c r="D69" s="77"/>
      <c r="E69" s="77"/>
      <c r="F69" s="77"/>
      <c r="G69" s="77"/>
      <c r="H69" s="77"/>
      <c r="I69" s="77"/>
      <c r="J69" s="76"/>
      <c r="K69" s="78"/>
      <c r="L69" s="76"/>
      <c r="M69" s="76"/>
      <c r="N69" s="7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76"/>
      <c r="B70" s="76"/>
      <c r="C70" s="76"/>
      <c r="D70" s="77"/>
      <c r="E70" s="77"/>
      <c r="F70" s="77"/>
      <c r="G70" s="77"/>
      <c r="H70" s="77"/>
      <c r="I70" s="77"/>
      <c r="J70" s="76"/>
      <c r="K70" s="78"/>
      <c r="L70" s="76"/>
      <c r="M70" s="76"/>
      <c r="N70" s="76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11"/>
      <c r="E71" s="11"/>
      <c r="F71" s="11"/>
      <c r="G71" s="11"/>
      <c r="H71" s="11"/>
      <c r="I71" s="1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11"/>
      <c r="D72" s="2"/>
      <c r="E72" s="9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11"/>
      <c r="D73" s="2"/>
      <c r="E73" s="9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/>
    <row r="267" spans="1:26" ht="15.75" customHeight="1" x14ac:dyDescent="0.3"/>
    <row r="268" spans="1:26" ht="15.75" customHeight="1" x14ac:dyDescent="0.3"/>
    <row r="269" spans="1:26" ht="15.75" customHeight="1" x14ac:dyDescent="0.3"/>
    <row r="270" spans="1:26" ht="15.75" customHeight="1" x14ac:dyDescent="0.3"/>
    <row r="271" spans="1:26" ht="15.75" customHeight="1" x14ac:dyDescent="0.3"/>
    <row r="272" spans="1:26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sheetProtection sheet="1" objects="1" scenarios="1"/>
  <mergeCells count="1">
    <mergeCell ref="A1:D1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554"/>
  <sheetViews>
    <sheetView topLeftCell="G1" workbookViewId="0">
      <pane ySplit="5" topLeftCell="A114" activePane="bottomLeft" state="frozen"/>
      <selection pane="bottomLeft" activeCell="R127" sqref="R127"/>
    </sheetView>
  </sheetViews>
  <sheetFormatPr defaultColWidth="14.44140625" defaultRowHeight="15" customHeight="1" x14ac:dyDescent="0.3"/>
  <cols>
    <col min="1" max="1" width="9.44140625" customWidth="1"/>
    <col min="2" max="2" width="7" customWidth="1"/>
    <col min="3" max="3" width="12.44140625" customWidth="1"/>
    <col min="4" max="4" width="12.88671875" customWidth="1"/>
    <col min="5" max="5" width="6.109375" customWidth="1"/>
    <col min="6" max="6" width="13.44140625" customWidth="1"/>
    <col min="7" max="7" width="51.44140625" customWidth="1"/>
    <col min="8" max="8" width="14.109375" customWidth="1"/>
    <col min="9" max="9" width="32" customWidth="1"/>
    <col min="10" max="10" width="13.44140625" customWidth="1"/>
    <col min="11" max="11" width="12.44140625" customWidth="1"/>
    <col min="12" max="12" width="11.6640625" customWidth="1"/>
    <col min="13" max="13" width="38.44140625" customWidth="1"/>
    <col min="14" max="14" width="6.6640625" customWidth="1"/>
    <col min="15" max="15" width="12.88671875" customWidth="1"/>
    <col min="16" max="16" width="3.109375" customWidth="1"/>
    <col min="17" max="27" width="5.44140625" customWidth="1"/>
    <col min="28" max="46" width="8.88671875" customWidth="1"/>
  </cols>
  <sheetData>
    <row r="1" spans="1:48" ht="17.25" customHeight="1" x14ac:dyDescent="0.3">
      <c r="A1" s="1" t="s">
        <v>80</v>
      </c>
      <c r="B1" s="11"/>
      <c r="C1" s="79" t="s">
        <v>4</v>
      </c>
      <c r="D1" s="79"/>
      <c r="E1" s="11"/>
      <c r="F1" s="79"/>
      <c r="G1" s="15" t="s">
        <v>81</v>
      </c>
      <c r="H1" s="79"/>
      <c r="I1" s="32"/>
      <c r="J1" s="79" t="s">
        <v>82</v>
      </c>
      <c r="K1" s="79"/>
      <c r="L1" s="79"/>
      <c r="M1" s="79" t="str">
        <f>P!E1</f>
        <v>Due by: 8/1/25</v>
      </c>
      <c r="N1" s="11"/>
      <c r="O1" s="80"/>
      <c r="P1" s="2"/>
      <c r="Q1" s="81"/>
      <c r="R1" s="81" t="s">
        <v>40</v>
      </c>
      <c r="S1" s="81" t="s">
        <v>83</v>
      </c>
      <c r="T1" s="81" t="s">
        <v>34</v>
      </c>
      <c r="U1" s="81" t="s">
        <v>52</v>
      </c>
      <c r="V1" s="81" t="s">
        <v>84</v>
      </c>
      <c r="W1" s="82" t="s">
        <v>85</v>
      </c>
      <c r="X1" s="81" t="s">
        <v>86</v>
      </c>
      <c r="Y1" s="81" t="s">
        <v>87</v>
      </c>
      <c r="Z1" s="81" t="s">
        <v>88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</row>
    <row r="2" spans="1:48" ht="15.75" customHeight="1" x14ac:dyDescent="0.3">
      <c r="A2" s="83"/>
      <c r="B2" s="11"/>
      <c r="C2" s="79" t="str">
        <f>P!B4</f>
        <v>47958 Warm Springs Blvd, Fremont, CA 94539</v>
      </c>
      <c r="D2" s="84"/>
      <c r="E2" s="11"/>
      <c r="F2" s="84"/>
      <c r="G2" s="79"/>
      <c r="H2" s="79"/>
      <c r="I2" s="32"/>
      <c r="J2" s="79"/>
      <c r="K2" s="85"/>
      <c r="L2" s="85"/>
      <c r="M2" s="85">
        <f>P!F3</f>
        <v>45869</v>
      </c>
      <c r="N2" s="11"/>
      <c r="O2" s="80"/>
      <c r="P2" s="2"/>
      <c r="Q2" s="86" t="s">
        <v>89</v>
      </c>
      <c r="R2" s="87">
        <f>COUNTIFS(N6:N126,"=C",B6:B126,"=M")</f>
        <v>43</v>
      </c>
      <c r="S2" s="87">
        <f>COUNTIFS(N6:N140,"=N",B6:B140,"=M")</f>
        <v>4</v>
      </c>
      <c r="T2" s="87">
        <f>COUNTIFS(N6:N126,"=a",B6:B126,"=M")</f>
        <v>5</v>
      </c>
      <c r="U2" s="87">
        <f>COUNTIFS(N6:N126,"=F",B6:B126,"=M")</f>
        <v>0</v>
      </c>
      <c r="V2" s="87">
        <f>COUNTIFS(N6:N140,"=R",B6:B140,"=M")</f>
        <v>1</v>
      </c>
      <c r="W2" s="87">
        <f>COUNTIFS(N6:N126,"=IT",B6:B126,"=M")</f>
        <v>0</v>
      </c>
      <c r="X2" s="87">
        <f t="shared" ref="X2:X3" si="0">R2+T2+U2</f>
        <v>48</v>
      </c>
      <c r="Y2" s="87">
        <f t="shared" ref="Y2:Y3" si="1">R2+S2+U2+W2+V2</f>
        <v>48</v>
      </c>
      <c r="Z2" s="87">
        <f t="shared" ref="Z2:Z3" si="2">R2+S2+T2+U2+W2+V2</f>
        <v>53</v>
      </c>
      <c r="AA2" s="2"/>
      <c r="AB2" s="2">
        <f t="shared" ref="AB2:AB3" si="3">S2+V2+W2</f>
        <v>5</v>
      </c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8" ht="17.25" customHeight="1" x14ac:dyDescent="0.3">
      <c r="A3" s="83"/>
      <c r="B3" s="11"/>
      <c r="C3" s="79" t="str">
        <f>P!B6</f>
        <v>Tel: 408.888.2772</v>
      </c>
      <c r="D3" s="79"/>
      <c r="E3" s="11"/>
      <c r="F3" s="79"/>
      <c r="G3" s="79"/>
      <c r="H3" s="79"/>
      <c r="I3" s="32"/>
      <c r="J3" s="79"/>
      <c r="K3" s="79"/>
      <c r="L3" s="79"/>
      <c r="M3" s="79" t="s">
        <v>90</v>
      </c>
      <c r="N3" s="11"/>
      <c r="O3" s="80"/>
      <c r="P3" s="2"/>
      <c r="Q3" s="81" t="s">
        <v>48</v>
      </c>
      <c r="R3" s="87">
        <f>COUNTIFS(N6:N126,"=C",B6:B126,"=E")</f>
        <v>58</v>
      </c>
      <c r="S3" s="87">
        <f>COUNTIFS(N6:N140,"=N",B6:B140,"=E")</f>
        <v>4</v>
      </c>
      <c r="T3" s="87">
        <f>COUNTIFS(N6:N126,"=a",B6:B126,"=e")</f>
        <v>5</v>
      </c>
      <c r="U3" s="87">
        <f>COUNTIFS(N6:N126,"=F",B6:B126,"=E")</f>
        <v>0</v>
      </c>
      <c r="V3" s="87">
        <f>COUNTIFS(N6:N140,"=R",B6:B140,"=E")</f>
        <v>1</v>
      </c>
      <c r="W3" s="87">
        <f>COUNTIFS(N6:N126,"=IT",B6:B126,"=E")</f>
        <v>0</v>
      </c>
      <c r="X3" s="87">
        <f t="shared" si="0"/>
        <v>63</v>
      </c>
      <c r="Y3" s="87">
        <f t="shared" si="1"/>
        <v>63</v>
      </c>
      <c r="Z3" s="87">
        <f t="shared" si="2"/>
        <v>68</v>
      </c>
      <c r="AA3" s="2"/>
      <c r="AB3" s="2">
        <f t="shared" si="3"/>
        <v>5</v>
      </c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8" ht="17.25" customHeight="1" x14ac:dyDescent="0.3">
      <c r="A4" s="83"/>
      <c r="B4" s="11"/>
      <c r="C4" s="79"/>
      <c r="D4" s="79"/>
      <c r="E4" s="11"/>
      <c r="F4" s="79"/>
      <c r="G4" s="79"/>
      <c r="H4" s="79"/>
      <c r="I4" s="32"/>
      <c r="J4" s="79"/>
      <c r="K4" s="79"/>
      <c r="L4" s="79"/>
      <c r="M4" s="79"/>
      <c r="N4" s="11"/>
      <c r="O4" s="80"/>
      <c r="P4" s="2"/>
      <c r="Q4" s="81" t="s">
        <v>91</v>
      </c>
      <c r="R4" s="88">
        <f t="shared" ref="R4:Z4" si="4">R2+R3</f>
        <v>101</v>
      </c>
      <c r="S4" s="88">
        <f t="shared" si="4"/>
        <v>8</v>
      </c>
      <c r="T4" s="88">
        <f t="shared" si="4"/>
        <v>10</v>
      </c>
      <c r="U4" s="88">
        <f t="shared" si="4"/>
        <v>0</v>
      </c>
      <c r="V4" s="88">
        <f t="shared" si="4"/>
        <v>2</v>
      </c>
      <c r="W4" s="88">
        <f t="shared" si="4"/>
        <v>0</v>
      </c>
      <c r="X4" s="88">
        <f t="shared" si="4"/>
        <v>111</v>
      </c>
      <c r="Y4" s="88">
        <f t="shared" si="4"/>
        <v>111</v>
      </c>
      <c r="Z4" s="86">
        <f t="shared" si="4"/>
        <v>121</v>
      </c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8" ht="75" x14ac:dyDescent="0.3">
      <c r="A5" s="89" t="s">
        <v>13</v>
      </c>
      <c r="B5" s="89" t="s">
        <v>92</v>
      </c>
      <c r="C5" s="90" t="s">
        <v>93</v>
      </c>
      <c r="D5" s="90" t="s">
        <v>94</v>
      </c>
      <c r="E5" s="89" t="s">
        <v>95</v>
      </c>
      <c r="F5" s="90" t="s">
        <v>96</v>
      </c>
      <c r="G5" s="89" t="s">
        <v>97</v>
      </c>
      <c r="H5" s="90" t="s">
        <v>98</v>
      </c>
      <c r="I5" s="89" t="s">
        <v>99</v>
      </c>
      <c r="J5" s="90" t="s">
        <v>100</v>
      </c>
      <c r="K5" s="89" t="s">
        <v>101</v>
      </c>
      <c r="L5" s="89" t="s">
        <v>102</v>
      </c>
      <c r="M5" s="89" t="s">
        <v>103</v>
      </c>
      <c r="N5" s="89" t="s">
        <v>104</v>
      </c>
      <c r="O5" s="91" t="s">
        <v>105</v>
      </c>
      <c r="P5" s="92"/>
      <c r="Q5" s="92"/>
      <c r="R5" s="92"/>
      <c r="S5" s="92">
        <f>Y4-X4</f>
        <v>0</v>
      </c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2"/>
      <c r="AV5" s="2"/>
    </row>
    <row r="6" spans="1:48" ht="15" customHeight="1" x14ac:dyDescent="0.3">
      <c r="A6" s="93">
        <v>1</v>
      </c>
      <c r="B6" s="94" t="s">
        <v>89</v>
      </c>
      <c r="C6" s="95" t="s">
        <v>106</v>
      </c>
      <c r="D6" s="95" t="s">
        <v>107</v>
      </c>
      <c r="E6" s="95">
        <v>6</v>
      </c>
      <c r="F6" s="96">
        <v>41507</v>
      </c>
      <c r="G6" s="95" t="s">
        <v>108</v>
      </c>
      <c r="H6" s="95">
        <v>4084894857</v>
      </c>
      <c r="I6" s="95" t="s">
        <v>109</v>
      </c>
      <c r="J6" s="96">
        <v>45704</v>
      </c>
      <c r="K6" s="95"/>
      <c r="L6" s="95"/>
      <c r="M6" s="95" t="s">
        <v>110</v>
      </c>
      <c r="N6" s="97" t="s">
        <v>34</v>
      </c>
      <c r="O6" s="98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99"/>
      <c r="AQ6" s="99"/>
      <c r="AR6" s="99"/>
      <c r="AS6" s="99"/>
      <c r="AT6" s="99"/>
      <c r="AU6" s="100"/>
      <c r="AV6" s="100"/>
    </row>
    <row r="7" spans="1:48" ht="15" customHeight="1" x14ac:dyDescent="0.3">
      <c r="A7" s="93">
        <v>2</v>
      </c>
      <c r="B7" s="94" t="s">
        <v>48</v>
      </c>
      <c r="C7" s="95" t="s">
        <v>106</v>
      </c>
      <c r="D7" s="95" t="s">
        <v>107</v>
      </c>
      <c r="E7" s="95">
        <v>6</v>
      </c>
      <c r="F7" s="96">
        <v>41507</v>
      </c>
      <c r="G7" s="95" t="s">
        <v>108</v>
      </c>
      <c r="H7" s="95">
        <v>4084894857</v>
      </c>
      <c r="I7" s="95" t="s">
        <v>109</v>
      </c>
      <c r="J7" s="96">
        <v>45704</v>
      </c>
      <c r="K7" s="95"/>
      <c r="L7" s="95"/>
      <c r="M7" s="95" t="s">
        <v>110</v>
      </c>
      <c r="N7" s="97" t="s">
        <v>34</v>
      </c>
      <c r="O7" s="98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  <c r="AM7" s="99"/>
      <c r="AN7" s="99"/>
      <c r="AO7" s="99"/>
      <c r="AP7" s="99"/>
      <c r="AQ7" s="99"/>
      <c r="AR7" s="99"/>
      <c r="AS7" s="99"/>
      <c r="AT7" s="99"/>
      <c r="AU7" s="100"/>
      <c r="AV7" s="100"/>
    </row>
    <row r="8" spans="1:48" ht="15" customHeight="1" x14ac:dyDescent="0.4">
      <c r="A8" s="101">
        <v>3</v>
      </c>
      <c r="B8" s="102" t="s">
        <v>48</v>
      </c>
      <c r="C8" s="103" t="s">
        <v>111</v>
      </c>
      <c r="D8" s="103" t="s">
        <v>112</v>
      </c>
      <c r="E8" s="104">
        <v>2</v>
      </c>
      <c r="F8" s="105">
        <v>43249</v>
      </c>
      <c r="G8" s="106" t="s">
        <v>113</v>
      </c>
      <c r="H8" s="106">
        <v>5103033485</v>
      </c>
      <c r="I8" s="106" t="s">
        <v>114</v>
      </c>
      <c r="J8" s="105">
        <v>45829</v>
      </c>
      <c r="K8" s="107" t="s">
        <v>115</v>
      </c>
      <c r="L8" s="103">
        <v>1</v>
      </c>
      <c r="M8" s="103"/>
      <c r="N8" s="102" t="s">
        <v>40</v>
      </c>
      <c r="O8" s="108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99"/>
      <c r="AQ8" s="99"/>
      <c r="AR8" s="99"/>
      <c r="AS8" s="99"/>
      <c r="AT8" s="99"/>
      <c r="AU8" s="100"/>
      <c r="AV8" s="100"/>
    </row>
    <row r="9" spans="1:48" ht="15" customHeight="1" x14ac:dyDescent="0.4">
      <c r="A9" s="101">
        <v>4</v>
      </c>
      <c r="B9" s="102" t="s">
        <v>48</v>
      </c>
      <c r="C9" s="103" t="s">
        <v>116</v>
      </c>
      <c r="D9" s="103" t="s">
        <v>112</v>
      </c>
      <c r="E9" s="104">
        <v>4</v>
      </c>
      <c r="F9" s="105">
        <v>42320</v>
      </c>
      <c r="G9" s="106" t="s">
        <v>117</v>
      </c>
      <c r="H9" s="106">
        <v>5103033485</v>
      </c>
      <c r="I9" s="106" t="s">
        <v>114</v>
      </c>
      <c r="J9" s="105">
        <v>45829</v>
      </c>
      <c r="K9" s="107" t="s">
        <v>118</v>
      </c>
      <c r="L9" s="103">
        <v>86</v>
      </c>
      <c r="M9" s="103"/>
      <c r="N9" s="102" t="s">
        <v>40</v>
      </c>
      <c r="O9" s="108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99"/>
      <c r="AQ9" s="99"/>
      <c r="AR9" s="99"/>
      <c r="AS9" s="99"/>
      <c r="AT9" s="99"/>
      <c r="AU9" s="100"/>
      <c r="AV9" s="100"/>
    </row>
    <row r="10" spans="1:48" ht="15" customHeight="1" x14ac:dyDescent="0.4">
      <c r="A10" s="101">
        <v>5</v>
      </c>
      <c r="B10" s="102" t="s">
        <v>89</v>
      </c>
      <c r="C10" s="103" t="s">
        <v>116</v>
      </c>
      <c r="D10" s="103" t="s">
        <v>112</v>
      </c>
      <c r="E10" s="104">
        <v>4</v>
      </c>
      <c r="F10" s="105">
        <v>42320</v>
      </c>
      <c r="G10" s="106" t="s">
        <v>119</v>
      </c>
      <c r="H10" s="106">
        <v>5103033485</v>
      </c>
      <c r="I10" s="106" t="s">
        <v>114</v>
      </c>
      <c r="J10" s="105">
        <v>45829</v>
      </c>
      <c r="K10" s="107" t="s">
        <v>120</v>
      </c>
      <c r="L10" s="103">
        <v>1</v>
      </c>
      <c r="M10" s="103" t="s">
        <v>121</v>
      </c>
      <c r="N10" s="102" t="s">
        <v>40</v>
      </c>
      <c r="O10" s="108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99"/>
      <c r="AQ10" s="99"/>
      <c r="AR10" s="99"/>
      <c r="AS10" s="99"/>
      <c r="AT10" s="99"/>
      <c r="AU10" s="100"/>
      <c r="AV10" s="100"/>
    </row>
    <row r="11" spans="1:48" ht="15" customHeight="1" x14ac:dyDescent="0.4">
      <c r="A11" s="101">
        <v>6</v>
      </c>
      <c r="B11" s="109" t="s">
        <v>89</v>
      </c>
      <c r="C11" s="110" t="s">
        <v>122</v>
      </c>
      <c r="D11" s="110" t="s">
        <v>123</v>
      </c>
      <c r="E11" s="109">
        <v>3</v>
      </c>
      <c r="F11" s="111">
        <v>42661</v>
      </c>
      <c r="G11" s="106" t="s">
        <v>124</v>
      </c>
      <c r="H11" s="106">
        <v>4083320446</v>
      </c>
      <c r="I11" s="106" t="s">
        <v>125</v>
      </c>
      <c r="J11" s="111">
        <v>45810</v>
      </c>
      <c r="K11" s="110" t="s">
        <v>126</v>
      </c>
      <c r="L11" s="112">
        <v>91</v>
      </c>
      <c r="M11" s="113"/>
      <c r="N11" s="102" t="s">
        <v>40</v>
      </c>
      <c r="O11" s="111"/>
      <c r="P11" s="114"/>
      <c r="Q11" s="114"/>
      <c r="R11" s="114"/>
      <c r="S11" s="114"/>
      <c r="T11" s="114"/>
      <c r="U11" s="114"/>
      <c r="V11" s="114"/>
      <c r="W11" s="114"/>
      <c r="X11" s="114"/>
      <c r="Y11" s="114"/>
      <c r="Z11" s="114"/>
      <c r="AA11" s="114"/>
      <c r="AB11" s="114"/>
      <c r="AC11" s="114"/>
      <c r="AD11" s="114"/>
      <c r="AE11" s="114"/>
      <c r="AF11" s="114"/>
      <c r="AG11" s="114"/>
      <c r="AH11" s="114"/>
      <c r="AI11" s="114"/>
      <c r="AJ11" s="114"/>
      <c r="AK11" s="114"/>
      <c r="AL11" s="114"/>
      <c r="AM11" s="114"/>
      <c r="AN11" s="114"/>
      <c r="AO11" s="114"/>
      <c r="AP11" s="114"/>
      <c r="AQ11" s="114"/>
      <c r="AR11" s="114"/>
      <c r="AS11" s="114"/>
      <c r="AT11" s="114"/>
      <c r="AU11" s="100"/>
      <c r="AV11" s="100"/>
    </row>
    <row r="12" spans="1:48" ht="15" customHeight="1" x14ac:dyDescent="0.4">
      <c r="A12" s="101">
        <v>7</v>
      </c>
      <c r="B12" s="102" t="s">
        <v>48</v>
      </c>
      <c r="C12" s="103" t="s">
        <v>122</v>
      </c>
      <c r="D12" s="103" t="s">
        <v>123</v>
      </c>
      <c r="E12" s="104">
        <v>3</v>
      </c>
      <c r="F12" s="105">
        <v>42661</v>
      </c>
      <c r="G12" s="106" t="s">
        <v>124</v>
      </c>
      <c r="H12" s="106">
        <v>4083320446</v>
      </c>
      <c r="I12" s="106" t="s">
        <v>125</v>
      </c>
      <c r="J12" s="105">
        <v>45810</v>
      </c>
      <c r="K12" s="107" t="s">
        <v>127</v>
      </c>
      <c r="L12" s="103">
        <v>26</v>
      </c>
      <c r="M12" s="103" t="s">
        <v>128</v>
      </c>
      <c r="N12" s="102" t="s">
        <v>40</v>
      </c>
      <c r="O12" s="108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99"/>
      <c r="AQ12" s="99"/>
      <c r="AR12" s="99"/>
      <c r="AS12" s="99"/>
      <c r="AT12" s="99"/>
      <c r="AU12" s="100"/>
      <c r="AV12" s="100"/>
    </row>
    <row r="13" spans="1:48" ht="15" customHeight="1" x14ac:dyDescent="0.3">
      <c r="A13" s="101">
        <v>8</v>
      </c>
      <c r="B13" s="115" t="s">
        <v>89</v>
      </c>
      <c r="C13" s="116" t="s">
        <v>129</v>
      </c>
      <c r="D13" s="116" t="s">
        <v>130</v>
      </c>
      <c r="E13" s="116">
        <v>5</v>
      </c>
      <c r="F13" s="117" t="s">
        <v>131</v>
      </c>
      <c r="G13" s="116" t="s">
        <v>132</v>
      </c>
      <c r="H13" s="116">
        <v>5103665279</v>
      </c>
      <c r="I13" s="116" t="s">
        <v>133</v>
      </c>
      <c r="J13" s="117" t="s">
        <v>134</v>
      </c>
      <c r="K13" s="116" t="s">
        <v>135</v>
      </c>
      <c r="L13" s="116">
        <v>16</v>
      </c>
      <c r="M13" s="116"/>
      <c r="N13" s="118" t="s">
        <v>40</v>
      </c>
      <c r="O13" s="119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  <c r="AC13" s="120"/>
      <c r="AD13" s="120"/>
      <c r="AE13" s="120"/>
      <c r="AF13" s="120"/>
      <c r="AG13" s="120"/>
      <c r="AH13" s="120"/>
      <c r="AI13" s="120"/>
      <c r="AJ13" s="120"/>
      <c r="AK13" s="120"/>
      <c r="AL13" s="120"/>
      <c r="AM13" s="120"/>
      <c r="AN13" s="120"/>
      <c r="AO13" s="120"/>
      <c r="AP13" s="120"/>
      <c r="AQ13" s="120"/>
      <c r="AR13" s="120"/>
      <c r="AS13" s="120"/>
      <c r="AT13" s="120"/>
      <c r="AU13" s="121"/>
      <c r="AV13" s="121"/>
    </row>
    <row r="14" spans="1:48" ht="15" customHeight="1" x14ac:dyDescent="0.3">
      <c r="A14" s="101">
        <v>9</v>
      </c>
      <c r="B14" s="115" t="s">
        <v>48</v>
      </c>
      <c r="C14" s="116" t="s">
        <v>129</v>
      </c>
      <c r="D14" s="116" t="s">
        <v>130</v>
      </c>
      <c r="E14" s="116">
        <v>5</v>
      </c>
      <c r="F14" s="117" t="s">
        <v>131</v>
      </c>
      <c r="G14" s="116" t="s">
        <v>132</v>
      </c>
      <c r="H14" s="116">
        <v>5103665279</v>
      </c>
      <c r="I14" s="116" t="s">
        <v>133</v>
      </c>
      <c r="J14" s="117">
        <v>45536</v>
      </c>
      <c r="K14" s="116" t="s">
        <v>136</v>
      </c>
      <c r="L14" s="116">
        <v>26</v>
      </c>
      <c r="M14" s="116"/>
      <c r="N14" s="118" t="s">
        <v>40</v>
      </c>
      <c r="O14" s="119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  <c r="AA14" s="120"/>
      <c r="AB14" s="120"/>
      <c r="AC14" s="120"/>
      <c r="AD14" s="120"/>
      <c r="AE14" s="120"/>
      <c r="AF14" s="120"/>
      <c r="AG14" s="120"/>
      <c r="AH14" s="120"/>
      <c r="AI14" s="120"/>
      <c r="AJ14" s="120"/>
      <c r="AK14" s="120"/>
      <c r="AL14" s="120"/>
      <c r="AM14" s="120"/>
      <c r="AN14" s="120"/>
      <c r="AO14" s="120"/>
      <c r="AP14" s="120"/>
      <c r="AQ14" s="120"/>
      <c r="AR14" s="120"/>
      <c r="AS14" s="120"/>
      <c r="AT14" s="120"/>
      <c r="AU14" s="121"/>
      <c r="AV14" s="121"/>
    </row>
    <row r="15" spans="1:48" ht="15" customHeight="1" x14ac:dyDescent="0.3">
      <c r="A15" s="101">
        <v>10</v>
      </c>
      <c r="B15" s="88" t="s">
        <v>48</v>
      </c>
      <c r="C15" s="122" t="s">
        <v>137</v>
      </c>
      <c r="D15" s="122" t="s">
        <v>138</v>
      </c>
      <c r="E15" s="122">
        <v>2</v>
      </c>
      <c r="F15" s="123" t="s">
        <v>139</v>
      </c>
      <c r="G15" s="122" t="s">
        <v>140</v>
      </c>
      <c r="H15" s="122">
        <v>5623488522</v>
      </c>
      <c r="I15" s="122" t="s">
        <v>141</v>
      </c>
      <c r="J15" s="123" t="s">
        <v>142</v>
      </c>
      <c r="K15" s="122" t="s">
        <v>143</v>
      </c>
      <c r="L15" s="122">
        <v>56</v>
      </c>
      <c r="M15" s="122"/>
      <c r="N15" s="124" t="s">
        <v>40</v>
      </c>
      <c r="O15" s="125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99"/>
      <c r="AQ15" s="99"/>
      <c r="AR15" s="99"/>
      <c r="AS15" s="99"/>
      <c r="AT15" s="99"/>
      <c r="AU15" s="100"/>
      <c r="AV15" s="100"/>
    </row>
    <row r="16" spans="1:48" ht="15" customHeight="1" x14ac:dyDescent="0.3">
      <c r="A16" s="101">
        <v>11</v>
      </c>
      <c r="B16" s="88" t="s">
        <v>89</v>
      </c>
      <c r="C16" s="122" t="s">
        <v>137</v>
      </c>
      <c r="D16" s="122" t="s">
        <v>138</v>
      </c>
      <c r="E16" s="122">
        <v>2</v>
      </c>
      <c r="F16" s="123" t="s">
        <v>139</v>
      </c>
      <c r="G16" s="122" t="s">
        <v>140</v>
      </c>
      <c r="H16" s="122">
        <v>5623488522</v>
      </c>
      <c r="I16" s="122" t="s">
        <v>141</v>
      </c>
      <c r="J16" s="123" t="s">
        <v>142</v>
      </c>
      <c r="K16" s="122" t="s">
        <v>115</v>
      </c>
      <c r="L16" s="122">
        <v>1</v>
      </c>
      <c r="M16" s="122"/>
      <c r="N16" s="124" t="s">
        <v>40</v>
      </c>
      <c r="O16" s="125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99"/>
      <c r="AQ16" s="99"/>
      <c r="AR16" s="99"/>
      <c r="AS16" s="99"/>
      <c r="AT16" s="99"/>
      <c r="AU16" s="100"/>
      <c r="AV16" s="100"/>
    </row>
    <row r="17" spans="1:48" ht="15" customHeight="1" x14ac:dyDescent="0.3">
      <c r="A17" s="101">
        <v>12</v>
      </c>
      <c r="B17" s="101" t="s">
        <v>48</v>
      </c>
      <c r="C17" s="126" t="s">
        <v>144</v>
      </c>
      <c r="D17" s="126" t="s">
        <v>145</v>
      </c>
      <c r="E17" s="126">
        <v>1</v>
      </c>
      <c r="F17" s="127">
        <v>43285</v>
      </c>
      <c r="G17" s="128" t="s">
        <v>146</v>
      </c>
      <c r="H17" s="128">
        <v>8584722267</v>
      </c>
      <c r="I17" s="128" t="s">
        <v>147</v>
      </c>
      <c r="J17" s="123">
        <v>45717</v>
      </c>
      <c r="K17" s="126" t="s">
        <v>115</v>
      </c>
      <c r="L17" s="126">
        <v>1</v>
      </c>
      <c r="M17" s="122"/>
      <c r="N17" s="124" t="s">
        <v>40</v>
      </c>
      <c r="O17" s="129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  <c r="AA17" s="114"/>
      <c r="AB17" s="114"/>
      <c r="AC17" s="114"/>
      <c r="AD17" s="114"/>
      <c r="AE17" s="114"/>
      <c r="AF17" s="114"/>
      <c r="AG17" s="114"/>
      <c r="AH17" s="114"/>
      <c r="AI17" s="114"/>
      <c r="AJ17" s="114"/>
      <c r="AK17" s="114"/>
      <c r="AL17" s="114"/>
      <c r="AM17" s="114"/>
      <c r="AN17" s="114"/>
      <c r="AO17" s="114"/>
      <c r="AP17" s="114"/>
      <c r="AQ17" s="114"/>
      <c r="AR17" s="114"/>
      <c r="AS17" s="114"/>
      <c r="AT17" s="114"/>
      <c r="AU17" s="100"/>
      <c r="AV17" s="100"/>
    </row>
    <row r="18" spans="1:48" ht="15" customHeight="1" x14ac:dyDescent="0.3">
      <c r="A18" s="101">
        <v>13</v>
      </c>
      <c r="B18" s="101" t="s">
        <v>89</v>
      </c>
      <c r="C18" s="126" t="s">
        <v>144</v>
      </c>
      <c r="D18" s="126" t="s">
        <v>145</v>
      </c>
      <c r="E18" s="126">
        <v>1</v>
      </c>
      <c r="F18" s="127">
        <v>43285</v>
      </c>
      <c r="G18" s="128" t="s">
        <v>148</v>
      </c>
      <c r="H18" s="128">
        <v>8584722267</v>
      </c>
      <c r="I18" s="128" t="s">
        <v>147</v>
      </c>
      <c r="J18" s="123">
        <v>45717</v>
      </c>
      <c r="K18" s="126" t="s">
        <v>149</v>
      </c>
      <c r="L18" s="126">
        <v>31</v>
      </c>
      <c r="M18" s="130"/>
      <c r="N18" s="124" t="s">
        <v>40</v>
      </c>
      <c r="O18" s="129"/>
      <c r="P18" s="114"/>
      <c r="Q18" s="114"/>
      <c r="R18" s="114"/>
      <c r="S18" s="114"/>
      <c r="T18" s="114"/>
      <c r="U18" s="114"/>
      <c r="V18" s="114"/>
      <c r="W18" s="114"/>
      <c r="X18" s="114"/>
      <c r="Y18" s="114"/>
      <c r="Z18" s="114"/>
      <c r="AA18" s="114"/>
      <c r="AB18" s="114"/>
      <c r="AC18" s="114"/>
      <c r="AD18" s="114"/>
      <c r="AE18" s="114"/>
      <c r="AF18" s="114"/>
      <c r="AG18" s="114"/>
      <c r="AH18" s="114"/>
      <c r="AI18" s="114"/>
      <c r="AJ18" s="114"/>
      <c r="AK18" s="114"/>
      <c r="AL18" s="114"/>
      <c r="AM18" s="114"/>
      <c r="AN18" s="114"/>
      <c r="AO18" s="114"/>
      <c r="AP18" s="114"/>
      <c r="AQ18" s="114"/>
      <c r="AR18" s="114"/>
      <c r="AS18" s="114"/>
      <c r="AT18" s="114"/>
      <c r="AU18" s="100"/>
      <c r="AV18" s="100"/>
    </row>
    <row r="19" spans="1:48" ht="15" customHeight="1" x14ac:dyDescent="0.3">
      <c r="A19" s="101">
        <v>14</v>
      </c>
      <c r="B19" s="115" t="s">
        <v>48</v>
      </c>
      <c r="C19" s="131" t="s">
        <v>150</v>
      </c>
      <c r="D19" s="116" t="s">
        <v>151</v>
      </c>
      <c r="E19" s="116">
        <v>1</v>
      </c>
      <c r="F19" s="117">
        <v>43091</v>
      </c>
      <c r="G19" s="116" t="s">
        <v>152</v>
      </c>
      <c r="H19" s="116">
        <v>6509967701</v>
      </c>
      <c r="I19" s="116" t="s">
        <v>153</v>
      </c>
      <c r="J19" s="117">
        <v>45537</v>
      </c>
      <c r="K19" s="116" t="s">
        <v>115</v>
      </c>
      <c r="L19" s="116">
        <v>86</v>
      </c>
      <c r="M19" s="116"/>
      <c r="N19" s="118" t="s">
        <v>40</v>
      </c>
      <c r="O19" s="119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  <c r="AA19" s="120"/>
      <c r="AB19" s="120"/>
      <c r="AC19" s="120"/>
      <c r="AD19" s="120"/>
      <c r="AE19" s="120"/>
      <c r="AF19" s="120"/>
      <c r="AG19" s="120"/>
      <c r="AH19" s="120"/>
      <c r="AI19" s="120"/>
      <c r="AJ19" s="120"/>
      <c r="AK19" s="120"/>
      <c r="AL19" s="120"/>
      <c r="AM19" s="120"/>
      <c r="AN19" s="120"/>
      <c r="AO19" s="120"/>
      <c r="AP19" s="120"/>
      <c r="AQ19" s="120"/>
      <c r="AR19" s="120"/>
      <c r="AS19" s="120"/>
      <c r="AT19" s="120"/>
      <c r="AU19" s="121"/>
      <c r="AV19" s="121"/>
    </row>
    <row r="20" spans="1:48" ht="15" customHeight="1" x14ac:dyDescent="0.3">
      <c r="A20" s="101">
        <v>15</v>
      </c>
      <c r="B20" s="115" t="s">
        <v>89</v>
      </c>
      <c r="C20" s="116" t="s">
        <v>150</v>
      </c>
      <c r="D20" s="116" t="s">
        <v>151</v>
      </c>
      <c r="E20" s="116">
        <v>1</v>
      </c>
      <c r="F20" s="117">
        <v>43091</v>
      </c>
      <c r="G20" s="116" t="s">
        <v>152</v>
      </c>
      <c r="H20" s="116">
        <v>6509967701</v>
      </c>
      <c r="I20" s="116" t="s">
        <v>153</v>
      </c>
      <c r="J20" s="117">
        <v>45537</v>
      </c>
      <c r="K20" s="116" t="s">
        <v>154</v>
      </c>
      <c r="L20" s="116">
        <v>11</v>
      </c>
      <c r="M20" s="116"/>
      <c r="N20" s="118" t="s">
        <v>40</v>
      </c>
      <c r="O20" s="119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  <c r="AA20" s="120"/>
      <c r="AB20" s="120"/>
      <c r="AC20" s="120"/>
      <c r="AD20" s="120"/>
      <c r="AE20" s="120"/>
      <c r="AF20" s="120"/>
      <c r="AG20" s="120"/>
      <c r="AH20" s="120"/>
      <c r="AI20" s="120"/>
      <c r="AJ20" s="120"/>
      <c r="AK20" s="120"/>
      <c r="AL20" s="120"/>
      <c r="AM20" s="120"/>
      <c r="AN20" s="120"/>
      <c r="AO20" s="120"/>
      <c r="AP20" s="120"/>
      <c r="AQ20" s="120"/>
      <c r="AR20" s="120"/>
      <c r="AS20" s="120"/>
      <c r="AT20" s="120"/>
      <c r="AU20" s="121"/>
      <c r="AV20" s="121"/>
    </row>
    <row r="21" spans="1:48" ht="15" customHeight="1" x14ac:dyDescent="0.3">
      <c r="A21" s="101">
        <v>16</v>
      </c>
      <c r="B21" s="88" t="s">
        <v>48</v>
      </c>
      <c r="C21" s="122" t="s">
        <v>155</v>
      </c>
      <c r="D21" s="122" t="s">
        <v>156</v>
      </c>
      <c r="E21" s="122">
        <v>1</v>
      </c>
      <c r="F21" s="123" t="s">
        <v>157</v>
      </c>
      <c r="G21" s="122" t="s">
        <v>158</v>
      </c>
      <c r="H21" s="122">
        <v>6282247551</v>
      </c>
      <c r="I21" s="122" t="s">
        <v>159</v>
      </c>
      <c r="J21" s="123" t="s">
        <v>160</v>
      </c>
      <c r="K21" s="122" t="s">
        <v>161</v>
      </c>
      <c r="L21" s="122">
        <v>96</v>
      </c>
      <c r="M21" s="122"/>
      <c r="N21" s="124" t="s">
        <v>40</v>
      </c>
      <c r="O21" s="125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99"/>
      <c r="AQ21" s="99"/>
      <c r="AR21" s="99"/>
      <c r="AS21" s="99"/>
      <c r="AT21" s="99"/>
      <c r="AU21" s="100"/>
      <c r="AV21" s="100"/>
    </row>
    <row r="22" spans="1:48" ht="15" customHeight="1" x14ac:dyDescent="0.3">
      <c r="A22" s="101">
        <v>17</v>
      </c>
      <c r="B22" s="88" t="s">
        <v>89</v>
      </c>
      <c r="C22" s="122" t="s">
        <v>155</v>
      </c>
      <c r="D22" s="122" t="s">
        <v>156</v>
      </c>
      <c r="E22" s="122">
        <v>1</v>
      </c>
      <c r="F22" s="123" t="s">
        <v>157</v>
      </c>
      <c r="G22" s="122" t="s">
        <v>158</v>
      </c>
      <c r="H22" s="122">
        <v>6282247551</v>
      </c>
      <c r="I22" s="122" t="s">
        <v>159</v>
      </c>
      <c r="J22" s="123" t="s">
        <v>160</v>
      </c>
      <c r="K22" s="122" t="s">
        <v>162</v>
      </c>
      <c r="L22" s="122">
        <v>25</v>
      </c>
      <c r="M22" s="122"/>
      <c r="N22" s="124" t="s">
        <v>40</v>
      </c>
      <c r="O22" s="125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99"/>
      <c r="AQ22" s="99"/>
      <c r="AR22" s="99"/>
      <c r="AS22" s="99"/>
      <c r="AT22" s="99"/>
      <c r="AU22" s="100"/>
      <c r="AV22" s="100"/>
    </row>
    <row r="23" spans="1:48" ht="15" customHeight="1" x14ac:dyDescent="0.4">
      <c r="A23" s="101">
        <v>18</v>
      </c>
      <c r="B23" s="94" t="s">
        <v>89</v>
      </c>
      <c r="C23" s="98" t="s">
        <v>163</v>
      </c>
      <c r="D23" s="98" t="s">
        <v>164</v>
      </c>
      <c r="E23" s="132">
        <v>4</v>
      </c>
      <c r="F23" s="133">
        <v>42433</v>
      </c>
      <c r="G23" s="98" t="s">
        <v>165</v>
      </c>
      <c r="H23" s="134">
        <v>5105202610</v>
      </c>
      <c r="I23" s="134" t="s">
        <v>166</v>
      </c>
      <c r="J23" s="133">
        <v>45810</v>
      </c>
      <c r="K23" s="98" t="s">
        <v>167</v>
      </c>
      <c r="L23" s="95">
        <v>28</v>
      </c>
      <c r="M23" s="95"/>
      <c r="N23" s="97" t="s">
        <v>40</v>
      </c>
      <c r="O23" s="98"/>
      <c r="P23" s="135"/>
      <c r="Q23" s="135"/>
      <c r="R23" s="135"/>
      <c r="S23" s="135"/>
      <c r="T23" s="135"/>
      <c r="U23" s="135"/>
      <c r="V23" s="135"/>
      <c r="W23" s="135"/>
      <c r="X23" s="135"/>
      <c r="Y23" s="135"/>
      <c r="Z23" s="135"/>
      <c r="AA23" s="135"/>
      <c r="AB23" s="135"/>
      <c r="AC23" s="135"/>
      <c r="AD23" s="135"/>
      <c r="AE23" s="135"/>
      <c r="AF23" s="135"/>
      <c r="AG23" s="135"/>
      <c r="AH23" s="135"/>
      <c r="AI23" s="135"/>
      <c r="AJ23" s="135"/>
      <c r="AK23" s="135"/>
      <c r="AL23" s="135"/>
      <c r="AM23" s="135"/>
      <c r="AN23" s="135"/>
      <c r="AO23" s="135"/>
      <c r="AP23" s="135"/>
      <c r="AQ23" s="135"/>
      <c r="AR23" s="135"/>
      <c r="AS23" s="135"/>
      <c r="AT23" s="135"/>
      <c r="AU23" s="136"/>
      <c r="AV23" s="136"/>
    </row>
    <row r="24" spans="1:48" ht="15" customHeight="1" x14ac:dyDescent="0.4">
      <c r="A24" s="101">
        <v>19</v>
      </c>
      <c r="B24" s="137" t="s">
        <v>48</v>
      </c>
      <c r="C24" s="112" t="s">
        <v>163</v>
      </c>
      <c r="D24" s="112" t="s">
        <v>164</v>
      </c>
      <c r="E24" s="109">
        <v>4</v>
      </c>
      <c r="F24" s="111">
        <v>42434</v>
      </c>
      <c r="G24" s="110" t="s">
        <v>168</v>
      </c>
      <c r="H24" s="106">
        <v>5105202610</v>
      </c>
      <c r="I24" s="106" t="s">
        <v>166</v>
      </c>
      <c r="J24" s="111">
        <v>45810</v>
      </c>
      <c r="K24" s="110" t="s">
        <v>118</v>
      </c>
      <c r="L24" s="112">
        <v>98</v>
      </c>
      <c r="M24" s="112"/>
      <c r="N24" s="102" t="s">
        <v>34</v>
      </c>
      <c r="O24" s="11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100"/>
      <c r="AI24" s="100"/>
      <c r="AJ24" s="100"/>
      <c r="AK24" s="100"/>
      <c r="AL24" s="100"/>
      <c r="AM24" s="100"/>
      <c r="AN24" s="100"/>
      <c r="AO24" s="100"/>
      <c r="AP24" s="100"/>
      <c r="AQ24" s="100"/>
      <c r="AR24" s="100"/>
      <c r="AS24" s="100"/>
      <c r="AT24" s="100"/>
      <c r="AU24" s="99"/>
      <c r="AV24" s="99"/>
    </row>
    <row r="25" spans="1:48" ht="15" customHeight="1" x14ac:dyDescent="0.3">
      <c r="A25" s="101">
        <v>20</v>
      </c>
      <c r="B25" s="115" t="s">
        <v>48</v>
      </c>
      <c r="C25" s="116" t="s">
        <v>169</v>
      </c>
      <c r="D25" s="116" t="s">
        <v>170</v>
      </c>
      <c r="E25" s="116">
        <v>4</v>
      </c>
      <c r="F25" s="117" t="s">
        <v>171</v>
      </c>
      <c r="G25" s="116" t="s">
        <v>172</v>
      </c>
      <c r="H25" s="116">
        <v>3415296214</v>
      </c>
      <c r="I25" s="116" t="s">
        <v>173</v>
      </c>
      <c r="J25" s="117" t="s">
        <v>174</v>
      </c>
      <c r="K25" s="116" t="s">
        <v>175</v>
      </c>
      <c r="L25" s="116">
        <v>31</v>
      </c>
      <c r="M25" s="116"/>
      <c r="N25" s="118" t="s">
        <v>40</v>
      </c>
      <c r="O25" s="119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  <c r="AA25" s="120"/>
      <c r="AB25" s="120"/>
      <c r="AC25" s="120"/>
      <c r="AD25" s="120"/>
      <c r="AE25" s="120"/>
      <c r="AF25" s="120"/>
      <c r="AG25" s="120"/>
      <c r="AH25" s="120"/>
      <c r="AI25" s="120"/>
      <c r="AJ25" s="120"/>
      <c r="AK25" s="120"/>
      <c r="AL25" s="120"/>
      <c r="AM25" s="120"/>
      <c r="AN25" s="120"/>
      <c r="AO25" s="120"/>
      <c r="AP25" s="120"/>
      <c r="AQ25" s="120"/>
      <c r="AR25" s="120"/>
      <c r="AS25" s="120"/>
      <c r="AT25" s="120"/>
      <c r="AU25" s="121"/>
      <c r="AV25" s="121"/>
    </row>
    <row r="26" spans="1:48" ht="15" customHeight="1" x14ac:dyDescent="0.3">
      <c r="A26" s="101">
        <v>21</v>
      </c>
      <c r="B26" s="115" t="s">
        <v>89</v>
      </c>
      <c r="C26" s="116" t="s">
        <v>169</v>
      </c>
      <c r="D26" s="116" t="s">
        <v>170</v>
      </c>
      <c r="E26" s="116">
        <v>4</v>
      </c>
      <c r="F26" s="117" t="s">
        <v>171</v>
      </c>
      <c r="G26" s="116" t="s">
        <v>172</v>
      </c>
      <c r="H26" s="116">
        <v>3415296214</v>
      </c>
      <c r="I26" s="116" t="s">
        <v>173</v>
      </c>
      <c r="J26" s="117" t="s">
        <v>174</v>
      </c>
      <c r="K26" s="116" t="s">
        <v>176</v>
      </c>
      <c r="L26" s="116">
        <v>41</v>
      </c>
      <c r="M26" s="116"/>
      <c r="N26" s="118" t="s">
        <v>40</v>
      </c>
      <c r="O26" s="119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  <c r="AA26" s="120"/>
      <c r="AB26" s="120"/>
      <c r="AC26" s="120"/>
      <c r="AD26" s="120"/>
      <c r="AE26" s="120"/>
      <c r="AF26" s="120"/>
      <c r="AG26" s="120"/>
      <c r="AH26" s="120"/>
      <c r="AI26" s="120"/>
      <c r="AJ26" s="120"/>
      <c r="AK26" s="120"/>
      <c r="AL26" s="120"/>
      <c r="AM26" s="120"/>
      <c r="AN26" s="120"/>
      <c r="AO26" s="120"/>
      <c r="AP26" s="120"/>
      <c r="AQ26" s="120"/>
      <c r="AR26" s="120"/>
      <c r="AS26" s="120"/>
      <c r="AT26" s="120"/>
      <c r="AU26" s="121"/>
      <c r="AV26" s="121"/>
    </row>
    <row r="27" spans="1:48" ht="15" customHeight="1" x14ac:dyDescent="0.3">
      <c r="A27" s="101">
        <v>22</v>
      </c>
      <c r="B27" s="88" t="s">
        <v>48</v>
      </c>
      <c r="C27" s="122" t="s">
        <v>177</v>
      </c>
      <c r="D27" s="122" t="s">
        <v>178</v>
      </c>
      <c r="E27" s="122">
        <v>1</v>
      </c>
      <c r="F27" s="123">
        <v>43107</v>
      </c>
      <c r="G27" s="122" t="s">
        <v>179</v>
      </c>
      <c r="H27" s="122">
        <v>6692516113</v>
      </c>
      <c r="I27" s="122" t="s">
        <v>180</v>
      </c>
      <c r="J27" s="123">
        <v>45566</v>
      </c>
      <c r="K27" s="122" t="s">
        <v>127</v>
      </c>
      <c r="L27" s="122">
        <v>1</v>
      </c>
      <c r="M27" s="122"/>
      <c r="N27" s="124" t="s">
        <v>40</v>
      </c>
      <c r="O27" s="125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99"/>
      <c r="AQ27" s="99"/>
      <c r="AR27" s="99"/>
      <c r="AS27" s="99"/>
      <c r="AT27" s="99"/>
      <c r="AU27" s="100"/>
      <c r="AV27" s="100"/>
    </row>
    <row r="28" spans="1:48" ht="15" customHeight="1" x14ac:dyDescent="0.3">
      <c r="A28" s="101">
        <v>23</v>
      </c>
      <c r="B28" s="138" t="s">
        <v>48</v>
      </c>
      <c r="C28" s="122" t="s">
        <v>181</v>
      </c>
      <c r="D28" s="122" t="s">
        <v>182</v>
      </c>
      <c r="E28" s="122" t="s">
        <v>183</v>
      </c>
      <c r="F28" s="123">
        <v>43556</v>
      </c>
      <c r="G28" s="122" t="s">
        <v>184</v>
      </c>
      <c r="H28" s="122">
        <v>2147624191</v>
      </c>
      <c r="I28" s="122" t="s">
        <v>185</v>
      </c>
      <c r="J28" s="123">
        <v>45740</v>
      </c>
      <c r="K28" s="122" t="s">
        <v>186</v>
      </c>
      <c r="L28" s="122">
        <v>101</v>
      </c>
      <c r="M28" s="126"/>
      <c r="N28" s="124" t="s">
        <v>40</v>
      </c>
      <c r="O28" s="129"/>
      <c r="P28" s="114"/>
      <c r="Q28" s="114"/>
      <c r="R28" s="114"/>
      <c r="S28" s="114"/>
      <c r="T28" s="114"/>
      <c r="U28" s="114"/>
      <c r="V28" s="114"/>
      <c r="W28" s="114"/>
      <c r="X28" s="114"/>
      <c r="Y28" s="114"/>
      <c r="Z28" s="114"/>
      <c r="AA28" s="114"/>
      <c r="AB28" s="114"/>
      <c r="AC28" s="114"/>
      <c r="AD28" s="114"/>
      <c r="AE28" s="114"/>
      <c r="AF28" s="114"/>
      <c r="AG28" s="114"/>
      <c r="AH28" s="114"/>
      <c r="AI28" s="114"/>
      <c r="AJ28" s="114"/>
      <c r="AK28" s="114"/>
      <c r="AL28" s="114"/>
      <c r="AM28" s="114"/>
      <c r="AN28" s="114"/>
      <c r="AO28" s="114"/>
      <c r="AP28" s="114"/>
      <c r="AQ28" s="114"/>
      <c r="AR28" s="114"/>
      <c r="AS28" s="114"/>
      <c r="AT28" s="114"/>
      <c r="AU28" s="100"/>
      <c r="AV28" s="100"/>
    </row>
    <row r="29" spans="1:48" ht="15" customHeight="1" x14ac:dyDescent="0.3">
      <c r="A29" s="101">
        <v>24</v>
      </c>
      <c r="B29" s="138" t="s">
        <v>89</v>
      </c>
      <c r="C29" s="122" t="s">
        <v>187</v>
      </c>
      <c r="D29" s="122" t="s">
        <v>182</v>
      </c>
      <c r="E29" s="122" t="s">
        <v>183</v>
      </c>
      <c r="F29" s="123">
        <v>43556</v>
      </c>
      <c r="G29" s="122" t="s">
        <v>184</v>
      </c>
      <c r="H29" s="122">
        <v>2147624191</v>
      </c>
      <c r="I29" s="122" t="s">
        <v>185</v>
      </c>
      <c r="J29" s="123">
        <v>45740</v>
      </c>
      <c r="K29" s="122" t="s">
        <v>154</v>
      </c>
      <c r="L29" s="122">
        <v>36</v>
      </c>
      <c r="M29" s="126"/>
      <c r="N29" s="124" t="s">
        <v>40</v>
      </c>
      <c r="O29" s="129"/>
      <c r="P29" s="114"/>
      <c r="Q29" s="114"/>
      <c r="R29" s="114"/>
      <c r="S29" s="114"/>
      <c r="T29" s="114"/>
      <c r="U29" s="114"/>
      <c r="V29" s="114"/>
      <c r="W29" s="114"/>
      <c r="X29" s="114"/>
      <c r="Y29" s="114"/>
      <c r="Z29" s="114"/>
      <c r="AA29" s="114"/>
      <c r="AB29" s="114"/>
      <c r="AC29" s="114"/>
      <c r="AD29" s="114"/>
      <c r="AE29" s="114"/>
      <c r="AF29" s="114"/>
      <c r="AG29" s="114"/>
      <c r="AH29" s="114"/>
      <c r="AI29" s="114"/>
      <c r="AJ29" s="114"/>
      <c r="AK29" s="114"/>
      <c r="AL29" s="114"/>
      <c r="AM29" s="114"/>
      <c r="AN29" s="114"/>
      <c r="AO29" s="114"/>
      <c r="AP29" s="114"/>
      <c r="AQ29" s="114"/>
      <c r="AR29" s="114"/>
      <c r="AS29" s="114"/>
      <c r="AT29" s="114"/>
      <c r="AU29" s="100"/>
      <c r="AV29" s="100"/>
    </row>
    <row r="30" spans="1:48" ht="15" customHeight="1" x14ac:dyDescent="0.3">
      <c r="A30" s="101">
        <v>25</v>
      </c>
      <c r="B30" s="88" t="s">
        <v>48</v>
      </c>
      <c r="C30" s="122" t="s">
        <v>188</v>
      </c>
      <c r="D30" s="122" t="s">
        <v>189</v>
      </c>
      <c r="E30" s="122">
        <v>6</v>
      </c>
      <c r="F30" s="123">
        <v>41275</v>
      </c>
      <c r="G30" s="122" t="s">
        <v>190</v>
      </c>
      <c r="H30" s="122">
        <v>4085120113</v>
      </c>
      <c r="I30" s="122" t="s">
        <v>191</v>
      </c>
      <c r="J30" s="123">
        <v>45689</v>
      </c>
      <c r="K30" s="122" t="s">
        <v>136</v>
      </c>
      <c r="L30" s="122">
        <v>61</v>
      </c>
      <c r="M30" s="122"/>
      <c r="N30" s="124" t="s">
        <v>40</v>
      </c>
      <c r="O30" s="125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99"/>
      <c r="AQ30" s="99"/>
      <c r="AR30" s="99"/>
      <c r="AS30" s="99"/>
      <c r="AT30" s="99"/>
      <c r="AU30" s="100"/>
      <c r="AV30" s="100"/>
    </row>
    <row r="31" spans="1:48" ht="15" customHeight="1" x14ac:dyDescent="0.3">
      <c r="A31" s="101">
        <v>26</v>
      </c>
      <c r="B31" s="88" t="s">
        <v>48</v>
      </c>
      <c r="C31" s="122" t="s">
        <v>192</v>
      </c>
      <c r="D31" s="122" t="s">
        <v>193</v>
      </c>
      <c r="E31" s="122">
        <v>4</v>
      </c>
      <c r="F31" s="123">
        <v>42277</v>
      </c>
      <c r="G31" s="122" t="s">
        <v>194</v>
      </c>
      <c r="H31" s="122">
        <v>3472777326</v>
      </c>
      <c r="I31" s="122" t="s">
        <v>195</v>
      </c>
      <c r="J31" s="123">
        <v>45536</v>
      </c>
      <c r="K31" s="122" t="s">
        <v>175</v>
      </c>
      <c r="L31" s="122">
        <v>16</v>
      </c>
      <c r="M31" s="122"/>
      <c r="N31" s="124" t="s">
        <v>40</v>
      </c>
      <c r="O31" s="125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99"/>
      <c r="AQ31" s="99"/>
      <c r="AR31" s="99"/>
      <c r="AS31" s="99"/>
      <c r="AT31" s="99"/>
      <c r="AU31" s="100"/>
      <c r="AV31" s="100"/>
    </row>
    <row r="32" spans="1:48" ht="15" customHeight="1" x14ac:dyDescent="0.3">
      <c r="A32" s="101">
        <v>27</v>
      </c>
      <c r="B32" s="88" t="s">
        <v>89</v>
      </c>
      <c r="C32" s="122" t="s">
        <v>192</v>
      </c>
      <c r="D32" s="122" t="s">
        <v>193</v>
      </c>
      <c r="E32" s="122">
        <v>4</v>
      </c>
      <c r="F32" s="123">
        <v>42277</v>
      </c>
      <c r="G32" s="122" t="s">
        <v>194</v>
      </c>
      <c r="H32" s="122">
        <v>3472777326</v>
      </c>
      <c r="I32" s="122" t="s">
        <v>195</v>
      </c>
      <c r="J32" s="123">
        <v>45536</v>
      </c>
      <c r="K32" s="122" t="s">
        <v>196</v>
      </c>
      <c r="L32" s="122">
        <v>56</v>
      </c>
      <c r="M32" s="122"/>
      <c r="N32" s="124" t="s">
        <v>40</v>
      </c>
      <c r="O32" s="125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99"/>
      <c r="AQ32" s="99"/>
      <c r="AR32" s="99"/>
      <c r="AS32" s="99"/>
      <c r="AT32" s="99"/>
      <c r="AU32" s="100"/>
      <c r="AV32" s="100"/>
    </row>
    <row r="33" spans="1:48" ht="15" customHeight="1" x14ac:dyDescent="0.3">
      <c r="A33" s="101">
        <v>28</v>
      </c>
      <c r="B33" s="88" t="s">
        <v>48</v>
      </c>
      <c r="C33" s="122" t="s">
        <v>192</v>
      </c>
      <c r="D33" s="122" t="s">
        <v>197</v>
      </c>
      <c r="E33" s="122">
        <v>1</v>
      </c>
      <c r="F33" s="123">
        <v>43431</v>
      </c>
      <c r="G33" s="122" t="s">
        <v>198</v>
      </c>
      <c r="H33" s="122">
        <v>3472777326</v>
      </c>
      <c r="I33" s="122" t="s">
        <v>195</v>
      </c>
      <c r="J33" s="123">
        <v>45536</v>
      </c>
      <c r="K33" s="84" t="s">
        <v>186</v>
      </c>
      <c r="L33" s="122">
        <v>11</v>
      </c>
      <c r="M33" s="122"/>
      <c r="N33" s="124" t="s">
        <v>40</v>
      </c>
      <c r="O33" s="125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99"/>
      <c r="AQ33" s="99"/>
      <c r="AR33" s="99"/>
      <c r="AS33" s="99"/>
      <c r="AT33" s="99"/>
      <c r="AU33" s="100"/>
      <c r="AV33" s="100"/>
    </row>
    <row r="34" spans="1:48" ht="15" customHeight="1" x14ac:dyDescent="0.3">
      <c r="A34" s="101">
        <v>29</v>
      </c>
      <c r="B34" s="88" t="s">
        <v>89</v>
      </c>
      <c r="C34" s="122" t="s">
        <v>192</v>
      </c>
      <c r="D34" s="122" t="s">
        <v>197</v>
      </c>
      <c r="E34" s="122">
        <v>1</v>
      </c>
      <c r="F34" s="123">
        <v>43431</v>
      </c>
      <c r="G34" s="122" t="s">
        <v>198</v>
      </c>
      <c r="H34" s="122">
        <v>3472777326</v>
      </c>
      <c r="I34" s="122" t="s">
        <v>195</v>
      </c>
      <c r="J34" s="123">
        <v>45536</v>
      </c>
      <c r="K34" s="84" t="s">
        <v>154</v>
      </c>
      <c r="L34" s="122">
        <v>76</v>
      </c>
      <c r="M34" s="122"/>
      <c r="N34" s="124" t="s">
        <v>40</v>
      </c>
      <c r="O34" s="125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99"/>
      <c r="AQ34" s="99"/>
      <c r="AR34" s="99"/>
      <c r="AS34" s="99"/>
      <c r="AT34" s="99"/>
      <c r="AU34" s="100"/>
      <c r="AV34" s="100"/>
    </row>
    <row r="35" spans="1:48" ht="15" customHeight="1" x14ac:dyDescent="0.3">
      <c r="A35" s="101">
        <v>30</v>
      </c>
      <c r="B35" s="88" t="s">
        <v>48</v>
      </c>
      <c r="C35" s="122" t="s">
        <v>199</v>
      </c>
      <c r="D35" s="122" t="s">
        <v>200</v>
      </c>
      <c r="E35" s="122" t="s">
        <v>201</v>
      </c>
      <c r="F35" s="123" t="s">
        <v>202</v>
      </c>
      <c r="G35" s="122" t="s">
        <v>203</v>
      </c>
      <c r="H35" s="122">
        <v>6176765481</v>
      </c>
      <c r="I35" s="122" t="s">
        <v>204</v>
      </c>
      <c r="J35" s="123">
        <v>45689</v>
      </c>
      <c r="K35" s="122" t="s">
        <v>205</v>
      </c>
      <c r="L35" s="122">
        <v>91</v>
      </c>
      <c r="M35" s="122"/>
      <c r="N35" s="124" t="s">
        <v>40</v>
      </c>
      <c r="O35" s="125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  <c r="AA35" s="99"/>
      <c r="AB35" s="99"/>
      <c r="AC35" s="99"/>
      <c r="AD35" s="99"/>
      <c r="AE35" s="99"/>
      <c r="AF35" s="99"/>
      <c r="AG35" s="99"/>
      <c r="AH35" s="99"/>
      <c r="AI35" s="99"/>
      <c r="AJ35" s="99"/>
      <c r="AK35" s="99"/>
      <c r="AL35" s="99"/>
      <c r="AM35" s="99"/>
      <c r="AN35" s="99"/>
      <c r="AO35" s="99"/>
      <c r="AP35" s="99"/>
      <c r="AQ35" s="99"/>
      <c r="AR35" s="99"/>
      <c r="AS35" s="99"/>
      <c r="AT35" s="99"/>
      <c r="AU35" s="100"/>
      <c r="AV35" s="100"/>
    </row>
    <row r="36" spans="1:48" ht="15" customHeight="1" x14ac:dyDescent="0.3">
      <c r="A36" s="101">
        <v>31</v>
      </c>
      <c r="B36" s="88" t="s">
        <v>89</v>
      </c>
      <c r="C36" s="122" t="s">
        <v>199</v>
      </c>
      <c r="D36" s="122" t="s">
        <v>200</v>
      </c>
      <c r="E36" s="122" t="s">
        <v>201</v>
      </c>
      <c r="F36" s="123" t="s">
        <v>202</v>
      </c>
      <c r="G36" s="122" t="s">
        <v>203</v>
      </c>
      <c r="H36" s="122">
        <v>6176765481</v>
      </c>
      <c r="I36" s="122" t="s">
        <v>204</v>
      </c>
      <c r="J36" s="123">
        <v>45689</v>
      </c>
      <c r="K36" s="122" t="s">
        <v>126</v>
      </c>
      <c r="L36" s="122">
        <v>68</v>
      </c>
      <c r="M36" s="122"/>
      <c r="N36" s="124" t="s">
        <v>40</v>
      </c>
      <c r="O36" s="125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  <c r="AA36" s="99"/>
      <c r="AB36" s="99"/>
      <c r="AC36" s="99"/>
      <c r="AD36" s="99"/>
      <c r="AE36" s="99"/>
      <c r="AF36" s="99"/>
      <c r="AG36" s="99"/>
      <c r="AH36" s="99"/>
      <c r="AI36" s="99"/>
      <c r="AJ36" s="99"/>
      <c r="AK36" s="99"/>
      <c r="AL36" s="99"/>
      <c r="AM36" s="99"/>
      <c r="AN36" s="99"/>
      <c r="AO36" s="99"/>
      <c r="AP36" s="99"/>
      <c r="AQ36" s="99"/>
      <c r="AR36" s="99"/>
      <c r="AS36" s="99"/>
      <c r="AT36" s="99"/>
      <c r="AU36" s="100"/>
      <c r="AV36" s="100"/>
    </row>
    <row r="37" spans="1:48" ht="15" customHeight="1" x14ac:dyDescent="0.3">
      <c r="A37" s="101">
        <v>32</v>
      </c>
      <c r="B37" s="88" t="s">
        <v>48</v>
      </c>
      <c r="C37" s="122" t="s">
        <v>206</v>
      </c>
      <c r="D37" s="122" t="s">
        <v>207</v>
      </c>
      <c r="E37" s="122">
        <v>2</v>
      </c>
      <c r="F37" s="123">
        <v>42045</v>
      </c>
      <c r="G37" s="122" t="s">
        <v>208</v>
      </c>
      <c r="H37" s="122">
        <v>6692138834</v>
      </c>
      <c r="I37" s="122" t="s">
        <v>209</v>
      </c>
      <c r="J37" s="123">
        <v>45293</v>
      </c>
      <c r="K37" s="122" t="s">
        <v>210</v>
      </c>
      <c r="L37" s="122">
        <v>81</v>
      </c>
      <c r="M37" s="122" t="s">
        <v>211</v>
      </c>
      <c r="N37" s="124" t="s">
        <v>40</v>
      </c>
      <c r="O37" s="125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  <c r="AA37" s="99"/>
      <c r="AB37" s="99"/>
      <c r="AC37" s="99"/>
      <c r="AD37" s="99"/>
      <c r="AE37" s="99"/>
      <c r="AF37" s="99"/>
      <c r="AG37" s="99"/>
      <c r="AH37" s="99"/>
      <c r="AI37" s="99"/>
      <c r="AJ37" s="99"/>
      <c r="AK37" s="99"/>
      <c r="AL37" s="99"/>
      <c r="AM37" s="99"/>
      <c r="AN37" s="99"/>
      <c r="AO37" s="99"/>
      <c r="AP37" s="99"/>
      <c r="AQ37" s="99"/>
      <c r="AR37" s="99"/>
      <c r="AS37" s="99"/>
      <c r="AT37" s="99"/>
      <c r="AU37" s="100"/>
      <c r="AV37" s="100"/>
    </row>
    <row r="38" spans="1:48" ht="15" customHeight="1" x14ac:dyDescent="0.3">
      <c r="A38" s="101">
        <v>33</v>
      </c>
      <c r="B38" s="88" t="s">
        <v>89</v>
      </c>
      <c r="C38" s="122" t="s">
        <v>206</v>
      </c>
      <c r="D38" s="122" t="s">
        <v>207</v>
      </c>
      <c r="E38" s="122">
        <v>2</v>
      </c>
      <c r="F38" s="123">
        <v>42045</v>
      </c>
      <c r="G38" s="122" t="s">
        <v>208</v>
      </c>
      <c r="H38" s="122">
        <v>6692138834</v>
      </c>
      <c r="I38" s="122" t="s">
        <v>209</v>
      </c>
      <c r="J38" s="123">
        <v>45293</v>
      </c>
      <c r="K38" s="122" t="s">
        <v>212</v>
      </c>
      <c r="L38" s="122">
        <v>11</v>
      </c>
      <c r="M38" s="122"/>
      <c r="N38" s="124" t="s">
        <v>40</v>
      </c>
      <c r="O38" s="125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  <c r="AA38" s="99"/>
      <c r="AB38" s="99"/>
      <c r="AC38" s="99"/>
      <c r="AD38" s="99"/>
      <c r="AE38" s="99"/>
      <c r="AF38" s="99"/>
      <c r="AG38" s="99"/>
      <c r="AH38" s="99"/>
      <c r="AI38" s="99"/>
      <c r="AJ38" s="99"/>
      <c r="AK38" s="99"/>
      <c r="AL38" s="99"/>
      <c r="AM38" s="99"/>
      <c r="AN38" s="99"/>
      <c r="AO38" s="99"/>
      <c r="AP38" s="99"/>
      <c r="AQ38" s="99"/>
      <c r="AR38" s="99"/>
      <c r="AS38" s="99"/>
      <c r="AT38" s="99"/>
      <c r="AU38" s="100"/>
      <c r="AV38" s="100"/>
    </row>
    <row r="39" spans="1:48" ht="15" customHeight="1" x14ac:dyDescent="0.3">
      <c r="A39" s="101">
        <v>34</v>
      </c>
      <c r="B39" s="137" t="s">
        <v>89</v>
      </c>
      <c r="C39" s="112" t="s">
        <v>213</v>
      </c>
      <c r="D39" s="112" t="s">
        <v>214</v>
      </c>
      <c r="E39" s="112">
        <v>1</v>
      </c>
      <c r="F39" s="113">
        <v>43329</v>
      </c>
      <c r="G39" s="112" t="s">
        <v>215</v>
      </c>
      <c r="H39" s="112">
        <v>6692438102</v>
      </c>
      <c r="I39" s="112" t="s">
        <v>216</v>
      </c>
      <c r="J39" s="113">
        <v>45536</v>
      </c>
      <c r="K39" s="112" t="s">
        <v>120</v>
      </c>
      <c r="L39" s="112">
        <v>21</v>
      </c>
      <c r="M39" s="112" t="s">
        <v>217</v>
      </c>
      <c r="N39" s="102" t="s">
        <v>40</v>
      </c>
      <c r="O39" s="110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  <c r="AA39" s="99"/>
      <c r="AB39" s="99"/>
      <c r="AC39" s="99"/>
      <c r="AD39" s="99"/>
      <c r="AE39" s="99"/>
      <c r="AF39" s="99"/>
      <c r="AG39" s="99"/>
      <c r="AH39" s="99"/>
      <c r="AI39" s="99"/>
      <c r="AJ39" s="99"/>
      <c r="AK39" s="99"/>
      <c r="AL39" s="99"/>
      <c r="AM39" s="99"/>
      <c r="AN39" s="99"/>
      <c r="AO39" s="99"/>
      <c r="AP39" s="99"/>
      <c r="AQ39" s="99"/>
      <c r="AR39" s="99"/>
      <c r="AS39" s="99"/>
      <c r="AT39" s="99"/>
      <c r="AU39" s="100"/>
      <c r="AV39" s="100"/>
    </row>
    <row r="40" spans="1:48" ht="15" customHeight="1" x14ac:dyDescent="0.3">
      <c r="A40" s="101">
        <v>35</v>
      </c>
      <c r="B40" s="137" t="s">
        <v>48</v>
      </c>
      <c r="C40" s="112" t="s">
        <v>213</v>
      </c>
      <c r="D40" s="112" t="s">
        <v>214</v>
      </c>
      <c r="E40" s="112">
        <v>1</v>
      </c>
      <c r="F40" s="113">
        <v>43329</v>
      </c>
      <c r="G40" s="112" t="s">
        <v>215</v>
      </c>
      <c r="H40" s="112">
        <v>6692438102</v>
      </c>
      <c r="I40" s="112" t="s">
        <v>218</v>
      </c>
      <c r="J40" s="113">
        <v>45536</v>
      </c>
      <c r="K40" s="112" t="s">
        <v>219</v>
      </c>
      <c r="L40" s="112">
        <v>96</v>
      </c>
      <c r="M40" s="112"/>
      <c r="N40" s="102" t="s">
        <v>40</v>
      </c>
      <c r="O40" s="110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  <c r="AA40" s="99"/>
      <c r="AB40" s="99"/>
      <c r="AC40" s="99"/>
      <c r="AD40" s="99"/>
      <c r="AE40" s="99"/>
      <c r="AF40" s="99"/>
      <c r="AG40" s="99"/>
      <c r="AH40" s="99"/>
      <c r="AI40" s="99"/>
      <c r="AJ40" s="99"/>
      <c r="AK40" s="99"/>
      <c r="AL40" s="99"/>
      <c r="AM40" s="99"/>
      <c r="AN40" s="99"/>
      <c r="AO40" s="99"/>
      <c r="AP40" s="99"/>
      <c r="AQ40" s="99"/>
      <c r="AR40" s="99"/>
      <c r="AS40" s="99"/>
      <c r="AT40" s="99"/>
      <c r="AU40" s="100"/>
      <c r="AV40" s="100"/>
    </row>
    <row r="41" spans="1:48" ht="15" customHeight="1" x14ac:dyDescent="0.3">
      <c r="A41" s="101">
        <v>36</v>
      </c>
      <c r="B41" s="88" t="s">
        <v>48</v>
      </c>
      <c r="C41" s="122" t="s">
        <v>220</v>
      </c>
      <c r="D41" s="122" t="s">
        <v>221</v>
      </c>
      <c r="E41" s="122">
        <v>5</v>
      </c>
      <c r="F41" s="123">
        <v>41852</v>
      </c>
      <c r="G41" s="122" t="s">
        <v>222</v>
      </c>
      <c r="H41" s="122" t="s">
        <v>223</v>
      </c>
      <c r="I41" s="139" t="s">
        <v>224</v>
      </c>
      <c r="J41" s="123">
        <v>45806</v>
      </c>
      <c r="K41" s="122" t="s">
        <v>115</v>
      </c>
      <c r="L41" s="122">
        <v>41</v>
      </c>
      <c r="M41" s="122"/>
      <c r="N41" s="124" t="s">
        <v>40</v>
      </c>
      <c r="O41" s="125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  <c r="AA41" s="99"/>
      <c r="AB41" s="99"/>
      <c r="AC41" s="99"/>
      <c r="AD41" s="99"/>
      <c r="AE41" s="99"/>
      <c r="AF41" s="99"/>
      <c r="AG41" s="99"/>
      <c r="AH41" s="99"/>
      <c r="AI41" s="99"/>
      <c r="AJ41" s="99"/>
      <c r="AK41" s="99"/>
      <c r="AL41" s="99"/>
      <c r="AM41" s="99"/>
      <c r="AN41" s="99"/>
      <c r="AO41" s="99"/>
      <c r="AP41" s="99"/>
      <c r="AQ41" s="99"/>
      <c r="AR41" s="99"/>
      <c r="AS41" s="99"/>
      <c r="AT41" s="99"/>
      <c r="AU41" s="100"/>
      <c r="AV41" s="100"/>
    </row>
    <row r="42" spans="1:48" ht="15" customHeight="1" x14ac:dyDescent="0.3">
      <c r="A42" s="101">
        <v>37</v>
      </c>
      <c r="B42" s="88" t="s">
        <v>48</v>
      </c>
      <c r="C42" s="122" t="s">
        <v>225</v>
      </c>
      <c r="D42" s="122" t="s">
        <v>226</v>
      </c>
      <c r="E42" s="122">
        <v>5</v>
      </c>
      <c r="F42" s="123" t="s">
        <v>227</v>
      </c>
      <c r="G42" s="122" t="s">
        <v>228</v>
      </c>
      <c r="H42" s="122">
        <v>4083389401</v>
      </c>
      <c r="I42" s="122" t="s">
        <v>229</v>
      </c>
      <c r="J42" s="123" t="s">
        <v>230</v>
      </c>
      <c r="K42" s="125" t="s">
        <v>136</v>
      </c>
      <c r="L42" s="122">
        <v>26</v>
      </c>
      <c r="M42" s="122"/>
      <c r="N42" s="124" t="s">
        <v>40</v>
      </c>
      <c r="O42" s="125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  <c r="AA42" s="99"/>
      <c r="AB42" s="99"/>
      <c r="AC42" s="99"/>
      <c r="AD42" s="99"/>
      <c r="AE42" s="99"/>
      <c r="AF42" s="99"/>
      <c r="AG42" s="99"/>
      <c r="AH42" s="99"/>
      <c r="AI42" s="99"/>
      <c r="AJ42" s="99"/>
      <c r="AK42" s="99"/>
      <c r="AL42" s="99"/>
      <c r="AM42" s="99"/>
      <c r="AN42" s="99"/>
      <c r="AO42" s="99"/>
      <c r="AP42" s="99"/>
      <c r="AQ42" s="99"/>
      <c r="AR42" s="99"/>
      <c r="AS42" s="99"/>
      <c r="AT42" s="99"/>
      <c r="AU42" s="100"/>
      <c r="AV42" s="100"/>
    </row>
    <row r="43" spans="1:48" ht="15" customHeight="1" x14ac:dyDescent="0.3">
      <c r="A43" s="101">
        <v>38</v>
      </c>
      <c r="B43" s="88" t="s">
        <v>89</v>
      </c>
      <c r="C43" s="122" t="s">
        <v>225</v>
      </c>
      <c r="D43" s="122" t="s">
        <v>226</v>
      </c>
      <c r="E43" s="122">
        <v>5</v>
      </c>
      <c r="F43" s="123" t="s">
        <v>231</v>
      </c>
      <c r="G43" s="122" t="s">
        <v>232</v>
      </c>
      <c r="H43" s="122">
        <v>4083389401</v>
      </c>
      <c r="I43" s="122" t="s">
        <v>229</v>
      </c>
      <c r="J43" s="123" t="s">
        <v>230</v>
      </c>
      <c r="K43" s="125" t="s">
        <v>196</v>
      </c>
      <c r="L43" s="122">
        <v>66</v>
      </c>
      <c r="M43" s="122"/>
      <c r="N43" s="124" t="s">
        <v>40</v>
      </c>
      <c r="O43" s="125"/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99"/>
      <c r="AA43" s="99"/>
      <c r="AB43" s="99"/>
      <c r="AC43" s="99"/>
      <c r="AD43" s="99"/>
      <c r="AE43" s="99"/>
      <c r="AF43" s="99"/>
      <c r="AG43" s="99"/>
      <c r="AH43" s="99"/>
      <c r="AI43" s="99"/>
      <c r="AJ43" s="99"/>
      <c r="AK43" s="99"/>
      <c r="AL43" s="99"/>
      <c r="AM43" s="99"/>
      <c r="AN43" s="99"/>
      <c r="AO43" s="99"/>
      <c r="AP43" s="99"/>
      <c r="AQ43" s="99"/>
      <c r="AR43" s="99"/>
      <c r="AS43" s="99"/>
      <c r="AT43" s="99"/>
      <c r="AU43" s="100"/>
      <c r="AV43" s="100"/>
    </row>
    <row r="44" spans="1:48" ht="15" customHeight="1" x14ac:dyDescent="0.3">
      <c r="A44" s="101">
        <v>39</v>
      </c>
      <c r="B44" s="137" t="s">
        <v>89</v>
      </c>
      <c r="C44" s="112" t="s">
        <v>233</v>
      </c>
      <c r="D44" s="112" t="s">
        <v>234</v>
      </c>
      <c r="E44" s="112">
        <v>9</v>
      </c>
      <c r="F44" s="113">
        <v>40647</v>
      </c>
      <c r="G44" s="112" t="s">
        <v>235</v>
      </c>
      <c r="H44" s="112">
        <v>4084214334</v>
      </c>
      <c r="I44" s="112" t="s">
        <v>236</v>
      </c>
      <c r="J44" s="113">
        <v>45763</v>
      </c>
      <c r="K44" s="107" t="s">
        <v>237</v>
      </c>
      <c r="L44" s="112">
        <v>1</v>
      </c>
      <c r="M44" s="112"/>
      <c r="N44" s="102" t="s">
        <v>40</v>
      </c>
      <c r="O44" s="110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  <c r="AA44" s="99"/>
      <c r="AB44" s="99"/>
      <c r="AC44" s="99"/>
      <c r="AD44" s="99"/>
      <c r="AE44" s="99"/>
      <c r="AF44" s="99"/>
      <c r="AG44" s="99"/>
      <c r="AH44" s="99"/>
      <c r="AI44" s="99"/>
      <c r="AJ44" s="99"/>
      <c r="AK44" s="99"/>
      <c r="AL44" s="99"/>
      <c r="AM44" s="99"/>
      <c r="AN44" s="99"/>
      <c r="AO44" s="99"/>
      <c r="AP44" s="99"/>
      <c r="AQ44" s="99"/>
      <c r="AR44" s="99"/>
      <c r="AS44" s="99"/>
      <c r="AT44" s="99"/>
      <c r="AU44" s="100"/>
      <c r="AV44" s="100"/>
    </row>
    <row r="45" spans="1:48" ht="15" customHeight="1" x14ac:dyDescent="0.3">
      <c r="A45" s="101">
        <v>40</v>
      </c>
      <c r="B45" s="137" t="s">
        <v>48</v>
      </c>
      <c r="C45" s="112" t="s">
        <v>233</v>
      </c>
      <c r="D45" s="112" t="s">
        <v>238</v>
      </c>
      <c r="E45" s="112">
        <v>3</v>
      </c>
      <c r="F45" s="113">
        <v>42342</v>
      </c>
      <c r="G45" s="112" t="s">
        <v>239</v>
      </c>
      <c r="H45" s="112">
        <v>4084214334</v>
      </c>
      <c r="I45" s="112" t="s">
        <v>236</v>
      </c>
      <c r="J45" s="113">
        <v>45536</v>
      </c>
      <c r="K45" s="107" t="s">
        <v>136</v>
      </c>
      <c r="L45" s="112">
        <v>71</v>
      </c>
      <c r="M45" s="112"/>
      <c r="N45" s="102" t="s">
        <v>40</v>
      </c>
      <c r="O45" s="110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  <c r="AA45" s="99"/>
      <c r="AB45" s="99"/>
      <c r="AC45" s="99"/>
      <c r="AD45" s="99"/>
      <c r="AE45" s="99"/>
      <c r="AF45" s="99"/>
      <c r="AG45" s="99"/>
      <c r="AH45" s="99"/>
      <c r="AI45" s="99"/>
      <c r="AJ45" s="99"/>
      <c r="AK45" s="99"/>
      <c r="AL45" s="99"/>
      <c r="AM45" s="99"/>
      <c r="AN45" s="99"/>
      <c r="AO45" s="99"/>
      <c r="AP45" s="99"/>
      <c r="AQ45" s="99"/>
      <c r="AR45" s="99"/>
      <c r="AS45" s="99"/>
      <c r="AT45" s="99"/>
      <c r="AU45" s="100"/>
      <c r="AV45" s="100"/>
    </row>
    <row r="46" spans="1:48" ht="15" customHeight="1" x14ac:dyDescent="0.3">
      <c r="A46" s="101">
        <v>41</v>
      </c>
      <c r="B46" s="137" t="s">
        <v>89</v>
      </c>
      <c r="C46" s="112" t="s">
        <v>233</v>
      </c>
      <c r="D46" s="112" t="s">
        <v>238</v>
      </c>
      <c r="E46" s="112">
        <v>3</v>
      </c>
      <c r="F46" s="113">
        <v>42342</v>
      </c>
      <c r="G46" s="112" t="s">
        <v>239</v>
      </c>
      <c r="H46" s="112">
        <v>4084214334</v>
      </c>
      <c r="I46" s="112" t="s">
        <v>236</v>
      </c>
      <c r="J46" s="113">
        <v>45536</v>
      </c>
      <c r="K46" s="107" t="s">
        <v>240</v>
      </c>
      <c r="L46" s="112">
        <v>51</v>
      </c>
      <c r="M46" s="112"/>
      <c r="N46" s="102" t="s">
        <v>40</v>
      </c>
      <c r="O46" s="110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  <c r="AO46" s="99"/>
      <c r="AP46" s="99"/>
      <c r="AQ46" s="99"/>
      <c r="AR46" s="99"/>
      <c r="AS46" s="99"/>
      <c r="AT46" s="99"/>
      <c r="AU46" s="100"/>
      <c r="AV46" s="100"/>
    </row>
    <row r="47" spans="1:48" ht="15" customHeight="1" x14ac:dyDescent="0.3">
      <c r="A47" s="101">
        <v>42</v>
      </c>
      <c r="B47" s="137" t="s">
        <v>48</v>
      </c>
      <c r="C47" s="112" t="s">
        <v>241</v>
      </c>
      <c r="D47" s="112" t="s">
        <v>242</v>
      </c>
      <c r="E47" s="112" t="s">
        <v>243</v>
      </c>
      <c r="F47" s="113">
        <v>43120</v>
      </c>
      <c r="G47" s="112" t="s">
        <v>244</v>
      </c>
      <c r="H47" s="112">
        <v>4158287529</v>
      </c>
      <c r="I47" s="112" t="s">
        <v>245</v>
      </c>
      <c r="J47" s="113">
        <v>45299</v>
      </c>
      <c r="K47" s="110" t="s">
        <v>161</v>
      </c>
      <c r="L47" s="112">
        <v>26</v>
      </c>
      <c r="M47" s="112"/>
      <c r="N47" s="102" t="s">
        <v>40</v>
      </c>
      <c r="O47" s="110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  <c r="AA47" s="99"/>
      <c r="AB47" s="99"/>
      <c r="AC47" s="99"/>
      <c r="AD47" s="99"/>
      <c r="AE47" s="99"/>
      <c r="AF47" s="99"/>
      <c r="AG47" s="99"/>
      <c r="AH47" s="99"/>
      <c r="AI47" s="99"/>
      <c r="AJ47" s="99"/>
      <c r="AK47" s="99"/>
      <c r="AL47" s="99"/>
      <c r="AM47" s="99"/>
      <c r="AN47" s="99"/>
      <c r="AO47" s="99"/>
      <c r="AP47" s="99"/>
      <c r="AQ47" s="99"/>
      <c r="AR47" s="99"/>
      <c r="AS47" s="99"/>
      <c r="AT47" s="99"/>
      <c r="AU47" s="100"/>
      <c r="AV47" s="100"/>
    </row>
    <row r="48" spans="1:48" ht="15" customHeight="1" x14ac:dyDescent="0.3">
      <c r="A48" s="101">
        <v>43</v>
      </c>
      <c r="B48" s="137" t="s">
        <v>89</v>
      </c>
      <c r="C48" s="112" t="s">
        <v>241</v>
      </c>
      <c r="D48" s="112" t="s">
        <v>242</v>
      </c>
      <c r="E48" s="112" t="s">
        <v>243</v>
      </c>
      <c r="F48" s="113">
        <v>43120</v>
      </c>
      <c r="G48" s="112" t="s">
        <v>244</v>
      </c>
      <c r="H48" s="112">
        <v>4158287529</v>
      </c>
      <c r="I48" s="112" t="s">
        <v>245</v>
      </c>
      <c r="J48" s="113">
        <v>45299</v>
      </c>
      <c r="K48" s="107" t="s">
        <v>176</v>
      </c>
      <c r="L48" s="112">
        <v>41</v>
      </c>
      <c r="M48" s="112"/>
      <c r="N48" s="102" t="s">
        <v>40</v>
      </c>
      <c r="O48" s="110"/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99"/>
      <c r="AA48" s="99"/>
      <c r="AB48" s="99"/>
      <c r="AC48" s="99"/>
      <c r="AD48" s="99"/>
      <c r="AE48" s="99"/>
      <c r="AF48" s="99"/>
      <c r="AG48" s="99"/>
      <c r="AH48" s="99"/>
      <c r="AI48" s="99"/>
      <c r="AJ48" s="99"/>
      <c r="AK48" s="99"/>
      <c r="AL48" s="99"/>
      <c r="AM48" s="99"/>
      <c r="AN48" s="99"/>
      <c r="AO48" s="99"/>
      <c r="AP48" s="99"/>
      <c r="AQ48" s="99"/>
      <c r="AR48" s="99"/>
      <c r="AS48" s="99"/>
      <c r="AT48" s="99"/>
      <c r="AU48" s="100"/>
      <c r="AV48" s="100"/>
    </row>
    <row r="49" spans="1:48" ht="15" customHeight="1" x14ac:dyDescent="0.4">
      <c r="A49" s="101">
        <v>44</v>
      </c>
      <c r="B49" s="102" t="s">
        <v>48</v>
      </c>
      <c r="C49" s="103" t="s">
        <v>246</v>
      </c>
      <c r="D49" s="103" t="s">
        <v>247</v>
      </c>
      <c r="E49" s="104">
        <v>3</v>
      </c>
      <c r="F49" s="105">
        <v>42675</v>
      </c>
      <c r="G49" s="106" t="s">
        <v>248</v>
      </c>
      <c r="H49" s="106" t="s">
        <v>248</v>
      </c>
      <c r="I49" s="106" t="s">
        <v>249</v>
      </c>
      <c r="J49" s="105">
        <v>45838</v>
      </c>
      <c r="K49" s="110" t="s">
        <v>118</v>
      </c>
      <c r="L49" s="103">
        <v>1</v>
      </c>
      <c r="M49" s="103"/>
      <c r="N49" s="102" t="s">
        <v>40</v>
      </c>
      <c r="O49" s="108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  <c r="AA49" s="99"/>
      <c r="AB49" s="99"/>
      <c r="AC49" s="99"/>
      <c r="AD49" s="99"/>
      <c r="AE49" s="99"/>
      <c r="AF49" s="99"/>
      <c r="AG49" s="99"/>
      <c r="AH49" s="99"/>
      <c r="AI49" s="99"/>
      <c r="AJ49" s="99"/>
      <c r="AK49" s="99"/>
      <c r="AL49" s="99"/>
      <c r="AM49" s="99"/>
      <c r="AN49" s="99"/>
      <c r="AO49" s="99"/>
      <c r="AP49" s="99"/>
      <c r="AQ49" s="99"/>
      <c r="AR49" s="99"/>
      <c r="AS49" s="99"/>
      <c r="AT49" s="99"/>
      <c r="AU49" s="100"/>
      <c r="AV49" s="100"/>
    </row>
    <row r="50" spans="1:48" ht="15" customHeight="1" x14ac:dyDescent="0.4">
      <c r="A50" s="101">
        <v>45</v>
      </c>
      <c r="B50" s="102" t="s">
        <v>89</v>
      </c>
      <c r="C50" s="103" t="s">
        <v>246</v>
      </c>
      <c r="D50" s="103" t="s">
        <v>247</v>
      </c>
      <c r="E50" s="104">
        <v>3</v>
      </c>
      <c r="F50" s="105">
        <v>42675</v>
      </c>
      <c r="G50" s="106" t="s">
        <v>250</v>
      </c>
      <c r="H50" s="106" t="s">
        <v>250</v>
      </c>
      <c r="I50" s="106" t="s">
        <v>249</v>
      </c>
      <c r="J50" s="113" t="s">
        <v>251</v>
      </c>
      <c r="K50" s="110" t="s">
        <v>120</v>
      </c>
      <c r="L50" s="112">
        <v>41</v>
      </c>
      <c r="M50" s="103" t="s">
        <v>121</v>
      </c>
      <c r="N50" s="102" t="s">
        <v>40</v>
      </c>
      <c r="O50" s="111"/>
      <c r="P50" s="140"/>
      <c r="Q50" s="140"/>
      <c r="R50" s="140"/>
      <c r="S50" s="140"/>
      <c r="T50" s="140"/>
      <c r="U50" s="140"/>
      <c r="V50" s="140"/>
      <c r="W50" s="140"/>
      <c r="X50" s="140"/>
      <c r="Y50" s="140"/>
      <c r="Z50" s="140"/>
      <c r="AA50" s="140"/>
      <c r="AB50" s="140"/>
      <c r="AC50" s="140"/>
      <c r="AD50" s="140"/>
      <c r="AE50" s="140"/>
      <c r="AF50" s="140"/>
      <c r="AG50" s="140"/>
      <c r="AH50" s="140"/>
      <c r="AI50" s="140"/>
      <c r="AJ50" s="140"/>
      <c r="AK50" s="140"/>
      <c r="AL50" s="140"/>
      <c r="AM50" s="140"/>
      <c r="AN50" s="140"/>
      <c r="AO50" s="140"/>
      <c r="AP50" s="140"/>
      <c r="AQ50" s="140"/>
      <c r="AR50" s="140"/>
      <c r="AS50" s="140"/>
      <c r="AT50" s="140"/>
      <c r="AU50" s="100"/>
      <c r="AV50" s="100"/>
    </row>
    <row r="51" spans="1:48" ht="15" customHeight="1" x14ac:dyDescent="0.3">
      <c r="A51" s="101">
        <v>46</v>
      </c>
      <c r="B51" s="104" t="s">
        <v>48</v>
      </c>
      <c r="C51" s="103" t="s">
        <v>252</v>
      </c>
      <c r="D51" s="103" t="s">
        <v>253</v>
      </c>
      <c r="E51" s="103">
        <v>2</v>
      </c>
      <c r="F51" s="105">
        <v>43144</v>
      </c>
      <c r="G51" s="141" t="s">
        <v>254</v>
      </c>
      <c r="H51" s="141">
        <v>5102535893</v>
      </c>
      <c r="I51" s="141" t="s">
        <v>255</v>
      </c>
      <c r="J51" s="105">
        <v>45742</v>
      </c>
      <c r="K51" s="110" t="s">
        <v>127</v>
      </c>
      <c r="L51" s="112">
        <v>81</v>
      </c>
      <c r="M51" s="112"/>
      <c r="N51" s="102" t="s">
        <v>40</v>
      </c>
      <c r="O51" s="111"/>
      <c r="P51" s="114"/>
      <c r="Q51" s="114"/>
      <c r="R51" s="114"/>
      <c r="S51" s="114"/>
      <c r="T51" s="114"/>
      <c r="U51" s="114"/>
      <c r="V51" s="114"/>
      <c r="W51" s="114"/>
      <c r="X51" s="114"/>
      <c r="Y51" s="114"/>
      <c r="Z51" s="114"/>
      <c r="AA51" s="114"/>
      <c r="AB51" s="114"/>
      <c r="AC51" s="114"/>
      <c r="AD51" s="114"/>
      <c r="AE51" s="114"/>
      <c r="AF51" s="114"/>
      <c r="AG51" s="114"/>
      <c r="AH51" s="114"/>
      <c r="AI51" s="114"/>
      <c r="AJ51" s="114"/>
      <c r="AK51" s="114"/>
      <c r="AL51" s="114"/>
      <c r="AM51" s="114"/>
      <c r="AN51" s="114"/>
      <c r="AO51" s="114"/>
      <c r="AP51" s="114"/>
      <c r="AQ51" s="114"/>
      <c r="AR51" s="114"/>
      <c r="AS51" s="114"/>
      <c r="AT51" s="114"/>
      <c r="AU51" s="100"/>
      <c r="AV51" s="100"/>
    </row>
    <row r="52" spans="1:48" ht="15" customHeight="1" x14ac:dyDescent="0.3">
      <c r="A52" s="101">
        <v>47</v>
      </c>
      <c r="B52" s="104" t="s">
        <v>89</v>
      </c>
      <c r="C52" s="103" t="s">
        <v>252</v>
      </c>
      <c r="D52" s="103" t="s">
        <v>253</v>
      </c>
      <c r="E52" s="103">
        <v>2</v>
      </c>
      <c r="F52" s="105">
        <v>43144</v>
      </c>
      <c r="G52" s="141" t="s">
        <v>254</v>
      </c>
      <c r="H52" s="141">
        <v>5102535893</v>
      </c>
      <c r="I52" s="141" t="s">
        <v>255</v>
      </c>
      <c r="J52" s="105">
        <v>45742</v>
      </c>
      <c r="K52" s="110" t="s">
        <v>162</v>
      </c>
      <c r="L52" s="112">
        <v>46</v>
      </c>
      <c r="M52" s="112"/>
      <c r="N52" s="102" t="s">
        <v>40</v>
      </c>
      <c r="O52" s="111"/>
      <c r="P52" s="114"/>
      <c r="Q52" s="114"/>
      <c r="R52" s="114"/>
      <c r="S52" s="114"/>
      <c r="T52" s="114"/>
      <c r="U52" s="114"/>
      <c r="V52" s="114"/>
      <c r="W52" s="114"/>
      <c r="X52" s="114"/>
      <c r="Y52" s="114"/>
      <c r="Z52" s="114"/>
      <c r="AA52" s="114"/>
      <c r="AB52" s="114"/>
      <c r="AC52" s="114"/>
      <c r="AD52" s="114"/>
      <c r="AE52" s="114"/>
      <c r="AF52" s="114"/>
      <c r="AG52" s="114"/>
      <c r="AH52" s="114"/>
      <c r="AI52" s="114"/>
      <c r="AJ52" s="114"/>
      <c r="AK52" s="114"/>
      <c r="AL52" s="114"/>
      <c r="AM52" s="114"/>
      <c r="AN52" s="114"/>
      <c r="AO52" s="114"/>
      <c r="AP52" s="114"/>
      <c r="AQ52" s="114"/>
      <c r="AR52" s="114"/>
      <c r="AS52" s="114"/>
      <c r="AT52" s="114"/>
      <c r="AU52" s="100"/>
      <c r="AV52" s="100"/>
    </row>
    <row r="53" spans="1:48" ht="15" customHeight="1" x14ac:dyDescent="0.4">
      <c r="A53" s="101">
        <v>48</v>
      </c>
      <c r="B53" s="109" t="s">
        <v>48</v>
      </c>
      <c r="C53" s="110" t="s">
        <v>256</v>
      </c>
      <c r="D53" s="110" t="s">
        <v>257</v>
      </c>
      <c r="E53" s="109">
        <v>7</v>
      </c>
      <c r="F53" s="111">
        <v>41248</v>
      </c>
      <c r="G53" s="110" t="s">
        <v>258</v>
      </c>
      <c r="H53" s="142">
        <v>5108828973</v>
      </c>
      <c r="I53" s="106" t="s">
        <v>259</v>
      </c>
      <c r="J53" s="111">
        <v>45810</v>
      </c>
      <c r="K53" s="107" t="s">
        <v>260</v>
      </c>
      <c r="L53" s="112">
        <v>6</v>
      </c>
      <c r="M53" s="113"/>
      <c r="N53" s="102" t="s">
        <v>40</v>
      </c>
      <c r="O53" s="111"/>
      <c r="P53" s="114"/>
      <c r="Q53" s="114"/>
      <c r="R53" s="114"/>
      <c r="S53" s="114"/>
      <c r="T53" s="114"/>
      <c r="U53" s="114"/>
      <c r="V53" s="114"/>
      <c r="W53" s="114"/>
      <c r="X53" s="114"/>
      <c r="Y53" s="114"/>
      <c r="Z53" s="114"/>
      <c r="AA53" s="114"/>
      <c r="AB53" s="114"/>
      <c r="AC53" s="114"/>
      <c r="AD53" s="114"/>
      <c r="AE53" s="114"/>
      <c r="AF53" s="114"/>
      <c r="AG53" s="114"/>
      <c r="AH53" s="114"/>
      <c r="AI53" s="114"/>
      <c r="AJ53" s="114"/>
      <c r="AK53" s="114"/>
      <c r="AL53" s="114"/>
      <c r="AM53" s="114"/>
      <c r="AN53" s="114"/>
      <c r="AO53" s="114"/>
      <c r="AP53" s="114"/>
      <c r="AQ53" s="114"/>
      <c r="AR53" s="114"/>
      <c r="AS53" s="114"/>
      <c r="AT53" s="114"/>
      <c r="AU53" s="100"/>
      <c r="AV53" s="100"/>
    </row>
    <row r="54" spans="1:48" ht="15" customHeight="1" x14ac:dyDescent="0.4">
      <c r="A54" s="101">
        <v>49</v>
      </c>
      <c r="B54" s="109" t="s">
        <v>89</v>
      </c>
      <c r="C54" s="110" t="s">
        <v>256</v>
      </c>
      <c r="D54" s="110" t="s">
        <v>257</v>
      </c>
      <c r="E54" s="109">
        <v>7</v>
      </c>
      <c r="F54" s="111">
        <v>41248</v>
      </c>
      <c r="G54" s="110" t="s">
        <v>261</v>
      </c>
      <c r="H54" s="142">
        <v>5108828973</v>
      </c>
      <c r="I54" s="106" t="s">
        <v>259</v>
      </c>
      <c r="J54" s="111">
        <v>45810</v>
      </c>
      <c r="K54" s="107" t="s">
        <v>240</v>
      </c>
      <c r="L54" s="112">
        <v>26</v>
      </c>
      <c r="M54" s="112" t="s">
        <v>128</v>
      </c>
      <c r="N54" s="102" t="s">
        <v>40</v>
      </c>
      <c r="O54" s="111"/>
      <c r="P54" s="114"/>
      <c r="Q54" s="114"/>
      <c r="R54" s="114"/>
      <c r="S54" s="114"/>
      <c r="T54" s="114"/>
      <c r="U54" s="114"/>
      <c r="V54" s="114"/>
      <c r="W54" s="114"/>
      <c r="X54" s="114"/>
      <c r="Y54" s="114"/>
      <c r="Z54" s="114"/>
      <c r="AA54" s="114"/>
      <c r="AB54" s="114"/>
      <c r="AC54" s="114"/>
      <c r="AD54" s="114"/>
      <c r="AE54" s="114"/>
      <c r="AF54" s="114"/>
      <c r="AG54" s="114"/>
      <c r="AH54" s="114"/>
      <c r="AI54" s="114"/>
      <c r="AJ54" s="114"/>
      <c r="AK54" s="114"/>
      <c r="AL54" s="114"/>
      <c r="AM54" s="114"/>
      <c r="AN54" s="114"/>
      <c r="AO54" s="114"/>
      <c r="AP54" s="114"/>
      <c r="AQ54" s="114"/>
      <c r="AR54" s="114"/>
      <c r="AS54" s="114"/>
      <c r="AT54" s="114"/>
      <c r="AU54" s="100"/>
      <c r="AV54" s="100"/>
    </row>
    <row r="55" spans="1:48" ht="15" customHeight="1" x14ac:dyDescent="0.4">
      <c r="A55" s="101">
        <v>50</v>
      </c>
      <c r="B55" s="109" t="s">
        <v>89</v>
      </c>
      <c r="C55" s="110" t="s">
        <v>262</v>
      </c>
      <c r="D55" s="110" t="s">
        <v>263</v>
      </c>
      <c r="E55" s="109">
        <v>4</v>
      </c>
      <c r="F55" s="111">
        <v>42239</v>
      </c>
      <c r="G55" s="110" t="s">
        <v>264</v>
      </c>
      <c r="H55" s="142">
        <v>5106762755</v>
      </c>
      <c r="I55" s="106" t="s">
        <v>265</v>
      </c>
      <c r="J55" s="111">
        <v>45810</v>
      </c>
      <c r="K55" s="110" t="s">
        <v>120</v>
      </c>
      <c r="L55" s="112">
        <v>51</v>
      </c>
      <c r="M55" s="113"/>
      <c r="N55" s="102" t="s">
        <v>40</v>
      </c>
      <c r="O55" s="111"/>
      <c r="P55" s="114"/>
      <c r="Q55" s="114"/>
      <c r="R55" s="114"/>
      <c r="S55" s="114"/>
      <c r="T55" s="114"/>
      <c r="U55" s="114"/>
      <c r="V55" s="114"/>
      <c r="W55" s="114"/>
      <c r="X55" s="114"/>
      <c r="Y55" s="114"/>
      <c r="Z55" s="114"/>
      <c r="AA55" s="114"/>
      <c r="AB55" s="114"/>
      <c r="AC55" s="114"/>
      <c r="AD55" s="114"/>
      <c r="AE55" s="114"/>
      <c r="AF55" s="114"/>
      <c r="AG55" s="114"/>
      <c r="AH55" s="114"/>
      <c r="AI55" s="114"/>
      <c r="AJ55" s="114"/>
      <c r="AK55" s="114"/>
      <c r="AL55" s="114"/>
      <c r="AM55" s="114"/>
      <c r="AN55" s="114"/>
      <c r="AO55" s="114"/>
      <c r="AP55" s="114"/>
      <c r="AQ55" s="114"/>
      <c r="AR55" s="114"/>
      <c r="AS55" s="114"/>
      <c r="AT55" s="114"/>
      <c r="AU55" s="100"/>
      <c r="AV55" s="100"/>
    </row>
    <row r="56" spans="1:48" ht="15" customHeight="1" x14ac:dyDescent="0.4">
      <c r="A56" s="101">
        <v>51</v>
      </c>
      <c r="B56" s="109" t="s">
        <v>48</v>
      </c>
      <c r="C56" s="110" t="s">
        <v>262</v>
      </c>
      <c r="D56" s="110" t="s">
        <v>263</v>
      </c>
      <c r="E56" s="109">
        <v>4</v>
      </c>
      <c r="F56" s="111">
        <v>42239</v>
      </c>
      <c r="G56" s="110" t="s">
        <v>266</v>
      </c>
      <c r="H56" s="142">
        <v>5106762755</v>
      </c>
      <c r="I56" s="106" t="s">
        <v>265</v>
      </c>
      <c r="J56" s="111">
        <v>45810</v>
      </c>
      <c r="K56" s="110" t="s">
        <v>127</v>
      </c>
      <c r="L56" s="112">
        <v>51</v>
      </c>
      <c r="M56" s="112" t="s">
        <v>128</v>
      </c>
      <c r="N56" s="102" t="s">
        <v>40</v>
      </c>
      <c r="O56" s="111"/>
      <c r="P56" s="114"/>
      <c r="Q56" s="114"/>
      <c r="R56" s="114"/>
      <c r="S56" s="114"/>
      <c r="T56" s="114"/>
      <c r="U56" s="114"/>
      <c r="V56" s="114"/>
      <c r="W56" s="114"/>
      <c r="X56" s="114"/>
      <c r="Y56" s="114"/>
      <c r="Z56" s="114"/>
      <c r="AA56" s="114"/>
      <c r="AB56" s="114"/>
      <c r="AC56" s="114"/>
      <c r="AD56" s="114"/>
      <c r="AE56" s="114"/>
      <c r="AF56" s="114"/>
      <c r="AG56" s="114"/>
      <c r="AH56" s="114"/>
      <c r="AI56" s="114"/>
      <c r="AJ56" s="114"/>
      <c r="AK56" s="114"/>
      <c r="AL56" s="114"/>
      <c r="AM56" s="114"/>
      <c r="AN56" s="114"/>
      <c r="AO56" s="114"/>
      <c r="AP56" s="114"/>
      <c r="AQ56" s="114"/>
      <c r="AR56" s="114"/>
      <c r="AS56" s="114"/>
      <c r="AT56" s="114"/>
      <c r="AU56" s="100"/>
      <c r="AV56" s="100"/>
    </row>
    <row r="57" spans="1:48" ht="15" customHeight="1" x14ac:dyDescent="0.4">
      <c r="A57" s="101">
        <v>52</v>
      </c>
      <c r="B57" s="102" t="s">
        <v>48</v>
      </c>
      <c r="C57" s="112" t="s">
        <v>267</v>
      </c>
      <c r="D57" s="112" t="s">
        <v>164</v>
      </c>
      <c r="E57" s="109">
        <v>1</v>
      </c>
      <c r="F57" s="113">
        <v>43326</v>
      </c>
      <c r="G57" s="110" t="s">
        <v>268</v>
      </c>
      <c r="H57" s="106">
        <v>5105202610</v>
      </c>
      <c r="I57" s="106" t="s">
        <v>166</v>
      </c>
      <c r="J57" s="111">
        <v>45810</v>
      </c>
      <c r="K57" s="110" t="s">
        <v>115</v>
      </c>
      <c r="L57" s="112">
        <v>11</v>
      </c>
      <c r="M57" s="112"/>
      <c r="N57" s="102" t="s">
        <v>40</v>
      </c>
      <c r="O57" s="111"/>
      <c r="P57" s="140"/>
      <c r="Q57" s="140"/>
      <c r="R57" s="140"/>
      <c r="S57" s="140"/>
      <c r="T57" s="140"/>
      <c r="U57" s="140"/>
      <c r="V57" s="140"/>
      <c r="W57" s="140"/>
      <c r="X57" s="140"/>
      <c r="Y57" s="140"/>
      <c r="Z57" s="140"/>
      <c r="AA57" s="140"/>
      <c r="AB57" s="140"/>
      <c r="AC57" s="140"/>
      <c r="AD57" s="140"/>
      <c r="AE57" s="140"/>
      <c r="AF57" s="140"/>
      <c r="AG57" s="140"/>
      <c r="AH57" s="140"/>
      <c r="AI57" s="140"/>
      <c r="AJ57" s="140"/>
      <c r="AK57" s="140"/>
      <c r="AL57" s="140"/>
      <c r="AM57" s="140"/>
      <c r="AN57" s="140"/>
      <c r="AO57" s="140"/>
      <c r="AP57" s="140"/>
      <c r="AQ57" s="140"/>
      <c r="AR57" s="140"/>
      <c r="AS57" s="140"/>
      <c r="AT57" s="140"/>
      <c r="AU57" s="100"/>
      <c r="AV57" s="100"/>
    </row>
    <row r="58" spans="1:48" ht="15" customHeight="1" x14ac:dyDescent="0.4">
      <c r="A58" s="101">
        <v>53</v>
      </c>
      <c r="B58" s="97" t="s">
        <v>89</v>
      </c>
      <c r="C58" s="95" t="s">
        <v>267</v>
      </c>
      <c r="D58" s="95" t="s">
        <v>164</v>
      </c>
      <c r="E58" s="132">
        <v>1</v>
      </c>
      <c r="F58" s="96">
        <v>43326</v>
      </c>
      <c r="G58" s="98" t="s">
        <v>269</v>
      </c>
      <c r="H58" s="134">
        <v>5105202610</v>
      </c>
      <c r="I58" s="134" t="s">
        <v>166</v>
      </c>
      <c r="J58" s="133">
        <v>45810</v>
      </c>
      <c r="K58" s="98" t="s">
        <v>167</v>
      </c>
      <c r="L58" s="95">
        <v>36</v>
      </c>
      <c r="M58" s="95" t="s">
        <v>270</v>
      </c>
      <c r="N58" s="97" t="s">
        <v>34</v>
      </c>
      <c r="O58" s="133"/>
      <c r="P58" s="143"/>
      <c r="Q58" s="143"/>
      <c r="R58" s="143"/>
      <c r="S58" s="143"/>
      <c r="T58" s="143"/>
      <c r="U58" s="143"/>
      <c r="V58" s="143"/>
      <c r="W58" s="143"/>
      <c r="X58" s="143"/>
      <c r="Y58" s="143"/>
      <c r="Z58" s="143"/>
      <c r="AA58" s="143"/>
      <c r="AB58" s="143"/>
      <c r="AC58" s="143"/>
      <c r="AD58" s="143"/>
      <c r="AE58" s="143"/>
      <c r="AF58" s="143"/>
      <c r="AG58" s="143"/>
      <c r="AH58" s="143"/>
      <c r="AI58" s="143"/>
      <c r="AJ58" s="143"/>
      <c r="AK58" s="143"/>
      <c r="AL58" s="143"/>
      <c r="AM58" s="143"/>
      <c r="AN58" s="143"/>
      <c r="AO58" s="143"/>
      <c r="AP58" s="143"/>
      <c r="AQ58" s="143"/>
      <c r="AR58" s="143"/>
      <c r="AS58" s="143"/>
      <c r="AT58" s="143"/>
      <c r="AU58" s="135"/>
      <c r="AV58" s="135"/>
    </row>
    <row r="59" spans="1:48" ht="15" customHeight="1" x14ac:dyDescent="0.4">
      <c r="A59" s="101">
        <v>54</v>
      </c>
      <c r="B59" s="109" t="s">
        <v>48</v>
      </c>
      <c r="C59" s="110" t="s">
        <v>271</v>
      </c>
      <c r="D59" s="110" t="s">
        <v>272</v>
      </c>
      <c r="E59" s="109">
        <v>5</v>
      </c>
      <c r="F59" s="111">
        <v>42124</v>
      </c>
      <c r="G59" s="110" t="s">
        <v>273</v>
      </c>
      <c r="H59" s="142">
        <v>4083948518</v>
      </c>
      <c r="I59" s="106" t="s">
        <v>274</v>
      </c>
      <c r="J59" s="111">
        <v>45817</v>
      </c>
      <c r="K59" s="110" t="s">
        <v>127</v>
      </c>
      <c r="L59" s="144">
        <v>76</v>
      </c>
      <c r="M59" s="113"/>
      <c r="N59" s="102" t="s">
        <v>40</v>
      </c>
      <c r="O59" s="111"/>
      <c r="P59" s="114"/>
      <c r="Q59" s="114"/>
      <c r="R59" s="114"/>
      <c r="S59" s="114"/>
      <c r="T59" s="114"/>
      <c r="U59" s="114"/>
      <c r="V59" s="114"/>
      <c r="W59" s="114"/>
      <c r="X59" s="114"/>
      <c r="Y59" s="114"/>
      <c r="Z59" s="114"/>
      <c r="AA59" s="114"/>
      <c r="AB59" s="114"/>
      <c r="AC59" s="114"/>
      <c r="AD59" s="114"/>
      <c r="AE59" s="114"/>
      <c r="AF59" s="114"/>
      <c r="AG59" s="114"/>
      <c r="AH59" s="114"/>
      <c r="AI59" s="114"/>
      <c r="AJ59" s="114"/>
      <c r="AK59" s="114"/>
      <c r="AL59" s="114"/>
      <c r="AM59" s="114"/>
      <c r="AN59" s="114"/>
      <c r="AO59" s="114"/>
      <c r="AP59" s="114"/>
      <c r="AQ59" s="114"/>
      <c r="AR59" s="114"/>
      <c r="AS59" s="114"/>
      <c r="AT59" s="114"/>
      <c r="AU59" s="100"/>
      <c r="AV59" s="100"/>
    </row>
    <row r="60" spans="1:48" ht="15" customHeight="1" x14ac:dyDescent="0.3">
      <c r="A60" s="101">
        <v>55</v>
      </c>
      <c r="B60" s="137" t="s">
        <v>48</v>
      </c>
      <c r="C60" s="112" t="s">
        <v>275</v>
      </c>
      <c r="D60" s="112" t="s">
        <v>276</v>
      </c>
      <c r="E60" s="112" t="s">
        <v>183</v>
      </c>
      <c r="F60" s="113" t="s">
        <v>277</v>
      </c>
      <c r="G60" s="112" t="s">
        <v>278</v>
      </c>
      <c r="H60" s="112">
        <v>3233374665</v>
      </c>
      <c r="I60" s="112" t="s">
        <v>279</v>
      </c>
      <c r="J60" s="113">
        <v>45522</v>
      </c>
      <c r="K60" s="110" t="s">
        <v>167</v>
      </c>
      <c r="L60" s="112">
        <v>109</v>
      </c>
      <c r="M60" s="112"/>
      <c r="N60" s="102" t="s">
        <v>40</v>
      </c>
      <c r="O60" s="11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20"/>
      <c r="AB60" s="120"/>
      <c r="AC60" s="120"/>
      <c r="AD60" s="120"/>
      <c r="AE60" s="120"/>
      <c r="AF60" s="120"/>
      <c r="AG60" s="120"/>
      <c r="AH60" s="120"/>
      <c r="AI60" s="120"/>
      <c r="AJ60" s="120"/>
      <c r="AK60" s="120"/>
      <c r="AL60" s="120"/>
      <c r="AM60" s="120"/>
      <c r="AN60" s="120"/>
      <c r="AO60" s="120"/>
      <c r="AP60" s="120"/>
      <c r="AQ60" s="120"/>
      <c r="AR60" s="120"/>
      <c r="AS60" s="120"/>
      <c r="AT60" s="120"/>
      <c r="AU60" s="121"/>
      <c r="AV60" s="121"/>
    </row>
    <row r="61" spans="1:48" ht="15" customHeight="1" x14ac:dyDescent="0.3">
      <c r="A61" s="101">
        <v>56</v>
      </c>
      <c r="B61" s="137" t="s">
        <v>48</v>
      </c>
      <c r="C61" s="112" t="s">
        <v>275</v>
      </c>
      <c r="D61" s="112" t="s">
        <v>280</v>
      </c>
      <c r="E61" s="112">
        <v>1</v>
      </c>
      <c r="F61" s="113" t="s">
        <v>281</v>
      </c>
      <c r="G61" s="112" t="s">
        <v>278</v>
      </c>
      <c r="H61" s="112">
        <v>3233374665</v>
      </c>
      <c r="I61" s="112" t="s">
        <v>279</v>
      </c>
      <c r="J61" s="113">
        <v>45522</v>
      </c>
      <c r="K61" s="110" t="s">
        <v>161</v>
      </c>
      <c r="L61" s="112">
        <v>61</v>
      </c>
      <c r="M61" s="112"/>
      <c r="N61" s="102" t="s">
        <v>40</v>
      </c>
      <c r="O61" s="11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20"/>
      <c r="AB61" s="120"/>
      <c r="AC61" s="120"/>
      <c r="AD61" s="120"/>
      <c r="AE61" s="120"/>
      <c r="AF61" s="120"/>
      <c r="AG61" s="120"/>
      <c r="AH61" s="120"/>
      <c r="AI61" s="120"/>
      <c r="AJ61" s="120"/>
      <c r="AK61" s="120"/>
      <c r="AL61" s="120"/>
      <c r="AM61" s="120"/>
      <c r="AN61" s="120"/>
      <c r="AO61" s="120"/>
      <c r="AP61" s="120"/>
      <c r="AQ61" s="120"/>
      <c r="AR61" s="120"/>
      <c r="AS61" s="120"/>
      <c r="AT61" s="120"/>
      <c r="AU61" s="121"/>
      <c r="AV61" s="121"/>
    </row>
    <row r="62" spans="1:48" ht="15" customHeight="1" x14ac:dyDescent="0.3">
      <c r="A62" s="101">
        <v>57</v>
      </c>
      <c r="B62" s="94" t="s">
        <v>48</v>
      </c>
      <c r="C62" s="95" t="s">
        <v>282</v>
      </c>
      <c r="D62" s="95" t="s">
        <v>283</v>
      </c>
      <c r="E62" s="95">
        <v>4</v>
      </c>
      <c r="F62" s="96">
        <v>41866</v>
      </c>
      <c r="G62" s="95" t="s">
        <v>284</v>
      </c>
      <c r="H62" s="95">
        <v>4085696688</v>
      </c>
      <c r="I62" s="95" t="s">
        <v>285</v>
      </c>
      <c r="J62" s="96">
        <v>45154</v>
      </c>
      <c r="K62" s="145" t="s">
        <v>175</v>
      </c>
      <c r="L62" s="95">
        <v>66</v>
      </c>
      <c r="M62" s="95"/>
      <c r="N62" s="97" t="s">
        <v>34</v>
      </c>
      <c r="O62" s="98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36"/>
      <c r="AG62" s="136"/>
      <c r="AH62" s="136"/>
      <c r="AI62" s="136"/>
      <c r="AJ62" s="136"/>
      <c r="AK62" s="136"/>
      <c r="AL62" s="136"/>
      <c r="AM62" s="136"/>
      <c r="AN62" s="136"/>
      <c r="AO62" s="136"/>
      <c r="AP62" s="136"/>
      <c r="AQ62" s="136"/>
      <c r="AR62" s="136"/>
      <c r="AS62" s="136"/>
      <c r="AT62" s="136"/>
      <c r="AU62" s="135"/>
      <c r="AV62" s="135"/>
    </row>
    <row r="63" spans="1:48" ht="15" customHeight="1" x14ac:dyDescent="0.3">
      <c r="A63" s="101">
        <v>58</v>
      </c>
      <c r="B63" s="94" t="s">
        <v>89</v>
      </c>
      <c r="C63" s="95" t="s">
        <v>282</v>
      </c>
      <c r="D63" s="95" t="s">
        <v>283</v>
      </c>
      <c r="E63" s="95">
        <v>4</v>
      </c>
      <c r="F63" s="96">
        <v>41866</v>
      </c>
      <c r="G63" s="95" t="s">
        <v>284</v>
      </c>
      <c r="H63" s="95">
        <v>4085696688</v>
      </c>
      <c r="I63" s="95" t="s">
        <v>285</v>
      </c>
      <c r="J63" s="96">
        <v>45154</v>
      </c>
      <c r="K63" s="146" t="s">
        <v>196</v>
      </c>
      <c r="L63" s="95">
        <v>56</v>
      </c>
      <c r="M63" s="95"/>
      <c r="N63" s="97" t="s">
        <v>34</v>
      </c>
      <c r="O63" s="98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  <c r="AH63" s="136"/>
      <c r="AI63" s="136"/>
      <c r="AJ63" s="136"/>
      <c r="AK63" s="136"/>
      <c r="AL63" s="136"/>
      <c r="AM63" s="136"/>
      <c r="AN63" s="136"/>
      <c r="AO63" s="136"/>
      <c r="AP63" s="136"/>
      <c r="AQ63" s="136"/>
      <c r="AR63" s="136"/>
      <c r="AS63" s="136"/>
      <c r="AT63" s="136"/>
      <c r="AU63" s="135"/>
      <c r="AV63" s="135"/>
    </row>
    <row r="64" spans="1:48" ht="15" customHeight="1" x14ac:dyDescent="0.3">
      <c r="A64" s="101">
        <v>59</v>
      </c>
      <c r="B64" s="137" t="s">
        <v>48</v>
      </c>
      <c r="C64" s="112" t="s">
        <v>286</v>
      </c>
      <c r="D64" s="112" t="s">
        <v>287</v>
      </c>
      <c r="E64" s="112" t="s">
        <v>183</v>
      </c>
      <c r="F64" s="113">
        <v>42846</v>
      </c>
      <c r="G64" s="112" t="s">
        <v>288</v>
      </c>
      <c r="H64" s="112">
        <v>5102075030</v>
      </c>
      <c r="I64" s="112" t="s">
        <v>289</v>
      </c>
      <c r="J64" s="113">
        <v>45110</v>
      </c>
      <c r="K64" s="110" t="s">
        <v>290</v>
      </c>
      <c r="L64" s="112">
        <v>21</v>
      </c>
      <c r="M64" s="112"/>
      <c r="N64" s="102" t="s">
        <v>40</v>
      </c>
      <c r="O64" s="110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  <c r="AA64" s="99"/>
      <c r="AB64" s="99"/>
      <c r="AC64" s="99"/>
      <c r="AD64" s="99"/>
      <c r="AE64" s="99"/>
      <c r="AF64" s="99"/>
      <c r="AG64" s="99"/>
      <c r="AH64" s="99"/>
      <c r="AI64" s="99"/>
      <c r="AJ64" s="99"/>
      <c r="AK64" s="99"/>
      <c r="AL64" s="99"/>
      <c r="AM64" s="99"/>
      <c r="AN64" s="99"/>
      <c r="AO64" s="99"/>
      <c r="AP64" s="99"/>
      <c r="AQ64" s="99"/>
      <c r="AR64" s="99"/>
      <c r="AS64" s="99"/>
      <c r="AT64" s="99"/>
      <c r="AU64" s="100"/>
      <c r="AV64" s="100"/>
    </row>
    <row r="65" spans="1:48" ht="15" customHeight="1" x14ac:dyDescent="0.3">
      <c r="A65" s="101">
        <v>60</v>
      </c>
      <c r="B65" s="137" t="s">
        <v>89</v>
      </c>
      <c r="C65" s="112" t="s">
        <v>286</v>
      </c>
      <c r="D65" s="112" t="s">
        <v>287</v>
      </c>
      <c r="E65" s="112" t="s">
        <v>183</v>
      </c>
      <c r="F65" s="113">
        <v>42846</v>
      </c>
      <c r="G65" s="112" t="s">
        <v>288</v>
      </c>
      <c r="H65" s="112">
        <v>5102075030</v>
      </c>
      <c r="I65" s="112" t="s">
        <v>289</v>
      </c>
      <c r="J65" s="113">
        <v>45110</v>
      </c>
      <c r="K65" s="110" t="s">
        <v>135</v>
      </c>
      <c r="L65" s="112">
        <v>81</v>
      </c>
      <c r="M65" s="112"/>
      <c r="N65" s="102" t="s">
        <v>40</v>
      </c>
      <c r="O65" s="110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  <c r="AA65" s="99"/>
      <c r="AB65" s="99"/>
      <c r="AC65" s="99"/>
      <c r="AD65" s="99"/>
      <c r="AE65" s="99"/>
      <c r="AF65" s="99"/>
      <c r="AG65" s="99"/>
      <c r="AH65" s="99"/>
      <c r="AI65" s="99"/>
      <c r="AJ65" s="99"/>
      <c r="AK65" s="99"/>
      <c r="AL65" s="99"/>
      <c r="AM65" s="99"/>
      <c r="AN65" s="99"/>
      <c r="AO65" s="99"/>
      <c r="AP65" s="99"/>
      <c r="AQ65" s="99"/>
      <c r="AR65" s="99"/>
      <c r="AS65" s="99"/>
      <c r="AT65" s="99"/>
      <c r="AU65" s="100"/>
      <c r="AV65" s="100"/>
    </row>
    <row r="66" spans="1:48" ht="15" customHeight="1" x14ac:dyDescent="0.3">
      <c r="A66" s="101">
        <v>61</v>
      </c>
      <c r="B66" s="137" t="s">
        <v>48</v>
      </c>
      <c r="C66" s="112" t="s">
        <v>282</v>
      </c>
      <c r="D66" s="112" t="s">
        <v>291</v>
      </c>
      <c r="E66" s="112" t="s">
        <v>183</v>
      </c>
      <c r="F66" s="113">
        <v>43798</v>
      </c>
      <c r="G66" s="112" t="s">
        <v>292</v>
      </c>
      <c r="H66" s="112">
        <v>5102075030</v>
      </c>
      <c r="I66" s="112" t="s">
        <v>289</v>
      </c>
      <c r="J66" s="113">
        <v>45537</v>
      </c>
      <c r="K66" s="110" t="s">
        <v>127</v>
      </c>
      <c r="L66" s="112">
        <v>36</v>
      </c>
      <c r="M66" s="112"/>
      <c r="N66" s="102" t="s">
        <v>40</v>
      </c>
      <c r="O66" s="110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  <c r="AA66" s="99"/>
      <c r="AB66" s="99"/>
      <c r="AC66" s="99"/>
      <c r="AD66" s="99"/>
      <c r="AE66" s="99"/>
      <c r="AF66" s="99"/>
      <c r="AG66" s="99"/>
      <c r="AH66" s="99"/>
      <c r="AI66" s="99"/>
      <c r="AJ66" s="99"/>
      <c r="AK66" s="99"/>
      <c r="AL66" s="99"/>
      <c r="AM66" s="99"/>
      <c r="AN66" s="99"/>
      <c r="AO66" s="99"/>
      <c r="AP66" s="99"/>
      <c r="AQ66" s="99"/>
      <c r="AR66" s="99"/>
      <c r="AS66" s="99"/>
      <c r="AT66" s="99"/>
      <c r="AU66" s="100"/>
      <c r="AV66" s="100"/>
    </row>
    <row r="67" spans="1:48" ht="15" customHeight="1" x14ac:dyDescent="0.3">
      <c r="A67" s="101">
        <v>62</v>
      </c>
      <c r="B67" s="137" t="s">
        <v>89</v>
      </c>
      <c r="C67" s="112" t="s">
        <v>282</v>
      </c>
      <c r="D67" s="112" t="s">
        <v>291</v>
      </c>
      <c r="E67" s="112" t="s">
        <v>183</v>
      </c>
      <c r="F67" s="113">
        <v>43798</v>
      </c>
      <c r="G67" s="112" t="s">
        <v>292</v>
      </c>
      <c r="H67" s="112">
        <v>5102075030</v>
      </c>
      <c r="I67" s="112" t="s">
        <v>289</v>
      </c>
      <c r="J67" s="113">
        <v>45809</v>
      </c>
      <c r="K67" s="110" t="s">
        <v>293</v>
      </c>
      <c r="L67" s="112">
        <v>91</v>
      </c>
      <c r="M67" s="103" t="s">
        <v>128</v>
      </c>
      <c r="N67" s="102" t="s">
        <v>40</v>
      </c>
      <c r="O67" s="110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  <c r="AA67" s="99"/>
      <c r="AB67" s="99"/>
      <c r="AC67" s="99"/>
      <c r="AD67" s="99"/>
      <c r="AE67" s="99"/>
      <c r="AF67" s="99"/>
      <c r="AG67" s="99"/>
      <c r="AH67" s="99"/>
      <c r="AI67" s="99"/>
      <c r="AJ67" s="99"/>
      <c r="AK67" s="99"/>
      <c r="AL67" s="99"/>
      <c r="AM67" s="99"/>
      <c r="AN67" s="99"/>
      <c r="AO67" s="99"/>
      <c r="AP67" s="99"/>
      <c r="AQ67" s="99"/>
      <c r="AR67" s="99"/>
      <c r="AS67" s="99"/>
      <c r="AT67" s="99"/>
      <c r="AU67" s="100"/>
      <c r="AV67" s="100"/>
    </row>
    <row r="68" spans="1:48" ht="15" customHeight="1" x14ac:dyDescent="0.3">
      <c r="A68" s="101">
        <v>63</v>
      </c>
      <c r="B68" s="137" t="s">
        <v>48</v>
      </c>
      <c r="C68" s="112" t="s">
        <v>286</v>
      </c>
      <c r="D68" s="112" t="s">
        <v>294</v>
      </c>
      <c r="E68" s="112">
        <v>2</v>
      </c>
      <c r="F68" s="113">
        <v>42025</v>
      </c>
      <c r="G68" s="112" t="s">
        <v>288</v>
      </c>
      <c r="H68" s="112">
        <v>5102075030</v>
      </c>
      <c r="I68" s="112" t="s">
        <v>289</v>
      </c>
      <c r="J68" s="113">
        <v>45110</v>
      </c>
      <c r="K68" s="110" t="s">
        <v>295</v>
      </c>
      <c r="L68" s="112">
        <v>66</v>
      </c>
      <c r="M68" s="112"/>
      <c r="N68" s="102" t="s">
        <v>40</v>
      </c>
      <c r="O68" s="110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  <c r="AA68" s="99"/>
      <c r="AB68" s="99"/>
      <c r="AC68" s="99"/>
      <c r="AD68" s="99"/>
      <c r="AE68" s="99"/>
      <c r="AF68" s="99"/>
      <c r="AG68" s="99"/>
      <c r="AH68" s="99"/>
      <c r="AI68" s="99"/>
      <c r="AJ68" s="99"/>
      <c r="AK68" s="99"/>
      <c r="AL68" s="99"/>
      <c r="AM68" s="99"/>
      <c r="AN68" s="99"/>
      <c r="AO68" s="99"/>
      <c r="AP68" s="99"/>
      <c r="AQ68" s="99"/>
      <c r="AR68" s="99"/>
      <c r="AS68" s="99"/>
      <c r="AT68" s="99"/>
      <c r="AU68" s="100"/>
      <c r="AV68" s="100"/>
    </row>
    <row r="69" spans="1:48" ht="15" customHeight="1" x14ac:dyDescent="0.3">
      <c r="A69" s="101">
        <v>64</v>
      </c>
      <c r="B69" s="137" t="s">
        <v>89</v>
      </c>
      <c r="C69" s="112" t="s">
        <v>286</v>
      </c>
      <c r="D69" s="112" t="s">
        <v>294</v>
      </c>
      <c r="E69" s="112">
        <v>2</v>
      </c>
      <c r="F69" s="113">
        <v>42025</v>
      </c>
      <c r="G69" s="112" t="s">
        <v>288</v>
      </c>
      <c r="H69" s="112">
        <v>5102075030</v>
      </c>
      <c r="I69" s="112" t="s">
        <v>289</v>
      </c>
      <c r="J69" s="113">
        <v>45110</v>
      </c>
      <c r="K69" s="147" t="s">
        <v>237</v>
      </c>
      <c r="L69" s="112">
        <v>86</v>
      </c>
      <c r="M69" s="112"/>
      <c r="N69" s="102" t="s">
        <v>40</v>
      </c>
      <c r="O69" s="110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  <c r="AA69" s="99"/>
      <c r="AB69" s="99"/>
      <c r="AC69" s="99"/>
      <c r="AD69" s="99"/>
      <c r="AE69" s="99"/>
      <c r="AF69" s="99"/>
      <c r="AG69" s="99"/>
      <c r="AH69" s="99"/>
      <c r="AI69" s="99"/>
      <c r="AJ69" s="99"/>
      <c r="AK69" s="99"/>
      <c r="AL69" s="99"/>
      <c r="AM69" s="99"/>
      <c r="AN69" s="99"/>
      <c r="AO69" s="99"/>
      <c r="AP69" s="99"/>
      <c r="AQ69" s="99"/>
      <c r="AR69" s="99"/>
      <c r="AS69" s="99"/>
      <c r="AT69" s="99"/>
      <c r="AU69" s="100"/>
      <c r="AV69" s="100"/>
    </row>
    <row r="70" spans="1:48" ht="15" customHeight="1" x14ac:dyDescent="0.4">
      <c r="A70" s="101">
        <v>65</v>
      </c>
      <c r="B70" s="137" t="s">
        <v>48</v>
      </c>
      <c r="C70" s="110" t="s">
        <v>296</v>
      </c>
      <c r="D70" s="110" t="s">
        <v>297</v>
      </c>
      <c r="E70" s="109" t="s">
        <v>183</v>
      </c>
      <c r="F70" s="111">
        <v>43749</v>
      </c>
      <c r="G70" s="106" t="s">
        <v>298</v>
      </c>
      <c r="H70" s="106">
        <v>5109966295</v>
      </c>
      <c r="I70" s="106" t="s">
        <v>299</v>
      </c>
      <c r="J70" s="111">
        <v>45824</v>
      </c>
      <c r="K70" s="110" t="s">
        <v>186</v>
      </c>
      <c r="L70" s="112">
        <v>16</v>
      </c>
      <c r="M70" s="112"/>
      <c r="N70" s="102" t="s">
        <v>40</v>
      </c>
      <c r="O70" s="11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  <c r="AA70" s="100"/>
      <c r="AB70" s="100"/>
      <c r="AC70" s="100"/>
      <c r="AD70" s="100"/>
      <c r="AE70" s="100"/>
      <c r="AF70" s="100"/>
      <c r="AG70" s="100"/>
      <c r="AH70" s="100"/>
      <c r="AI70" s="100"/>
      <c r="AJ70" s="100"/>
      <c r="AK70" s="100"/>
      <c r="AL70" s="100"/>
      <c r="AM70" s="100"/>
      <c r="AN70" s="100"/>
      <c r="AO70" s="100"/>
      <c r="AP70" s="100"/>
      <c r="AQ70" s="100"/>
      <c r="AR70" s="100"/>
      <c r="AS70" s="100"/>
      <c r="AT70" s="100"/>
      <c r="AU70" s="99"/>
      <c r="AV70" s="99"/>
    </row>
    <row r="71" spans="1:48" ht="15" customHeight="1" x14ac:dyDescent="0.4">
      <c r="A71" s="101">
        <v>66</v>
      </c>
      <c r="B71" s="109" t="s">
        <v>48</v>
      </c>
      <c r="C71" s="110" t="s">
        <v>296</v>
      </c>
      <c r="D71" s="110" t="s">
        <v>300</v>
      </c>
      <c r="E71" s="109" t="s">
        <v>183</v>
      </c>
      <c r="F71" s="111">
        <v>43748</v>
      </c>
      <c r="G71" s="106" t="s">
        <v>301</v>
      </c>
      <c r="H71" s="106">
        <v>5109966295</v>
      </c>
      <c r="I71" s="106" t="s">
        <v>299</v>
      </c>
      <c r="J71" s="111">
        <v>45824</v>
      </c>
      <c r="K71" s="110" t="s">
        <v>186</v>
      </c>
      <c r="L71" s="112">
        <v>91</v>
      </c>
      <c r="M71" s="113"/>
      <c r="N71" s="102" t="s">
        <v>40</v>
      </c>
      <c r="O71" s="111"/>
      <c r="P71" s="114"/>
      <c r="Q71" s="114"/>
      <c r="R71" s="114"/>
      <c r="S71" s="114"/>
      <c r="T71" s="114"/>
      <c r="U71" s="114"/>
      <c r="V71" s="114"/>
      <c r="W71" s="114"/>
      <c r="X71" s="114"/>
      <c r="Y71" s="114"/>
      <c r="Z71" s="114"/>
      <c r="AA71" s="114"/>
      <c r="AB71" s="114"/>
      <c r="AC71" s="114"/>
      <c r="AD71" s="114"/>
      <c r="AE71" s="114"/>
      <c r="AF71" s="114"/>
      <c r="AG71" s="114"/>
      <c r="AH71" s="114"/>
      <c r="AI71" s="114"/>
      <c r="AJ71" s="114"/>
      <c r="AK71" s="114"/>
      <c r="AL71" s="114"/>
      <c r="AM71" s="114"/>
      <c r="AN71" s="114"/>
      <c r="AO71" s="114"/>
      <c r="AP71" s="114"/>
      <c r="AQ71" s="114"/>
      <c r="AR71" s="114"/>
      <c r="AS71" s="114"/>
      <c r="AT71" s="114"/>
      <c r="AU71" s="100"/>
      <c r="AV71" s="100"/>
    </row>
    <row r="72" spans="1:48" ht="15" customHeight="1" x14ac:dyDescent="0.4">
      <c r="A72" s="101">
        <v>67</v>
      </c>
      <c r="B72" s="102" t="s">
        <v>89</v>
      </c>
      <c r="C72" s="103" t="s">
        <v>241</v>
      </c>
      <c r="D72" s="103" t="s">
        <v>302</v>
      </c>
      <c r="E72" s="104">
        <v>1</v>
      </c>
      <c r="F72" s="105">
        <v>43466</v>
      </c>
      <c r="G72" s="106" t="s">
        <v>303</v>
      </c>
      <c r="H72" s="106">
        <v>4158287529</v>
      </c>
      <c r="I72" s="106" t="s">
        <v>245</v>
      </c>
      <c r="J72" s="105">
        <v>45810</v>
      </c>
      <c r="K72" s="110" t="s">
        <v>149</v>
      </c>
      <c r="L72" s="103">
        <v>11</v>
      </c>
      <c r="M72" s="112"/>
      <c r="N72" s="102" t="s">
        <v>40</v>
      </c>
      <c r="O72" s="108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  <c r="AA72" s="99"/>
      <c r="AB72" s="99"/>
      <c r="AC72" s="99"/>
      <c r="AD72" s="99"/>
      <c r="AE72" s="99"/>
      <c r="AF72" s="99"/>
      <c r="AG72" s="99"/>
      <c r="AH72" s="99"/>
      <c r="AI72" s="99"/>
      <c r="AJ72" s="99"/>
      <c r="AK72" s="99"/>
      <c r="AL72" s="99"/>
      <c r="AM72" s="99"/>
      <c r="AN72" s="99"/>
      <c r="AO72" s="99"/>
      <c r="AP72" s="99"/>
      <c r="AQ72" s="99"/>
      <c r="AR72" s="99"/>
      <c r="AS72" s="99"/>
      <c r="AT72" s="99"/>
      <c r="AU72" s="100"/>
      <c r="AV72" s="100"/>
    </row>
    <row r="73" spans="1:48" ht="15" customHeight="1" x14ac:dyDescent="0.4">
      <c r="A73" s="101">
        <v>68</v>
      </c>
      <c r="B73" s="102" t="s">
        <v>48</v>
      </c>
      <c r="C73" s="103" t="s">
        <v>241</v>
      </c>
      <c r="D73" s="103" t="s">
        <v>302</v>
      </c>
      <c r="E73" s="104">
        <v>1</v>
      </c>
      <c r="F73" s="105">
        <v>43466</v>
      </c>
      <c r="G73" s="106" t="s">
        <v>304</v>
      </c>
      <c r="H73" s="106">
        <v>4158287529</v>
      </c>
      <c r="I73" s="106" t="s">
        <v>245</v>
      </c>
      <c r="J73" s="105">
        <v>45810</v>
      </c>
      <c r="K73" s="110" t="s">
        <v>305</v>
      </c>
      <c r="L73" s="103">
        <v>46</v>
      </c>
      <c r="M73" s="103" t="s">
        <v>121</v>
      </c>
      <c r="N73" s="102" t="s">
        <v>40</v>
      </c>
      <c r="O73" s="108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  <c r="AA73" s="99"/>
      <c r="AB73" s="99"/>
      <c r="AC73" s="99"/>
      <c r="AD73" s="99"/>
      <c r="AE73" s="99"/>
      <c r="AF73" s="99"/>
      <c r="AG73" s="99"/>
      <c r="AH73" s="99"/>
      <c r="AI73" s="99"/>
      <c r="AJ73" s="99"/>
      <c r="AK73" s="99"/>
      <c r="AL73" s="99"/>
      <c r="AM73" s="99"/>
      <c r="AN73" s="99"/>
      <c r="AO73" s="99"/>
      <c r="AP73" s="99"/>
      <c r="AQ73" s="99"/>
      <c r="AR73" s="99"/>
      <c r="AS73" s="99"/>
      <c r="AT73" s="99"/>
      <c r="AU73" s="100"/>
      <c r="AV73" s="100"/>
    </row>
    <row r="74" spans="1:48" ht="15" customHeight="1" x14ac:dyDescent="0.3">
      <c r="A74" s="101">
        <v>69</v>
      </c>
      <c r="B74" s="137" t="s">
        <v>48</v>
      </c>
      <c r="C74" s="112" t="s">
        <v>306</v>
      </c>
      <c r="D74" s="112" t="s">
        <v>307</v>
      </c>
      <c r="E74" s="112" t="s">
        <v>183</v>
      </c>
      <c r="F74" s="113" t="s">
        <v>308</v>
      </c>
      <c r="G74" s="112" t="s">
        <v>309</v>
      </c>
      <c r="H74" s="112">
        <v>4086054758</v>
      </c>
      <c r="I74" s="112" t="s">
        <v>310</v>
      </c>
      <c r="J74" s="113" t="s">
        <v>311</v>
      </c>
      <c r="K74" s="110" t="s">
        <v>219</v>
      </c>
      <c r="L74" s="112">
        <v>46</v>
      </c>
      <c r="M74" s="112"/>
      <c r="N74" s="102" t="s">
        <v>40</v>
      </c>
      <c r="O74" s="110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  <c r="AA74" s="99"/>
      <c r="AB74" s="99"/>
      <c r="AC74" s="99"/>
      <c r="AD74" s="99"/>
      <c r="AE74" s="99"/>
      <c r="AF74" s="99"/>
      <c r="AG74" s="99"/>
      <c r="AH74" s="99"/>
      <c r="AI74" s="99"/>
      <c r="AJ74" s="99"/>
      <c r="AK74" s="99"/>
      <c r="AL74" s="99"/>
      <c r="AM74" s="99"/>
      <c r="AN74" s="99"/>
      <c r="AO74" s="99"/>
      <c r="AP74" s="99"/>
      <c r="AQ74" s="99"/>
      <c r="AR74" s="99"/>
      <c r="AS74" s="99"/>
      <c r="AT74" s="99"/>
      <c r="AU74" s="100"/>
      <c r="AV74" s="100"/>
    </row>
    <row r="75" spans="1:48" ht="15" customHeight="1" x14ac:dyDescent="0.3">
      <c r="A75" s="101">
        <v>70</v>
      </c>
      <c r="B75" s="102" t="s">
        <v>48</v>
      </c>
      <c r="C75" s="103" t="s">
        <v>306</v>
      </c>
      <c r="D75" s="103" t="s">
        <v>307</v>
      </c>
      <c r="E75" s="103" t="s">
        <v>183</v>
      </c>
      <c r="F75" s="105" t="s">
        <v>308</v>
      </c>
      <c r="G75" s="103" t="s">
        <v>309</v>
      </c>
      <c r="H75" s="103">
        <v>4086054758</v>
      </c>
      <c r="I75" s="103" t="s">
        <v>310</v>
      </c>
      <c r="J75" s="105" t="s">
        <v>312</v>
      </c>
      <c r="K75" s="110" t="s">
        <v>120</v>
      </c>
      <c r="L75" s="112">
        <v>58</v>
      </c>
      <c r="M75" s="112" t="s">
        <v>313</v>
      </c>
      <c r="N75" s="102" t="s">
        <v>40</v>
      </c>
      <c r="O75" s="111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  <c r="AA75" s="99"/>
      <c r="AB75" s="99"/>
      <c r="AC75" s="99"/>
      <c r="AD75" s="99"/>
      <c r="AE75" s="99"/>
      <c r="AF75" s="99"/>
      <c r="AG75" s="99"/>
      <c r="AH75" s="99"/>
      <c r="AI75" s="99"/>
      <c r="AJ75" s="99"/>
      <c r="AK75" s="99"/>
      <c r="AL75" s="99"/>
      <c r="AM75" s="99"/>
      <c r="AN75" s="99"/>
      <c r="AO75" s="99"/>
      <c r="AP75" s="99"/>
      <c r="AQ75" s="99"/>
      <c r="AR75" s="99"/>
      <c r="AS75" s="99"/>
      <c r="AT75" s="99"/>
      <c r="AU75" s="100"/>
      <c r="AV75" s="100"/>
    </row>
    <row r="76" spans="1:48" ht="15" customHeight="1" x14ac:dyDescent="0.3">
      <c r="A76" s="101">
        <v>71</v>
      </c>
      <c r="B76" s="137" t="s">
        <v>48</v>
      </c>
      <c r="C76" s="112" t="s">
        <v>314</v>
      </c>
      <c r="D76" s="112" t="s">
        <v>315</v>
      </c>
      <c r="E76" s="112">
        <v>1</v>
      </c>
      <c r="F76" s="113">
        <v>42695</v>
      </c>
      <c r="G76" s="112" t="s">
        <v>316</v>
      </c>
      <c r="H76" s="112">
        <v>5103147991</v>
      </c>
      <c r="I76" s="112" t="s">
        <v>317</v>
      </c>
      <c r="J76" s="113">
        <v>45523</v>
      </c>
      <c r="K76" s="112" t="s">
        <v>118</v>
      </c>
      <c r="L76" s="112">
        <v>46</v>
      </c>
      <c r="M76" s="112"/>
      <c r="N76" s="102" t="s">
        <v>40</v>
      </c>
      <c r="O76" s="110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  <c r="AA76" s="99"/>
      <c r="AB76" s="99"/>
      <c r="AC76" s="99"/>
      <c r="AD76" s="99"/>
      <c r="AE76" s="99"/>
      <c r="AF76" s="99"/>
      <c r="AG76" s="99"/>
      <c r="AH76" s="99"/>
      <c r="AI76" s="99"/>
      <c r="AJ76" s="99"/>
      <c r="AK76" s="99"/>
      <c r="AL76" s="99"/>
      <c r="AM76" s="99"/>
      <c r="AN76" s="99"/>
      <c r="AO76" s="99"/>
      <c r="AP76" s="99"/>
      <c r="AQ76" s="99"/>
      <c r="AR76" s="99"/>
      <c r="AS76" s="99"/>
      <c r="AT76" s="99"/>
      <c r="AU76" s="100"/>
      <c r="AV76" s="100"/>
    </row>
    <row r="77" spans="1:48" ht="15" customHeight="1" x14ac:dyDescent="0.3">
      <c r="A77" s="101">
        <v>72</v>
      </c>
      <c r="B77" s="137" t="s">
        <v>89</v>
      </c>
      <c r="C77" s="112" t="s">
        <v>314</v>
      </c>
      <c r="D77" s="112" t="s">
        <v>315</v>
      </c>
      <c r="E77" s="112">
        <v>1</v>
      </c>
      <c r="F77" s="113">
        <v>42695</v>
      </c>
      <c r="G77" s="112" t="s">
        <v>316</v>
      </c>
      <c r="H77" s="112">
        <v>5103147991</v>
      </c>
      <c r="I77" s="112" t="s">
        <v>317</v>
      </c>
      <c r="J77" s="113">
        <v>45523</v>
      </c>
      <c r="K77" s="112" t="s">
        <v>176</v>
      </c>
      <c r="L77" s="112">
        <v>76</v>
      </c>
      <c r="M77" s="112"/>
      <c r="N77" s="102" t="s">
        <v>40</v>
      </c>
      <c r="O77" s="110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  <c r="AA77" s="99"/>
      <c r="AB77" s="99"/>
      <c r="AC77" s="99"/>
      <c r="AD77" s="99"/>
      <c r="AE77" s="99"/>
      <c r="AF77" s="99"/>
      <c r="AG77" s="99"/>
      <c r="AH77" s="99"/>
      <c r="AI77" s="99"/>
      <c r="AJ77" s="99"/>
      <c r="AK77" s="99"/>
      <c r="AL77" s="99"/>
      <c r="AM77" s="99"/>
      <c r="AN77" s="99"/>
      <c r="AO77" s="99"/>
      <c r="AP77" s="99"/>
      <c r="AQ77" s="99"/>
      <c r="AR77" s="99"/>
      <c r="AS77" s="99"/>
      <c r="AT77" s="99"/>
      <c r="AU77" s="100"/>
      <c r="AV77" s="100"/>
    </row>
    <row r="78" spans="1:48" ht="15" customHeight="1" x14ac:dyDescent="0.3">
      <c r="A78" s="101">
        <v>73</v>
      </c>
      <c r="B78" s="137" t="s">
        <v>89</v>
      </c>
      <c r="C78" s="112" t="s">
        <v>314</v>
      </c>
      <c r="D78" s="112" t="s">
        <v>318</v>
      </c>
      <c r="E78" s="112">
        <v>1</v>
      </c>
      <c r="F78" s="113">
        <v>42695</v>
      </c>
      <c r="G78" s="112" t="s">
        <v>316</v>
      </c>
      <c r="H78" s="112">
        <v>5103147991</v>
      </c>
      <c r="I78" s="112" t="s">
        <v>317</v>
      </c>
      <c r="J78" s="113">
        <v>45523</v>
      </c>
      <c r="K78" s="112" t="s">
        <v>176</v>
      </c>
      <c r="L78" s="112">
        <v>16</v>
      </c>
      <c r="M78" s="112"/>
      <c r="N78" s="102" t="s">
        <v>40</v>
      </c>
      <c r="O78" s="110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  <c r="AA78" s="99"/>
      <c r="AB78" s="99"/>
      <c r="AC78" s="99"/>
      <c r="AD78" s="99"/>
      <c r="AE78" s="99"/>
      <c r="AF78" s="99"/>
      <c r="AG78" s="99"/>
      <c r="AH78" s="99"/>
      <c r="AI78" s="99"/>
      <c r="AJ78" s="99"/>
      <c r="AK78" s="99"/>
      <c r="AL78" s="99"/>
      <c r="AM78" s="99"/>
      <c r="AN78" s="99"/>
      <c r="AO78" s="99"/>
      <c r="AP78" s="99"/>
      <c r="AQ78" s="99"/>
      <c r="AR78" s="99"/>
      <c r="AS78" s="99"/>
      <c r="AT78" s="99"/>
      <c r="AU78" s="100"/>
      <c r="AV78" s="100"/>
    </row>
    <row r="79" spans="1:48" ht="15" customHeight="1" x14ac:dyDescent="0.3">
      <c r="A79" s="101">
        <v>74</v>
      </c>
      <c r="B79" s="137" t="s">
        <v>48</v>
      </c>
      <c r="C79" s="112" t="s">
        <v>314</v>
      </c>
      <c r="D79" s="112" t="s">
        <v>318</v>
      </c>
      <c r="E79" s="112">
        <v>1</v>
      </c>
      <c r="F79" s="113">
        <v>42695</v>
      </c>
      <c r="G79" s="112" t="s">
        <v>316</v>
      </c>
      <c r="H79" s="112">
        <v>5103147991</v>
      </c>
      <c r="I79" s="112" t="s">
        <v>317</v>
      </c>
      <c r="J79" s="113">
        <v>45523</v>
      </c>
      <c r="K79" s="112" t="s">
        <v>118</v>
      </c>
      <c r="L79" s="112">
        <v>11</v>
      </c>
      <c r="M79" s="112"/>
      <c r="N79" s="102" t="s">
        <v>40</v>
      </c>
      <c r="O79" s="110"/>
      <c r="P79" s="99"/>
      <c r="Q79" s="99"/>
      <c r="R79" s="99"/>
      <c r="S79" s="99"/>
      <c r="T79" s="99"/>
      <c r="U79" s="99"/>
      <c r="V79" s="99"/>
      <c r="W79" s="99"/>
      <c r="X79" s="99"/>
      <c r="Y79" s="99"/>
      <c r="Z79" s="99"/>
      <c r="AA79" s="99"/>
      <c r="AB79" s="99"/>
      <c r="AC79" s="99"/>
      <c r="AD79" s="99"/>
      <c r="AE79" s="99"/>
      <c r="AF79" s="99"/>
      <c r="AG79" s="99"/>
      <c r="AH79" s="99"/>
      <c r="AI79" s="99"/>
      <c r="AJ79" s="99"/>
      <c r="AK79" s="99"/>
      <c r="AL79" s="99"/>
      <c r="AM79" s="99"/>
      <c r="AN79" s="99"/>
      <c r="AO79" s="99"/>
      <c r="AP79" s="99"/>
      <c r="AQ79" s="99"/>
      <c r="AR79" s="99"/>
      <c r="AS79" s="99"/>
      <c r="AT79" s="99"/>
      <c r="AU79" s="100"/>
      <c r="AV79" s="100"/>
    </row>
    <row r="80" spans="1:48" ht="15" customHeight="1" x14ac:dyDescent="0.3">
      <c r="A80" s="101">
        <v>75</v>
      </c>
      <c r="B80" s="137" t="s">
        <v>48</v>
      </c>
      <c r="C80" s="112" t="s">
        <v>319</v>
      </c>
      <c r="D80" s="112" t="s">
        <v>320</v>
      </c>
      <c r="E80" s="112">
        <v>2</v>
      </c>
      <c r="F80" s="113">
        <v>42736</v>
      </c>
      <c r="G80" s="112" t="s">
        <v>321</v>
      </c>
      <c r="H80" s="112">
        <v>4088070200</v>
      </c>
      <c r="I80" s="112" t="s">
        <v>322</v>
      </c>
      <c r="J80" s="113">
        <v>45323</v>
      </c>
      <c r="K80" s="112" t="s">
        <v>323</v>
      </c>
      <c r="L80" s="112">
        <v>45</v>
      </c>
      <c r="M80" s="112"/>
      <c r="N80" s="102" t="s">
        <v>40</v>
      </c>
      <c r="O80" s="110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  <c r="AA80" s="99"/>
      <c r="AB80" s="99"/>
      <c r="AC80" s="99"/>
      <c r="AD80" s="99"/>
      <c r="AE80" s="99"/>
      <c r="AF80" s="99"/>
      <c r="AG80" s="99"/>
      <c r="AH80" s="99"/>
      <c r="AI80" s="99"/>
      <c r="AJ80" s="99"/>
      <c r="AK80" s="99"/>
      <c r="AL80" s="99"/>
      <c r="AM80" s="99"/>
      <c r="AN80" s="99"/>
      <c r="AO80" s="99"/>
      <c r="AP80" s="99"/>
      <c r="AQ80" s="99"/>
      <c r="AR80" s="99"/>
      <c r="AS80" s="99"/>
      <c r="AT80" s="99"/>
      <c r="AU80" s="100"/>
      <c r="AV80" s="100"/>
    </row>
    <row r="81" spans="1:48" ht="15" customHeight="1" x14ac:dyDescent="0.3">
      <c r="A81" s="101">
        <v>76</v>
      </c>
      <c r="B81" s="137" t="s">
        <v>89</v>
      </c>
      <c r="C81" s="112" t="s">
        <v>319</v>
      </c>
      <c r="D81" s="112" t="s">
        <v>320</v>
      </c>
      <c r="E81" s="112">
        <v>2</v>
      </c>
      <c r="F81" s="113">
        <v>42736</v>
      </c>
      <c r="G81" s="112" t="s">
        <v>321</v>
      </c>
      <c r="H81" s="112">
        <v>4088070200</v>
      </c>
      <c r="I81" s="112" t="s">
        <v>322</v>
      </c>
      <c r="J81" s="113">
        <v>45525</v>
      </c>
      <c r="K81" s="112" t="s">
        <v>162</v>
      </c>
      <c r="L81" s="112">
        <v>25</v>
      </c>
      <c r="M81" s="112"/>
      <c r="N81" s="102" t="s">
        <v>40</v>
      </c>
      <c r="O81" s="110"/>
      <c r="P81" s="99"/>
      <c r="Q81" s="99"/>
      <c r="R81" s="99"/>
      <c r="S81" s="99"/>
      <c r="T81" s="99"/>
      <c r="U81" s="99"/>
      <c r="V81" s="99"/>
      <c r="W81" s="99"/>
      <c r="X81" s="99"/>
      <c r="Y81" s="99"/>
      <c r="Z81" s="99"/>
      <c r="AA81" s="99"/>
      <c r="AB81" s="99"/>
      <c r="AC81" s="99"/>
      <c r="AD81" s="99"/>
      <c r="AE81" s="99"/>
      <c r="AF81" s="99"/>
      <c r="AG81" s="99"/>
      <c r="AH81" s="99"/>
      <c r="AI81" s="99"/>
      <c r="AJ81" s="99"/>
      <c r="AK81" s="99"/>
      <c r="AL81" s="99"/>
      <c r="AM81" s="99"/>
      <c r="AN81" s="99"/>
      <c r="AO81" s="99"/>
      <c r="AP81" s="99"/>
      <c r="AQ81" s="99"/>
      <c r="AR81" s="99"/>
      <c r="AS81" s="99"/>
      <c r="AT81" s="99"/>
      <c r="AU81" s="100"/>
      <c r="AV81" s="100"/>
    </row>
    <row r="82" spans="1:48" ht="15" customHeight="1" x14ac:dyDescent="0.4">
      <c r="A82" s="101">
        <v>77</v>
      </c>
      <c r="B82" s="102" t="s">
        <v>89</v>
      </c>
      <c r="C82" s="112" t="s">
        <v>324</v>
      </c>
      <c r="D82" s="112" t="s">
        <v>325</v>
      </c>
      <c r="E82" s="109">
        <v>6</v>
      </c>
      <c r="F82" s="113">
        <v>42007</v>
      </c>
      <c r="G82" s="106" t="s">
        <v>326</v>
      </c>
      <c r="H82" s="106">
        <v>5103143231</v>
      </c>
      <c r="I82" s="106" t="s">
        <v>327</v>
      </c>
      <c r="J82" s="113">
        <v>45810</v>
      </c>
      <c r="K82" s="110" t="s">
        <v>120</v>
      </c>
      <c r="L82" s="112">
        <v>61</v>
      </c>
      <c r="M82" s="112"/>
      <c r="N82" s="102" t="s">
        <v>40</v>
      </c>
      <c r="O82" s="111"/>
      <c r="P82" s="140"/>
      <c r="Q82" s="140"/>
      <c r="R82" s="140"/>
      <c r="S82" s="140"/>
      <c r="T82" s="140"/>
      <c r="U82" s="140"/>
      <c r="V82" s="140"/>
      <c r="W82" s="140"/>
      <c r="X82" s="140"/>
      <c r="Y82" s="140"/>
      <c r="Z82" s="140"/>
      <c r="AA82" s="140"/>
      <c r="AB82" s="140"/>
      <c r="AC82" s="140"/>
      <c r="AD82" s="140"/>
      <c r="AE82" s="140"/>
      <c r="AF82" s="140"/>
      <c r="AG82" s="140"/>
      <c r="AH82" s="140"/>
      <c r="AI82" s="140"/>
      <c r="AJ82" s="140"/>
      <c r="AK82" s="140"/>
      <c r="AL82" s="140"/>
      <c r="AM82" s="140"/>
      <c r="AN82" s="140"/>
      <c r="AO82" s="140"/>
      <c r="AP82" s="140"/>
      <c r="AQ82" s="140"/>
      <c r="AR82" s="140"/>
      <c r="AS82" s="140"/>
      <c r="AT82" s="140"/>
      <c r="AU82" s="100"/>
      <c r="AV82" s="100"/>
    </row>
    <row r="83" spans="1:48" ht="15" customHeight="1" x14ac:dyDescent="0.4">
      <c r="A83" s="101">
        <v>78</v>
      </c>
      <c r="B83" s="102" t="s">
        <v>48</v>
      </c>
      <c r="C83" s="112" t="s">
        <v>324</v>
      </c>
      <c r="D83" s="112" t="s">
        <v>325</v>
      </c>
      <c r="E83" s="109">
        <v>6</v>
      </c>
      <c r="F83" s="113">
        <v>42008</v>
      </c>
      <c r="G83" s="106" t="s">
        <v>328</v>
      </c>
      <c r="H83" s="106">
        <v>5103143231</v>
      </c>
      <c r="I83" s="106" t="s">
        <v>327</v>
      </c>
      <c r="J83" s="113">
        <v>45811</v>
      </c>
      <c r="K83" s="110" t="s">
        <v>118</v>
      </c>
      <c r="L83" s="112">
        <v>96</v>
      </c>
      <c r="M83" s="112" t="s">
        <v>128</v>
      </c>
      <c r="N83" s="102" t="s">
        <v>40</v>
      </c>
      <c r="O83" s="111"/>
      <c r="P83" s="140"/>
      <c r="Q83" s="140"/>
      <c r="R83" s="140"/>
      <c r="S83" s="140"/>
      <c r="T83" s="140"/>
      <c r="U83" s="140"/>
      <c r="V83" s="140"/>
      <c r="W83" s="140"/>
      <c r="X83" s="140"/>
      <c r="Y83" s="140"/>
      <c r="Z83" s="140"/>
      <c r="AA83" s="140"/>
      <c r="AB83" s="140"/>
      <c r="AC83" s="140"/>
      <c r="AD83" s="140"/>
      <c r="AE83" s="140"/>
      <c r="AF83" s="140"/>
      <c r="AG83" s="140"/>
      <c r="AH83" s="140"/>
      <c r="AI83" s="140"/>
      <c r="AJ83" s="140"/>
      <c r="AK83" s="140"/>
      <c r="AL83" s="140"/>
      <c r="AM83" s="140"/>
      <c r="AN83" s="140"/>
      <c r="AO83" s="140"/>
      <c r="AP83" s="140"/>
      <c r="AQ83" s="140"/>
      <c r="AR83" s="140"/>
      <c r="AS83" s="140"/>
      <c r="AT83" s="140"/>
      <c r="AU83" s="100"/>
      <c r="AV83" s="100"/>
    </row>
    <row r="84" spans="1:48" ht="15" customHeight="1" x14ac:dyDescent="0.3">
      <c r="A84" s="101">
        <v>79</v>
      </c>
      <c r="B84" s="104" t="s">
        <v>48</v>
      </c>
      <c r="C84" s="103" t="s">
        <v>329</v>
      </c>
      <c r="D84" s="103" t="s">
        <v>330</v>
      </c>
      <c r="E84" s="103" t="s">
        <v>183</v>
      </c>
      <c r="F84" s="105">
        <v>43649</v>
      </c>
      <c r="G84" s="141" t="s">
        <v>331</v>
      </c>
      <c r="H84" s="141">
        <v>4082181523</v>
      </c>
      <c r="I84" s="141" t="s">
        <v>332</v>
      </c>
      <c r="J84" s="113">
        <v>45733</v>
      </c>
      <c r="K84" s="112" t="s">
        <v>333</v>
      </c>
      <c r="L84" s="112">
        <v>64</v>
      </c>
      <c r="M84" s="112"/>
      <c r="N84" s="102" t="s">
        <v>40</v>
      </c>
      <c r="O84" s="111"/>
      <c r="P84" s="114"/>
      <c r="Q84" s="114"/>
      <c r="R84" s="114"/>
      <c r="S84" s="114"/>
      <c r="T84" s="114"/>
      <c r="U84" s="114"/>
      <c r="V84" s="114"/>
      <c r="W84" s="114"/>
      <c r="X84" s="114"/>
      <c r="Y84" s="114"/>
      <c r="Z84" s="114"/>
      <c r="AA84" s="114"/>
      <c r="AB84" s="114"/>
      <c r="AC84" s="114"/>
      <c r="AD84" s="114"/>
      <c r="AE84" s="114"/>
      <c r="AF84" s="114"/>
      <c r="AG84" s="114"/>
      <c r="AH84" s="114"/>
      <c r="AI84" s="114"/>
      <c r="AJ84" s="114"/>
      <c r="AK84" s="114"/>
      <c r="AL84" s="114"/>
      <c r="AM84" s="114"/>
      <c r="AN84" s="114"/>
      <c r="AO84" s="114"/>
      <c r="AP84" s="114"/>
      <c r="AQ84" s="114"/>
      <c r="AR84" s="114"/>
      <c r="AS84" s="114"/>
      <c r="AT84" s="114"/>
      <c r="AU84" s="100"/>
      <c r="AV84" s="100"/>
    </row>
    <row r="85" spans="1:48" ht="15" customHeight="1" x14ac:dyDescent="0.3">
      <c r="A85" s="101">
        <v>80</v>
      </c>
      <c r="B85" s="104" t="s">
        <v>89</v>
      </c>
      <c r="C85" s="103" t="s">
        <v>329</v>
      </c>
      <c r="D85" s="103" t="s">
        <v>330</v>
      </c>
      <c r="E85" s="103" t="s">
        <v>183</v>
      </c>
      <c r="F85" s="105">
        <v>43649</v>
      </c>
      <c r="G85" s="141" t="s">
        <v>331</v>
      </c>
      <c r="H85" s="141">
        <v>4082181523</v>
      </c>
      <c r="I85" s="141" t="s">
        <v>332</v>
      </c>
      <c r="J85" s="113">
        <v>45733</v>
      </c>
      <c r="K85" s="112" t="s">
        <v>149</v>
      </c>
      <c r="L85" s="112">
        <v>61</v>
      </c>
      <c r="M85" s="112"/>
      <c r="N85" s="102" t="s">
        <v>40</v>
      </c>
      <c r="O85" s="111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  <c r="AA85" s="114"/>
      <c r="AB85" s="114"/>
      <c r="AC85" s="114"/>
      <c r="AD85" s="114"/>
      <c r="AE85" s="114"/>
      <c r="AF85" s="114"/>
      <c r="AG85" s="114"/>
      <c r="AH85" s="114"/>
      <c r="AI85" s="114"/>
      <c r="AJ85" s="114"/>
      <c r="AK85" s="114"/>
      <c r="AL85" s="114"/>
      <c r="AM85" s="114"/>
      <c r="AN85" s="114"/>
      <c r="AO85" s="114"/>
      <c r="AP85" s="114"/>
      <c r="AQ85" s="114"/>
      <c r="AR85" s="114"/>
      <c r="AS85" s="114"/>
      <c r="AT85" s="114"/>
      <c r="AU85" s="100"/>
      <c r="AV85" s="100"/>
    </row>
    <row r="86" spans="1:48" ht="15" customHeight="1" x14ac:dyDescent="0.4">
      <c r="A86" s="101">
        <v>81</v>
      </c>
      <c r="B86" s="102" t="s">
        <v>89</v>
      </c>
      <c r="C86" s="103" t="s">
        <v>334</v>
      </c>
      <c r="D86" s="103" t="s">
        <v>335</v>
      </c>
      <c r="E86" s="104">
        <v>1</v>
      </c>
      <c r="F86" s="105">
        <v>43340</v>
      </c>
      <c r="G86" s="148" t="s">
        <v>336</v>
      </c>
      <c r="H86" s="148">
        <v>5183340006</v>
      </c>
      <c r="I86" s="148" t="s">
        <v>337</v>
      </c>
      <c r="J86" s="105">
        <v>45817</v>
      </c>
      <c r="K86" s="107" t="s">
        <v>126</v>
      </c>
      <c r="L86" s="103">
        <v>51</v>
      </c>
      <c r="M86" s="103"/>
      <c r="N86" s="102" t="s">
        <v>40</v>
      </c>
      <c r="O86" s="108"/>
      <c r="P86" s="99"/>
      <c r="Q86" s="99"/>
      <c r="R86" s="99"/>
      <c r="S86" s="99"/>
      <c r="T86" s="99"/>
      <c r="U86" s="99"/>
      <c r="V86" s="99"/>
      <c r="W86" s="99"/>
      <c r="X86" s="99"/>
      <c r="Y86" s="99"/>
      <c r="Z86" s="99"/>
      <c r="AA86" s="99"/>
      <c r="AB86" s="99"/>
      <c r="AC86" s="99"/>
      <c r="AD86" s="99"/>
      <c r="AE86" s="99"/>
      <c r="AF86" s="99"/>
      <c r="AG86" s="99"/>
      <c r="AH86" s="99"/>
      <c r="AI86" s="99"/>
      <c r="AJ86" s="99"/>
      <c r="AK86" s="99"/>
      <c r="AL86" s="99"/>
      <c r="AM86" s="99"/>
      <c r="AN86" s="99"/>
      <c r="AO86" s="99"/>
      <c r="AP86" s="99"/>
      <c r="AQ86" s="99"/>
      <c r="AR86" s="99"/>
      <c r="AS86" s="99"/>
      <c r="AT86" s="99"/>
      <c r="AU86" s="100"/>
      <c r="AV86" s="100"/>
    </row>
    <row r="87" spans="1:48" ht="15" customHeight="1" x14ac:dyDescent="0.4">
      <c r="A87" s="101">
        <v>82</v>
      </c>
      <c r="B87" s="102" t="s">
        <v>48</v>
      </c>
      <c r="C87" s="103" t="s">
        <v>334</v>
      </c>
      <c r="D87" s="103" t="s">
        <v>335</v>
      </c>
      <c r="E87" s="104">
        <v>1</v>
      </c>
      <c r="F87" s="149">
        <v>43340</v>
      </c>
      <c r="G87" s="106" t="s">
        <v>336</v>
      </c>
      <c r="H87" s="106">
        <v>5183340006</v>
      </c>
      <c r="I87" s="106" t="s">
        <v>337</v>
      </c>
      <c r="J87" s="105">
        <v>45817</v>
      </c>
      <c r="K87" s="107" t="s">
        <v>186</v>
      </c>
      <c r="L87" s="103">
        <v>91</v>
      </c>
      <c r="M87" s="103" t="s">
        <v>121</v>
      </c>
      <c r="N87" s="102" t="s">
        <v>40</v>
      </c>
      <c r="O87" s="108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  <c r="AA87" s="99"/>
      <c r="AB87" s="99"/>
      <c r="AC87" s="99"/>
      <c r="AD87" s="99"/>
      <c r="AE87" s="99"/>
      <c r="AF87" s="99"/>
      <c r="AG87" s="99"/>
      <c r="AH87" s="99"/>
      <c r="AI87" s="99"/>
      <c r="AJ87" s="99"/>
      <c r="AK87" s="99"/>
      <c r="AL87" s="99"/>
      <c r="AM87" s="99"/>
      <c r="AN87" s="99"/>
      <c r="AO87" s="99"/>
      <c r="AP87" s="99"/>
      <c r="AQ87" s="99"/>
      <c r="AR87" s="99"/>
      <c r="AS87" s="99"/>
      <c r="AT87" s="99"/>
      <c r="AU87" s="100"/>
      <c r="AV87" s="100"/>
    </row>
    <row r="88" spans="1:48" ht="17.25" customHeight="1" x14ac:dyDescent="0.4">
      <c r="A88" s="101">
        <v>83</v>
      </c>
      <c r="B88" s="109" t="s">
        <v>48</v>
      </c>
      <c r="C88" s="110" t="s">
        <v>338</v>
      </c>
      <c r="D88" s="110" t="s">
        <v>339</v>
      </c>
      <c r="E88" s="109">
        <v>1</v>
      </c>
      <c r="F88" s="111">
        <v>43613</v>
      </c>
      <c r="G88" s="106" t="s">
        <v>340</v>
      </c>
      <c r="H88" s="106">
        <v>6507406798</v>
      </c>
      <c r="I88" s="106" t="s">
        <v>341</v>
      </c>
      <c r="J88" s="111">
        <v>45809</v>
      </c>
      <c r="K88" s="110" t="s">
        <v>167</v>
      </c>
      <c r="L88" s="150">
        <v>91</v>
      </c>
      <c r="M88" s="151"/>
      <c r="N88" s="102" t="s">
        <v>40</v>
      </c>
      <c r="O88" s="152"/>
      <c r="P88" s="114"/>
      <c r="Q88" s="114"/>
      <c r="R88" s="114"/>
      <c r="S88" s="114"/>
      <c r="T88" s="114"/>
      <c r="U88" s="114"/>
      <c r="V88" s="114"/>
      <c r="W88" s="114"/>
      <c r="X88" s="114"/>
      <c r="Y88" s="114"/>
      <c r="Z88" s="114"/>
      <c r="AA88" s="114"/>
      <c r="AB88" s="114"/>
      <c r="AC88" s="114"/>
      <c r="AD88" s="114"/>
      <c r="AE88" s="114"/>
      <c r="AF88" s="114"/>
      <c r="AG88" s="114"/>
      <c r="AH88" s="114"/>
      <c r="AI88" s="114"/>
      <c r="AJ88" s="114"/>
      <c r="AK88" s="114"/>
      <c r="AL88" s="114"/>
      <c r="AM88" s="114"/>
      <c r="AN88" s="114"/>
      <c r="AO88" s="114"/>
      <c r="AP88" s="114"/>
      <c r="AQ88" s="114"/>
      <c r="AR88" s="114"/>
      <c r="AS88" s="114"/>
      <c r="AT88" s="114"/>
      <c r="AU88" s="100"/>
      <c r="AV88" s="100"/>
    </row>
    <row r="89" spans="1:48" ht="15" customHeight="1" x14ac:dyDescent="0.3">
      <c r="A89" s="101">
        <v>84</v>
      </c>
      <c r="B89" s="137" t="s">
        <v>48</v>
      </c>
      <c r="C89" s="112" t="s">
        <v>342</v>
      </c>
      <c r="D89" s="112" t="s">
        <v>294</v>
      </c>
      <c r="E89" s="112">
        <v>3</v>
      </c>
      <c r="F89" s="153">
        <v>42514</v>
      </c>
      <c r="G89" s="112" t="s">
        <v>343</v>
      </c>
      <c r="H89" s="112">
        <v>4703493407</v>
      </c>
      <c r="I89" s="112" t="s">
        <v>344</v>
      </c>
      <c r="J89" s="113">
        <v>45695</v>
      </c>
      <c r="K89" s="112" t="s">
        <v>345</v>
      </c>
      <c r="L89" s="112">
        <v>101</v>
      </c>
      <c r="M89" s="112"/>
      <c r="N89" s="102" t="s">
        <v>40</v>
      </c>
      <c r="O89" s="110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  <c r="AA89" s="99"/>
      <c r="AB89" s="99"/>
      <c r="AC89" s="99"/>
      <c r="AD89" s="99"/>
      <c r="AE89" s="99"/>
      <c r="AF89" s="99"/>
      <c r="AG89" s="99"/>
      <c r="AH89" s="99"/>
      <c r="AI89" s="99"/>
      <c r="AJ89" s="99"/>
      <c r="AK89" s="99"/>
      <c r="AL89" s="99"/>
      <c r="AM89" s="99"/>
      <c r="AN89" s="99"/>
      <c r="AO89" s="99"/>
      <c r="AP89" s="99"/>
      <c r="AQ89" s="99"/>
      <c r="AR89" s="99"/>
      <c r="AS89" s="99"/>
      <c r="AT89" s="99"/>
      <c r="AU89" s="100"/>
      <c r="AV89" s="100"/>
    </row>
    <row r="90" spans="1:48" ht="15" customHeight="1" x14ac:dyDescent="0.4">
      <c r="A90" s="101">
        <v>85</v>
      </c>
      <c r="B90" s="132" t="s">
        <v>89</v>
      </c>
      <c r="C90" s="98" t="s">
        <v>346</v>
      </c>
      <c r="D90" s="98" t="s">
        <v>247</v>
      </c>
      <c r="E90" s="132">
        <v>7</v>
      </c>
      <c r="F90" s="154">
        <v>41298</v>
      </c>
      <c r="G90" s="134" t="s">
        <v>347</v>
      </c>
      <c r="H90" s="134">
        <v>5105054532</v>
      </c>
      <c r="I90" s="134" t="s">
        <v>348</v>
      </c>
      <c r="J90" s="133">
        <v>45817</v>
      </c>
      <c r="K90" s="98" t="s">
        <v>237</v>
      </c>
      <c r="L90" s="95">
        <v>1</v>
      </c>
      <c r="M90" s="95" t="s">
        <v>110</v>
      </c>
      <c r="N90" s="97" t="s">
        <v>40</v>
      </c>
      <c r="O90" s="133"/>
      <c r="P90" s="114"/>
      <c r="Q90" s="114"/>
      <c r="R90" s="114"/>
      <c r="S90" s="114"/>
      <c r="T90" s="114"/>
      <c r="U90" s="114"/>
      <c r="V90" s="114"/>
      <c r="W90" s="114"/>
      <c r="X90" s="114"/>
      <c r="Y90" s="114"/>
      <c r="Z90" s="114"/>
      <c r="AA90" s="114"/>
      <c r="AB90" s="114"/>
      <c r="AC90" s="114"/>
      <c r="AD90" s="114"/>
      <c r="AE90" s="114"/>
      <c r="AF90" s="114"/>
      <c r="AG90" s="114"/>
      <c r="AH90" s="114"/>
      <c r="AI90" s="114"/>
      <c r="AJ90" s="114"/>
      <c r="AK90" s="114"/>
      <c r="AL90" s="114"/>
      <c r="AM90" s="114"/>
      <c r="AN90" s="114"/>
      <c r="AO90" s="114"/>
      <c r="AP90" s="114"/>
      <c r="AQ90" s="114"/>
      <c r="AR90" s="114"/>
      <c r="AS90" s="114"/>
      <c r="AT90" s="114"/>
      <c r="AU90" s="100"/>
      <c r="AV90" s="100"/>
    </row>
    <row r="91" spans="1:48" ht="15" customHeight="1" x14ac:dyDescent="0.4">
      <c r="A91" s="101">
        <v>86</v>
      </c>
      <c r="B91" s="132" t="s">
        <v>48</v>
      </c>
      <c r="C91" s="98" t="s">
        <v>346</v>
      </c>
      <c r="D91" s="98" t="s">
        <v>247</v>
      </c>
      <c r="E91" s="132">
        <v>7</v>
      </c>
      <c r="F91" s="133">
        <v>41299</v>
      </c>
      <c r="G91" s="134" t="s">
        <v>349</v>
      </c>
      <c r="H91" s="134">
        <v>5105054532</v>
      </c>
      <c r="I91" s="134" t="s">
        <v>348</v>
      </c>
      <c r="J91" s="133">
        <v>45817</v>
      </c>
      <c r="K91" s="98"/>
      <c r="L91" s="95"/>
      <c r="M91" s="95" t="s">
        <v>110</v>
      </c>
      <c r="N91" s="97" t="s">
        <v>40</v>
      </c>
      <c r="O91" s="133"/>
      <c r="P91" s="114"/>
      <c r="Q91" s="114"/>
      <c r="R91" s="114"/>
      <c r="S91" s="114"/>
      <c r="T91" s="114"/>
      <c r="U91" s="114"/>
      <c r="V91" s="114"/>
      <c r="W91" s="114"/>
      <c r="X91" s="114"/>
      <c r="Y91" s="114"/>
      <c r="Z91" s="114"/>
      <c r="AA91" s="114"/>
      <c r="AB91" s="114"/>
      <c r="AC91" s="114"/>
      <c r="AD91" s="114"/>
      <c r="AE91" s="114"/>
      <c r="AF91" s="114"/>
      <c r="AG91" s="114"/>
      <c r="AH91" s="114"/>
      <c r="AI91" s="114"/>
      <c r="AJ91" s="114"/>
      <c r="AK91" s="114"/>
      <c r="AL91" s="114"/>
      <c r="AM91" s="114"/>
      <c r="AN91" s="114"/>
      <c r="AO91" s="114"/>
      <c r="AP91" s="114"/>
      <c r="AQ91" s="114"/>
      <c r="AR91" s="114"/>
      <c r="AS91" s="114"/>
      <c r="AT91" s="114"/>
      <c r="AU91" s="100"/>
      <c r="AV91" s="100"/>
    </row>
    <row r="92" spans="1:48" ht="15" customHeight="1" x14ac:dyDescent="0.3">
      <c r="A92" s="101">
        <v>87</v>
      </c>
      <c r="B92" s="137" t="s">
        <v>48</v>
      </c>
      <c r="C92" s="112" t="s">
        <v>350</v>
      </c>
      <c r="D92" s="112" t="s">
        <v>351</v>
      </c>
      <c r="E92" s="112">
        <v>6</v>
      </c>
      <c r="F92" s="113">
        <v>41061</v>
      </c>
      <c r="G92" s="112" t="s">
        <v>352</v>
      </c>
      <c r="H92" s="112">
        <v>4088139160</v>
      </c>
      <c r="I92" s="112" t="s">
        <v>353</v>
      </c>
      <c r="J92" s="113">
        <v>45156</v>
      </c>
      <c r="K92" s="112" t="s">
        <v>260</v>
      </c>
      <c r="L92" s="112">
        <v>99</v>
      </c>
      <c r="M92" s="112"/>
      <c r="N92" s="102" t="s">
        <v>40</v>
      </c>
      <c r="O92" s="110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  <c r="AA92" s="99"/>
      <c r="AB92" s="99"/>
      <c r="AC92" s="99"/>
      <c r="AD92" s="99"/>
      <c r="AE92" s="99"/>
      <c r="AF92" s="99"/>
      <c r="AG92" s="99"/>
      <c r="AH92" s="99"/>
      <c r="AI92" s="99"/>
      <c r="AJ92" s="99"/>
      <c r="AK92" s="99"/>
      <c r="AL92" s="99"/>
      <c r="AM92" s="99"/>
      <c r="AN92" s="99"/>
      <c r="AO92" s="99"/>
      <c r="AP92" s="99"/>
      <c r="AQ92" s="99"/>
      <c r="AR92" s="99"/>
      <c r="AS92" s="99"/>
      <c r="AT92" s="99"/>
      <c r="AU92" s="100"/>
      <c r="AV92" s="100"/>
    </row>
    <row r="93" spans="1:48" ht="15" customHeight="1" x14ac:dyDescent="0.3">
      <c r="A93" s="101">
        <v>88</v>
      </c>
      <c r="B93" s="137" t="s">
        <v>89</v>
      </c>
      <c r="C93" s="112" t="s">
        <v>350</v>
      </c>
      <c r="D93" s="112" t="s">
        <v>351</v>
      </c>
      <c r="E93" s="112">
        <v>6</v>
      </c>
      <c r="F93" s="113">
        <v>41061</v>
      </c>
      <c r="G93" s="112" t="s">
        <v>352</v>
      </c>
      <c r="H93" s="112">
        <v>4088139160</v>
      </c>
      <c r="I93" s="112" t="s">
        <v>353</v>
      </c>
      <c r="J93" s="113">
        <v>45156</v>
      </c>
      <c r="K93" s="112" t="s">
        <v>354</v>
      </c>
      <c r="L93" s="112">
        <v>15</v>
      </c>
      <c r="M93" s="112"/>
      <c r="N93" s="102" t="s">
        <v>40</v>
      </c>
      <c r="O93" s="110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  <c r="AA93" s="99"/>
      <c r="AB93" s="99"/>
      <c r="AC93" s="99"/>
      <c r="AD93" s="99"/>
      <c r="AE93" s="99"/>
      <c r="AF93" s="99"/>
      <c r="AG93" s="99"/>
      <c r="AH93" s="99"/>
      <c r="AI93" s="99"/>
      <c r="AJ93" s="99"/>
      <c r="AK93" s="99"/>
      <c r="AL93" s="99"/>
      <c r="AM93" s="99"/>
      <c r="AN93" s="99"/>
      <c r="AO93" s="99"/>
      <c r="AP93" s="99"/>
      <c r="AQ93" s="99"/>
      <c r="AR93" s="99"/>
      <c r="AS93" s="99"/>
      <c r="AT93" s="99"/>
      <c r="AU93" s="100"/>
      <c r="AV93" s="100"/>
    </row>
    <row r="94" spans="1:48" ht="15" customHeight="1" x14ac:dyDescent="0.3">
      <c r="A94" s="101">
        <v>89</v>
      </c>
      <c r="B94" s="94" t="s">
        <v>48</v>
      </c>
      <c r="C94" s="95" t="s">
        <v>272</v>
      </c>
      <c r="D94" s="95" t="s">
        <v>355</v>
      </c>
      <c r="E94" s="95">
        <v>2</v>
      </c>
      <c r="F94" s="96">
        <v>42348</v>
      </c>
      <c r="G94" s="95" t="s">
        <v>356</v>
      </c>
      <c r="H94" s="95">
        <v>4157228574</v>
      </c>
      <c r="I94" s="95" t="s">
        <v>357</v>
      </c>
      <c r="J94" s="96" t="s">
        <v>358</v>
      </c>
      <c r="K94" s="95" t="s">
        <v>359</v>
      </c>
      <c r="L94" s="95">
        <v>71</v>
      </c>
      <c r="M94" s="95" t="s">
        <v>360</v>
      </c>
      <c r="N94" s="97" t="s">
        <v>34</v>
      </c>
      <c r="O94" s="98"/>
      <c r="P94" s="136"/>
      <c r="Q94" s="136"/>
      <c r="R94" s="136"/>
      <c r="S94" s="136"/>
      <c r="T94" s="136"/>
      <c r="U94" s="136"/>
      <c r="V94" s="136"/>
      <c r="W94" s="136"/>
      <c r="X94" s="136"/>
      <c r="Y94" s="136"/>
      <c r="Z94" s="136"/>
      <c r="AA94" s="136"/>
      <c r="AB94" s="136"/>
      <c r="AC94" s="136"/>
      <c r="AD94" s="136"/>
      <c r="AE94" s="136"/>
      <c r="AF94" s="136"/>
      <c r="AG94" s="136"/>
      <c r="AH94" s="136"/>
      <c r="AI94" s="136"/>
      <c r="AJ94" s="136"/>
      <c r="AK94" s="136"/>
      <c r="AL94" s="136"/>
      <c r="AM94" s="136"/>
      <c r="AN94" s="136"/>
      <c r="AO94" s="136"/>
      <c r="AP94" s="136"/>
      <c r="AQ94" s="136"/>
      <c r="AR94" s="136"/>
      <c r="AS94" s="136"/>
      <c r="AT94" s="136"/>
      <c r="AU94" s="135"/>
      <c r="AV94" s="135"/>
    </row>
    <row r="95" spans="1:48" ht="15" customHeight="1" x14ac:dyDescent="0.3">
      <c r="A95" s="101">
        <v>90</v>
      </c>
      <c r="B95" s="94" t="s">
        <v>89</v>
      </c>
      <c r="C95" s="95" t="s">
        <v>272</v>
      </c>
      <c r="D95" s="95" t="s">
        <v>355</v>
      </c>
      <c r="E95" s="95">
        <v>2</v>
      </c>
      <c r="F95" s="96">
        <v>42348</v>
      </c>
      <c r="G95" s="95" t="s">
        <v>356</v>
      </c>
      <c r="H95" s="95">
        <v>4157228574</v>
      </c>
      <c r="I95" s="95" t="s">
        <v>357</v>
      </c>
      <c r="J95" s="96" t="s">
        <v>358</v>
      </c>
      <c r="K95" s="95" t="s">
        <v>196</v>
      </c>
      <c r="L95" s="95">
        <v>66</v>
      </c>
      <c r="M95" s="95"/>
      <c r="N95" s="97" t="s">
        <v>34</v>
      </c>
      <c r="O95" s="98"/>
      <c r="P95" s="136"/>
      <c r="Q95" s="136"/>
      <c r="R95" s="136"/>
      <c r="S95" s="136"/>
      <c r="T95" s="136"/>
      <c r="U95" s="136"/>
      <c r="V95" s="136"/>
      <c r="W95" s="136"/>
      <c r="X95" s="136"/>
      <c r="Y95" s="136"/>
      <c r="Z95" s="136"/>
      <c r="AA95" s="136"/>
      <c r="AB95" s="136"/>
      <c r="AC95" s="136"/>
      <c r="AD95" s="136"/>
      <c r="AE95" s="136"/>
      <c r="AF95" s="136"/>
      <c r="AG95" s="136"/>
      <c r="AH95" s="136"/>
      <c r="AI95" s="136"/>
      <c r="AJ95" s="136"/>
      <c r="AK95" s="136"/>
      <c r="AL95" s="136"/>
      <c r="AM95" s="136"/>
      <c r="AN95" s="136"/>
      <c r="AO95" s="136"/>
      <c r="AP95" s="136"/>
      <c r="AQ95" s="136"/>
      <c r="AR95" s="136"/>
      <c r="AS95" s="136"/>
      <c r="AT95" s="136"/>
      <c r="AU95" s="135"/>
      <c r="AV95" s="135"/>
    </row>
    <row r="96" spans="1:48" ht="15" customHeight="1" x14ac:dyDescent="0.3">
      <c r="A96" s="101">
        <v>91</v>
      </c>
      <c r="B96" s="94" t="s">
        <v>48</v>
      </c>
      <c r="C96" s="95" t="s">
        <v>361</v>
      </c>
      <c r="D96" s="95" t="s">
        <v>362</v>
      </c>
      <c r="E96" s="95">
        <v>2</v>
      </c>
      <c r="F96" s="96" t="s">
        <v>363</v>
      </c>
      <c r="G96" s="95" t="s">
        <v>364</v>
      </c>
      <c r="H96" s="95">
        <v>3473220327</v>
      </c>
      <c r="I96" s="95" t="s">
        <v>365</v>
      </c>
      <c r="J96" s="96" t="s">
        <v>366</v>
      </c>
      <c r="K96" s="95" t="s">
        <v>161</v>
      </c>
      <c r="L96" s="95">
        <v>56</v>
      </c>
      <c r="M96" s="95" t="s">
        <v>367</v>
      </c>
      <c r="N96" s="97" t="s">
        <v>34</v>
      </c>
      <c r="O96" s="98"/>
      <c r="P96" s="136"/>
      <c r="Q96" s="136"/>
      <c r="R96" s="136"/>
      <c r="S96" s="136"/>
      <c r="T96" s="136"/>
      <c r="U96" s="136"/>
      <c r="V96" s="136"/>
      <c r="W96" s="136"/>
      <c r="X96" s="136"/>
      <c r="Y96" s="136"/>
      <c r="Z96" s="136"/>
      <c r="AA96" s="136"/>
      <c r="AB96" s="136"/>
      <c r="AC96" s="136"/>
      <c r="AD96" s="136"/>
      <c r="AE96" s="136"/>
      <c r="AF96" s="136"/>
      <c r="AG96" s="136"/>
      <c r="AH96" s="136"/>
      <c r="AI96" s="136"/>
      <c r="AJ96" s="136"/>
      <c r="AK96" s="136"/>
      <c r="AL96" s="136"/>
      <c r="AM96" s="136"/>
      <c r="AN96" s="136"/>
      <c r="AO96" s="136"/>
      <c r="AP96" s="136"/>
      <c r="AQ96" s="136"/>
      <c r="AR96" s="136"/>
      <c r="AS96" s="136"/>
      <c r="AT96" s="136"/>
      <c r="AU96" s="135"/>
      <c r="AV96" s="135"/>
    </row>
    <row r="97" spans="1:48" ht="15" customHeight="1" x14ac:dyDescent="0.3">
      <c r="A97" s="101">
        <v>92</v>
      </c>
      <c r="B97" s="94" t="s">
        <v>89</v>
      </c>
      <c r="C97" s="95" t="s">
        <v>361</v>
      </c>
      <c r="D97" s="95" t="s">
        <v>362</v>
      </c>
      <c r="E97" s="95">
        <v>2</v>
      </c>
      <c r="F97" s="96" t="s">
        <v>363</v>
      </c>
      <c r="G97" s="95" t="s">
        <v>364</v>
      </c>
      <c r="H97" s="95">
        <v>3473220327</v>
      </c>
      <c r="I97" s="95" t="s">
        <v>365</v>
      </c>
      <c r="J97" s="96" t="s">
        <v>366</v>
      </c>
      <c r="K97" s="95" t="s">
        <v>120</v>
      </c>
      <c r="L97" s="95">
        <v>71</v>
      </c>
      <c r="M97" s="95" t="s">
        <v>367</v>
      </c>
      <c r="N97" s="97" t="s">
        <v>34</v>
      </c>
      <c r="O97" s="98"/>
      <c r="P97" s="136"/>
      <c r="Q97" s="136"/>
      <c r="R97" s="136"/>
      <c r="S97" s="136"/>
      <c r="T97" s="136"/>
      <c r="U97" s="136"/>
      <c r="V97" s="136"/>
      <c r="W97" s="136"/>
      <c r="X97" s="136"/>
      <c r="Y97" s="136"/>
      <c r="Z97" s="136"/>
      <c r="AA97" s="136"/>
      <c r="AB97" s="136"/>
      <c r="AC97" s="136"/>
      <c r="AD97" s="136"/>
      <c r="AE97" s="136"/>
      <c r="AF97" s="136"/>
      <c r="AG97" s="136"/>
      <c r="AH97" s="136"/>
      <c r="AI97" s="136"/>
      <c r="AJ97" s="136"/>
      <c r="AK97" s="136"/>
      <c r="AL97" s="136"/>
      <c r="AM97" s="136"/>
      <c r="AN97" s="136"/>
      <c r="AO97" s="136"/>
      <c r="AP97" s="136"/>
      <c r="AQ97" s="136"/>
      <c r="AR97" s="136"/>
      <c r="AS97" s="136"/>
      <c r="AT97" s="136"/>
      <c r="AU97" s="135"/>
      <c r="AV97" s="135"/>
    </row>
    <row r="98" spans="1:48" ht="17.25" customHeight="1" x14ac:dyDescent="0.3">
      <c r="A98" s="101">
        <v>93</v>
      </c>
      <c r="B98" s="137" t="s">
        <v>89</v>
      </c>
      <c r="C98" s="112" t="s">
        <v>368</v>
      </c>
      <c r="D98" s="112" t="s">
        <v>369</v>
      </c>
      <c r="E98" s="112" t="s">
        <v>243</v>
      </c>
      <c r="F98" s="113">
        <v>44245</v>
      </c>
      <c r="G98" s="112" t="s">
        <v>370</v>
      </c>
      <c r="H98" s="112">
        <v>6503056008</v>
      </c>
      <c r="I98" s="112" t="s">
        <v>371</v>
      </c>
      <c r="J98" s="113">
        <v>45658</v>
      </c>
      <c r="K98" s="112" t="s">
        <v>372</v>
      </c>
      <c r="L98" s="112">
        <v>56</v>
      </c>
      <c r="M98" s="112" t="s">
        <v>373</v>
      </c>
      <c r="N98" s="102" t="s">
        <v>40</v>
      </c>
      <c r="O98" s="110"/>
      <c r="P98" s="155"/>
      <c r="Q98" s="156"/>
      <c r="R98" s="156"/>
      <c r="S98" s="156"/>
      <c r="T98" s="156"/>
      <c r="U98" s="156"/>
      <c r="V98" s="156"/>
      <c r="W98" s="156"/>
      <c r="X98" s="156"/>
      <c r="Y98" s="156"/>
      <c r="Z98" s="156"/>
      <c r="AA98" s="156"/>
      <c r="AB98" s="156"/>
      <c r="AC98" s="156"/>
      <c r="AD98" s="156"/>
      <c r="AE98" s="156"/>
      <c r="AF98" s="156"/>
      <c r="AG98" s="156"/>
      <c r="AH98" s="156"/>
      <c r="AI98" s="156"/>
      <c r="AJ98" s="156"/>
      <c r="AK98" s="156"/>
      <c r="AL98" s="156"/>
      <c r="AM98" s="156"/>
      <c r="AN98" s="156"/>
      <c r="AO98" s="156"/>
      <c r="AP98" s="156"/>
      <c r="AQ98" s="156"/>
      <c r="AR98" s="156"/>
      <c r="AS98" s="99"/>
      <c r="AT98" s="99"/>
      <c r="AU98" s="100"/>
      <c r="AV98" s="100"/>
    </row>
    <row r="99" spans="1:48" ht="17.25" customHeight="1" x14ac:dyDescent="0.4">
      <c r="A99" s="101">
        <v>94</v>
      </c>
      <c r="B99" s="102" t="s">
        <v>48</v>
      </c>
      <c r="C99" s="103" t="s">
        <v>374</v>
      </c>
      <c r="D99" s="103" t="s">
        <v>375</v>
      </c>
      <c r="E99" s="104">
        <v>3</v>
      </c>
      <c r="F99" s="105">
        <v>43337</v>
      </c>
      <c r="G99" s="106" t="s">
        <v>376</v>
      </c>
      <c r="H99" s="106">
        <v>4084062657</v>
      </c>
      <c r="I99" s="106" t="s">
        <v>377</v>
      </c>
      <c r="J99" s="105">
        <v>45809</v>
      </c>
      <c r="K99" s="107" t="s">
        <v>127</v>
      </c>
      <c r="L99" s="112">
        <v>71</v>
      </c>
      <c r="M99" s="112"/>
      <c r="N99" s="102" t="s">
        <v>40</v>
      </c>
      <c r="O99" s="111"/>
      <c r="P99" s="157"/>
      <c r="Q99" s="158"/>
      <c r="R99" s="158"/>
      <c r="S99" s="158"/>
      <c r="T99" s="158"/>
      <c r="U99" s="158"/>
      <c r="V99" s="158"/>
      <c r="W99" s="158"/>
      <c r="X99" s="158"/>
      <c r="Y99" s="158"/>
      <c r="Z99" s="158"/>
      <c r="AA99" s="158"/>
      <c r="AB99" s="158"/>
      <c r="AC99" s="158"/>
      <c r="AD99" s="158"/>
      <c r="AE99" s="158"/>
      <c r="AF99" s="158"/>
      <c r="AG99" s="158"/>
      <c r="AH99" s="158"/>
      <c r="AI99" s="158"/>
      <c r="AJ99" s="158"/>
      <c r="AK99" s="158"/>
      <c r="AL99" s="158"/>
      <c r="AM99" s="158"/>
      <c r="AN99" s="158"/>
      <c r="AO99" s="158"/>
      <c r="AP99" s="158"/>
      <c r="AQ99" s="158"/>
      <c r="AR99" s="158"/>
      <c r="AS99" s="140"/>
      <c r="AT99" s="140"/>
      <c r="AU99" s="100"/>
      <c r="AV99" s="100"/>
    </row>
    <row r="100" spans="1:48" ht="17.25" customHeight="1" x14ac:dyDescent="0.3">
      <c r="A100" s="101">
        <v>95</v>
      </c>
      <c r="B100" s="109" t="s">
        <v>48</v>
      </c>
      <c r="C100" s="112" t="s">
        <v>378</v>
      </c>
      <c r="D100" s="112" t="s">
        <v>379</v>
      </c>
      <c r="E100" s="112">
        <v>1</v>
      </c>
      <c r="F100" s="113" t="s">
        <v>380</v>
      </c>
      <c r="G100" s="112" t="s">
        <v>381</v>
      </c>
      <c r="H100" s="112">
        <v>4052306385</v>
      </c>
      <c r="I100" s="112" t="s">
        <v>382</v>
      </c>
      <c r="J100" s="113">
        <v>410985</v>
      </c>
      <c r="K100" s="112" t="s">
        <v>127</v>
      </c>
      <c r="L100" s="112">
        <v>1</v>
      </c>
      <c r="M100" s="113">
        <v>45536</v>
      </c>
      <c r="N100" s="102" t="s">
        <v>40</v>
      </c>
      <c r="O100" s="111"/>
      <c r="P100" s="159"/>
      <c r="Q100" s="160"/>
      <c r="R100" s="160"/>
      <c r="S100" s="160"/>
      <c r="T100" s="160"/>
      <c r="U100" s="160"/>
      <c r="V100" s="160"/>
      <c r="W100" s="160"/>
      <c r="X100" s="160"/>
      <c r="Y100" s="160"/>
      <c r="Z100" s="160"/>
      <c r="AA100" s="160"/>
      <c r="AB100" s="160"/>
      <c r="AC100" s="160"/>
      <c r="AD100" s="160"/>
      <c r="AE100" s="160"/>
      <c r="AF100" s="160"/>
      <c r="AG100" s="160"/>
      <c r="AH100" s="160"/>
      <c r="AI100" s="160"/>
      <c r="AJ100" s="160"/>
      <c r="AK100" s="160"/>
      <c r="AL100" s="160"/>
      <c r="AM100" s="160"/>
      <c r="AN100" s="160"/>
      <c r="AO100" s="160"/>
      <c r="AP100" s="160"/>
      <c r="AQ100" s="160"/>
      <c r="AR100" s="160"/>
      <c r="AS100" s="114"/>
      <c r="AT100" s="114"/>
      <c r="AU100" s="100"/>
      <c r="AV100" s="100"/>
    </row>
    <row r="101" spans="1:48" ht="17.25" customHeight="1" x14ac:dyDescent="0.3">
      <c r="A101" s="101">
        <v>96</v>
      </c>
      <c r="B101" s="109" t="s">
        <v>89</v>
      </c>
      <c r="C101" s="112" t="s">
        <v>378</v>
      </c>
      <c r="D101" s="112" t="s">
        <v>379</v>
      </c>
      <c r="E101" s="112">
        <v>1</v>
      </c>
      <c r="F101" s="113" t="s">
        <v>380</v>
      </c>
      <c r="G101" s="112" t="s">
        <v>381</v>
      </c>
      <c r="H101" s="112">
        <v>4052306385</v>
      </c>
      <c r="I101" s="112" t="s">
        <v>382</v>
      </c>
      <c r="J101" s="113">
        <v>45803</v>
      </c>
      <c r="K101" s="112" t="s">
        <v>162</v>
      </c>
      <c r="L101" s="112">
        <v>51</v>
      </c>
      <c r="M101" s="113"/>
      <c r="N101" s="102" t="s">
        <v>40</v>
      </c>
      <c r="O101" s="111"/>
      <c r="P101" s="114"/>
      <c r="Q101" s="114"/>
      <c r="R101" s="114"/>
      <c r="S101" s="114"/>
      <c r="T101" s="114"/>
      <c r="U101" s="114"/>
      <c r="V101" s="114"/>
      <c r="W101" s="114"/>
      <c r="X101" s="114"/>
      <c r="Y101" s="114"/>
      <c r="Z101" s="114"/>
      <c r="AA101" s="114"/>
      <c r="AB101" s="114"/>
      <c r="AC101" s="114"/>
      <c r="AD101" s="114"/>
      <c r="AE101" s="114"/>
      <c r="AF101" s="114"/>
      <c r="AG101" s="114"/>
      <c r="AH101" s="114"/>
      <c r="AI101" s="114"/>
      <c r="AJ101" s="114"/>
      <c r="AK101" s="114"/>
      <c r="AL101" s="114"/>
      <c r="AM101" s="114"/>
      <c r="AN101" s="114"/>
      <c r="AO101" s="114"/>
      <c r="AP101" s="114"/>
      <c r="AQ101" s="114"/>
      <c r="AR101" s="114"/>
      <c r="AS101" s="114"/>
      <c r="AT101" s="114"/>
      <c r="AU101" s="100"/>
      <c r="AV101" s="100"/>
    </row>
    <row r="102" spans="1:48" ht="17.25" customHeight="1" x14ac:dyDescent="0.3">
      <c r="A102" s="101">
        <v>97</v>
      </c>
      <c r="B102" s="109" t="s">
        <v>48</v>
      </c>
      <c r="C102" s="112" t="s">
        <v>383</v>
      </c>
      <c r="D102" s="112" t="s">
        <v>384</v>
      </c>
      <c r="E102" s="112">
        <v>1</v>
      </c>
      <c r="F102" s="113" t="s">
        <v>380</v>
      </c>
      <c r="G102" s="112" t="s">
        <v>381</v>
      </c>
      <c r="H102" s="112">
        <v>4052306385</v>
      </c>
      <c r="I102" s="112" t="s">
        <v>382</v>
      </c>
      <c r="J102" s="113">
        <v>410985</v>
      </c>
      <c r="K102" s="112" t="s">
        <v>115</v>
      </c>
      <c r="L102" s="112">
        <v>28</v>
      </c>
      <c r="M102" s="113">
        <v>45536</v>
      </c>
      <c r="N102" s="102" t="s">
        <v>40</v>
      </c>
      <c r="O102" s="111"/>
      <c r="P102" s="114"/>
      <c r="Q102" s="114"/>
      <c r="R102" s="114"/>
      <c r="S102" s="114"/>
      <c r="T102" s="114"/>
      <c r="U102" s="114"/>
      <c r="V102" s="114"/>
      <c r="W102" s="114"/>
      <c r="X102" s="114"/>
      <c r="Y102" s="114"/>
      <c r="Z102" s="114"/>
      <c r="AA102" s="114"/>
      <c r="AB102" s="114"/>
      <c r="AC102" s="114"/>
      <c r="AD102" s="114"/>
      <c r="AE102" s="114"/>
      <c r="AF102" s="114"/>
      <c r="AG102" s="114"/>
      <c r="AH102" s="114"/>
      <c r="AI102" s="114"/>
      <c r="AJ102" s="114"/>
      <c r="AK102" s="114"/>
      <c r="AL102" s="114"/>
      <c r="AM102" s="114"/>
      <c r="AN102" s="114"/>
      <c r="AO102" s="114"/>
      <c r="AP102" s="114"/>
      <c r="AQ102" s="114"/>
      <c r="AR102" s="114"/>
      <c r="AS102" s="114"/>
      <c r="AT102" s="114"/>
      <c r="AU102" s="100"/>
      <c r="AV102" s="100"/>
    </row>
    <row r="103" spans="1:48" ht="17.25" customHeight="1" x14ac:dyDescent="0.3">
      <c r="A103" s="101">
        <v>98</v>
      </c>
      <c r="B103" s="109" t="s">
        <v>89</v>
      </c>
      <c r="C103" s="112" t="s">
        <v>383</v>
      </c>
      <c r="D103" s="112" t="s">
        <v>384</v>
      </c>
      <c r="E103" s="112">
        <v>1</v>
      </c>
      <c r="F103" s="113" t="s">
        <v>380</v>
      </c>
      <c r="G103" s="112" t="s">
        <v>381</v>
      </c>
      <c r="H103" s="112">
        <v>4052306385</v>
      </c>
      <c r="I103" s="112" t="s">
        <v>382</v>
      </c>
      <c r="J103" s="113">
        <v>45803</v>
      </c>
      <c r="K103" s="112" t="s">
        <v>120</v>
      </c>
      <c r="L103" s="112">
        <v>78</v>
      </c>
      <c r="M103" s="113"/>
      <c r="N103" s="102" t="s">
        <v>40</v>
      </c>
      <c r="O103" s="111"/>
      <c r="P103" s="114"/>
      <c r="Q103" s="114"/>
      <c r="R103" s="114"/>
      <c r="S103" s="114"/>
      <c r="T103" s="114"/>
      <c r="U103" s="114"/>
      <c r="V103" s="114"/>
      <c r="W103" s="114"/>
      <c r="X103" s="114"/>
      <c r="Y103" s="114"/>
      <c r="Z103" s="114"/>
      <c r="AA103" s="114"/>
      <c r="AB103" s="114"/>
      <c r="AC103" s="114"/>
      <c r="AD103" s="114"/>
      <c r="AE103" s="114"/>
      <c r="AF103" s="114"/>
      <c r="AG103" s="114"/>
      <c r="AH103" s="114"/>
      <c r="AI103" s="114"/>
      <c r="AJ103" s="114"/>
      <c r="AK103" s="114"/>
      <c r="AL103" s="114"/>
      <c r="AM103" s="114"/>
      <c r="AN103" s="114"/>
      <c r="AO103" s="114"/>
      <c r="AP103" s="114"/>
      <c r="AQ103" s="114"/>
      <c r="AR103" s="114"/>
      <c r="AS103" s="114"/>
      <c r="AT103" s="114"/>
      <c r="AU103" s="100"/>
      <c r="AV103" s="100"/>
    </row>
    <row r="104" spans="1:48" ht="17.25" customHeight="1" x14ac:dyDescent="0.3">
      <c r="A104" s="101">
        <v>99</v>
      </c>
      <c r="B104" s="137" t="s">
        <v>48</v>
      </c>
      <c r="C104" s="112" t="s">
        <v>385</v>
      </c>
      <c r="D104" s="112" t="s">
        <v>386</v>
      </c>
      <c r="E104" s="112">
        <v>5</v>
      </c>
      <c r="F104" s="113">
        <v>41349</v>
      </c>
      <c r="G104" s="112" t="s">
        <v>387</v>
      </c>
      <c r="H104" s="112" t="s">
        <v>388</v>
      </c>
      <c r="I104" s="112" t="s">
        <v>389</v>
      </c>
      <c r="J104" s="113">
        <v>45103</v>
      </c>
      <c r="K104" s="112" t="s">
        <v>136</v>
      </c>
      <c r="L104" s="112">
        <v>95</v>
      </c>
      <c r="M104" s="112"/>
      <c r="N104" s="102" t="s">
        <v>40</v>
      </c>
      <c r="O104" s="110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G104" s="99"/>
      <c r="AH104" s="99"/>
      <c r="AI104" s="99"/>
      <c r="AJ104" s="99"/>
      <c r="AK104" s="99"/>
      <c r="AL104" s="99"/>
      <c r="AM104" s="99"/>
      <c r="AN104" s="99"/>
      <c r="AO104" s="99"/>
      <c r="AP104" s="99"/>
      <c r="AQ104" s="99"/>
      <c r="AR104" s="99"/>
      <c r="AS104" s="99"/>
      <c r="AT104" s="99"/>
      <c r="AU104" s="100"/>
      <c r="AV104" s="100"/>
    </row>
    <row r="105" spans="1:48" ht="17.25" customHeight="1" x14ac:dyDescent="0.3">
      <c r="A105" s="101">
        <v>100</v>
      </c>
      <c r="B105" s="137" t="s">
        <v>89</v>
      </c>
      <c r="C105" s="112" t="s">
        <v>385</v>
      </c>
      <c r="D105" s="112" t="s">
        <v>386</v>
      </c>
      <c r="E105" s="112">
        <v>5</v>
      </c>
      <c r="F105" s="113">
        <v>41349</v>
      </c>
      <c r="G105" s="112" t="s">
        <v>387</v>
      </c>
      <c r="H105" s="112" t="s">
        <v>388</v>
      </c>
      <c r="I105" s="112" t="s">
        <v>389</v>
      </c>
      <c r="J105" s="113">
        <v>45103</v>
      </c>
      <c r="K105" s="110" t="s">
        <v>135</v>
      </c>
      <c r="L105" s="112">
        <v>71</v>
      </c>
      <c r="M105" s="112"/>
      <c r="N105" s="102" t="s">
        <v>40</v>
      </c>
      <c r="O105" s="110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  <c r="AA105" s="99"/>
      <c r="AB105" s="99"/>
      <c r="AC105" s="99"/>
      <c r="AD105" s="99"/>
      <c r="AE105" s="99"/>
      <c r="AF105" s="99"/>
      <c r="AG105" s="99"/>
      <c r="AH105" s="99"/>
      <c r="AI105" s="99"/>
      <c r="AJ105" s="99"/>
      <c r="AK105" s="99"/>
      <c r="AL105" s="99"/>
      <c r="AM105" s="99"/>
      <c r="AN105" s="99"/>
      <c r="AO105" s="99"/>
      <c r="AP105" s="99"/>
      <c r="AQ105" s="99"/>
      <c r="AR105" s="99"/>
      <c r="AS105" s="99"/>
      <c r="AT105" s="99"/>
      <c r="AU105" s="100"/>
      <c r="AV105" s="100"/>
    </row>
    <row r="106" spans="1:48" ht="17.25" customHeight="1" x14ac:dyDescent="0.3">
      <c r="A106" s="101">
        <v>101</v>
      </c>
      <c r="B106" s="137" t="s">
        <v>48</v>
      </c>
      <c r="C106" s="112" t="s">
        <v>385</v>
      </c>
      <c r="D106" s="112" t="s">
        <v>390</v>
      </c>
      <c r="E106" s="112">
        <v>4</v>
      </c>
      <c r="F106" s="113" t="s">
        <v>391</v>
      </c>
      <c r="G106" s="112" t="s">
        <v>392</v>
      </c>
      <c r="H106" s="112">
        <v>6266790497</v>
      </c>
      <c r="I106" s="112" t="s">
        <v>393</v>
      </c>
      <c r="J106" s="113" t="s">
        <v>394</v>
      </c>
      <c r="K106" s="112" t="s">
        <v>295</v>
      </c>
      <c r="L106" s="112">
        <v>51</v>
      </c>
      <c r="M106" s="112" t="s">
        <v>367</v>
      </c>
      <c r="N106" s="102" t="s">
        <v>40</v>
      </c>
      <c r="O106" s="110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  <c r="AA106" s="99"/>
      <c r="AB106" s="99"/>
      <c r="AC106" s="99"/>
      <c r="AD106" s="99"/>
      <c r="AE106" s="99"/>
      <c r="AF106" s="99"/>
      <c r="AG106" s="99"/>
      <c r="AH106" s="99"/>
      <c r="AI106" s="99"/>
      <c r="AJ106" s="99"/>
      <c r="AK106" s="99"/>
      <c r="AL106" s="99"/>
      <c r="AM106" s="99"/>
      <c r="AN106" s="99"/>
      <c r="AO106" s="99"/>
      <c r="AP106" s="99"/>
      <c r="AQ106" s="99"/>
      <c r="AR106" s="99"/>
      <c r="AS106" s="99"/>
      <c r="AT106" s="99"/>
      <c r="AU106" s="100"/>
      <c r="AV106" s="100"/>
    </row>
    <row r="107" spans="1:48" ht="17.25" customHeight="1" x14ac:dyDescent="0.3">
      <c r="A107" s="101">
        <v>102</v>
      </c>
      <c r="B107" s="137" t="s">
        <v>89</v>
      </c>
      <c r="C107" s="112" t="s">
        <v>385</v>
      </c>
      <c r="D107" s="112" t="s">
        <v>390</v>
      </c>
      <c r="E107" s="112">
        <v>4</v>
      </c>
      <c r="F107" s="113" t="s">
        <v>391</v>
      </c>
      <c r="G107" s="112" t="s">
        <v>392</v>
      </c>
      <c r="H107" s="112">
        <v>6266790497</v>
      </c>
      <c r="I107" s="112" t="s">
        <v>393</v>
      </c>
      <c r="J107" s="113" t="s">
        <v>394</v>
      </c>
      <c r="K107" s="112" t="s">
        <v>212</v>
      </c>
      <c r="L107" s="112">
        <v>1</v>
      </c>
      <c r="M107" s="112" t="s">
        <v>367</v>
      </c>
      <c r="N107" s="102" t="s">
        <v>40</v>
      </c>
      <c r="O107" s="110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  <c r="AA107" s="99"/>
      <c r="AB107" s="99"/>
      <c r="AC107" s="99"/>
      <c r="AD107" s="99"/>
      <c r="AE107" s="99"/>
      <c r="AF107" s="99"/>
      <c r="AG107" s="99"/>
      <c r="AH107" s="99"/>
      <c r="AI107" s="99"/>
      <c r="AJ107" s="99"/>
      <c r="AK107" s="99"/>
      <c r="AL107" s="99"/>
      <c r="AM107" s="99"/>
      <c r="AN107" s="99"/>
      <c r="AO107" s="99"/>
      <c r="AP107" s="99"/>
      <c r="AQ107" s="99"/>
      <c r="AR107" s="99"/>
      <c r="AS107" s="99"/>
      <c r="AT107" s="99"/>
      <c r="AU107" s="100"/>
      <c r="AV107" s="100"/>
    </row>
    <row r="108" spans="1:48" ht="17.25" customHeight="1" x14ac:dyDescent="0.3">
      <c r="A108" s="101">
        <v>103</v>
      </c>
      <c r="B108" s="137" t="s">
        <v>48</v>
      </c>
      <c r="C108" s="112" t="s">
        <v>385</v>
      </c>
      <c r="D108" s="112" t="s">
        <v>130</v>
      </c>
      <c r="E108" s="112" t="s">
        <v>183</v>
      </c>
      <c r="F108" s="113">
        <v>42707</v>
      </c>
      <c r="G108" s="112" t="s">
        <v>395</v>
      </c>
      <c r="H108" s="112">
        <v>5108969910</v>
      </c>
      <c r="I108" s="112" t="s">
        <v>396</v>
      </c>
      <c r="J108" s="113">
        <v>44805</v>
      </c>
      <c r="K108" s="112" t="s">
        <v>161</v>
      </c>
      <c r="L108" s="112">
        <v>101</v>
      </c>
      <c r="M108" s="112"/>
      <c r="N108" s="102" t="s">
        <v>40</v>
      </c>
      <c r="O108" s="110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  <c r="AA108" s="99"/>
      <c r="AB108" s="99"/>
      <c r="AC108" s="99"/>
      <c r="AD108" s="99"/>
      <c r="AE108" s="99"/>
      <c r="AF108" s="99"/>
      <c r="AG108" s="99"/>
      <c r="AH108" s="99"/>
      <c r="AI108" s="99"/>
      <c r="AJ108" s="99"/>
      <c r="AK108" s="99"/>
      <c r="AL108" s="99"/>
      <c r="AM108" s="99"/>
      <c r="AN108" s="99"/>
      <c r="AO108" s="99"/>
      <c r="AP108" s="99"/>
      <c r="AQ108" s="99"/>
      <c r="AR108" s="99"/>
      <c r="AS108" s="99"/>
      <c r="AT108" s="99"/>
      <c r="AU108" s="100"/>
      <c r="AV108" s="100"/>
    </row>
    <row r="109" spans="1:48" ht="17.25" customHeight="1" x14ac:dyDescent="0.3">
      <c r="A109" s="101">
        <v>104</v>
      </c>
      <c r="B109" s="137" t="s">
        <v>89</v>
      </c>
      <c r="C109" s="112" t="s">
        <v>385</v>
      </c>
      <c r="D109" s="112" t="s">
        <v>130</v>
      </c>
      <c r="E109" s="112" t="s">
        <v>183</v>
      </c>
      <c r="F109" s="113">
        <v>42707</v>
      </c>
      <c r="G109" s="112" t="s">
        <v>395</v>
      </c>
      <c r="H109" s="112">
        <v>5108969910</v>
      </c>
      <c r="I109" s="112" t="s">
        <v>396</v>
      </c>
      <c r="J109" s="113">
        <v>44805</v>
      </c>
      <c r="K109" s="112" t="s">
        <v>176</v>
      </c>
      <c r="L109" s="112">
        <v>35</v>
      </c>
      <c r="M109" s="112"/>
      <c r="N109" s="102" t="s">
        <v>40</v>
      </c>
      <c r="O109" s="110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  <c r="AA109" s="99"/>
      <c r="AB109" s="99"/>
      <c r="AC109" s="99"/>
      <c r="AD109" s="99"/>
      <c r="AE109" s="99"/>
      <c r="AF109" s="99"/>
      <c r="AG109" s="99"/>
      <c r="AH109" s="99"/>
      <c r="AI109" s="99"/>
      <c r="AJ109" s="99"/>
      <c r="AK109" s="99"/>
      <c r="AL109" s="99"/>
      <c r="AM109" s="99"/>
      <c r="AN109" s="99"/>
      <c r="AO109" s="99"/>
      <c r="AP109" s="99"/>
      <c r="AQ109" s="99"/>
      <c r="AR109" s="99"/>
      <c r="AS109" s="99"/>
      <c r="AT109" s="99"/>
      <c r="AU109" s="100"/>
      <c r="AV109" s="100"/>
    </row>
    <row r="110" spans="1:48" ht="17.25" customHeight="1" x14ac:dyDescent="0.3">
      <c r="A110" s="101">
        <v>105</v>
      </c>
      <c r="B110" s="137" t="s">
        <v>48</v>
      </c>
      <c r="C110" s="112" t="s">
        <v>385</v>
      </c>
      <c r="D110" s="112" t="s">
        <v>397</v>
      </c>
      <c r="E110" s="112">
        <v>2</v>
      </c>
      <c r="F110" s="113" t="s">
        <v>398</v>
      </c>
      <c r="G110" s="112" t="s">
        <v>392</v>
      </c>
      <c r="H110" s="112">
        <v>6266790497</v>
      </c>
      <c r="I110" s="112" t="s">
        <v>393</v>
      </c>
      <c r="J110" s="113" t="s">
        <v>394</v>
      </c>
      <c r="K110" s="112" t="s">
        <v>136</v>
      </c>
      <c r="L110" s="112">
        <v>38</v>
      </c>
      <c r="M110" s="112" t="s">
        <v>367</v>
      </c>
      <c r="N110" s="102" t="s">
        <v>40</v>
      </c>
      <c r="O110" s="110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  <c r="AA110" s="99"/>
      <c r="AB110" s="99"/>
      <c r="AC110" s="99"/>
      <c r="AD110" s="99"/>
      <c r="AE110" s="99"/>
      <c r="AF110" s="99"/>
      <c r="AG110" s="99"/>
      <c r="AH110" s="99"/>
      <c r="AI110" s="99"/>
      <c r="AJ110" s="99"/>
      <c r="AK110" s="99"/>
      <c r="AL110" s="99"/>
      <c r="AM110" s="99"/>
      <c r="AN110" s="99"/>
      <c r="AO110" s="99"/>
      <c r="AP110" s="99"/>
      <c r="AQ110" s="99"/>
      <c r="AR110" s="99"/>
      <c r="AS110" s="99"/>
      <c r="AT110" s="99"/>
      <c r="AU110" s="100"/>
      <c r="AV110" s="100"/>
    </row>
    <row r="111" spans="1:48" ht="17.25" customHeight="1" x14ac:dyDescent="0.3">
      <c r="A111" s="101">
        <v>106</v>
      </c>
      <c r="B111" s="137" t="s">
        <v>89</v>
      </c>
      <c r="C111" s="112" t="s">
        <v>385</v>
      </c>
      <c r="D111" s="112" t="s">
        <v>397</v>
      </c>
      <c r="E111" s="112">
        <v>2</v>
      </c>
      <c r="F111" s="113" t="s">
        <v>398</v>
      </c>
      <c r="G111" s="112" t="s">
        <v>392</v>
      </c>
      <c r="H111" s="112">
        <v>6266790497</v>
      </c>
      <c r="I111" s="112" t="s">
        <v>393</v>
      </c>
      <c r="J111" s="113" t="s">
        <v>394</v>
      </c>
      <c r="K111" s="112" t="s">
        <v>196</v>
      </c>
      <c r="L111" s="112">
        <v>28</v>
      </c>
      <c r="M111" s="112" t="s">
        <v>367</v>
      </c>
      <c r="N111" s="102" t="s">
        <v>40</v>
      </c>
      <c r="O111" s="110"/>
      <c r="P111" s="99"/>
      <c r="Q111" s="99"/>
      <c r="R111" s="99"/>
      <c r="S111" s="99"/>
      <c r="T111" s="99"/>
      <c r="U111" s="99"/>
      <c r="V111" s="99"/>
      <c r="W111" s="99"/>
      <c r="X111" s="99"/>
      <c r="Y111" s="99"/>
      <c r="Z111" s="99"/>
      <c r="AA111" s="99"/>
      <c r="AB111" s="99"/>
      <c r="AC111" s="99"/>
      <c r="AD111" s="99"/>
      <c r="AE111" s="99"/>
      <c r="AF111" s="99"/>
      <c r="AG111" s="99"/>
      <c r="AH111" s="99"/>
      <c r="AI111" s="99"/>
      <c r="AJ111" s="99"/>
      <c r="AK111" s="99"/>
      <c r="AL111" s="99"/>
      <c r="AM111" s="99"/>
      <c r="AN111" s="99"/>
      <c r="AO111" s="99"/>
      <c r="AP111" s="99"/>
      <c r="AQ111" s="99"/>
      <c r="AR111" s="99"/>
      <c r="AS111" s="99"/>
      <c r="AT111" s="99"/>
      <c r="AU111" s="100"/>
      <c r="AV111" s="100"/>
    </row>
    <row r="112" spans="1:48" ht="17.25" customHeight="1" x14ac:dyDescent="0.3">
      <c r="A112" s="101">
        <v>107</v>
      </c>
      <c r="B112" s="109" t="s">
        <v>48</v>
      </c>
      <c r="C112" s="110" t="s">
        <v>296</v>
      </c>
      <c r="D112" s="110" t="s">
        <v>399</v>
      </c>
      <c r="E112" s="112">
        <v>1</v>
      </c>
      <c r="F112" s="111">
        <v>43335</v>
      </c>
      <c r="G112" s="161" t="s">
        <v>400</v>
      </c>
      <c r="H112" s="161">
        <v>5105574675</v>
      </c>
      <c r="I112" s="161" t="s">
        <v>401</v>
      </c>
      <c r="J112" s="111">
        <v>45766</v>
      </c>
      <c r="K112" s="110" t="s">
        <v>205</v>
      </c>
      <c r="L112" s="112">
        <v>11</v>
      </c>
      <c r="M112" s="112"/>
      <c r="N112" s="102" t="s">
        <v>40</v>
      </c>
      <c r="O112" s="111"/>
      <c r="P112" s="162"/>
      <c r="Q112" s="162"/>
      <c r="R112" s="162"/>
      <c r="S112" s="162"/>
      <c r="T112" s="162"/>
      <c r="U112" s="162"/>
      <c r="V112" s="162"/>
      <c r="W112" s="162"/>
      <c r="X112" s="162"/>
      <c r="Y112" s="162"/>
      <c r="Z112" s="162"/>
      <c r="AA112" s="162"/>
      <c r="AB112" s="162"/>
      <c r="AC112" s="162"/>
      <c r="AD112" s="162"/>
      <c r="AE112" s="162"/>
      <c r="AF112" s="162"/>
      <c r="AG112" s="162"/>
      <c r="AH112" s="162"/>
      <c r="AI112" s="162"/>
      <c r="AJ112" s="162"/>
      <c r="AK112" s="162"/>
      <c r="AL112" s="162"/>
      <c r="AM112" s="162"/>
      <c r="AN112" s="162"/>
      <c r="AO112" s="162"/>
      <c r="AP112" s="162"/>
      <c r="AQ112" s="162"/>
      <c r="AR112" s="162"/>
      <c r="AS112" s="162"/>
      <c r="AT112" s="162"/>
      <c r="AU112" s="121"/>
      <c r="AV112" s="121"/>
    </row>
    <row r="113" spans="1:48" ht="17.25" customHeight="1" x14ac:dyDescent="0.3">
      <c r="A113" s="101">
        <v>108</v>
      </c>
      <c r="B113" s="137" t="s">
        <v>48</v>
      </c>
      <c r="C113" s="112" t="s">
        <v>296</v>
      </c>
      <c r="D113" s="112" t="s">
        <v>271</v>
      </c>
      <c r="E113" s="112">
        <v>2</v>
      </c>
      <c r="F113" s="113" t="s">
        <v>402</v>
      </c>
      <c r="G113" s="112" t="s">
        <v>403</v>
      </c>
      <c r="H113" s="112">
        <v>4085108805</v>
      </c>
      <c r="I113" s="112" t="s">
        <v>404</v>
      </c>
      <c r="J113" s="113" t="s">
        <v>366</v>
      </c>
      <c r="K113" s="112" t="s">
        <v>345</v>
      </c>
      <c r="L113" s="112">
        <v>75</v>
      </c>
      <c r="M113" s="112"/>
      <c r="N113" s="102" t="s">
        <v>40</v>
      </c>
      <c r="O113" s="110"/>
      <c r="P113" s="120"/>
      <c r="Q113" s="120"/>
      <c r="R113" s="120"/>
      <c r="S113" s="120"/>
      <c r="T113" s="120"/>
      <c r="U113" s="120"/>
      <c r="V113" s="120"/>
      <c r="W113" s="120"/>
      <c r="X113" s="120"/>
      <c r="Y113" s="120"/>
      <c r="Z113" s="120"/>
      <c r="AA113" s="120"/>
      <c r="AB113" s="120"/>
      <c r="AC113" s="120"/>
      <c r="AD113" s="120"/>
      <c r="AE113" s="120"/>
      <c r="AF113" s="120"/>
      <c r="AG113" s="120"/>
      <c r="AH113" s="120"/>
      <c r="AI113" s="120"/>
      <c r="AJ113" s="120"/>
      <c r="AK113" s="120"/>
      <c r="AL113" s="120"/>
      <c r="AM113" s="120"/>
      <c r="AN113" s="120"/>
      <c r="AO113" s="120"/>
      <c r="AP113" s="120"/>
      <c r="AQ113" s="120"/>
      <c r="AR113" s="120"/>
      <c r="AS113" s="120"/>
      <c r="AT113" s="120"/>
      <c r="AU113" s="121"/>
      <c r="AV113" s="121"/>
    </row>
    <row r="114" spans="1:48" ht="17.25" customHeight="1" x14ac:dyDescent="0.3">
      <c r="A114" s="101">
        <v>109</v>
      </c>
      <c r="B114" s="137" t="s">
        <v>48</v>
      </c>
      <c r="C114" s="112" t="s">
        <v>405</v>
      </c>
      <c r="D114" s="112" t="s">
        <v>406</v>
      </c>
      <c r="E114" s="112">
        <v>2</v>
      </c>
      <c r="F114" s="113">
        <v>42905</v>
      </c>
      <c r="G114" s="112" t="s">
        <v>407</v>
      </c>
      <c r="H114" s="112">
        <v>5303647578</v>
      </c>
      <c r="I114" s="112" t="s">
        <v>408</v>
      </c>
      <c r="J114" s="113">
        <v>45717</v>
      </c>
      <c r="K114" s="112" t="s">
        <v>161</v>
      </c>
      <c r="L114" s="112">
        <v>50</v>
      </c>
      <c r="M114" s="112"/>
      <c r="N114" s="102" t="s">
        <v>40</v>
      </c>
      <c r="O114" s="110"/>
      <c r="P114" s="99"/>
      <c r="Q114" s="99"/>
      <c r="R114" s="99"/>
      <c r="S114" s="99"/>
      <c r="T114" s="99"/>
      <c r="U114" s="99"/>
      <c r="V114" s="99"/>
      <c r="W114" s="99"/>
      <c r="X114" s="99"/>
      <c r="Y114" s="99"/>
      <c r="Z114" s="99"/>
      <c r="AA114" s="99"/>
      <c r="AB114" s="99"/>
      <c r="AC114" s="99"/>
      <c r="AD114" s="99"/>
      <c r="AE114" s="99"/>
      <c r="AF114" s="99"/>
      <c r="AG114" s="99"/>
      <c r="AH114" s="99"/>
      <c r="AI114" s="99"/>
      <c r="AJ114" s="99"/>
      <c r="AK114" s="99"/>
      <c r="AL114" s="99"/>
      <c r="AM114" s="99"/>
      <c r="AN114" s="99"/>
      <c r="AO114" s="99"/>
      <c r="AP114" s="99"/>
      <c r="AQ114" s="99"/>
      <c r="AR114" s="99"/>
      <c r="AS114" s="99"/>
      <c r="AT114" s="99"/>
      <c r="AU114" s="100"/>
      <c r="AV114" s="100"/>
    </row>
    <row r="115" spans="1:48" ht="17.25" customHeight="1" x14ac:dyDescent="0.4">
      <c r="A115" s="101">
        <v>110</v>
      </c>
      <c r="B115" s="102" t="s">
        <v>48</v>
      </c>
      <c r="C115" s="126" t="s">
        <v>385</v>
      </c>
      <c r="D115" s="103" t="s">
        <v>409</v>
      </c>
      <c r="E115" s="103">
        <v>2</v>
      </c>
      <c r="F115" s="105">
        <v>43140</v>
      </c>
      <c r="G115" s="106" t="s">
        <v>410</v>
      </c>
      <c r="H115" s="106">
        <v>5109994555</v>
      </c>
      <c r="I115" s="106" t="s">
        <v>411</v>
      </c>
      <c r="J115" s="105">
        <v>45838</v>
      </c>
      <c r="K115" s="107" t="s">
        <v>305</v>
      </c>
      <c r="L115" s="103">
        <v>26</v>
      </c>
      <c r="M115" s="103"/>
      <c r="N115" s="102" t="s">
        <v>40</v>
      </c>
      <c r="O115" s="108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163"/>
      <c r="AV115" s="163"/>
    </row>
    <row r="116" spans="1:48" ht="17.25" customHeight="1" x14ac:dyDescent="0.4">
      <c r="A116" s="101">
        <v>111</v>
      </c>
      <c r="B116" s="124" t="s">
        <v>89</v>
      </c>
      <c r="C116" s="126" t="s">
        <v>385</v>
      </c>
      <c r="D116" s="103" t="s">
        <v>409</v>
      </c>
      <c r="E116" s="126">
        <v>2</v>
      </c>
      <c r="F116" s="127">
        <v>43141</v>
      </c>
      <c r="G116" s="164" t="s">
        <v>412</v>
      </c>
      <c r="H116" s="164">
        <v>5109994555</v>
      </c>
      <c r="I116" s="164" t="s">
        <v>411</v>
      </c>
      <c r="J116" s="127">
        <v>45838</v>
      </c>
      <c r="K116" s="165" t="s">
        <v>413</v>
      </c>
      <c r="L116" s="126">
        <v>61</v>
      </c>
      <c r="M116" s="126" t="s">
        <v>121</v>
      </c>
      <c r="N116" s="124" t="s">
        <v>40</v>
      </c>
      <c r="O116" s="166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163"/>
      <c r="AV116" s="163"/>
    </row>
    <row r="117" spans="1:48" ht="17.25" customHeight="1" x14ac:dyDescent="0.3">
      <c r="A117" s="101">
        <v>112</v>
      </c>
      <c r="B117" s="167" t="s">
        <v>48</v>
      </c>
      <c r="C117" s="168" t="s">
        <v>414</v>
      </c>
      <c r="D117" s="168" t="s">
        <v>415</v>
      </c>
      <c r="E117" s="168" t="s">
        <v>183</v>
      </c>
      <c r="F117" s="169">
        <v>43796</v>
      </c>
      <c r="G117" s="170" t="s">
        <v>416</v>
      </c>
      <c r="H117" s="170">
        <v>9195345417</v>
      </c>
      <c r="I117" s="170" t="s">
        <v>417</v>
      </c>
      <c r="J117" s="169">
        <v>45839</v>
      </c>
      <c r="K117" s="171" t="s">
        <v>305</v>
      </c>
      <c r="L117" s="168">
        <v>11</v>
      </c>
      <c r="M117" s="168"/>
      <c r="N117" s="167" t="s">
        <v>83</v>
      </c>
      <c r="O117" s="17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163"/>
      <c r="AV117" s="163"/>
    </row>
    <row r="118" spans="1:48" ht="17.25" customHeight="1" x14ac:dyDescent="0.3">
      <c r="A118" s="101">
        <v>113</v>
      </c>
      <c r="B118" s="167" t="s">
        <v>89</v>
      </c>
      <c r="C118" s="168" t="s">
        <v>414</v>
      </c>
      <c r="D118" s="168" t="s">
        <v>415</v>
      </c>
      <c r="E118" s="168" t="s">
        <v>183</v>
      </c>
      <c r="F118" s="169">
        <v>43797</v>
      </c>
      <c r="G118" s="170" t="s">
        <v>418</v>
      </c>
      <c r="H118" s="170">
        <v>9195345417</v>
      </c>
      <c r="I118" s="170" t="s">
        <v>417</v>
      </c>
      <c r="J118" s="169">
        <v>45839</v>
      </c>
      <c r="K118" s="171" t="s">
        <v>419</v>
      </c>
      <c r="L118" s="168">
        <v>41</v>
      </c>
      <c r="M118" s="168" t="s">
        <v>128</v>
      </c>
      <c r="N118" s="167" t="s">
        <v>83</v>
      </c>
      <c r="O118" s="17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163"/>
      <c r="AV118" s="163"/>
    </row>
    <row r="119" spans="1:48" ht="17.25" customHeight="1" x14ac:dyDescent="0.3">
      <c r="A119" s="101">
        <v>114</v>
      </c>
      <c r="B119" s="167" t="s">
        <v>48</v>
      </c>
      <c r="C119" s="173" t="s">
        <v>420</v>
      </c>
      <c r="D119" s="174" t="s">
        <v>421</v>
      </c>
      <c r="E119" s="175" t="s">
        <v>183</v>
      </c>
      <c r="F119" s="176">
        <v>43744</v>
      </c>
      <c r="G119" s="177" t="s">
        <v>422</v>
      </c>
      <c r="H119" s="170">
        <v>4792681126</v>
      </c>
      <c r="I119" s="170" t="s">
        <v>423</v>
      </c>
      <c r="J119" s="178">
        <v>45845</v>
      </c>
      <c r="K119" s="175" t="s">
        <v>127</v>
      </c>
      <c r="L119" s="175">
        <v>61</v>
      </c>
      <c r="M119" s="174"/>
      <c r="N119" s="179" t="s">
        <v>83</v>
      </c>
      <c r="O119" s="17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163"/>
      <c r="AV119" s="163"/>
    </row>
    <row r="120" spans="1:48" ht="17.25" customHeight="1" x14ac:dyDescent="0.3">
      <c r="A120" s="101">
        <v>115</v>
      </c>
      <c r="B120" s="167" t="s">
        <v>89</v>
      </c>
      <c r="C120" s="173" t="s">
        <v>420</v>
      </c>
      <c r="D120" s="174" t="s">
        <v>421</v>
      </c>
      <c r="E120" s="175" t="s">
        <v>183</v>
      </c>
      <c r="F120" s="176">
        <v>43744</v>
      </c>
      <c r="G120" s="177" t="s">
        <v>424</v>
      </c>
      <c r="H120" s="170">
        <v>4792681126</v>
      </c>
      <c r="I120" s="170" t="s">
        <v>423</v>
      </c>
      <c r="J120" s="178">
        <v>45845</v>
      </c>
      <c r="K120" s="175" t="s">
        <v>143</v>
      </c>
      <c r="L120" s="175">
        <v>1</v>
      </c>
      <c r="M120" s="174" t="s">
        <v>128</v>
      </c>
      <c r="N120" s="179" t="s">
        <v>83</v>
      </c>
      <c r="O120" s="17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163"/>
      <c r="AV120" s="163"/>
    </row>
    <row r="121" spans="1:48" ht="15" customHeight="1" x14ac:dyDescent="0.3">
      <c r="A121" s="101">
        <v>116</v>
      </c>
      <c r="B121" s="180" t="s">
        <v>48</v>
      </c>
      <c r="C121" s="181" t="s">
        <v>375</v>
      </c>
      <c r="D121" s="181" t="s">
        <v>425</v>
      </c>
      <c r="E121" s="181">
        <v>2</v>
      </c>
      <c r="F121" s="182">
        <v>42867</v>
      </c>
      <c r="G121" s="181" t="s">
        <v>426</v>
      </c>
      <c r="H121" s="181">
        <v>4086432868</v>
      </c>
      <c r="I121" s="181" t="s">
        <v>427</v>
      </c>
      <c r="J121" s="182">
        <v>45866</v>
      </c>
      <c r="K121" s="181" t="s">
        <v>323</v>
      </c>
      <c r="L121" s="181">
        <v>54</v>
      </c>
      <c r="M121" s="181"/>
      <c r="N121" s="183" t="s">
        <v>84</v>
      </c>
      <c r="O121" s="184">
        <v>45809</v>
      </c>
      <c r="P121" s="185"/>
      <c r="Q121" s="185"/>
      <c r="R121" s="185"/>
      <c r="S121" s="185"/>
      <c r="T121" s="185"/>
      <c r="U121" s="185"/>
      <c r="V121" s="185"/>
      <c r="W121" s="185"/>
      <c r="X121" s="185"/>
      <c r="Y121" s="185"/>
      <c r="Z121" s="185"/>
      <c r="AA121" s="185"/>
      <c r="AB121" s="185"/>
      <c r="AC121" s="185"/>
      <c r="AD121" s="185"/>
      <c r="AE121" s="185"/>
      <c r="AF121" s="185"/>
      <c r="AG121" s="185"/>
      <c r="AH121" s="185"/>
      <c r="AI121" s="185"/>
      <c r="AJ121" s="185"/>
      <c r="AK121" s="185"/>
      <c r="AL121" s="185"/>
      <c r="AM121" s="185"/>
      <c r="AN121" s="185"/>
      <c r="AO121" s="185"/>
      <c r="AP121" s="185"/>
      <c r="AQ121" s="185"/>
      <c r="AR121" s="185"/>
      <c r="AS121" s="185"/>
      <c r="AT121" s="185"/>
      <c r="AU121" s="186"/>
      <c r="AV121" s="186"/>
    </row>
    <row r="122" spans="1:48" ht="15" customHeight="1" x14ac:dyDescent="0.3">
      <c r="A122" s="101">
        <v>117</v>
      </c>
      <c r="B122" s="180" t="s">
        <v>89</v>
      </c>
      <c r="C122" s="181" t="s">
        <v>375</v>
      </c>
      <c r="D122" s="181" t="s">
        <v>425</v>
      </c>
      <c r="E122" s="181">
        <v>2</v>
      </c>
      <c r="F122" s="182">
        <v>42867</v>
      </c>
      <c r="G122" s="181" t="s">
        <v>426</v>
      </c>
      <c r="H122" s="181">
        <v>4086432868</v>
      </c>
      <c r="I122" s="181" t="s">
        <v>427</v>
      </c>
      <c r="J122" s="182">
        <v>45866</v>
      </c>
      <c r="K122" s="181" t="s">
        <v>135</v>
      </c>
      <c r="L122" s="181">
        <v>28</v>
      </c>
      <c r="M122" s="181"/>
      <c r="N122" s="183" t="s">
        <v>84</v>
      </c>
      <c r="O122" s="184">
        <v>45809</v>
      </c>
      <c r="P122" s="185"/>
      <c r="Q122" s="185"/>
      <c r="R122" s="185"/>
      <c r="S122" s="185"/>
      <c r="T122" s="185"/>
      <c r="U122" s="185"/>
      <c r="V122" s="185"/>
      <c r="W122" s="185"/>
      <c r="X122" s="185"/>
      <c r="Y122" s="185"/>
      <c r="Z122" s="185"/>
      <c r="AA122" s="185"/>
      <c r="AB122" s="185"/>
      <c r="AC122" s="185"/>
      <c r="AD122" s="185"/>
      <c r="AE122" s="185"/>
      <c r="AF122" s="185"/>
      <c r="AG122" s="185"/>
      <c r="AH122" s="185"/>
      <c r="AI122" s="185"/>
      <c r="AJ122" s="185"/>
      <c r="AK122" s="185"/>
      <c r="AL122" s="185"/>
      <c r="AM122" s="185"/>
      <c r="AN122" s="185"/>
      <c r="AO122" s="185"/>
      <c r="AP122" s="185"/>
      <c r="AQ122" s="185"/>
      <c r="AR122" s="185"/>
      <c r="AS122" s="185"/>
      <c r="AT122" s="185"/>
      <c r="AU122" s="186"/>
      <c r="AV122" s="186"/>
    </row>
    <row r="123" spans="1:48" ht="17.25" customHeight="1" x14ac:dyDescent="0.4">
      <c r="A123" s="101">
        <v>118</v>
      </c>
      <c r="B123" s="167" t="s">
        <v>48</v>
      </c>
      <c r="C123" s="168" t="s">
        <v>428</v>
      </c>
      <c r="D123" s="168" t="s">
        <v>252</v>
      </c>
      <c r="E123" s="187">
        <v>1</v>
      </c>
      <c r="F123" s="169">
        <v>43614</v>
      </c>
      <c r="G123" s="188" t="s">
        <v>429</v>
      </c>
      <c r="H123" s="188">
        <v>5107177557</v>
      </c>
      <c r="I123" s="188" t="s">
        <v>430</v>
      </c>
      <c r="J123" s="169">
        <v>45861</v>
      </c>
      <c r="K123" s="171" t="s">
        <v>419</v>
      </c>
      <c r="L123" s="168">
        <v>50</v>
      </c>
      <c r="M123" s="168"/>
      <c r="N123" s="167" t="s">
        <v>83</v>
      </c>
      <c r="O123" s="172"/>
      <c r="P123" s="189"/>
      <c r="Q123" s="189"/>
      <c r="R123" s="189"/>
      <c r="S123" s="189"/>
      <c r="T123" s="189"/>
      <c r="U123" s="189"/>
      <c r="V123" s="189"/>
      <c r="W123" s="189"/>
      <c r="X123" s="189"/>
      <c r="Y123" s="189"/>
      <c r="Z123" s="189"/>
      <c r="AA123" s="189"/>
      <c r="AB123" s="189"/>
      <c r="AC123" s="189"/>
      <c r="AD123" s="189"/>
      <c r="AE123" s="189"/>
      <c r="AF123" s="189"/>
      <c r="AG123" s="189"/>
      <c r="AH123" s="189"/>
      <c r="AI123" s="189"/>
      <c r="AJ123" s="189"/>
      <c r="AK123" s="189"/>
      <c r="AL123" s="189"/>
      <c r="AM123" s="189"/>
      <c r="AN123" s="189"/>
      <c r="AO123" s="189"/>
      <c r="AP123" s="189"/>
      <c r="AQ123" s="189"/>
      <c r="AR123" s="189"/>
      <c r="AS123" s="189"/>
      <c r="AT123" s="189"/>
      <c r="AU123" s="190"/>
      <c r="AV123" s="190"/>
    </row>
    <row r="124" spans="1:48" ht="17.25" customHeight="1" x14ac:dyDescent="0.4">
      <c r="A124" s="101">
        <v>119</v>
      </c>
      <c r="B124" s="167" t="s">
        <v>89</v>
      </c>
      <c r="C124" s="168" t="s">
        <v>431</v>
      </c>
      <c r="D124" s="168" t="s">
        <v>432</v>
      </c>
      <c r="E124" s="187">
        <v>8</v>
      </c>
      <c r="F124" s="169">
        <v>41135</v>
      </c>
      <c r="G124" s="188" t="s">
        <v>433</v>
      </c>
      <c r="H124" s="188">
        <v>5106848488</v>
      </c>
      <c r="I124" s="188" t="s">
        <v>434</v>
      </c>
      <c r="J124" s="169">
        <v>45855</v>
      </c>
      <c r="K124" s="171" t="s">
        <v>120</v>
      </c>
      <c r="L124" s="168">
        <v>100</v>
      </c>
      <c r="M124" s="168"/>
      <c r="N124" s="167" t="s">
        <v>83</v>
      </c>
      <c r="O124" s="172"/>
      <c r="P124" s="189"/>
      <c r="Q124" s="189"/>
      <c r="R124" s="189"/>
      <c r="S124" s="189"/>
      <c r="T124" s="189"/>
      <c r="U124" s="189"/>
      <c r="V124" s="189"/>
      <c r="W124" s="189"/>
      <c r="X124" s="189"/>
      <c r="Y124" s="189"/>
      <c r="Z124" s="189"/>
      <c r="AA124" s="189"/>
      <c r="AB124" s="189"/>
      <c r="AC124" s="189"/>
      <c r="AD124" s="189"/>
      <c r="AE124" s="189"/>
      <c r="AF124" s="189"/>
      <c r="AG124" s="189"/>
      <c r="AH124" s="189"/>
      <c r="AI124" s="189"/>
      <c r="AJ124" s="189"/>
      <c r="AK124" s="189"/>
      <c r="AL124" s="189"/>
      <c r="AM124" s="189"/>
      <c r="AN124" s="189"/>
      <c r="AO124" s="189"/>
      <c r="AP124" s="189"/>
      <c r="AQ124" s="189"/>
      <c r="AR124" s="189"/>
      <c r="AS124" s="189"/>
      <c r="AT124" s="189"/>
      <c r="AU124" s="190"/>
      <c r="AV124" s="190"/>
    </row>
    <row r="125" spans="1:48" ht="17.25" customHeight="1" x14ac:dyDescent="0.4">
      <c r="A125" s="101">
        <v>120</v>
      </c>
      <c r="B125" s="167" t="s">
        <v>48</v>
      </c>
      <c r="C125" s="168" t="s">
        <v>435</v>
      </c>
      <c r="D125" s="168" t="s">
        <v>436</v>
      </c>
      <c r="E125" s="187">
        <v>3</v>
      </c>
      <c r="F125" s="169">
        <v>42603</v>
      </c>
      <c r="G125" s="188" t="s">
        <v>437</v>
      </c>
      <c r="H125" s="188" t="s">
        <v>438</v>
      </c>
      <c r="I125" s="188" t="s">
        <v>439</v>
      </c>
      <c r="J125" s="169">
        <v>45859</v>
      </c>
      <c r="K125" s="171" t="s">
        <v>115</v>
      </c>
      <c r="L125" s="168">
        <v>50</v>
      </c>
      <c r="M125" s="168"/>
      <c r="N125" s="167" t="s">
        <v>83</v>
      </c>
      <c r="O125" s="172"/>
      <c r="P125" s="189"/>
      <c r="Q125" s="189"/>
      <c r="R125" s="189"/>
      <c r="S125" s="189"/>
      <c r="T125" s="189"/>
      <c r="U125" s="189"/>
      <c r="V125" s="189"/>
      <c r="W125" s="189"/>
      <c r="X125" s="189"/>
      <c r="Y125" s="189"/>
      <c r="Z125" s="189"/>
      <c r="AA125" s="189"/>
      <c r="AB125" s="189"/>
      <c r="AC125" s="189"/>
      <c r="AD125" s="189"/>
      <c r="AE125" s="189"/>
      <c r="AF125" s="189"/>
      <c r="AG125" s="189"/>
      <c r="AH125" s="189"/>
      <c r="AI125" s="189"/>
      <c r="AJ125" s="189"/>
      <c r="AK125" s="189"/>
      <c r="AL125" s="189"/>
      <c r="AM125" s="189"/>
      <c r="AN125" s="189"/>
      <c r="AO125" s="189"/>
      <c r="AP125" s="189"/>
      <c r="AQ125" s="189"/>
      <c r="AR125" s="189"/>
      <c r="AS125" s="189"/>
      <c r="AT125" s="189"/>
      <c r="AU125" s="190"/>
      <c r="AV125" s="190"/>
    </row>
    <row r="126" spans="1:48" s="446" customFormat="1" ht="17.25" customHeight="1" x14ac:dyDescent="0.4">
      <c r="A126" s="101">
        <v>121</v>
      </c>
      <c r="B126" s="167" t="s">
        <v>89</v>
      </c>
      <c r="C126" s="168" t="s">
        <v>435</v>
      </c>
      <c r="D126" s="168" t="s">
        <v>436</v>
      </c>
      <c r="E126" s="187">
        <v>3</v>
      </c>
      <c r="F126" s="169">
        <v>42603</v>
      </c>
      <c r="G126" s="188" t="s">
        <v>437</v>
      </c>
      <c r="H126" s="188" t="s">
        <v>438</v>
      </c>
      <c r="I126" s="188" t="s">
        <v>439</v>
      </c>
      <c r="J126" s="169">
        <v>45859</v>
      </c>
      <c r="K126" s="171" t="s">
        <v>126</v>
      </c>
      <c r="L126" s="168">
        <v>50</v>
      </c>
      <c r="M126" s="174" t="s">
        <v>128</v>
      </c>
      <c r="N126" s="167" t="s">
        <v>83</v>
      </c>
      <c r="O126" s="172"/>
      <c r="P126" s="189"/>
      <c r="Q126" s="189"/>
      <c r="R126" s="189"/>
      <c r="S126" s="189"/>
      <c r="T126" s="189"/>
      <c r="U126" s="189"/>
      <c r="V126" s="189"/>
      <c r="W126" s="189"/>
      <c r="X126" s="189"/>
      <c r="Y126" s="189"/>
      <c r="Z126" s="189"/>
      <c r="AA126" s="189"/>
      <c r="AB126" s="189"/>
      <c r="AC126" s="189"/>
      <c r="AD126" s="189"/>
      <c r="AE126" s="189"/>
      <c r="AF126" s="189"/>
      <c r="AG126" s="189"/>
      <c r="AH126" s="189"/>
      <c r="AI126" s="189"/>
      <c r="AJ126" s="189"/>
      <c r="AK126" s="189"/>
      <c r="AL126" s="189"/>
      <c r="AM126" s="189"/>
      <c r="AN126" s="189"/>
      <c r="AO126" s="189"/>
      <c r="AP126" s="189"/>
      <c r="AQ126" s="189"/>
      <c r="AR126" s="189"/>
      <c r="AS126" s="189"/>
      <c r="AT126" s="189"/>
      <c r="AU126" s="190"/>
      <c r="AV126" s="190"/>
    </row>
    <row r="127" spans="1:48" ht="17.25" customHeight="1" x14ac:dyDescent="0.4">
      <c r="A127" s="101">
        <v>122</v>
      </c>
      <c r="B127" s="124"/>
      <c r="C127" s="126"/>
      <c r="D127" s="126"/>
      <c r="E127" s="101"/>
      <c r="F127" s="127"/>
      <c r="G127" s="164"/>
      <c r="H127" s="164"/>
      <c r="I127" s="164"/>
      <c r="J127" s="127"/>
      <c r="K127" s="165"/>
      <c r="L127" s="126"/>
      <c r="M127" s="126"/>
      <c r="N127" s="124" t="s">
        <v>83</v>
      </c>
      <c r="O127" s="166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163"/>
      <c r="AV127" s="163"/>
    </row>
    <row r="128" spans="1:48" ht="17.25" customHeight="1" x14ac:dyDescent="0.4">
      <c r="A128" s="101">
        <v>123</v>
      </c>
      <c r="B128" s="124"/>
      <c r="C128" s="126"/>
      <c r="D128" s="126"/>
      <c r="E128" s="101"/>
      <c r="F128" s="127"/>
      <c r="G128" s="164"/>
      <c r="H128" s="164"/>
      <c r="I128" s="164"/>
      <c r="J128" s="127"/>
      <c r="K128" s="165"/>
      <c r="L128" s="126"/>
      <c r="M128" s="126"/>
      <c r="N128" s="124" t="s">
        <v>83</v>
      </c>
      <c r="O128" s="166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163"/>
      <c r="AV128" s="163"/>
    </row>
    <row r="129" spans="1:48" ht="17.25" customHeight="1" x14ac:dyDescent="0.4">
      <c r="A129" s="101">
        <v>124</v>
      </c>
      <c r="B129" s="124"/>
      <c r="C129" s="126"/>
      <c r="D129" s="126"/>
      <c r="E129" s="101"/>
      <c r="F129" s="127"/>
      <c r="G129" s="164"/>
      <c r="H129" s="164"/>
      <c r="I129" s="164"/>
      <c r="J129" s="127"/>
      <c r="K129" s="165"/>
      <c r="L129" s="126"/>
      <c r="M129" s="126"/>
      <c r="N129" s="124" t="s">
        <v>83</v>
      </c>
      <c r="O129" s="166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163"/>
      <c r="AV129" s="163"/>
    </row>
    <row r="130" spans="1:48" ht="17.25" customHeight="1" x14ac:dyDescent="0.4">
      <c r="A130" s="101">
        <v>125</v>
      </c>
      <c r="B130" s="124"/>
      <c r="C130" s="126"/>
      <c r="D130" s="126"/>
      <c r="E130" s="101"/>
      <c r="F130" s="127"/>
      <c r="G130" s="164"/>
      <c r="H130" s="164"/>
      <c r="I130" s="164"/>
      <c r="J130" s="127"/>
      <c r="K130" s="165"/>
      <c r="L130" s="126"/>
      <c r="M130" s="126"/>
      <c r="N130" s="124" t="s">
        <v>83</v>
      </c>
      <c r="O130" s="166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163"/>
      <c r="AV130" s="163"/>
    </row>
    <row r="131" spans="1:48" ht="17.25" customHeight="1" x14ac:dyDescent="0.4">
      <c r="A131" s="101">
        <v>126</v>
      </c>
      <c r="B131" s="124"/>
      <c r="C131" s="126"/>
      <c r="D131" s="126"/>
      <c r="E131" s="101"/>
      <c r="F131" s="127"/>
      <c r="G131" s="164"/>
      <c r="H131" s="164"/>
      <c r="I131" s="164"/>
      <c r="J131" s="127"/>
      <c r="K131" s="165"/>
      <c r="L131" s="126"/>
      <c r="M131" s="126"/>
      <c r="N131" s="124" t="s">
        <v>83</v>
      </c>
      <c r="O131" s="166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163"/>
      <c r="AV131" s="163"/>
    </row>
    <row r="132" spans="1:48" ht="17.25" customHeight="1" x14ac:dyDescent="0.4">
      <c r="A132" s="101">
        <v>127</v>
      </c>
      <c r="B132" s="124"/>
      <c r="C132" s="126"/>
      <c r="D132" s="126"/>
      <c r="E132" s="101"/>
      <c r="F132" s="127"/>
      <c r="G132" s="164"/>
      <c r="H132" s="164"/>
      <c r="I132" s="164"/>
      <c r="J132" s="127"/>
      <c r="K132" s="165"/>
      <c r="L132" s="126"/>
      <c r="M132" s="126"/>
      <c r="N132" s="124" t="s">
        <v>83</v>
      </c>
      <c r="O132" s="166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163"/>
      <c r="AV132" s="163"/>
    </row>
    <row r="133" spans="1:48" ht="17.25" customHeight="1" x14ac:dyDescent="0.4">
      <c r="A133" s="101">
        <v>128</v>
      </c>
      <c r="B133" s="124"/>
      <c r="C133" s="126"/>
      <c r="D133" s="126"/>
      <c r="E133" s="101"/>
      <c r="F133" s="127"/>
      <c r="G133" s="164"/>
      <c r="H133" s="164"/>
      <c r="I133" s="164"/>
      <c r="J133" s="127"/>
      <c r="K133" s="165"/>
      <c r="L133" s="126"/>
      <c r="M133" s="126"/>
      <c r="N133" s="124" t="s">
        <v>83</v>
      </c>
      <c r="O133" s="166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163"/>
      <c r="AV133" s="163"/>
    </row>
    <row r="134" spans="1:48" ht="17.25" customHeight="1" x14ac:dyDescent="0.4">
      <c r="A134" s="101">
        <v>129</v>
      </c>
      <c r="B134" s="124"/>
      <c r="C134" s="126"/>
      <c r="D134" s="126"/>
      <c r="E134" s="101"/>
      <c r="F134" s="127"/>
      <c r="G134" s="164"/>
      <c r="H134" s="164"/>
      <c r="I134" s="164"/>
      <c r="J134" s="127"/>
      <c r="K134" s="165"/>
      <c r="L134" s="126"/>
      <c r="M134" s="126"/>
      <c r="N134" s="124" t="s">
        <v>83</v>
      </c>
      <c r="O134" s="166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163"/>
      <c r="AV134" s="163"/>
    </row>
    <row r="135" spans="1:48" ht="17.25" customHeight="1" x14ac:dyDescent="0.4">
      <c r="A135" s="101">
        <v>130</v>
      </c>
      <c r="B135" s="124"/>
      <c r="C135" s="126"/>
      <c r="D135" s="126"/>
      <c r="E135" s="101"/>
      <c r="F135" s="127"/>
      <c r="G135" s="164"/>
      <c r="H135" s="164"/>
      <c r="I135" s="164"/>
      <c r="J135" s="127"/>
      <c r="K135" s="165"/>
      <c r="L135" s="126"/>
      <c r="M135" s="126"/>
      <c r="N135" s="124" t="s">
        <v>83</v>
      </c>
      <c r="O135" s="166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163"/>
      <c r="AV135" s="163"/>
    </row>
    <row r="136" spans="1:48" ht="17.25" customHeight="1" x14ac:dyDescent="0.4">
      <c r="A136" s="101">
        <v>131</v>
      </c>
      <c r="B136" s="124"/>
      <c r="C136" s="126"/>
      <c r="D136" s="126"/>
      <c r="E136" s="101"/>
      <c r="F136" s="127"/>
      <c r="G136" s="164"/>
      <c r="H136" s="164"/>
      <c r="I136" s="164"/>
      <c r="J136" s="127"/>
      <c r="K136" s="165"/>
      <c r="L136" s="126"/>
      <c r="M136" s="126"/>
      <c r="N136" s="124" t="s">
        <v>83</v>
      </c>
      <c r="O136" s="166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163"/>
      <c r="AV136" s="163"/>
    </row>
    <row r="137" spans="1:48" ht="17.25" customHeight="1" x14ac:dyDescent="0.4">
      <c r="A137" s="101">
        <v>132</v>
      </c>
      <c r="B137" s="124"/>
      <c r="C137" s="126"/>
      <c r="D137" s="126"/>
      <c r="E137" s="101"/>
      <c r="F137" s="127"/>
      <c r="G137" s="164"/>
      <c r="H137" s="164"/>
      <c r="I137" s="164"/>
      <c r="J137" s="127"/>
      <c r="K137" s="165"/>
      <c r="L137" s="126"/>
      <c r="M137" s="126"/>
      <c r="N137" s="124" t="s">
        <v>83</v>
      </c>
      <c r="O137" s="166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163"/>
      <c r="AV137" s="163"/>
    </row>
    <row r="138" spans="1:48" ht="17.25" customHeight="1" x14ac:dyDescent="0.4">
      <c r="A138" s="101">
        <v>133</v>
      </c>
      <c r="B138" s="124"/>
      <c r="C138" s="126"/>
      <c r="D138" s="126"/>
      <c r="E138" s="101"/>
      <c r="F138" s="127"/>
      <c r="G138" s="164"/>
      <c r="H138" s="164"/>
      <c r="I138" s="164"/>
      <c r="J138" s="127"/>
      <c r="K138" s="165"/>
      <c r="L138" s="126"/>
      <c r="M138" s="126"/>
      <c r="N138" s="124" t="s">
        <v>83</v>
      </c>
      <c r="O138" s="166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163"/>
      <c r="AV138" s="163"/>
    </row>
    <row r="139" spans="1:48" ht="17.25" customHeight="1" x14ac:dyDescent="0.4">
      <c r="A139" s="101">
        <v>134</v>
      </c>
      <c r="B139" s="124"/>
      <c r="C139" s="126"/>
      <c r="D139" s="126"/>
      <c r="E139" s="101"/>
      <c r="F139" s="127"/>
      <c r="G139" s="164"/>
      <c r="H139" s="164"/>
      <c r="I139" s="164"/>
      <c r="J139" s="127"/>
      <c r="K139" s="165"/>
      <c r="L139" s="126"/>
      <c r="M139" s="126"/>
      <c r="N139" s="124" t="s">
        <v>83</v>
      </c>
      <c r="O139" s="166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163"/>
      <c r="AV139" s="163"/>
    </row>
    <row r="140" spans="1:48" ht="17.25" customHeight="1" x14ac:dyDescent="0.4">
      <c r="A140" s="101">
        <v>135</v>
      </c>
      <c r="B140" s="124"/>
      <c r="C140" s="126"/>
      <c r="D140" s="126"/>
      <c r="E140" s="101"/>
      <c r="F140" s="127"/>
      <c r="G140" s="164"/>
      <c r="H140" s="164"/>
      <c r="I140" s="164"/>
      <c r="J140" s="127"/>
      <c r="K140" s="165"/>
      <c r="L140" s="126"/>
      <c r="M140" s="126"/>
      <c r="N140" s="124" t="s">
        <v>83</v>
      </c>
      <c r="O140" s="166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163"/>
      <c r="AV140" s="163"/>
    </row>
    <row r="141" spans="1:48" ht="17.25" customHeight="1" x14ac:dyDescent="0.4">
      <c r="A141" s="101">
        <v>136</v>
      </c>
      <c r="B141" s="124"/>
      <c r="C141" s="126"/>
      <c r="D141" s="126"/>
      <c r="E141" s="101"/>
      <c r="F141" s="127"/>
      <c r="G141" s="164"/>
      <c r="H141" s="164"/>
      <c r="I141" s="164"/>
      <c r="J141" s="127"/>
      <c r="K141" s="165"/>
      <c r="L141" s="126"/>
      <c r="M141" s="126"/>
      <c r="N141" s="124" t="s">
        <v>83</v>
      </c>
      <c r="O141" s="166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163"/>
      <c r="AV141" s="163"/>
    </row>
    <row r="142" spans="1:48" ht="17.25" customHeight="1" x14ac:dyDescent="0.4">
      <c r="A142" s="101">
        <v>137</v>
      </c>
      <c r="B142" s="124"/>
      <c r="C142" s="126"/>
      <c r="D142" s="126"/>
      <c r="E142" s="101"/>
      <c r="F142" s="127"/>
      <c r="G142" s="164"/>
      <c r="H142" s="164"/>
      <c r="I142" s="164"/>
      <c r="J142" s="127"/>
      <c r="K142" s="165"/>
      <c r="L142" s="126"/>
      <c r="M142" s="126"/>
      <c r="N142" s="124" t="s">
        <v>83</v>
      </c>
      <c r="O142" s="166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163"/>
      <c r="AV142" s="163"/>
    </row>
    <row r="143" spans="1:48" ht="17.25" customHeight="1" x14ac:dyDescent="0.4">
      <c r="A143" s="101">
        <v>138</v>
      </c>
      <c r="B143" s="124"/>
      <c r="C143" s="126"/>
      <c r="D143" s="126"/>
      <c r="E143" s="101"/>
      <c r="F143" s="127"/>
      <c r="G143" s="164"/>
      <c r="H143" s="164"/>
      <c r="I143" s="164"/>
      <c r="J143" s="127"/>
      <c r="K143" s="165"/>
      <c r="L143" s="126"/>
      <c r="M143" s="126"/>
      <c r="N143" s="124" t="s">
        <v>83</v>
      </c>
      <c r="O143" s="166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163"/>
      <c r="AV143" s="163"/>
    </row>
    <row r="144" spans="1:48" ht="17.25" customHeight="1" x14ac:dyDescent="0.35">
      <c r="A144" s="101">
        <v>139</v>
      </c>
      <c r="B144" s="89"/>
      <c r="C144" s="191"/>
      <c r="D144" s="191"/>
      <c r="E144" s="192"/>
      <c r="F144" s="193"/>
      <c r="G144" s="194"/>
      <c r="H144" s="194"/>
      <c r="I144" s="194"/>
      <c r="J144" s="193"/>
      <c r="K144" s="195"/>
      <c r="L144" s="191"/>
      <c r="M144" s="191"/>
      <c r="N144" s="124" t="s">
        <v>83</v>
      </c>
      <c r="O144" s="196"/>
      <c r="P144" s="197"/>
      <c r="Q144" s="197"/>
      <c r="R144" s="197"/>
      <c r="S144" s="197"/>
      <c r="T144" s="197"/>
      <c r="U144" s="197"/>
      <c r="V144" s="197"/>
      <c r="W144" s="197"/>
      <c r="X144" s="197"/>
      <c r="Y144" s="197"/>
      <c r="Z144" s="197"/>
      <c r="AA144" s="197"/>
      <c r="AB144" s="197"/>
      <c r="AC144" s="197"/>
      <c r="AD144" s="197"/>
      <c r="AE144" s="197"/>
      <c r="AF144" s="197"/>
      <c r="AG144" s="197"/>
      <c r="AH144" s="197"/>
      <c r="AI144" s="197"/>
      <c r="AJ144" s="197"/>
      <c r="AK144" s="197"/>
      <c r="AL144" s="197"/>
      <c r="AM144" s="197"/>
      <c r="AN144" s="197"/>
      <c r="AO144" s="197"/>
      <c r="AP144" s="197"/>
      <c r="AQ144" s="197"/>
      <c r="AR144" s="197"/>
      <c r="AS144" s="197"/>
      <c r="AT144" s="197"/>
      <c r="AU144" s="198"/>
      <c r="AV144" s="198"/>
    </row>
    <row r="145" spans="1:48" ht="17.25" customHeight="1" x14ac:dyDescent="0.35">
      <c r="A145" s="101"/>
      <c r="B145" s="89"/>
      <c r="C145" s="191"/>
      <c r="D145" s="191"/>
      <c r="E145" s="192"/>
      <c r="F145" s="193"/>
      <c r="G145" s="194"/>
      <c r="H145" s="194"/>
      <c r="I145" s="194"/>
      <c r="J145" s="193"/>
      <c r="K145" s="195"/>
      <c r="L145" s="191"/>
      <c r="M145" s="191"/>
      <c r="N145" s="124" t="s">
        <v>83</v>
      </c>
      <c r="O145" s="196"/>
      <c r="P145" s="197"/>
      <c r="Q145" s="197"/>
      <c r="R145" s="197"/>
      <c r="S145" s="197"/>
      <c r="T145" s="197"/>
      <c r="U145" s="197"/>
      <c r="V145" s="197"/>
      <c r="W145" s="197"/>
      <c r="X145" s="197"/>
      <c r="Y145" s="197"/>
      <c r="Z145" s="197"/>
      <c r="AA145" s="197"/>
      <c r="AB145" s="197"/>
      <c r="AC145" s="197"/>
      <c r="AD145" s="197"/>
      <c r="AE145" s="197"/>
      <c r="AF145" s="197"/>
      <c r="AG145" s="197"/>
      <c r="AH145" s="197"/>
      <c r="AI145" s="197"/>
      <c r="AJ145" s="197"/>
      <c r="AK145" s="197"/>
      <c r="AL145" s="197"/>
      <c r="AM145" s="197"/>
      <c r="AN145" s="197"/>
      <c r="AO145" s="197"/>
      <c r="AP145" s="197"/>
      <c r="AQ145" s="197"/>
      <c r="AR145" s="197"/>
      <c r="AS145" s="197"/>
      <c r="AT145" s="197"/>
      <c r="AU145" s="198"/>
      <c r="AV145" s="198"/>
    </row>
    <row r="146" spans="1:48" ht="17.25" customHeight="1" x14ac:dyDescent="0.35">
      <c r="A146" s="101"/>
      <c r="B146" s="89"/>
      <c r="C146" s="191"/>
      <c r="D146" s="191"/>
      <c r="E146" s="192"/>
      <c r="F146" s="193"/>
      <c r="G146" s="194"/>
      <c r="H146" s="194"/>
      <c r="I146" s="194"/>
      <c r="J146" s="193"/>
      <c r="K146" s="195"/>
      <c r="L146" s="191"/>
      <c r="M146" s="191"/>
      <c r="N146" s="124"/>
      <c r="O146" s="196"/>
      <c r="P146" s="197"/>
      <c r="Q146" s="197"/>
      <c r="R146" s="197"/>
      <c r="S146" s="197"/>
      <c r="T146" s="197"/>
      <c r="U146" s="197"/>
      <c r="V146" s="197"/>
      <c r="W146" s="197"/>
      <c r="X146" s="197"/>
      <c r="Y146" s="197"/>
      <c r="Z146" s="197"/>
      <c r="AA146" s="197"/>
      <c r="AB146" s="197"/>
      <c r="AC146" s="197"/>
      <c r="AD146" s="197"/>
      <c r="AE146" s="197"/>
      <c r="AF146" s="197"/>
      <c r="AG146" s="197"/>
      <c r="AH146" s="197"/>
      <c r="AI146" s="197"/>
      <c r="AJ146" s="197"/>
      <c r="AK146" s="197"/>
      <c r="AL146" s="197"/>
      <c r="AM146" s="197"/>
      <c r="AN146" s="197"/>
      <c r="AO146" s="197"/>
      <c r="AP146" s="197"/>
      <c r="AQ146" s="197"/>
      <c r="AR146" s="197"/>
      <c r="AS146" s="197"/>
      <c r="AT146" s="197"/>
      <c r="AU146" s="198"/>
      <c r="AV146" s="198"/>
    </row>
    <row r="147" spans="1:48" ht="17.25" customHeight="1" x14ac:dyDescent="0.3">
      <c r="A147" s="199" t="s">
        <v>440</v>
      </c>
      <c r="B147" s="7"/>
      <c r="C147" s="200"/>
      <c r="D147" s="200"/>
      <c r="E147" s="7"/>
      <c r="F147" s="201"/>
      <c r="G147" s="201"/>
      <c r="H147" s="201"/>
      <c r="I147" s="202"/>
      <c r="J147" s="201"/>
      <c r="K147" s="201"/>
      <c r="L147" s="201"/>
      <c r="M147" s="201"/>
      <c r="N147" s="7"/>
      <c r="O147" s="203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</row>
    <row r="148" spans="1:48" ht="21" hidden="1" customHeight="1" x14ac:dyDescent="0.3">
      <c r="A148" s="204">
        <v>1</v>
      </c>
      <c r="B148" s="205" t="s">
        <v>48</v>
      </c>
      <c r="C148" s="206" t="s">
        <v>441</v>
      </c>
      <c r="D148" s="206" t="s">
        <v>442</v>
      </c>
      <c r="E148" s="207">
        <v>5</v>
      </c>
      <c r="F148" s="208">
        <v>41297</v>
      </c>
      <c r="G148" s="209" t="s">
        <v>443</v>
      </c>
      <c r="H148" s="206">
        <v>5108288339</v>
      </c>
      <c r="I148" s="209" t="s">
        <v>444</v>
      </c>
      <c r="J148" s="208">
        <v>45082</v>
      </c>
      <c r="K148" s="209"/>
      <c r="L148" s="209"/>
      <c r="M148" s="206"/>
      <c r="N148" s="205" t="s">
        <v>34</v>
      </c>
      <c r="O148" s="210">
        <v>45108</v>
      </c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</row>
    <row r="149" spans="1:48" ht="21" hidden="1" customHeight="1" x14ac:dyDescent="0.3">
      <c r="A149" s="211">
        <v>2</v>
      </c>
      <c r="B149" s="212" t="s">
        <v>89</v>
      </c>
      <c r="C149" s="213" t="s">
        <v>441</v>
      </c>
      <c r="D149" s="213" t="s">
        <v>442</v>
      </c>
      <c r="E149" s="214">
        <v>5</v>
      </c>
      <c r="F149" s="215">
        <v>41297</v>
      </c>
      <c r="G149" s="216" t="s">
        <v>443</v>
      </c>
      <c r="H149" s="213">
        <v>5108288339</v>
      </c>
      <c r="I149" s="216" t="s">
        <v>444</v>
      </c>
      <c r="J149" s="215">
        <v>45082</v>
      </c>
      <c r="K149" s="216"/>
      <c r="L149" s="216"/>
      <c r="M149" s="213" t="s">
        <v>445</v>
      </c>
      <c r="N149" s="212" t="s">
        <v>34</v>
      </c>
      <c r="O149" s="210">
        <v>45108</v>
      </c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</row>
    <row r="150" spans="1:48" ht="21" hidden="1" customHeight="1" x14ac:dyDescent="0.3">
      <c r="A150" s="217">
        <v>3</v>
      </c>
      <c r="B150" s="218" t="s">
        <v>48</v>
      </c>
      <c r="C150" s="219" t="s">
        <v>375</v>
      </c>
      <c r="D150" s="219" t="s">
        <v>425</v>
      </c>
      <c r="E150" s="220" t="s">
        <v>183</v>
      </c>
      <c r="F150" s="221">
        <v>42867</v>
      </c>
      <c r="G150" s="222" t="s">
        <v>426</v>
      </c>
      <c r="H150" s="219">
        <v>4086432868</v>
      </c>
      <c r="I150" s="222" t="s">
        <v>427</v>
      </c>
      <c r="J150" s="221">
        <v>44835</v>
      </c>
      <c r="K150" s="222"/>
      <c r="L150" s="222"/>
      <c r="M150" s="219" t="s">
        <v>446</v>
      </c>
      <c r="N150" s="218" t="s">
        <v>34</v>
      </c>
      <c r="O150" s="223">
        <v>45108</v>
      </c>
      <c r="P150" s="224"/>
      <c r="Q150" s="224"/>
      <c r="R150" s="224"/>
      <c r="S150" s="224"/>
      <c r="T150" s="224"/>
      <c r="U150" s="224"/>
      <c r="V150" s="224"/>
      <c r="W150" s="224"/>
      <c r="X150" s="224"/>
      <c r="Y150" s="224"/>
      <c r="Z150" s="224"/>
      <c r="AA150" s="224"/>
      <c r="AB150" s="224"/>
      <c r="AC150" s="224"/>
      <c r="AD150" s="224"/>
      <c r="AE150" s="224"/>
      <c r="AF150" s="224"/>
      <c r="AG150" s="224"/>
      <c r="AH150" s="224"/>
      <c r="AI150" s="224"/>
      <c r="AJ150" s="224"/>
      <c r="AK150" s="224"/>
      <c r="AL150" s="224"/>
      <c r="AM150" s="224"/>
      <c r="AN150" s="224"/>
      <c r="AO150" s="224"/>
      <c r="AP150" s="224"/>
      <c r="AQ150" s="224"/>
      <c r="AR150" s="224"/>
      <c r="AS150" s="224"/>
      <c r="AT150" s="224"/>
    </row>
    <row r="151" spans="1:48" ht="21" hidden="1" customHeight="1" x14ac:dyDescent="0.3">
      <c r="A151" s="217">
        <v>4</v>
      </c>
      <c r="B151" s="218"/>
      <c r="C151" s="219" t="s">
        <v>375</v>
      </c>
      <c r="D151" s="219" t="s">
        <v>425</v>
      </c>
      <c r="E151" s="220" t="s">
        <v>183</v>
      </c>
      <c r="F151" s="221">
        <v>42867</v>
      </c>
      <c r="G151" s="222" t="s">
        <v>426</v>
      </c>
      <c r="H151" s="219">
        <v>4086432868</v>
      </c>
      <c r="I151" s="222" t="s">
        <v>427</v>
      </c>
      <c r="J151" s="221">
        <v>44958</v>
      </c>
      <c r="K151" s="222"/>
      <c r="L151" s="222"/>
      <c r="M151" s="219" t="s">
        <v>446</v>
      </c>
      <c r="N151" s="218" t="s">
        <v>34</v>
      </c>
      <c r="O151" s="223">
        <v>45108</v>
      </c>
      <c r="P151" s="224"/>
      <c r="Q151" s="224"/>
      <c r="R151" s="224"/>
      <c r="S151" s="224"/>
      <c r="T151" s="224"/>
      <c r="U151" s="224"/>
      <c r="V151" s="224"/>
      <c r="W151" s="224"/>
      <c r="X151" s="224"/>
      <c r="Y151" s="224"/>
      <c r="Z151" s="224"/>
      <c r="AA151" s="224"/>
      <c r="AB151" s="224"/>
      <c r="AC151" s="224"/>
      <c r="AD151" s="224"/>
      <c r="AE151" s="224"/>
      <c r="AF151" s="224"/>
      <c r="AG151" s="224"/>
      <c r="AH151" s="224"/>
      <c r="AI151" s="224"/>
      <c r="AJ151" s="224"/>
      <c r="AK151" s="224"/>
      <c r="AL151" s="224"/>
      <c r="AM151" s="224"/>
      <c r="AN151" s="224"/>
      <c r="AO151" s="224"/>
      <c r="AP151" s="224"/>
      <c r="AQ151" s="224"/>
      <c r="AR151" s="224"/>
      <c r="AS151" s="224"/>
      <c r="AT151" s="224"/>
    </row>
    <row r="152" spans="1:48" ht="17.25" hidden="1" customHeight="1" x14ac:dyDescent="0.3">
      <c r="A152" s="225">
        <v>1</v>
      </c>
      <c r="B152" s="226" t="s">
        <v>48</v>
      </c>
      <c r="C152" s="227" t="s">
        <v>144</v>
      </c>
      <c r="D152" s="227" t="s">
        <v>447</v>
      </c>
      <c r="E152" s="225">
        <v>4</v>
      </c>
      <c r="F152" s="228">
        <v>41337</v>
      </c>
      <c r="G152" s="229" t="s">
        <v>448</v>
      </c>
      <c r="H152" s="227">
        <v>5103585536</v>
      </c>
      <c r="I152" s="229" t="s">
        <v>449</v>
      </c>
      <c r="J152" s="228">
        <v>44844</v>
      </c>
      <c r="K152" s="229"/>
      <c r="L152" s="229"/>
      <c r="M152" s="227"/>
      <c r="N152" s="226" t="s">
        <v>34</v>
      </c>
      <c r="O152" s="230">
        <v>45139</v>
      </c>
      <c r="P152" s="231"/>
      <c r="Q152" s="231"/>
      <c r="R152" s="231"/>
      <c r="S152" s="231"/>
      <c r="T152" s="231"/>
      <c r="U152" s="231"/>
      <c r="V152" s="231"/>
      <c r="W152" s="231"/>
      <c r="X152" s="231"/>
      <c r="Y152" s="231"/>
      <c r="Z152" s="231"/>
      <c r="AA152" s="231"/>
      <c r="AB152" s="231"/>
      <c r="AC152" s="231"/>
      <c r="AD152" s="231"/>
      <c r="AE152" s="231"/>
      <c r="AF152" s="231"/>
      <c r="AG152" s="231"/>
      <c r="AH152" s="231"/>
      <c r="AI152" s="231"/>
      <c r="AJ152" s="231"/>
      <c r="AK152" s="231"/>
      <c r="AL152" s="231"/>
      <c r="AM152" s="231"/>
      <c r="AN152" s="231"/>
      <c r="AO152" s="231"/>
      <c r="AP152" s="231"/>
      <c r="AQ152" s="231"/>
      <c r="AR152" s="231"/>
      <c r="AS152" s="231"/>
      <c r="AT152" s="231"/>
    </row>
    <row r="153" spans="1:48" ht="17.25" hidden="1" customHeight="1" x14ac:dyDescent="0.3">
      <c r="A153" s="225">
        <v>2</v>
      </c>
      <c r="B153" s="226" t="s">
        <v>48</v>
      </c>
      <c r="C153" s="227" t="s">
        <v>450</v>
      </c>
      <c r="D153" s="227" t="s">
        <v>451</v>
      </c>
      <c r="E153" s="225">
        <v>1</v>
      </c>
      <c r="F153" s="228">
        <v>43061</v>
      </c>
      <c r="G153" s="229" t="s">
        <v>452</v>
      </c>
      <c r="H153" s="227">
        <v>4152449059</v>
      </c>
      <c r="I153" s="229" t="s">
        <v>453</v>
      </c>
      <c r="J153" s="228">
        <v>45082</v>
      </c>
      <c r="K153" s="229"/>
      <c r="L153" s="229"/>
      <c r="M153" s="227"/>
      <c r="N153" s="226" t="s">
        <v>34</v>
      </c>
      <c r="O153" s="230">
        <v>45139</v>
      </c>
      <c r="P153" s="231"/>
      <c r="Q153" s="231"/>
      <c r="R153" s="231"/>
      <c r="S153" s="231"/>
      <c r="T153" s="231"/>
      <c r="U153" s="231"/>
      <c r="V153" s="231"/>
      <c r="W153" s="231"/>
      <c r="X153" s="231"/>
      <c r="Y153" s="231"/>
      <c r="Z153" s="231"/>
      <c r="AA153" s="231"/>
      <c r="AB153" s="231"/>
      <c r="AC153" s="231"/>
      <c r="AD153" s="231"/>
      <c r="AE153" s="231"/>
      <c r="AF153" s="231"/>
      <c r="AG153" s="231"/>
      <c r="AH153" s="231"/>
      <c r="AI153" s="231"/>
      <c r="AJ153" s="231"/>
      <c r="AK153" s="231"/>
      <c r="AL153" s="231"/>
      <c r="AM153" s="231"/>
      <c r="AN153" s="231"/>
      <c r="AO153" s="231"/>
      <c r="AP153" s="231"/>
      <c r="AQ153" s="231"/>
      <c r="AR153" s="231"/>
      <c r="AS153" s="231"/>
      <c r="AT153" s="231"/>
    </row>
    <row r="154" spans="1:48" ht="17.25" hidden="1" customHeight="1" x14ac:dyDescent="0.3">
      <c r="A154" s="225">
        <v>3</v>
      </c>
      <c r="B154" s="226" t="s">
        <v>89</v>
      </c>
      <c r="C154" s="227" t="s">
        <v>450</v>
      </c>
      <c r="D154" s="227" t="s">
        <v>451</v>
      </c>
      <c r="E154" s="225">
        <v>1</v>
      </c>
      <c r="F154" s="228">
        <v>43061</v>
      </c>
      <c r="G154" s="229" t="s">
        <v>452</v>
      </c>
      <c r="H154" s="227">
        <v>4152449059</v>
      </c>
      <c r="I154" s="229" t="s">
        <v>453</v>
      </c>
      <c r="J154" s="228">
        <v>45082</v>
      </c>
      <c r="K154" s="229"/>
      <c r="L154" s="229"/>
      <c r="M154" s="227" t="s">
        <v>445</v>
      </c>
      <c r="N154" s="226" t="s">
        <v>34</v>
      </c>
      <c r="O154" s="230">
        <v>45139</v>
      </c>
      <c r="P154" s="231"/>
      <c r="Q154" s="231"/>
      <c r="R154" s="231"/>
      <c r="S154" s="231"/>
      <c r="T154" s="231"/>
      <c r="U154" s="231"/>
      <c r="V154" s="231"/>
      <c r="W154" s="231"/>
      <c r="X154" s="231"/>
      <c r="Y154" s="231"/>
      <c r="Z154" s="231"/>
      <c r="AA154" s="231"/>
      <c r="AB154" s="231"/>
      <c r="AC154" s="231"/>
      <c r="AD154" s="231"/>
      <c r="AE154" s="231"/>
      <c r="AF154" s="231"/>
      <c r="AG154" s="231"/>
      <c r="AH154" s="231"/>
      <c r="AI154" s="231"/>
      <c r="AJ154" s="231"/>
      <c r="AK154" s="231"/>
      <c r="AL154" s="231"/>
      <c r="AM154" s="231"/>
      <c r="AN154" s="231"/>
      <c r="AO154" s="231"/>
      <c r="AP154" s="231"/>
      <c r="AQ154" s="231"/>
      <c r="AR154" s="231"/>
      <c r="AS154" s="231"/>
      <c r="AT154" s="231"/>
    </row>
    <row r="155" spans="1:48" ht="15" hidden="1" customHeight="1" x14ac:dyDescent="0.3">
      <c r="A155" s="232">
        <v>4</v>
      </c>
      <c r="B155" s="233" t="s">
        <v>48</v>
      </c>
      <c r="C155" s="234" t="s">
        <v>275</v>
      </c>
      <c r="D155" s="234" t="s">
        <v>454</v>
      </c>
      <c r="E155" s="232">
        <v>3</v>
      </c>
      <c r="F155" s="235">
        <v>41924</v>
      </c>
      <c r="G155" s="236" t="s">
        <v>455</v>
      </c>
      <c r="H155" s="234">
        <v>5102921648</v>
      </c>
      <c r="I155" s="236" t="s">
        <v>456</v>
      </c>
      <c r="J155" s="235">
        <v>45093</v>
      </c>
      <c r="K155" s="236"/>
      <c r="L155" s="236"/>
      <c r="M155" s="234"/>
      <c r="N155" s="233" t="s">
        <v>34</v>
      </c>
      <c r="O155" s="237">
        <v>45139</v>
      </c>
      <c r="P155" s="224"/>
      <c r="Q155" s="224"/>
      <c r="R155" s="224"/>
      <c r="S155" s="224"/>
      <c r="T155" s="224"/>
      <c r="U155" s="224"/>
      <c r="V155" s="224"/>
      <c r="W155" s="224"/>
      <c r="X155" s="224"/>
      <c r="Y155" s="224"/>
      <c r="Z155" s="224"/>
      <c r="AA155" s="224"/>
      <c r="AB155" s="224"/>
      <c r="AC155" s="224"/>
      <c r="AD155" s="224"/>
      <c r="AE155" s="224"/>
      <c r="AF155" s="224"/>
      <c r="AG155" s="224"/>
      <c r="AH155" s="224"/>
      <c r="AI155" s="224"/>
      <c r="AJ155" s="224"/>
      <c r="AK155" s="224"/>
      <c r="AL155" s="224"/>
      <c r="AM155" s="224"/>
      <c r="AN155" s="224"/>
      <c r="AO155" s="224"/>
      <c r="AP155" s="224"/>
      <c r="AQ155" s="224"/>
      <c r="AR155" s="224"/>
      <c r="AS155" s="224"/>
      <c r="AT155" s="224"/>
    </row>
    <row r="156" spans="1:48" ht="17.25" hidden="1" customHeight="1" x14ac:dyDescent="0.3">
      <c r="A156" s="225">
        <v>5</v>
      </c>
      <c r="B156" s="226" t="s">
        <v>48</v>
      </c>
      <c r="C156" s="227" t="s">
        <v>457</v>
      </c>
      <c r="D156" s="238" t="s">
        <v>458</v>
      </c>
      <c r="E156" s="225">
        <v>5</v>
      </c>
      <c r="F156" s="239">
        <v>40972</v>
      </c>
      <c r="G156" s="240" t="s">
        <v>459</v>
      </c>
      <c r="H156" s="238">
        <v>5105098418</v>
      </c>
      <c r="I156" s="240" t="s">
        <v>460</v>
      </c>
      <c r="J156" s="228">
        <v>45110</v>
      </c>
      <c r="K156" s="229"/>
      <c r="L156" s="229"/>
      <c r="M156" s="227"/>
      <c r="N156" s="226" t="s">
        <v>34</v>
      </c>
      <c r="O156" s="230">
        <v>45139</v>
      </c>
      <c r="P156" s="231"/>
      <c r="Q156" s="231"/>
      <c r="R156" s="231"/>
      <c r="S156" s="231"/>
      <c r="T156" s="231"/>
      <c r="U156" s="231"/>
      <c r="V156" s="231"/>
      <c r="W156" s="231"/>
      <c r="X156" s="231"/>
      <c r="Y156" s="231"/>
      <c r="Z156" s="231"/>
      <c r="AA156" s="231"/>
      <c r="AB156" s="231"/>
      <c r="AC156" s="231"/>
      <c r="AD156" s="231"/>
      <c r="AE156" s="231"/>
      <c r="AF156" s="231"/>
      <c r="AG156" s="231"/>
      <c r="AH156" s="231"/>
      <c r="AI156" s="231"/>
      <c r="AJ156" s="231"/>
      <c r="AK156" s="231"/>
      <c r="AL156" s="231"/>
      <c r="AM156" s="231"/>
      <c r="AN156" s="231"/>
      <c r="AO156" s="231"/>
      <c r="AP156" s="231"/>
      <c r="AQ156" s="231"/>
      <c r="AR156" s="231"/>
      <c r="AS156" s="231"/>
      <c r="AT156" s="231"/>
    </row>
    <row r="157" spans="1:48" ht="17.25" hidden="1" customHeight="1" x14ac:dyDescent="0.3">
      <c r="A157" s="225">
        <v>6</v>
      </c>
      <c r="B157" s="226" t="s">
        <v>89</v>
      </c>
      <c r="C157" s="227" t="s">
        <v>457</v>
      </c>
      <c r="D157" s="238" t="s">
        <v>458</v>
      </c>
      <c r="E157" s="225">
        <v>5</v>
      </c>
      <c r="F157" s="239">
        <v>40972</v>
      </c>
      <c r="G157" s="240" t="s">
        <v>459</v>
      </c>
      <c r="H157" s="238">
        <v>5105098418</v>
      </c>
      <c r="I157" s="240" t="s">
        <v>460</v>
      </c>
      <c r="J157" s="228">
        <v>45110</v>
      </c>
      <c r="K157" s="229"/>
      <c r="L157" s="229"/>
      <c r="M157" s="227" t="s">
        <v>445</v>
      </c>
      <c r="N157" s="226" t="s">
        <v>34</v>
      </c>
      <c r="O157" s="230">
        <v>45139</v>
      </c>
      <c r="P157" s="241"/>
      <c r="Q157" s="241"/>
      <c r="R157" s="241"/>
      <c r="S157" s="241"/>
      <c r="T157" s="241"/>
      <c r="U157" s="241"/>
      <c r="V157" s="241"/>
      <c r="W157" s="241"/>
      <c r="X157" s="241"/>
      <c r="Y157" s="241"/>
      <c r="Z157" s="241"/>
      <c r="AA157" s="241"/>
      <c r="AB157" s="241"/>
      <c r="AC157" s="241"/>
      <c r="AD157" s="241"/>
      <c r="AE157" s="241"/>
      <c r="AF157" s="241"/>
      <c r="AG157" s="241"/>
      <c r="AH157" s="241"/>
      <c r="AI157" s="241"/>
      <c r="AJ157" s="241"/>
      <c r="AK157" s="241"/>
      <c r="AL157" s="241"/>
      <c r="AM157" s="241"/>
      <c r="AN157" s="241"/>
      <c r="AO157" s="241"/>
      <c r="AP157" s="241"/>
      <c r="AQ157" s="241"/>
      <c r="AR157" s="241"/>
      <c r="AS157" s="241"/>
      <c r="AT157" s="241"/>
    </row>
    <row r="158" spans="1:48" ht="17.25" hidden="1" customHeight="1" x14ac:dyDescent="0.3">
      <c r="A158" s="225">
        <v>7</v>
      </c>
      <c r="B158" s="226" t="s">
        <v>48</v>
      </c>
      <c r="C158" s="238" t="s">
        <v>457</v>
      </c>
      <c r="D158" s="238" t="s">
        <v>130</v>
      </c>
      <c r="E158" s="225">
        <v>7</v>
      </c>
      <c r="F158" s="228">
        <v>40193</v>
      </c>
      <c r="G158" s="240" t="s">
        <v>459</v>
      </c>
      <c r="H158" s="238">
        <v>5105098418</v>
      </c>
      <c r="I158" s="240" t="s">
        <v>460</v>
      </c>
      <c r="J158" s="228">
        <v>45110</v>
      </c>
      <c r="K158" s="229"/>
      <c r="L158" s="229"/>
      <c r="M158" s="227"/>
      <c r="N158" s="226" t="s">
        <v>34</v>
      </c>
      <c r="O158" s="230">
        <v>45139</v>
      </c>
      <c r="P158" s="241"/>
      <c r="Q158" s="241"/>
      <c r="R158" s="241"/>
      <c r="S158" s="241"/>
      <c r="T158" s="241"/>
      <c r="U158" s="241"/>
      <c r="V158" s="241"/>
      <c r="W158" s="241"/>
      <c r="X158" s="241"/>
      <c r="Y158" s="241"/>
      <c r="Z158" s="241"/>
      <c r="AA158" s="241"/>
      <c r="AB158" s="241"/>
      <c r="AC158" s="241"/>
      <c r="AD158" s="241"/>
      <c r="AE158" s="241"/>
      <c r="AF158" s="241"/>
      <c r="AG158" s="241"/>
      <c r="AH158" s="241"/>
      <c r="AI158" s="241"/>
      <c r="AJ158" s="241"/>
      <c r="AK158" s="241"/>
      <c r="AL158" s="241"/>
      <c r="AM158" s="241"/>
      <c r="AN158" s="241"/>
      <c r="AO158" s="241"/>
      <c r="AP158" s="241"/>
      <c r="AQ158" s="241"/>
      <c r="AR158" s="241"/>
      <c r="AS158" s="241"/>
      <c r="AT158" s="241"/>
    </row>
    <row r="159" spans="1:48" ht="17.25" hidden="1" customHeight="1" x14ac:dyDescent="0.3">
      <c r="A159" s="225">
        <v>8</v>
      </c>
      <c r="B159" s="226" t="s">
        <v>89</v>
      </c>
      <c r="C159" s="238" t="s">
        <v>457</v>
      </c>
      <c r="D159" s="238" t="s">
        <v>130</v>
      </c>
      <c r="E159" s="225">
        <v>7</v>
      </c>
      <c r="F159" s="228">
        <v>40193</v>
      </c>
      <c r="G159" s="240" t="s">
        <v>459</v>
      </c>
      <c r="H159" s="238">
        <v>5105098418</v>
      </c>
      <c r="I159" s="240" t="s">
        <v>460</v>
      </c>
      <c r="J159" s="228">
        <v>45110</v>
      </c>
      <c r="K159" s="229"/>
      <c r="L159" s="229"/>
      <c r="M159" s="227" t="s">
        <v>445</v>
      </c>
      <c r="N159" s="226" t="s">
        <v>34</v>
      </c>
      <c r="O159" s="230">
        <v>45139</v>
      </c>
      <c r="P159" s="231"/>
      <c r="Q159" s="231"/>
      <c r="R159" s="231"/>
      <c r="S159" s="231"/>
      <c r="T159" s="231"/>
      <c r="U159" s="231"/>
      <c r="V159" s="231"/>
      <c r="W159" s="231"/>
      <c r="X159" s="231"/>
      <c r="Y159" s="231"/>
      <c r="Z159" s="231"/>
      <c r="AA159" s="231"/>
      <c r="AB159" s="231"/>
      <c r="AC159" s="231"/>
      <c r="AD159" s="231"/>
      <c r="AE159" s="231"/>
      <c r="AF159" s="231"/>
      <c r="AG159" s="231"/>
      <c r="AH159" s="231"/>
      <c r="AI159" s="231"/>
      <c r="AJ159" s="231"/>
      <c r="AK159" s="231"/>
      <c r="AL159" s="231"/>
      <c r="AM159" s="231"/>
      <c r="AN159" s="231"/>
      <c r="AO159" s="231"/>
      <c r="AP159" s="231"/>
      <c r="AQ159" s="231"/>
      <c r="AR159" s="231"/>
      <c r="AS159" s="231"/>
      <c r="AT159" s="231"/>
    </row>
    <row r="160" spans="1:48" ht="17.25" hidden="1" customHeight="1" x14ac:dyDescent="0.3">
      <c r="A160" s="232">
        <v>9</v>
      </c>
      <c r="B160" s="233" t="s">
        <v>48</v>
      </c>
      <c r="C160" s="234" t="s">
        <v>272</v>
      </c>
      <c r="D160" s="234" t="s">
        <v>461</v>
      </c>
      <c r="E160" s="232">
        <v>1</v>
      </c>
      <c r="F160" s="235">
        <v>42086</v>
      </c>
      <c r="G160" s="236" t="s">
        <v>462</v>
      </c>
      <c r="H160" s="234">
        <v>5109848496</v>
      </c>
      <c r="I160" s="236" t="s">
        <v>463</v>
      </c>
      <c r="J160" s="235">
        <v>44812</v>
      </c>
      <c r="K160" s="236"/>
      <c r="L160" s="236"/>
      <c r="M160" s="234" t="s">
        <v>464</v>
      </c>
      <c r="N160" s="233" t="s">
        <v>34</v>
      </c>
      <c r="O160" s="237">
        <v>45139</v>
      </c>
      <c r="P160" s="224"/>
      <c r="Q160" s="224"/>
      <c r="R160" s="224"/>
      <c r="S160" s="224"/>
      <c r="T160" s="224"/>
      <c r="U160" s="224"/>
      <c r="V160" s="224"/>
      <c r="W160" s="224"/>
      <c r="X160" s="224"/>
      <c r="Y160" s="224"/>
      <c r="Z160" s="224"/>
      <c r="AA160" s="224"/>
      <c r="AB160" s="224"/>
      <c r="AC160" s="224"/>
      <c r="AD160" s="224"/>
      <c r="AE160" s="224"/>
      <c r="AF160" s="224"/>
      <c r="AG160" s="224"/>
      <c r="AH160" s="224"/>
      <c r="AI160" s="224"/>
      <c r="AJ160" s="224"/>
      <c r="AK160" s="224"/>
      <c r="AL160" s="224"/>
      <c r="AM160" s="224"/>
      <c r="AN160" s="224"/>
      <c r="AO160" s="224"/>
      <c r="AP160" s="224"/>
      <c r="AQ160" s="224"/>
      <c r="AR160" s="224"/>
      <c r="AS160" s="224"/>
      <c r="AT160" s="224"/>
    </row>
    <row r="161" spans="1:46" ht="17.25" hidden="1" customHeight="1" x14ac:dyDescent="0.3">
      <c r="A161" s="232">
        <v>10</v>
      </c>
      <c r="B161" s="233" t="s">
        <v>89</v>
      </c>
      <c r="C161" s="234" t="s">
        <v>272</v>
      </c>
      <c r="D161" s="234" t="s">
        <v>461</v>
      </c>
      <c r="E161" s="232">
        <v>1</v>
      </c>
      <c r="F161" s="235">
        <v>42086</v>
      </c>
      <c r="G161" s="236" t="s">
        <v>462</v>
      </c>
      <c r="H161" s="234">
        <v>5109848496</v>
      </c>
      <c r="I161" s="236" t="s">
        <v>463</v>
      </c>
      <c r="J161" s="235">
        <v>44812</v>
      </c>
      <c r="K161" s="236"/>
      <c r="L161" s="236"/>
      <c r="M161" s="234" t="s">
        <v>464</v>
      </c>
      <c r="N161" s="233" t="s">
        <v>34</v>
      </c>
      <c r="O161" s="237">
        <v>45139</v>
      </c>
      <c r="P161" s="224"/>
      <c r="Q161" s="224"/>
      <c r="R161" s="224"/>
      <c r="S161" s="224"/>
      <c r="T161" s="224"/>
      <c r="U161" s="224"/>
      <c r="V161" s="224"/>
      <c r="W161" s="224"/>
      <c r="X161" s="224"/>
      <c r="Y161" s="224"/>
      <c r="Z161" s="224"/>
      <c r="AA161" s="224"/>
      <c r="AB161" s="224"/>
      <c r="AC161" s="224"/>
      <c r="AD161" s="224"/>
      <c r="AE161" s="224"/>
      <c r="AF161" s="224"/>
      <c r="AG161" s="224"/>
      <c r="AH161" s="224"/>
      <c r="AI161" s="224"/>
      <c r="AJ161" s="224"/>
      <c r="AK161" s="224"/>
      <c r="AL161" s="224"/>
      <c r="AM161" s="224"/>
      <c r="AN161" s="224"/>
      <c r="AO161" s="224"/>
      <c r="AP161" s="224"/>
      <c r="AQ161" s="224"/>
      <c r="AR161" s="224"/>
      <c r="AS161" s="224"/>
      <c r="AT161" s="224"/>
    </row>
    <row r="162" spans="1:46" ht="17.25" hidden="1" customHeight="1" x14ac:dyDescent="0.3">
      <c r="A162" s="225">
        <v>11</v>
      </c>
      <c r="B162" s="226" t="s">
        <v>48</v>
      </c>
      <c r="C162" s="227" t="s">
        <v>465</v>
      </c>
      <c r="D162" s="227" t="s">
        <v>320</v>
      </c>
      <c r="E162" s="225">
        <v>7</v>
      </c>
      <c r="F162" s="228">
        <v>40635</v>
      </c>
      <c r="G162" s="229" t="s">
        <v>466</v>
      </c>
      <c r="H162" s="227">
        <v>7605507063</v>
      </c>
      <c r="I162" s="229" t="s">
        <v>467</v>
      </c>
      <c r="J162" s="228">
        <v>45082</v>
      </c>
      <c r="K162" s="229"/>
      <c r="L162" s="229"/>
      <c r="M162" s="227" t="s">
        <v>468</v>
      </c>
      <c r="N162" s="226" t="s">
        <v>34</v>
      </c>
      <c r="O162" s="230">
        <v>45139</v>
      </c>
      <c r="P162" s="231"/>
      <c r="Q162" s="231"/>
      <c r="R162" s="231"/>
      <c r="S162" s="231"/>
      <c r="T162" s="231"/>
      <c r="U162" s="231"/>
      <c r="V162" s="231"/>
      <c r="W162" s="231"/>
      <c r="X162" s="231"/>
      <c r="Y162" s="231"/>
      <c r="Z162" s="231"/>
      <c r="AA162" s="231"/>
      <c r="AB162" s="231"/>
      <c r="AC162" s="231"/>
      <c r="AD162" s="231"/>
      <c r="AE162" s="231"/>
      <c r="AF162" s="231"/>
      <c r="AG162" s="231"/>
      <c r="AH162" s="231"/>
      <c r="AI162" s="231"/>
      <c r="AJ162" s="231"/>
      <c r="AK162" s="231"/>
      <c r="AL162" s="231"/>
      <c r="AM162" s="231"/>
      <c r="AN162" s="231"/>
      <c r="AO162" s="231"/>
      <c r="AP162" s="231"/>
      <c r="AQ162" s="231"/>
      <c r="AR162" s="231"/>
      <c r="AS162" s="231"/>
      <c r="AT162" s="231"/>
    </row>
    <row r="163" spans="1:46" ht="17.25" hidden="1" customHeight="1" x14ac:dyDescent="0.3">
      <c r="A163" s="225">
        <v>12</v>
      </c>
      <c r="B163" s="226" t="s">
        <v>89</v>
      </c>
      <c r="C163" s="227" t="s">
        <v>465</v>
      </c>
      <c r="D163" s="227" t="s">
        <v>320</v>
      </c>
      <c r="E163" s="225">
        <v>7</v>
      </c>
      <c r="F163" s="228">
        <v>40635</v>
      </c>
      <c r="G163" s="229" t="s">
        <v>466</v>
      </c>
      <c r="H163" s="227">
        <v>7605507063</v>
      </c>
      <c r="I163" s="229" t="s">
        <v>467</v>
      </c>
      <c r="J163" s="228">
        <v>45082</v>
      </c>
      <c r="K163" s="229"/>
      <c r="L163" s="229"/>
      <c r="M163" s="227" t="s">
        <v>468</v>
      </c>
      <c r="N163" s="226" t="s">
        <v>34</v>
      </c>
      <c r="O163" s="230">
        <v>45139</v>
      </c>
      <c r="P163" s="231"/>
      <c r="Q163" s="231"/>
      <c r="R163" s="231"/>
      <c r="S163" s="231"/>
      <c r="T163" s="231"/>
      <c r="U163" s="231"/>
      <c r="V163" s="231"/>
      <c r="W163" s="231"/>
      <c r="X163" s="231"/>
      <c r="Y163" s="231"/>
      <c r="Z163" s="231"/>
      <c r="AA163" s="231"/>
      <c r="AB163" s="231"/>
      <c r="AC163" s="231"/>
      <c r="AD163" s="231"/>
      <c r="AE163" s="231"/>
      <c r="AF163" s="231"/>
      <c r="AG163" s="231"/>
      <c r="AH163" s="231"/>
      <c r="AI163" s="231"/>
      <c r="AJ163" s="231"/>
      <c r="AK163" s="231"/>
      <c r="AL163" s="231"/>
      <c r="AM163" s="231"/>
      <c r="AN163" s="231"/>
      <c r="AO163" s="231"/>
      <c r="AP163" s="231"/>
      <c r="AQ163" s="231"/>
      <c r="AR163" s="231"/>
      <c r="AS163" s="231"/>
      <c r="AT163" s="231"/>
    </row>
    <row r="164" spans="1:46" ht="17.25" hidden="1" customHeight="1" x14ac:dyDescent="0.3">
      <c r="A164" s="225">
        <v>13</v>
      </c>
      <c r="B164" s="226" t="s">
        <v>48</v>
      </c>
      <c r="C164" s="227" t="s">
        <v>465</v>
      </c>
      <c r="D164" s="227" t="s">
        <v>469</v>
      </c>
      <c r="E164" s="225">
        <v>2</v>
      </c>
      <c r="F164" s="228">
        <v>42425</v>
      </c>
      <c r="G164" s="229" t="s">
        <v>466</v>
      </c>
      <c r="H164" s="227">
        <v>7605507063</v>
      </c>
      <c r="I164" s="229" t="s">
        <v>467</v>
      </c>
      <c r="J164" s="228">
        <v>45082</v>
      </c>
      <c r="K164" s="229"/>
      <c r="L164" s="229"/>
      <c r="M164" s="227" t="s">
        <v>468</v>
      </c>
      <c r="N164" s="226" t="s">
        <v>34</v>
      </c>
      <c r="O164" s="230">
        <v>45139</v>
      </c>
      <c r="P164" s="231"/>
      <c r="Q164" s="231"/>
      <c r="R164" s="231"/>
      <c r="S164" s="231"/>
      <c r="T164" s="231"/>
      <c r="U164" s="231"/>
      <c r="V164" s="231"/>
      <c r="W164" s="231"/>
      <c r="X164" s="231"/>
      <c r="Y164" s="231"/>
      <c r="Z164" s="231"/>
      <c r="AA164" s="231"/>
      <c r="AB164" s="231"/>
      <c r="AC164" s="231"/>
      <c r="AD164" s="231"/>
      <c r="AE164" s="231"/>
      <c r="AF164" s="231"/>
      <c r="AG164" s="231"/>
      <c r="AH164" s="231"/>
      <c r="AI164" s="231"/>
      <c r="AJ164" s="231"/>
      <c r="AK164" s="231"/>
      <c r="AL164" s="231"/>
      <c r="AM164" s="231"/>
      <c r="AN164" s="231"/>
      <c r="AO164" s="231"/>
      <c r="AP164" s="231"/>
      <c r="AQ164" s="231"/>
      <c r="AR164" s="231"/>
      <c r="AS164" s="231"/>
      <c r="AT164" s="231"/>
    </row>
    <row r="165" spans="1:46" ht="17.25" hidden="1" customHeight="1" x14ac:dyDescent="0.3">
      <c r="A165" s="225">
        <v>14</v>
      </c>
      <c r="B165" s="226" t="s">
        <v>89</v>
      </c>
      <c r="C165" s="227" t="s">
        <v>465</v>
      </c>
      <c r="D165" s="227" t="s">
        <v>469</v>
      </c>
      <c r="E165" s="225">
        <v>2</v>
      </c>
      <c r="F165" s="228">
        <v>42425</v>
      </c>
      <c r="G165" s="229" t="s">
        <v>466</v>
      </c>
      <c r="H165" s="227">
        <v>7605507063</v>
      </c>
      <c r="I165" s="229" t="s">
        <v>467</v>
      </c>
      <c r="J165" s="228">
        <v>45082</v>
      </c>
      <c r="K165" s="229"/>
      <c r="L165" s="229"/>
      <c r="M165" s="227" t="s">
        <v>468</v>
      </c>
      <c r="N165" s="226" t="s">
        <v>34</v>
      </c>
      <c r="O165" s="230">
        <v>45139</v>
      </c>
      <c r="P165" s="231"/>
      <c r="Q165" s="231"/>
      <c r="R165" s="231"/>
      <c r="S165" s="231"/>
      <c r="T165" s="231"/>
      <c r="U165" s="231"/>
      <c r="V165" s="231"/>
      <c r="W165" s="231"/>
      <c r="X165" s="231"/>
      <c r="Y165" s="231"/>
      <c r="Z165" s="231"/>
      <c r="AA165" s="231"/>
      <c r="AB165" s="231"/>
      <c r="AC165" s="231"/>
      <c r="AD165" s="231"/>
      <c r="AE165" s="231"/>
      <c r="AF165" s="231"/>
      <c r="AG165" s="231"/>
      <c r="AH165" s="231"/>
      <c r="AI165" s="231"/>
      <c r="AJ165" s="231"/>
      <c r="AK165" s="231"/>
      <c r="AL165" s="231"/>
      <c r="AM165" s="231"/>
      <c r="AN165" s="231"/>
      <c r="AO165" s="231"/>
      <c r="AP165" s="231"/>
      <c r="AQ165" s="231"/>
      <c r="AR165" s="231"/>
      <c r="AS165" s="231"/>
      <c r="AT165" s="231"/>
    </row>
    <row r="166" spans="1:46" ht="17.25" hidden="1" customHeight="1" x14ac:dyDescent="0.3">
      <c r="A166" s="225">
        <v>15</v>
      </c>
      <c r="B166" s="226" t="s">
        <v>48</v>
      </c>
      <c r="C166" s="227" t="s">
        <v>405</v>
      </c>
      <c r="D166" s="227" t="s">
        <v>406</v>
      </c>
      <c r="E166" s="225">
        <v>1</v>
      </c>
      <c r="F166" s="228">
        <v>42905</v>
      </c>
      <c r="G166" s="229" t="s">
        <v>407</v>
      </c>
      <c r="H166" s="227">
        <v>5303647578</v>
      </c>
      <c r="I166" s="229" t="s">
        <v>408</v>
      </c>
      <c r="J166" s="228">
        <v>45078</v>
      </c>
      <c r="K166" s="229"/>
      <c r="L166" s="229"/>
      <c r="M166" s="227" t="s">
        <v>470</v>
      </c>
      <c r="N166" s="226" t="s">
        <v>34</v>
      </c>
      <c r="O166" s="230">
        <v>45139</v>
      </c>
      <c r="P166" s="231"/>
      <c r="Q166" s="231"/>
      <c r="R166" s="231"/>
      <c r="S166" s="231"/>
      <c r="T166" s="231"/>
      <c r="U166" s="231"/>
      <c r="V166" s="231"/>
      <c r="W166" s="231"/>
      <c r="X166" s="231"/>
      <c r="Y166" s="231"/>
      <c r="Z166" s="231"/>
      <c r="AA166" s="231"/>
      <c r="AB166" s="231"/>
      <c r="AC166" s="231"/>
      <c r="AD166" s="231"/>
      <c r="AE166" s="231"/>
      <c r="AF166" s="231"/>
      <c r="AG166" s="231"/>
      <c r="AH166" s="231"/>
      <c r="AI166" s="231"/>
      <c r="AJ166" s="231"/>
      <c r="AK166" s="231"/>
      <c r="AL166" s="231"/>
      <c r="AM166" s="231"/>
      <c r="AN166" s="231"/>
      <c r="AO166" s="231"/>
      <c r="AP166" s="231"/>
      <c r="AQ166" s="231"/>
      <c r="AR166" s="231"/>
      <c r="AS166" s="231"/>
      <c r="AT166" s="231"/>
    </row>
    <row r="167" spans="1:46" ht="17.25" hidden="1" customHeight="1" x14ac:dyDescent="0.3">
      <c r="A167" s="225">
        <v>16</v>
      </c>
      <c r="B167" s="226" t="s">
        <v>89</v>
      </c>
      <c r="C167" s="227" t="s">
        <v>405</v>
      </c>
      <c r="D167" s="227" t="s">
        <v>406</v>
      </c>
      <c r="E167" s="225">
        <v>1</v>
      </c>
      <c r="F167" s="228">
        <v>42905</v>
      </c>
      <c r="G167" s="229" t="s">
        <v>407</v>
      </c>
      <c r="H167" s="227">
        <v>5303647578</v>
      </c>
      <c r="I167" s="229" t="s">
        <v>408</v>
      </c>
      <c r="J167" s="228">
        <v>45078</v>
      </c>
      <c r="K167" s="229"/>
      <c r="L167" s="229"/>
      <c r="M167" s="227" t="s">
        <v>470</v>
      </c>
      <c r="N167" s="226" t="s">
        <v>34</v>
      </c>
      <c r="O167" s="230">
        <v>45139</v>
      </c>
      <c r="P167" s="231"/>
      <c r="Q167" s="231"/>
      <c r="R167" s="231"/>
      <c r="S167" s="231"/>
      <c r="T167" s="231"/>
      <c r="U167" s="231"/>
      <c r="V167" s="231"/>
      <c r="W167" s="231"/>
      <c r="X167" s="231"/>
      <c r="Y167" s="231"/>
      <c r="Z167" s="231"/>
      <c r="AA167" s="231"/>
      <c r="AB167" s="231"/>
      <c r="AC167" s="231"/>
      <c r="AD167" s="231"/>
      <c r="AE167" s="231"/>
      <c r="AF167" s="231"/>
      <c r="AG167" s="231"/>
      <c r="AH167" s="231"/>
      <c r="AI167" s="231"/>
      <c r="AJ167" s="231"/>
      <c r="AK167" s="231"/>
      <c r="AL167" s="231"/>
      <c r="AM167" s="231"/>
      <c r="AN167" s="231"/>
      <c r="AO167" s="231"/>
      <c r="AP167" s="231"/>
      <c r="AQ167" s="231"/>
      <c r="AR167" s="231"/>
      <c r="AS167" s="231"/>
      <c r="AT167" s="231"/>
    </row>
    <row r="168" spans="1:46" ht="17.25" hidden="1" customHeight="1" x14ac:dyDescent="0.3">
      <c r="A168" s="225">
        <v>17</v>
      </c>
      <c r="B168" s="226" t="s">
        <v>48</v>
      </c>
      <c r="C168" s="227" t="s">
        <v>471</v>
      </c>
      <c r="D168" s="227" t="s">
        <v>472</v>
      </c>
      <c r="E168" s="225">
        <v>3</v>
      </c>
      <c r="F168" s="228">
        <v>41816</v>
      </c>
      <c r="G168" s="229" t="s">
        <v>473</v>
      </c>
      <c r="H168" s="227">
        <v>6692518555</v>
      </c>
      <c r="I168" s="229" t="s">
        <v>474</v>
      </c>
      <c r="J168" s="228">
        <v>45078</v>
      </c>
      <c r="K168" s="229"/>
      <c r="L168" s="229"/>
      <c r="M168" s="227" t="s">
        <v>475</v>
      </c>
      <c r="N168" s="226" t="s">
        <v>34</v>
      </c>
      <c r="O168" s="230">
        <v>45139</v>
      </c>
      <c r="P168" s="231"/>
      <c r="Q168" s="231"/>
      <c r="R168" s="231"/>
      <c r="S168" s="231"/>
      <c r="T168" s="231"/>
      <c r="U168" s="231"/>
      <c r="V168" s="231"/>
      <c r="W168" s="231"/>
      <c r="X168" s="231"/>
      <c r="Y168" s="231"/>
      <c r="Z168" s="231"/>
      <c r="AA168" s="231"/>
      <c r="AB168" s="231"/>
      <c r="AC168" s="231"/>
      <c r="AD168" s="231"/>
      <c r="AE168" s="231"/>
      <c r="AF168" s="231"/>
      <c r="AG168" s="231"/>
      <c r="AH168" s="231"/>
      <c r="AI168" s="231"/>
      <c r="AJ168" s="231"/>
      <c r="AK168" s="231"/>
      <c r="AL168" s="231"/>
      <c r="AM168" s="231"/>
      <c r="AN168" s="231"/>
      <c r="AO168" s="231"/>
      <c r="AP168" s="231"/>
      <c r="AQ168" s="231"/>
      <c r="AR168" s="231"/>
      <c r="AS168" s="231"/>
      <c r="AT168" s="231"/>
    </row>
    <row r="169" spans="1:46" ht="17.25" hidden="1" customHeight="1" x14ac:dyDescent="0.3">
      <c r="A169" s="225">
        <v>18</v>
      </c>
      <c r="B169" s="226" t="s">
        <v>89</v>
      </c>
      <c r="C169" s="227" t="s">
        <v>471</v>
      </c>
      <c r="D169" s="227" t="s">
        <v>472</v>
      </c>
      <c r="E169" s="225">
        <v>3</v>
      </c>
      <c r="F169" s="228">
        <v>41816</v>
      </c>
      <c r="G169" s="229" t="s">
        <v>473</v>
      </c>
      <c r="H169" s="227">
        <v>6692518555</v>
      </c>
      <c r="I169" s="229" t="s">
        <v>474</v>
      </c>
      <c r="J169" s="228">
        <v>45078</v>
      </c>
      <c r="K169" s="229"/>
      <c r="L169" s="229"/>
      <c r="M169" s="227" t="s">
        <v>475</v>
      </c>
      <c r="N169" s="226" t="s">
        <v>34</v>
      </c>
      <c r="O169" s="230">
        <v>45139</v>
      </c>
      <c r="P169" s="231"/>
      <c r="Q169" s="231"/>
      <c r="R169" s="231"/>
      <c r="S169" s="231"/>
      <c r="T169" s="231"/>
      <c r="U169" s="231"/>
      <c r="V169" s="231"/>
      <c r="W169" s="231"/>
      <c r="X169" s="231"/>
      <c r="Y169" s="231"/>
      <c r="Z169" s="231"/>
      <c r="AA169" s="231"/>
      <c r="AB169" s="231"/>
      <c r="AC169" s="231"/>
      <c r="AD169" s="231"/>
      <c r="AE169" s="231"/>
      <c r="AF169" s="231"/>
      <c r="AG169" s="231"/>
      <c r="AH169" s="231"/>
      <c r="AI169" s="231"/>
      <c r="AJ169" s="231"/>
      <c r="AK169" s="231"/>
      <c r="AL169" s="231"/>
      <c r="AM169" s="231"/>
      <c r="AN169" s="231"/>
      <c r="AO169" s="231"/>
      <c r="AP169" s="231"/>
      <c r="AQ169" s="231"/>
      <c r="AR169" s="231"/>
      <c r="AS169" s="231"/>
      <c r="AT169" s="231"/>
    </row>
    <row r="170" spans="1:46" ht="17.25" hidden="1" customHeight="1" x14ac:dyDescent="0.3">
      <c r="A170" s="225">
        <v>19</v>
      </c>
      <c r="B170" s="226" t="s">
        <v>48</v>
      </c>
      <c r="C170" s="227" t="s">
        <v>476</v>
      </c>
      <c r="D170" s="227" t="s">
        <v>477</v>
      </c>
      <c r="E170" s="225">
        <v>7</v>
      </c>
      <c r="F170" s="228">
        <v>40806</v>
      </c>
      <c r="G170" s="229" t="s">
        <v>473</v>
      </c>
      <c r="H170" s="227">
        <v>6692518555</v>
      </c>
      <c r="I170" s="229" t="s">
        <v>474</v>
      </c>
      <c r="J170" s="228">
        <v>45078</v>
      </c>
      <c r="K170" s="229"/>
      <c r="L170" s="229"/>
      <c r="M170" s="227" t="s">
        <v>475</v>
      </c>
      <c r="N170" s="226" t="s">
        <v>34</v>
      </c>
      <c r="O170" s="230">
        <v>45139</v>
      </c>
      <c r="P170" s="231"/>
      <c r="Q170" s="231"/>
      <c r="R170" s="231"/>
      <c r="S170" s="231"/>
      <c r="T170" s="231"/>
      <c r="U170" s="231"/>
      <c r="V170" s="231"/>
      <c r="W170" s="231"/>
      <c r="X170" s="231"/>
      <c r="Y170" s="231"/>
      <c r="Z170" s="231"/>
      <c r="AA170" s="231"/>
      <c r="AB170" s="231"/>
      <c r="AC170" s="231"/>
      <c r="AD170" s="231"/>
      <c r="AE170" s="231"/>
      <c r="AF170" s="231"/>
      <c r="AG170" s="231"/>
      <c r="AH170" s="231"/>
      <c r="AI170" s="231"/>
      <c r="AJ170" s="231"/>
      <c r="AK170" s="231"/>
      <c r="AL170" s="231"/>
      <c r="AM170" s="231"/>
      <c r="AN170" s="231"/>
      <c r="AO170" s="231"/>
      <c r="AP170" s="231"/>
      <c r="AQ170" s="231"/>
      <c r="AR170" s="231"/>
      <c r="AS170" s="231"/>
      <c r="AT170" s="231"/>
    </row>
    <row r="171" spans="1:46" ht="17.25" hidden="1" customHeight="1" x14ac:dyDescent="0.3">
      <c r="A171" s="225">
        <v>20</v>
      </c>
      <c r="B171" s="226" t="s">
        <v>89</v>
      </c>
      <c r="C171" s="227" t="s">
        <v>476</v>
      </c>
      <c r="D171" s="227" t="s">
        <v>477</v>
      </c>
      <c r="E171" s="225">
        <v>7</v>
      </c>
      <c r="F171" s="228">
        <v>40806</v>
      </c>
      <c r="G171" s="229" t="s">
        <v>473</v>
      </c>
      <c r="H171" s="227">
        <v>6692518555</v>
      </c>
      <c r="I171" s="229" t="s">
        <v>474</v>
      </c>
      <c r="J171" s="228">
        <v>45078</v>
      </c>
      <c r="K171" s="229"/>
      <c r="L171" s="229"/>
      <c r="M171" s="227" t="s">
        <v>475</v>
      </c>
      <c r="N171" s="226" t="s">
        <v>34</v>
      </c>
      <c r="O171" s="230">
        <v>45139</v>
      </c>
      <c r="P171" s="231"/>
      <c r="Q171" s="231"/>
      <c r="R171" s="231"/>
      <c r="S171" s="231"/>
      <c r="T171" s="231"/>
      <c r="U171" s="231"/>
      <c r="V171" s="231"/>
      <c r="W171" s="231"/>
      <c r="X171" s="231"/>
      <c r="Y171" s="231"/>
      <c r="Z171" s="231"/>
      <c r="AA171" s="231"/>
      <c r="AB171" s="231"/>
      <c r="AC171" s="231"/>
      <c r="AD171" s="231"/>
      <c r="AE171" s="231"/>
      <c r="AF171" s="231"/>
      <c r="AG171" s="231"/>
      <c r="AH171" s="231"/>
      <c r="AI171" s="231"/>
      <c r="AJ171" s="231"/>
      <c r="AK171" s="231"/>
      <c r="AL171" s="231"/>
      <c r="AM171" s="231"/>
      <c r="AN171" s="231"/>
      <c r="AO171" s="231"/>
      <c r="AP171" s="231"/>
      <c r="AQ171" s="231"/>
      <c r="AR171" s="231"/>
      <c r="AS171" s="231"/>
      <c r="AT171" s="231"/>
    </row>
    <row r="172" spans="1:46" ht="17.25" hidden="1" customHeight="1" x14ac:dyDescent="0.3">
      <c r="A172" s="232">
        <v>21</v>
      </c>
      <c r="B172" s="233" t="s">
        <v>89</v>
      </c>
      <c r="C172" s="234" t="s">
        <v>247</v>
      </c>
      <c r="D172" s="234" t="s">
        <v>478</v>
      </c>
      <c r="E172" s="232">
        <v>1</v>
      </c>
      <c r="F172" s="235">
        <v>42483</v>
      </c>
      <c r="G172" s="236" t="s">
        <v>479</v>
      </c>
      <c r="H172" s="234">
        <v>6692460021</v>
      </c>
      <c r="I172" s="236" t="s">
        <v>480</v>
      </c>
      <c r="J172" s="235">
        <v>45084</v>
      </c>
      <c r="K172" s="236"/>
      <c r="L172" s="236"/>
      <c r="M172" s="234" t="s">
        <v>481</v>
      </c>
      <c r="N172" s="233" t="s">
        <v>34</v>
      </c>
      <c r="O172" s="237">
        <v>45139</v>
      </c>
      <c r="P172" s="224"/>
      <c r="Q172" s="224"/>
      <c r="R172" s="224"/>
      <c r="S172" s="224"/>
      <c r="T172" s="224"/>
      <c r="U172" s="224"/>
      <c r="V172" s="224"/>
      <c r="W172" s="224"/>
      <c r="X172" s="224"/>
      <c r="Y172" s="224"/>
      <c r="Z172" s="224"/>
      <c r="AA172" s="224"/>
      <c r="AB172" s="224"/>
      <c r="AC172" s="224"/>
      <c r="AD172" s="224"/>
      <c r="AE172" s="224"/>
      <c r="AF172" s="224"/>
      <c r="AG172" s="224"/>
      <c r="AH172" s="224"/>
      <c r="AI172" s="224"/>
      <c r="AJ172" s="224"/>
      <c r="AK172" s="224"/>
      <c r="AL172" s="224"/>
      <c r="AM172" s="224"/>
      <c r="AN172" s="224"/>
      <c r="AO172" s="224"/>
      <c r="AP172" s="224"/>
      <c r="AQ172" s="224"/>
      <c r="AR172" s="224"/>
      <c r="AS172" s="224"/>
      <c r="AT172" s="224"/>
    </row>
    <row r="173" spans="1:46" ht="17.25" hidden="1" customHeight="1" x14ac:dyDescent="0.3">
      <c r="A173" s="242">
        <v>1</v>
      </c>
      <c r="B173" s="243" t="s">
        <v>89</v>
      </c>
      <c r="C173" s="244" t="s">
        <v>482</v>
      </c>
      <c r="D173" s="244" t="s">
        <v>483</v>
      </c>
      <c r="E173" s="245">
        <v>6</v>
      </c>
      <c r="F173" s="246">
        <v>41034</v>
      </c>
      <c r="G173" s="247" t="s">
        <v>484</v>
      </c>
      <c r="H173" s="244">
        <v>5108161486</v>
      </c>
      <c r="I173" s="247" t="s">
        <v>485</v>
      </c>
      <c r="J173" s="246">
        <v>45139</v>
      </c>
      <c r="K173" s="247"/>
      <c r="L173" s="247"/>
      <c r="M173" s="244" t="s">
        <v>486</v>
      </c>
      <c r="N173" s="243" t="s">
        <v>34</v>
      </c>
      <c r="O173" s="248">
        <v>45170</v>
      </c>
      <c r="P173" s="249"/>
      <c r="Q173" s="249"/>
      <c r="R173" s="249"/>
      <c r="S173" s="249"/>
      <c r="T173" s="249"/>
      <c r="U173" s="249"/>
      <c r="V173" s="249"/>
      <c r="W173" s="249"/>
      <c r="X173" s="249"/>
      <c r="Y173" s="249"/>
      <c r="Z173" s="249"/>
      <c r="AA173" s="249"/>
      <c r="AB173" s="249"/>
      <c r="AC173" s="249"/>
      <c r="AD173" s="249"/>
      <c r="AE173" s="249"/>
      <c r="AF173" s="249"/>
      <c r="AG173" s="249"/>
      <c r="AH173" s="249"/>
      <c r="AI173" s="249"/>
      <c r="AJ173" s="249"/>
      <c r="AK173" s="249"/>
      <c r="AL173" s="249"/>
      <c r="AM173" s="249"/>
      <c r="AN173" s="249"/>
      <c r="AO173" s="249"/>
      <c r="AP173" s="249"/>
      <c r="AQ173" s="249"/>
      <c r="AR173" s="249"/>
      <c r="AS173" s="249"/>
      <c r="AT173" s="249"/>
    </row>
    <row r="174" spans="1:46" ht="17.25" hidden="1" customHeight="1" x14ac:dyDescent="0.3">
      <c r="A174" s="242">
        <v>2</v>
      </c>
      <c r="B174" s="243" t="s">
        <v>48</v>
      </c>
      <c r="C174" s="250" t="s">
        <v>487</v>
      </c>
      <c r="D174" s="250" t="s">
        <v>488</v>
      </c>
      <c r="E174" s="242" t="s">
        <v>183</v>
      </c>
      <c r="F174" s="251">
        <v>42776</v>
      </c>
      <c r="G174" s="252" t="s">
        <v>489</v>
      </c>
      <c r="H174" s="250">
        <v>6692385152</v>
      </c>
      <c r="I174" s="252" t="s">
        <v>490</v>
      </c>
      <c r="J174" s="251">
        <v>45093</v>
      </c>
      <c r="K174" s="252"/>
      <c r="L174" s="252"/>
      <c r="M174" s="250" t="s">
        <v>491</v>
      </c>
      <c r="N174" s="243" t="s">
        <v>34</v>
      </c>
      <c r="O174" s="248">
        <v>45170</v>
      </c>
      <c r="P174" s="249"/>
      <c r="Q174" s="249"/>
      <c r="R174" s="249"/>
      <c r="S174" s="249"/>
      <c r="T174" s="249"/>
      <c r="U174" s="249"/>
      <c r="V174" s="249"/>
      <c r="W174" s="249"/>
      <c r="X174" s="249"/>
      <c r="Y174" s="249"/>
      <c r="Z174" s="249"/>
      <c r="AA174" s="249"/>
      <c r="AB174" s="249"/>
      <c r="AC174" s="249"/>
      <c r="AD174" s="249"/>
      <c r="AE174" s="249"/>
      <c r="AF174" s="249"/>
      <c r="AG174" s="249"/>
      <c r="AH174" s="249"/>
      <c r="AI174" s="249"/>
      <c r="AJ174" s="249"/>
      <c r="AK174" s="249"/>
      <c r="AL174" s="249"/>
      <c r="AM174" s="249"/>
      <c r="AN174" s="249"/>
      <c r="AO174" s="249"/>
      <c r="AP174" s="249"/>
      <c r="AQ174" s="249"/>
      <c r="AR174" s="249"/>
      <c r="AS174" s="249"/>
      <c r="AT174" s="249"/>
    </row>
    <row r="175" spans="1:46" ht="17.25" hidden="1" customHeight="1" x14ac:dyDescent="0.3">
      <c r="A175" s="242">
        <v>3</v>
      </c>
      <c r="B175" s="243" t="s">
        <v>89</v>
      </c>
      <c r="C175" s="253" t="s">
        <v>487</v>
      </c>
      <c r="D175" s="253" t="s">
        <v>488</v>
      </c>
      <c r="E175" s="242" t="s">
        <v>183</v>
      </c>
      <c r="F175" s="251">
        <v>42776</v>
      </c>
      <c r="G175" s="252" t="s">
        <v>489</v>
      </c>
      <c r="H175" s="250">
        <v>6692385152</v>
      </c>
      <c r="I175" s="252" t="s">
        <v>490</v>
      </c>
      <c r="J175" s="251">
        <v>45124</v>
      </c>
      <c r="K175" s="252"/>
      <c r="L175" s="252"/>
      <c r="M175" s="250" t="s">
        <v>491</v>
      </c>
      <c r="N175" s="243" t="s">
        <v>34</v>
      </c>
      <c r="O175" s="248">
        <v>45170</v>
      </c>
      <c r="P175" s="249"/>
      <c r="Q175" s="249"/>
      <c r="R175" s="249"/>
      <c r="S175" s="249"/>
      <c r="T175" s="249"/>
      <c r="U175" s="249"/>
      <c r="V175" s="249"/>
      <c r="W175" s="249"/>
      <c r="X175" s="249"/>
      <c r="Y175" s="249"/>
      <c r="Z175" s="249"/>
      <c r="AA175" s="249"/>
      <c r="AB175" s="249"/>
      <c r="AC175" s="249"/>
      <c r="AD175" s="249"/>
      <c r="AE175" s="249"/>
      <c r="AF175" s="249"/>
      <c r="AG175" s="249"/>
      <c r="AH175" s="249"/>
      <c r="AI175" s="249"/>
      <c r="AJ175" s="249"/>
      <c r="AK175" s="249"/>
      <c r="AL175" s="249"/>
      <c r="AM175" s="249"/>
      <c r="AN175" s="249"/>
      <c r="AO175" s="249"/>
      <c r="AP175" s="249"/>
      <c r="AQ175" s="249"/>
      <c r="AR175" s="249"/>
      <c r="AS175" s="249"/>
      <c r="AT175" s="249"/>
    </row>
    <row r="176" spans="1:46" ht="17.25" hidden="1" customHeight="1" x14ac:dyDescent="0.3">
      <c r="A176" s="254">
        <v>1</v>
      </c>
      <c r="B176" s="255" t="s">
        <v>48</v>
      </c>
      <c r="C176" s="256" t="s">
        <v>492</v>
      </c>
      <c r="D176" s="256" t="s">
        <v>493</v>
      </c>
      <c r="E176" s="257" t="s">
        <v>243</v>
      </c>
      <c r="F176" s="258">
        <v>43461</v>
      </c>
      <c r="G176" s="259" t="s">
        <v>494</v>
      </c>
      <c r="H176" s="256">
        <v>4086803486</v>
      </c>
      <c r="I176" s="259" t="s">
        <v>495</v>
      </c>
      <c r="J176" s="258">
        <v>45174</v>
      </c>
      <c r="K176" s="259"/>
      <c r="L176" s="259"/>
      <c r="M176" s="256" t="s">
        <v>496</v>
      </c>
      <c r="N176" s="260" t="s">
        <v>34</v>
      </c>
      <c r="O176" s="261">
        <v>45231</v>
      </c>
      <c r="P176" s="262"/>
      <c r="Q176" s="262"/>
      <c r="R176" s="262"/>
      <c r="S176" s="262"/>
      <c r="T176" s="262"/>
      <c r="U176" s="262"/>
      <c r="V176" s="262"/>
      <c r="W176" s="262"/>
      <c r="X176" s="262"/>
      <c r="Y176" s="262"/>
      <c r="Z176" s="262"/>
      <c r="AA176" s="262"/>
      <c r="AB176" s="262"/>
      <c r="AC176" s="262"/>
      <c r="AD176" s="262"/>
      <c r="AE176" s="262"/>
      <c r="AF176" s="262"/>
      <c r="AG176" s="262"/>
      <c r="AH176" s="262"/>
      <c r="AI176" s="262"/>
      <c r="AJ176" s="262"/>
      <c r="AK176" s="262"/>
      <c r="AL176" s="262"/>
      <c r="AM176" s="262"/>
      <c r="AN176" s="262"/>
      <c r="AO176" s="262"/>
      <c r="AP176" s="262"/>
      <c r="AQ176" s="262"/>
      <c r="AR176" s="262"/>
      <c r="AS176" s="262"/>
      <c r="AT176" s="262"/>
    </row>
    <row r="177" spans="1:46" ht="17.25" hidden="1" customHeight="1" x14ac:dyDescent="0.3">
      <c r="A177" s="254">
        <v>1</v>
      </c>
      <c r="B177" s="263" t="s">
        <v>48</v>
      </c>
      <c r="C177" s="264" t="s">
        <v>275</v>
      </c>
      <c r="D177" s="264" t="s">
        <v>454</v>
      </c>
      <c r="E177" s="254">
        <v>3</v>
      </c>
      <c r="F177" s="265">
        <v>41924</v>
      </c>
      <c r="G177" s="266" t="s">
        <v>497</v>
      </c>
      <c r="H177" s="266">
        <v>5102921648</v>
      </c>
      <c r="I177" s="266" t="s">
        <v>498</v>
      </c>
      <c r="J177" s="265">
        <v>45246</v>
      </c>
      <c r="K177" s="267"/>
      <c r="L177" s="267"/>
      <c r="M177" s="264" t="s">
        <v>499</v>
      </c>
      <c r="N177" s="263" t="s">
        <v>34</v>
      </c>
      <c r="O177" s="268">
        <v>45261</v>
      </c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</row>
    <row r="178" spans="1:46" ht="17.25" hidden="1" customHeight="1" x14ac:dyDescent="0.3">
      <c r="A178" s="254">
        <v>2</v>
      </c>
      <c r="B178" s="263" t="s">
        <v>89</v>
      </c>
      <c r="C178" s="264" t="s">
        <v>275</v>
      </c>
      <c r="D178" s="264" t="s">
        <v>454</v>
      </c>
      <c r="E178" s="254">
        <v>3</v>
      </c>
      <c r="F178" s="265">
        <v>41924</v>
      </c>
      <c r="G178" s="266" t="s">
        <v>497</v>
      </c>
      <c r="H178" s="266">
        <v>5102921648</v>
      </c>
      <c r="I178" s="266" t="s">
        <v>498</v>
      </c>
      <c r="J178" s="265">
        <v>45246</v>
      </c>
      <c r="K178" s="267"/>
      <c r="L178" s="267"/>
      <c r="M178" s="264" t="s">
        <v>499</v>
      </c>
      <c r="N178" s="263" t="s">
        <v>34</v>
      </c>
      <c r="O178" s="268">
        <v>45261</v>
      </c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</row>
    <row r="179" spans="1:46" ht="17.25" hidden="1" customHeight="1" x14ac:dyDescent="0.3">
      <c r="A179" s="254">
        <v>3</v>
      </c>
      <c r="B179" s="263" t="s">
        <v>48</v>
      </c>
      <c r="C179" s="264" t="s">
        <v>385</v>
      </c>
      <c r="D179" s="264" t="s">
        <v>500</v>
      </c>
      <c r="E179" s="254">
        <v>2</v>
      </c>
      <c r="F179" s="265">
        <v>42588</v>
      </c>
      <c r="G179" s="267" t="s">
        <v>501</v>
      </c>
      <c r="H179" s="264">
        <v>6692068365</v>
      </c>
      <c r="I179" s="267" t="s">
        <v>502</v>
      </c>
      <c r="J179" s="265">
        <v>45170</v>
      </c>
      <c r="K179" s="267"/>
      <c r="L179" s="267"/>
      <c r="M179" s="264" t="s">
        <v>503</v>
      </c>
      <c r="N179" s="263" t="s">
        <v>34</v>
      </c>
      <c r="O179" s="268">
        <v>45261</v>
      </c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</row>
    <row r="180" spans="1:46" ht="17.25" hidden="1" customHeight="1" x14ac:dyDescent="0.3">
      <c r="A180" s="254">
        <v>4</v>
      </c>
      <c r="B180" s="263" t="s">
        <v>48</v>
      </c>
      <c r="C180" s="269" t="s">
        <v>504</v>
      </c>
      <c r="D180" s="269" t="s">
        <v>505</v>
      </c>
      <c r="E180" s="254">
        <v>1</v>
      </c>
      <c r="F180" s="265">
        <v>42388</v>
      </c>
      <c r="G180" s="267" t="s">
        <v>506</v>
      </c>
      <c r="H180" s="264">
        <v>4087977701</v>
      </c>
      <c r="I180" s="267" t="s">
        <v>507</v>
      </c>
      <c r="J180" s="265">
        <v>45033</v>
      </c>
      <c r="K180" s="267"/>
      <c r="L180" s="267"/>
      <c r="M180" s="264" t="s">
        <v>508</v>
      </c>
      <c r="N180" s="263" t="s">
        <v>34</v>
      </c>
      <c r="O180" s="268">
        <v>45261</v>
      </c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</row>
    <row r="181" spans="1:46" ht="17.25" hidden="1" customHeight="1" x14ac:dyDescent="0.3">
      <c r="A181" s="254">
        <v>5</v>
      </c>
      <c r="B181" s="263" t="s">
        <v>89</v>
      </c>
      <c r="C181" s="270" t="s">
        <v>509</v>
      </c>
      <c r="D181" s="270" t="s">
        <v>271</v>
      </c>
      <c r="E181" s="271">
        <v>1</v>
      </c>
      <c r="F181" s="272">
        <v>42947</v>
      </c>
      <c r="G181" s="266" t="s">
        <v>510</v>
      </c>
      <c r="H181" s="270">
        <v>4085108805</v>
      </c>
      <c r="I181" s="266" t="s">
        <v>404</v>
      </c>
      <c r="J181" s="272">
        <v>45246</v>
      </c>
      <c r="K181" s="266"/>
      <c r="L181" s="266"/>
      <c r="M181" s="270" t="s">
        <v>511</v>
      </c>
      <c r="N181" s="263" t="s">
        <v>34</v>
      </c>
      <c r="O181" s="273">
        <v>45261</v>
      </c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</row>
    <row r="182" spans="1:46" ht="17.25" hidden="1" customHeight="1" x14ac:dyDescent="0.3">
      <c r="A182" s="254">
        <v>6</v>
      </c>
      <c r="B182" s="263" t="s">
        <v>48</v>
      </c>
      <c r="C182" s="264" t="s">
        <v>385</v>
      </c>
      <c r="D182" s="264" t="s">
        <v>512</v>
      </c>
      <c r="E182" s="254" t="s">
        <v>183</v>
      </c>
      <c r="F182" s="265">
        <v>43151</v>
      </c>
      <c r="G182" s="267" t="s">
        <v>501</v>
      </c>
      <c r="H182" s="264">
        <v>6692068365</v>
      </c>
      <c r="I182" s="267" t="s">
        <v>502</v>
      </c>
      <c r="J182" s="265">
        <v>45170</v>
      </c>
      <c r="K182" s="267"/>
      <c r="L182" s="267"/>
      <c r="M182" s="264" t="s">
        <v>503</v>
      </c>
      <c r="N182" s="263" t="s">
        <v>34</v>
      </c>
      <c r="O182" s="268">
        <v>45261</v>
      </c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</row>
    <row r="183" spans="1:46" ht="17.25" hidden="1" customHeight="1" x14ac:dyDescent="0.3">
      <c r="A183" s="254">
        <v>7</v>
      </c>
      <c r="B183" s="263" t="s">
        <v>89</v>
      </c>
      <c r="C183" s="269" t="s">
        <v>504</v>
      </c>
      <c r="D183" s="269" t="s">
        <v>513</v>
      </c>
      <c r="E183" s="254">
        <v>5</v>
      </c>
      <c r="F183" s="265">
        <v>40961</v>
      </c>
      <c r="G183" s="267" t="s">
        <v>514</v>
      </c>
      <c r="H183" s="264">
        <v>4087977701</v>
      </c>
      <c r="I183" s="267" t="s">
        <v>507</v>
      </c>
      <c r="J183" s="265">
        <v>44791</v>
      </c>
      <c r="K183" s="267"/>
      <c r="L183" s="267"/>
      <c r="M183" s="264" t="s">
        <v>515</v>
      </c>
      <c r="N183" s="263" t="s">
        <v>34</v>
      </c>
      <c r="O183" s="268">
        <v>45261</v>
      </c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</row>
    <row r="184" spans="1:46" ht="17.25" hidden="1" customHeight="1" x14ac:dyDescent="0.3">
      <c r="A184" s="274">
        <v>1</v>
      </c>
      <c r="B184" s="260" t="s">
        <v>48</v>
      </c>
      <c r="C184" s="256" t="s">
        <v>516</v>
      </c>
      <c r="D184" s="256" t="s">
        <v>517</v>
      </c>
      <c r="E184" s="257">
        <v>3</v>
      </c>
      <c r="F184" s="258">
        <v>42236</v>
      </c>
      <c r="G184" s="259" t="s">
        <v>518</v>
      </c>
      <c r="H184" s="256" t="s">
        <v>519</v>
      </c>
      <c r="I184" s="259" t="s">
        <v>520</v>
      </c>
      <c r="J184" s="258">
        <v>45174</v>
      </c>
      <c r="K184" s="259"/>
      <c r="L184" s="259"/>
      <c r="M184" s="256"/>
      <c r="N184" s="260" t="s">
        <v>34</v>
      </c>
      <c r="O184" s="261">
        <v>45292</v>
      </c>
      <c r="P184" s="262"/>
      <c r="Q184" s="262"/>
      <c r="R184" s="262"/>
      <c r="S184" s="262"/>
      <c r="T184" s="262"/>
      <c r="U184" s="262"/>
      <c r="V184" s="262"/>
      <c r="W184" s="262"/>
      <c r="X184" s="262"/>
      <c r="Y184" s="262"/>
      <c r="Z184" s="262"/>
      <c r="AA184" s="262"/>
      <c r="AB184" s="262"/>
      <c r="AC184" s="262"/>
      <c r="AD184" s="262"/>
      <c r="AE184" s="262"/>
      <c r="AF184" s="262"/>
      <c r="AG184" s="262"/>
      <c r="AH184" s="262"/>
      <c r="AI184" s="262"/>
      <c r="AJ184" s="262"/>
      <c r="AK184" s="262"/>
      <c r="AL184" s="262"/>
      <c r="AM184" s="262"/>
      <c r="AN184" s="262"/>
      <c r="AO184" s="262"/>
      <c r="AP184" s="262"/>
      <c r="AQ184" s="262"/>
      <c r="AR184" s="262"/>
      <c r="AS184" s="262"/>
      <c r="AT184" s="262"/>
    </row>
    <row r="185" spans="1:46" ht="17.25" hidden="1" customHeight="1" x14ac:dyDescent="0.3">
      <c r="A185" s="274">
        <v>2</v>
      </c>
      <c r="B185" s="260" t="s">
        <v>89</v>
      </c>
      <c r="C185" s="256" t="s">
        <v>516</v>
      </c>
      <c r="D185" s="256" t="s">
        <v>517</v>
      </c>
      <c r="E185" s="257">
        <v>3</v>
      </c>
      <c r="F185" s="258">
        <v>42236</v>
      </c>
      <c r="G185" s="259" t="s">
        <v>518</v>
      </c>
      <c r="H185" s="256" t="s">
        <v>519</v>
      </c>
      <c r="I185" s="259" t="s">
        <v>520</v>
      </c>
      <c r="J185" s="258">
        <v>45174</v>
      </c>
      <c r="K185" s="259"/>
      <c r="L185" s="259"/>
      <c r="M185" s="256"/>
      <c r="N185" s="260" t="s">
        <v>34</v>
      </c>
      <c r="O185" s="261">
        <v>45292</v>
      </c>
      <c r="P185" s="262"/>
      <c r="Q185" s="262"/>
      <c r="R185" s="262"/>
      <c r="S185" s="262"/>
      <c r="T185" s="262"/>
      <c r="U185" s="262"/>
      <c r="V185" s="262"/>
      <c r="W185" s="262"/>
      <c r="X185" s="262"/>
      <c r="Y185" s="262"/>
      <c r="Z185" s="262"/>
      <c r="AA185" s="262"/>
      <c r="AB185" s="262"/>
      <c r="AC185" s="262"/>
      <c r="AD185" s="262"/>
      <c r="AE185" s="262"/>
      <c r="AF185" s="262"/>
      <c r="AG185" s="262"/>
      <c r="AH185" s="262"/>
      <c r="AI185" s="262"/>
      <c r="AJ185" s="262"/>
      <c r="AK185" s="262"/>
      <c r="AL185" s="262"/>
      <c r="AM185" s="262"/>
      <c r="AN185" s="262"/>
      <c r="AO185" s="262"/>
      <c r="AP185" s="262"/>
      <c r="AQ185" s="262"/>
      <c r="AR185" s="262"/>
      <c r="AS185" s="262"/>
      <c r="AT185" s="262"/>
    </row>
    <row r="186" spans="1:46" ht="17.25" hidden="1" customHeight="1" x14ac:dyDescent="0.3">
      <c r="A186" s="275">
        <v>3</v>
      </c>
      <c r="B186" s="260" t="s">
        <v>89</v>
      </c>
      <c r="C186" s="276" t="s">
        <v>521</v>
      </c>
      <c r="D186" s="276" t="s">
        <v>522</v>
      </c>
      <c r="E186" s="274">
        <v>6</v>
      </c>
      <c r="F186" s="277">
        <v>41034</v>
      </c>
      <c r="G186" s="278" t="s">
        <v>523</v>
      </c>
      <c r="H186" s="276">
        <v>5108161486</v>
      </c>
      <c r="I186" s="279" t="s">
        <v>485</v>
      </c>
      <c r="J186" s="277">
        <v>45093</v>
      </c>
      <c r="K186" s="278"/>
      <c r="L186" s="278"/>
      <c r="M186" s="276" t="s">
        <v>524</v>
      </c>
      <c r="N186" s="260" t="s">
        <v>34</v>
      </c>
      <c r="O186" s="261">
        <v>45292</v>
      </c>
      <c r="P186" s="262"/>
      <c r="Q186" s="262"/>
      <c r="R186" s="262"/>
      <c r="S186" s="262"/>
      <c r="T186" s="262"/>
      <c r="U186" s="262"/>
      <c r="V186" s="262"/>
      <c r="W186" s="262"/>
      <c r="X186" s="262"/>
      <c r="Y186" s="262"/>
      <c r="Z186" s="262"/>
      <c r="AA186" s="262"/>
      <c r="AB186" s="262"/>
      <c r="AC186" s="262"/>
      <c r="AD186" s="262"/>
      <c r="AE186" s="262"/>
      <c r="AF186" s="262"/>
      <c r="AG186" s="262"/>
      <c r="AH186" s="262"/>
      <c r="AI186" s="262"/>
      <c r="AJ186" s="262"/>
      <c r="AK186" s="262"/>
      <c r="AL186" s="262"/>
      <c r="AM186" s="262"/>
      <c r="AN186" s="262"/>
      <c r="AO186" s="262"/>
      <c r="AP186" s="262"/>
      <c r="AQ186" s="262"/>
      <c r="AR186" s="262"/>
      <c r="AS186" s="262"/>
      <c r="AT186" s="262"/>
    </row>
    <row r="187" spans="1:46" ht="17.25" hidden="1" customHeight="1" x14ac:dyDescent="0.3">
      <c r="A187" s="274">
        <v>4</v>
      </c>
      <c r="B187" s="260" t="s">
        <v>48</v>
      </c>
      <c r="C187" s="276" t="s">
        <v>282</v>
      </c>
      <c r="D187" s="276" t="s">
        <v>525</v>
      </c>
      <c r="E187" s="274">
        <v>7</v>
      </c>
      <c r="F187" s="277">
        <v>40552</v>
      </c>
      <c r="G187" s="278" t="s">
        <v>526</v>
      </c>
      <c r="H187" s="276">
        <v>5108221710</v>
      </c>
      <c r="I187" s="278" t="s">
        <v>527</v>
      </c>
      <c r="J187" s="277">
        <v>45233</v>
      </c>
      <c r="K187" s="278"/>
      <c r="L187" s="278"/>
      <c r="M187" s="276"/>
      <c r="N187" s="260" t="s">
        <v>34</v>
      </c>
      <c r="O187" s="261">
        <v>45292</v>
      </c>
      <c r="P187" s="262"/>
      <c r="Q187" s="262"/>
      <c r="R187" s="262"/>
      <c r="S187" s="262"/>
      <c r="T187" s="262"/>
      <c r="U187" s="262"/>
      <c r="V187" s="262"/>
      <c r="W187" s="262"/>
      <c r="X187" s="262"/>
      <c r="Y187" s="262"/>
      <c r="Z187" s="262"/>
      <c r="AA187" s="262"/>
      <c r="AB187" s="262"/>
      <c r="AC187" s="262"/>
      <c r="AD187" s="262"/>
      <c r="AE187" s="262"/>
      <c r="AF187" s="262"/>
      <c r="AG187" s="262"/>
      <c r="AH187" s="262"/>
      <c r="AI187" s="262"/>
      <c r="AJ187" s="262"/>
      <c r="AK187" s="262"/>
      <c r="AL187" s="262"/>
      <c r="AM187" s="262"/>
      <c r="AN187" s="262"/>
      <c r="AO187" s="262"/>
      <c r="AP187" s="262"/>
      <c r="AQ187" s="262"/>
      <c r="AR187" s="262"/>
      <c r="AS187" s="262"/>
      <c r="AT187" s="262"/>
    </row>
    <row r="188" spans="1:46" ht="17.25" hidden="1" customHeight="1" x14ac:dyDescent="0.3">
      <c r="A188" s="274">
        <v>5</v>
      </c>
      <c r="B188" s="260" t="s">
        <v>48</v>
      </c>
      <c r="C188" s="256" t="s">
        <v>385</v>
      </c>
      <c r="D188" s="256" t="s">
        <v>478</v>
      </c>
      <c r="E188" s="257">
        <v>1</v>
      </c>
      <c r="F188" s="258">
        <v>42483</v>
      </c>
      <c r="G188" s="259" t="s">
        <v>479</v>
      </c>
      <c r="H188" s="256">
        <v>6692460021</v>
      </c>
      <c r="I188" s="259" t="s">
        <v>480</v>
      </c>
      <c r="J188" s="258">
        <v>45247</v>
      </c>
      <c r="K188" s="259"/>
      <c r="L188" s="259"/>
      <c r="M188" s="256" t="s">
        <v>528</v>
      </c>
      <c r="N188" s="260" t="s">
        <v>34</v>
      </c>
      <c r="O188" s="261">
        <v>45292</v>
      </c>
      <c r="P188" s="262"/>
      <c r="Q188" s="262"/>
      <c r="R188" s="262"/>
      <c r="S188" s="262"/>
      <c r="T188" s="262"/>
      <c r="U188" s="262"/>
      <c r="V188" s="262"/>
      <c r="W188" s="262"/>
      <c r="X188" s="262"/>
      <c r="Y188" s="262"/>
      <c r="Z188" s="262"/>
      <c r="AA188" s="262"/>
      <c r="AB188" s="262"/>
      <c r="AC188" s="262"/>
      <c r="AD188" s="262"/>
      <c r="AE188" s="262"/>
      <c r="AF188" s="262"/>
      <c r="AG188" s="262"/>
      <c r="AH188" s="262"/>
      <c r="AI188" s="262"/>
      <c r="AJ188" s="262"/>
      <c r="AK188" s="262"/>
      <c r="AL188" s="262"/>
      <c r="AM188" s="262"/>
      <c r="AN188" s="262"/>
      <c r="AO188" s="262"/>
      <c r="AP188" s="262"/>
      <c r="AQ188" s="262"/>
      <c r="AR188" s="262"/>
      <c r="AS188" s="262"/>
      <c r="AT188" s="262"/>
    </row>
    <row r="189" spans="1:46" ht="15" hidden="1" customHeight="1" x14ac:dyDescent="0.3">
      <c r="A189" s="280">
        <v>6</v>
      </c>
      <c r="B189" s="281" t="s">
        <v>48</v>
      </c>
      <c r="C189" s="282" t="s">
        <v>529</v>
      </c>
      <c r="D189" s="282" t="s">
        <v>530</v>
      </c>
      <c r="E189" s="280" t="s">
        <v>183</v>
      </c>
      <c r="F189" s="283">
        <v>42409</v>
      </c>
      <c r="G189" s="284" t="s">
        <v>531</v>
      </c>
      <c r="H189" s="285">
        <v>4088292099</v>
      </c>
      <c r="I189" s="284" t="s">
        <v>532</v>
      </c>
      <c r="J189" s="283">
        <v>44645</v>
      </c>
      <c r="K189" s="284"/>
      <c r="L189" s="284"/>
      <c r="M189" s="285" t="s">
        <v>533</v>
      </c>
      <c r="N189" s="281" t="s">
        <v>34</v>
      </c>
      <c r="O189" s="261">
        <v>45292</v>
      </c>
      <c r="P189" s="286"/>
      <c r="Q189" s="286"/>
      <c r="R189" s="286"/>
      <c r="S189" s="286"/>
      <c r="T189" s="286"/>
      <c r="U189" s="286"/>
      <c r="V189" s="286"/>
      <c r="W189" s="286"/>
      <c r="X189" s="286"/>
      <c r="Y189" s="286"/>
      <c r="Z189" s="286"/>
      <c r="AA189" s="286"/>
      <c r="AB189" s="286"/>
      <c r="AC189" s="286"/>
      <c r="AD189" s="286"/>
      <c r="AE189" s="286"/>
      <c r="AF189" s="286"/>
      <c r="AG189" s="286"/>
      <c r="AH189" s="286"/>
      <c r="AI189" s="286"/>
      <c r="AJ189" s="286"/>
      <c r="AK189" s="286"/>
      <c r="AL189" s="286"/>
      <c r="AM189" s="286"/>
      <c r="AN189" s="286"/>
      <c r="AO189" s="286"/>
      <c r="AP189" s="286"/>
      <c r="AQ189" s="286"/>
      <c r="AR189" s="286"/>
      <c r="AS189" s="286"/>
      <c r="AT189" s="286"/>
    </row>
    <row r="190" spans="1:46" ht="17.25" hidden="1" customHeight="1" x14ac:dyDescent="0.3">
      <c r="A190" s="280">
        <v>7</v>
      </c>
      <c r="B190" s="281" t="s">
        <v>89</v>
      </c>
      <c r="C190" s="282" t="s">
        <v>529</v>
      </c>
      <c r="D190" s="282" t="s">
        <v>530</v>
      </c>
      <c r="E190" s="280" t="s">
        <v>183</v>
      </c>
      <c r="F190" s="283">
        <v>42409</v>
      </c>
      <c r="G190" s="284" t="s">
        <v>531</v>
      </c>
      <c r="H190" s="285">
        <v>4088292099</v>
      </c>
      <c r="I190" s="284" t="s">
        <v>532</v>
      </c>
      <c r="J190" s="283">
        <v>44866</v>
      </c>
      <c r="K190" s="284"/>
      <c r="L190" s="284"/>
      <c r="M190" s="285" t="s">
        <v>533</v>
      </c>
      <c r="N190" s="281" t="s">
        <v>34</v>
      </c>
      <c r="O190" s="261">
        <v>45292</v>
      </c>
      <c r="P190" s="286"/>
      <c r="Q190" s="286"/>
      <c r="R190" s="286"/>
      <c r="S190" s="286"/>
      <c r="T190" s="286"/>
      <c r="U190" s="286"/>
      <c r="V190" s="286"/>
      <c r="W190" s="286"/>
      <c r="X190" s="286"/>
      <c r="Y190" s="286"/>
      <c r="Z190" s="286"/>
      <c r="AA190" s="286"/>
      <c r="AB190" s="286"/>
      <c r="AC190" s="286"/>
      <c r="AD190" s="286"/>
      <c r="AE190" s="286"/>
      <c r="AF190" s="286"/>
      <c r="AG190" s="286"/>
      <c r="AH190" s="286"/>
      <c r="AI190" s="286"/>
      <c r="AJ190" s="286"/>
      <c r="AK190" s="286"/>
      <c r="AL190" s="286"/>
      <c r="AM190" s="286"/>
      <c r="AN190" s="286"/>
      <c r="AO190" s="286"/>
      <c r="AP190" s="286"/>
      <c r="AQ190" s="286"/>
      <c r="AR190" s="286"/>
      <c r="AS190" s="286"/>
      <c r="AT190" s="286"/>
    </row>
    <row r="191" spans="1:46" ht="17.25" hidden="1" customHeight="1" x14ac:dyDescent="0.3">
      <c r="A191" s="274">
        <v>8</v>
      </c>
      <c r="B191" s="260" t="s">
        <v>48</v>
      </c>
      <c r="C191" s="276" t="s">
        <v>534</v>
      </c>
      <c r="D191" s="276" t="s">
        <v>386</v>
      </c>
      <c r="E191" s="274">
        <v>3</v>
      </c>
      <c r="F191" s="277">
        <v>42099</v>
      </c>
      <c r="G191" s="278" t="s">
        <v>535</v>
      </c>
      <c r="H191" s="276">
        <v>3104608958</v>
      </c>
      <c r="I191" s="278" t="s">
        <v>536</v>
      </c>
      <c r="J191" s="277">
        <v>45200</v>
      </c>
      <c r="K191" s="278"/>
      <c r="L191" s="278"/>
      <c r="M191" s="276"/>
      <c r="N191" s="260" t="s">
        <v>34</v>
      </c>
      <c r="O191" s="261">
        <v>45292</v>
      </c>
      <c r="P191" s="262"/>
      <c r="Q191" s="262"/>
      <c r="R191" s="262"/>
      <c r="S191" s="262"/>
      <c r="T191" s="262"/>
      <c r="U191" s="262"/>
      <c r="V191" s="262"/>
      <c r="W191" s="262"/>
      <c r="X191" s="262"/>
      <c r="Y191" s="262"/>
      <c r="Z191" s="262"/>
      <c r="AA191" s="262"/>
      <c r="AB191" s="262"/>
      <c r="AC191" s="262"/>
      <c r="AD191" s="262"/>
      <c r="AE191" s="262"/>
      <c r="AF191" s="262"/>
      <c r="AG191" s="262"/>
      <c r="AH191" s="262"/>
      <c r="AI191" s="262"/>
      <c r="AJ191" s="262"/>
      <c r="AK191" s="262"/>
      <c r="AL191" s="262"/>
      <c r="AM191" s="262"/>
      <c r="AN191" s="262"/>
      <c r="AO191" s="262"/>
      <c r="AP191" s="262"/>
      <c r="AQ191" s="262"/>
      <c r="AR191" s="262"/>
      <c r="AS191" s="262"/>
      <c r="AT191" s="262"/>
    </row>
    <row r="192" spans="1:46" ht="17.25" hidden="1" customHeight="1" x14ac:dyDescent="0.3">
      <c r="A192" s="274">
        <v>9</v>
      </c>
      <c r="B192" s="260" t="s">
        <v>89</v>
      </c>
      <c r="C192" s="276" t="s">
        <v>534</v>
      </c>
      <c r="D192" s="276" t="s">
        <v>386</v>
      </c>
      <c r="E192" s="274">
        <v>3</v>
      </c>
      <c r="F192" s="277">
        <v>42099</v>
      </c>
      <c r="G192" s="278" t="s">
        <v>535</v>
      </c>
      <c r="H192" s="276">
        <v>3104608958</v>
      </c>
      <c r="I192" s="278" t="s">
        <v>536</v>
      </c>
      <c r="J192" s="277">
        <v>45200</v>
      </c>
      <c r="K192" s="278"/>
      <c r="L192" s="278"/>
      <c r="M192" s="276"/>
      <c r="N192" s="260" t="s">
        <v>34</v>
      </c>
      <c r="O192" s="261">
        <v>45292</v>
      </c>
      <c r="P192" s="262"/>
      <c r="Q192" s="262"/>
      <c r="R192" s="262"/>
      <c r="S192" s="262"/>
      <c r="T192" s="262"/>
      <c r="U192" s="262"/>
      <c r="V192" s="262"/>
      <c r="W192" s="262"/>
      <c r="X192" s="262"/>
      <c r="Y192" s="262"/>
      <c r="Z192" s="262"/>
      <c r="AA192" s="262"/>
      <c r="AB192" s="262"/>
      <c r="AC192" s="262"/>
      <c r="AD192" s="262"/>
      <c r="AE192" s="262"/>
      <c r="AF192" s="262"/>
      <c r="AG192" s="262"/>
      <c r="AH192" s="262"/>
      <c r="AI192" s="262"/>
      <c r="AJ192" s="262"/>
      <c r="AK192" s="262"/>
      <c r="AL192" s="262"/>
      <c r="AM192" s="262"/>
      <c r="AN192" s="262"/>
      <c r="AO192" s="262"/>
      <c r="AP192" s="262"/>
      <c r="AQ192" s="262"/>
      <c r="AR192" s="262"/>
      <c r="AS192" s="262"/>
      <c r="AT192" s="262"/>
    </row>
    <row r="193" spans="1:46" ht="17.25" hidden="1" customHeight="1" x14ac:dyDescent="0.3">
      <c r="A193" s="254">
        <v>1</v>
      </c>
      <c r="B193" s="263" t="s">
        <v>89</v>
      </c>
      <c r="C193" s="270" t="s">
        <v>537</v>
      </c>
      <c r="D193" s="270" t="s">
        <v>538</v>
      </c>
      <c r="E193" s="271">
        <v>1</v>
      </c>
      <c r="F193" s="272">
        <v>42894</v>
      </c>
      <c r="G193" s="266" t="s">
        <v>539</v>
      </c>
      <c r="H193" s="270">
        <v>6503358676</v>
      </c>
      <c r="I193" s="266" t="s">
        <v>540</v>
      </c>
      <c r="J193" s="272">
        <v>45159</v>
      </c>
      <c r="K193" s="266"/>
      <c r="L193" s="266"/>
      <c r="M193" s="270" t="s">
        <v>541</v>
      </c>
      <c r="N193" s="263" t="s">
        <v>34</v>
      </c>
      <c r="O193" s="273">
        <v>45352</v>
      </c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</row>
    <row r="194" spans="1:46" ht="17.25" hidden="1" customHeight="1" x14ac:dyDescent="0.3">
      <c r="A194" s="254">
        <v>2</v>
      </c>
      <c r="B194" s="263" t="s">
        <v>48</v>
      </c>
      <c r="C194" s="269" t="s">
        <v>342</v>
      </c>
      <c r="D194" s="269" t="s">
        <v>542</v>
      </c>
      <c r="E194" s="254">
        <v>4</v>
      </c>
      <c r="F194" s="265">
        <v>41300</v>
      </c>
      <c r="G194" s="287" t="s">
        <v>543</v>
      </c>
      <c r="H194" s="269" t="s">
        <v>544</v>
      </c>
      <c r="I194" s="287" t="s">
        <v>545</v>
      </c>
      <c r="J194" s="265">
        <v>45110</v>
      </c>
      <c r="K194" s="267"/>
      <c r="L194" s="267"/>
      <c r="M194" s="264"/>
      <c r="N194" s="263" t="s">
        <v>34</v>
      </c>
      <c r="O194" s="273">
        <v>45352</v>
      </c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</row>
    <row r="195" spans="1:46" ht="17.25" hidden="1" customHeight="1" x14ac:dyDescent="0.3">
      <c r="A195" s="254">
        <v>3</v>
      </c>
      <c r="B195" s="263" t="s">
        <v>89</v>
      </c>
      <c r="C195" s="269" t="s">
        <v>342</v>
      </c>
      <c r="D195" s="269" t="s">
        <v>542</v>
      </c>
      <c r="E195" s="254">
        <v>4</v>
      </c>
      <c r="F195" s="265">
        <v>41301</v>
      </c>
      <c r="G195" s="287" t="s">
        <v>546</v>
      </c>
      <c r="H195" s="269" t="s">
        <v>547</v>
      </c>
      <c r="I195" s="287" t="s">
        <v>545</v>
      </c>
      <c r="J195" s="265">
        <v>45110</v>
      </c>
      <c r="K195" s="267"/>
      <c r="L195" s="267"/>
      <c r="M195" s="264"/>
      <c r="N195" s="263" t="s">
        <v>34</v>
      </c>
      <c r="O195" s="273">
        <v>45352</v>
      </c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</row>
    <row r="196" spans="1:46" ht="17.25" hidden="1" customHeight="1" x14ac:dyDescent="0.3">
      <c r="A196" s="288">
        <v>1</v>
      </c>
      <c r="B196" s="289" t="s">
        <v>48</v>
      </c>
      <c r="C196" s="290" t="s">
        <v>548</v>
      </c>
      <c r="D196" s="290" t="s">
        <v>549</v>
      </c>
      <c r="E196" s="291">
        <v>5</v>
      </c>
      <c r="F196" s="292">
        <v>41253</v>
      </c>
      <c r="G196" s="293" t="s">
        <v>550</v>
      </c>
      <c r="H196" s="290">
        <v>4153956788</v>
      </c>
      <c r="I196" s="293" t="s">
        <v>551</v>
      </c>
      <c r="J196" s="292">
        <v>45180</v>
      </c>
      <c r="K196" s="293"/>
      <c r="L196" s="293"/>
      <c r="M196" s="290" t="s">
        <v>552</v>
      </c>
      <c r="N196" s="294" t="s">
        <v>34</v>
      </c>
      <c r="O196" s="295">
        <v>45383</v>
      </c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</row>
    <row r="197" spans="1:46" ht="17.25" hidden="1" customHeight="1" x14ac:dyDescent="0.3">
      <c r="A197" s="288">
        <v>2</v>
      </c>
      <c r="B197" s="289" t="s">
        <v>89</v>
      </c>
      <c r="C197" s="290" t="s">
        <v>548</v>
      </c>
      <c r="D197" s="290" t="s">
        <v>549</v>
      </c>
      <c r="E197" s="291">
        <v>5</v>
      </c>
      <c r="F197" s="292">
        <v>41253</v>
      </c>
      <c r="G197" s="293" t="s">
        <v>550</v>
      </c>
      <c r="H197" s="290">
        <v>4153956788</v>
      </c>
      <c r="I197" s="293" t="s">
        <v>551</v>
      </c>
      <c r="J197" s="292">
        <v>45180</v>
      </c>
      <c r="K197" s="293"/>
      <c r="L197" s="293"/>
      <c r="M197" s="290" t="s">
        <v>552</v>
      </c>
      <c r="N197" s="294" t="s">
        <v>34</v>
      </c>
      <c r="O197" s="295">
        <v>45383</v>
      </c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</row>
    <row r="198" spans="1:46" ht="17.25" hidden="1" customHeight="1" x14ac:dyDescent="0.3">
      <c r="A198" s="288">
        <v>3</v>
      </c>
      <c r="B198" s="294" t="s">
        <v>48</v>
      </c>
      <c r="C198" s="296" t="s">
        <v>553</v>
      </c>
      <c r="D198" s="296" t="s">
        <v>554</v>
      </c>
      <c r="E198" s="288" t="s">
        <v>243</v>
      </c>
      <c r="F198" s="297">
        <v>43521</v>
      </c>
      <c r="G198" s="298" t="s">
        <v>555</v>
      </c>
      <c r="H198" s="296">
        <v>5107505202</v>
      </c>
      <c r="I198" s="298" t="s">
        <v>556</v>
      </c>
      <c r="J198" s="297">
        <v>45317</v>
      </c>
      <c r="K198" s="298"/>
      <c r="L198" s="298"/>
      <c r="M198" s="296"/>
      <c r="N198" s="294" t="s">
        <v>34</v>
      </c>
      <c r="O198" s="295">
        <v>45383</v>
      </c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</row>
    <row r="199" spans="1:46" ht="17.25" hidden="1" customHeight="1" x14ac:dyDescent="0.3">
      <c r="A199" s="288">
        <v>4</v>
      </c>
      <c r="B199" s="294" t="s">
        <v>89</v>
      </c>
      <c r="C199" s="296" t="s">
        <v>553</v>
      </c>
      <c r="D199" s="296" t="s">
        <v>554</v>
      </c>
      <c r="E199" s="288" t="s">
        <v>243</v>
      </c>
      <c r="F199" s="297">
        <v>43521</v>
      </c>
      <c r="G199" s="298" t="s">
        <v>555</v>
      </c>
      <c r="H199" s="296">
        <v>5107505202</v>
      </c>
      <c r="I199" s="298" t="s">
        <v>556</v>
      </c>
      <c r="J199" s="297">
        <v>45317</v>
      </c>
      <c r="K199" s="298"/>
      <c r="L199" s="298"/>
      <c r="M199" s="296" t="s">
        <v>445</v>
      </c>
      <c r="N199" s="294" t="s">
        <v>34</v>
      </c>
      <c r="O199" s="295">
        <v>45383</v>
      </c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</row>
    <row r="200" spans="1:46" ht="17.25" hidden="1" customHeight="1" x14ac:dyDescent="0.3">
      <c r="A200" s="288">
        <v>5</v>
      </c>
      <c r="B200" s="294" t="s">
        <v>48</v>
      </c>
      <c r="C200" s="296" t="s">
        <v>557</v>
      </c>
      <c r="D200" s="296" t="s">
        <v>558</v>
      </c>
      <c r="E200" s="288">
        <v>5</v>
      </c>
      <c r="F200" s="297">
        <v>41451</v>
      </c>
      <c r="G200" s="293" t="s">
        <v>559</v>
      </c>
      <c r="H200" s="293">
        <v>5106820365</v>
      </c>
      <c r="I200" s="293" t="s">
        <v>560</v>
      </c>
      <c r="J200" s="297">
        <v>45078</v>
      </c>
      <c r="K200" s="298"/>
      <c r="L200" s="298"/>
      <c r="M200" s="296" t="s">
        <v>561</v>
      </c>
      <c r="N200" s="294" t="s">
        <v>34</v>
      </c>
      <c r="O200" s="295">
        <v>45383</v>
      </c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</row>
    <row r="201" spans="1:46" ht="17.25" hidden="1" customHeight="1" x14ac:dyDescent="0.3">
      <c r="A201" s="288">
        <v>6</v>
      </c>
      <c r="B201" s="294" t="s">
        <v>89</v>
      </c>
      <c r="C201" s="296" t="s">
        <v>557</v>
      </c>
      <c r="D201" s="296" t="s">
        <v>558</v>
      </c>
      <c r="E201" s="288">
        <v>5</v>
      </c>
      <c r="F201" s="297">
        <v>41451</v>
      </c>
      <c r="G201" s="293" t="s">
        <v>559</v>
      </c>
      <c r="H201" s="293">
        <v>5106820365</v>
      </c>
      <c r="I201" s="293" t="s">
        <v>560</v>
      </c>
      <c r="J201" s="297">
        <v>45096</v>
      </c>
      <c r="K201" s="298"/>
      <c r="L201" s="298"/>
      <c r="M201" s="296" t="s">
        <v>561</v>
      </c>
      <c r="N201" s="294" t="s">
        <v>34</v>
      </c>
      <c r="O201" s="295">
        <v>45383</v>
      </c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</row>
    <row r="202" spans="1:46" ht="17.25" hidden="1" customHeight="1" x14ac:dyDescent="0.3">
      <c r="A202" s="288">
        <v>7</v>
      </c>
      <c r="B202" s="289" t="s">
        <v>48</v>
      </c>
      <c r="C202" s="290" t="s">
        <v>548</v>
      </c>
      <c r="D202" s="290" t="s">
        <v>562</v>
      </c>
      <c r="E202" s="291">
        <v>4</v>
      </c>
      <c r="F202" s="292">
        <v>41875</v>
      </c>
      <c r="G202" s="293" t="s">
        <v>550</v>
      </c>
      <c r="H202" s="290">
        <v>4153956788</v>
      </c>
      <c r="I202" s="293" t="s">
        <v>551</v>
      </c>
      <c r="J202" s="292">
        <v>45180</v>
      </c>
      <c r="K202" s="293"/>
      <c r="L202" s="293"/>
      <c r="M202" s="290" t="s">
        <v>552</v>
      </c>
      <c r="N202" s="294" t="s">
        <v>34</v>
      </c>
      <c r="O202" s="295">
        <v>45383</v>
      </c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</row>
    <row r="203" spans="1:46" ht="17.25" hidden="1" customHeight="1" x14ac:dyDescent="0.3">
      <c r="A203" s="288">
        <v>8</v>
      </c>
      <c r="B203" s="289" t="s">
        <v>89</v>
      </c>
      <c r="C203" s="290" t="s">
        <v>548</v>
      </c>
      <c r="D203" s="290" t="s">
        <v>562</v>
      </c>
      <c r="E203" s="291">
        <v>4</v>
      </c>
      <c r="F203" s="292">
        <v>41875</v>
      </c>
      <c r="G203" s="293" t="s">
        <v>550</v>
      </c>
      <c r="H203" s="290">
        <v>4153956788</v>
      </c>
      <c r="I203" s="293" t="s">
        <v>551</v>
      </c>
      <c r="J203" s="292">
        <v>45180</v>
      </c>
      <c r="K203" s="293"/>
      <c r="L203" s="293"/>
      <c r="M203" s="290" t="s">
        <v>552</v>
      </c>
      <c r="N203" s="294" t="s">
        <v>34</v>
      </c>
      <c r="O203" s="295">
        <v>45383</v>
      </c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</row>
    <row r="204" spans="1:46" ht="17.25" hidden="1" customHeight="1" x14ac:dyDescent="0.3">
      <c r="A204" s="288">
        <v>9</v>
      </c>
      <c r="B204" s="289" t="s">
        <v>48</v>
      </c>
      <c r="C204" s="290" t="s">
        <v>563</v>
      </c>
      <c r="D204" s="290" t="s">
        <v>564</v>
      </c>
      <c r="E204" s="291" t="s">
        <v>183</v>
      </c>
      <c r="F204" s="292">
        <v>43214</v>
      </c>
      <c r="G204" s="293" t="s">
        <v>565</v>
      </c>
      <c r="H204" s="290">
        <v>5103885720</v>
      </c>
      <c r="I204" s="293" t="s">
        <v>566</v>
      </c>
      <c r="J204" s="292">
        <v>45178</v>
      </c>
      <c r="K204" s="293"/>
      <c r="L204" s="293"/>
      <c r="M204" s="290"/>
      <c r="N204" s="294" t="s">
        <v>34</v>
      </c>
      <c r="O204" s="295">
        <v>45383</v>
      </c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</row>
    <row r="205" spans="1:46" ht="17.25" hidden="1" customHeight="1" x14ac:dyDescent="0.3">
      <c r="A205" s="288">
        <v>10</v>
      </c>
      <c r="B205" s="289" t="s">
        <v>48</v>
      </c>
      <c r="C205" s="290" t="s">
        <v>563</v>
      </c>
      <c r="D205" s="290" t="s">
        <v>567</v>
      </c>
      <c r="E205" s="291">
        <v>2</v>
      </c>
      <c r="F205" s="292">
        <v>42626</v>
      </c>
      <c r="G205" s="293" t="s">
        <v>565</v>
      </c>
      <c r="H205" s="290">
        <v>5103885720</v>
      </c>
      <c r="I205" s="293" t="s">
        <v>566</v>
      </c>
      <c r="J205" s="292">
        <v>45178</v>
      </c>
      <c r="K205" s="293"/>
      <c r="L205" s="293"/>
      <c r="M205" s="290"/>
      <c r="N205" s="294" t="s">
        <v>34</v>
      </c>
      <c r="O205" s="295">
        <v>45383</v>
      </c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</row>
    <row r="206" spans="1:46" ht="17.25" hidden="1" customHeight="1" x14ac:dyDescent="0.3">
      <c r="A206" s="254">
        <v>1</v>
      </c>
      <c r="B206" s="299" t="s">
        <v>48</v>
      </c>
      <c r="C206" s="270" t="s">
        <v>568</v>
      </c>
      <c r="D206" s="270" t="s">
        <v>569</v>
      </c>
      <c r="E206" s="271" t="s">
        <v>243</v>
      </c>
      <c r="F206" s="272">
        <v>43630</v>
      </c>
      <c r="G206" s="266" t="s">
        <v>570</v>
      </c>
      <c r="H206" s="270">
        <v>5109444628</v>
      </c>
      <c r="I206" s="266" t="s">
        <v>571</v>
      </c>
      <c r="J206" s="272">
        <v>45170</v>
      </c>
      <c r="K206" s="266"/>
      <c r="L206" s="266"/>
      <c r="M206" s="270" t="s">
        <v>572</v>
      </c>
      <c r="N206" s="263" t="s">
        <v>34</v>
      </c>
      <c r="O206" s="273">
        <v>45413</v>
      </c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</row>
    <row r="207" spans="1:46" ht="17.25" hidden="1" customHeight="1" x14ac:dyDescent="0.3">
      <c r="A207" s="254">
        <v>2</v>
      </c>
      <c r="B207" s="263" t="s">
        <v>48</v>
      </c>
      <c r="C207" s="264" t="s">
        <v>282</v>
      </c>
      <c r="D207" s="264" t="s">
        <v>447</v>
      </c>
      <c r="E207" s="254" t="s">
        <v>183</v>
      </c>
      <c r="F207" s="265">
        <v>42943</v>
      </c>
      <c r="G207" s="267" t="s">
        <v>573</v>
      </c>
      <c r="H207" s="264">
        <v>5103035129</v>
      </c>
      <c r="I207" s="300" t="s">
        <v>574</v>
      </c>
      <c r="J207" s="265">
        <v>44728</v>
      </c>
      <c r="K207" s="267"/>
      <c r="L207" s="267"/>
      <c r="M207" s="264" t="s">
        <v>575</v>
      </c>
      <c r="N207" s="263" t="s">
        <v>34</v>
      </c>
      <c r="O207" s="273">
        <v>45413</v>
      </c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</row>
    <row r="208" spans="1:46" ht="17.25" hidden="1" customHeight="1" x14ac:dyDescent="0.3">
      <c r="A208" s="254">
        <v>3</v>
      </c>
      <c r="B208" s="263" t="s">
        <v>89</v>
      </c>
      <c r="C208" s="264" t="s">
        <v>282</v>
      </c>
      <c r="D208" s="264" t="s">
        <v>447</v>
      </c>
      <c r="E208" s="254" t="s">
        <v>183</v>
      </c>
      <c r="F208" s="265">
        <v>42943</v>
      </c>
      <c r="G208" s="267" t="s">
        <v>573</v>
      </c>
      <c r="H208" s="264">
        <v>5103035129</v>
      </c>
      <c r="I208" s="300" t="s">
        <v>574</v>
      </c>
      <c r="J208" s="265">
        <v>44728</v>
      </c>
      <c r="K208" s="267"/>
      <c r="L208" s="267"/>
      <c r="M208" s="264" t="s">
        <v>575</v>
      </c>
      <c r="N208" s="263" t="s">
        <v>34</v>
      </c>
      <c r="O208" s="273">
        <v>45413</v>
      </c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</row>
    <row r="209" spans="1:46" ht="17.25" hidden="1" customHeight="1" x14ac:dyDescent="0.3">
      <c r="A209" s="232">
        <v>4</v>
      </c>
      <c r="B209" s="301" t="s">
        <v>48</v>
      </c>
      <c r="C209" s="302" t="s">
        <v>576</v>
      </c>
      <c r="D209" s="302" t="s">
        <v>130</v>
      </c>
      <c r="E209" s="303" t="s">
        <v>183</v>
      </c>
      <c r="F209" s="304">
        <v>43274</v>
      </c>
      <c r="G209" s="305" t="s">
        <v>577</v>
      </c>
      <c r="H209" s="302">
        <v>2544004292</v>
      </c>
      <c r="I209" s="305" t="s">
        <v>578</v>
      </c>
      <c r="J209" s="304">
        <v>45185</v>
      </c>
      <c r="K209" s="305"/>
      <c r="L209" s="305"/>
      <c r="M209" s="302" t="s">
        <v>579</v>
      </c>
      <c r="N209" s="233" t="s">
        <v>34</v>
      </c>
      <c r="O209" s="306">
        <v>45413</v>
      </c>
      <c r="P209" s="224"/>
      <c r="Q209" s="224"/>
      <c r="R209" s="224"/>
      <c r="S209" s="224"/>
      <c r="T209" s="224"/>
      <c r="U209" s="224"/>
      <c r="V209" s="224"/>
      <c r="W209" s="224"/>
      <c r="X209" s="224"/>
      <c r="Y209" s="224"/>
      <c r="Z209" s="224"/>
      <c r="AA209" s="224"/>
      <c r="AB209" s="224"/>
      <c r="AC209" s="224"/>
      <c r="AD209" s="224"/>
      <c r="AE209" s="224"/>
      <c r="AF209" s="224"/>
      <c r="AG209" s="224"/>
      <c r="AH209" s="224"/>
      <c r="AI209" s="224"/>
      <c r="AJ209" s="224"/>
      <c r="AK209" s="224"/>
      <c r="AL209" s="224"/>
      <c r="AM209" s="224"/>
      <c r="AN209" s="224"/>
      <c r="AO209" s="224"/>
      <c r="AP209" s="224"/>
      <c r="AQ209" s="224"/>
      <c r="AR209" s="224"/>
      <c r="AS209" s="224"/>
      <c r="AT209" s="224"/>
    </row>
    <row r="210" spans="1:46" ht="17.25" hidden="1" customHeight="1" x14ac:dyDescent="0.3">
      <c r="A210" s="254">
        <v>5</v>
      </c>
      <c r="B210" s="263" t="s">
        <v>48</v>
      </c>
      <c r="C210" s="264" t="s">
        <v>580</v>
      </c>
      <c r="D210" s="264" t="s">
        <v>581</v>
      </c>
      <c r="E210" s="254">
        <v>3</v>
      </c>
      <c r="F210" s="265">
        <v>42182</v>
      </c>
      <c r="G210" s="267" t="s">
        <v>582</v>
      </c>
      <c r="H210" s="264">
        <v>4085948203</v>
      </c>
      <c r="I210" s="267" t="s">
        <v>583</v>
      </c>
      <c r="J210" s="265">
        <v>45215</v>
      </c>
      <c r="K210" s="267"/>
      <c r="L210" s="267"/>
      <c r="M210" s="264"/>
      <c r="N210" s="263" t="s">
        <v>34</v>
      </c>
      <c r="O210" s="273">
        <v>45413</v>
      </c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</row>
    <row r="211" spans="1:46" ht="17.25" hidden="1" customHeight="1" x14ac:dyDescent="0.3">
      <c r="A211" s="254">
        <v>6</v>
      </c>
      <c r="B211" s="263" t="s">
        <v>48</v>
      </c>
      <c r="C211" s="264" t="s">
        <v>584</v>
      </c>
      <c r="D211" s="264" t="s">
        <v>585</v>
      </c>
      <c r="E211" s="254">
        <v>6</v>
      </c>
      <c r="F211" s="265">
        <v>41089</v>
      </c>
      <c r="G211" s="266" t="s">
        <v>586</v>
      </c>
      <c r="H211" s="266">
        <v>4085819618</v>
      </c>
      <c r="I211" s="266" t="s">
        <v>587</v>
      </c>
      <c r="J211" s="265">
        <v>45329</v>
      </c>
      <c r="K211" s="267"/>
      <c r="L211" s="267"/>
      <c r="M211" s="264"/>
      <c r="N211" s="263" t="s">
        <v>34</v>
      </c>
      <c r="O211" s="273">
        <v>45413</v>
      </c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</row>
    <row r="212" spans="1:46" ht="17.25" hidden="1" customHeight="1" x14ac:dyDescent="0.3">
      <c r="A212" s="254">
        <v>7</v>
      </c>
      <c r="B212" s="263" t="s">
        <v>89</v>
      </c>
      <c r="C212" s="264" t="s">
        <v>584</v>
      </c>
      <c r="D212" s="264" t="s">
        <v>585</v>
      </c>
      <c r="E212" s="254">
        <v>6</v>
      </c>
      <c r="F212" s="265">
        <v>41089</v>
      </c>
      <c r="G212" s="266" t="s">
        <v>586</v>
      </c>
      <c r="H212" s="266">
        <v>4085819618</v>
      </c>
      <c r="I212" s="266" t="s">
        <v>587</v>
      </c>
      <c r="J212" s="265">
        <v>45329</v>
      </c>
      <c r="K212" s="267"/>
      <c r="L212" s="267"/>
      <c r="M212" s="264"/>
      <c r="N212" s="263" t="s">
        <v>34</v>
      </c>
      <c r="O212" s="273">
        <v>45413</v>
      </c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</row>
    <row r="213" spans="1:46" ht="17.25" hidden="1" customHeight="1" x14ac:dyDescent="0.3">
      <c r="A213" s="254">
        <v>8</v>
      </c>
      <c r="B213" s="263" t="s">
        <v>48</v>
      </c>
      <c r="C213" s="270" t="s">
        <v>385</v>
      </c>
      <c r="D213" s="270" t="s">
        <v>588</v>
      </c>
      <c r="E213" s="271">
        <v>2</v>
      </c>
      <c r="F213" s="272">
        <v>42516</v>
      </c>
      <c r="G213" s="266" t="s">
        <v>589</v>
      </c>
      <c r="H213" s="270">
        <v>6318770767</v>
      </c>
      <c r="I213" s="266" t="s">
        <v>590</v>
      </c>
      <c r="J213" s="272">
        <v>45156</v>
      </c>
      <c r="K213" s="266"/>
      <c r="L213" s="266"/>
      <c r="M213" s="270" t="s">
        <v>575</v>
      </c>
      <c r="N213" s="263" t="s">
        <v>34</v>
      </c>
      <c r="O213" s="273">
        <v>45413</v>
      </c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</row>
    <row r="214" spans="1:46" ht="17.25" hidden="1" customHeight="1" x14ac:dyDescent="0.3">
      <c r="A214" s="254">
        <v>9</v>
      </c>
      <c r="B214" s="263" t="s">
        <v>89</v>
      </c>
      <c r="C214" s="264" t="s">
        <v>385</v>
      </c>
      <c r="D214" s="264" t="s">
        <v>588</v>
      </c>
      <c r="E214" s="254">
        <v>2</v>
      </c>
      <c r="F214" s="265">
        <v>42516</v>
      </c>
      <c r="G214" s="267" t="s">
        <v>589</v>
      </c>
      <c r="H214" s="264">
        <v>6318770767</v>
      </c>
      <c r="I214" s="267" t="s">
        <v>590</v>
      </c>
      <c r="J214" s="265">
        <v>410535</v>
      </c>
      <c r="K214" s="266"/>
      <c r="L214" s="266"/>
      <c r="M214" s="270" t="s">
        <v>575</v>
      </c>
      <c r="N214" s="263" t="s">
        <v>34</v>
      </c>
      <c r="O214" s="273">
        <v>45413</v>
      </c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</row>
    <row r="215" spans="1:46" ht="17.25" hidden="1" customHeight="1" x14ac:dyDescent="0.3">
      <c r="A215" s="232">
        <v>10</v>
      </c>
      <c r="B215" s="233" t="s">
        <v>89</v>
      </c>
      <c r="C215" s="302" t="s">
        <v>591</v>
      </c>
      <c r="D215" s="302" t="s">
        <v>592</v>
      </c>
      <c r="E215" s="303">
        <v>3</v>
      </c>
      <c r="F215" s="304">
        <v>42124</v>
      </c>
      <c r="G215" s="305" t="s">
        <v>593</v>
      </c>
      <c r="H215" s="302">
        <v>4085076346</v>
      </c>
      <c r="I215" s="305" t="s">
        <v>594</v>
      </c>
      <c r="J215" s="304">
        <v>45159</v>
      </c>
      <c r="K215" s="305"/>
      <c r="L215" s="305"/>
      <c r="M215" s="302"/>
      <c r="N215" s="233" t="s">
        <v>34</v>
      </c>
      <c r="O215" s="306">
        <v>45413</v>
      </c>
      <c r="P215" s="224"/>
      <c r="Q215" s="224"/>
      <c r="R215" s="224"/>
      <c r="S215" s="224"/>
      <c r="T215" s="224"/>
      <c r="U215" s="224"/>
      <c r="V215" s="224"/>
      <c r="W215" s="224"/>
      <c r="X215" s="224"/>
      <c r="Y215" s="224"/>
      <c r="Z215" s="224"/>
      <c r="AA215" s="224"/>
      <c r="AB215" s="224"/>
      <c r="AC215" s="224"/>
      <c r="AD215" s="224"/>
      <c r="AE215" s="224"/>
      <c r="AF215" s="224"/>
      <c r="AG215" s="224"/>
      <c r="AH215" s="224"/>
      <c r="AI215" s="224"/>
      <c r="AJ215" s="224"/>
      <c r="AK215" s="224"/>
      <c r="AL215" s="224"/>
      <c r="AM215" s="224"/>
      <c r="AN215" s="224"/>
      <c r="AO215" s="224"/>
      <c r="AP215" s="224"/>
      <c r="AQ215" s="224"/>
      <c r="AR215" s="224"/>
      <c r="AS215" s="224"/>
      <c r="AT215" s="224"/>
    </row>
    <row r="216" spans="1:46" ht="17.25" hidden="1" customHeight="1" x14ac:dyDescent="0.3">
      <c r="A216" s="232">
        <v>11</v>
      </c>
      <c r="B216" s="233" t="s">
        <v>89</v>
      </c>
      <c r="C216" s="302" t="s">
        <v>591</v>
      </c>
      <c r="D216" s="302" t="s">
        <v>595</v>
      </c>
      <c r="E216" s="303">
        <v>3</v>
      </c>
      <c r="F216" s="304">
        <v>42124</v>
      </c>
      <c r="G216" s="305" t="s">
        <v>593</v>
      </c>
      <c r="H216" s="302">
        <v>4085076346</v>
      </c>
      <c r="I216" s="305" t="s">
        <v>594</v>
      </c>
      <c r="J216" s="304">
        <v>45159</v>
      </c>
      <c r="K216" s="305"/>
      <c r="L216" s="305"/>
      <c r="M216" s="302"/>
      <c r="N216" s="233" t="s">
        <v>34</v>
      </c>
      <c r="O216" s="306">
        <v>45413</v>
      </c>
      <c r="P216" s="224"/>
      <c r="Q216" s="224"/>
      <c r="R216" s="224"/>
      <c r="S216" s="224"/>
      <c r="T216" s="224"/>
      <c r="U216" s="224"/>
      <c r="V216" s="224"/>
      <c r="W216" s="224"/>
      <c r="X216" s="224"/>
      <c r="Y216" s="224"/>
      <c r="Z216" s="224"/>
      <c r="AA216" s="224"/>
      <c r="AB216" s="224"/>
      <c r="AC216" s="224"/>
      <c r="AD216" s="224"/>
      <c r="AE216" s="224"/>
      <c r="AF216" s="224"/>
      <c r="AG216" s="224"/>
      <c r="AH216" s="224"/>
      <c r="AI216" s="224"/>
      <c r="AJ216" s="224"/>
      <c r="AK216" s="224"/>
      <c r="AL216" s="224"/>
      <c r="AM216" s="224"/>
      <c r="AN216" s="224"/>
      <c r="AO216" s="224"/>
      <c r="AP216" s="224"/>
      <c r="AQ216" s="224"/>
      <c r="AR216" s="224"/>
      <c r="AS216" s="224"/>
      <c r="AT216" s="224"/>
    </row>
    <row r="217" spans="1:46" ht="17.25" hidden="1" customHeight="1" x14ac:dyDescent="0.3">
      <c r="A217" s="254">
        <v>12</v>
      </c>
      <c r="B217" s="263" t="s">
        <v>48</v>
      </c>
      <c r="C217" s="264" t="s">
        <v>596</v>
      </c>
      <c r="D217" s="264" t="s">
        <v>355</v>
      </c>
      <c r="E217" s="254" t="s">
        <v>201</v>
      </c>
      <c r="F217" s="265">
        <v>42940</v>
      </c>
      <c r="G217" s="267" t="s">
        <v>597</v>
      </c>
      <c r="H217" s="264">
        <v>5105090555</v>
      </c>
      <c r="I217" s="267" t="s">
        <v>598</v>
      </c>
      <c r="J217" s="265">
        <v>44723</v>
      </c>
      <c r="K217" s="267"/>
      <c r="L217" s="267"/>
      <c r="M217" s="264" t="s">
        <v>599</v>
      </c>
      <c r="N217" s="263" t="s">
        <v>34</v>
      </c>
      <c r="O217" s="273">
        <v>45413</v>
      </c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</row>
    <row r="218" spans="1:46" ht="17.25" hidden="1" customHeight="1" x14ac:dyDescent="0.3">
      <c r="A218" s="254">
        <v>13</v>
      </c>
      <c r="B218" s="263" t="s">
        <v>89</v>
      </c>
      <c r="C218" s="264" t="s">
        <v>596</v>
      </c>
      <c r="D218" s="264" t="s">
        <v>355</v>
      </c>
      <c r="E218" s="254" t="s">
        <v>201</v>
      </c>
      <c r="F218" s="265">
        <v>42940</v>
      </c>
      <c r="G218" s="267" t="s">
        <v>597</v>
      </c>
      <c r="H218" s="264">
        <v>5105090555</v>
      </c>
      <c r="I218" s="267" t="s">
        <v>598</v>
      </c>
      <c r="J218" s="265">
        <v>44723</v>
      </c>
      <c r="K218" s="267"/>
      <c r="L218" s="267"/>
      <c r="M218" s="264" t="s">
        <v>599</v>
      </c>
      <c r="N218" s="263" t="s">
        <v>34</v>
      </c>
      <c r="O218" s="273">
        <v>45413</v>
      </c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</row>
    <row r="219" spans="1:46" ht="17.25" hidden="1" customHeight="1" x14ac:dyDescent="0.3">
      <c r="A219" s="254">
        <v>14</v>
      </c>
      <c r="B219" s="263" t="s">
        <v>48</v>
      </c>
      <c r="C219" s="264" t="s">
        <v>596</v>
      </c>
      <c r="D219" s="264" t="s">
        <v>600</v>
      </c>
      <c r="E219" s="254">
        <v>5</v>
      </c>
      <c r="F219" s="265">
        <v>40745</v>
      </c>
      <c r="G219" s="267" t="s">
        <v>601</v>
      </c>
      <c r="H219" s="264">
        <v>5105090555</v>
      </c>
      <c r="I219" s="267" t="s">
        <v>598</v>
      </c>
      <c r="J219" s="264" t="s">
        <v>602</v>
      </c>
      <c r="K219" s="267"/>
      <c r="L219" s="267"/>
      <c r="M219" s="264" t="s">
        <v>599</v>
      </c>
      <c r="N219" s="263" t="s">
        <v>34</v>
      </c>
      <c r="O219" s="273">
        <v>45413</v>
      </c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</row>
    <row r="220" spans="1:46" ht="17.25" hidden="1" customHeight="1" x14ac:dyDescent="0.3">
      <c r="A220" s="254">
        <v>15</v>
      </c>
      <c r="B220" s="263" t="s">
        <v>89</v>
      </c>
      <c r="C220" s="264" t="s">
        <v>596</v>
      </c>
      <c r="D220" s="264" t="s">
        <v>600</v>
      </c>
      <c r="E220" s="254">
        <v>5</v>
      </c>
      <c r="F220" s="265">
        <v>40745</v>
      </c>
      <c r="G220" s="267" t="s">
        <v>601</v>
      </c>
      <c r="H220" s="264">
        <v>5105090555</v>
      </c>
      <c r="I220" s="267" t="s">
        <v>598</v>
      </c>
      <c r="J220" s="264" t="s">
        <v>602</v>
      </c>
      <c r="K220" s="267"/>
      <c r="L220" s="267"/>
      <c r="M220" s="264" t="s">
        <v>599</v>
      </c>
      <c r="N220" s="263" t="s">
        <v>34</v>
      </c>
      <c r="O220" s="273">
        <v>45413</v>
      </c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</row>
    <row r="221" spans="1:46" ht="17.25" hidden="1" customHeight="1" x14ac:dyDescent="0.3">
      <c r="A221" s="242">
        <v>1</v>
      </c>
      <c r="B221" s="243" t="s">
        <v>48</v>
      </c>
      <c r="C221" s="250" t="s">
        <v>603</v>
      </c>
      <c r="D221" s="250" t="s">
        <v>604</v>
      </c>
      <c r="E221" s="242">
        <v>2</v>
      </c>
      <c r="F221" s="251">
        <v>42279</v>
      </c>
      <c r="G221" s="252" t="s">
        <v>605</v>
      </c>
      <c r="H221" s="250">
        <v>4256334423</v>
      </c>
      <c r="I221" s="252" t="s">
        <v>606</v>
      </c>
      <c r="J221" s="251">
        <v>45231</v>
      </c>
      <c r="K221" s="252"/>
      <c r="L221" s="252"/>
      <c r="M221" s="250" t="s">
        <v>607</v>
      </c>
      <c r="N221" s="243" t="s">
        <v>34</v>
      </c>
      <c r="O221" s="248">
        <v>45444</v>
      </c>
      <c r="P221" s="249"/>
      <c r="Q221" s="249"/>
      <c r="R221" s="249"/>
      <c r="S221" s="249"/>
      <c r="T221" s="249"/>
      <c r="U221" s="249"/>
      <c r="V221" s="249"/>
      <c r="W221" s="249"/>
      <c r="X221" s="249"/>
      <c r="Y221" s="249"/>
      <c r="Z221" s="249"/>
      <c r="AA221" s="249"/>
      <c r="AB221" s="249"/>
      <c r="AC221" s="249"/>
      <c r="AD221" s="249"/>
      <c r="AE221" s="249"/>
      <c r="AF221" s="249"/>
      <c r="AG221" s="249"/>
      <c r="AH221" s="249"/>
      <c r="AI221" s="249"/>
      <c r="AJ221" s="249"/>
      <c r="AK221" s="249"/>
      <c r="AL221" s="249"/>
      <c r="AM221" s="249"/>
      <c r="AN221" s="249"/>
      <c r="AO221" s="249"/>
      <c r="AP221" s="249"/>
      <c r="AQ221" s="249"/>
      <c r="AR221" s="249"/>
      <c r="AS221" s="249"/>
      <c r="AT221" s="249"/>
    </row>
    <row r="222" spans="1:46" ht="17.25" hidden="1" customHeight="1" x14ac:dyDescent="0.3">
      <c r="A222" s="242">
        <v>2</v>
      </c>
      <c r="B222" s="243" t="s">
        <v>48</v>
      </c>
      <c r="C222" s="244" t="s">
        <v>537</v>
      </c>
      <c r="D222" s="244" t="s">
        <v>608</v>
      </c>
      <c r="E222" s="245">
        <v>2</v>
      </c>
      <c r="F222" s="246">
        <v>42301</v>
      </c>
      <c r="G222" s="247" t="s">
        <v>539</v>
      </c>
      <c r="H222" s="244">
        <v>6503358676</v>
      </c>
      <c r="I222" s="247" t="s">
        <v>540</v>
      </c>
      <c r="J222" s="246">
        <v>45159</v>
      </c>
      <c r="K222" s="247"/>
      <c r="L222" s="247"/>
      <c r="M222" s="244"/>
      <c r="N222" s="243" t="s">
        <v>34</v>
      </c>
      <c r="O222" s="248">
        <v>45444</v>
      </c>
      <c r="P222" s="249"/>
      <c r="Q222" s="249"/>
      <c r="R222" s="249"/>
      <c r="S222" s="249"/>
      <c r="T222" s="249"/>
      <c r="U222" s="249"/>
      <c r="V222" s="249"/>
      <c r="W222" s="249"/>
      <c r="X222" s="249"/>
      <c r="Y222" s="249"/>
      <c r="Z222" s="249"/>
      <c r="AA222" s="249"/>
      <c r="AB222" s="249"/>
      <c r="AC222" s="249"/>
      <c r="AD222" s="249"/>
      <c r="AE222" s="249"/>
      <c r="AF222" s="249"/>
      <c r="AG222" s="249"/>
      <c r="AH222" s="249"/>
      <c r="AI222" s="249"/>
      <c r="AJ222" s="249"/>
      <c r="AK222" s="249"/>
      <c r="AL222" s="249"/>
      <c r="AM222" s="249"/>
      <c r="AN222" s="249"/>
      <c r="AO222" s="249"/>
      <c r="AP222" s="249"/>
      <c r="AQ222" s="249"/>
      <c r="AR222" s="249"/>
      <c r="AS222" s="249"/>
      <c r="AT222" s="249"/>
    </row>
    <row r="223" spans="1:46" ht="17.25" hidden="1" customHeight="1" x14ac:dyDescent="0.3">
      <c r="A223" s="242">
        <v>3</v>
      </c>
      <c r="B223" s="243" t="s">
        <v>89</v>
      </c>
      <c r="C223" s="244" t="s">
        <v>537</v>
      </c>
      <c r="D223" s="244" t="s">
        <v>608</v>
      </c>
      <c r="E223" s="245">
        <v>2</v>
      </c>
      <c r="F223" s="246">
        <v>42301</v>
      </c>
      <c r="G223" s="247" t="s">
        <v>539</v>
      </c>
      <c r="H223" s="244">
        <v>6503358676</v>
      </c>
      <c r="I223" s="247" t="s">
        <v>540</v>
      </c>
      <c r="J223" s="246">
        <v>45159</v>
      </c>
      <c r="K223" s="247"/>
      <c r="L223" s="247"/>
      <c r="M223" s="244"/>
      <c r="N223" s="243" t="s">
        <v>34</v>
      </c>
      <c r="O223" s="248">
        <v>45444</v>
      </c>
      <c r="P223" s="249"/>
      <c r="Q223" s="249"/>
      <c r="R223" s="249"/>
      <c r="S223" s="249"/>
      <c r="T223" s="249"/>
      <c r="U223" s="249"/>
      <c r="V223" s="249"/>
      <c r="W223" s="249"/>
      <c r="X223" s="249"/>
      <c r="Y223" s="249"/>
      <c r="Z223" s="249"/>
      <c r="AA223" s="249"/>
      <c r="AB223" s="249"/>
      <c r="AC223" s="249"/>
      <c r="AD223" s="249"/>
      <c r="AE223" s="249"/>
      <c r="AF223" s="249"/>
      <c r="AG223" s="249"/>
      <c r="AH223" s="249"/>
      <c r="AI223" s="249"/>
      <c r="AJ223" s="249"/>
      <c r="AK223" s="249"/>
      <c r="AL223" s="249"/>
      <c r="AM223" s="249"/>
      <c r="AN223" s="249"/>
      <c r="AO223" s="249"/>
      <c r="AP223" s="249"/>
      <c r="AQ223" s="249"/>
      <c r="AR223" s="249"/>
      <c r="AS223" s="249"/>
      <c r="AT223" s="249"/>
    </row>
    <row r="224" spans="1:46" ht="17.25" hidden="1" customHeight="1" x14ac:dyDescent="0.3">
      <c r="A224" s="232">
        <v>4</v>
      </c>
      <c r="B224" s="301" t="s">
        <v>48</v>
      </c>
      <c r="C224" s="302" t="s">
        <v>272</v>
      </c>
      <c r="D224" s="302" t="s">
        <v>355</v>
      </c>
      <c r="E224" s="303">
        <v>2</v>
      </c>
      <c r="F224" s="304">
        <v>42348</v>
      </c>
      <c r="G224" s="305" t="s">
        <v>356</v>
      </c>
      <c r="H224" s="302">
        <v>4157228574</v>
      </c>
      <c r="I224" s="305" t="s">
        <v>357</v>
      </c>
      <c r="J224" s="304">
        <v>45170</v>
      </c>
      <c r="K224" s="305"/>
      <c r="L224" s="305"/>
      <c r="M224" s="302" t="s">
        <v>609</v>
      </c>
      <c r="N224" s="233" t="s">
        <v>34</v>
      </c>
      <c r="O224" s="237">
        <v>45444</v>
      </c>
      <c r="P224" s="224"/>
      <c r="Q224" s="224"/>
      <c r="R224" s="224"/>
      <c r="S224" s="224"/>
      <c r="T224" s="224"/>
      <c r="U224" s="224"/>
      <c r="V224" s="224"/>
      <c r="W224" s="224"/>
      <c r="X224" s="224"/>
      <c r="Y224" s="224"/>
      <c r="Z224" s="224"/>
      <c r="AA224" s="224"/>
      <c r="AB224" s="224"/>
      <c r="AC224" s="224"/>
      <c r="AD224" s="224"/>
      <c r="AE224" s="224"/>
      <c r="AF224" s="224"/>
      <c r="AG224" s="224"/>
      <c r="AH224" s="224"/>
      <c r="AI224" s="224"/>
      <c r="AJ224" s="224"/>
      <c r="AK224" s="224"/>
      <c r="AL224" s="224"/>
      <c r="AM224" s="224"/>
      <c r="AN224" s="224"/>
      <c r="AO224" s="224"/>
      <c r="AP224" s="224"/>
      <c r="AQ224" s="224"/>
      <c r="AR224" s="224"/>
      <c r="AS224" s="224"/>
      <c r="AT224" s="224"/>
    </row>
    <row r="225" spans="1:46" ht="17.25" hidden="1" customHeight="1" x14ac:dyDescent="0.3">
      <c r="A225" s="232">
        <v>5</v>
      </c>
      <c r="B225" s="301" t="s">
        <v>89</v>
      </c>
      <c r="C225" s="302" t="s">
        <v>272</v>
      </c>
      <c r="D225" s="302" t="s">
        <v>355</v>
      </c>
      <c r="E225" s="303">
        <v>2</v>
      </c>
      <c r="F225" s="304">
        <v>42348</v>
      </c>
      <c r="G225" s="305" t="s">
        <v>356</v>
      </c>
      <c r="H225" s="302">
        <v>4157228574</v>
      </c>
      <c r="I225" s="305" t="s">
        <v>357</v>
      </c>
      <c r="J225" s="304">
        <v>45170</v>
      </c>
      <c r="K225" s="305"/>
      <c r="L225" s="305"/>
      <c r="M225" s="302" t="s">
        <v>609</v>
      </c>
      <c r="N225" s="233" t="s">
        <v>34</v>
      </c>
      <c r="O225" s="237">
        <v>45444</v>
      </c>
      <c r="P225" s="224"/>
      <c r="Q225" s="224"/>
      <c r="R225" s="224"/>
      <c r="S225" s="224"/>
      <c r="T225" s="224"/>
      <c r="U225" s="224"/>
      <c r="V225" s="224"/>
      <c r="W225" s="224"/>
      <c r="X225" s="224"/>
      <c r="Y225" s="224"/>
      <c r="Z225" s="224"/>
      <c r="AA225" s="224"/>
      <c r="AB225" s="224"/>
      <c r="AC225" s="224"/>
      <c r="AD225" s="224"/>
      <c r="AE225" s="224"/>
      <c r="AF225" s="224"/>
      <c r="AG225" s="224"/>
      <c r="AH225" s="224"/>
      <c r="AI225" s="224"/>
      <c r="AJ225" s="224"/>
      <c r="AK225" s="224"/>
      <c r="AL225" s="224"/>
      <c r="AM225" s="224"/>
      <c r="AN225" s="224"/>
      <c r="AO225" s="224"/>
      <c r="AP225" s="224"/>
      <c r="AQ225" s="224"/>
      <c r="AR225" s="224"/>
      <c r="AS225" s="224"/>
      <c r="AT225" s="224"/>
    </row>
    <row r="226" spans="1:46" ht="17.25" hidden="1" customHeight="1" x14ac:dyDescent="0.3">
      <c r="A226" s="242">
        <v>6</v>
      </c>
      <c r="B226" s="243" t="s">
        <v>48</v>
      </c>
      <c r="C226" s="244" t="s">
        <v>610</v>
      </c>
      <c r="D226" s="244" t="s">
        <v>355</v>
      </c>
      <c r="E226" s="245">
        <v>4</v>
      </c>
      <c r="F226" s="246">
        <v>41745</v>
      </c>
      <c r="G226" s="247" t="s">
        <v>611</v>
      </c>
      <c r="H226" s="244">
        <v>5102828122</v>
      </c>
      <c r="I226" s="247" t="s">
        <v>612</v>
      </c>
      <c r="J226" s="246">
        <v>45159</v>
      </c>
      <c r="K226" s="247"/>
      <c r="L226" s="247"/>
      <c r="M226" s="244"/>
      <c r="N226" s="243" t="s">
        <v>34</v>
      </c>
      <c r="O226" s="248">
        <v>45444</v>
      </c>
      <c r="P226" s="249"/>
      <c r="Q226" s="249"/>
      <c r="R226" s="249"/>
      <c r="S226" s="249"/>
      <c r="T226" s="249"/>
      <c r="U226" s="249"/>
      <c r="V226" s="249"/>
      <c r="W226" s="249"/>
      <c r="X226" s="249"/>
      <c r="Y226" s="249"/>
      <c r="Z226" s="249"/>
      <c r="AA226" s="249"/>
      <c r="AB226" s="249"/>
      <c r="AC226" s="249"/>
      <c r="AD226" s="249"/>
      <c r="AE226" s="249"/>
      <c r="AF226" s="249"/>
      <c r="AG226" s="249"/>
      <c r="AH226" s="249"/>
      <c r="AI226" s="249"/>
      <c r="AJ226" s="249"/>
      <c r="AK226" s="249"/>
      <c r="AL226" s="249"/>
      <c r="AM226" s="249"/>
      <c r="AN226" s="249"/>
      <c r="AO226" s="249"/>
      <c r="AP226" s="249"/>
      <c r="AQ226" s="249"/>
      <c r="AR226" s="249"/>
      <c r="AS226" s="249"/>
      <c r="AT226" s="249"/>
    </row>
    <row r="227" spans="1:46" ht="17.25" hidden="1" customHeight="1" x14ac:dyDescent="0.3">
      <c r="A227" s="242">
        <v>7</v>
      </c>
      <c r="B227" s="243" t="s">
        <v>89</v>
      </c>
      <c r="C227" s="244" t="s">
        <v>610</v>
      </c>
      <c r="D227" s="244" t="s">
        <v>613</v>
      </c>
      <c r="E227" s="245">
        <v>4</v>
      </c>
      <c r="F227" s="246">
        <v>41745</v>
      </c>
      <c r="G227" s="247" t="s">
        <v>611</v>
      </c>
      <c r="H227" s="244">
        <v>5102828122</v>
      </c>
      <c r="I227" s="247" t="s">
        <v>612</v>
      </c>
      <c r="J227" s="246">
        <v>45159</v>
      </c>
      <c r="K227" s="247"/>
      <c r="L227" s="247"/>
      <c r="M227" s="244"/>
      <c r="N227" s="243" t="s">
        <v>34</v>
      </c>
      <c r="O227" s="248">
        <v>45444</v>
      </c>
      <c r="P227" s="249"/>
      <c r="Q227" s="249"/>
      <c r="R227" s="249"/>
      <c r="S227" s="249"/>
      <c r="T227" s="249"/>
      <c r="U227" s="249"/>
      <c r="V227" s="249"/>
      <c r="W227" s="249"/>
      <c r="X227" s="249"/>
      <c r="Y227" s="249"/>
      <c r="Z227" s="249"/>
      <c r="AA227" s="249"/>
      <c r="AB227" s="249"/>
      <c r="AC227" s="249"/>
      <c r="AD227" s="249"/>
      <c r="AE227" s="249"/>
      <c r="AF227" s="249"/>
      <c r="AG227" s="249"/>
      <c r="AH227" s="249"/>
      <c r="AI227" s="249"/>
      <c r="AJ227" s="249"/>
      <c r="AK227" s="249"/>
      <c r="AL227" s="249"/>
      <c r="AM227" s="249"/>
      <c r="AN227" s="249"/>
      <c r="AO227" s="249"/>
      <c r="AP227" s="249"/>
      <c r="AQ227" s="249"/>
      <c r="AR227" s="249"/>
      <c r="AS227" s="249"/>
      <c r="AT227" s="249"/>
    </row>
    <row r="228" spans="1:46" ht="17.25" hidden="1" customHeight="1" x14ac:dyDescent="0.3">
      <c r="A228" s="232">
        <v>8</v>
      </c>
      <c r="B228" s="233" t="s">
        <v>48</v>
      </c>
      <c r="C228" s="234" t="s">
        <v>614</v>
      </c>
      <c r="D228" s="234" t="s">
        <v>615</v>
      </c>
      <c r="E228" s="232">
        <v>1</v>
      </c>
      <c r="F228" s="235">
        <v>41922</v>
      </c>
      <c r="G228" s="236" t="s">
        <v>616</v>
      </c>
      <c r="H228" s="234" t="s">
        <v>617</v>
      </c>
      <c r="I228" s="236" t="s">
        <v>618</v>
      </c>
      <c r="J228" s="235">
        <v>44795</v>
      </c>
      <c r="K228" s="236"/>
      <c r="L228" s="236"/>
      <c r="M228" s="234" t="s">
        <v>619</v>
      </c>
      <c r="N228" s="233" t="s">
        <v>34</v>
      </c>
      <c r="O228" s="237">
        <v>45444</v>
      </c>
      <c r="P228" s="224"/>
      <c r="Q228" s="224"/>
      <c r="R228" s="224"/>
      <c r="S228" s="224"/>
      <c r="T228" s="224"/>
      <c r="U228" s="224"/>
      <c r="V228" s="224"/>
      <c r="W228" s="224"/>
      <c r="X228" s="224"/>
      <c r="Y228" s="224"/>
      <c r="Z228" s="224"/>
      <c r="AA228" s="224"/>
      <c r="AB228" s="224"/>
      <c r="AC228" s="224"/>
      <c r="AD228" s="224"/>
      <c r="AE228" s="224"/>
      <c r="AF228" s="224"/>
      <c r="AG228" s="224"/>
      <c r="AH228" s="224"/>
      <c r="AI228" s="224"/>
      <c r="AJ228" s="224"/>
      <c r="AK228" s="224"/>
      <c r="AL228" s="224"/>
      <c r="AM228" s="224"/>
      <c r="AN228" s="224"/>
      <c r="AO228" s="224"/>
      <c r="AP228" s="224"/>
      <c r="AQ228" s="224"/>
      <c r="AR228" s="224"/>
      <c r="AS228" s="224"/>
      <c r="AT228" s="224"/>
    </row>
    <row r="229" spans="1:46" ht="17.25" hidden="1" customHeight="1" x14ac:dyDescent="0.3">
      <c r="A229" s="232">
        <v>9</v>
      </c>
      <c r="B229" s="233" t="s">
        <v>89</v>
      </c>
      <c r="C229" s="234" t="s">
        <v>614</v>
      </c>
      <c r="D229" s="234" t="s">
        <v>615</v>
      </c>
      <c r="E229" s="232">
        <v>1</v>
      </c>
      <c r="F229" s="235">
        <v>41922</v>
      </c>
      <c r="G229" s="236" t="s">
        <v>616</v>
      </c>
      <c r="H229" s="234" t="s">
        <v>617</v>
      </c>
      <c r="I229" s="236" t="s">
        <v>618</v>
      </c>
      <c r="J229" s="235">
        <v>44795</v>
      </c>
      <c r="K229" s="236"/>
      <c r="L229" s="236"/>
      <c r="M229" s="234" t="s">
        <v>619</v>
      </c>
      <c r="N229" s="233" t="s">
        <v>34</v>
      </c>
      <c r="O229" s="237">
        <v>45444</v>
      </c>
      <c r="P229" s="224"/>
      <c r="Q229" s="224"/>
      <c r="R229" s="224"/>
      <c r="S229" s="224"/>
      <c r="T229" s="224"/>
      <c r="U229" s="224"/>
      <c r="V229" s="224"/>
      <c r="W229" s="224"/>
      <c r="X229" s="224"/>
      <c r="Y229" s="224"/>
      <c r="Z229" s="224"/>
      <c r="AA229" s="224"/>
      <c r="AB229" s="224"/>
      <c r="AC229" s="224"/>
      <c r="AD229" s="224"/>
      <c r="AE229" s="224"/>
      <c r="AF229" s="224"/>
      <c r="AG229" s="224"/>
      <c r="AH229" s="224"/>
      <c r="AI229" s="224"/>
      <c r="AJ229" s="224"/>
      <c r="AK229" s="224"/>
      <c r="AL229" s="224"/>
      <c r="AM229" s="224"/>
      <c r="AN229" s="224"/>
      <c r="AO229" s="224"/>
      <c r="AP229" s="224"/>
      <c r="AQ229" s="224"/>
      <c r="AR229" s="224"/>
      <c r="AS229" s="224"/>
      <c r="AT229" s="224"/>
    </row>
    <row r="230" spans="1:46" ht="17.25" hidden="1" customHeight="1" x14ac:dyDescent="0.3">
      <c r="A230" s="242">
        <v>10</v>
      </c>
      <c r="B230" s="243" t="s">
        <v>89</v>
      </c>
      <c r="C230" s="244" t="s">
        <v>272</v>
      </c>
      <c r="D230" s="244" t="s">
        <v>620</v>
      </c>
      <c r="E230" s="245">
        <v>1</v>
      </c>
      <c r="F230" s="246">
        <v>42962</v>
      </c>
      <c r="G230" s="247" t="s">
        <v>621</v>
      </c>
      <c r="H230" s="244">
        <v>4087189860</v>
      </c>
      <c r="I230" s="247" t="s">
        <v>622</v>
      </c>
      <c r="J230" s="246">
        <v>45156</v>
      </c>
      <c r="K230" s="247"/>
      <c r="L230" s="247"/>
      <c r="M230" s="244"/>
      <c r="N230" s="243" t="s">
        <v>34</v>
      </c>
      <c r="O230" s="248">
        <v>45444</v>
      </c>
      <c r="P230" s="249"/>
      <c r="Q230" s="249"/>
      <c r="R230" s="249"/>
      <c r="S230" s="249"/>
      <c r="T230" s="249"/>
      <c r="U230" s="249"/>
      <c r="V230" s="249"/>
      <c r="W230" s="249"/>
      <c r="X230" s="249"/>
      <c r="Y230" s="249"/>
      <c r="Z230" s="249"/>
      <c r="AA230" s="249"/>
      <c r="AB230" s="249"/>
      <c r="AC230" s="249"/>
      <c r="AD230" s="249"/>
      <c r="AE230" s="249"/>
      <c r="AF230" s="249"/>
      <c r="AG230" s="249"/>
      <c r="AH230" s="249"/>
      <c r="AI230" s="249"/>
      <c r="AJ230" s="249"/>
      <c r="AK230" s="249"/>
      <c r="AL230" s="249"/>
      <c r="AM230" s="249"/>
      <c r="AN230" s="249"/>
      <c r="AO230" s="249"/>
      <c r="AP230" s="249"/>
      <c r="AQ230" s="249"/>
      <c r="AR230" s="249"/>
      <c r="AS230" s="249"/>
      <c r="AT230" s="249"/>
    </row>
    <row r="231" spans="1:46" ht="17.25" hidden="1" customHeight="1" x14ac:dyDescent="0.3">
      <c r="A231" s="242">
        <v>11</v>
      </c>
      <c r="B231" s="243" t="s">
        <v>48</v>
      </c>
      <c r="C231" s="244" t="s">
        <v>623</v>
      </c>
      <c r="D231" s="244" t="s">
        <v>620</v>
      </c>
      <c r="E231" s="245">
        <v>1</v>
      </c>
      <c r="F231" s="246">
        <v>42962</v>
      </c>
      <c r="G231" s="247" t="s">
        <v>621</v>
      </c>
      <c r="H231" s="244">
        <v>4087189860</v>
      </c>
      <c r="I231" s="247" t="s">
        <v>622</v>
      </c>
      <c r="J231" s="246">
        <v>45156</v>
      </c>
      <c r="K231" s="247"/>
      <c r="L231" s="247"/>
      <c r="M231" s="244"/>
      <c r="N231" s="243" t="s">
        <v>34</v>
      </c>
      <c r="O231" s="248">
        <v>45444</v>
      </c>
      <c r="P231" s="249"/>
      <c r="Q231" s="249"/>
      <c r="R231" s="249"/>
      <c r="S231" s="249"/>
      <c r="T231" s="249"/>
      <c r="U231" s="249"/>
      <c r="V231" s="249"/>
      <c r="W231" s="249"/>
      <c r="X231" s="249"/>
      <c r="Y231" s="249"/>
      <c r="Z231" s="249"/>
      <c r="AA231" s="249"/>
      <c r="AB231" s="249"/>
      <c r="AC231" s="249"/>
      <c r="AD231" s="249"/>
      <c r="AE231" s="249"/>
      <c r="AF231" s="249"/>
      <c r="AG231" s="249"/>
      <c r="AH231" s="249"/>
      <c r="AI231" s="249"/>
      <c r="AJ231" s="249"/>
      <c r="AK231" s="249"/>
      <c r="AL231" s="249"/>
      <c r="AM231" s="249"/>
      <c r="AN231" s="249"/>
      <c r="AO231" s="249"/>
      <c r="AP231" s="249"/>
      <c r="AQ231" s="249"/>
      <c r="AR231" s="249"/>
      <c r="AS231" s="249"/>
      <c r="AT231" s="249"/>
    </row>
    <row r="232" spans="1:46" ht="17.25" hidden="1" customHeight="1" x14ac:dyDescent="0.3">
      <c r="A232" s="242">
        <v>12</v>
      </c>
      <c r="B232" s="243" t="s">
        <v>48</v>
      </c>
      <c r="C232" s="244" t="s">
        <v>624</v>
      </c>
      <c r="D232" s="244" t="s">
        <v>620</v>
      </c>
      <c r="E232" s="245">
        <v>1</v>
      </c>
      <c r="F232" s="246">
        <v>44927</v>
      </c>
      <c r="G232" s="247" t="s">
        <v>625</v>
      </c>
      <c r="H232" s="244">
        <v>5108813622</v>
      </c>
      <c r="I232" s="247" t="s">
        <v>626</v>
      </c>
      <c r="J232" s="246">
        <v>45154</v>
      </c>
      <c r="K232" s="247"/>
      <c r="L232" s="247"/>
      <c r="M232" s="244"/>
      <c r="N232" s="243" t="s">
        <v>34</v>
      </c>
      <c r="O232" s="248">
        <v>45444</v>
      </c>
      <c r="P232" s="249"/>
      <c r="Q232" s="249"/>
      <c r="R232" s="249"/>
      <c r="S232" s="249"/>
      <c r="T232" s="249"/>
      <c r="U232" s="249"/>
      <c r="V232" s="249"/>
      <c r="W232" s="249"/>
      <c r="X232" s="249"/>
      <c r="Y232" s="249"/>
      <c r="Z232" s="249"/>
      <c r="AA232" s="249"/>
      <c r="AB232" s="249"/>
      <c r="AC232" s="249"/>
      <c r="AD232" s="249"/>
      <c r="AE232" s="249"/>
      <c r="AF232" s="249"/>
      <c r="AG232" s="249"/>
      <c r="AH232" s="249"/>
      <c r="AI232" s="249"/>
      <c r="AJ232" s="249"/>
      <c r="AK232" s="249"/>
      <c r="AL232" s="249"/>
      <c r="AM232" s="249"/>
      <c r="AN232" s="249"/>
      <c r="AO232" s="249"/>
      <c r="AP232" s="249"/>
      <c r="AQ232" s="249"/>
      <c r="AR232" s="249"/>
      <c r="AS232" s="249"/>
      <c r="AT232" s="249"/>
    </row>
    <row r="233" spans="1:46" ht="17.25" hidden="1" customHeight="1" x14ac:dyDescent="0.3">
      <c r="A233" s="242">
        <v>13</v>
      </c>
      <c r="B233" s="243" t="s">
        <v>89</v>
      </c>
      <c r="C233" s="244" t="s">
        <v>624</v>
      </c>
      <c r="D233" s="244" t="s">
        <v>620</v>
      </c>
      <c r="E233" s="245">
        <v>1</v>
      </c>
      <c r="F233" s="246">
        <v>44927</v>
      </c>
      <c r="G233" s="247" t="s">
        <v>625</v>
      </c>
      <c r="H233" s="244">
        <v>5108813622</v>
      </c>
      <c r="I233" s="247" t="s">
        <v>626</v>
      </c>
      <c r="J233" s="246">
        <v>45154</v>
      </c>
      <c r="K233" s="247"/>
      <c r="L233" s="247"/>
      <c r="M233" s="244"/>
      <c r="N233" s="243" t="s">
        <v>34</v>
      </c>
      <c r="O233" s="248">
        <v>45444</v>
      </c>
      <c r="P233" s="249"/>
      <c r="Q233" s="249"/>
      <c r="R233" s="249"/>
      <c r="S233" s="249"/>
      <c r="T233" s="249"/>
      <c r="U233" s="249"/>
      <c r="V233" s="249"/>
      <c r="W233" s="249"/>
      <c r="X233" s="249"/>
      <c r="Y233" s="249"/>
      <c r="Z233" s="249"/>
      <c r="AA233" s="249"/>
      <c r="AB233" s="249"/>
      <c r="AC233" s="249"/>
      <c r="AD233" s="249"/>
      <c r="AE233" s="249"/>
      <c r="AF233" s="249"/>
      <c r="AG233" s="249"/>
      <c r="AH233" s="249"/>
      <c r="AI233" s="249"/>
      <c r="AJ233" s="249"/>
      <c r="AK233" s="249"/>
      <c r="AL233" s="249"/>
      <c r="AM233" s="249"/>
      <c r="AN233" s="249"/>
      <c r="AO233" s="249"/>
      <c r="AP233" s="249"/>
      <c r="AQ233" s="249"/>
      <c r="AR233" s="249"/>
      <c r="AS233" s="249"/>
      <c r="AT233" s="249"/>
    </row>
    <row r="234" spans="1:46" ht="17.25" hidden="1" customHeight="1" x14ac:dyDescent="0.3">
      <c r="A234" s="242">
        <v>14</v>
      </c>
      <c r="B234" s="243" t="s">
        <v>48</v>
      </c>
      <c r="C234" s="244" t="s">
        <v>627</v>
      </c>
      <c r="D234" s="244" t="s">
        <v>628</v>
      </c>
      <c r="E234" s="245">
        <v>3</v>
      </c>
      <c r="F234" s="246">
        <v>42125</v>
      </c>
      <c r="G234" s="247" t="s">
        <v>629</v>
      </c>
      <c r="H234" s="244">
        <v>5105795250</v>
      </c>
      <c r="I234" s="247" t="s">
        <v>630</v>
      </c>
      <c r="J234" s="246">
        <v>45156</v>
      </c>
      <c r="K234" s="247"/>
      <c r="L234" s="247"/>
      <c r="M234" s="244"/>
      <c r="N234" s="243" t="s">
        <v>34</v>
      </c>
      <c r="O234" s="248">
        <v>45444</v>
      </c>
      <c r="P234" s="249"/>
      <c r="Q234" s="249"/>
      <c r="R234" s="249"/>
      <c r="S234" s="249"/>
      <c r="T234" s="249"/>
      <c r="U234" s="249"/>
      <c r="V234" s="249"/>
      <c r="W234" s="249"/>
      <c r="X234" s="249"/>
      <c r="Y234" s="249"/>
      <c r="Z234" s="249"/>
      <c r="AA234" s="249"/>
      <c r="AB234" s="249"/>
      <c r="AC234" s="249"/>
      <c r="AD234" s="249"/>
      <c r="AE234" s="249"/>
      <c r="AF234" s="249"/>
      <c r="AG234" s="249"/>
      <c r="AH234" s="249"/>
      <c r="AI234" s="249"/>
      <c r="AJ234" s="249"/>
      <c r="AK234" s="249"/>
      <c r="AL234" s="249"/>
      <c r="AM234" s="249"/>
      <c r="AN234" s="249"/>
      <c r="AO234" s="249"/>
      <c r="AP234" s="249"/>
      <c r="AQ234" s="249"/>
      <c r="AR234" s="249"/>
      <c r="AS234" s="249"/>
      <c r="AT234" s="249"/>
    </row>
    <row r="235" spans="1:46" ht="17.25" hidden="1" customHeight="1" x14ac:dyDescent="0.3">
      <c r="A235" s="242">
        <v>15</v>
      </c>
      <c r="B235" s="243" t="s">
        <v>89</v>
      </c>
      <c r="C235" s="244" t="s">
        <v>627</v>
      </c>
      <c r="D235" s="244" t="s">
        <v>628</v>
      </c>
      <c r="E235" s="245">
        <v>3</v>
      </c>
      <c r="F235" s="246">
        <v>42125</v>
      </c>
      <c r="G235" s="247" t="s">
        <v>629</v>
      </c>
      <c r="H235" s="244">
        <v>5105795250</v>
      </c>
      <c r="I235" s="247" t="s">
        <v>630</v>
      </c>
      <c r="J235" s="246">
        <v>45156</v>
      </c>
      <c r="K235" s="247"/>
      <c r="L235" s="247"/>
      <c r="M235" s="244"/>
      <c r="N235" s="243" t="s">
        <v>34</v>
      </c>
      <c r="O235" s="248">
        <v>45444</v>
      </c>
      <c r="P235" s="249"/>
      <c r="Q235" s="249"/>
      <c r="R235" s="249"/>
      <c r="S235" s="249"/>
      <c r="T235" s="249"/>
      <c r="U235" s="249"/>
      <c r="V235" s="249"/>
      <c r="W235" s="249"/>
      <c r="X235" s="249"/>
      <c r="Y235" s="249"/>
      <c r="Z235" s="249"/>
      <c r="AA235" s="249"/>
      <c r="AB235" s="249"/>
      <c r="AC235" s="249"/>
      <c r="AD235" s="249"/>
      <c r="AE235" s="249"/>
      <c r="AF235" s="249"/>
      <c r="AG235" s="249"/>
      <c r="AH235" s="249"/>
      <c r="AI235" s="249"/>
      <c r="AJ235" s="249"/>
      <c r="AK235" s="249"/>
      <c r="AL235" s="249"/>
      <c r="AM235" s="249"/>
      <c r="AN235" s="249"/>
      <c r="AO235" s="249"/>
      <c r="AP235" s="249"/>
      <c r="AQ235" s="249"/>
      <c r="AR235" s="249"/>
      <c r="AS235" s="249"/>
      <c r="AT235" s="249"/>
    </row>
    <row r="236" spans="1:46" ht="17.25" hidden="1" customHeight="1" x14ac:dyDescent="0.3">
      <c r="A236" s="242">
        <v>16</v>
      </c>
      <c r="B236" s="243" t="s">
        <v>48</v>
      </c>
      <c r="C236" s="250" t="s">
        <v>631</v>
      </c>
      <c r="D236" s="250" t="s">
        <v>632</v>
      </c>
      <c r="E236" s="242">
        <v>3</v>
      </c>
      <c r="F236" s="251">
        <v>42162</v>
      </c>
      <c r="G236" s="252" t="s">
        <v>633</v>
      </c>
      <c r="H236" s="250">
        <v>4087992378</v>
      </c>
      <c r="I236" s="252" t="s">
        <v>634</v>
      </c>
      <c r="J236" s="251">
        <v>45383</v>
      </c>
      <c r="K236" s="252"/>
      <c r="L236" s="252"/>
      <c r="M236" s="250"/>
      <c r="N236" s="243" t="s">
        <v>34</v>
      </c>
      <c r="O236" s="248">
        <v>45444</v>
      </c>
      <c r="P236" s="249"/>
      <c r="Q236" s="249"/>
      <c r="R236" s="249"/>
      <c r="S236" s="249"/>
      <c r="T236" s="249"/>
      <c r="U236" s="249"/>
      <c r="V236" s="249"/>
      <c r="W236" s="249"/>
      <c r="X236" s="249"/>
      <c r="Y236" s="249"/>
      <c r="Z236" s="249"/>
      <c r="AA236" s="249"/>
      <c r="AB236" s="249"/>
      <c r="AC236" s="249"/>
      <c r="AD236" s="249"/>
      <c r="AE236" s="249"/>
      <c r="AF236" s="249"/>
      <c r="AG236" s="249"/>
      <c r="AH236" s="249"/>
      <c r="AI236" s="249"/>
      <c r="AJ236" s="249"/>
      <c r="AK236" s="249"/>
      <c r="AL236" s="249"/>
      <c r="AM236" s="249"/>
      <c r="AN236" s="249"/>
      <c r="AO236" s="249"/>
      <c r="AP236" s="249"/>
      <c r="AQ236" s="249"/>
      <c r="AR236" s="249"/>
      <c r="AS236" s="249"/>
      <c r="AT236" s="249"/>
    </row>
    <row r="237" spans="1:46" ht="17.25" hidden="1" customHeight="1" x14ac:dyDescent="0.3">
      <c r="A237" s="242">
        <v>17</v>
      </c>
      <c r="B237" s="243" t="s">
        <v>89</v>
      </c>
      <c r="C237" s="250" t="s">
        <v>631</v>
      </c>
      <c r="D237" s="250" t="s">
        <v>632</v>
      </c>
      <c r="E237" s="242">
        <v>3</v>
      </c>
      <c r="F237" s="251">
        <v>42162</v>
      </c>
      <c r="G237" s="252" t="s">
        <v>633</v>
      </c>
      <c r="H237" s="250">
        <v>4087992378</v>
      </c>
      <c r="I237" s="252" t="s">
        <v>634</v>
      </c>
      <c r="J237" s="251">
        <v>45383</v>
      </c>
      <c r="K237" s="252"/>
      <c r="L237" s="252"/>
      <c r="M237" s="250"/>
      <c r="N237" s="243" t="s">
        <v>34</v>
      </c>
      <c r="O237" s="248">
        <v>45444</v>
      </c>
      <c r="P237" s="249"/>
      <c r="Q237" s="249"/>
      <c r="R237" s="249"/>
      <c r="S237" s="249"/>
      <c r="T237" s="249"/>
      <c r="U237" s="249"/>
      <c r="V237" s="249"/>
      <c r="W237" s="249"/>
      <c r="X237" s="249"/>
      <c r="Y237" s="249"/>
      <c r="Z237" s="249"/>
      <c r="AA237" s="249"/>
      <c r="AB237" s="249"/>
      <c r="AC237" s="249"/>
      <c r="AD237" s="249"/>
      <c r="AE237" s="249"/>
      <c r="AF237" s="249"/>
      <c r="AG237" s="249"/>
      <c r="AH237" s="249"/>
      <c r="AI237" s="249"/>
      <c r="AJ237" s="249"/>
      <c r="AK237" s="249"/>
      <c r="AL237" s="249"/>
      <c r="AM237" s="249"/>
      <c r="AN237" s="249"/>
      <c r="AO237" s="249"/>
      <c r="AP237" s="249"/>
      <c r="AQ237" s="249"/>
      <c r="AR237" s="249"/>
      <c r="AS237" s="249"/>
      <c r="AT237" s="249"/>
    </row>
    <row r="238" spans="1:46" ht="17.25" hidden="1" customHeight="1" x14ac:dyDescent="0.3">
      <c r="A238" s="242">
        <v>18</v>
      </c>
      <c r="B238" s="243" t="s">
        <v>48</v>
      </c>
      <c r="C238" s="244" t="s">
        <v>635</v>
      </c>
      <c r="D238" s="244" t="s">
        <v>636</v>
      </c>
      <c r="E238" s="245" t="s">
        <v>183</v>
      </c>
      <c r="F238" s="246">
        <v>43210</v>
      </c>
      <c r="G238" s="247" t="s">
        <v>637</v>
      </c>
      <c r="H238" s="244">
        <v>4089133406</v>
      </c>
      <c r="I238" s="247" t="s">
        <v>638</v>
      </c>
      <c r="J238" s="246">
        <v>45154</v>
      </c>
      <c r="K238" s="247"/>
      <c r="L238" s="247"/>
      <c r="M238" s="244"/>
      <c r="N238" s="243" t="s">
        <v>34</v>
      </c>
      <c r="O238" s="248">
        <v>45444</v>
      </c>
      <c r="P238" s="249"/>
      <c r="Q238" s="249"/>
      <c r="R238" s="249"/>
      <c r="S238" s="249"/>
      <c r="T238" s="249"/>
      <c r="U238" s="249"/>
      <c r="V238" s="249"/>
      <c r="W238" s="249"/>
      <c r="X238" s="249"/>
      <c r="Y238" s="249"/>
      <c r="Z238" s="249"/>
      <c r="AA238" s="249"/>
      <c r="AB238" s="249"/>
      <c r="AC238" s="249"/>
      <c r="AD238" s="249"/>
      <c r="AE238" s="249"/>
      <c r="AF238" s="249"/>
      <c r="AG238" s="249"/>
      <c r="AH238" s="249"/>
      <c r="AI238" s="249"/>
      <c r="AJ238" s="249"/>
      <c r="AK238" s="249"/>
      <c r="AL238" s="249"/>
      <c r="AM238" s="249"/>
      <c r="AN238" s="249"/>
      <c r="AO238" s="249"/>
      <c r="AP238" s="249"/>
      <c r="AQ238" s="249"/>
      <c r="AR238" s="249"/>
      <c r="AS238" s="249"/>
      <c r="AT238" s="249"/>
    </row>
    <row r="239" spans="1:46" ht="17.25" hidden="1" customHeight="1" x14ac:dyDescent="0.3">
      <c r="A239" s="242">
        <v>19</v>
      </c>
      <c r="B239" s="243" t="s">
        <v>89</v>
      </c>
      <c r="C239" s="244" t="s">
        <v>635</v>
      </c>
      <c r="D239" s="244" t="s">
        <v>636</v>
      </c>
      <c r="E239" s="245" t="s">
        <v>183</v>
      </c>
      <c r="F239" s="246">
        <v>43210</v>
      </c>
      <c r="G239" s="247" t="s">
        <v>637</v>
      </c>
      <c r="H239" s="244">
        <v>4089133406</v>
      </c>
      <c r="I239" s="247" t="s">
        <v>638</v>
      </c>
      <c r="J239" s="246">
        <v>45154</v>
      </c>
      <c r="K239" s="247"/>
      <c r="L239" s="247"/>
      <c r="M239" s="244"/>
      <c r="N239" s="243" t="s">
        <v>34</v>
      </c>
      <c r="O239" s="248">
        <v>45444</v>
      </c>
      <c r="P239" s="249"/>
      <c r="Q239" s="249"/>
      <c r="R239" s="249"/>
      <c r="S239" s="249"/>
      <c r="T239" s="249"/>
      <c r="U239" s="249"/>
      <c r="V239" s="249"/>
      <c r="W239" s="249"/>
      <c r="X239" s="249"/>
      <c r="Y239" s="249"/>
      <c r="Z239" s="249"/>
      <c r="AA239" s="249"/>
      <c r="AB239" s="249"/>
      <c r="AC239" s="249"/>
      <c r="AD239" s="249"/>
      <c r="AE239" s="249"/>
      <c r="AF239" s="249"/>
      <c r="AG239" s="249"/>
      <c r="AH239" s="249"/>
      <c r="AI239" s="249"/>
      <c r="AJ239" s="249"/>
      <c r="AK239" s="249"/>
      <c r="AL239" s="249"/>
      <c r="AM239" s="249"/>
      <c r="AN239" s="249"/>
      <c r="AO239" s="249"/>
      <c r="AP239" s="249"/>
      <c r="AQ239" s="249"/>
      <c r="AR239" s="249"/>
      <c r="AS239" s="249"/>
      <c r="AT239" s="249"/>
    </row>
    <row r="240" spans="1:46" ht="17.25" hidden="1" customHeight="1" x14ac:dyDescent="0.3">
      <c r="A240" s="242">
        <v>20</v>
      </c>
      <c r="B240" s="243" t="s">
        <v>48</v>
      </c>
      <c r="C240" s="244" t="s">
        <v>639</v>
      </c>
      <c r="D240" s="244" t="s">
        <v>640</v>
      </c>
      <c r="E240" s="245">
        <v>1</v>
      </c>
      <c r="F240" s="246">
        <v>42828</v>
      </c>
      <c r="G240" s="247" t="s">
        <v>641</v>
      </c>
      <c r="H240" s="244">
        <v>5109196544</v>
      </c>
      <c r="I240" s="247" t="s">
        <v>642</v>
      </c>
      <c r="J240" s="246">
        <v>45159</v>
      </c>
      <c r="K240" s="247"/>
      <c r="L240" s="247"/>
      <c r="M240" s="244"/>
      <c r="N240" s="243" t="s">
        <v>34</v>
      </c>
      <c r="O240" s="248">
        <v>45444</v>
      </c>
      <c r="P240" s="249"/>
      <c r="Q240" s="249"/>
      <c r="R240" s="249"/>
      <c r="S240" s="249"/>
      <c r="T240" s="249"/>
      <c r="U240" s="249"/>
      <c r="V240" s="249"/>
      <c r="W240" s="249"/>
      <c r="X240" s="249"/>
      <c r="Y240" s="249"/>
      <c r="Z240" s="249"/>
      <c r="AA240" s="249"/>
      <c r="AB240" s="249"/>
      <c r="AC240" s="249"/>
      <c r="AD240" s="249"/>
      <c r="AE240" s="249"/>
      <c r="AF240" s="249"/>
      <c r="AG240" s="249"/>
      <c r="AH240" s="249"/>
      <c r="AI240" s="249"/>
      <c r="AJ240" s="249"/>
      <c r="AK240" s="249"/>
      <c r="AL240" s="249"/>
      <c r="AM240" s="249"/>
      <c r="AN240" s="249"/>
      <c r="AO240" s="249"/>
      <c r="AP240" s="249"/>
      <c r="AQ240" s="249"/>
      <c r="AR240" s="249"/>
      <c r="AS240" s="249"/>
      <c r="AT240" s="249"/>
    </row>
    <row r="241" spans="1:46" ht="17.25" hidden="1" customHeight="1" x14ac:dyDescent="0.3">
      <c r="A241" s="242">
        <v>21</v>
      </c>
      <c r="B241" s="243" t="s">
        <v>89</v>
      </c>
      <c r="C241" s="244" t="s">
        <v>643</v>
      </c>
      <c r="D241" s="244" t="s">
        <v>640</v>
      </c>
      <c r="E241" s="245">
        <v>1</v>
      </c>
      <c r="F241" s="246">
        <v>42828</v>
      </c>
      <c r="G241" s="247" t="s">
        <v>641</v>
      </c>
      <c r="H241" s="244">
        <v>5109196544</v>
      </c>
      <c r="I241" s="247" t="s">
        <v>642</v>
      </c>
      <c r="J241" s="246">
        <v>45159</v>
      </c>
      <c r="K241" s="247"/>
      <c r="L241" s="247"/>
      <c r="M241" s="244"/>
      <c r="N241" s="243" t="s">
        <v>34</v>
      </c>
      <c r="O241" s="248">
        <v>45444</v>
      </c>
      <c r="P241" s="249"/>
      <c r="Q241" s="249"/>
      <c r="R241" s="249"/>
      <c r="S241" s="249"/>
      <c r="T241" s="249"/>
      <c r="U241" s="249"/>
      <c r="V241" s="249"/>
      <c r="W241" s="249"/>
      <c r="X241" s="249"/>
      <c r="Y241" s="249"/>
      <c r="Z241" s="249"/>
      <c r="AA241" s="249"/>
      <c r="AB241" s="249"/>
      <c r="AC241" s="249"/>
      <c r="AD241" s="249"/>
      <c r="AE241" s="249"/>
      <c r="AF241" s="249"/>
      <c r="AG241" s="249"/>
      <c r="AH241" s="249"/>
      <c r="AI241" s="249"/>
      <c r="AJ241" s="249"/>
      <c r="AK241" s="249"/>
      <c r="AL241" s="249"/>
      <c r="AM241" s="249"/>
      <c r="AN241" s="249"/>
      <c r="AO241" s="249"/>
      <c r="AP241" s="249"/>
      <c r="AQ241" s="249"/>
      <c r="AR241" s="249"/>
      <c r="AS241" s="249"/>
      <c r="AT241" s="249"/>
    </row>
    <row r="242" spans="1:46" ht="17.25" hidden="1" customHeight="1" x14ac:dyDescent="0.3">
      <c r="A242" s="232">
        <v>22</v>
      </c>
      <c r="B242" s="233" t="s">
        <v>48</v>
      </c>
      <c r="C242" s="234" t="s">
        <v>591</v>
      </c>
      <c r="D242" s="234" t="s">
        <v>592</v>
      </c>
      <c r="E242" s="232">
        <v>3</v>
      </c>
      <c r="F242" s="235">
        <v>42124</v>
      </c>
      <c r="G242" s="236" t="s">
        <v>593</v>
      </c>
      <c r="H242" s="234">
        <v>4085076346</v>
      </c>
      <c r="I242" s="236" t="s">
        <v>594</v>
      </c>
      <c r="J242" s="235">
        <v>45293</v>
      </c>
      <c r="K242" s="305"/>
      <c r="L242" s="305"/>
      <c r="M242" s="302" t="s">
        <v>619</v>
      </c>
      <c r="N242" s="233" t="s">
        <v>34</v>
      </c>
      <c r="O242" s="237">
        <v>45444</v>
      </c>
      <c r="P242" s="224"/>
      <c r="Q242" s="224"/>
      <c r="R242" s="224"/>
      <c r="S242" s="224"/>
      <c r="T242" s="224"/>
      <c r="U242" s="224"/>
      <c r="V242" s="224"/>
      <c r="W242" s="224"/>
      <c r="X242" s="224"/>
      <c r="Y242" s="224"/>
      <c r="Z242" s="224"/>
      <c r="AA242" s="224"/>
      <c r="AB242" s="224"/>
      <c r="AC242" s="224"/>
      <c r="AD242" s="224"/>
      <c r="AE242" s="224"/>
      <c r="AF242" s="224"/>
      <c r="AG242" s="224"/>
      <c r="AH242" s="224"/>
      <c r="AI242" s="224"/>
      <c r="AJ242" s="224"/>
      <c r="AK242" s="224"/>
      <c r="AL242" s="224"/>
      <c r="AM242" s="224"/>
      <c r="AN242" s="224"/>
      <c r="AO242" s="224"/>
      <c r="AP242" s="224"/>
      <c r="AQ242" s="224"/>
      <c r="AR242" s="224"/>
      <c r="AS242" s="224"/>
      <c r="AT242" s="224"/>
    </row>
    <row r="243" spans="1:46" ht="16.5" hidden="1" customHeight="1" x14ac:dyDescent="0.3">
      <c r="A243" s="242">
        <v>23</v>
      </c>
      <c r="B243" s="243" t="s">
        <v>48</v>
      </c>
      <c r="C243" s="244" t="s">
        <v>644</v>
      </c>
      <c r="D243" s="244" t="s">
        <v>645</v>
      </c>
      <c r="E243" s="245">
        <v>2</v>
      </c>
      <c r="F243" s="246">
        <v>42534</v>
      </c>
      <c r="G243" s="247" t="s">
        <v>646</v>
      </c>
      <c r="H243" s="244">
        <v>6188035803</v>
      </c>
      <c r="I243" s="247" t="s">
        <v>647</v>
      </c>
      <c r="J243" s="246">
        <v>45161</v>
      </c>
      <c r="K243" s="247"/>
      <c r="L243" s="247"/>
      <c r="M243" s="244"/>
      <c r="N243" s="243" t="s">
        <v>34</v>
      </c>
      <c r="O243" s="248">
        <v>45444</v>
      </c>
      <c r="P243" s="249"/>
      <c r="Q243" s="249"/>
      <c r="R243" s="249"/>
      <c r="S243" s="249"/>
      <c r="T243" s="249"/>
      <c r="U243" s="249"/>
      <c r="V243" s="249"/>
      <c r="W243" s="249"/>
      <c r="X243" s="249"/>
      <c r="Y243" s="249"/>
      <c r="Z243" s="249"/>
      <c r="AA243" s="249"/>
      <c r="AB243" s="249"/>
      <c r="AC243" s="249"/>
      <c r="AD243" s="249"/>
      <c r="AE243" s="249"/>
      <c r="AF243" s="249"/>
      <c r="AG243" s="249"/>
      <c r="AH243" s="249"/>
      <c r="AI243" s="249"/>
      <c r="AJ243" s="249"/>
      <c r="AK243" s="249"/>
      <c r="AL243" s="249"/>
      <c r="AM243" s="249"/>
      <c r="AN243" s="249"/>
      <c r="AO243" s="249"/>
      <c r="AP243" s="249"/>
      <c r="AQ243" s="249"/>
      <c r="AR243" s="249"/>
      <c r="AS243" s="249"/>
      <c r="AT243" s="249"/>
    </row>
    <row r="244" spans="1:46" ht="17.25" hidden="1" customHeight="1" x14ac:dyDescent="0.3">
      <c r="A244" s="242">
        <v>24</v>
      </c>
      <c r="B244" s="243" t="s">
        <v>89</v>
      </c>
      <c r="C244" s="244" t="s">
        <v>644</v>
      </c>
      <c r="D244" s="244" t="s">
        <v>645</v>
      </c>
      <c r="E244" s="245">
        <v>2</v>
      </c>
      <c r="F244" s="246">
        <v>42534</v>
      </c>
      <c r="G244" s="247" t="s">
        <v>646</v>
      </c>
      <c r="H244" s="244">
        <v>6188035803</v>
      </c>
      <c r="I244" s="247" t="s">
        <v>647</v>
      </c>
      <c r="J244" s="246">
        <v>45161</v>
      </c>
      <c r="K244" s="247"/>
      <c r="L244" s="247"/>
      <c r="M244" s="244"/>
      <c r="N244" s="243" t="s">
        <v>34</v>
      </c>
      <c r="O244" s="248">
        <v>45444</v>
      </c>
      <c r="P244" s="249"/>
      <c r="Q244" s="249"/>
      <c r="R244" s="249"/>
      <c r="S244" s="249"/>
      <c r="T244" s="249"/>
      <c r="U244" s="249"/>
      <c r="V244" s="249"/>
      <c r="W244" s="249"/>
      <c r="X244" s="249"/>
      <c r="Y244" s="249"/>
      <c r="Z244" s="249"/>
      <c r="AA244" s="249"/>
      <c r="AB244" s="249"/>
      <c r="AC244" s="249"/>
      <c r="AD244" s="249"/>
      <c r="AE244" s="249"/>
      <c r="AF244" s="249"/>
      <c r="AG244" s="249"/>
      <c r="AH244" s="249"/>
      <c r="AI244" s="249"/>
      <c r="AJ244" s="249"/>
      <c r="AK244" s="249"/>
      <c r="AL244" s="249"/>
      <c r="AM244" s="249"/>
      <c r="AN244" s="249"/>
      <c r="AO244" s="249"/>
      <c r="AP244" s="249"/>
      <c r="AQ244" s="249"/>
      <c r="AR244" s="249"/>
      <c r="AS244" s="249"/>
      <c r="AT244" s="249"/>
    </row>
    <row r="245" spans="1:46" ht="17.25" hidden="1" customHeight="1" x14ac:dyDescent="0.3">
      <c r="A245" s="242">
        <v>25</v>
      </c>
      <c r="B245" s="243" t="s">
        <v>89</v>
      </c>
      <c r="C245" s="250" t="s">
        <v>648</v>
      </c>
      <c r="D245" s="250" t="s">
        <v>649</v>
      </c>
      <c r="E245" s="242">
        <v>5</v>
      </c>
      <c r="F245" s="251">
        <v>41363</v>
      </c>
      <c r="G245" s="247" t="s">
        <v>650</v>
      </c>
      <c r="H245" s="247">
        <v>4082064921</v>
      </c>
      <c r="I245" s="247" t="s">
        <v>651</v>
      </c>
      <c r="J245" s="251">
        <v>45352</v>
      </c>
      <c r="K245" s="252"/>
      <c r="L245" s="252"/>
      <c r="M245" s="250"/>
      <c r="N245" s="243" t="s">
        <v>34</v>
      </c>
      <c r="O245" s="248">
        <v>45444</v>
      </c>
      <c r="P245" s="249"/>
      <c r="Q245" s="249"/>
      <c r="R245" s="249"/>
      <c r="S245" s="249"/>
      <c r="T245" s="249"/>
      <c r="U245" s="249"/>
      <c r="V245" s="249"/>
      <c r="W245" s="249"/>
      <c r="X245" s="249"/>
      <c r="Y245" s="249"/>
      <c r="Z245" s="249"/>
      <c r="AA245" s="249"/>
      <c r="AB245" s="249"/>
      <c r="AC245" s="249"/>
      <c r="AD245" s="249"/>
      <c r="AE245" s="249"/>
      <c r="AF245" s="249"/>
      <c r="AG245" s="249"/>
      <c r="AH245" s="249"/>
      <c r="AI245" s="249"/>
      <c r="AJ245" s="249"/>
      <c r="AK245" s="249"/>
      <c r="AL245" s="249"/>
      <c r="AM245" s="249"/>
      <c r="AN245" s="249"/>
      <c r="AO245" s="249"/>
      <c r="AP245" s="249"/>
      <c r="AQ245" s="249"/>
      <c r="AR245" s="249"/>
      <c r="AS245" s="249"/>
      <c r="AT245" s="249"/>
    </row>
    <row r="246" spans="1:46" ht="17.25" hidden="1" customHeight="1" x14ac:dyDescent="0.3">
      <c r="A246" s="242">
        <v>26</v>
      </c>
      <c r="B246" s="243" t="s">
        <v>48</v>
      </c>
      <c r="C246" s="244" t="s">
        <v>652</v>
      </c>
      <c r="D246" s="244" t="s">
        <v>653</v>
      </c>
      <c r="E246" s="245">
        <v>1</v>
      </c>
      <c r="F246" s="246">
        <v>42820</v>
      </c>
      <c r="G246" s="247" t="s">
        <v>654</v>
      </c>
      <c r="H246" s="244">
        <v>6692526762</v>
      </c>
      <c r="I246" s="247" t="s">
        <v>655</v>
      </c>
      <c r="J246" s="246">
        <v>45159</v>
      </c>
      <c r="K246" s="247"/>
      <c r="L246" s="247"/>
      <c r="M246" s="244"/>
      <c r="N246" s="243" t="s">
        <v>34</v>
      </c>
      <c r="O246" s="248">
        <v>45444</v>
      </c>
      <c r="P246" s="249"/>
      <c r="Q246" s="249"/>
      <c r="R246" s="249"/>
      <c r="S246" s="249"/>
      <c r="T246" s="249"/>
      <c r="U246" s="249"/>
      <c r="V246" s="249"/>
      <c r="W246" s="249"/>
      <c r="X246" s="249"/>
      <c r="Y246" s="249"/>
      <c r="Z246" s="249"/>
      <c r="AA246" s="249"/>
      <c r="AB246" s="249"/>
      <c r="AC246" s="249"/>
      <c r="AD246" s="249"/>
      <c r="AE246" s="249"/>
      <c r="AF246" s="249"/>
      <c r="AG246" s="249"/>
      <c r="AH246" s="249"/>
      <c r="AI246" s="249"/>
      <c r="AJ246" s="249"/>
      <c r="AK246" s="249"/>
      <c r="AL246" s="249"/>
      <c r="AM246" s="249"/>
      <c r="AN246" s="249"/>
      <c r="AO246" s="249"/>
      <c r="AP246" s="249"/>
      <c r="AQ246" s="249"/>
      <c r="AR246" s="249"/>
      <c r="AS246" s="249"/>
      <c r="AT246" s="249"/>
    </row>
    <row r="247" spans="1:46" ht="17.25" hidden="1" customHeight="1" x14ac:dyDescent="0.3">
      <c r="A247" s="242">
        <v>27</v>
      </c>
      <c r="B247" s="243" t="s">
        <v>89</v>
      </c>
      <c r="C247" s="244" t="s">
        <v>652</v>
      </c>
      <c r="D247" s="244" t="s">
        <v>653</v>
      </c>
      <c r="E247" s="245">
        <v>1</v>
      </c>
      <c r="F247" s="246">
        <v>42820</v>
      </c>
      <c r="G247" s="247" t="s">
        <v>654</v>
      </c>
      <c r="H247" s="244">
        <v>6692526762</v>
      </c>
      <c r="I247" s="247" t="s">
        <v>655</v>
      </c>
      <c r="J247" s="246">
        <v>45159</v>
      </c>
      <c r="K247" s="247"/>
      <c r="L247" s="247"/>
      <c r="M247" s="244"/>
      <c r="N247" s="243" t="s">
        <v>34</v>
      </c>
      <c r="O247" s="248">
        <v>45444</v>
      </c>
      <c r="P247" s="249"/>
      <c r="Q247" s="249"/>
      <c r="R247" s="249"/>
      <c r="S247" s="249"/>
      <c r="T247" s="249"/>
      <c r="U247" s="249"/>
      <c r="V247" s="249"/>
      <c r="W247" s="249"/>
      <c r="X247" s="249"/>
      <c r="Y247" s="249"/>
      <c r="Z247" s="249"/>
      <c r="AA247" s="249"/>
      <c r="AB247" s="249"/>
      <c r="AC247" s="249"/>
      <c r="AD247" s="249"/>
      <c r="AE247" s="249"/>
      <c r="AF247" s="249"/>
      <c r="AG247" s="249"/>
      <c r="AH247" s="249"/>
      <c r="AI247" s="249"/>
      <c r="AJ247" s="249"/>
      <c r="AK247" s="249"/>
      <c r="AL247" s="249"/>
      <c r="AM247" s="249"/>
      <c r="AN247" s="249"/>
      <c r="AO247" s="249"/>
      <c r="AP247" s="249"/>
      <c r="AQ247" s="249"/>
      <c r="AR247" s="249"/>
      <c r="AS247" s="249"/>
      <c r="AT247" s="249"/>
    </row>
    <row r="248" spans="1:46" ht="17.25" hidden="1" customHeight="1" x14ac:dyDescent="0.3">
      <c r="A248" s="232">
        <v>28</v>
      </c>
      <c r="B248" s="233" t="s">
        <v>89</v>
      </c>
      <c r="C248" s="302" t="s">
        <v>656</v>
      </c>
      <c r="D248" s="302" t="s">
        <v>130</v>
      </c>
      <c r="E248" s="303">
        <v>1</v>
      </c>
      <c r="F248" s="304">
        <v>42822</v>
      </c>
      <c r="G248" s="305" t="s">
        <v>657</v>
      </c>
      <c r="H248" s="302">
        <v>4087591928</v>
      </c>
      <c r="I248" s="305" t="s">
        <v>658</v>
      </c>
      <c r="J248" s="304">
        <v>45246</v>
      </c>
      <c r="K248" s="305"/>
      <c r="L248" s="305"/>
      <c r="M248" s="302" t="s">
        <v>659</v>
      </c>
      <c r="N248" s="233" t="s">
        <v>34</v>
      </c>
      <c r="O248" s="237">
        <v>45444</v>
      </c>
      <c r="P248" s="224"/>
      <c r="Q248" s="224"/>
      <c r="R248" s="224"/>
      <c r="S248" s="224"/>
      <c r="T248" s="224"/>
      <c r="U248" s="224"/>
      <c r="V248" s="224"/>
      <c r="W248" s="224"/>
      <c r="X248" s="224"/>
      <c r="Y248" s="224"/>
      <c r="Z248" s="224"/>
      <c r="AA248" s="224"/>
      <c r="AB248" s="224"/>
      <c r="AC248" s="224"/>
      <c r="AD248" s="224"/>
      <c r="AE248" s="224"/>
      <c r="AF248" s="224"/>
      <c r="AG248" s="224"/>
      <c r="AH248" s="224"/>
      <c r="AI248" s="224"/>
      <c r="AJ248" s="224"/>
      <c r="AK248" s="224"/>
      <c r="AL248" s="224"/>
      <c r="AM248" s="224"/>
      <c r="AN248" s="224"/>
      <c r="AO248" s="224"/>
      <c r="AP248" s="224"/>
      <c r="AQ248" s="224"/>
      <c r="AR248" s="224"/>
      <c r="AS248" s="224"/>
      <c r="AT248" s="224"/>
    </row>
    <row r="249" spans="1:46" ht="17.25" hidden="1" customHeight="1" x14ac:dyDescent="0.3">
      <c r="A249" s="242">
        <v>29</v>
      </c>
      <c r="B249" s="243" t="s">
        <v>48</v>
      </c>
      <c r="C249" s="250" t="s">
        <v>282</v>
      </c>
      <c r="D249" s="250" t="s">
        <v>660</v>
      </c>
      <c r="E249" s="242">
        <v>2</v>
      </c>
      <c r="F249" s="251">
        <v>42511</v>
      </c>
      <c r="G249" s="252" t="s">
        <v>661</v>
      </c>
      <c r="H249" s="250">
        <v>5103336666</v>
      </c>
      <c r="I249" s="252" t="s">
        <v>662</v>
      </c>
      <c r="J249" s="250" t="s">
        <v>663</v>
      </c>
      <c r="K249" s="252"/>
      <c r="L249" s="252"/>
      <c r="M249" s="250" t="s">
        <v>619</v>
      </c>
      <c r="N249" s="243" t="s">
        <v>34</v>
      </c>
      <c r="O249" s="248">
        <v>45444</v>
      </c>
      <c r="P249" s="249"/>
      <c r="Q249" s="249"/>
      <c r="R249" s="249"/>
      <c r="S249" s="249"/>
      <c r="T249" s="249"/>
      <c r="U249" s="249"/>
      <c r="V249" s="249"/>
      <c r="W249" s="249"/>
      <c r="X249" s="249"/>
      <c r="Y249" s="249"/>
      <c r="Z249" s="249"/>
      <c r="AA249" s="249"/>
      <c r="AB249" s="249"/>
      <c r="AC249" s="249"/>
      <c r="AD249" s="249"/>
      <c r="AE249" s="249"/>
      <c r="AF249" s="249"/>
      <c r="AG249" s="249"/>
      <c r="AH249" s="249"/>
      <c r="AI249" s="249"/>
      <c r="AJ249" s="249"/>
      <c r="AK249" s="249"/>
      <c r="AL249" s="249"/>
      <c r="AM249" s="249"/>
      <c r="AN249" s="249"/>
      <c r="AO249" s="249"/>
      <c r="AP249" s="249"/>
      <c r="AQ249" s="249"/>
      <c r="AR249" s="249"/>
      <c r="AS249" s="249"/>
      <c r="AT249" s="249"/>
    </row>
    <row r="250" spans="1:46" ht="17.25" hidden="1" customHeight="1" x14ac:dyDescent="0.3">
      <c r="A250" s="242">
        <v>30</v>
      </c>
      <c r="B250" s="243" t="s">
        <v>48</v>
      </c>
      <c r="C250" s="250" t="s">
        <v>504</v>
      </c>
      <c r="D250" s="250" t="s">
        <v>505</v>
      </c>
      <c r="E250" s="242">
        <v>2</v>
      </c>
      <c r="F250" s="251">
        <v>42388</v>
      </c>
      <c r="G250" s="247" t="s">
        <v>664</v>
      </c>
      <c r="H250" s="247">
        <v>4087977701</v>
      </c>
      <c r="I250" s="247" t="s">
        <v>507</v>
      </c>
      <c r="J250" s="251">
        <v>45323</v>
      </c>
      <c r="K250" s="252"/>
      <c r="L250" s="252"/>
      <c r="M250" s="250" t="s">
        <v>665</v>
      </c>
      <c r="N250" s="243" t="s">
        <v>34</v>
      </c>
      <c r="O250" s="248">
        <v>45444</v>
      </c>
      <c r="P250" s="249"/>
      <c r="Q250" s="249"/>
      <c r="R250" s="249"/>
      <c r="S250" s="249"/>
      <c r="T250" s="249"/>
      <c r="U250" s="249"/>
      <c r="V250" s="249"/>
      <c r="W250" s="249"/>
      <c r="X250" s="249"/>
      <c r="Y250" s="249"/>
      <c r="Z250" s="249"/>
      <c r="AA250" s="249"/>
      <c r="AB250" s="249"/>
      <c r="AC250" s="249"/>
      <c r="AD250" s="249"/>
      <c r="AE250" s="249"/>
      <c r="AF250" s="249"/>
      <c r="AG250" s="249"/>
      <c r="AH250" s="249"/>
      <c r="AI250" s="249"/>
      <c r="AJ250" s="249"/>
      <c r="AK250" s="249"/>
      <c r="AL250" s="249"/>
      <c r="AM250" s="249"/>
      <c r="AN250" s="249"/>
      <c r="AO250" s="249"/>
      <c r="AP250" s="249"/>
      <c r="AQ250" s="249"/>
      <c r="AR250" s="249"/>
      <c r="AS250" s="249"/>
      <c r="AT250" s="249"/>
    </row>
    <row r="251" spans="1:46" ht="17.25" hidden="1" customHeight="1" x14ac:dyDescent="0.3">
      <c r="A251" s="242">
        <v>31</v>
      </c>
      <c r="B251" s="307" t="s">
        <v>48</v>
      </c>
      <c r="C251" s="244" t="s">
        <v>150</v>
      </c>
      <c r="D251" s="244" t="s">
        <v>666</v>
      </c>
      <c r="E251" s="245">
        <v>5</v>
      </c>
      <c r="F251" s="246">
        <v>41514</v>
      </c>
      <c r="G251" s="247" t="s">
        <v>667</v>
      </c>
      <c r="H251" s="244">
        <v>5107883613</v>
      </c>
      <c r="I251" s="247" t="s">
        <v>668</v>
      </c>
      <c r="J251" s="246">
        <v>45189</v>
      </c>
      <c r="K251" s="247"/>
      <c r="L251" s="247"/>
      <c r="M251" s="244"/>
      <c r="N251" s="243" t="s">
        <v>34</v>
      </c>
      <c r="O251" s="248">
        <v>45444</v>
      </c>
      <c r="P251" s="249"/>
      <c r="Q251" s="249"/>
      <c r="R251" s="249"/>
      <c r="S251" s="249"/>
      <c r="T251" s="249"/>
      <c r="U251" s="249"/>
      <c r="V251" s="249"/>
      <c r="W251" s="249"/>
      <c r="X251" s="249"/>
      <c r="Y251" s="249"/>
      <c r="Z251" s="249"/>
      <c r="AA251" s="249"/>
      <c r="AB251" s="249"/>
      <c r="AC251" s="249"/>
      <c r="AD251" s="249"/>
      <c r="AE251" s="249"/>
      <c r="AF251" s="249"/>
      <c r="AG251" s="249"/>
      <c r="AH251" s="249"/>
      <c r="AI251" s="249"/>
      <c r="AJ251" s="249"/>
      <c r="AK251" s="249"/>
      <c r="AL251" s="249"/>
      <c r="AM251" s="249"/>
      <c r="AN251" s="249"/>
      <c r="AO251" s="249"/>
      <c r="AP251" s="249"/>
      <c r="AQ251" s="249"/>
      <c r="AR251" s="249"/>
      <c r="AS251" s="249"/>
      <c r="AT251" s="249"/>
    </row>
    <row r="252" spans="1:46" ht="17.25" hidden="1" customHeight="1" x14ac:dyDescent="0.3">
      <c r="A252" s="242">
        <v>32</v>
      </c>
      <c r="B252" s="307" t="s">
        <v>89</v>
      </c>
      <c r="C252" s="244" t="s">
        <v>150</v>
      </c>
      <c r="D252" s="244" t="s">
        <v>666</v>
      </c>
      <c r="E252" s="245">
        <v>5</v>
      </c>
      <c r="F252" s="246">
        <v>41514</v>
      </c>
      <c r="G252" s="247" t="s">
        <v>667</v>
      </c>
      <c r="H252" s="244">
        <v>5107883613</v>
      </c>
      <c r="I252" s="247" t="s">
        <v>668</v>
      </c>
      <c r="J252" s="246">
        <v>45189</v>
      </c>
      <c r="K252" s="247"/>
      <c r="L252" s="247"/>
      <c r="M252" s="244"/>
      <c r="N252" s="243" t="s">
        <v>34</v>
      </c>
      <c r="O252" s="248">
        <v>45444</v>
      </c>
      <c r="P252" s="249"/>
      <c r="Q252" s="249"/>
      <c r="R252" s="249"/>
      <c r="S252" s="249"/>
      <c r="T252" s="249"/>
      <c r="U252" s="249"/>
      <c r="V252" s="249"/>
      <c r="W252" s="249"/>
      <c r="X252" s="249"/>
      <c r="Y252" s="249"/>
      <c r="Z252" s="249"/>
      <c r="AA252" s="249"/>
      <c r="AB252" s="249"/>
      <c r="AC252" s="249"/>
      <c r="AD252" s="249"/>
      <c r="AE252" s="249"/>
      <c r="AF252" s="249"/>
      <c r="AG252" s="249"/>
      <c r="AH252" s="249"/>
      <c r="AI252" s="249"/>
      <c r="AJ252" s="249"/>
      <c r="AK252" s="249"/>
      <c r="AL252" s="249"/>
      <c r="AM252" s="249"/>
      <c r="AN252" s="249"/>
      <c r="AO252" s="249"/>
      <c r="AP252" s="249"/>
      <c r="AQ252" s="249"/>
      <c r="AR252" s="249"/>
      <c r="AS252" s="249"/>
      <c r="AT252" s="249"/>
    </row>
    <row r="253" spans="1:46" ht="17.25" hidden="1" customHeight="1" x14ac:dyDescent="0.3">
      <c r="A253" s="242">
        <v>33</v>
      </c>
      <c r="B253" s="243" t="s">
        <v>48</v>
      </c>
      <c r="C253" s="244" t="s">
        <v>669</v>
      </c>
      <c r="D253" s="244" t="s">
        <v>670</v>
      </c>
      <c r="E253" s="245">
        <v>4</v>
      </c>
      <c r="F253" s="246">
        <v>41619</v>
      </c>
      <c r="G253" s="247" t="s">
        <v>671</v>
      </c>
      <c r="H253" s="244">
        <v>6264658590</v>
      </c>
      <c r="I253" s="247" t="s">
        <v>672</v>
      </c>
      <c r="J253" s="246">
        <v>45154</v>
      </c>
      <c r="K253" s="247"/>
      <c r="L253" s="247"/>
      <c r="M253" s="244"/>
      <c r="N253" s="243" t="s">
        <v>34</v>
      </c>
      <c r="O253" s="248">
        <v>45444</v>
      </c>
      <c r="P253" s="249"/>
      <c r="Q253" s="249"/>
      <c r="R253" s="249"/>
      <c r="S253" s="249"/>
      <c r="T253" s="249"/>
      <c r="U253" s="249"/>
      <c r="V253" s="249"/>
      <c r="W253" s="249"/>
      <c r="X253" s="249"/>
      <c r="Y253" s="249"/>
      <c r="Z253" s="249"/>
      <c r="AA253" s="249"/>
      <c r="AB253" s="249"/>
      <c r="AC253" s="249"/>
      <c r="AD253" s="249"/>
      <c r="AE253" s="249"/>
      <c r="AF253" s="249"/>
      <c r="AG253" s="249"/>
      <c r="AH253" s="249"/>
      <c r="AI253" s="249"/>
      <c r="AJ253" s="249"/>
      <c r="AK253" s="249"/>
      <c r="AL253" s="249"/>
      <c r="AM253" s="249"/>
      <c r="AN253" s="249"/>
      <c r="AO253" s="249"/>
      <c r="AP253" s="249"/>
      <c r="AQ253" s="249"/>
      <c r="AR253" s="249"/>
      <c r="AS253" s="249"/>
      <c r="AT253" s="249"/>
    </row>
    <row r="254" spans="1:46" ht="17.25" hidden="1" customHeight="1" x14ac:dyDescent="0.3">
      <c r="A254" s="242">
        <v>34</v>
      </c>
      <c r="B254" s="243" t="s">
        <v>89</v>
      </c>
      <c r="C254" s="244" t="s">
        <v>669</v>
      </c>
      <c r="D254" s="244" t="s">
        <v>670</v>
      </c>
      <c r="E254" s="245">
        <v>4</v>
      </c>
      <c r="F254" s="246">
        <v>41619</v>
      </c>
      <c r="G254" s="247" t="s">
        <v>671</v>
      </c>
      <c r="H254" s="244">
        <v>6264658590</v>
      </c>
      <c r="I254" s="247" t="s">
        <v>672</v>
      </c>
      <c r="J254" s="246">
        <v>45154</v>
      </c>
      <c r="K254" s="247"/>
      <c r="L254" s="247"/>
      <c r="M254" s="244"/>
      <c r="N254" s="243" t="s">
        <v>34</v>
      </c>
      <c r="O254" s="248">
        <v>45444</v>
      </c>
      <c r="P254" s="249"/>
      <c r="Q254" s="249"/>
      <c r="R254" s="249"/>
      <c r="S254" s="249"/>
      <c r="T254" s="249"/>
      <c r="U254" s="249"/>
      <c r="V254" s="249"/>
      <c r="W254" s="249"/>
      <c r="X254" s="249"/>
      <c r="Y254" s="249"/>
      <c r="Z254" s="249"/>
      <c r="AA254" s="249"/>
      <c r="AB254" s="249"/>
      <c r="AC254" s="249"/>
      <c r="AD254" s="249"/>
      <c r="AE254" s="249"/>
      <c r="AF254" s="249"/>
      <c r="AG254" s="249"/>
      <c r="AH254" s="249"/>
      <c r="AI254" s="249"/>
      <c r="AJ254" s="249"/>
      <c r="AK254" s="249"/>
      <c r="AL254" s="249"/>
      <c r="AM254" s="249"/>
      <c r="AN254" s="249"/>
      <c r="AO254" s="249"/>
      <c r="AP254" s="249"/>
      <c r="AQ254" s="249"/>
      <c r="AR254" s="249"/>
      <c r="AS254" s="249"/>
      <c r="AT254" s="249"/>
    </row>
    <row r="255" spans="1:46" ht="17.25" hidden="1" customHeight="1" x14ac:dyDescent="0.3">
      <c r="A255" s="232">
        <v>35</v>
      </c>
      <c r="B255" s="233" t="s">
        <v>48</v>
      </c>
      <c r="C255" s="302" t="s">
        <v>385</v>
      </c>
      <c r="D255" s="302" t="s">
        <v>673</v>
      </c>
      <c r="E255" s="303">
        <v>1</v>
      </c>
      <c r="F255" s="304">
        <v>42122</v>
      </c>
      <c r="G255" s="305" t="s">
        <v>674</v>
      </c>
      <c r="H255" s="302" t="s">
        <v>675</v>
      </c>
      <c r="I255" s="305" t="s">
        <v>676</v>
      </c>
      <c r="J255" s="304">
        <v>45154</v>
      </c>
      <c r="K255" s="305"/>
      <c r="L255" s="305"/>
      <c r="M255" s="302" t="s">
        <v>619</v>
      </c>
      <c r="N255" s="233" t="s">
        <v>34</v>
      </c>
      <c r="O255" s="237">
        <v>45444</v>
      </c>
      <c r="P255" s="224"/>
      <c r="Q255" s="224"/>
      <c r="R255" s="224"/>
      <c r="S255" s="224"/>
      <c r="T255" s="224"/>
      <c r="U255" s="224"/>
      <c r="V255" s="224"/>
      <c r="W255" s="224"/>
      <c r="X255" s="224"/>
      <c r="Y255" s="224"/>
      <c r="Z255" s="224"/>
      <c r="AA255" s="224"/>
      <c r="AB255" s="224"/>
      <c r="AC255" s="224"/>
      <c r="AD255" s="224"/>
      <c r="AE255" s="224"/>
      <c r="AF255" s="224"/>
      <c r="AG255" s="224"/>
      <c r="AH255" s="224"/>
      <c r="AI255" s="224"/>
      <c r="AJ255" s="224"/>
      <c r="AK255" s="224"/>
      <c r="AL255" s="224"/>
      <c r="AM255" s="224"/>
      <c r="AN255" s="224"/>
      <c r="AO255" s="224"/>
      <c r="AP255" s="224"/>
      <c r="AQ255" s="224"/>
      <c r="AR255" s="224"/>
      <c r="AS255" s="224"/>
      <c r="AT255" s="224"/>
    </row>
    <row r="256" spans="1:46" ht="17.25" hidden="1" customHeight="1" x14ac:dyDescent="0.3">
      <c r="A256" s="232">
        <v>36</v>
      </c>
      <c r="B256" s="233" t="s">
        <v>89</v>
      </c>
      <c r="C256" s="302" t="s">
        <v>385</v>
      </c>
      <c r="D256" s="302" t="s">
        <v>673</v>
      </c>
      <c r="E256" s="303">
        <v>1</v>
      </c>
      <c r="F256" s="304">
        <v>42122</v>
      </c>
      <c r="G256" s="305" t="s">
        <v>674</v>
      </c>
      <c r="H256" s="302" t="s">
        <v>675</v>
      </c>
      <c r="I256" s="305" t="s">
        <v>676</v>
      </c>
      <c r="J256" s="304">
        <v>45154</v>
      </c>
      <c r="K256" s="305"/>
      <c r="L256" s="305"/>
      <c r="M256" s="302" t="s">
        <v>619</v>
      </c>
      <c r="N256" s="233" t="s">
        <v>34</v>
      </c>
      <c r="O256" s="237">
        <v>45444</v>
      </c>
      <c r="P256" s="224"/>
      <c r="Q256" s="224"/>
      <c r="R256" s="224"/>
      <c r="S256" s="224"/>
      <c r="T256" s="224"/>
      <c r="U256" s="224"/>
      <c r="V256" s="224"/>
      <c r="W256" s="224"/>
      <c r="X256" s="224"/>
      <c r="Y256" s="224"/>
      <c r="Z256" s="224"/>
      <c r="AA256" s="224"/>
      <c r="AB256" s="224"/>
      <c r="AC256" s="224"/>
      <c r="AD256" s="224"/>
      <c r="AE256" s="224"/>
      <c r="AF256" s="224"/>
      <c r="AG256" s="224"/>
      <c r="AH256" s="224"/>
      <c r="AI256" s="224"/>
      <c r="AJ256" s="224"/>
      <c r="AK256" s="224"/>
      <c r="AL256" s="224"/>
      <c r="AM256" s="224"/>
      <c r="AN256" s="224"/>
      <c r="AO256" s="224"/>
      <c r="AP256" s="224"/>
      <c r="AQ256" s="224"/>
      <c r="AR256" s="224"/>
      <c r="AS256" s="224"/>
      <c r="AT256" s="224"/>
    </row>
    <row r="257" spans="1:46" ht="17.25" hidden="1" customHeight="1" x14ac:dyDescent="0.3">
      <c r="A257" s="242">
        <v>37</v>
      </c>
      <c r="B257" s="243" t="s">
        <v>48</v>
      </c>
      <c r="C257" s="244" t="s">
        <v>610</v>
      </c>
      <c r="D257" s="244" t="s">
        <v>351</v>
      </c>
      <c r="E257" s="245">
        <v>1</v>
      </c>
      <c r="F257" s="246">
        <v>42954</v>
      </c>
      <c r="G257" s="247" t="s">
        <v>677</v>
      </c>
      <c r="H257" s="244">
        <v>5105656975</v>
      </c>
      <c r="I257" s="247" t="s">
        <v>678</v>
      </c>
      <c r="J257" s="246">
        <v>45159</v>
      </c>
      <c r="K257" s="247"/>
      <c r="L257" s="247"/>
      <c r="M257" s="244" t="s">
        <v>619</v>
      </c>
      <c r="N257" s="243" t="s">
        <v>34</v>
      </c>
      <c r="O257" s="248">
        <v>45444</v>
      </c>
      <c r="P257" s="249"/>
      <c r="Q257" s="249"/>
      <c r="R257" s="249"/>
      <c r="S257" s="249"/>
      <c r="T257" s="249"/>
      <c r="U257" s="249"/>
      <c r="V257" s="249"/>
      <c r="W257" s="249"/>
      <c r="X257" s="249"/>
      <c r="Y257" s="249"/>
      <c r="Z257" s="249"/>
      <c r="AA257" s="249"/>
      <c r="AB257" s="249"/>
      <c r="AC257" s="249"/>
      <c r="AD257" s="249"/>
      <c r="AE257" s="249"/>
      <c r="AF257" s="249"/>
      <c r="AG257" s="249"/>
      <c r="AH257" s="249"/>
      <c r="AI257" s="249"/>
      <c r="AJ257" s="249"/>
      <c r="AK257" s="249"/>
      <c r="AL257" s="249"/>
      <c r="AM257" s="249"/>
      <c r="AN257" s="249"/>
      <c r="AO257" s="249"/>
      <c r="AP257" s="249"/>
      <c r="AQ257" s="249"/>
      <c r="AR257" s="249"/>
      <c r="AS257" s="249"/>
      <c r="AT257" s="249"/>
    </row>
    <row r="258" spans="1:46" ht="17.25" hidden="1" customHeight="1" x14ac:dyDescent="0.3">
      <c r="A258" s="242">
        <v>38</v>
      </c>
      <c r="B258" s="243" t="s">
        <v>89</v>
      </c>
      <c r="C258" s="244" t="s">
        <v>610</v>
      </c>
      <c r="D258" s="244" t="s">
        <v>351</v>
      </c>
      <c r="E258" s="245">
        <v>1</v>
      </c>
      <c r="F258" s="246">
        <v>42954</v>
      </c>
      <c r="G258" s="247" t="s">
        <v>677</v>
      </c>
      <c r="H258" s="244">
        <v>5105656975</v>
      </c>
      <c r="I258" s="247" t="s">
        <v>678</v>
      </c>
      <c r="J258" s="246">
        <v>45159</v>
      </c>
      <c r="K258" s="247"/>
      <c r="L258" s="247"/>
      <c r="M258" s="244" t="s">
        <v>619</v>
      </c>
      <c r="N258" s="243" t="s">
        <v>34</v>
      </c>
      <c r="O258" s="248">
        <v>45444</v>
      </c>
      <c r="P258" s="249"/>
      <c r="Q258" s="249"/>
      <c r="R258" s="249"/>
      <c r="S258" s="249"/>
      <c r="T258" s="249"/>
      <c r="U258" s="249"/>
      <c r="V258" s="249"/>
      <c r="W258" s="249"/>
      <c r="X258" s="249"/>
      <c r="Y258" s="249"/>
      <c r="Z258" s="249"/>
      <c r="AA258" s="249"/>
      <c r="AB258" s="249"/>
      <c r="AC258" s="249"/>
      <c r="AD258" s="249"/>
      <c r="AE258" s="249"/>
      <c r="AF258" s="249"/>
      <c r="AG258" s="249"/>
      <c r="AH258" s="249"/>
      <c r="AI258" s="249"/>
      <c r="AJ258" s="249"/>
      <c r="AK258" s="249"/>
      <c r="AL258" s="249"/>
      <c r="AM258" s="249"/>
      <c r="AN258" s="249"/>
      <c r="AO258" s="249"/>
      <c r="AP258" s="249"/>
      <c r="AQ258" s="249"/>
      <c r="AR258" s="249"/>
      <c r="AS258" s="249"/>
      <c r="AT258" s="249"/>
    </row>
    <row r="259" spans="1:46" ht="17.25" hidden="1" customHeight="1" x14ac:dyDescent="0.3">
      <c r="A259" s="242">
        <v>39</v>
      </c>
      <c r="B259" s="243" t="s">
        <v>48</v>
      </c>
      <c r="C259" s="244" t="s">
        <v>635</v>
      </c>
      <c r="D259" s="244" t="s">
        <v>679</v>
      </c>
      <c r="E259" s="245">
        <v>1</v>
      </c>
      <c r="F259" s="246">
        <v>42810</v>
      </c>
      <c r="G259" s="247" t="s">
        <v>680</v>
      </c>
      <c r="H259" s="244">
        <v>5103742897</v>
      </c>
      <c r="I259" s="247" t="s">
        <v>681</v>
      </c>
      <c r="J259" s="246">
        <v>45154</v>
      </c>
      <c r="K259" s="247"/>
      <c r="L259" s="247"/>
      <c r="M259" s="244"/>
      <c r="N259" s="243" t="s">
        <v>34</v>
      </c>
      <c r="O259" s="248">
        <v>45444</v>
      </c>
      <c r="P259" s="249"/>
      <c r="Q259" s="249"/>
      <c r="R259" s="249"/>
      <c r="S259" s="249"/>
      <c r="T259" s="249"/>
      <c r="U259" s="249"/>
      <c r="V259" s="249"/>
      <c r="W259" s="249"/>
      <c r="X259" s="249"/>
      <c r="Y259" s="249"/>
      <c r="Z259" s="249"/>
      <c r="AA259" s="249"/>
      <c r="AB259" s="249"/>
      <c r="AC259" s="249"/>
      <c r="AD259" s="249"/>
      <c r="AE259" s="249"/>
      <c r="AF259" s="249"/>
      <c r="AG259" s="249"/>
      <c r="AH259" s="249"/>
      <c r="AI259" s="249"/>
      <c r="AJ259" s="249"/>
      <c r="AK259" s="249"/>
      <c r="AL259" s="249"/>
      <c r="AM259" s="249"/>
      <c r="AN259" s="249"/>
      <c r="AO259" s="249"/>
      <c r="AP259" s="249"/>
      <c r="AQ259" s="249"/>
      <c r="AR259" s="249"/>
      <c r="AS259" s="249"/>
      <c r="AT259" s="249"/>
    </row>
    <row r="260" spans="1:46" ht="17.25" hidden="1" customHeight="1" x14ac:dyDescent="0.3">
      <c r="A260" s="242">
        <v>40</v>
      </c>
      <c r="B260" s="243" t="s">
        <v>89</v>
      </c>
      <c r="C260" s="250" t="s">
        <v>635</v>
      </c>
      <c r="D260" s="250" t="s">
        <v>679</v>
      </c>
      <c r="E260" s="242">
        <v>1</v>
      </c>
      <c r="F260" s="251">
        <v>42810</v>
      </c>
      <c r="G260" s="252" t="s">
        <v>680</v>
      </c>
      <c r="H260" s="250">
        <v>5103742897</v>
      </c>
      <c r="I260" s="252" t="s">
        <v>681</v>
      </c>
      <c r="J260" s="251">
        <v>45293</v>
      </c>
      <c r="K260" s="252"/>
      <c r="L260" s="252"/>
      <c r="M260" s="250"/>
      <c r="N260" s="243" t="s">
        <v>34</v>
      </c>
      <c r="O260" s="248">
        <v>45444</v>
      </c>
      <c r="P260" s="249"/>
      <c r="Q260" s="249"/>
      <c r="R260" s="249"/>
      <c r="S260" s="249"/>
      <c r="T260" s="249"/>
      <c r="U260" s="249"/>
      <c r="V260" s="249"/>
      <c r="W260" s="249"/>
      <c r="X260" s="249"/>
      <c r="Y260" s="249"/>
      <c r="Z260" s="249"/>
      <c r="AA260" s="249"/>
      <c r="AB260" s="249"/>
      <c r="AC260" s="249"/>
      <c r="AD260" s="249"/>
      <c r="AE260" s="249"/>
      <c r="AF260" s="249"/>
      <c r="AG260" s="249"/>
      <c r="AH260" s="249"/>
      <c r="AI260" s="249"/>
      <c r="AJ260" s="249"/>
      <c r="AK260" s="249"/>
      <c r="AL260" s="249"/>
      <c r="AM260" s="249"/>
      <c r="AN260" s="249"/>
      <c r="AO260" s="249"/>
      <c r="AP260" s="249"/>
      <c r="AQ260" s="249"/>
      <c r="AR260" s="249"/>
      <c r="AS260" s="249"/>
      <c r="AT260" s="249"/>
    </row>
    <row r="261" spans="1:46" ht="17.25" hidden="1" customHeight="1" x14ac:dyDescent="0.3">
      <c r="A261" s="242">
        <v>41</v>
      </c>
      <c r="B261" s="243" t="s">
        <v>89</v>
      </c>
      <c r="C261" s="244" t="s">
        <v>682</v>
      </c>
      <c r="D261" s="244" t="s">
        <v>683</v>
      </c>
      <c r="E261" s="245">
        <v>7</v>
      </c>
      <c r="F261" s="246">
        <v>40748</v>
      </c>
      <c r="G261" s="247" t="s">
        <v>684</v>
      </c>
      <c r="H261" s="244" t="s">
        <v>685</v>
      </c>
      <c r="I261" s="247" t="s">
        <v>686</v>
      </c>
      <c r="J261" s="246">
        <v>45154</v>
      </c>
      <c r="K261" s="247"/>
      <c r="L261" s="247"/>
      <c r="M261" s="244"/>
      <c r="N261" s="243" t="s">
        <v>34</v>
      </c>
      <c r="O261" s="248">
        <v>45444</v>
      </c>
      <c r="P261" s="249"/>
      <c r="Q261" s="249"/>
      <c r="R261" s="249"/>
      <c r="S261" s="249"/>
      <c r="T261" s="249"/>
      <c r="U261" s="249"/>
      <c r="V261" s="249"/>
      <c r="W261" s="249"/>
      <c r="X261" s="249"/>
      <c r="Y261" s="249"/>
      <c r="Z261" s="249"/>
      <c r="AA261" s="249"/>
      <c r="AB261" s="249"/>
      <c r="AC261" s="249"/>
      <c r="AD261" s="249"/>
      <c r="AE261" s="249"/>
      <c r="AF261" s="249"/>
      <c r="AG261" s="249"/>
      <c r="AH261" s="249"/>
      <c r="AI261" s="249"/>
      <c r="AJ261" s="249"/>
      <c r="AK261" s="249"/>
      <c r="AL261" s="249"/>
      <c r="AM261" s="249"/>
      <c r="AN261" s="249"/>
      <c r="AO261" s="249"/>
      <c r="AP261" s="249"/>
      <c r="AQ261" s="249"/>
      <c r="AR261" s="249"/>
      <c r="AS261" s="249"/>
      <c r="AT261" s="249"/>
    </row>
    <row r="262" spans="1:46" ht="17.25" hidden="1" customHeight="1" x14ac:dyDescent="0.3">
      <c r="A262" s="242">
        <v>42</v>
      </c>
      <c r="B262" s="243" t="s">
        <v>48</v>
      </c>
      <c r="C262" s="244" t="s">
        <v>682</v>
      </c>
      <c r="D262" s="244" t="s">
        <v>687</v>
      </c>
      <c r="E262" s="245">
        <v>7</v>
      </c>
      <c r="F262" s="246">
        <v>40748</v>
      </c>
      <c r="G262" s="247" t="s">
        <v>684</v>
      </c>
      <c r="H262" s="244" t="s">
        <v>685</v>
      </c>
      <c r="I262" s="247" t="s">
        <v>686</v>
      </c>
      <c r="J262" s="246">
        <v>45154</v>
      </c>
      <c r="K262" s="247"/>
      <c r="L262" s="247"/>
      <c r="M262" s="244"/>
      <c r="N262" s="243" t="s">
        <v>34</v>
      </c>
      <c r="O262" s="248">
        <v>45444</v>
      </c>
      <c r="P262" s="249"/>
      <c r="Q262" s="249"/>
      <c r="R262" s="249"/>
      <c r="S262" s="249"/>
      <c r="T262" s="249"/>
      <c r="U262" s="249"/>
      <c r="V262" s="249"/>
      <c r="W262" s="249"/>
      <c r="X262" s="249"/>
      <c r="Y262" s="249"/>
      <c r="Z262" s="249"/>
      <c r="AA262" s="249"/>
      <c r="AB262" s="249"/>
      <c r="AC262" s="249"/>
      <c r="AD262" s="249"/>
      <c r="AE262" s="249"/>
      <c r="AF262" s="249"/>
      <c r="AG262" s="249"/>
      <c r="AH262" s="249"/>
      <c r="AI262" s="249"/>
      <c r="AJ262" s="249"/>
      <c r="AK262" s="249"/>
      <c r="AL262" s="249"/>
      <c r="AM262" s="249"/>
      <c r="AN262" s="249"/>
      <c r="AO262" s="249"/>
      <c r="AP262" s="249"/>
      <c r="AQ262" s="249"/>
      <c r="AR262" s="249"/>
      <c r="AS262" s="249"/>
      <c r="AT262" s="249"/>
    </row>
    <row r="263" spans="1:46" ht="17.25" hidden="1" customHeight="1" x14ac:dyDescent="0.3">
      <c r="A263" s="242">
        <v>43</v>
      </c>
      <c r="B263" s="243" t="s">
        <v>48</v>
      </c>
      <c r="C263" s="244" t="s">
        <v>669</v>
      </c>
      <c r="D263" s="244" t="s">
        <v>688</v>
      </c>
      <c r="E263" s="245">
        <v>7</v>
      </c>
      <c r="F263" s="246">
        <v>40732</v>
      </c>
      <c r="G263" s="247" t="s">
        <v>671</v>
      </c>
      <c r="H263" s="250">
        <v>6264658590</v>
      </c>
      <c r="I263" s="247" t="s">
        <v>672</v>
      </c>
      <c r="J263" s="246">
        <v>45154</v>
      </c>
      <c r="K263" s="247"/>
      <c r="L263" s="247"/>
      <c r="M263" s="244"/>
      <c r="N263" s="243" t="s">
        <v>34</v>
      </c>
      <c r="O263" s="248">
        <v>45444</v>
      </c>
      <c r="P263" s="249"/>
      <c r="Q263" s="249"/>
      <c r="R263" s="249"/>
      <c r="S263" s="249"/>
      <c r="T263" s="249"/>
      <c r="U263" s="249"/>
      <c r="V263" s="249"/>
      <c r="W263" s="249"/>
      <c r="X263" s="249"/>
      <c r="Y263" s="249"/>
      <c r="Z263" s="249"/>
      <c r="AA263" s="249"/>
      <c r="AB263" s="249"/>
      <c r="AC263" s="249"/>
      <c r="AD263" s="249"/>
      <c r="AE263" s="249"/>
      <c r="AF263" s="249"/>
      <c r="AG263" s="249"/>
      <c r="AH263" s="249"/>
      <c r="AI263" s="249"/>
      <c r="AJ263" s="249"/>
      <c r="AK263" s="249"/>
      <c r="AL263" s="249"/>
      <c r="AM263" s="249"/>
      <c r="AN263" s="249"/>
      <c r="AO263" s="249"/>
      <c r="AP263" s="249"/>
      <c r="AQ263" s="249"/>
      <c r="AR263" s="249"/>
      <c r="AS263" s="249"/>
      <c r="AT263" s="249"/>
    </row>
    <row r="264" spans="1:46" ht="17.25" hidden="1" customHeight="1" x14ac:dyDescent="0.3">
      <c r="A264" s="242">
        <v>44</v>
      </c>
      <c r="B264" s="243" t="s">
        <v>89</v>
      </c>
      <c r="C264" s="244" t="s">
        <v>669</v>
      </c>
      <c r="D264" s="244" t="s">
        <v>688</v>
      </c>
      <c r="E264" s="245">
        <v>7</v>
      </c>
      <c r="F264" s="246">
        <v>40732</v>
      </c>
      <c r="G264" s="247" t="s">
        <v>671</v>
      </c>
      <c r="H264" s="250">
        <v>6264658590</v>
      </c>
      <c r="I264" s="247" t="s">
        <v>672</v>
      </c>
      <c r="J264" s="246">
        <v>45154</v>
      </c>
      <c r="K264" s="247"/>
      <c r="L264" s="247"/>
      <c r="M264" s="244"/>
      <c r="N264" s="243" t="s">
        <v>34</v>
      </c>
      <c r="O264" s="248">
        <v>45444</v>
      </c>
      <c r="P264" s="249"/>
      <c r="Q264" s="249"/>
      <c r="R264" s="249"/>
      <c r="S264" s="249"/>
      <c r="T264" s="249"/>
      <c r="U264" s="249"/>
      <c r="V264" s="249"/>
      <c r="W264" s="249"/>
      <c r="X264" s="249"/>
      <c r="Y264" s="249"/>
      <c r="Z264" s="249"/>
      <c r="AA264" s="249"/>
      <c r="AB264" s="249"/>
      <c r="AC264" s="249"/>
      <c r="AD264" s="249"/>
      <c r="AE264" s="249"/>
      <c r="AF264" s="249"/>
      <c r="AG264" s="249"/>
      <c r="AH264" s="249"/>
      <c r="AI264" s="249"/>
      <c r="AJ264" s="249"/>
      <c r="AK264" s="249"/>
      <c r="AL264" s="249"/>
      <c r="AM264" s="249"/>
      <c r="AN264" s="249"/>
      <c r="AO264" s="249"/>
      <c r="AP264" s="249"/>
      <c r="AQ264" s="249"/>
      <c r="AR264" s="249"/>
      <c r="AS264" s="249"/>
      <c r="AT264" s="249"/>
    </row>
    <row r="265" spans="1:46" ht="17.25" hidden="1" customHeight="1" x14ac:dyDescent="0.3">
      <c r="A265" s="232">
        <v>45</v>
      </c>
      <c r="B265" s="233" t="s">
        <v>48</v>
      </c>
      <c r="C265" s="302" t="s">
        <v>509</v>
      </c>
      <c r="D265" s="302" t="s">
        <v>271</v>
      </c>
      <c r="E265" s="303">
        <v>1</v>
      </c>
      <c r="F265" s="304">
        <v>42947</v>
      </c>
      <c r="G265" s="305" t="s">
        <v>510</v>
      </c>
      <c r="H265" s="302">
        <v>4085108805</v>
      </c>
      <c r="I265" s="305" t="s">
        <v>404</v>
      </c>
      <c r="J265" s="304">
        <v>45160</v>
      </c>
      <c r="K265" s="305"/>
      <c r="L265" s="305"/>
      <c r="M265" s="302" t="s">
        <v>619</v>
      </c>
      <c r="N265" s="233" t="s">
        <v>34</v>
      </c>
      <c r="O265" s="237">
        <v>45444</v>
      </c>
      <c r="P265" s="224"/>
      <c r="Q265" s="224"/>
      <c r="R265" s="224"/>
      <c r="S265" s="224"/>
      <c r="T265" s="224"/>
      <c r="U265" s="224"/>
      <c r="V265" s="224"/>
      <c r="W265" s="224"/>
      <c r="X265" s="224"/>
      <c r="Y265" s="224"/>
      <c r="Z265" s="224"/>
      <c r="AA265" s="224"/>
      <c r="AB265" s="224"/>
      <c r="AC265" s="224"/>
      <c r="AD265" s="224"/>
      <c r="AE265" s="224"/>
      <c r="AF265" s="224"/>
      <c r="AG265" s="224"/>
      <c r="AH265" s="224"/>
      <c r="AI265" s="224"/>
      <c r="AJ265" s="224"/>
      <c r="AK265" s="224"/>
      <c r="AL265" s="224"/>
      <c r="AM265" s="224"/>
      <c r="AN265" s="224"/>
      <c r="AO265" s="224"/>
      <c r="AP265" s="224"/>
      <c r="AQ265" s="224"/>
      <c r="AR265" s="224"/>
      <c r="AS265" s="224"/>
      <c r="AT265" s="224"/>
    </row>
    <row r="266" spans="1:46" ht="17.25" hidden="1" customHeight="1" x14ac:dyDescent="0.3">
      <c r="A266" s="232">
        <v>46</v>
      </c>
      <c r="B266" s="233" t="s">
        <v>89</v>
      </c>
      <c r="C266" s="302" t="s">
        <v>509</v>
      </c>
      <c r="D266" s="302" t="s">
        <v>271</v>
      </c>
      <c r="E266" s="303">
        <v>1</v>
      </c>
      <c r="F266" s="304">
        <v>42947</v>
      </c>
      <c r="G266" s="305" t="s">
        <v>510</v>
      </c>
      <c r="H266" s="302">
        <v>4085108805</v>
      </c>
      <c r="I266" s="305" t="s">
        <v>404</v>
      </c>
      <c r="J266" s="304">
        <v>45383</v>
      </c>
      <c r="K266" s="305"/>
      <c r="L266" s="305"/>
      <c r="M266" s="302" t="s">
        <v>619</v>
      </c>
      <c r="N266" s="233" t="s">
        <v>34</v>
      </c>
      <c r="O266" s="237">
        <v>45444</v>
      </c>
      <c r="P266" s="224"/>
      <c r="Q266" s="224"/>
      <c r="R266" s="224"/>
      <c r="S266" s="224"/>
      <c r="T266" s="224"/>
      <c r="U266" s="224"/>
      <c r="V266" s="224"/>
      <c r="W266" s="224"/>
      <c r="X266" s="224"/>
      <c r="Y266" s="224"/>
      <c r="Z266" s="224"/>
      <c r="AA266" s="224"/>
      <c r="AB266" s="224"/>
      <c r="AC266" s="224"/>
      <c r="AD266" s="224"/>
      <c r="AE266" s="224"/>
      <c r="AF266" s="224"/>
      <c r="AG266" s="224"/>
      <c r="AH266" s="224"/>
      <c r="AI266" s="224"/>
      <c r="AJ266" s="224"/>
      <c r="AK266" s="224"/>
      <c r="AL266" s="224"/>
      <c r="AM266" s="224"/>
      <c r="AN266" s="224"/>
      <c r="AO266" s="224"/>
      <c r="AP266" s="224"/>
      <c r="AQ266" s="224"/>
      <c r="AR266" s="224"/>
      <c r="AS266" s="224"/>
      <c r="AT266" s="224"/>
    </row>
    <row r="267" spans="1:46" ht="17.25" hidden="1" customHeight="1" x14ac:dyDescent="0.3">
      <c r="A267" s="242">
        <v>47</v>
      </c>
      <c r="B267" s="243" t="s">
        <v>48</v>
      </c>
      <c r="C267" s="250" t="s">
        <v>385</v>
      </c>
      <c r="D267" s="250" t="s">
        <v>234</v>
      </c>
      <c r="E267" s="242" t="s">
        <v>183</v>
      </c>
      <c r="F267" s="251">
        <v>42902</v>
      </c>
      <c r="G267" s="252" t="s">
        <v>689</v>
      </c>
      <c r="H267" s="250">
        <v>4352252200</v>
      </c>
      <c r="I267" s="252" t="s">
        <v>690</v>
      </c>
      <c r="J267" s="251">
        <v>44835</v>
      </c>
      <c r="K267" s="247"/>
      <c r="L267" s="247"/>
      <c r="M267" s="244" t="s">
        <v>619</v>
      </c>
      <c r="N267" s="243" t="s">
        <v>34</v>
      </c>
      <c r="O267" s="248">
        <v>45444</v>
      </c>
      <c r="P267" s="249"/>
      <c r="Q267" s="249"/>
      <c r="R267" s="249"/>
      <c r="S267" s="249"/>
      <c r="T267" s="249"/>
      <c r="U267" s="249"/>
      <c r="V267" s="249"/>
      <c r="W267" s="249"/>
      <c r="X267" s="249"/>
      <c r="Y267" s="249"/>
      <c r="Z267" s="249"/>
      <c r="AA267" s="249"/>
      <c r="AB267" s="249"/>
      <c r="AC267" s="249"/>
      <c r="AD267" s="249"/>
      <c r="AE267" s="249"/>
      <c r="AF267" s="249"/>
      <c r="AG267" s="249"/>
      <c r="AH267" s="249"/>
      <c r="AI267" s="249"/>
      <c r="AJ267" s="249"/>
      <c r="AK267" s="249"/>
      <c r="AL267" s="249"/>
      <c r="AM267" s="249"/>
      <c r="AN267" s="249"/>
      <c r="AO267" s="249"/>
      <c r="AP267" s="249"/>
      <c r="AQ267" s="249"/>
      <c r="AR267" s="249"/>
      <c r="AS267" s="249"/>
      <c r="AT267" s="249"/>
    </row>
    <row r="268" spans="1:46" ht="17.25" hidden="1" customHeight="1" x14ac:dyDescent="0.3">
      <c r="A268" s="242">
        <v>48</v>
      </c>
      <c r="B268" s="243" t="s">
        <v>89</v>
      </c>
      <c r="C268" s="250" t="s">
        <v>385</v>
      </c>
      <c r="D268" s="250" t="s">
        <v>234</v>
      </c>
      <c r="E268" s="242" t="s">
        <v>183</v>
      </c>
      <c r="F268" s="251">
        <v>42902</v>
      </c>
      <c r="G268" s="252" t="s">
        <v>689</v>
      </c>
      <c r="H268" s="250">
        <v>4352252200</v>
      </c>
      <c r="I268" s="252" t="s">
        <v>690</v>
      </c>
      <c r="J268" s="251">
        <v>45078</v>
      </c>
      <c r="K268" s="247"/>
      <c r="L268" s="247"/>
      <c r="M268" s="244" t="s">
        <v>619</v>
      </c>
      <c r="N268" s="243" t="s">
        <v>34</v>
      </c>
      <c r="O268" s="248">
        <v>45444</v>
      </c>
      <c r="P268" s="249"/>
      <c r="Q268" s="249"/>
      <c r="R268" s="249"/>
      <c r="S268" s="249"/>
      <c r="T268" s="249"/>
      <c r="U268" s="249"/>
      <c r="V268" s="249"/>
      <c r="W268" s="249"/>
      <c r="X268" s="249"/>
      <c r="Y268" s="249"/>
      <c r="Z268" s="249"/>
      <c r="AA268" s="249"/>
      <c r="AB268" s="249"/>
      <c r="AC268" s="249"/>
      <c r="AD268" s="249"/>
      <c r="AE268" s="249"/>
      <c r="AF268" s="249"/>
      <c r="AG268" s="249"/>
      <c r="AH268" s="249"/>
      <c r="AI268" s="249"/>
      <c r="AJ268" s="249"/>
      <c r="AK268" s="249"/>
      <c r="AL268" s="249"/>
      <c r="AM268" s="249"/>
      <c r="AN268" s="249"/>
      <c r="AO268" s="249"/>
      <c r="AP268" s="249"/>
      <c r="AQ268" s="249"/>
      <c r="AR268" s="249"/>
      <c r="AS268" s="249"/>
      <c r="AT268" s="249"/>
    </row>
    <row r="269" spans="1:46" ht="17.25" hidden="1" customHeight="1" x14ac:dyDescent="0.3">
      <c r="A269" s="242">
        <v>49</v>
      </c>
      <c r="B269" s="243" t="s">
        <v>48</v>
      </c>
      <c r="C269" s="250" t="s">
        <v>275</v>
      </c>
      <c r="D269" s="250" t="s">
        <v>691</v>
      </c>
      <c r="E269" s="242">
        <v>4</v>
      </c>
      <c r="F269" s="251">
        <v>40736</v>
      </c>
      <c r="G269" s="252" t="s">
        <v>692</v>
      </c>
      <c r="H269" s="250">
        <v>4083321491</v>
      </c>
      <c r="I269" s="252" t="s">
        <v>693</v>
      </c>
      <c r="J269" s="251">
        <v>44004</v>
      </c>
      <c r="K269" s="252"/>
      <c r="L269" s="252"/>
      <c r="M269" s="250"/>
      <c r="N269" s="243" t="s">
        <v>34</v>
      </c>
      <c r="O269" s="248">
        <v>45444</v>
      </c>
      <c r="P269" s="249"/>
      <c r="Q269" s="249"/>
      <c r="R269" s="249"/>
      <c r="S269" s="249"/>
      <c r="T269" s="249"/>
      <c r="U269" s="249"/>
      <c r="V269" s="249"/>
      <c r="W269" s="249"/>
      <c r="X269" s="249"/>
      <c r="Y269" s="249"/>
      <c r="Z269" s="249"/>
      <c r="AA269" s="249"/>
      <c r="AB269" s="249"/>
      <c r="AC269" s="249"/>
      <c r="AD269" s="249"/>
      <c r="AE269" s="249"/>
      <c r="AF269" s="249"/>
      <c r="AG269" s="249"/>
      <c r="AH269" s="249"/>
      <c r="AI269" s="249"/>
      <c r="AJ269" s="249"/>
      <c r="AK269" s="249"/>
      <c r="AL269" s="249"/>
      <c r="AM269" s="249"/>
      <c r="AN269" s="249"/>
      <c r="AO269" s="249"/>
      <c r="AP269" s="249"/>
      <c r="AQ269" s="249"/>
      <c r="AR269" s="249"/>
      <c r="AS269" s="249"/>
      <c r="AT269" s="249"/>
    </row>
    <row r="270" spans="1:46" ht="17.25" hidden="1" customHeight="1" x14ac:dyDescent="0.3">
      <c r="A270" s="242">
        <v>50</v>
      </c>
      <c r="B270" s="243" t="s">
        <v>89</v>
      </c>
      <c r="C270" s="250" t="s">
        <v>275</v>
      </c>
      <c r="D270" s="250" t="s">
        <v>691</v>
      </c>
      <c r="E270" s="242">
        <v>4</v>
      </c>
      <c r="F270" s="251">
        <v>40736</v>
      </c>
      <c r="G270" s="252" t="s">
        <v>692</v>
      </c>
      <c r="H270" s="250">
        <v>4083321491</v>
      </c>
      <c r="I270" s="252" t="s">
        <v>693</v>
      </c>
      <c r="J270" s="251">
        <v>44004</v>
      </c>
      <c r="K270" s="252"/>
      <c r="L270" s="252"/>
      <c r="M270" s="250"/>
      <c r="N270" s="243" t="s">
        <v>34</v>
      </c>
      <c r="O270" s="248">
        <v>45444</v>
      </c>
      <c r="P270" s="249"/>
      <c r="Q270" s="249"/>
      <c r="R270" s="249"/>
      <c r="S270" s="249"/>
      <c r="T270" s="249"/>
      <c r="U270" s="249"/>
      <c r="V270" s="249"/>
      <c r="W270" s="249"/>
      <c r="X270" s="249"/>
      <c r="Y270" s="249"/>
      <c r="Z270" s="249"/>
      <c r="AA270" s="249"/>
      <c r="AB270" s="249"/>
      <c r="AC270" s="249"/>
      <c r="AD270" s="249"/>
      <c r="AE270" s="249"/>
      <c r="AF270" s="249"/>
      <c r="AG270" s="249"/>
      <c r="AH270" s="249"/>
      <c r="AI270" s="249"/>
      <c r="AJ270" s="249"/>
      <c r="AK270" s="249"/>
      <c r="AL270" s="249"/>
      <c r="AM270" s="249"/>
      <c r="AN270" s="249"/>
      <c r="AO270" s="249"/>
      <c r="AP270" s="249"/>
      <c r="AQ270" s="249"/>
      <c r="AR270" s="249"/>
      <c r="AS270" s="249"/>
      <c r="AT270" s="249"/>
    </row>
    <row r="271" spans="1:46" ht="17.25" hidden="1" customHeight="1" x14ac:dyDescent="0.3">
      <c r="A271" s="242">
        <v>51</v>
      </c>
      <c r="B271" s="307" t="s">
        <v>48</v>
      </c>
      <c r="C271" s="244" t="s">
        <v>233</v>
      </c>
      <c r="D271" s="244" t="s">
        <v>238</v>
      </c>
      <c r="E271" s="245">
        <v>2</v>
      </c>
      <c r="F271" s="246">
        <v>42342</v>
      </c>
      <c r="G271" s="247" t="s">
        <v>694</v>
      </c>
      <c r="H271" s="244">
        <v>4084214334</v>
      </c>
      <c r="I271" s="247" t="s">
        <v>236</v>
      </c>
      <c r="J271" s="246">
        <v>45170</v>
      </c>
      <c r="K271" s="247"/>
      <c r="L271" s="247"/>
      <c r="M271" s="244" t="s">
        <v>695</v>
      </c>
      <c r="N271" s="243" t="s">
        <v>34</v>
      </c>
      <c r="O271" s="248">
        <v>45444</v>
      </c>
      <c r="P271" s="249"/>
      <c r="Q271" s="249"/>
      <c r="R271" s="249"/>
      <c r="S271" s="249"/>
      <c r="T271" s="249"/>
      <c r="U271" s="249"/>
      <c r="V271" s="249"/>
      <c r="W271" s="249"/>
      <c r="X271" s="249"/>
      <c r="Y271" s="249"/>
      <c r="Z271" s="249"/>
      <c r="AA271" s="249"/>
      <c r="AB271" s="249"/>
      <c r="AC271" s="249"/>
      <c r="AD271" s="249"/>
      <c r="AE271" s="249"/>
      <c r="AF271" s="249"/>
      <c r="AG271" s="249"/>
      <c r="AH271" s="249"/>
      <c r="AI271" s="249"/>
      <c r="AJ271" s="249"/>
      <c r="AK271" s="249"/>
      <c r="AL271" s="249"/>
      <c r="AM271" s="249"/>
      <c r="AN271" s="249"/>
      <c r="AO271" s="249"/>
      <c r="AP271" s="249"/>
      <c r="AQ271" s="249"/>
      <c r="AR271" s="249"/>
      <c r="AS271" s="249"/>
      <c r="AT271" s="249"/>
    </row>
    <row r="272" spans="1:46" ht="17.25" hidden="1" customHeight="1" x14ac:dyDescent="0.3">
      <c r="A272" s="242">
        <v>52</v>
      </c>
      <c r="B272" s="307" t="s">
        <v>89</v>
      </c>
      <c r="C272" s="244" t="s">
        <v>233</v>
      </c>
      <c r="D272" s="244" t="s">
        <v>238</v>
      </c>
      <c r="E272" s="245">
        <v>2</v>
      </c>
      <c r="F272" s="246">
        <v>42342</v>
      </c>
      <c r="G272" s="247" t="s">
        <v>694</v>
      </c>
      <c r="H272" s="244">
        <v>4084214334</v>
      </c>
      <c r="I272" s="247" t="s">
        <v>236</v>
      </c>
      <c r="J272" s="246">
        <v>45170</v>
      </c>
      <c r="K272" s="247"/>
      <c r="L272" s="247"/>
      <c r="M272" s="244" t="s">
        <v>695</v>
      </c>
      <c r="N272" s="243" t="s">
        <v>34</v>
      </c>
      <c r="O272" s="248">
        <v>45444</v>
      </c>
      <c r="P272" s="249"/>
      <c r="Q272" s="249"/>
      <c r="R272" s="249"/>
      <c r="S272" s="249"/>
      <c r="T272" s="249"/>
      <c r="U272" s="249"/>
      <c r="V272" s="249"/>
      <c r="W272" s="249"/>
      <c r="X272" s="249"/>
      <c r="Y272" s="249"/>
      <c r="Z272" s="249"/>
      <c r="AA272" s="249"/>
      <c r="AB272" s="249"/>
      <c r="AC272" s="249"/>
      <c r="AD272" s="249"/>
      <c r="AE272" s="249"/>
      <c r="AF272" s="249"/>
      <c r="AG272" s="249"/>
      <c r="AH272" s="249"/>
      <c r="AI272" s="249"/>
      <c r="AJ272" s="249"/>
      <c r="AK272" s="249"/>
      <c r="AL272" s="249"/>
      <c r="AM272" s="249"/>
      <c r="AN272" s="249"/>
      <c r="AO272" s="249"/>
      <c r="AP272" s="249"/>
      <c r="AQ272" s="249"/>
      <c r="AR272" s="249"/>
      <c r="AS272" s="249"/>
      <c r="AT272" s="249"/>
    </row>
    <row r="273" spans="1:46" ht="17.25" hidden="1" customHeight="1" x14ac:dyDescent="0.3">
      <c r="A273" s="232">
        <v>53</v>
      </c>
      <c r="B273" s="233" t="s">
        <v>48</v>
      </c>
      <c r="C273" s="234" t="s">
        <v>696</v>
      </c>
      <c r="D273" s="234" t="s">
        <v>697</v>
      </c>
      <c r="E273" s="232">
        <v>1</v>
      </c>
      <c r="F273" s="235">
        <v>42177</v>
      </c>
      <c r="G273" s="305" t="s">
        <v>698</v>
      </c>
      <c r="H273" s="305">
        <v>4436532199</v>
      </c>
      <c r="I273" s="305" t="s">
        <v>699</v>
      </c>
      <c r="J273" s="235">
        <v>45154</v>
      </c>
      <c r="K273" s="236"/>
      <c r="L273" s="236"/>
      <c r="M273" s="234" t="s">
        <v>619</v>
      </c>
      <c r="N273" s="233" t="s">
        <v>34</v>
      </c>
      <c r="O273" s="237">
        <v>45444</v>
      </c>
      <c r="P273" s="224"/>
      <c r="Q273" s="224"/>
      <c r="R273" s="224"/>
      <c r="S273" s="224"/>
      <c r="T273" s="224"/>
      <c r="U273" s="224"/>
      <c r="V273" s="224"/>
      <c r="W273" s="224"/>
      <c r="X273" s="224"/>
      <c r="Y273" s="224"/>
      <c r="Z273" s="224"/>
      <c r="AA273" s="224"/>
      <c r="AB273" s="224"/>
      <c r="AC273" s="224"/>
      <c r="AD273" s="224"/>
      <c r="AE273" s="224"/>
      <c r="AF273" s="224"/>
      <c r="AG273" s="224"/>
      <c r="AH273" s="224"/>
      <c r="AI273" s="224"/>
      <c r="AJ273" s="224"/>
      <c r="AK273" s="224"/>
      <c r="AL273" s="224"/>
      <c r="AM273" s="224"/>
      <c r="AN273" s="224"/>
      <c r="AO273" s="224"/>
      <c r="AP273" s="224"/>
      <c r="AQ273" s="224"/>
      <c r="AR273" s="224"/>
      <c r="AS273" s="224"/>
      <c r="AT273" s="224"/>
    </row>
    <row r="274" spans="1:46" ht="17.25" hidden="1" customHeight="1" x14ac:dyDescent="0.3">
      <c r="A274" s="232">
        <v>54</v>
      </c>
      <c r="B274" s="233" t="s">
        <v>89</v>
      </c>
      <c r="C274" s="234" t="s">
        <v>696</v>
      </c>
      <c r="D274" s="234" t="s">
        <v>697</v>
      </c>
      <c r="E274" s="232">
        <v>1</v>
      </c>
      <c r="F274" s="235">
        <v>42177</v>
      </c>
      <c r="G274" s="305" t="s">
        <v>698</v>
      </c>
      <c r="H274" s="305">
        <v>4436532199</v>
      </c>
      <c r="I274" s="305" t="s">
        <v>699</v>
      </c>
      <c r="J274" s="235">
        <v>45154</v>
      </c>
      <c r="K274" s="236"/>
      <c r="L274" s="236"/>
      <c r="M274" s="234" t="s">
        <v>619</v>
      </c>
      <c r="N274" s="233" t="s">
        <v>34</v>
      </c>
      <c r="O274" s="237">
        <v>45444</v>
      </c>
      <c r="P274" s="224"/>
      <c r="Q274" s="224"/>
      <c r="R274" s="224"/>
      <c r="S274" s="224"/>
      <c r="T274" s="224"/>
      <c r="U274" s="224"/>
      <c r="V274" s="224"/>
      <c r="W274" s="224"/>
      <c r="X274" s="224"/>
      <c r="Y274" s="224"/>
      <c r="Z274" s="224"/>
      <c r="AA274" s="224"/>
      <c r="AB274" s="224"/>
      <c r="AC274" s="224"/>
      <c r="AD274" s="224"/>
      <c r="AE274" s="224"/>
      <c r="AF274" s="224"/>
      <c r="AG274" s="224"/>
      <c r="AH274" s="224"/>
      <c r="AI274" s="224"/>
      <c r="AJ274" s="224"/>
      <c r="AK274" s="224"/>
      <c r="AL274" s="224"/>
      <c r="AM274" s="224"/>
      <c r="AN274" s="224"/>
      <c r="AO274" s="224"/>
      <c r="AP274" s="224"/>
      <c r="AQ274" s="224"/>
      <c r="AR274" s="224"/>
      <c r="AS274" s="224"/>
      <c r="AT274" s="224"/>
    </row>
    <row r="275" spans="1:46" ht="17.25" hidden="1" customHeight="1" x14ac:dyDescent="0.3">
      <c r="A275" s="242">
        <v>55</v>
      </c>
      <c r="B275" s="243" t="s">
        <v>48</v>
      </c>
      <c r="C275" s="250" t="s">
        <v>385</v>
      </c>
      <c r="D275" s="250" t="s">
        <v>562</v>
      </c>
      <c r="E275" s="242" t="s">
        <v>183</v>
      </c>
      <c r="F275" s="251">
        <v>42902</v>
      </c>
      <c r="G275" s="252" t="s">
        <v>689</v>
      </c>
      <c r="H275" s="250">
        <v>4352252200</v>
      </c>
      <c r="I275" s="252" t="s">
        <v>690</v>
      </c>
      <c r="J275" s="251">
        <v>44835</v>
      </c>
      <c r="K275" s="252"/>
      <c r="L275" s="252"/>
      <c r="M275" s="250"/>
      <c r="N275" s="243" t="s">
        <v>34</v>
      </c>
      <c r="O275" s="248">
        <v>45444</v>
      </c>
      <c r="P275" s="249"/>
      <c r="Q275" s="249"/>
      <c r="R275" s="249"/>
      <c r="S275" s="249"/>
      <c r="T275" s="249"/>
      <c r="U275" s="249"/>
      <c r="V275" s="249"/>
      <c r="W275" s="249"/>
      <c r="X275" s="249"/>
      <c r="Y275" s="249"/>
      <c r="Z275" s="249"/>
      <c r="AA275" s="249"/>
      <c r="AB275" s="249"/>
      <c r="AC275" s="249"/>
      <c r="AD275" s="249"/>
      <c r="AE275" s="249"/>
      <c r="AF275" s="249"/>
      <c r="AG275" s="249"/>
      <c r="AH275" s="249"/>
      <c r="AI275" s="249"/>
      <c r="AJ275" s="249"/>
      <c r="AK275" s="249"/>
      <c r="AL275" s="249"/>
      <c r="AM275" s="249"/>
      <c r="AN275" s="249"/>
      <c r="AO275" s="249"/>
      <c r="AP275" s="249"/>
      <c r="AQ275" s="249"/>
      <c r="AR275" s="249"/>
      <c r="AS275" s="249"/>
      <c r="AT275" s="249"/>
    </row>
    <row r="276" spans="1:46" ht="17.25" hidden="1" customHeight="1" x14ac:dyDescent="0.3">
      <c r="A276" s="242">
        <v>56</v>
      </c>
      <c r="B276" s="243" t="s">
        <v>89</v>
      </c>
      <c r="C276" s="250" t="s">
        <v>385</v>
      </c>
      <c r="D276" s="250" t="s">
        <v>562</v>
      </c>
      <c r="E276" s="242" t="s">
        <v>183</v>
      </c>
      <c r="F276" s="251">
        <v>42902</v>
      </c>
      <c r="G276" s="252" t="s">
        <v>689</v>
      </c>
      <c r="H276" s="250">
        <v>4352252200</v>
      </c>
      <c r="I276" s="252" t="s">
        <v>690</v>
      </c>
      <c r="J276" s="251">
        <v>45078</v>
      </c>
      <c r="K276" s="252"/>
      <c r="L276" s="252"/>
      <c r="M276" s="250"/>
      <c r="N276" s="243" t="s">
        <v>34</v>
      </c>
      <c r="O276" s="248">
        <v>45444</v>
      </c>
      <c r="P276" s="249"/>
      <c r="Q276" s="249"/>
      <c r="R276" s="249"/>
      <c r="S276" s="249"/>
      <c r="T276" s="249"/>
      <c r="U276" s="249"/>
      <c r="V276" s="249"/>
      <c r="W276" s="249"/>
      <c r="X276" s="249"/>
      <c r="Y276" s="249"/>
      <c r="Z276" s="249"/>
      <c r="AA276" s="249"/>
      <c r="AB276" s="249"/>
      <c r="AC276" s="249"/>
      <c r="AD276" s="249"/>
      <c r="AE276" s="249"/>
      <c r="AF276" s="249"/>
      <c r="AG276" s="249"/>
      <c r="AH276" s="249"/>
      <c r="AI276" s="249"/>
      <c r="AJ276" s="249"/>
      <c r="AK276" s="249"/>
      <c r="AL276" s="249"/>
      <c r="AM276" s="249"/>
      <c r="AN276" s="249"/>
      <c r="AO276" s="249"/>
      <c r="AP276" s="249"/>
      <c r="AQ276" s="249"/>
      <c r="AR276" s="249"/>
      <c r="AS276" s="249"/>
      <c r="AT276" s="249"/>
    </row>
    <row r="277" spans="1:46" ht="17.25" hidden="1" customHeight="1" x14ac:dyDescent="0.3">
      <c r="A277" s="242">
        <v>57</v>
      </c>
      <c r="B277" s="243" t="s">
        <v>48</v>
      </c>
      <c r="C277" s="250" t="s">
        <v>342</v>
      </c>
      <c r="D277" s="250" t="s">
        <v>700</v>
      </c>
      <c r="E277" s="242">
        <v>1</v>
      </c>
      <c r="F277" s="251">
        <v>42568</v>
      </c>
      <c r="G277" s="247" t="s">
        <v>543</v>
      </c>
      <c r="H277" s="247" t="s">
        <v>544</v>
      </c>
      <c r="I277" s="247" t="s">
        <v>545</v>
      </c>
      <c r="J277" s="251">
        <v>45110</v>
      </c>
      <c r="K277" s="252"/>
      <c r="L277" s="252"/>
      <c r="M277" s="250"/>
      <c r="N277" s="243" t="s">
        <v>34</v>
      </c>
      <c r="O277" s="248">
        <v>45444</v>
      </c>
      <c r="P277" s="249"/>
      <c r="Q277" s="249"/>
      <c r="R277" s="249"/>
      <c r="S277" s="249"/>
      <c r="T277" s="249"/>
      <c r="U277" s="249"/>
      <c r="V277" s="249"/>
      <c r="W277" s="249"/>
      <c r="X277" s="249"/>
      <c r="Y277" s="249"/>
      <c r="Z277" s="249"/>
      <c r="AA277" s="249"/>
      <c r="AB277" s="249"/>
      <c r="AC277" s="249"/>
      <c r="AD277" s="249"/>
      <c r="AE277" s="249"/>
      <c r="AF277" s="249"/>
      <c r="AG277" s="249"/>
      <c r="AH277" s="249"/>
      <c r="AI277" s="249"/>
      <c r="AJ277" s="249"/>
      <c r="AK277" s="249"/>
      <c r="AL277" s="249"/>
      <c r="AM277" s="249"/>
      <c r="AN277" s="249"/>
      <c r="AO277" s="249"/>
      <c r="AP277" s="249"/>
      <c r="AQ277" s="249"/>
      <c r="AR277" s="249"/>
      <c r="AS277" s="249"/>
      <c r="AT277" s="249"/>
    </row>
    <row r="278" spans="1:46" ht="17.25" hidden="1" customHeight="1" x14ac:dyDescent="0.3">
      <c r="A278" s="242">
        <v>58</v>
      </c>
      <c r="B278" s="243" t="s">
        <v>89</v>
      </c>
      <c r="C278" s="250" t="s">
        <v>342</v>
      </c>
      <c r="D278" s="250" t="s">
        <v>700</v>
      </c>
      <c r="E278" s="242">
        <v>1</v>
      </c>
      <c r="F278" s="251">
        <v>42568</v>
      </c>
      <c r="G278" s="247" t="s">
        <v>546</v>
      </c>
      <c r="H278" s="247" t="s">
        <v>547</v>
      </c>
      <c r="I278" s="247" t="s">
        <v>545</v>
      </c>
      <c r="J278" s="251">
        <v>45110</v>
      </c>
      <c r="K278" s="252"/>
      <c r="L278" s="252"/>
      <c r="M278" s="250"/>
      <c r="N278" s="243" t="s">
        <v>34</v>
      </c>
      <c r="O278" s="248">
        <v>45444</v>
      </c>
      <c r="P278" s="249"/>
      <c r="Q278" s="249"/>
      <c r="R278" s="249"/>
      <c r="S278" s="249"/>
      <c r="T278" s="249"/>
      <c r="U278" s="249"/>
      <c r="V278" s="249"/>
      <c r="W278" s="249"/>
      <c r="X278" s="249"/>
      <c r="Y278" s="249"/>
      <c r="Z278" s="249"/>
      <c r="AA278" s="249"/>
      <c r="AB278" s="249"/>
      <c r="AC278" s="249"/>
      <c r="AD278" s="249"/>
      <c r="AE278" s="249"/>
      <c r="AF278" s="249"/>
      <c r="AG278" s="249"/>
      <c r="AH278" s="249"/>
      <c r="AI278" s="249"/>
      <c r="AJ278" s="249"/>
      <c r="AK278" s="249"/>
      <c r="AL278" s="249"/>
      <c r="AM278" s="249"/>
      <c r="AN278" s="249"/>
      <c r="AO278" s="249"/>
      <c r="AP278" s="249"/>
      <c r="AQ278" s="249"/>
      <c r="AR278" s="249"/>
      <c r="AS278" s="249"/>
      <c r="AT278" s="249"/>
    </row>
    <row r="279" spans="1:46" ht="17.25" hidden="1" customHeight="1" x14ac:dyDescent="0.3">
      <c r="A279" s="232">
        <v>59</v>
      </c>
      <c r="B279" s="233" t="s">
        <v>48</v>
      </c>
      <c r="C279" s="234" t="s">
        <v>591</v>
      </c>
      <c r="D279" s="234" t="s">
        <v>595</v>
      </c>
      <c r="E279" s="232">
        <v>3</v>
      </c>
      <c r="F279" s="235">
        <v>42124</v>
      </c>
      <c r="G279" s="236" t="s">
        <v>593</v>
      </c>
      <c r="H279" s="234">
        <v>4085076346</v>
      </c>
      <c r="I279" s="236" t="s">
        <v>594</v>
      </c>
      <c r="J279" s="235">
        <v>45293</v>
      </c>
      <c r="K279" s="305"/>
      <c r="L279" s="305"/>
      <c r="M279" s="302" t="s">
        <v>619</v>
      </c>
      <c r="N279" s="233" t="s">
        <v>34</v>
      </c>
      <c r="O279" s="237">
        <v>45444</v>
      </c>
      <c r="P279" s="224"/>
      <c r="Q279" s="224"/>
      <c r="R279" s="224"/>
      <c r="S279" s="224"/>
      <c r="T279" s="224"/>
      <c r="U279" s="224"/>
      <c r="V279" s="224"/>
      <c r="W279" s="224"/>
      <c r="X279" s="224"/>
      <c r="Y279" s="224"/>
      <c r="Z279" s="224"/>
      <c r="AA279" s="224"/>
      <c r="AB279" s="224"/>
      <c r="AC279" s="224"/>
      <c r="AD279" s="224"/>
      <c r="AE279" s="224"/>
      <c r="AF279" s="224"/>
      <c r="AG279" s="224"/>
      <c r="AH279" s="224"/>
      <c r="AI279" s="224"/>
      <c r="AJ279" s="224"/>
      <c r="AK279" s="224"/>
      <c r="AL279" s="224"/>
      <c r="AM279" s="224"/>
      <c r="AN279" s="224"/>
      <c r="AO279" s="224"/>
      <c r="AP279" s="224"/>
      <c r="AQ279" s="224"/>
      <c r="AR279" s="224"/>
      <c r="AS279" s="224"/>
      <c r="AT279" s="224"/>
    </row>
    <row r="280" spans="1:46" ht="17.25" hidden="1" customHeight="1" x14ac:dyDescent="0.3">
      <c r="A280" s="242">
        <v>60</v>
      </c>
      <c r="B280" s="243" t="s">
        <v>48</v>
      </c>
      <c r="C280" s="244" t="s">
        <v>537</v>
      </c>
      <c r="D280" s="244" t="s">
        <v>538</v>
      </c>
      <c r="E280" s="245">
        <v>1</v>
      </c>
      <c r="F280" s="246">
        <v>42894</v>
      </c>
      <c r="G280" s="247" t="s">
        <v>539</v>
      </c>
      <c r="H280" s="244">
        <v>6503358676</v>
      </c>
      <c r="I280" s="247" t="s">
        <v>540</v>
      </c>
      <c r="J280" s="246">
        <v>45159</v>
      </c>
      <c r="K280" s="247"/>
      <c r="L280" s="247"/>
      <c r="M280" s="244"/>
      <c r="N280" s="243" t="s">
        <v>34</v>
      </c>
      <c r="O280" s="248">
        <v>45444</v>
      </c>
      <c r="P280" s="249"/>
      <c r="Q280" s="249"/>
      <c r="R280" s="249"/>
      <c r="S280" s="249"/>
      <c r="T280" s="249"/>
      <c r="U280" s="249"/>
      <c r="V280" s="249"/>
      <c r="W280" s="249"/>
      <c r="X280" s="249"/>
      <c r="Y280" s="249"/>
      <c r="Z280" s="249"/>
      <c r="AA280" s="249"/>
      <c r="AB280" s="249"/>
      <c r="AC280" s="249"/>
      <c r="AD280" s="249"/>
      <c r="AE280" s="249"/>
      <c r="AF280" s="249"/>
      <c r="AG280" s="249"/>
      <c r="AH280" s="249"/>
      <c r="AI280" s="249"/>
      <c r="AJ280" s="249"/>
      <c r="AK280" s="249"/>
      <c r="AL280" s="249"/>
      <c r="AM280" s="249"/>
      <c r="AN280" s="249"/>
      <c r="AO280" s="249"/>
      <c r="AP280" s="249"/>
      <c r="AQ280" s="249"/>
      <c r="AR280" s="249"/>
      <c r="AS280" s="249"/>
      <c r="AT280" s="249"/>
    </row>
    <row r="281" spans="1:46" ht="17.25" hidden="1" customHeight="1" x14ac:dyDescent="0.3">
      <c r="A281" s="242">
        <v>61</v>
      </c>
      <c r="B281" s="243" t="s">
        <v>48</v>
      </c>
      <c r="C281" s="250" t="s">
        <v>701</v>
      </c>
      <c r="D281" s="250" t="s">
        <v>702</v>
      </c>
      <c r="E281" s="242">
        <v>4</v>
      </c>
      <c r="F281" s="251">
        <v>41881</v>
      </c>
      <c r="G281" s="247" t="s">
        <v>703</v>
      </c>
      <c r="H281" s="247">
        <v>5103587899</v>
      </c>
      <c r="I281" s="247" t="s">
        <v>704</v>
      </c>
      <c r="J281" s="251">
        <v>45159</v>
      </c>
      <c r="K281" s="252"/>
      <c r="L281" s="252"/>
      <c r="M281" s="250"/>
      <c r="N281" s="243" t="s">
        <v>34</v>
      </c>
      <c r="O281" s="248">
        <v>45444</v>
      </c>
      <c r="P281" s="249"/>
      <c r="Q281" s="249"/>
      <c r="R281" s="249"/>
      <c r="S281" s="249"/>
      <c r="T281" s="249"/>
      <c r="U281" s="249"/>
      <c r="V281" s="249"/>
      <c r="W281" s="249"/>
      <c r="X281" s="249"/>
      <c r="Y281" s="249"/>
      <c r="Z281" s="249"/>
      <c r="AA281" s="249"/>
      <c r="AB281" s="249"/>
      <c r="AC281" s="249"/>
      <c r="AD281" s="249"/>
      <c r="AE281" s="249"/>
      <c r="AF281" s="249"/>
      <c r="AG281" s="249"/>
      <c r="AH281" s="249"/>
      <c r="AI281" s="249"/>
      <c r="AJ281" s="249"/>
      <c r="AK281" s="249"/>
      <c r="AL281" s="249"/>
      <c r="AM281" s="249"/>
      <c r="AN281" s="249"/>
      <c r="AO281" s="249"/>
      <c r="AP281" s="249"/>
      <c r="AQ281" s="249"/>
      <c r="AR281" s="249"/>
      <c r="AS281" s="249"/>
      <c r="AT281" s="249"/>
    </row>
    <row r="282" spans="1:46" ht="17.25" hidden="1" customHeight="1" x14ac:dyDescent="0.3">
      <c r="A282" s="242">
        <v>62</v>
      </c>
      <c r="B282" s="243" t="s">
        <v>89</v>
      </c>
      <c r="C282" s="244" t="s">
        <v>701</v>
      </c>
      <c r="D282" s="244" t="s">
        <v>702</v>
      </c>
      <c r="E282" s="245">
        <v>4</v>
      </c>
      <c r="F282" s="246">
        <v>41881</v>
      </c>
      <c r="G282" s="247" t="s">
        <v>703</v>
      </c>
      <c r="H282" s="244">
        <v>5103587899</v>
      </c>
      <c r="I282" s="247" t="s">
        <v>704</v>
      </c>
      <c r="J282" s="246">
        <v>45159</v>
      </c>
      <c r="K282" s="247"/>
      <c r="L282" s="247"/>
      <c r="M282" s="244"/>
      <c r="N282" s="243" t="s">
        <v>34</v>
      </c>
      <c r="O282" s="248">
        <v>45444</v>
      </c>
      <c r="P282" s="249"/>
      <c r="Q282" s="249"/>
      <c r="R282" s="249"/>
      <c r="S282" s="249"/>
      <c r="T282" s="249"/>
      <c r="U282" s="249"/>
      <c r="V282" s="249"/>
      <c r="W282" s="249"/>
      <c r="X282" s="249"/>
      <c r="Y282" s="249"/>
      <c r="Z282" s="249"/>
      <c r="AA282" s="249"/>
      <c r="AB282" s="249"/>
      <c r="AC282" s="249"/>
      <c r="AD282" s="249"/>
      <c r="AE282" s="249"/>
      <c r="AF282" s="249"/>
      <c r="AG282" s="249"/>
      <c r="AH282" s="249"/>
      <c r="AI282" s="249"/>
      <c r="AJ282" s="249"/>
      <c r="AK282" s="249"/>
      <c r="AL282" s="249"/>
      <c r="AM282" s="249"/>
      <c r="AN282" s="249"/>
      <c r="AO282" s="249"/>
      <c r="AP282" s="249"/>
      <c r="AQ282" s="249"/>
      <c r="AR282" s="249"/>
      <c r="AS282" s="249"/>
      <c r="AT282" s="249"/>
    </row>
    <row r="283" spans="1:46" ht="17.25" hidden="1" customHeight="1" x14ac:dyDescent="0.3">
      <c r="A283" s="242">
        <v>63</v>
      </c>
      <c r="B283" s="243" t="s">
        <v>48</v>
      </c>
      <c r="C283" s="250" t="s">
        <v>648</v>
      </c>
      <c r="D283" s="250" t="s">
        <v>705</v>
      </c>
      <c r="E283" s="242">
        <v>1</v>
      </c>
      <c r="F283" s="251">
        <v>42637</v>
      </c>
      <c r="G283" s="247" t="s">
        <v>650</v>
      </c>
      <c r="H283" s="247">
        <v>4082064921</v>
      </c>
      <c r="I283" s="247" t="s">
        <v>651</v>
      </c>
      <c r="J283" s="251">
        <v>45352</v>
      </c>
      <c r="K283" s="252"/>
      <c r="L283" s="252"/>
      <c r="M283" s="250"/>
      <c r="N283" s="243" t="s">
        <v>34</v>
      </c>
      <c r="O283" s="248">
        <v>45444</v>
      </c>
      <c r="P283" s="249"/>
      <c r="Q283" s="249"/>
      <c r="R283" s="249"/>
      <c r="S283" s="249"/>
      <c r="T283" s="249"/>
      <c r="U283" s="249"/>
      <c r="V283" s="249"/>
      <c r="W283" s="249"/>
      <c r="X283" s="249"/>
      <c r="Y283" s="249"/>
      <c r="Z283" s="249"/>
      <c r="AA283" s="249"/>
      <c r="AB283" s="249"/>
      <c r="AC283" s="249"/>
      <c r="AD283" s="249"/>
      <c r="AE283" s="249"/>
      <c r="AF283" s="249"/>
      <c r="AG283" s="249"/>
      <c r="AH283" s="249"/>
      <c r="AI283" s="249"/>
      <c r="AJ283" s="249"/>
      <c r="AK283" s="249"/>
      <c r="AL283" s="249"/>
      <c r="AM283" s="249"/>
      <c r="AN283" s="249"/>
      <c r="AO283" s="249"/>
      <c r="AP283" s="249"/>
      <c r="AQ283" s="249"/>
      <c r="AR283" s="249"/>
      <c r="AS283" s="249"/>
      <c r="AT283" s="249"/>
    </row>
    <row r="284" spans="1:46" ht="17.25" hidden="1" customHeight="1" x14ac:dyDescent="0.3">
      <c r="A284" s="242">
        <v>64</v>
      </c>
      <c r="B284" s="243" t="s">
        <v>89</v>
      </c>
      <c r="C284" s="244" t="s">
        <v>385</v>
      </c>
      <c r="D284" s="244" t="s">
        <v>478</v>
      </c>
      <c r="E284" s="245">
        <v>1</v>
      </c>
      <c r="F284" s="246">
        <v>42483</v>
      </c>
      <c r="G284" s="247" t="s">
        <v>479</v>
      </c>
      <c r="H284" s="244">
        <v>6692460021</v>
      </c>
      <c r="I284" s="247" t="s">
        <v>480</v>
      </c>
      <c r="J284" s="246">
        <v>45174</v>
      </c>
      <c r="K284" s="247"/>
      <c r="L284" s="247"/>
      <c r="M284" s="244"/>
      <c r="N284" s="243" t="s">
        <v>34</v>
      </c>
      <c r="O284" s="248">
        <v>45444</v>
      </c>
      <c r="P284" s="249"/>
      <c r="Q284" s="249"/>
      <c r="R284" s="249"/>
      <c r="S284" s="249"/>
      <c r="T284" s="249"/>
      <c r="U284" s="249"/>
      <c r="V284" s="249"/>
      <c r="W284" s="249"/>
      <c r="X284" s="249"/>
      <c r="Y284" s="249"/>
      <c r="Z284" s="249"/>
      <c r="AA284" s="249"/>
      <c r="AB284" s="249"/>
      <c r="AC284" s="249"/>
      <c r="AD284" s="249"/>
      <c r="AE284" s="249"/>
      <c r="AF284" s="249"/>
      <c r="AG284" s="249"/>
      <c r="AH284" s="249"/>
      <c r="AI284" s="249"/>
      <c r="AJ284" s="249"/>
      <c r="AK284" s="249"/>
      <c r="AL284" s="249"/>
      <c r="AM284" s="249"/>
      <c r="AN284" s="249"/>
      <c r="AO284" s="249"/>
      <c r="AP284" s="249"/>
      <c r="AQ284" s="249"/>
      <c r="AR284" s="249"/>
      <c r="AS284" s="249"/>
      <c r="AT284" s="249"/>
    </row>
    <row r="285" spans="1:46" ht="17.25" hidden="1" customHeight="1" x14ac:dyDescent="0.3">
      <c r="A285" s="232">
        <v>65</v>
      </c>
      <c r="B285" s="233" t="s">
        <v>48</v>
      </c>
      <c r="C285" s="302" t="s">
        <v>509</v>
      </c>
      <c r="D285" s="302" t="s">
        <v>706</v>
      </c>
      <c r="E285" s="303">
        <v>3</v>
      </c>
      <c r="F285" s="304">
        <v>42077</v>
      </c>
      <c r="G285" s="305" t="s">
        <v>510</v>
      </c>
      <c r="H285" s="302">
        <v>4085108805</v>
      </c>
      <c r="I285" s="305" t="s">
        <v>404</v>
      </c>
      <c r="J285" s="304">
        <v>45160</v>
      </c>
      <c r="K285" s="305"/>
      <c r="L285" s="305"/>
      <c r="M285" s="302" t="s">
        <v>619</v>
      </c>
      <c r="N285" s="233" t="s">
        <v>34</v>
      </c>
      <c r="O285" s="237">
        <v>45444</v>
      </c>
      <c r="P285" s="224"/>
      <c r="Q285" s="224"/>
      <c r="R285" s="224"/>
      <c r="S285" s="224"/>
      <c r="T285" s="224"/>
      <c r="U285" s="224"/>
      <c r="V285" s="224"/>
      <c r="W285" s="224"/>
      <c r="X285" s="224"/>
      <c r="Y285" s="224"/>
      <c r="Z285" s="224"/>
      <c r="AA285" s="224"/>
      <c r="AB285" s="224"/>
      <c r="AC285" s="224"/>
      <c r="AD285" s="224"/>
      <c r="AE285" s="224"/>
      <c r="AF285" s="224"/>
      <c r="AG285" s="224"/>
      <c r="AH285" s="224"/>
      <c r="AI285" s="224"/>
      <c r="AJ285" s="224"/>
      <c r="AK285" s="224"/>
      <c r="AL285" s="224"/>
      <c r="AM285" s="224"/>
      <c r="AN285" s="224"/>
      <c r="AO285" s="224"/>
      <c r="AP285" s="224"/>
      <c r="AQ285" s="224"/>
      <c r="AR285" s="224"/>
      <c r="AS285" s="224"/>
      <c r="AT285" s="224"/>
    </row>
    <row r="286" spans="1:46" ht="17.25" hidden="1" customHeight="1" x14ac:dyDescent="0.3">
      <c r="A286" s="232">
        <v>66</v>
      </c>
      <c r="B286" s="233" t="s">
        <v>89</v>
      </c>
      <c r="C286" s="302" t="s">
        <v>509</v>
      </c>
      <c r="D286" s="302" t="s">
        <v>706</v>
      </c>
      <c r="E286" s="303">
        <v>3</v>
      </c>
      <c r="F286" s="304">
        <v>42077</v>
      </c>
      <c r="G286" s="305" t="s">
        <v>510</v>
      </c>
      <c r="H286" s="302">
        <v>4085108805</v>
      </c>
      <c r="I286" s="305" t="s">
        <v>404</v>
      </c>
      <c r="J286" s="304">
        <v>45160</v>
      </c>
      <c r="K286" s="305"/>
      <c r="L286" s="305"/>
      <c r="M286" s="302" t="s">
        <v>619</v>
      </c>
      <c r="N286" s="233" t="s">
        <v>34</v>
      </c>
      <c r="O286" s="237">
        <v>45444</v>
      </c>
      <c r="P286" s="224"/>
      <c r="Q286" s="224"/>
      <c r="R286" s="224"/>
      <c r="S286" s="224"/>
      <c r="T286" s="224"/>
      <c r="U286" s="224"/>
      <c r="V286" s="224"/>
      <c r="W286" s="224"/>
      <c r="X286" s="224"/>
      <c r="Y286" s="224"/>
      <c r="Z286" s="224"/>
      <c r="AA286" s="224"/>
      <c r="AB286" s="224"/>
      <c r="AC286" s="224"/>
      <c r="AD286" s="224"/>
      <c r="AE286" s="224"/>
      <c r="AF286" s="224"/>
      <c r="AG286" s="224"/>
      <c r="AH286" s="224"/>
      <c r="AI286" s="224"/>
      <c r="AJ286" s="224"/>
      <c r="AK286" s="224"/>
      <c r="AL286" s="224"/>
      <c r="AM286" s="224"/>
      <c r="AN286" s="224"/>
      <c r="AO286" s="224"/>
      <c r="AP286" s="224"/>
      <c r="AQ286" s="224"/>
      <c r="AR286" s="224"/>
      <c r="AS286" s="224"/>
      <c r="AT286" s="224"/>
    </row>
    <row r="287" spans="1:46" ht="17.25" hidden="1" customHeight="1" x14ac:dyDescent="0.3">
      <c r="A287" s="242">
        <v>67</v>
      </c>
      <c r="B287" s="243" t="s">
        <v>48</v>
      </c>
      <c r="C287" s="244" t="s">
        <v>624</v>
      </c>
      <c r="D287" s="244" t="s">
        <v>707</v>
      </c>
      <c r="E287" s="245">
        <v>6</v>
      </c>
      <c r="F287" s="246">
        <v>41153</v>
      </c>
      <c r="G287" s="247" t="s">
        <v>625</v>
      </c>
      <c r="H287" s="244">
        <v>5108813622</v>
      </c>
      <c r="I287" s="247" t="s">
        <v>626</v>
      </c>
      <c r="J287" s="246">
        <v>45154</v>
      </c>
      <c r="K287" s="247"/>
      <c r="L287" s="247"/>
      <c r="M287" s="244"/>
      <c r="N287" s="243" t="s">
        <v>34</v>
      </c>
      <c r="O287" s="248">
        <v>45444</v>
      </c>
      <c r="P287" s="249"/>
      <c r="Q287" s="249"/>
      <c r="R287" s="249"/>
      <c r="S287" s="249"/>
      <c r="T287" s="249"/>
      <c r="U287" s="249"/>
      <c r="V287" s="249"/>
      <c r="W287" s="249"/>
      <c r="X287" s="249"/>
      <c r="Y287" s="249"/>
      <c r="Z287" s="249"/>
      <c r="AA287" s="249"/>
      <c r="AB287" s="249"/>
      <c r="AC287" s="249"/>
      <c r="AD287" s="249"/>
      <c r="AE287" s="249"/>
      <c r="AF287" s="249"/>
      <c r="AG287" s="249"/>
      <c r="AH287" s="249"/>
      <c r="AI287" s="249"/>
      <c r="AJ287" s="249"/>
      <c r="AK287" s="249"/>
      <c r="AL287" s="249"/>
      <c r="AM287" s="249"/>
      <c r="AN287" s="249"/>
      <c r="AO287" s="249"/>
      <c r="AP287" s="249"/>
      <c r="AQ287" s="249"/>
      <c r="AR287" s="249"/>
      <c r="AS287" s="249"/>
      <c r="AT287" s="249"/>
    </row>
    <row r="288" spans="1:46" ht="17.25" hidden="1" customHeight="1" x14ac:dyDescent="0.3">
      <c r="A288" s="242">
        <v>68</v>
      </c>
      <c r="B288" s="243" t="s">
        <v>89</v>
      </c>
      <c r="C288" s="244" t="s">
        <v>624</v>
      </c>
      <c r="D288" s="244" t="s">
        <v>707</v>
      </c>
      <c r="E288" s="245">
        <v>6</v>
      </c>
      <c r="F288" s="246">
        <v>41153</v>
      </c>
      <c r="G288" s="247" t="s">
        <v>625</v>
      </c>
      <c r="H288" s="244">
        <v>5108813622</v>
      </c>
      <c r="I288" s="247" t="s">
        <v>626</v>
      </c>
      <c r="J288" s="246">
        <v>45154</v>
      </c>
      <c r="K288" s="247"/>
      <c r="L288" s="247"/>
      <c r="M288" s="244"/>
      <c r="N288" s="243" t="s">
        <v>34</v>
      </c>
      <c r="O288" s="248">
        <v>45444</v>
      </c>
      <c r="P288" s="249"/>
      <c r="Q288" s="249"/>
      <c r="R288" s="249"/>
      <c r="S288" s="249"/>
      <c r="T288" s="249"/>
      <c r="U288" s="249"/>
      <c r="V288" s="249"/>
      <c r="W288" s="249"/>
      <c r="X288" s="249"/>
      <c r="Y288" s="249"/>
      <c r="Z288" s="249"/>
      <c r="AA288" s="249"/>
      <c r="AB288" s="249"/>
      <c r="AC288" s="249"/>
      <c r="AD288" s="249"/>
      <c r="AE288" s="249"/>
      <c r="AF288" s="249"/>
      <c r="AG288" s="249"/>
      <c r="AH288" s="249"/>
      <c r="AI288" s="249"/>
      <c r="AJ288" s="249"/>
      <c r="AK288" s="249"/>
      <c r="AL288" s="249"/>
      <c r="AM288" s="249"/>
      <c r="AN288" s="249"/>
      <c r="AO288" s="249"/>
      <c r="AP288" s="249"/>
      <c r="AQ288" s="249"/>
      <c r="AR288" s="249"/>
      <c r="AS288" s="249"/>
      <c r="AT288" s="249"/>
    </row>
    <row r="289" spans="1:46" ht="17.25" hidden="1" customHeight="1" x14ac:dyDescent="0.3">
      <c r="A289" s="232">
        <v>69</v>
      </c>
      <c r="B289" s="233" t="s">
        <v>89</v>
      </c>
      <c r="C289" s="302" t="s">
        <v>656</v>
      </c>
      <c r="D289" s="302" t="s">
        <v>708</v>
      </c>
      <c r="E289" s="303">
        <v>3</v>
      </c>
      <c r="F289" s="304">
        <v>42122</v>
      </c>
      <c r="G289" s="305" t="s">
        <v>657</v>
      </c>
      <c r="H289" s="302">
        <v>4087591928</v>
      </c>
      <c r="I289" s="305" t="s">
        <v>658</v>
      </c>
      <c r="J289" s="304">
        <v>45246</v>
      </c>
      <c r="K289" s="305"/>
      <c r="L289" s="305"/>
      <c r="M289" s="302" t="s">
        <v>659</v>
      </c>
      <c r="N289" s="233" t="s">
        <v>34</v>
      </c>
      <c r="O289" s="237">
        <v>45444</v>
      </c>
      <c r="P289" s="224"/>
      <c r="Q289" s="224"/>
      <c r="R289" s="224"/>
      <c r="S289" s="224"/>
      <c r="T289" s="224"/>
      <c r="U289" s="224"/>
      <c r="V289" s="224"/>
      <c r="W289" s="224"/>
      <c r="X289" s="224"/>
      <c r="Y289" s="224"/>
      <c r="Z289" s="224"/>
      <c r="AA289" s="224"/>
      <c r="AB289" s="224"/>
      <c r="AC289" s="224"/>
      <c r="AD289" s="224"/>
      <c r="AE289" s="224"/>
      <c r="AF289" s="224"/>
      <c r="AG289" s="224"/>
      <c r="AH289" s="224"/>
      <c r="AI289" s="224"/>
      <c r="AJ289" s="224"/>
      <c r="AK289" s="224"/>
      <c r="AL289" s="224"/>
      <c r="AM289" s="224"/>
      <c r="AN289" s="224"/>
      <c r="AO289" s="224"/>
      <c r="AP289" s="224"/>
      <c r="AQ289" s="224"/>
      <c r="AR289" s="224"/>
      <c r="AS289" s="224"/>
      <c r="AT289" s="224"/>
    </row>
    <row r="290" spans="1:46" ht="17.25" hidden="1" customHeight="1" x14ac:dyDescent="0.3">
      <c r="A290" s="242">
        <v>70</v>
      </c>
      <c r="B290" s="243" t="s">
        <v>89</v>
      </c>
      <c r="C290" s="250" t="s">
        <v>504</v>
      </c>
      <c r="D290" s="250" t="s">
        <v>513</v>
      </c>
      <c r="E290" s="242">
        <v>6</v>
      </c>
      <c r="F290" s="251">
        <v>40961</v>
      </c>
      <c r="G290" s="247" t="s">
        <v>664</v>
      </c>
      <c r="H290" s="247">
        <v>4087977701</v>
      </c>
      <c r="I290" s="247" t="s">
        <v>507</v>
      </c>
      <c r="J290" s="251">
        <v>45323</v>
      </c>
      <c r="K290" s="252"/>
      <c r="L290" s="252"/>
      <c r="M290" s="250" t="s">
        <v>665</v>
      </c>
      <c r="N290" s="243" t="s">
        <v>34</v>
      </c>
      <c r="O290" s="248">
        <v>45444</v>
      </c>
      <c r="P290" s="249"/>
      <c r="Q290" s="249"/>
      <c r="R290" s="249"/>
      <c r="S290" s="249"/>
      <c r="T290" s="249"/>
      <c r="U290" s="249"/>
      <c r="V290" s="249"/>
      <c r="W290" s="249"/>
      <c r="X290" s="249"/>
      <c r="Y290" s="249"/>
      <c r="Z290" s="249"/>
      <c r="AA290" s="249"/>
      <c r="AB290" s="249"/>
      <c r="AC290" s="249"/>
      <c r="AD290" s="249"/>
      <c r="AE290" s="249"/>
      <c r="AF290" s="249"/>
      <c r="AG290" s="249"/>
      <c r="AH290" s="249"/>
      <c r="AI290" s="249"/>
      <c r="AJ290" s="249"/>
      <c r="AK290" s="249"/>
      <c r="AL290" s="249"/>
      <c r="AM290" s="249"/>
      <c r="AN290" s="249"/>
      <c r="AO290" s="249"/>
      <c r="AP290" s="249"/>
      <c r="AQ290" s="249"/>
      <c r="AR290" s="249"/>
      <c r="AS290" s="249"/>
      <c r="AT290" s="249"/>
    </row>
    <row r="291" spans="1:46" ht="17.25" hidden="1" customHeight="1" x14ac:dyDescent="0.3">
      <c r="A291" s="254">
        <v>1</v>
      </c>
      <c r="B291" s="263" t="s">
        <v>48</v>
      </c>
      <c r="C291" s="269" t="s">
        <v>534</v>
      </c>
      <c r="D291" s="269" t="s">
        <v>709</v>
      </c>
      <c r="E291" s="254">
        <v>3</v>
      </c>
      <c r="F291" s="265">
        <v>42387</v>
      </c>
      <c r="G291" s="267" t="s">
        <v>710</v>
      </c>
      <c r="H291" s="264">
        <v>9258603355</v>
      </c>
      <c r="I291" s="267" t="s">
        <v>711</v>
      </c>
      <c r="J291" s="265">
        <v>45231</v>
      </c>
      <c r="K291" s="267"/>
      <c r="L291" s="267"/>
      <c r="M291" s="264" t="s">
        <v>712</v>
      </c>
      <c r="N291" s="263" t="s">
        <v>34</v>
      </c>
      <c r="O291" s="273">
        <v>45474</v>
      </c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</row>
    <row r="292" spans="1:46" ht="17.25" hidden="1" customHeight="1" x14ac:dyDescent="0.3">
      <c r="A292" s="254">
        <v>2</v>
      </c>
      <c r="B292" s="263" t="s">
        <v>89</v>
      </c>
      <c r="C292" s="269" t="s">
        <v>534</v>
      </c>
      <c r="D292" s="269" t="s">
        <v>709</v>
      </c>
      <c r="E292" s="254">
        <v>3</v>
      </c>
      <c r="F292" s="265">
        <v>42387</v>
      </c>
      <c r="G292" s="267" t="s">
        <v>710</v>
      </c>
      <c r="H292" s="264">
        <v>9258603355</v>
      </c>
      <c r="I292" s="267" t="s">
        <v>711</v>
      </c>
      <c r="J292" s="265">
        <v>45231</v>
      </c>
      <c r="K292" s="267"/>
      <c r="L292" s="267"/>
      <c r="M292" s="264" t="s">
        <v>712</v>
      </c>
      <c r="N292" s="263" t="s">
        <v>34</v>
      </c>
      <c r="O292" s="273">
        <v>45474</v>
      </c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</row>
    <row r="293" spans="1:46" ht="17.25" hidden="1" customHeight="1" x14ac:dyDescent="0.3">
      <c r="A293" s="254">
        <v>3</v>
      </c>
      <c r="B293" s="263" t="s">
        <v>48</v>
      </c>
      <c r="C293" s="270" t="s">
        <v>713</v>
      </c>
      <c r="D293" s="270" t="s">
        <v>714</v>
      </c>
      <c r="E293" s="271">
        <v>2</v>
      </c>
      <c r="F293" s="272">
        <v>42521</v>
      </c>
      <c r="G293" s="266" t="s">
        <v>715</v>
      </c>
      <c r="H293" s="270">
        <v>4089311977</v>
      </c>
      <c r="I293" s="266" t="s">
        <v>716</v>
      </c>
      <c r="J293" s="272">
        <v>45161</v>
      </c>
      <c r="K293" s="266"/>
      <c r="L293" s="266"/>
      <c r="M293" s="270" t="s">
        <v>717</v>
      </c>
      <c r="N293" s="263" t="s">
        <v>34</v>
      </c>
      <c r="O293" s="273">
        <v>45474</v>
      </c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</row>
    <row r="294" spans="1:46" ht="17.25" hidden="1" customHeight="1" x14ac:dyDescent="0.3">
      <c r="A294" s="254">
        <v>4</v>
      </c>
      <c r="B294" s="263" t="s">
        <v>89</v>
      </c>
      <c r="C294" s="270" t="s">
        <v>713</v>
      </c>
      <c r="D294" s="270" t="s">
        <v>714</v>
      </c>
      <c r="E294" s="271">
        <v>2</v>
      </c>
      <c r="F294" s="272">
        <v>42521</v>
      </c>
      <c r="G294" s="266" t="s">
        <v>715</v>
      </c>
      <c r="H294" s="270">
        <v>4089311977</v>
      </c>
      <c r="I294" s="266" t="s">
        <v>716</v>
      </c>
      <c r="J294" s="272">
        <v>45161</v>
      </c>
      <c r="K294" s="266"/>
      <c r="L294" s="266"/>
      <c r="M294" s="270" t="s">
        <v>717</v>
      </c>
      <c r="N294" s="263" t="s">
        <v>34</v>
      </c>
      <c r="O294" s="273">
        <v>45474</v>
      </c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</row>
    <row r="295" spans="1:46" ht="17.25" hidden="1" customHeight="1" x14ac:dyDescent="0.3">
      <c r="A295" s="254">
        <v>5</v>
      </c>
      <c r="B295" s="263" t="s">
        <v>48</v>
      </c>
      <c r="C295" s="270" t="s">
        <v>718</v>
      </c>
      <c r="D295" s="270" t="s">
        <v>719</v>
      </c>
      <c r="E295" s="271">
        <v>1</v>
      </c>
      <c r="F295" s="272" t="s">
        <v>720</v>
      </c>
      <c r="G295" s="266" t="s">
        <v>721</v>
      </c>
      <c r="H295" s="270">
        <v>5105654841</v>
      </c>
      <c r="I295" s="266" t="s">
        <v>722</v>
      </c>
      <c r="J295" s="272" t="s">
        <v>311</v>
      </c>
      <c r="K295" s="266"/>
      <c r="L295" s="266"/>
      <c r="M295" s="270"/>
      <c r="N295" s="263" t="s">
        <v>34</v>
      </c>
      <c r="O295" s="273">
        <v>45474</v>
      </c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</row>
    <row r="296" spans="1:46" ht="17.25" hidden="1" customHeight="1" x14ac:dyDescent="0.3">
      <c r="A296" s="254">
        <v>6</v>
      </c>
      <c r="B296" s="263" t="s">
        <v>89</v>
      </c>
      <c r="C296" s="270" t="s">
        <v>718</v>
      </c>
      <c r="D296" s="270" t="s">
        <v>719</v>
      </c>
      <c r="E296" s="271">
        <v>1</v>
      </c>
      <c r="F296" s="272" t="s">
        <v>720</v>
      </c>
      <c r="G296" s="266" t="s">
        <v>721</v>
      </c>
      <c r="H296" s="270">
        <v>5105654841</v>
      </c>
      <c r="I296" s="266" t="s">
        <v>722</v>
      </c>
      <c r="J296" s="272" t="s">
        <v>311</v>
      </c>
      <c r="K296" s="266"/>
      <c r="L296" s="266"/>
      <c r="M296" s="270"/>
      <c r="N296" s="263" t="s">
        <v>34</v>
      </c>
      <c r="O296" s="273">
        <v>45474</v>
      </c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</row>
    <row r="297" spans="1:46" ht="17.25" hidden="1" customHeight="1" x14ac:dyDescent="0.3">
      <c r="A297" s="308">
        <v>7</v>
      </c>
      <c r="B297" s="309" t="s">
        <v>48</v>
      </c>
      <c r="C297" s="310" t="s">
        <v>487</v>
      </c>
      <c r="D297" s="310" t="s">
        <v>723</v>
      </c>
      <c r="E297" s="308">
        <v>2</v>
      </c>
      <c r="F297" s="311">
        <v>42933</v>
      </c>
      <c r="G297" s="312" t="s">
        <v>724</v>
      </c>
      <c r="H297" s="312">
        <v>4083986905</v>
      </c>
      <c r="I297" s="312" t="s">
        <v>725</v>
      </c>
      <c r="J297" s="311">
        <v>45323</v>
      </c>
      <c r="K297" s="313"/>
      <c r="L297" s="313"/>
      <c r="M297" s="310" t="s">
        <v>726</v>
      </c>
      <c r="N297" s="309" t="s">
        <v>34</v>
      </c>
      <c r="O297" s="314">
        <v>45474</v>
      </c>
      <c r="P297" s="315"/>
      <c r="Q297" s="315"/>
      <c r="R297" s="315"/>
      <c r="S297" s="315"/>
      <c r="T297" s="315"/>
      <c r="U297" s="315"/>
      <c r="V297" s="315"/>
      <c r="W297" s="315"/>
      <c r="X297" s="315"/>
      <c r="Y297" s="315"/>
      <c r="Z297" s="315"/>
      <c r="AA297" s="315"/>
      <c r="AB297" s="315"/>
      <c r="AC297" s="315"/>
      <c r="AD297" s="315"/>
      <c r="AE297" s="315"/>
      <c r="AF297" s="315"/>
      <c r="AG297" s="315"/>
      <c r="AH297" s="315"/>
      <c r="AI297" s="315"/>
      <c r="AJ297" s="315"/>
      <c r="AK297" s="315"/>
      <c r="AL297" s="315"/>
      <c r="AM297" s="315"/>
      <c r="AN297" s="315"/>
      <c r="AO297" s="315"/>
      <c r="AP297" s="315"/>
      <c r="AQ297" s="315"/>
      <c r="AR297" s="315"/>
      <c r="AS297" s="315"/>
      <c r="AT297" s="315"/>
    </row>
    <row r="298" spans="1:46" ht="17.25" hidden="1" customHeight="1" x14ac:dyDescent="0.3">
      <c r="A298" s="308">
        <v>8</v>
      </c>
      <c r="B298" s="309" t="s">
        <v>89</v>
      </c>
      <c r="C298" s="310" t="s">
        <v>487</v>
      </c>
      <c r="D298" s="310" t="s">
        <v>723</v>
      </c>
      <c r="E298" s="308">
        <v>2</v>
      </c>
      <c r="F298" s="311">
        <v>42933</v>
      </c>
      <c r="G298" s="312" t="s">
        <v>724</v>
      </c>
      <c r="H298" s="312">
        <v>4083986905</v>
      </c>
      <c r="I298" s="312" t="s">
        <v>725</v>
      </c>
      <c r="J298" s="311">
        <v>45323</v>
      </c>
      <c r="K298" s="313"/>
      <c r="L298" s="313"/>
      <c r="M298" s="310" t="s">
        <v>726</v>
      </c>
      <c r="N298" s="309" t="s">
        <v>34</v>
      </c>
      <c r="O298" s="314">
        <v>45474</v>
      </c>
      <c r="P298" s="315"/>
      <c r="Q298" s="315"/>
      <c r="R298" s="315"/>
      <c r="S298" s="315"/>
      <c r="T298" s="315"/>
      <c r="U298" s="315"/>
      <c r="V298" s="315"/>
      <c r="W298" s="315"/>
      <c r="X298" s="315"/>
      <c r="Y298" s="315"/>
      <c r="Z298" s="315"/>
      <c r="AA298" s="315"/>
      <c r="AB298" s="315"/>
      <c r="AC298" s="315"/>
      <c r="AD298" s="315"/>
      <c r="AE298" s="315"/>
      <c r="AF298" s="315"/>
      <c r="AG298" s="315"/>
      <c r="AH298" s="315"/>
      <c r="AI298" s="315"/>
      <c r="AJ298" s="315"/>
      <c r="AK298" s="315"/>
      <c r="AL298" s="315"/>
      <c r="AM298" s="315"/>
      <c r="AN298" s="315"/>
      <c r="AO298" s="315"/>
      <c r="AP298" s="315"/>
      <c r="AQ298" s="315"/>
      <c r="AR298" s="315"/>
      <c r="AS298" s="315"/>
      <c r="AT298" s="315"/>
    </row>
    <row r="299" spans="1:46" ht="17.25" hidden="1" customHeight="1" x14ac:dyDescent="0.3">
      <c r="A299" s="308">
        <v>9</v>
      </c>
      <c r="B299" s="309" t="s">
        <v>48</v>
      </c>
      <c r="C299" s="310" t="s">
        <v>375</v>
      </c>
      <c r="D299" s="310" t="s">
        <v>425</v>
      </c>
      <c r="E299" s="308" t="s">
        <v>183</v>
      </c>
      <c r="F299" s="311">
        <v>42867</v>
      </c>
      <c r="G299" s="312" t="s">
        <v>426</v>
      </c>
      <c r="H299" s="312">
        <v>4086432868</v>
      </c>
      <c r="I299" s="312" t="s">
        <v>427</v>
      </c>
      <c r="J299" s="311">
        <v>45154</v>
      </c>
      <c r="K299" s="313"/>
      <c r="L299" s="313"/>
      <c r="M299" s="310" t="s">
        <v>727</v>
      </c>
      <c r="N299" s="309" t="s">
        <v>34</v>
      </c>
      <c r="O299" s="314">
        <v>45474</v>
      </c>
      <c r="P299" s="315"/>
      <c r="Q299" s="315"/>
      <c r="R299" s="315"/>
      <c r="S299" s="315"/>
      <c r="T299" s="315"/>
      <c r="U299" s="315"/>
      <c r="V299" s="315"/>
      <c r="W299" s="315"/>
      <c r="X299" s="315"/>
      <c r="Y299" s="315"/>
      <c r="Z299" s="315"/>
      <c r="AA299" s="315"/>
      <c r="AB299" s="315"/>
      <c r="AC299" s="315"/>
      <c r="AD299" s="315"/>
      <c r="AE299" s="315"/>
      <c r="AF299" s="315"/>
      <c r="AG299" s="315"/>
      <c r="AH299" s="315"/>
      <c r="AI299" s="315"/>
      <c r="AJ299" s="315"/>
      <c r="AK299" s="315"/>
      <c r="AL299" s="315"/>
      <c r="AM299" s="315"/>
      <c r="AN299" s="315"/>
      <c r="AO299" s="315"/>
      <c r="AP299" s="315"/>
      <c r="AQ299" s="315"/>
      <c r="AR299" s="315"/>
      <c r="AS299" s="315"/>
      <c r="AT299" s="315"/>
    </row>
    <row r="300" spans="1:46" ht="17.25" hidden="1" customHeight="1" x14ac:dyDescent="0.3">
      <c r="A300" s="308">
        <v>10</v>
      </c>
      <c r="B300" s="309" t="s">
        <v>89</v>
      </c>
      <c r="C300" s="310" t="s">
        <v>375</v>
      </c>
      <c r="D300" s="310" t="s">
        <v>425</v>
      </c>
      <c r="E300" s="308" t="s">
        <v>183</v>
      </c>
      <c r="F300" s="311">
        <v>42867</v>
      </c>
      <c r="G300" s="312" t="s">
        <v>426</v>
      </c>
      <c r="H300" s="312">
        <v>4086432868</v>
      </c>
      <c r="I300" s="312" t="s">
        <v>427</v>
      </c>
      <c r="J300" s="311">
        <v>45154</v>
      </c>
      <c r="K300" s="313"/>
      <c r="L300" s="313"/>
      <c r="M300" s="310" t="s">
        <v>726</v>
      </c>
      <c r="N300" s="309" t="s">
        <v>34</v>
      </c>
      <c r="O300" s="314">
        <v>45474</v>
      </c>
      <c r="P300" s="315"/>
      <c r="Q300" s="315"/>
      <c r="R300" s="315"/>
      <c r="S300" s="315"/>
      <c r="T300" s="315"/>
      <c r="U300" s="315"/>
      <c r="V300" s="315"/>
      <c r="W300" s="315"/>
      <c r="X300" s="315"/>
      <c r="Y300" s="315"/>
      <c r="Z300" s="315"/>
      <c r="AA300" s="315"/>
      <c r="AB300" s="315"/>
      <c r="AC300" s="315"/>
      <c r="AD300" s="315"/>
      <c r="AE300" s="315"/>
      <c r="AF300" s="315"/>
      <c r="AG300" s="315"/>
      <c r="AH300" s="315"/>
      <c r="AI300" s="315"/>
      <c r="AJ300" s="315"/>
      <c r="AK300" s="315"/>
      <c r="AL300" s="315"/>
      <c r="AM300" s="315"/>
      <c r="AN300" s="315"/>
      <c r="AO300" s="315"/>
      <c r="AP300" s="315"/>
      <c r="AQ300" s="315"/>
      <c r="AR300" s="315"/>
      <c r="AS300" s="315"/>
      <c r="AT300" s="315"/>
    </row>
    <row r="301" spans="1:46" ht="17.25" hidden="1" customHeight="1" x14ac:dyDescent="0.3">
      <c r="A301" s="254">
        <v>11</v>
      </c>
      <c r="B301" s="263" t="s">
        <v>48</v>
      </c>
      <c r="C301" s="269" t="s">
        <v>247</v>
      </c>
      <c r="D301" s="269" t="s">
        <v>728</v>
      </c>
      <c r="E301" s="254">
        <v>5</v>
      </c>
      <c r="F301" s="265">
        <v>41298</v>
      </c>
      <c r="G301" s="267" t="s">
        <v>729</v>
      </c>
      <c r="H301" s="264">
        <v>7138395988</v>
      </c>
      <c r="I301" s="267" t="s">
        <v>348</v>
      </c>
      <c r="J301" s="265">
        <v>45124</v>
      </c>
      <c r="K301" s="267"/>
      <c r="L301" s="267"/>
      <c r="M301" s="264" t="s">
        <v>730</v>
      </c>
      <c r="N301" s="263" t="s">
        <v>34</v>
      </c>
      <c r="O301" s="273">
        <v>45474</v>
      </c>
      <c r="P301" s="316"/>
      <c r="Q301" s="266"/>
      <c r="R301" s="266"/>
      <c r="S301" s="266"/>
      <c r="T301" s="266"/>
      <c r="U301" s="266"/>
      <c r="V301" s="266"/>
      <c r="W301" s="266"/>
      <c r="X301" s="266"/>
      <c r="Y301" s="266"/>
      <c r="Z301" s="266"/>
      <c r="AA301" s="266"/>
      <c r="AB301" s="266"/>
      <c r="AC301" s="266"/>
      <c r="AD301" s="266"/>
      <c r="AE301" s="266"/>
      <c r="AF301" s="266"/>
      <c r="AG301" s="266"/>
      <c r="AH301" s="266"/>
      <c r="AI301" s="266"/>
      <c r="AJ301" s="266"/>
      <c r="AK301" s="266"/>
      <c r="AL301" s="266"/>
      <c r="AM301" s="266"/>
      <c r="AN301" s="266"/>
      <c r="AO301" s="266"/>
      <c r="AP301" s="266"/>
      <c r="AQ301" s="266"/>
      <c r="AR301" s="266"/>
      <c r="AS301" s="266"/>
      <c r="AT301" s="266"/>
    </row>
    <row r="302" spans="1:46" ht="17.25" hidden="1" customHeight="1" x14ac:dyDescent="0.3">
      <c r="A302" s="254">
        <v>12</v>
      </c>
      <c r="B302" s="263" t="s">
        <v>89</v>
      </c>
      <c r="C302" s="269" t="s">
        <v>247</v>
      </c>
      <c r="D302" s="269" t="s">
        <v>728</v>
      </c>
      <c r="E302" s="254">
        <v>5</v>
      </c>
      <c r="F302" s="265">
        <v>41298</v>
      </c>
      <c r="G302" s="267" t="s">
        <v>729</v>
      </c>
      <c r="H302" s="264">
        <v>7138395988</v>
      </c>
      <c r="I302" s="267" t="s">
        <v>348</v>
      </c>
      <c r="J302" s="265">
        <v>45124</v>
      </c>
      <c r="K302" s="267"/>
      <c r="L302" s="267"/>
      <c r="M302" s="264" t="s">
        <v>730</v>
      </c>
      <c r="N302" s="263" t="s">
        <v>34</v>
      </c>
      <c r="O302" s="273">
        <v>45474</v>
      </c>
      <c r="P302" s="316"/>
      <c r="Q302" s="266"/>
      <c r="R302" s="266"/>
      <c r="S302" s="266"/>
      <c r="T302" s="266"/>
      <c r="U302" s="266"/>
      <c r="V302" s="266"/>
      <c r="W302" s="266"/>
      <c r="X302" s="266"/>
      <c r="Y302" s="266"/>
      <c r="Z302" s="266"/>
      <c r="AA302" s="266"/>
      <c r="AB302" s="266"/>
      <c r="AC302" s="266"/>
      <c r="AD302" s="266"/>
      <c r="AE302" s="266"/>
      <c r="AF302" s="266"/>
      <c r="AG302" s="266"/>
      <c r="AH302" s="266"/>
      <c r="AI302" s="266"/>
      <c r="AJ302" s="266"/>
      <c r="AK302" s="266"/>
      <c r="AL302" s="266"/>
      <c r="AM302" s="266"/>
      <c r="AN302" s="266"/>
      <c r="AO302" s="266"/>
      <c r="AP302" s="266"/>
      <c r="AQ302" s="266"/>
      <c r="AR302" s="266"/>
      <c r="AS302" s="266"/>
      <c r="AT302" s="266"/>
    </row>
    <row r="303" spans="1:46" ht="17.25" hidden="1" customHeight="1" x14ac:dyDescent="0.3">
      <c r="A303" s="317">
        <v>1</v>
      </c>
      <c r="B303" s="318" t="s">
        <v>48</v>
      </c>
      <c r="C303" s="319" t="s">
        <v>155</v>
      </c>
      <c r="D303" s="319" t="s">
        <v>731</v>
      </c>
      <c r="E303" s="320">
        <v>5</v>
      </c>
      <c r="F303" s="321" t="s">
        <v>732</v>
      </c>
      <c r="G303" s="322" t="s">
        <v>733</v>
      </c>
      <c r="H303" s="319">
        <v>6506053215</v>
      </c>
      <c r="I303" s="322" t="s">
        <v>734</v>
      </c>
      <c r="J303" s="321" t="s">
        <v>735</v>
      </c>
      <c r="K303" s="322"/>
      <c r="L303" s="322"/>
      <c r="M303" s="319"/>
      <c r="N303" s="318" t="s">
        <v>34</v>
      </c>
      <c r="O303" s="323">
        <v>45505</v>
      </c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</row>
    <row r="304" spans="1:46" ht="17.25" hidden="1" customHeight="1" x14ac:dyDescent="0.3">
      <c r="A304" s="317">
        <v>2</v>
      </c>
      <c r="B304" s="318" t="s">
        <v>89</v>
      </c>
      <c r="C304" s="319" t="s">
        <v>155</v>
      </c>
      <c r="D304" s="319" t="s">
        <v>731</v>
      </c>
      <c r="E304" s="320">
        <v>5</v>
      </c>
      <c r="F304" s="321" t="s">
        <v>732</v>
      </c>
      <c r="G304" s="322" t="s">
        <v>733</v>
      </c>
      <c r="H304" s="319">
        <v>6506053215</v>
      </c>
      <c r="I304" s="322" t="s">
        <v>734</v>
      </c>
      <c r="J304" s="321" t="s">
        <v>735</v>
      </c>
      <c r="K304" s="322"/>
      <c r="L304" s="322"/>
      <c r="M304" s="319" t="s">
        <v>736</v>
      </c>
      <c r="N304" s="318" t="s">
        <v>34</v>
      </c>
      <c r="O304" s="323">
        <v>45505</v>
      </c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</row>
    <row r="305" spans="1:46" ht="17.25" hidden="1" customHeight="1" x14ac:dyDescent="0.3">
      <c r="A305" s="317">
        <v>3</v>
      </c>
      <c r="B305" s="318" t="s">
        <v>48</v>
      </c>
      <c r="C305" s="319" t="s">
        <v>737</v>
      </c>
      <c r="D305" s="319" t="s">
        <v>738</v>
      </c>
      <c r="E305" s="320">
        <v>6</v>
      </c>
      <c r="F305" s="321" t="s">
        <v>739</v>
      </c>
      <c r="G305" s="322" t="s">
        <v>740</v>
      </c>
      <c r="H305" s="319" t="s">
        <v>741</v>
      </c>
      <c r="I305" s="322" t="s">
        <v>742</v>
      </c>
      <c r="J305" s="321" t="s">
        <v>743</v>
      </c>
      <c r="K305" s="322"/>
      <c r="L305" s="322"/>
      <c r="M305" s="319" t="s">
        <v>744</v>
      </c>
      <c r="N305" s="318" t="s">
        <v>34</v>
      </c>
      <c r="O305" s="323">
        <v>45505</v>
      </c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</row>
    <row r="306" spans="1:46" ht="17.25" hidden="1" customHeight="1" x14ac:dyDescent="0.3">
      <c r="A306" s="317">
        <v>4</v>
      </c>
      <c r="B306" s="318" t="s">
        <v>89</v>
      </c>
      <c r="C306" s="319" t="s">
        <v>737</v>
      </c>
      <c r="D306" s="319" t="s">
        <v>738</v>
      </c>
      <c r="E306" s="320">
        <v>6</v>
      </c>
      <c r="F306" s="321" t="s">
        <v>739</v>
      </c>
      <c r="G306" s="322" t="s">
        <v>740</v>
      </c>
      <c r="H306" s="319" t="s">
        <v>741</v>
      </c>
      <c r="I306" s="322" t="s">
        <v>742</v>
      </c>
      <c r="J306" s="321" t="s">
        <v>743</v>
      </c>
      <c r="K306" s="322"/>
      <c r="L306" s="322"/>
      <c r="M306" s="319" t="s">
        <v>744</v>
      </c>
      <c r="N306" s="318" t="s">
        <v>34</v>
      </c>
      <c r="O306" s="323">
        <v>45505</v>
      </c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</row>
    <row r="307" spans="1:46" ht="17.25" hidden="1" customHeight="1" x14ac:dyDescent="0.3">
      <c r="A307" s="317">
        <v>5</v>
      </c>
      <c r="B307" s="318" t="s">
        <v>48</v>
      </c>
      <c r="C307" s="319" t="s">
        <v>737</v>
      </c>
      <c r="D307" s="319" t="s">
        <v>745</v>
      </c>
      <c r="E307" s="320">
        <v>9</v>
      </c>
      <c r="F307" s="321" t="s">
        <v>746</v>
      </c>
      <c r="G307" s="322" t="s">
        <v>740</v>
      </c>
      <c r="H307" s="319" t="s">
        <v>741</v>
      </c>
      <c r="I307" s="322" t="s">
        <v>742</v>
      </c>
      <c r="J307" s="321" t="s">
        <v>743</v>
      </c>
      <c r="K307" s="322"/>
      <c r="L307" s="322"/>
      <c r="M307" s="319" t="s">
        <v>744</v>
      </c>
      <c r="N307" s="318" t="s">
        <v>34</v>
      </c>
      <c r="O307" s="323">
        <v>45505</v>
      </c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</row>
    <row r="308" spans="1:46" ht="17.25" hidden="1" customHeight="1" x14ac:dyDescent="0.3">
      <c r="A308" s="317">
        <v>6</v>
      </c>
      <c r="B308" s="318" t="s">
        <v>89</v>
      </c>
      <c r="C308" s="319" t="s">
        <v>737</v>
      </c>
      <c r="D308" s="319" t="s">
        <v>745</v>
      </c>
      <c r="E308" s="320">
        <v>9</v>
      </c>
      <c r="F308" s="321" t="s">
        <v>746</v>
      </c>
      <c r="G308" s="322" t="s">
        <v>740</v>
      </c>
      <c r="H308" s="319" t="s">
        <v>741</v>
      </c>
      <c r="I308" s="322" t="s">
        <v>742</v>
      </c>
      <c r="J308" s="321" t="s">
        <v>743</v>
      </c>
      <c r="K308" s="322"/>
      <c r="L308" s="322"/>
      <c r="M308" s="319" t="s">
        <v>744</v>
      </c>
      <c r="N308" s="318" t="s">
        <v>34</v>
      </c>
      <c r="O308" s="323">
        <v>45505</v>
      </c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</row>
    <row r="309" spans="1:46" ht="17.25" hidden="1" customHeight="1" x14ac:dyDescent="0.3">
      <c r="A309" s="317">
        <v>7</v>
      </c>
      <c r="B309" s="318" t="s">
        <v>48</v>
      </c>
      <c r="C309" s="319" t="s">
        <v>747</v>
      </c>
      <c r="D309" s="319" t="s">
        <v>748</v>
      </c>
      <c r="E309" s="320">
        <v>1</v>
      </c>
      <c r="F309" s="321" t="s">
        <v>749</v>
      </c>
      <c r="G309" s="322" t="s">
        <v>750</v>
      </c>
      <c r="H309" s="319" t="s">
        <v>751</v>
      </c>
      <c r="I309" s="322" t="s">
        <v>752</v>
      </c>
      <c r="J309" s="321" t="s">
        <v>753</v>
      </c>
      <c r="K309" s="322"/>
      <c r="L309" s="322"/>
      <c r="M309" s="319" t="s">
        <v>468</v>
      </c>
      <c r="N309" s="318" t="s">
        <v>34</v>
      </c>
      <c r="O309" s="323">
        <v>45505</v>
      </c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</row>
    <row r="310" spans="1:46" ht="17.25" hidden="1" customHeight="1" x14ac:dyDescent="0.3">
      <c r="A310" s="317">
        <v>8</v>
      </c>
      <c r="B310" s="318" t="s">
        <v>89</v>
      </c>
      <c r="C310" s="319" t="s">
        <v>747</v>
      </c>
      <c r="D310" s="319" t="s">
        <v>748</v>
      </c>
      <c r="E310" s="320">
        <v>1</v>
      </c>
      <c r="F310" s="321" t="s">
        <v>749</v>
      </c>
      <c r="G310" s="322" t="s">
        <v>750</v>
      </c>
      <c r="H310" s="319" t="s">
        <v>751</v>
      </c>
      <c r="I310" s="322" t="s">
        <v>752</v>
      </c>
      <c r="J310" s="321" t="s">
        <v>753</v>
      </c>
      <c r="K310" s="322"/>
      <c r="L310" s="322"/>
      <c r="M310" s="319" t="s">
        <v>468</v>
      </c>
      <c r="N310" s="318" t="s">
        <v>34</v>
      </c>
      <c r="O310" s="323">
        <v>45505</v>
      </c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</row>
    <row r="311" spans="1:46" ht="17.25" hidden="1" customHeight="1" x14ac:dyDescent="0.3">
      <c r="A311" s="317">
        <v>9</v>
      </c>
      <c r="B311" s="318" t="s">
        <v>48</v>
      </c>
      <c r="C311" s="319" t="s">
        <v>272</v>
      </c>
      <c r="D311" s="319" t="s">
        <v>461</v>
      </c>
      <c r="E311" s="320">
        <v>1</v>
      </c>
      <c r="F311" s="321">
        <v>42086</v>
      </c>
      <c r="G311" s="322" t="s">
        <v>462</v>
      </c>
      <c r="H311" s="319">
        <v>5109848496</v>
      </c>
      <c r="I311" s="322" t="s">
        <v>463</v>
      </c>
      <c r="J311" s="321">
        <v>45174</v>
      </c>
      <c r="K311" s="322"/>
      <c r="L311" s="322"/>
      <c r="M311" s="319" t="s">
        <v>754</v>
      </c>
      <c r="N311" s="318" t="s">
        <v>34</v>
      </c>
      <c r="O311" s="323">
        <v>45505</v>
      </c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</row>
    <row r="312" spans="1:46" ht="17.25" hidden="1" customHeight="1" x14ac:dyDescent="0.3">
      <c r="A312" s="317">
        <v>10</v>
      </c>
      <c r="B312" s="318" t="s">
        <v>89</v>
      </c>
      <c r="C312" s="319" t="s">
        <v>272</v>
      </c>
      <c r="D312" s="319" t="s">
        <v>461</v>
      </c>
      <c r="E312" s="320">
        <v>1</v>
      </c>
      <c r="F312" s="321">
        <v>42086</v>
      </c>
      <c r="G312" s="322" t="s">
        <v>462</v>
      </c>
      <c r="H312" s="319">
        <v>5109848496</v>
      </c>
      <c r="I312" s="322" t="s">
        <v>463</v>
      </c>
      <c r="J312" s="321">
        <v>45174</v>
      </c>
      <c r="K312" s="322"/>
      <c r="L312" s="322"/>
      <c r="M312" s="319" t="s">
        <v>754</v>
      </c>
      <c r="N312" s="318" t="s">
        <v>34</v>
      </c>
      <c r="O312" s="323">
        <v>45505</v>
      </c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</row>
    <row r="313" spans="1:46" ht="17.25" hidden="1" customHeight="1" x14ac:dyDescent="0.3">
      <c r="A313" s="317">
        <v>11</v>
      </c>
      <c r="B313" s="318" t="s">
        <v>48</v>
      </c>
      <c r="C313" s="319" t="s">
        <v>755</v>
      </c>
      <c r="D313" s="319" t="s">
        <v>756</v>
      </c>
      <c r="E313" s="320">
        <v>5</v>
      </c>
      <c r="F313" s="321" t="s">
        <v>757</v>
      </c>
      <c r="G313" s="322" t="s">
        <v>758</v>
      </c>
      <c r="H313" s="319">
        <v>5105098478</v>
      </c>
      <c r="I313" s="322" t="s">
        <v>759</v>
      </c>
      <c r="J313" s="321" t="s">
        <v>760</v>
      </c>
      <c r="K313" s="322"/>
      <c r="L313" s="322"/>
      <c r="M313" s="319"/>
      <c r="N313" s="318" t="s">
        <v>34</v>
      </c>
      <c r="O313" s="323">
        <v>45505</v>
      </c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</row>
    <row r="314" spans="1:46" ht="17.25" hidden="1" customHeight="1" x14ac:dyDescent="0.3">
      <c r="A314" s="317">
        <v>12</v>
      </c>
      <c r="B314" s="318" t="s">
        <v>89</v>
      </c>
      <c r="C314" s="319" t="s">
        <v>755</v>
      </c>
      <c r="D314" s="319" t="s">
        <v>756</v>
      </c>
      <c r="E314" s="320">
        <v>5</v>
      </c>
      <c r="F314" s="321" t="s">
        <v>757</v>
      </c>
      <c r="G314" s="322" t="s">
        <v>758</v>
      </c>
      <c r="H314" s="319">
        <v>5105098478</v>
      </c>
      <c r="I314" s="322" t="s">
        <v>759</v>
      </c>
      <c r="J314" s="321" t="s">
        <v>760</v>
      </c>
      <c r="K314" s="322"/>
      <c r="L314" s="322"/>
      <c r="M314" s="319" t="s">
        <v>736</v>
      </c>
      <c r="N314" s="318" t="s">
        <v>34</v>
      </c>
      <c r="O314" s="323">
        <v>45505</v>
      </c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</row>
    <row r="315" spans="1:46" ht="15" hidden="1" customHeight="1" x14ac:dyDescent="0.3">
      <c r="A315" s="324">
        <v>1</v>
      </c>
      <c r="B315" s="325" t="s">
        <v>48</v>
      </c>
      <c r="C315" s="326" t="s">
        <v>761</v>
      </c>
      <c r="D315" s="326" t="s">
        <v>762</v>
      </c>
      <c r="E315" s="327" t="s">
        <v>763</v>
      </c>
      <c r="F315" s="328" t="s">
        <v>764</v>
      </c>
      <c r="G315" s="329" t="s">
        <v>304</v>
      </c>
      <c r="H315" s="330">
        <v>4158287529</v>
      </c>
      <c r="I315" s="329" t="s">
        <v>245</v>
      </c>
      <c r="J315" s="328" t="s">
        <v>765</v>
      </c>
      <c r="K315" s="329"/>
      <c r="L315" s="329"/>
      <c r="M315" s="326"/>
      <c r="N315" s="325" t="s">
        <v>34</v>
      </c>
      <c r="O315" s="331">
        <v>45536</v>
      </c>
      <c r="P315" s="332"/>
      <c r="Q315" s="332"/>
      <c r="R315" s="332"/>
      <c r="S315" s="332"/>
      <c r="T315" s="332"/>
      <c r="U315" s="332"/>
      <c r="V315" s="332"/>
      <c r="W315" s="332"/>
      <c r="X315" s="332"/>
      <c r="Y315" s="332"/>
      <c r="Z315" s="332"/>
      <c r="AA315" s="332"/>
      <c r="AB315" s="332"/>
      <c r="AC315" s="332"/>
      <c r="AD315" s="332"/>
      <c r="AE315" s="332"/>
      <c r="AF315" s="332"/>
      <c r="AG315" s="332"/>
      <c r="AH315" s="332"/>
      <c r="AI315" s="332"/>
      <c r="AJ315" s="332"/>
      <c r="AK315" s="332"/>
      <c r="AL315" s="332"/>
      <c r="AM315" s="332"/>
      <c r="AN315" s="332"/>
      <c r="AO315" s="332"/>
      <c r="AP315" s="332"/>
      <c r="AQ315" s="332"/>
      <c r="AR315" s="332"/>
      <c r="AS315" s="332"/>
      <c r="AT315" s="332"/>
    </row>
    <row r="316" spans="1:46" ht="15" hidden="1" customHeight="1" x14ac:dyDescent="0.3">
      <c r="A316" s="324">
        <v>2</v>
      </c>
      <c r="B316" s="325" t="s">
        <v>89</v>
      </c>
      <c r="C316" s="326" t="s">
        <v>761</v>
      </c>
      <c r="D316" s="326" t="s">
        <v>762</v>
      </c>
      <c r="E316" s="327" t="s">
        <v>763</v>
      </c>
      <c r="F316" s="328" t="s">
        <v>764</v>
      </c>
      <c r="G316" s="329" t="s">
        <v>304</v>
      </c>
      <c r="H316" s="330">
        <v>4158287529</v>
      </c>
      <c r="I316" s="329" t="s">
        <v>245</v>
      </c>
      <c r="J316" s="328" t="s">
        <v>765</v>
      </c>
      <c r="K316" s="329"/>
      <c r="L316" s="329"/>
      <c r="M316" s="326" t="s">
        <v>736</v>
      </c>
      <c r="N316" s="325" t="s">
        <v>34</v>
      </c>
      <c r="O316" s="331">
        <v>45536</v>
      </c>
      <c r="P316" s="332"/>
      <c r="Q316" s="332"/>
      <c r="R316" s="332"/>
      <c r="S316" s="332"/>
      <c r="T316" s="332"/>
      <c r="U316" s="332"/>
      <c r="V316" s="332"/>
      <c r="W316" s="332"/>
      <c r="X316" s="332"/>
      <c r="Y316" s="332"/>
      <c r="Z316" s="332"/>
      <c r="AA316" s="332"/>
      <c r="AB316" s="332"/>
      <c r="AC316" s="332"/>
      <c r="AD316" s="332"/>
      <c r="AE316" s="332"/>
      <c r="AF316" s="332"/>
      <c r="AG316" s="332"/>
      <c r="AH316" s="332"/>
      <c r="AI316" s="332"/>
      <c r="AJ316" s="332"/>
      <c r="AK316" s="332"/>
      <c r="AL316" s="332"/>
      <c r="AM316" s="332"/>
      <c r="AN316" s="332"/>
      <c r="AO316" s="332"/>
      <c r="AP316" s="332"/>
      <c r="AQ316" s="332"/>
      <c r="AR316" s="332"/>
      <c r="AS316" s="332"/>
      <c r="AT316" s="332"/>
    </row>
    <row r="317" spans="1:46" ht="15" hidden="1" customHeight="1" x14ac:dyDescent="0.3">
      <c r="A317" s="324">
        <v>3</v>
      </c>
      <c r="B317" s="325" t="s">
        <v>48</v>
      </c>
      <c r="C317" s="333" t="s">
        <v>766</v>
      </c>
      <c r="D317" s="333" t="s">
        <v>767</v>
      </c>
      <c r="E317" s="324">
        <v>5</v>
      </c>
      <c r="F317" s="334">
        <v>41572</v>
      </c>
      <c r="G317" s="335" t="s">
        <v>768</v>
      </c>
      <c r="H317" s="336">
        <v>6503838201</v>
      </c>
      <c r="I317" s="335" t="s">
        <v>769</v>
      </c>
      <c r="J317" s="334">
        <v>45232</v>
      </c>
      <c r="K317" s="335"/>
      <c r="L317" s="335"/>
      <c r="M317" s="333" t="s">
        <v>770</v>
      </c>
      <c r="N317" s="325" t="s">
        <v>34</v>
      </c>
      <c r="O317" s="331">
        <v>45536</v>
      </c>
      <c r="P317" s="332"/>
      <c r="Q317" s="332"/>
      <c r="R317" s="332"/>
      <c r="S317" s="332"/>
      <c r="T317" s="332"/>
      <c r="U317" s="332"/>
      <c r="V317" s="332"/>
      <c r="W317" s="332"/>
      <c r="X317" s="332"/>
      <c r="Y317" s="332"/>
      <c r="Z317" s="332"/>
      <c r="AA317" s="332"/>
      <c r="AB317" s="332"/>
      <c r="AC317" s="332"/>
      <c r="AD317" s="332"/>
      <c r="AE317" s="332"/>
      <c r="AF317" s="332"/>
      <c r="AG317" s="332"/>
      <c r="AH317" s="332"/>
      <c r="AI317" s="332"/>
      <c r="AJ317" s="332"/>
      <c r="AK317" s="332"/>
      <c r="AL317" s="332"/>
      <c r="AM317" s="332"/>
      <c r="AN317" s="332"/>
      <c r="AO317" s="332"/>
      <c r="AP317" s="332"/>
      <c r="AQ317" s="332"/>
      <c r="AR317" s="332"/>
      <c r="AS317" s="332"/>
      <c r="AT317" s="332"/>
    </row>
    <row r="318" spans="1:46" ht="15" hidden="1" customHeight="1" x14ac:dyDescent="0.3">
      <c r="A318" s="324">
        <v>4</v>
      </c>
      <c r="B318" s="325" t="s">
        <v>48</v>
      </c>
      <c r="C318" s="326" t="s">
        <v>771</v>
      </c>
      <c r="D318" s="326" t="s">
        <v>772</v>
      </c>
      <c r="E318" s="327">
        <v>4</v>
      </c>
      <c r="F318" s="328" t="s">
        <v>773</v>
      </c>
      <c r="G318" s="329" t="s">
        <v>774</v>
      </c>
      <c r="H318" s="330">
        <v>6028204006</v>
      </c>
      <c r="I318" s="329" t="s">
        <v>775</v>
      </c>
      <c r="J318" s="328" t="s">
        <v>776</v>
      </c>
      <c r="K318" s="329"/>
      <c r="L318" s="329"/>
      <c r="M318" s="326"/>
      <c r="N318" s="325" t="s">
        <v>34</v>
      </c>
      <c r="O318" s="331">
        <v>45536</v>
      </c>
      <c r="P318" s="332"/>
      <c r="Q318" s="332"/>
      <c r="R318" s="332"/>
      <c r="S318" s="332"/>
      <c r="T318" s="332"/>
      <c r="U318" s="332"/>
      <c r="V318" s="332"/>
      <c r="W318" s="332"/>
      <c r="X318" s="332"/>
      <c r="Y318" s="332"/>
      <c r="Z318" s="332"/>
      <c r="AA318" s="332"/>
      <c r="AB318" s="332"/>
      <c r="AC318" s="332"/>
      <c r="AD318" s="332"/>
      <c r="AE318" s="332"/>
      <c r="AF318" s="332"/>
      <c r="AG318" s="332"/>
      <c r="AH318" s="332"/>
      <c r="AI318" s="332"/>
      <c r="AJ318" s="332"/>
      <c r="AK318" s="332"/>
      <c r="AL318" s="332"/>
      <c r="AM318" s="332"/>
      <c r="AN318" s="332"/>
      <c r="AO318" s="332"/>
      <c r="AP318" s="332"/>
      <c r="AQ318" s="332"/>
      <c r="AR318" s="332"/>
      <c r="AS318" s="332"/>
      <c r="AT318" s="332"/>
    </row>
    <row r="319" spans="1:46" ht="15" hidden="1" customHeight="1" x14ac:dyDescent="0.3">
      <c r="A319" s="324">
        <v>5</v>
      </c>
      <c r="B319" s="325" t="s">
        <v>89</v>
      </c>
      <c r="C319" s="326" t="s">
        <v>771</v>
      </c>
      <c r="D319" s="326" t="s">
        <v>772</v>
      </c>
      <c r="E319" s="327">
        <v>4</v>
      </c>
      <c r="F319" s="328" t="s">
        <v>773</v>
      </c>
      <c r="G319" s="329" t="s">
        <v>774</v>
      </c>
      <c r="H319" s="330">
        <v>6028204006</v>
      </c>
      <c r="I319" s="329" t="s">
        <v>775</v>
      </c>
      <c r="J319" s="328" t="s">
        <v>776</v>
      </c>
      <c r="K319" s="329"/>
      <c r="L319" s="329"/>
      <c r="M319" s="326" t="s">
        <v>736</v>
      </c>
      <c r="N319" s="325" t="s">
        <v>34</v>
      </c>
      <c r="O319" s="331">
        <v>45536</v>
      </c>
      <c r="P319" s="337"/>
      <c r="Q319" s="337"/>
      <c r="R319" s="337"/>
      <c r="S319" s="337"/>
      <c r="T319" s="337"/>
      <c r="U319" s="337"/>
      <c r="V319" s="337"/>
      <c r="W319" s="337"/>
      <c r="X319" s="337"/>
      <c r="Y319" s="337"/>
      <c r="Z319" s="337"/>
      <c r="AA319" s="337"/>
      <c r="AB319" s="337"/>
      <c r="AC319" s="337"/>
      <c r="AD319" s="337"/>
      <c r="AE319" s="337"/>
      <c r="AF319" s="337"/>
      <c r="AG319" s="337"/>
      <c r="AH319" s="337"/>
      <c r="AI319" s="337"/>
      <c r="AJ319" s="337"/>
      <c r="AK319" s="337"/>
      <c r="AL319" s="337"/>
      <c r="AM319" s="337"/>
      <c r="AN319" s="337"/>
      <c r="AO319" s="337"/>
      <c r="AP319" s="337"/>
      <c r="AQ319" s="337"/>
      <c r="AR319" s="337"/>
      <c r="AS319" s="337"/>
      <c r="AT319" s="337"/>
    </row>
    <row r="320" spans="1:46" ht="15" hidden="1" customHeight="1" x14ac:dyDescent="0.3">
      <c r="A320" s="324">
        <v>6</v>
      </c>
      <c r="B320" s="325" t="s">
        <v>48</v>
      </c>
      <c r="C320" s="326" t="s">
        <v>378</v>
      </c>
      <c r="D320" s="326" t="s">
        <v>379</v>
      </c>
      <c r="E320" s="327" t="s">
        <v>183</v>
      </c>
      <c r="F320" s="328" t="s">
        <v>380</v>
      </c>
      <c r="G320" s="329" t="s">
        <v>381</v>
      </c>
      <c r="H320" s="330">
        <v>4052306385</v>
      </c>
      <c r="I320" s="329" t="s">
        <v>382</v>
      </c>
      <c r="J320" s="328" t="s">
        <v>777</v>
      </c>
      <c r="K320" s="329"/>
      <c r="L320" s="329"/>
      <c r="M320" s="326"/>
      <c r="N320" s="325" t="s">
        <v>34</v>
      </c>
      <c r="O320" s="331">
        <v>45536</v>
      </c>
      <c r="P320" s="332"/>
      <c r="Q320" s="332"/>
      <c r="R320" s="332"/>
      <c r="S320" s="332"/>
      <c r="T320" s="332"/>
      <c r="U320" s="332"/>
      <c r="V320" s="332"/>
      <c r="W320" s="332"/>
      <c r="X320" s="332"/>
      <c r="Y320" s="332"/>
      <c r="Z320" s="332"/>
      <c r="AA320" s="332"/>
      <c r="AB320" s="332"/>
      <c r="AC320" s="332"/>
      <c r="AD320" s="332"/>
      <c r="AE320" s="332"/>
      <c r="AF320" s="332"/>
      <c r="AG320" s="332"/>
      <c r="AH320" s="332"/>
      <c r="AI320" s="332"/>
      <c r="AJ320" s="332"/>
      <c r="AK320" s="332"/>
      <c r="AL320" s="332"/>
      <c r="AM320" s="332"/>
      <c r="AN320" s="332"/>
      <c r="AO320" s="332"/>
      <c r="AP320" s="332"/>
      <c r="AQ320" s="332"/>
      <c r="AR320" s="332"/>
      <c r="AS320" s="332"/>
      <c r="AT320" s="332"/>
    </row>
    <row r="321" spans="1:48" ht="15" hidden="1" customHeight="1" x14ac:dyDescent="0.3">
      <c r="A321" s="324">
        <v>7</v>
      </c>
      <c r="B321" s="325" t="s">
        <v>48</v>
      </c>
      <c r="C321" s="326" t="s">
        <v>383</v>
      </c>
      <c r="D321" s="326" t="s">
        <v>384</v>
      </c>
      <c r="E321" s="327" t="s">
        <v>183</v>
      </c>
      <c r="F321" s="328" t="s">
        <v>380</v>
      </c>
      <c r="G321" s="329" t="s">
        <v>381</v>
      </c>
      <c r="H321" s="330">
        <v>4052306385</v>
      </c>
      <c r="I321" s="329" t="s">
        <v>382</v>
      </c>
      <c r="J321" s="328" t="s">
        <v>777</v>
      </c>
      <c r="K321" s="329"/>
      <c r="L321" s="329"/>
      <c r="M321" s="326"/>
      <c r="N321" s="325" t="s">
        <v>34</v>
      </c>
      <c r="O321" s="331">
        <v>45536</v>
      </c>
      <c r="P321" s="337"/>
      <c r="Q321" s="337"/>
      <c r="R321" s="337"/>
      <c r="S321" s="337"/>
      <c r="T321" s="337"/>
      <c r="U321" s="337"/>
      <c r="V321" s="337"/>
      <c r="W321" s="337"/>
      <c r="X321" s="337"/>
      <c r="Y321" s="337"/>
      <c r="Z321" s="337"/>
      <c r="AA321" s="337"/>
      <c r="AB321" s="337"/>
      <c r="AC321" s="337"/>
      <c r="AD321" s="337"/>
      <c r="AE321" s="337"/>
      <c r="AF321" s="337"/>
      <c r="AG321" s="337"/>
      <c r="AH321" s="337"/>
      <c r="AI321" s="337"/>
      <c r="AJ321" s="337"/>
      <c r="AK321" s="337"/>
      <c r="AL321" s="337"/>
      <c r="AM321" s="337"/>
      <c r="AN321" s="337"/>
      <c r="AO321" s="337"/>
      <c r="AP321" s="337"/>
      <c r="AQ321" s="337"/>
      <c r="AR321" s="337"/>
      <c r="AS321" s="337"/>
      <c r="AT321" s="337"/>
    </row>
    <row r="322" spans="1:48" ht="15" hidden="1" customHeight="1" x14ac:dyDescent="0.3">
      <c r="A322" s="324">
        <v>8</v>
      </c>
      <c r="B322" s="338" t="s">
        <v>48</v>
      </c>
      <c r="C322" s="339" t="s">
        <v>778</v>
      </c>
      <c r="D322" s="339" t="s">
        <v>779</v>
      </c>
      <c r="E322" s="340" t="s">
        <v>183</v>
      </c>
      <c r="F322" s="341" t="s">
        <v>780</v>
      </c>
      <c r="G322" s="342" t="s">
        <v>781</v>
      </c>
      <c r="H322" s="343">
        <v>6692158549</v>
      </c>
      <c r="I322" s="342" t="s">
        <v>782</v>
      </c>
      <c r="J322" s="341" t="s">
        <v>777</v>
      </c>
      <c r="K322" s="342"/>
      <c r="L322" s="342"/>
      <c r="M322" s="339"/>
      <c r="N322" s="338" t="s">
        <v>34</v>
      </c>
      <c r="O322" s="344">
        <v>45536</v>
      </c>
      <c r="P322" s="332"/>
      <c r="Q322" s="332"/>
      <c r="R322" s="332"/>
      <c r="S322" s="332"/>
      <c r="T322" s="332"/>
      <c r="U322" s="332"/>
      <c r="V322" s="332"/>
      <c r="W322" s="332"/>
      <c r="X322" s="332"/>
      <c r="Y322" s="332"/>
      <c r="Z322" s="332"/>
      <c r="AA322" s="332"/>
      <c r="AB322" s="332"/>
      <c r="AC322" s="332"/>
      <c r="AD322" s="332"/>
      <c r="AE322" s="332"/>
      <c r="AF322" s="332"/>
      <c r="AG322" s="332"/>
      <c r="AH322" s="332"/>
      <c r="AI322" s="332"/>
      <c r="AJ322" s="332"/>
      <c r="AK322" s="332"/>
      <c r="AL322" s="332"/>
      <c r="AM322" s="332"/>
      <c r="AN322" s="332"/>
      <c r="AO322" s="332"/>
      <c r="AP322" s="332"/>
      <c r="AQ322" s="332"/>
      <c r="AR322" s="332"/>
      <c r="AS322" s="332"/>
      <c r="AT322" s="332"/>
    </row>
    <row r="323" spans="1:48" ht="17.25" hidden="1" customHeight="1" x14ac:dyDescent="0.3">
      <c r="A323" s="324">
        <v>9</v>
      </c>
      <c r="B323" s="345" t="s">
        <v>48</v>
      </c>
      <c r="C323" s="346" t="s">
        <v>286</v>
      </c>
      <c r="D323" s="346" t="s">
        <v>783</v>
      </c>
      <c r="E323" s="347">
        <v>4</v>
      </c>
      <c r="F323" s="348">
        <v>41496</v>
      </c>
      <c r="G323" s="349" t="s">
        <v>784</v>
      </c>
      <c r="H323" s="350">
        <v>4156099128</v>
      </c>
      <c r="I323" s="349" t="s">
        <v>785</v>
      </c>
      <c r="J323" s="348">
        <v>45082</v>
      </c>
      <c r="K323" s="349"/>
      <c r="L323" s="349"/>
      <c r="M323" s="346"/>
      <c r="N323" s="338" t="s">
        <v>34</v>
      </c>
      <c r="O323" s="344">
        <v>45536</v>
      </c>
      <c r="P323" s="351"/>
      <c r="Q323" s="351"/>
      <c r="R323" s="351"/>
      <c r="S323" s="351"/>
      <c r="T323" s="351"/>
      <c r="U323" s="351"/>
      <c r="V323" s="351"/>
      <c r="W323" s="351"/>
      <c r="X323" s="351"/>
      <c r="Y323" s="351"/>
      <c r="Z323" s="351"/>
      <c r="AA323" s="351"/>
      <c r="AB323" s="351"/>
      <c r="AC323" s="351"/>
      <c r="AD323" s="351"/>
      <c r="AE323" s="351"/>
      <c r="AF323" s="351"/>
      <c r="AG323" s="351"/>
      <c r="AH323" s="351"/>
      <c r="AI323" s="351"/>
      <c r="AJ323" s="351"/>
      <c r="AK323" s="351"/>
      <c r="AL323" s="351"/>
      <c r="AM323" s="351"/>
      <c r="AN323" s="351"/>
      <c r="AO323" s="351"/>
      <c r="AP323" s="351"/>
      <c r="AQ323" s="351"/>
      <c r="AR323" s="351"/>
      <c r="AS323" s="351"/>
      <c r="AT323" s="351"/>
    </row>
    <row r="324" spans="1:48" ht="17.25" hidden="1" customHeight="1" x14ac:dyDescent="0.3">
      <c r="A324" s="324">
        <v>10</v>
      </c>
      <c r="B324" s="345" t="s">
        <v>89</v>
      </c>
      <c r="C324" s="346" t="s">
        <v>286</v>
      </c>
      <c r="D324" s="346" t="s">
        <v>783</v>
      </c>
      <c r="E324" s="347">
        <v>4</v>
      </c>
      <c r="F324" s="348">
        <v>41496</v>
      </c>
      <c r="G324" s="349" t="s">
        <v>784</v>
      </c>
      <c r="H324" s="350">
        <v>4156099128</v>
      </c>
      <c r="I324" s="349" t="s">
        <v>785</v>
      </c>
      <c r="J324" s="348">
        <v>45082</v>
      </c>
      <c r="K324" s="349"/>
      <c r="L324" s="349"/>
      <c r="M324" s="346"/>
      <c r="N324" s="338" t="s">
        <v>34</v>
      </c>
      <c r="O324" s="344">
        <v>45536</v>
      </c>
      <c r="P324" s="262"/>
      <c r="Q324" s="262"/>
      <c r="R324" s="262"/>
      <c r="S324" s="262"/>
      <c r="T324" s="262"/>
      <c r="U324" s="262"/>
      <c r="V324" s="262"/>
      <c r="W324" s="262"/>
      <c r="X324" s="262"/>
      <c r="Y324" s="262"/>
      <c r="Z324" s="262"/>
      <c r="AA324" s="262"/>
      <c r="AB324" s="262"/>
      <c r="AC324" s="262"/>
      <c r="AD324" s="262"/>
      <c r="AE324" s="262"/>
      <c r="AF324" s="262"/>
      <c r="AG324" s="262"/>
      <c r="AH324" s="262"/>
      <c r="AI324" s="262"/>
      <c r="AJ324" s="262"/>
      <c r="AK324" s="262"/>
      <c r="AL324" s="262"/>
      <c r="AM324" s="262"/>
      <c r="AN324" s="262"/>
      <c r="AO324" s="262"/>
      <c r="AP324" s="262"/>
      <c r="AQ324" s="262"/>
      <c r="AR324" s="262"/>
      <c r="AS324" s="262"/>
      <c r="AT324" s="262"/>
    </row>
    <row r="325" spans="1:48" ht="17.25" hidden="1" customHeight="1" x14ac:dyDescent="0.3">
      <c r="A325" s="324">
        <v>11</v>
      </c>
      <c r="B325" s="345" t="s">
        <v>48</v>
      </c>
      <c r="C325" s="346" t="s">
        <v>286</v>
      </c>
      <c r="D325" s="346" t="s">
        <v>786</v>
      </c>
      <c r="E325" s="347">
        <v>1</v>
      </c>
      <c r="F325" s="348">
        <v>42757</v>
      </c>
      <c r="G325" s="349" t="s">
        <v>784</v>
      </c>
      <c r="H325" s="350">
        <v>4156099128</v>
      </c>
      <c r="I325" s="349" t="s">
        <v>785</v>
      </c>
      <c r="J325" s="348">
        <v>45082</v>
      </c>
      <c r="K325" s="349"/>
      <c r="L325" s="349"/>
      <c r="M325" s="346"/>
      <c r="N325" s="338" t="s">
        <v>34</v>
      </c>
      <c r="O325" s="344">
        <v>45536</v>
      </c>
      <c r="P325" s="351"/>
      <c r="Q325" s="351"/>
      <c r="R325" s="351"/>
      <c r="S325" s="351"/>
      <c r="T325" s="351"/>
      <c r="U325" s="351"/>
      <c r="V325" s="351"/>
      <c r="W325" s="351"/>
      <c r="X325" s="351"/>
      <c r="Y325" s="351"/>
      <c r="Z325" s="351"/>
      <c r="AA325" s="351"/>
      <c r="AB325" s="351"/>
      <c r="AC325" s="351"/>
      <c r="AD325" s="351"/>
      <c r="AE325" s="351"/>
      <c r="AF325" s="351"/>
      <c r="AG325" s="351"/>
      <c r="AH325" s="351"/>
      <c r="AI325" s="351"/>
      <c r="AJ325" s="351"/>
      <c r="AK325" s="351"/>
      <c r="AL325" s="351"/>
      <c r="AM325" s="351"/>
      <c r="AN325" s="351"/>
      <c r="AO325" s="351"/>
      <c r="AP325" s="351"/>
      <c r="AQ325" s="351"/>
      <c r="AR325" s="351"/>
      <c r="AS325" s="351"/>
      <c r="AT325" s="351"/>
    </row>
    <row r="326" spans="1:48" ht="17.25" hidden="1" customHeight="1" x14ac:dyDescent="0.3">
      <c r="A326" s="324">
        <v>12</v>
      </c>
      <c r="B326" s="345" t="s">
        <v>89</v>
      </c>
      <c r="C326" s="346" t="s">
        <v>286</v>
      </c>
      <c r="D326" s="346" t="s">
        <v>786</v>
      </c>
      <c r="E326" s="347">
        <v>1</v>
      </c>
      <c r="F326" s="348">
        <v>42757</v>
      </c>
      <c r="G326" s="349" t="s">
        <v>784</v>
      </c>
      <c r="H326" s="350">
        <v>4156099128</v>
      </c>
      <c r="I326" s="349" t="s">
        <v>785</v>
      </c>
      <c r="J326" s="348">
        <v>45082</v>
      </c>
      <c r="K326" s="349"/>
      <c r="L326" s="349"/>
      <c r="M326" s="346"/>
      <c r="N326" s="338" t="s">
        <v>34</v>
      </c>
      <c r="O326" s="344">
        <v>45536</v>
      </c>
      <c r="P326" s="262"/>
      <c r="Q326" s="262"/>
      <c r="R326" s="262"/>
      <c r="S326" s="262"/>
      <c r="T326" s="262"/>
      <c r="U326" s="262"/>
      <c r="V326" s="262"/>
      <c r="W326" s="262"/>
      <c r="X326" s="262"/>
      <c r="Y326" s="262"/>
      <c r="Z326" s="262"/>
      <c r="AA326" s="262"/>
      <c r="AB326" s="262"/>
      <c r="AC326" s="262"/>
      <c r="AD326" s="262"/>
      <c r="AE326" s="262"/>
      <c r="AF326" s="262"/>
      <c r="AG326" s="262"/>
      <c r="AH326" s="262"/>
      <c r="AI326" s="262"/>
      <c r="AJ326" s="262"/>
      <c r="AK326" s="262"/>
      <c r="AL326" s="262"/>
      <c r="AM326" s="262"/>
      <c r="AN326" s="262"/>
      <c r="AO326" s="262"/>
      <c r="AP326" s="262"/>
      <c r="AQ326" s="262"/>
      <c r="AR326" s="262"/>
      <c r="AS326" s="262"/>
      <c r="AT326" s="262"/>
    </row>
    <row r="327" spans="1:48" ht="17.25" hidden="1" customHeight="1" x14ac:dyDescent="0.3">
      <c r="A327" s="324">
        <v>13</v>
      </c>
      <c r="B327" s="352" t="s">
        <v>48</v>
      </c>
      <c r="C327" s="353" t="s">
        <v>787</v>
      </c>
      <c r="D327" s="353" t="s">
        <v>788</v>
      </c>
      <c r="E327" s="352">
        <v>4</v>
      </c>
      <c r="F327" s="353" t="s">
        <v>789</v>
      </c>
      <c r="G327" s="353" t="s">
        <v>790</v>
      </c>
      <c r="H327" s="353">
        <v>5103144836</v>
      </c>
      <c r="I327" s="354" t="s">
        <v>791</v>
      </c>
      <c r="J327" s="353" t="s">
        <v>792</v>
      </c>
      <c r="K327" s="353"/>
      <c r="L327" s="353"/>
      <c r="M327" s="353" t="s">
        <v>793</v>
      </c>
      <c r="N327" s="338" t="s">
        <v>34</v>
      </c>
      <c r="O327" s="344">
        <v>45536</v>
      </c>
      <c r="P327" s="136"/>
      <c r="Q327" s="136"/>
      <c r="R327" s="136"/>
      <c r="S327" s="136"/>
      <c r="T327" s="136"/>
      <c r="U327" s="136"/>
      <c r="V327" s="136"/>
      <c r="W327" s="136"/>
      <c r="X327" s="136"/>
      <c r="Y327" s="136"/>
      <c r="Z327" s="136"/>
      <c r="AA327" s="136"/>
      <c r="AB327" s="136"/>
      <c r="AC327" s="136"/>
      <c r="AD327" s="136"/>
      <c r="AE327" s="136"/>
      <c r="AF327" s="136"/>
      <c r="AG327" s="136"/>
      <c r="AH327" s="136"/>
      <c r="AI327" s="136"/>
      <c r="AJ327" s="136"/>
      <c r="AK327" s="136"/>
      <c r="AL327" s="136"/>
      <c r="AM327" s="136"/>
      <c r="AN327" s="136"/>
      <c r="AO327" s="136"/>
      <c r="AP327" s="136"/>
      <c r="AQ327" s="136"/>
      <c r="AR327" s="136"/>
      <c r="AS327" s="136"/>
      <c r="AT327" s="136"/>
    </row>
    <row r="328" spans="1:48" ht="17.25" hidden="1" customHeight="1" x14ac:dyDescent="0.3">
      <c r="A328" s="324">
        <v>14</v>
      </c>
      <c r="B328" s="352" t="s">
        <v>89</v>
      </c>
      <c r="C328" s="353" t="s">
        <v>787</v>
      </c>
      <c r="D328" s="353" t="s">
        <v>788</v>
      </c>
      <c r="E328" s="352">
        <v>4</v>
      </c>
      <c r="F328" s="353" t="s">
        <v>789</v>
      </c>
      <c r="G328" s="353" t="s">
        <v>790</v>
      </c>
      <c r="H328" s="353">
        <v>5103144836</v>
      </c>
      <c r="I328" s="354" t="s">
        <v>791</v>
      </c>
      <c r="J328" s="353" t="s">
        <v>792</v>
      </c>
      <c r="K328" s="353"/>
      <c r="L328" s="353"/>
      <c r="M328" s="353"/>
      <c r="N328" s="338" t="s">
        <v>34</v>
      </c>
      <c r="O328" s="344">
        <v>45536</v>
      </c>
      <c r="P328" s="136"/>
      <c r="Q328" s="136"/>
      <c r="R328" s="136"/>
      <c r="S328" s="136"/>
      <c r="T328" s="136"/>
      <c r="U328" s="136"/>
      <c r="V328" s="136"/>
      <c r="W328" s="136"/>
      <c r="X328" s="136"/>
      <c r="Y328" s="136"/>
      <c r="Z328" s="136"/>
      <c r="AA328" s="136"/>
      <c r="AB328" s="136"/>
      <c r="AC328" s="136"/>
      <c r="AD328" s="136"/>
      <c r="AE328" s="136"/>
      <c r="AF328" s="136"/>
      <c r="AG328" s="136"/>
      <c r="AH328" s="136"/>
      <c r="AI328" s="136"/>
      <c r="AJ328" s="136"/>
      <c r="AK328" s="136"/>
      <c r="AL328" s="136"/>
      <c r="AM328" s="136"/>
      <c r="AN328" s="136"/>
      <c r="AO328" s="136"/>
      <c r="AP328" s="136"/>
      <c r="AQ328" s="136"/>
      <c r="AR328" s="136"/>
      <c r="AS328" s="136"/>
      <c r="AT328" s="136"/>
    </row>
    <row r="329" spans="1:48" ht="17.25" hidden="1" customHeight="1" x14ac:dyDescent="0.3">
      <c r="A329" s="324">
        <v>15</v>
      </c>
      <c r="B329" s="345" t="s">
        <v>48</v>
      </c>
      <c r="C329" s="349" t="s">
        <v>794</v>
      </c>
      <c r="D329" s="349" t="s">
        <v>795</v>
      </c>
      <c r="E329" s="347">
        <v>4</v>
      </c>
      <c r="F329" s="349" t="s">
        <v>796</v>
      </c>
      <c r="G329" s="349" t="s">
        <v>797</v>
      </c>
      <c r="H329" s="350">
        <v>4436532199</v>
      </c>
      <c r="I329" s="349" t="s">
        <v>699</v>
      </c>
      <c r="J329" s="349" t="s">
        <v>798</v>
      </c>
      <c r="K329" s="355"/>
      <c r="L329" s="355"/>
      <c r="M329" s="356" t="s">
        <v>799</v>
      </c>
      <c r="N329" s="338" t="s">
        <v>34</v>
      </c>
      <c r="O329" s="344">
        <v>45536</v>
      </c>
      <c r="P329" s="357"/>
      <c r="Q329" s="357"/>
      <c r="R329" s="357"/>
      <c r="S329" s="357"/>
      <c r="T329" s="357"/>
      <c r="U329" s="357"/>
      <c r="V329" s="357"/>
      <c r="W329" s="357"/>
      <c r="X329" s="357"/>
      <c r="Y329" s="357"/>
      <c r="Z329" s="357"/>
      <c r="AA329" s="357"/>
      <c r="AB329" s="357"/>
      <c r="AC329" s="357"/>
      <c r="AD329" s="357"/>
      <c r="AE329" s="357"/>
      <c r="AF329" s="357"/>
      <c r="AG329" s="357"/>
      <c r="AH329" s="357"/>
      <c r="AI329" s="357"/>
      <c r="AJ329" s="357"/>
      <c r="AK329" s="357"/>
      <c r="AL329" s="357"/>
      <c r="AM329" s="357"/>
      <c r="AN329" s="357"/>
      <c r="AO329" s="357"/>
      <c r="AP329" s="357"/>
      <c r="AQ329" s="357"/>
      <c r="AR329" s="357"/>
      <c r="AS329" s="357"/>
      <c r="AT329" s="357"/>
    </row>
    <row r="330" spans="1:48" ht="17.25" hidden="1" customHeight="1" x14ac:dyDescent="0.3">
      <c r="A330" s="324">
        <v>16</v>
      </c>
      <c r="B330" s="345" t="s">
        <v>89</v>
      </c>
      <c r="C330" s="349" t="s">
        <v>794</v>
      </c>
      <c r="D330" s="349" t="s">
        <v>795</v>
      </c>
      <c r="E330" s="347">
        <v>4</v>
      </c>
      <c r="F330" s="349" t="s">
        <v>796</v>
      </c>
      <c r="G330" s="349" t="s">
        <v>797</v>
      </c>
      <c r="H330" s="350">
        <v>4436532199</v>
      </c>
      <c r="I330" s="349" t="s">
        <v>699</v>
      </c>
      <c r="J330" s="349" t="s">
        <v>798</v>
      </c>
      <c r="K330" s="355"/>
      <c r="L330" s="355"/>
      <c r="M330" s="356" t="s">
        <v>799</v>
      </c>
      <c r="N330" s="338" t="s">
        <v>34</v>
      </c>
      <c r="O330" s="344">
        <v>45536</v>
      </c>
      <c r="P330" s="357"/>
      <c r="Q330" s="357"/>
      <c r="R330" s="357"/>
      <c r="S330" s="357"/>
      <c r="T330" s="357"/>
      <c r="U330" s="357"/>
      <c r="V330" s="357"/>
      <c r="W330" s="357"/>
      <c r="X330" s="357"/>
      <c r="Y330" s="357"/>
      <c r="Z330" s="357"/>
      <c r="AA330" s="357"/>
      <c r="AB330" s="357"/>
      <c r="AC330" s="357"/>
      <c r="AD330" s="357"/>
      <c r="AE330" s="357"/>
      <c r="AF330" s="357"/>
      <c r="AG330" s="357"/>
      <c r="AH330" s="357"/>
      <c r="AI330" s="357"/>
      <c r="AJ330" s="357"/>
      <c r="AK330" s="357"/>
      <c r="AL330" s="357"/>
      <c r="AM330" s="357"/>
      <c r="AN330" s="357"/>
      <c r="AO330" s="357"/>
      <c r="AP330" s="357"/>
      <c r="AQ330" s="357"/>
      <c r="AR330" s="357"/>
      <c r="AS330" s="357"/>
      <c r="AT330" s="357"/>
    </row>
    <row r="331" spans="1:48" ht="15" hidden="1" customHeight="1" x14ac:dyDescent="0.3">
      <c r="A331" s="358">
        <v>1</v>
      </c>
      <c r="B331" s="359" t="s">
        <v>48</v>
      </c>
      <c r="C331" s="360" t="s">
        <v>787</v>
      </c>
      <c r="D331" s="360" t="s">
        <v>788</v>
      </c>
      <c r="E331" s="361">
        <v>4</v>
      </c>
      <c r="F331" s="362">
        <v>42071</v>
      </c>
      <c r="G331" s="360" t="s">
        <v>790</v>
      </c>
      <c r="H331" s="363">
        <v>5103144836</v>
      </c>
      <c r="I331" s="360" t="s">
        <v>791</v>
      </c>
      <c r="J331" s="362">
        <v>45530</v>
      </c>
      <c r="K331" s="360"/>
      <c r="L331" s="360"/>
      <c r="M331" s="364" t="s">
        <v>793</v>
      </c>
      <c r="N331" s="361" t="s">
        <v>34</v>
      </c>
      <c r="O331" s="344">
        <v>45566</v>
      </c>
      <c r="P331" s="365"/>
      <c r="Q331" s="365"/>
      <c r="R331" s="365"/>
      <c r="S331" s="365"/>
      <c r="T331" s="365"/>
      <c r="U331" s="365"/>
      <c r="V331" s="365"/>
      <c r="W331" s="365"/>
      <c r="X331" s="365"/>
      <c r="Y331" s="365"/>
      <c r="Z331" s="365"/>
      <c r="AA331" s="365"/>
      <c r="AB331" s="365"/>
      <c r="AC331" s="365"/>
      <c r="AD331" s="365"/>
      <c r="AE331" s="365"/>
      <c r="AF331" s="365"/>
      <c r="AG331" s="365"/>
      <c r="AH331" s="365"/>
      <c r="AI331" s="365"/>
      <c r="AJ331" s="365"/>
      <c r="AK331" s="365"/>
      <c r="AL331" s="365"/>
      <c r="AM331" s="365"/>
      <c r="AN331" s="365"/>
      <c r="AO331" s="365"/>
      <c r="AP331" s="365"/>
      <c r="AQ331" s="365"/>
      <c r="AR331" s="365"/>
      <c r="AS331" s="357"/>
      <c r="AT331" s="357"/>
    </row>
    <row r="332" spans="1:48" ht="15" hidden="1" customHeight="1" x14ac:dyDescent="0.3">
      <c r="A332" s="358">
        <v>2</v>
      </c>
      <c r="B332" s="359" t="s">
        <v>89</v>
      </c>
      <c r="C332" s="360" t="s">
        <v>787</v>
      </c>
      <c r="D332" s="360" t="s">
        <v>788</v>
      </c>
      <c r="E332" s="361">
        <v>4</v>
      </c>
      <c r="F332" s="362">
        <v>42071</v>
      </c>
      <c r="G332" s="360" t="s">
        <v>790</v>
      </c>
      <c r="H332" s="363">
        <v>5103144836</v>
      </c>
      <c r="I332" s="360" t="s">
        <v>791</v>
      </c>
      <c r="J332" s="362">
        <v>45530</v>
      </c>
      <c r="K332" s="360"/>
      <c r="L332" s="360"/>
      <c r="M332" s="364"/>
      <c r="N332" s="361" t="s">
        <v>34</v>
      </c>
      <c r="O332" s="344">
        <v>45566</v>
      </c>
      <c r="P332" s="365"/>
      <c r="Q332" s="365"/>
      <c r="R332" s="365"/>
      <c r="S332" s="365"/>
      <c r="T332" s="365"/>
      <c r="U332" s="365"/>
      <c r="V332" s="365"/>
      <c r="W332" s="365"/>
      <c r="X332" s="365"/>
      <c r="Y332" s="365"/>
      <c r="Z332" s="365"/>
      <c r="AA332" s="365"/>
      <c r="AB332" s="365"/>
      <c r="AC332" s="365"/>
      <c r="AD332" s="365"/>
      <c r="AE332" s="365"/>
      <c r="AF332" s="365"/>
      <c r="AG332" s="365"/>
      <c r="AH332" s="365"/>
      <c r="AI332" s="365"/>
      <c r="AJ332" s="365"/>
      <c r="AK332" s="365"/>
      <c r="AL332" s="365"/>
      <c r="AM332" s="365"/>
      <c r="AN332" s="365"/>
      <c r="AO332" s="365"/>
      <c r="AP332" s="365"/>
      <c r="AQ332" s="365"/>
      <c r="AR332" s="365"/>
      <c r="AS332" s="357"/>
      <c r="AT332" s="357"/>
    </row>
    <row r="333" spans="1:48" ht="15.75" hidden="1" customHeight="1" x14ac:dyDescent="0.3">
      <c r="A333" s="358">
        <v>3</v>
      </c>
      <c r="B333" s="359" t="s">
        <v>48</v>
      </c>
      <c r="C333" s="360" t="s">
        <v>794</v>
      </c>
      <c r="D333" s="360" t="s">
        <v>795</v>
      </c>
      <c r="E333" s="361">
        <v>4</v>
      </c>
      <c r="F333" s="362">
        <v>42177</v>
      </c>
      <c r="G333" s="360" t="s">
        <v>797</v>
      </c>
      <c r="H333" s="363">
        <v>4436532199</v>
      </c>
      <c r="I333" s="360" t="s">
        <v>699</v>
      </c>
      <c r="J333" s="362">
        <v>45520</v>
      </c>
      <c r="K333" s="360"/>
      <c r="L333" s="360"/>
      <c r="M333" s="364" t="s">
        <v>800</v>
      </c>
      <c r="N333" s="361" t="s">
        <v>34</v>
      </c>
      <c r="O333" s="344">
        <v>45566</v>
      </c>
      <c r="P333" s="365"/>
      <c r="Q333" s="365"/>
      <c r="R333" s="365"/>
      <c r="S333" s="365"/>
      <c r="T333" s="365"/>
      <c r="U333" s="365"/>
      <c r="V333" s="365"/>
      <c r="W333" s="365"/>
      <c r="X333" s="365"/>
      <c r="Y333" s="365"/>
      <c r="Z333" s="365"/>
      <c r="AA333" s="365"/>
      <c r="AB333" s="365"/>
      <c r="AC333" s="365"/>
      <c r="AD333" s="365"/>
      <c r="AE333" s="365"/>
      <c r="AF333" s="365"/>
      <c r="AG333" s="365"/>
      <c r="AH333" s="365"/>
      <c r="AI333" s="365"/>
      <c r="AJ333" s="365"/>
      <c r="AK333" s="365"/>
      <c r="AL333" s="365"/>
      <c r="AM333" s="365"/>
      <c r="AN333" s="365"/>
      <c r="AO333" s="365"/>
      <c r="AP333" s="365"/>
      <c r="AQ333" s="365"/>
      <c r="AR333" s="365"/>
      <c r="AS333" s="262"/>
      <c r="AT333" s="262"/>
    </row>
    <row r="334" spans="1:48" ht="15" hidden="1" customHeight="1" x14ac:dyDescent="0.3">
      <c r="A334" s="358">
        <v>4</v>
      </c>
      <c r="B334" s="359" t="s">
        <v>89</v>
      </c>
      <c r="C334" s="360" t="s">
        <v>794</v>
      </c>
      <c r="D334" s="360" t="s">
        <v>795</v>
      </c>
      <c r="E334" s="361">
        <v>4</v>
      </c>
      <c r="F334" s="362">
        <v>42177</v>
      </c>
      <c r="G334" s="360" t="s">
        <v>797</v>
      </c>
      <c r="H334" s="363">
        <v>4436532199</v>
      </c>
      <c r="I334" s="360" t="s">
        <v>699</v>
      </c>
      <c r="J334" s="362">
        <v>45520</v>
      </c>
      <c r="K334" s="360"/>
      <c r="L334" s="360"/>
      <c r="M334" s="364" t="s">
        <v>800</v>
      </c>
      <c r="N334" s="361" t="s">
        <v>34</v>
      </c>
      <c r="O334" s="344">
        <v>45566</v>
      </c>
      <c r="P334" s="365"/>
      <c r="Q334" s="365"/>
      <c r="R334" s="365"/>
      <c r="S334" s="365"/>
      <c r="T334" s="365"/>
      <c r="U334" s="365"/>
      <c r="V334" s="365"/>
      <c r="W334" s="365"/>
      <c r="X334" s="365"/>
      <c r="Y334" s="365"/>
      <c r="Z334" s="365"/>
      <c r="AA334" s="365"/>
      <c r="AB334" s="365"/>
      <c r="AC334" s="365"/>
      <c r="AD334" s="365"/>
      <c r="AE334" s="365"/>
      <c r="AF334" s="365"/>
      <c r="AG334" s="365"/>
      <c r="AH334" s="365"/>
      <c r="AI334" s="365"/>
      <c r="AJ334" s="365"/>
      <c r="AK334" s="365"/>
      <c r="AL334" s="365"/>
      <c r="AM334" s="365"/>
      <c r="AN334" s="365"/>
      <c r="AO334" s="365"/>
      <c r="AP334" s="365"/>
      <c r="AQ334" s="365"/>
      <c r="AR334" s="365"/>
      <c r="AS334" s="262"/>
      <c r="AT334" s="262"/>
    </row>
    <row r="335" spans="1:48" ht="15" hidden="1" customHeight="1" x14ac:dyDescent="0.3">
      <c r="A335" s="101">
        <v>1</v>
      </c>
      <c r="B335" s="366" t="s">
        <v>48</v>
      </c>
      <c r="C335" s="367" t="s">
        <v>737</v>
      </c>
      <c r="D335" s="367" t="s">
        <v>738</v>
      </c>
      <c r="E335" s="82">
        <v>6</v>
      </c>
      <c r="F335" s="368">
        <v>40840</v>
      </c>
      <c r="G335" s="369" t="s">
        <v>740</v>
      </c>
      <c r="H335" s="370" t="s">
        <v>741</v>
      </c>
      <c r="I335" s="369" t="s">
        <v>742</v>
      </c>
      <c r="J335" s="368">
        <v>45536</v>
      </c>
      <c r="K335" s="369"/>
      <c r="L335" s="369"/>
      <c r="M335" s="367" t="s">
        <v>801</v>
      </c>
      <c r="N335" s="366" t="s">
        <v>34</v>
      </c>
      <c r="O335" s="371">
        <v>45597</v>
      </c>
      <c r="P335" s="372"/>
      <c r="Q335" s="372"/>
      <c r="R335" s="372"/>
      <c r="S335" s="372"/>
      <c r="T335" s="372"/>
      <c r="U335" s="372"/>
      <c r="V335" s="372"/>
      <c r="W335" s="372"/>
      <c r="X335" s="372"/>
      <c r="Y335" s="372"/>
      <c r="Z335" s="372"/>
      <c r="AA335" s="372"/>
      <c r="AB335" s="372"/>
      <c r="AC335" s="372"/>
      <c r="AD335" s="372"/>
      <c r="AE335" s="372"/>
      <c r="AF335" s="372"/>
      <c r="AG335" s="372"/>
      <c r="AH335" s="372"/>
      <c r="AI335" s="372"/>
      <c r="AJ335" s="372"/>
      <c r="AK335" s="372"/>
      <c r="AL335" s="372"/>
      <c r="AM335" s="372"/>
      <c r="AN335" s="372"/>
      <c r="AO335" s="372"/>
      <c r="AP335" s="372"/>
      <c r="AQ335" s="372"/>
      <c r="AR335" s="372"/>
      <c r="AS335" s="372"/>
      <c r="AT335" s="372"/>
      <c r="AU335" s="2"/>
      <c r="AV335" s="2"/>
    </row>
    <row r="336" spans="1:48" ht="15" hidden="1" customHeight="1" x14ac:dyDescent="0.3">
      <c r="A336" s="101">
        <v>2</v>
      </c>
      <c r="B336" s="366" t="s">
        <v>89</v>
      </c>
      <c r="C336" s="367" t="s">
        <v>737</v>
      </c>
      <c r="D336" s="367" t="s">
        <v>745</v>
      </c>
      <c r="E336" s="82">
        <v>9</v>
      </c>
      <c r="F336" s="368">
        <v>39818</v>
      </c>
      <c r="G336" s="369" t="s">
        <v>740</v>
      </c>
      <c r="H336" s="370" t="s">
        <v>741</v>
      </c>
      <c r="I336" s="369" t="s">
        <v>742</v>
      </c>
      <c r="J336" s="368">
        <v>45536</v>
      </c>
      <c r="K336" s="369"/>
      <c r="L336" s="369"/>
      <c r="M336" s="367" t="s">
        <v>801</v>
      </c>
      <c r="N336" s="366" t="s">
        <v>34</v>
      </c>
      <c r="O336" s="371">
        <v>45597</v>
      </c>
      <c r="P336" s="372"/>
      <c r="Q336" s="372"/>
      <c r="R336" s="372"/>
      <c r="S336" s="372"/>
      <c r="T336" s="372"/>
      <c r="U336" s="372"/>
      <c r="V336" s="372"/>
      <c r="W336" s="372"/>
      <c r="X336" s="372"/>
      <c r="Y336" s="372"/>
      <c r="Z336" s="372"/>
      <c r="AA336" s="372"/>
      <c r="AB336" s="372"/>
      <c r="AC336" s="372"/>
      <c r="AD336" s="372"/>
      <c r="AE336" s="372"/>
      <c r="AF336" s="372"/>
      <c r="AG336" s="372"/>
      <c r="AH336" s="372"/>
      <c r="AI336" s="372"/>
      <c r="AJ336" s="372"/>
      <c r="AK336" s="372"/>
      <c r="AL336" s="372"/>
      <c r="AM336" s="372"/>
      <c r="AN336" s="372"/>
      <c r="AO336" s="372"/>
      <c r="AP336" s="372"/>
      <c r="AQ336" s="372"/>
      <c r="AR336" s="372"/>
      <c r="AS336" s="372"/>
      <c r="AT336" s="372"/>
      <c r="AU336" s="2"/>
      <c r="AV336" s="2"/>
    </row>
    <row r="337" spans="1:48" ht="15" hidden="1" customHeight="1" x14ac:dyDescent="0.3">
      <c r="A337" s="101">
        <v>3</v>
      </c>
      <c r="B337" s="373" t="s">
        <v>48</v>
      </c>
      <c r="C337" s="367" t="s">
        <v>286</v>
      </c>
      <c r="D337" s="367" t="s">
        <v>783</v>
      </c>
      <c r="E337" s="82">
        <v>4</v>
      </c>
      <c r="F337" s="368">
        <v>41496</v>
      </c>
      <c r="G337" s="369" t="s">
        <v>784</v>
      </c>
      <c r="H337" s="370">
        <v>4156099128</v>
      </c>
      <c r="I337" s="369" t="s">
        <v>785</v>
      </c>
      <c r="J337" s="368">
        <v>45082</v>
      </c>
      <c r="K337" s="369"/>
      <c r="L337" s="369"/>
      <c r="M337" s="367" t="s">
        <v>802</v>
      </c>
      <c r="N337" s="82" t="s">
        <v>34</v>
      </c>
      <c r="O337" s="371">
        <v>45597</v>
      </c>
      <c r="P337" s="372"/>
      <c r="Q337" s="372"/>
      <c r="R337" s="372"/>
      <c r="S337" s="372"/>
      <c r="T337" s="372"/>
      <c r="U337" s="372"/>
      <c r="V337" s="372"/>
      <c r="W337" s="372"/>
      <c r="X337" s="372"/>
      <c r="Y337" s="372"/>
      <c r="Z337" s="372"/>
      <c r="AA337" s="372"/>
      <c r="AB337" s="372"/>
      <c r="AC337" s="372"/>
      <c r="AD337" s="372"/>
      <c r="AE337" s="372"/>
      <c r="AF337" s="372"/>
      <c r="AG337" s="372"/>
      <c r="AH337" s="372"/>
      <c r="AI337" s="372"/>
      <c r="AJ337" s="372"/>
      <c r="AK337" s="372"/>
      <c r="AL337" s="372"/>
      <c r="AM337" s="372"/>
      <c r="AN337" s="372"/>
      <c r="AO337" s="372"/>
      <c r="AP337" s="372"/>
      <c r="AQ337" s="372"/>
      <c r="AR337" s="372"/>
      <c r="AS337" s="372"/>
      <c r="AT337" s="372"/>
      <c r="AU337" s="2"/>
      <c r="AV337" s="2"/>
    </row>
    <row r="338" spans="1:48" ht="15" hidden="1" customHeight="1" x14ac:dyDescent="0.3">
      <c r="A338" s="101">
        <v>4</v>
      </c>
      <c r="B338" s="373" t="s">
        <v>89</v>
      </c>
      <c r="C338" s="367" t="s">
        <v>286</v>
      </c>
      <c r="D338" s="367" t="s">
        <v>783</v>
      </c>
      <c r="E338" s="82">
        <v>4</v>
      </c>
      <c r="F338" s="368">
        <v>41496</v>
      </c>
      <c r="G338" s="369" t="s">
        <v>784</v>
      </c>
      <c r="H338" s="370">
        <v>4156099128</v>
      </c>
      <c r="I338" s="369" t="s">
        <v>785</v>
      </c>
      <c r="J338" s="368">
        <v>45082</v>
      </c>
      <c r="K338" s="369"/>
      <c r="L338" s="369"/>
      <c r="M338" s="367" t="s">
        <v>802</v>
      </c>
      <c r="N338" s="82" t="s">
        <v>34</v>
      </c>
      <c r="O338" s="371">
        <v>45597</v>
      </c>
      <c r="P338" s="372"/>
      <c r="Q338" s="372"/>
      <c r="R338" s="372"/>
      <c r="S338" s="372"/>
      <c r="T338" s="372"/>
      <c r="U338" s="372"/>
      <c r="V338" s="372"/>
      <c r="W338" s="372"/>
      <c r="X338" s="372"/>
      <c r="Y338" s="372"/>
      <c r="Z338" s="372"/>
      <c r="AA338" s="372"/>
      <c r="AB338" s="372"/>
      <c r="AC338" s="372"/>
      <c r="AD338" s="372"/>
      <c r="AE338" s="372"/>
      <c r="AF338" s="372"/>
      <c r="AG338" s="372"/>
      <c r="AH338" s="372"/>
      <c r="AI338" s="372"/>
      <c r="AJ338" s="372"/>
      <c r="AK338" s="372"/>
      <c r="AL338" s="372"/>
      <c r="AM338" s="372"/>
      <c r="AN338" s="372"/>
      <c r="AO338" s="372"/>
      <c r="AP338" s="372"/>
      <c r="AQ338" s="372"/>
      <c r="AR338" s="372"/>
      <c r="AS338" s="372"/>
      <c r="AT338" s="372"/>
      <c r="AU338" s="2"/>
      <c r="AV338" s="2"/>
    </row>
    <row r="339" spans="1:48" ht="15" hidden="1" customHeight="1" x14ac:dyDescent="0.3">
      <c r="A339" s="101">
        <v>5</v>
      </c>
      <c r="B339" s="373" t="s">
        <v>48</v>
      </c>
      <c r="C339" s="367" t="s">
        <v>286</v>
      </c>
      <c r="D339" s="367" t="s">
        <v>786</v>
      </c>
      <c r="E339" s="82">
        <v>1</v>
      </c>
      <c r="F339" s="368">
        <v>42757</v>
      </c>
      <c r="G339" s="369" t="s">
        <v>784</v>
      </c>
      <c r="H339" s="370">
        <v>4156099128</v>
      </c>
      <c r="I339" s="369" t="s">
        <v>785</v>
      </c>
      <c r="J339" s="368">
        <v>45082</v>
      </c>
      <c r="K339" s="369"/>
      <c r="L339" s="369"/>
      <c r="M339" s="367"/>
      <c r="N339" s="82" t="s">
        <v>34</v>
      </c>
      <c r="O339" s="371">
        <v>45597</v>
      </c>
      <c r="P339" s="372"/>
      <c r="Q339" s="372"/>
      <c r="R339" s="372"/>
      <c r="S339" s="372"/>
      <c r="T339" s="372"/>
      <c r="U339" s="372"/>
      <c r="V339" s="372"/>
      <c r="W339" s="372"/>
      <c r="X339" s="372"/>
      <c r="Y339" s="372"/>
      <c r="Z339" s="372"/>
      <c r="AA339" s="372"/>
      <c r="AB339" s="372"/>
      <c r="AC339" s="372"/>
      <c r="AD339" s="372"/>
      <c r="AE339" s="372"/>
      <c r="AF339" s="372"/>
      <c r="AG339" s="372"/>
      <c r="AH339" s="372"/>
      <c r="AI339" s="372"/>
      <c r="AJ339" s="372"/>
      <c r="AK339" s="372"/>
      <c r="AL339" s="372"/>
      <c r="AM339" s="372"/>
      <c r="AN339" s="372"/>
      <c r="AO339" s="372"/>
      <c r="AP339" s="372"/>
      <c r="AQ339" s="372"/>
      <c r="AR339" s="372"/>
      <c r="AS339" s="372"/>
      <c r="AT339" s="372"/>
      <c r="AU339" s="2"/>
      <c r="AV339" s="2"/>
    </row>
    <row r="340" spans="1:48" ht="15" hidden="1" customHeight="1" x14ac:dyDescent="0.3">
      <c r="A340" s="101">
        <v>6</v>
      </c>
      <c r="B340" s="373" t="s">
        <v>89</v>
      </c>
      <c r="C340" s="367" t="s">
        <v>286</v>
      </c>
      <c r="D340" s="367" t="s">
        <v>786</v>
      </c>
      <c r="E340" s="82">
        <v>1</v>
      </c>
      <c r="F340" s="368">
        <v>42757</v>
      </c>
      <c r="G340" s="369" t="s">
        <v>784</v>
      </c>
      <c r="H340" s="370">
        <v>4156099128</v>
      </c>
      <c r="I340" s="369" t="s">
        <v>785</v>
      </c>
      <c r="J340" s="368">
        <v>45082</v>
      </c>
      <c r="K340" s="369"/>
      <c r="L340" s="369"/>
      <c r="M340" s="367"/>
      <c r="N340" s="82" t="s">
        <v>34</v>
      </c>
      <c r="O340" s="371">
        <v>45597</v>
      </c>
      <c r="P340" s="372"/>
      <c r="Q340" s="372"/>
      <c r="R340" s="372"/>
      <c r="S340" s="372"/>
      <c r="T340" s="372"/>
      <c r="U340" s="372"/>
      <c r="V340" s="372"/>
      <c r="W340" s="372"/>
      <c r="X340" s="372"/>
      <c r="Y340" s="372"/>
      <c r="Z340" s="372"/>
      <c r="AA340" s="372"/>
      <c r="AB340" s="372"/>
      <c r="AC340" s="372"/>
      <c r="AD340" s="372"/>
      <c r="AE340" s="372"/>
      <c r="AF340" s="372"/>
      <c r="AG340" s="372"/>
      <c r="AH340" s="372"/>
      <c r="AI340" s="372"/>
      <c r="AJ340" s="372"/>
      <c r="AK340" s="372"/>
      <c r="AL340" s="372"/>
      <c r="AM340" s="372"/>
      <c r="AN340" s="372"/>
      <c r="AO340" s="372"/>
      <c r="AP340" s="372"/>
      <c r="AQ340" s="372"/>
      <c r="AR340" s="372"/>
      <c r="AS340" s="372"/>
      <c r="AT340" s="372"/>
      <c r="AU340" s="2"/>
      <c r="AV340" s="2"/>
    </row>
    <row r="341" spans="1:48" ht="15" hidden="1" customHeight="1" x14ac:dyDescent="0.3">
      <c r="A341" s="101">
        <v>7</v>
      </c>
      <c r="B341" s="366" t="s">
        <v>48</v>
      </c>
      <c r="C341" s="374" t="s">
        <v>487</v>
      </c>
      <c r="D341" s="374" t="s">
        <v>723</v>
      </c>
      <c r="E341" s="375">
        <v>2</v>
      </c>
      <c r="F341" s="376">
        <v>42933</v>
      </c>
      <c r="G341" s="369" t="s">
        <v>724</v>
      </c>
      <c r="H341" s="370">
        <v>4083986905</v>
      </c>
      <c r="I341" s="369" t="s">
        <v>725</v>
      </c>
      <c r="J341" s="377" t="s">
        <v>798</v>
      </c>
      <c r="K341" s="377"/>
      <c r="L341" s="377"/>
      <c r="M341" s="374" t="s">
        <v>803</v>
      </c>
      <c r="N341" s="366" t="s">
        <v>34</v>
      </c>
      <c r="O341" s="371">
        <v>45597</v>
      </c>
      <c r="P341" s="372"/>
      <c r="Q341" s="372"/>
      <c r="R341" s="372"/>
      <c r="S341" s="372"/>
      <c r="T341" s="372"/>
      <c r="U341" s="372"/>
      <c r="V341" s="372"/>
      <c r="W341" s="372"/>
      <c r="X341" s="372"/>
      <c r="Y341" s="372"/>
      <c r="Z341" s="372"/>
      <c r="AA341" s="372"/>
      <c r="AB341" s="372"/>
      <c r="AC341" s="372"/>
      <c r="AD341" s="372"/>
      <c r="AE341" s="372"/>
      <c r="AF341" s="372"/>
      <c r="AG341" s="372"/>
      <c r="AH341" s="372"/>
      <c r="AI341" s="372"/>
      <c r="AJ341" s="372"/>
      <c r="AK341" s="372"/>
      <c r="AL341" s="372"/>
      <c r="AM341" s="372"/>
      <c r="AN341" s="372"/>
      <c r="AO341" s="372"/>
      <c r="AP341" s="372"/>
      <c r="AQ341" s="372"/>
      <c r="AR341" s="372"/>
      <c r="AS341" s="372"/>
      <c r="AT341" s="372"/>
      <c r="AU341" s="2"/>
      <c r="AV341" s="2"/>
    </row>
    <row r="342" spans="1:48" ht="15" hidden="1" customHeight="1" x14ac:dyDescent="0.3">
      <c r="A342" s="378">
        <v>8</v>
      </c>
      <c r="B342" s="379" t="s">
        <v>89</v>
      </c>
      <c r="C342" s="380" t="s">
        <v>487</v>
      </c>
      <c r="D342" s="380" t="s">
        <v>723</v>
      </c>
      <c r="E342" s="381">
        <v>2</v>
      </c>
      <c r="F342" s="382">
        <v>42933</v>
      </c>
      <c r="G342" s="383" t="s">
        <v>724</v>
      </c>
      <c r="H342" s="384">
        <v>4083986905</v>
      </c>
      <c r="I342" s="383" t="s">
        <v>725</v>
      </c>
      <c r="J342" s="385" t="s">
        <v>798</v>
      </c>
      <c r="K342" s="385"/>
      <c r="L342" s="385"/>
      <c r="M342" s="380"/>
      <c r="N342" s="379" t="s">
        <v>34</v>
      </c>
      <c r="O342" s="386">
        <v>45597</v>
      </c>
      <c r="P342" s="372"/>
      <c r="Q342" s="372"/>
      <c r="R342" s="372"/>
      <c r="S342" s="372"/>
      <c r="T342" s="372"/>
      <c r="U342" s="372"/>
      <c r="V342" s="372"/>
      <c r="W342" s="372"/>
      <c r="X342" s="372"/>
      <c r="Y342" s="372"/>
      <c r="Z342" s="372"/>
      <c r="AA342" s="372"/>
      <c r="AB342" s="372"/>
      <c r="AC342" s="372"/>
      <c r="AD342" s="372"/>
      <c r="AE342" s="372"/>
      <c r="AF342" s="372"/>
      <c r="AG342" s="372"/>
      <c r="AH342" s="372"/>
      <c r="AI342" s="372"/>
      <c r="AJ342" s="372"/>
      <c r="AK342" s="372"/>
      <c r="AL342" s="372"/>
      <c r="AM342" s="372"/>
      <c r="AN342" s="372"/>
      <c r="AO342" s="372"/>
      <c r="AP342" s="372"/>
      <c r="AQ342" s="372"/>
      <c r="AR342" s="372"/>
      <c r="AS342" s="372"/>
      <c r="AT342" s="372"/>
      <c r="AU342" s="2"/>
      <c r="AV342" s="2"/>
    </row>
    <row r="343" spans="1:48" ht="15" hidden="1" customHeight="1" x14ac:dyDescent="0.3">
      <c r="A343" s="101">
        <v>1</v>
      </c>
      <c r="B343" s="387" t="s">
        <v>48</v>
      </c>
      <c r="C343" s="388" t="s">
        <v>804</v>
      </c>
      <c r="D343" s="388" t="s">
        <v>805</v>
      </c>
      <c r="E343" s="389">
        <v>2</v>
      </c>
      <c r="F343" s="388">
        <v>42157</v>
      </c>
      <c r="G343" s="388" t="s">
        <v>806</v>
      </c>
      <c r="H343" s="390">
        <v>5857522132</v>
      </c>
      <c r="I343" s="388" t="s">
        <v>807</v>
      </c>
      <c r="J343" s="391">
        <v>45299</v>
      </c>
      <c r="K343" s="392"/>
      <c r="L343" s="392"/>
      <c r="M343" s="393" t="s">
        <v>808</v>
      </c>
      <c r="N343" s="387" t="s">
        <v>34</v>
      </c>
      <c r="O343" s="394">
        <v>45627</v>
      </c>
      <c r="P343" s="395"/>
      <c r="Q343" s="395"/>
      <c r="R343" s="395"/>
      <c r="S343" s="395"/>
      <c r="T343" s="395"/>
      <c r="U343" s="395"/>
      <c r="V343" s="395"/>
      <c r="W343" s="395"/>
      <c r="X343" s="395"/>
      <c r="Y343" s="395"/>
      <c r="Z343" s="395"/>
      <c r="AA343" s="395"/>
      <c r="AB343" s="395"/>
      <c r="AC343" s="395"/>
      <c r="AD343" s="395"/>
      <c r="AE343" s="395"/>
      <c r="AF343" s="395"/>
      <c r="AG343" s="395"/>
      <c r="AH343" s="395"/>
      <c r="AI343" s="395"/>
      <c r="AJ343" s="395"/>
      <c r="AK343" s="395"/>
      <c r="AL343" s="395"/>
      <c r="AM343" s="395"/>
      <c r="AN343" s="395"/>
      <c r="AO343" s="395"/>
      <c r="AP343" s="395"/>
      <c r="AQ343" s="395"/>
      <c r="AR343" s="395"/>
      <c r="AS343" s="395"/>
      <c r="AT343" s="395"/>
      <c r="AU343" s="395"/>
      <c r="AV343" s="395"/>
    </row>
    <row r="344" spans="1:48" ht="15" hidden="1" customHeight="1" x14ac:dyDescent="0.3">
      <c r="A344" s="101">
        <v>2</v>
      </c>
      <c r="B344" s="396" t="s">
        <v>89</v>
      </c>
      <c r="C344" s="392" t="s">
        <v>804</v>
      </c>
      <c r="D344" s="392" t="s">
        <v>805</v>
      </c>
      <c r="E344" s="397">
        <v>2</v>
      </c>
      <c r="F344" s="398">
        <v>42157</v>
      </c>
      <c r="G344" s="392" t="s">
        <v>806</v>
      </c>
      <c r="H344" s="392">
        <v>5857522132</v>
      </c>
      <c r="I344" s="392" t="s">
        <v>807</v>
      </c>
      <c r="J344" s="399">
        <v>45299</v>
      </c>
      <c r="K344" s="392"/>
      <c r="L344" s="392"/>
      <c r="M344" s="393" t="s">
        <v>808</v>
      </c>
      <c r="N344" s="387" t="s">
        <v>34</v>
      </c>
      <c r="O344" s="394">
        <v>45627</v>
      </c>
      <c r="P344" s="395"/>
      <c r="Q344" s="395"/>
      <c r="R344" s="395"/>
      <c r="S344" s="395"/>
      <c r="T344" s="395"/>
      <c r="U344" s="395"/>
      <c r="V344" s="395"/>
      <c r="W344" s="395"/>
      <c r="X344" s="395"/>
      <c r="Y344" s="395"/>
      <c r="Z344" s="395"/>
      <c r="AA344" s="395"/>
      <c r="AB344" s="395"/>
      <c r="AC344" s="395"/>
      <c r="AD344" s="395"/>
      <c r="AE344" s="395"/>
      <c r="AF344" s="395"/>
      <c r="AG344" s="395"/>
      <c r="AH344" s="395"/>
      <c r="AI344" s="395"/>
      <c r="AJ344" s="395"/>
      <c r="AK344" s="395"/>
      <c r="AL344" s="395"/>
      <c r="AM344" s="395"/>
      <c r="AN344" s="395"/>
      <c r="AO344" s="395"/>
      <c r="AP344" s="395"/>
      <c r="AQ344" s="395"/>
      <c r="AR344" s="395"/>
      <c r="AS344" s="395"/>
      <c r="AT344" s="395"/>
      <c r="AU344" s="395"/>
      <c r="AV344" s="395"/>
    </row>
    <row r="345" spans="1:48" ht="15" hidden="1" customHeight="1" x14ac:dyDescent="0.3">
      <c r="A345" s="101">
        <v>3</v>
      </c>
      <c r="B345" s="387" t="s">
        <v>48</v>
      </c>
      <c r="C345" s="393" t="s">
        <v>492</v>
      </c>
      <c r="D345" s="393" t="s">
        <v>493</v>
      </c>
      <c r="E345" s="397" t="s">
        <v>243</v>
      </c>
      <c r="F345" s="398">
        <v>43461</v>
      </c>
      <c r="G345" s="393" t="s">
        <v>494</v>
      </c>
      <c r="H345" s="400">
        <v>4086803486</v>
      </c>
      <c r="I345" s="392" t="s">
        <v>495</v>
      </c>
      <c r="J345" s="399">
        <v>45323</v>
      </c>
      <c r="K345" s="392"/>
      <c r="L345" s="392"/>
      <c r="M345" s="393" t="s">
        <v>809</v>
      </c>
      <c r="N345" s="387" t="s">
        <v>34</v>
      </c>
      <c r="O345" s="394">
        <v>45627</v>
      </c>
      <c r="P345" s="395"/>
      <c r="Q345" s="395"/>
      <c r="R345" s="395"/>
      <c r="S345" s="395"/>
      <c r="T345" s="395"/>
      <c r="U345" s="395"/>
      <c r="V345" s="395"/>
      <c r="W345" s="395"/>
      <c r="X345" s="395"/>
      <c r="Y345" s="395"/>
      <c r="Z345" s="395"/>
      <c r="AA345" s="395"/>
      <c r="AB345" s="395"/>
      <c r="AC345" s="395"/>
      <c r="AD345" s="395"/>
      <c r="AE345" s="395"/>
      <c r="AF345" s="395"/>
      <c r="AG345" s="395"/>
      <c r="AH345" s="395"/>
      <c r="AI345" s="395"/>
      <c r="AJ345" s="395"/>
      <c r="AK345" s="395"/>
      <c r="AL345" s="395"/>
      <c r="AM345" s="395"/>
      <c r="AN345" s="395"/>
      <c r="AO345" s="395"/>
      <c r="AP345" s="395"/>
      <c r="AQ345" s="395"/>
      <c r="AR345" s="395"/>
      <c r="AS345" s="395"/>
      <c r="AT345" s="395"/>
      <c r="AU345" s="395"/>
      <c r="AV345" s="395"/>
    </row>
    <row r="346" spans="1:48" ht="15" hidden="1" customHeight="1" x14ac:dyDescent="0.3">
      <c r="A346" s="101">
        <v>4</v>
      </c>
      <c r="B346" s="387" t="s">
        <v>89</v>
      </c>
      <c r="C346" s="388" t="s">
        <v>492</v>
      </c>
      <c r="D346" s="388" t="s">
        <v>493</v>
      </c>
      <c r="E346" s="389" t="s">
        <v>243</v>
      </c>
      <c r="F346" s="401">
        <v>43461</v>
      </c>
      <c r="G346" s="388" t="s">
        <v>494</v>
      </c>
      <c r="H346" s="390">
        <v>4086803486</v>
      </c>
      <c r="I346" s="388" t="s">
        <v>495</v>
      </c>
      <c r="J346" s="391">
        <v>45352</v>
      </c>
      <c r="K346" s="392"/>
      <c r="L346" s="392"/>
      <c r="M346" s="393" t="s">
        <v>809</v>
      </c>
      <c r="N346" s="387" t="s">
        <v>34</v>
      </c>
      <c r="O346" s="394">
        <v>45627</v>
      </c>
      <c r="P346" s="395"/>
      <c r="Q346" s="395"/>
      <c r="R346" s="395"/>
      <c r="S346" s="395"/>
      <c r="T346" s="395"/>
      <c r="U346" s="395"/>
      <c r="V346" s="395"/>
      <c r="W346" s="395"/>
      <c r="X346" s="395"/>
      <c r="Y346" s="395"/>
      <c r="Z346" s="395"/>
      <c r="AA346" s="395"/>
      <c r="AB346" s="395"/>
      <c r="AC346" s="395"/>
      <c r="AD346" s="395"/>
      <c r="AE346" s="395"/>
      <c r="AF346" s="395"/>
      <c r="AG346" s="395"/>
      <c r="AH346" s="395"/>
      <c r="AI346" s="395"/>
      <c r="AJ346" s="395"/>
      <c r="AK346" s="395"/>
      <c r="AL346" s="395"/>
      <c r="AM346" s="395"/>
      <c r="AN346" s="395"/>
      <c r="AO346" s="395"/>
      <c r="AP346" s="395"/>
      <c r="AQ346" s="395"/>
      <c r="AR346" s="395"/>
      <c r="AS346" s="395"/>
      <c r="AT346" s="395"/>
      <c r="AU346" s="395"/>
      <c r="AV346" s="395"/>
    </row>
    <row r="347" spans="1:48" ht="15" hidden="1" customHeight="1" x14ac:dyDescent="0.3">
      <c r="A347" s="375">
        <v>1</v>
      </c>
      <c r="B347" s="373" t="s">
        <v>48</v>
      </c>
      <c r="C347" s="369" t="s">
        <v>129</v>
      </c>
      <c r="D347" s="369" t="s">
        <v>810</v>
      </c>
      <c r="E347" s="82">
        <v>1</v>
      </c>
      <c r="F347" s="368">
        <v>43199</v>
      </c>
      <c r="G347" s="369" t="s">
        <v>811</v>
      </c>
      <c r="H347" s="369">
        <v>6503046747</v>
      </c>
      <c r="I347" s="369" t="s">
        <v>812</v>
      </c>
      <c r="J347" s="402">
        <v>45572</v>
      </c>
      <c r="K347" s="369"/>
      <c r="L347" s="369"/>
      <c r="M347" s="367" t="s">
        <v>813</v>
      </c>
      <c r="N347" s="366" t="s">
        <v>34</v>
      </c>
      <c r="O347" s="371">
        <v>45658</v>
      </c>
      <c r="P347" s="403"/>
      <c r="Q347" s="403"/>
      <c r="R347" s="403"/>
      <c r="S347" s="403"/>
      <c r="T347" s="403"/>
      <c r="U347" s="403"/>
      <c r="V347" s="403"/>
      <c r="W347" s="403"/>
      <c r="X347" s="403"/>
      <c r="Y347" s="403"/>
      <c r="Z347" s="403"/>
      <c r="AA347" s="403"/>
      <c r="AB347" s="403"/>
      <c r="AC347" s="403"/>
      <c r="AD347" s="403"/>
      <c r="AE347" s="403"/>
      <c r="AF347" s="403"/>
      <c r="AG347" s="403"/>
      <c r="AH347" s="403"/>
      <c r="AI347" s="403"/>
      <c r="AJ347" s="403"/>
      <c r="AK347" s="403"/>
      <c r="AL347" s="403"/>
      <c r="AM347" s="403"/>
      <c r="AN347" s="403"/>
      <c r="AO347" s="403"/>
      <c r="AP347" s="403"/>
      <c r="AQ347" s="403"/>
      <c r="AR347" s="403"/>
      <c r="AS347" s="403"/>
      <c r="AT347" s="403"/>
      <c r="AU347" s="403"/>
      <c r="AV347" s="403"/>
    </row>
    <row r="348" spans="1:48" ht="15" hidden="1" customHeight="1" x14ac:dyDescent="0.3">
      <c r="A348" s="101">
        <v>2</v>
      </c>
      <c r="B348" s="97" t="s">
        <v>48</v>
      </c>
      <c r="C348" s="95" t="s">
        <v>521</v>
      </c>
      <c r="D348" s="95" t="s">
        <v>522</v>
      </c>
      <c r="E348" s="132">
        <v>6</v>
      </c>
      <c r="F348" s="96">
        <v>41034</v>
      </c>
      <c r="G348" s="98" t="s">
        <v>523</v>
      </c>
      <c r="H348" s="404">
        <v>5108161486</v>
      </c>
      <c r="I348" s="405" t="s">
        <v>485</v>
      </c>
      <c r="J348" s="406">
        <v>45293</v>
      </c>
      <c r="K348" s="98"/>
      <c r="L348" s="98"/>
      <c r="M348" s="95" t="s">
        <v>499</v>
      </c>
      <c r="N348" s="97" t="s">
        <v>34</v>
      </c>
      <c r="O348" s="371">
        <v>45658</v>
      </c>
      <c r="P348" s="407"/>
      <c r="Q348" s="407"/>
      <c r="R348" s="407"/>
      <c r="S348" s="407"/>
      <c r="T348" s="407"/>
      <c r="U348" s="407"/>
      <c r="V348" s="407"/>
      <c r="W348" s="407"/>
      <c r="X348" s="407"/>
      <c r="Y348" s="407"/>
      <c r="Z348" s="407"/>
      <c r="AA348" s="407"/>
      <c r="AB348" s="407"/>
      <c r="AC348" s="407"/>
      <c r="AD348" s="407"/>
      <c r="AE348" s="407"/>
      <c r="AF348" s="407"/>
      <c r="AG348" s="407"/>
      <c r="AH348" s="407"/>
      <c r="AI348" s="407"/>
      <c r="AJ348" s="407"/>
      <c r="AK348" s="407"/>
      <c r="AL348" s="407"/>
      <c r="AM348" s="407"/>
      <c r="AN348" s="407"/>
      <c r="AO348" s="407"/>
      <c r="AP348" s="407"/>
      <c r="AQ348" s="407"/>
      <c r="AR348" s="407"/>
      <c r="AS348" s="407"/>
      <c r="AT348" s="407"/>
      <c r="AU348" s="357"/>
      <c r="AV348" s="357"/>
    </row>
    <row r="349" spans="1:48" ht="15" hidden="1" customHeight="1" x14ac:dyDescent="0.3">
      <c r="A349" s="101">
        <v>3</v>
      </c>
      <c r="B349" s="97" t="s">
        <v>48</v>
      </c>
      <c r="C349" s="408" t="s">
        <v>375</v>
      </c>
      <c r="D349" s="408" t="s">
        <v>814</v>
      </c>
      <c r="E349" s="93">
        <v>1</v>
      </c>
      <c r="F349" s="409">
        <v>42977</v>
      </c>
      <c r="G349" s="408" t="s">
        <v>815</v>
      </c>
      <c r="H349" s="410">
        <v>8173712065</v>
      </c>
      <c r="I349" s="408" t="s">
        <v>816</v>
      </c>
      <c r="J349" s="411">
        <v>45174</v>
      </c>
      <c r="K349" s="98"/>
      <c r="L349" s="98"/>
      <c r="M349" s="95"/>
      <c r="N349" s="97" t="s">
        <v>34</v>
      </c>
      <c r="O349" s="371">
        <v>45658</v>
      </c>
      <c r="P349" s="136"/>
      <c r="Q349" s="136"/>
      <c r="R349" s="136"/>
      <c r="S349" s="136"/>
      <c r="T349" s="136"/>
      <c r="U349" s="136"/>
      <c r="V349" s="136"/>
      <c r="W349" s="136"/>
      <c r="X349" s="136"/>
      <c r="Y349" s="136"/>
      <c r="Z349" s="136"/>
      <c r="AA349" s="136"/>
      <c r="AB349" s="136"/>
      <c r="AC349" s="136"/>
      <c r="AD349" s="136"/>
      <c r="AE349" s="136"/>
      <c r="AF349" s="136"/>
      <c r="AG349" s="136"/>
      <c r="AH349" s="136"/>
      <c r="AI349" s="136"/>
      <c r="AJ349" s="136"/>
      <c r="AK349" s="136"/>
      <c r="AL349" s="136"/>
      <c r="AM349" s="136"/>
      <c r="AN349" s="136"/>
      <c r="AO349" s="136"/>
      <c r="AP349" s="136"/>
      <c r="AQ349" s="136"/>
      <c r="AR349" s="136"/>
      <c r="AS349" s="136"/>
      <c r="AT349" s="136"/>
      <c r="AU349" s="136"/>
      <c r="AV349" s="136"/>
    </row>
    <row r="350" spans="1:48" ht="15" customHeight="1" x14ac:dyDescent="0.3">
      <c r="A350" s="412">
        <v>1</v>
      </c>
      <c r="B350" s="413" t="s">
        <v>48</v>
      </c>
      <c r="C350" s="414" t="s">
        <v>181</v>
      </c>
      <c r="D350" s="414" t="s">
        <v>182</v>
      </c>
      <c r="E350" s="415" t="s">
        <v>183</v>
      </c>
      <c r="F350" s="416">
        <v>43556</v>
      </c>
      <c r="G350" s="414" t="s">
        <v>184</v>
      </c>
      <c r="H350" s="414">
        <v>2147624191</v>
      </c>
      <c r="I350" s="414" t="s">
        <v>185</v>
      </c>
      <c r="J350" s="417">
        <v>45585</v>
      </c>
      <c r="K350" s="414" t="s">
        <v>817</v>
      </c>
      <c r="L350" s="414" t="s">
        <v>818</v>
      </c>
      <c r="M350" s="418" t="s">
        <v>819</v>
      </c>
      <c r="N350" s="419" t="s">
        <v>34</v>
      </c>
      <c r="O350" s="420">
        <v>45689</v>
      </c>
      <c r="P350" s="99"/>
      <c r="Q350" s="99"/>
      <c r="R350" s="99"/>
      <c r="S350" s="99"/>
      <c r="T350" s="99"/>
      <c r="U350" s="99"/>
      <c r="V350" s="99"/>
      <c r="W350" s="99"/>
      <c r="X350" s="99"/>
      <c r="Y350" s="99"/>
      <c r="Z350" s="99"/>
      <c r="AA350" s="99"/>
      <c r="AB350" s="99"/>
      <c r="AC350" s="99"/>
      <c r="AD350" s="99"/>
      <c r="AE350" s="99"/>
      <c r="AF350" s="99"/>
      <c r="AG350" s="99"/>
      <c r="AH350" s="99"/>
      <c r="AI350" s="99"/>
      <c r="AJ350" s="99"/>
      <c r="AK350" s="99"/>
      <c r="AL350" s="99"/>
      <c r="AM350" s="99"/>
      <c r="AN350" s="99"/>
      <c r="AO350" s="99"/>
      <c r="AP350" s="99"/>
      <c r="AQ350" s="99"/>
      <c r="AR350" s="99"/>
      <c r="AS350" s="99"/>
      <c r="AT350" s="99"/>
      <c r="AU350" s="99"/>
      <c r="AV350" s="99"/>
    </row>
    <row r="351" spans="1:48" ht="15" customHeight="1" x14ac:dyDescent="0.3">
      <c r="A351" s="412">
        <v>2</v>
      </c>
      <c r="B351" s="413" t="s">
        <v>89</v>
      </c>
      <c r="C351" s="414" t="s">
        <v>187</v>
      </c>
      <c r="D351" s="414" t="s">
        <v>182</v>
      </c>
      <c r="E351" s="415" t="s">
        <v>183</v>
      </c>
      <c r="F351" s="416">
        <v>43556</v>
      </c>
      <c r="G351" s="414" t="s">
        <v>184</v>
      </c>
      <c r="H351" s="414">
        <v>2147624191</v>
      </c>
      <c r="I351" s="414" t="s">
        <v>185</v>
      </c>
      <c r="J351" s="417">
        <v>45585</v>
      </c>
      <c r="K351" s="414" t="s">
        <v>143</v>
      </c>
      <c r="L351" s="414" t="s">
        <v>820</v>
      </c>
      <c r="M351" s="418" t="s">
        <v>819</v>
      </c>
      <c r="N351" s="419" t="s">
        <v>34</v>
      </c>
      <c r="O351" s="420">
        <v>45689</v>
      </c>
      <c r="P351" s="99"/>
      <c r="Q351" s="99"/>
      <c r="R351" s="99"/>
      <c r="S351" s="99"/>
      <c r="T351" s="99"/>
      <c r="U351" s="99"/>
      <c r="V351" s="99"/>
      <c r="W351" s="99"/>
      <c r="X351" s="99"/>
      <c r="Y351" s="99"/>
      <c r="Z351" s="99"/>
      <c r="AA351" s="99"/>
      <c r="AB351" s="99"/>
      <c r="AC351" s="99"/>
      <c r="AD351" s="99"/>
      <c r="AE351" s="99"/>
      <c r="AF351" s="99"/>
      <c r="AG351" s="99"/>
      <c r="AH351" s="99"/>
      <c r="AI351" s="99"/>
      <c r="AJ351" s="99"/>
      <c r="AK351" s="99"/>
      <c r="AL351" s="99"/>
      <c r="AM351" s="99"/>
      <c r="AN351" s="99"/>
      <c r="AO351" s="99"/>
      <c r="AP351" s="99"/>
      <c r="AQ351" s="99"/>
      <c r="AR351" s="99"/>
      <c r="AS351" s="99"/>
      <c r="AT351" s="99"/>
      <c r="AU351" s="421"/>
      <c r="AV351" s="421"/>
    </row>
    <row r="352" spans="1:48" ht="15" customHeight="1" x14ac:dyDescent="0.3">
      <c r="A352" s="412">
        <v>3</v>
      </c>
      <c r="B352" s="419" t="s">
        <v>48</v>
      </c>
      <c r="C352" s="418" t="s">
        <v>385</v>
      </c>
      <c r="D352" s="418" t="s">
        <v>673</v>
      </c>
      <c r="E352" s="415">
        <v>4</v>
      </c>
      <c r="F352" s="416" t="s">
        <v>821</v>
      </c>
      <c r="G352" s="418" t="s">
        <v>822</v>
      </c>
      <c r="H352" s="422">
        <v>7324916636</v>
      </c>
      <c r="I352" s="414" t="s">
        <v>823</v>
      </c>
      <c r="J352" s="417" t="s">
        <v>798</v>
      </c>
      <c r="K352" s="414" t="s">
        <v>136</v>
      </c>
      <c r="L352" s="414" t="s">
        <v>824</v>
      </c>
      <c r="M352" s="418" t="s">
        <v>825</v>
      </c>
      <c r="N352" s="419" t="s">
        <v>34</v>
      </c>
      <c r="O352" s="420">
        <v>45689</v>
      </c>
      <c r="P352" s="114"/>
      <c r="Q352" s="114"/>
      <c r="R352" s="114"/>
      <c r="S352" s="114"/>
      <c r="T352" s="114"/>
      <c r="U352" s="114"/>
      <c r="V352" s="114"/>
      <c r="W352" s="114"/>
      <c r="X352" s="114"/>
      <c r="Y352" s="114"/>
      <c r="Z352" s="114"/>
      <c r="AA352" s="114"/>
      <c r="AB352" s="114"/>
      <c r="AC352" s="114"/>
      <c r="AD352" s="114"/>
      <c r="AE352" s="114"/>
      <c r="AF352" s="114"/>
      <c r="AG352" s="114"/>
      <c r="AH352" s="114"/>
      <c r="AI352" s="114"/>
      <c r="AJ352" s="114"/>
      <c r="AK352" s="114"/>
      <c r="AL352" s="114"/>
      <c r="AM352" s="114"/>
      <c r="AN352" s="114"/>
      <c r="AO352" s="114"/>
      <c r="AP352" s="114"/>
      <c r="AQ352" s="114"/>
      <c r="AR352" s="114"/>
      <c r="AS352" s="114"/>
      <c r="AT352" s="114"/>
      <c r="AU352" s="99"/>
      <c r="AV352" s="99"/>
    </row>
    <row r="353" spans="1:48" ht="15" customHeight="1" x14ac:dyDescent="0.3">
      <c r="A353" s="412">
        <v>4</v>
      </c>
      <c r="B353" s="419" t="s">
        <v>89</v>
      </c>
      <c r="C353" s="423" t="s">
        <v>385</v>
      </c>
      <c r="D353" s="423" t="s">
        <v>673</v>
      </c>
      <c r="E353" s="412">
        <v>4</v>
      </c>
      <c r="F353" s="424" t="s">
        <v>821</v>
      </c>
      <c r="G353" s="423" t="s">
        <v>822</v>
      </c>
      <c r="H353" s="425">
        <v>7324916636</v>
      </c>
      <c r="I353" s="423" t="s">
        <v>823</v>
      </c>
      <c r="J353" s="426" t="s">
        <v>798</v>
      </c>
      <c r="K353" s="414" t="s">
        <v>162</v>
      </c>
      <c r="L353" s="414" t="s">
        <v>826</v>
      </c>
      <c r="M353" s="418" t="s">
        <v>825</v>
      </c>
      <c r="N353" s="419" t="s">
        <v>34</v>
      </c>
      <c r="O353" s="420">
        <v>45689</v>
      </c>
      <c r="P353" s="99"/>
      <c r="Q353" s="99"/>
      <c r="R353" s="99"/>
      <c r="S353" s="99"/>
      <c r="T353" s="99"/>
      <c r="U353" s="99"/>
      <c r="V353" s="99"/>
      <c r="W353" s="99"/>
      <c r="X353" s="99"/>
      <c r="Y353" s="99"/>
      <c r="Z353" s="99"/>
      <c r="AA353" s="99"/>
      <c r="AB353" s="99"/>
      <c r="AC353" s="99"/>
      <c r="AD353" s="99"/>
      <c r="AE353" s="99"/>
      <c r="AF353" s="99"/>
      <c r="AG353" s="99"/>
      <c r="AH353" s="99"/>
      <c r="AI353" s="99"/>
      <c r="AJ353" s="99"/>
      <c r="AK353" s="99"/>
      <c r="AL353" s="99"/>
      <c r="AM353" s="99"/>
      <c r="AN353" s="99"/>
      <c r="AO353" s="99"/>
      <c r="AP353" s="99"/>
      <c r="AQ353" s="99"/>
      <c r="AR353" s="99"/>
      <c r="AS353" s="99"/>
      <c r="AT353" s="99"/>
      <c r="AU353" s="99"/>
      <c r="AV353" s="99"/>
    </row>
    <row r="354" spans="1:48" ht="15" customHeight="1" x14ac:dyDescent="0.3">
      <c r="A354" s="101">
        <v>1</v>
      </c>
      <c r="B354" s="88" t="s">
        <v>48</v>
      </c>
      <c r="C354" s="122" t="s">
        <v>385</v>
      </c>
      <c r="D354" s="122" t="s">
        <v>827</v>
      </c>
      <c r="E354" s="122">
        <v>5</v>
      </c>
      <c r="F354" s="123">
        <v>41774</v>
      </c>
      <c r="G354" s="122" t="s">
        <v>828</v>
      </c>
      <c r="H354" s="122" t="s">
        <v>829</v>
      </c>
      <c r="I354" s="122" t="s">
        <v>830</v>
      </c>
      <c r="J354" s="123">
        <v>45588</v>
      </c>
      <c r="K354" s="122" t="s">
        <v>831</v>
      </c>
      <c r="L354" s="122" t="s">
        <v>832</v>
      </c>
      <c r="M354" s="122" t="s">
        <v>833</v>
      </c>
      <c r="N354" s="124" t="s">
        <v>34</v>
      </c>
      <c r="O354" s="129">
        <v>45748</v>
      </c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427"/>
      <c r="AV354" s="427"/>
    </row>
    <row r="355" spans="1:48" ht="15" customHeight="1" x14ac:dyDescent="0.3">
      <c r="A355" s="101">
        <v>1</v>
      </c>
      <c r="B355" s="94" t="s">
        <v>48</v>
      </c>
      <c r="C355" s="95" t="s">
        <v>614</v>
      </c>
      <c r="D355" s="95" t="s">
        <v>615</v>
      </c>
      <c r="E355" s="95">
        <v>4</v>
      </c>
      <c r="F355" s="96" t="s">
        <v>834</v>
      </c>
      <c r="G355" s="95" t="s">
        <v>835</v>
      </c>
      <c r="H355" s="95">
        <v>5102602020</v>
      </c>
      <c r="I355" s="95" t="s">
        <v>618</v>
      </c>
      <c r="J355" s="96" t="s">
        <v>836</v>
      </c>
      <c r="K355" s="95" t="s">
        <v>175</v>
      </c>
      <c r="L355" s="95">
        <v>26</v>
      </c>
      <c r="M355" s="95"/>
      <c r="N355" s="97" t="s">
        <v>34</v>
      </c>
      <c r="O355" s="129">
        <v>45809</v>
      </c>
      <c r="P355" s="99"/>
      <c r="Q355" s="99"/>
      <c r="R355" s="99"/>
      <c r="S355" s="99"/>
      <c r="T355" s="99"/>
      <c r="U355" s="99"/>
      <c r="V355" s="99"/>
      <c r="W355" s="99"/>
      <c r="X355" s="99"/>
      <c r="Y355" s="99"/>
      <c r="Z355" s="99"/>
      <c r="AA355" s="99"/>
      <c r="AB355" s="99"/>
      <c r="AC355" s="99"/>
      <c r="AD355" s="99"/>
      <c r="AE355" s="99"/>
      <c r="AF355" s="99"/>
      <c r="AG355" s="99"/>
      <c r="AH355" s="99"/>
      <c r="AI355" s="99"/>
      <c r="AJ355" s="99"/>
      <c r="AK355" s="99"/>
      <c r="AL355" s="99"/>
      <c r="AM355" s="99"/>
      <c r="AN355" s="99"/>
      <c r="AO355" s="99"/>
      <c r="AP355" s="99"/>
      <c r="AQ355" s="99"/>
      <c r="AR355" s="99"/>
      <c r="AS355" s="99"/>
      <c r="AT355" s="99"/>
      <c r="AU355" s="421"/>
      <c r="AV355" s="421"/>
    </row>
    <row r="356" spans="1:48" ht="15" customHeight="1" x14ac:dyDescent="0.3">
      <c r="A356" s="101">
        <v>2</v>
      </c>
      <c r="B356" s="94" t="s">
        <v>89</v>
      </c>
      <c r="C356" s="95" t="s">
        <v>614</v>
      </c>
      <c r="D356" s="95" t="s">
        <v>615</v>
      </c>
      <c r="E356" s="95">
        <v>4</v>
      </c>
      <c r="F356" s="96" t="s">
        <v>834</v>
      </c>
      <c r="G356" s="95" t="s">
        <v>835</v>
      </c>
      <c r="H356" s="95">
        <v>5102602020</v>
      </c>
      <c r="I356" s="95" t="s">
        <v>618</v>
      </c>
      <c r="J356" s="96" t="s">
        <v>836</v>
      </c>
      <c r="K356" s="95" t="s">
        <v>196</v>
      </c>
      <c r="L356" s="95">
        <v>61</v>
      </c>
      <c r="M356" s="95"/>
      <c r="N356" s="97" t="s">
        <v>34</v>
      </c>
      <c r="O356" s="129">
        <v>45809</v>
      </c>
      <c r="P356" s="99"/>
      <c r="Q356" s="99"/>
      <c r="R356" s="99"/>
      <c r="S356" s="99"/>
      <c r="T356" s="99"/>
      <c r="U356" s="99"/>
      <c r="V356" s="99"/>
      <c r="W356" s="99"/>
      <c r="X356" s="99"/>
      <c r="Y356" s="99"/>
      <c r="Z356" s="99"/>
      <c r="AA356" s="99"/>
      <c r="AB356" s="99"/>
      <c r="AC356" s="99"/>
      <c r="AD356" s="99"/>
      <c r="AE356" s="99"/>
      <c r="AF356" s="99"/>
      <c r="AG356" s="99"/>
      <c r="AH356" s="99"/>
      <c r="AI356" s="99"/>
      <c r="AJ356" s="99"/>
      <c r="AK356" s="99"/>
      <c r="AL356" s="99"/>
      <c r="AM356" s="99"/>
      <c r="AN356" s="99"/>
      <c r="AO356" s="99"/>
      <c r="AP356" s="99"/>
      <c r="AQ356" s="99"/>
      <c r="AR356" s="99"/>
      <c r="AS356" s="99"/>
      <c r="AT356" s="99"/>
      <c r="AU356" s="421"/>
      <c r="AV356" s="421"/>
    </row>
    <row r="357" spans="1:48" ht="15" customHeight="1" x14ac:dyDescent="0.3">
      <c r="A357" s="101">
        <v>3</v>
      </c>
      <c r="B357" s="132" t="s">
        <v>89</v>
      </c>
      <c r="C357" s="95" t="s">
        <v>385</v>
      </c>
      <c r="D357" s="95" t="s">
        <v>827</v>
      </c>
      <c r="E357" s="95">
        <v>5</v>
      </c>
      <c r="F357" s="96">
        <v>41774</v>
      </c>
      <c r="G357" s="95" t="s">
        <v>828</v>
      </c>
      <c r="H357" s="95" t="s">
        <v>829</v>
      </c>
      <c r="I357" s="95" t="s">
        <v>830</v>
      </c>
      <c r="J357" s="96">
        <v>45740</v>
      </c>
      <c r="K357" s="428"/>
      <c r="L357" s="428"/>
      <c r="M357" s="95" t="s">
        <v>837</v>
      </c>
      <c r="N357" s="97" t="s">
        <v>34</v>
      </c>
      <c r="O357" s="129">
        <v>45809</v>
      </c>
      <c r="P357" s="114"/>
      <c r="Q357" s="114"/>
      <c r="R357" s="114"/>
      <c r="S357" s="114"/>
      <c r="T357" s="114"/>
      <c r="U357" s="114"/>
      <c r="V357" s="114"/>
      <c r="W357" s="114"/>
      <c r="X357" s="114"/>
      <c r="Y357" s="114"/>
      <c r="Z357" s="114"/>
      <c r="AA357" s="114"/>
      <c r="AB357" s="114"/>
      <c r="AC357" s="114"/>
      <c r="AD357" s="114"/>
      <c r="AE357" s="114"/>
      <c r="AF357" s="114"/>
      <c r="AG357" s="114"/>
      <c r="AH357" s="114"/>
      <c r="AI357" s="114"/>
      <c r="AJ357" s="114"/>
      <c r="AK357" s="114"/>
      <c r="AL357" s="114"/>
      <c r="AM357" s="114"/>
      <c r="AN357" s="114"/>
      <c r="AO357" s="114"/>
      <c r="AP357" s="114"/>
      <c r="AQ357" s="114"/>
      <c r="AR357" s="114"/>
      <c r="AS357" s="114"/>
      <c r="AT357" s="114"/>
      <c r="AU357" s="421"/>
      <c r="AV357" s="421"/>
    </row>
    <row r="358" spans="1:48" ht="15" customHeight="1" x14ac:dyDescent="0.3">
      <c r="A358" s="101">
        <v>4</v>
      </c>
      <c r="B358" s="94" t="s">
        <v>89</v>
      </c>
      <c r="C358" s="95" t="s">
        <v>838</v>
      </c>
      <c r="D358" s="95" t="s">
        <v>839</v>
      </c>
      <c r="E358" s="95" t="s">
        <v>201</v>
      </c>
      <c r="F358" s="96" t="s">
        <v>840</v>
      </c>
      <c r="G358" s="95" t="s">
        <v>841</v>
      </c>
      <c r="H358" s="95">
        <v>7063088178</v>
      </c>
      <c r="I358" s="95" t="s">
        <v>842</v>
      </c>
      <c r="J358" s="96" t="s">
        <v>134</v>
      </c>
      <c r="K358" s="95" t="s">
        <v>126</v>
      </c>
      <c r="L358" s="95">
        <v>105</v>
      </c>
      <c r="M358" s="95" t="s">
        <v>843</v>
      </c>
      <c r="N358" s="97" t="s">
        <v>34</v>
      </c>
      <c r="O358" s="129">
        <v>45809</v>
      </c>
      <c r="P358" s="99"/>
      <c r="Q358" s="99"/>
      <c r="R358" s="99"/>
      <c r="S358" s="99"/>
      <c r="T358" s="99"/>
      <c r="U358" s="99"/>
      <c r="V358" s="99"/>
      <c r="W358" s="99"/>
      <c r="X358" s="99"/>
      <c r="Y358" s="99"/>
      <c r="Z358" s="99"/>
      <c r="AA358" s="99"/>
      <c r="AB358" s="99"/>
      <c r="AC358" s="99"/>
      <c r="AD358" s="99"/>
      <c r="AE358" s="99"/>
      <c r="AF358" s="99"/>
      <c r="AG358" s="99"/>
      <c r="AH358" s="99"/>
      <c r="AI358" s="99"/>
      <c r="AJ358" s="99"/>
      <c r="AK358" s="99"/>
      <c r="AL358" s="99"/>
      <c r="AM358" s="99"/>
      <c r="AN358" s="99"/>
      <c r="AO358" s="99"/>
      <c r="AP358" s="99"/>
      <c r="AQ358" s="99"/>
      <c r="AR358" s="99"/>
      <c r="AS358" s="99"/>
      <c r="AT358" s="99"/>
      <c r="AU358" s="421"/>
      <c r="AV358" s="421"/>
    </row>
    <row r="359" spans="1:48" ht="15" customHeight="1" x14ac:dyDescent="0.3">
      <c r="A359" s="101">
        <v>5</v>
      </c>
      <c r="B359" s="94" t="s">
        <v>48</v>
      </c>
      <c r="C359" s="95" t="s">
        <v>838</v>
      </c>
      <c r="D359" s="95" t="s">
        <v>839</v>
      </c>
      <c r="E359" s="95" t="s">
        <v>201</v>
      </c>
      <c r="F359" s="96" t="s">
        <v>840</v>
      </c>
      <c r="G359" s="95" t="s">
        <v>841</v>
      </c>
      <c r="H359" s="95">
        <v>7063088178</v>
      </c>
      <c r="I359" s="95" t="s">
        <v>842</v>
      </c>
      <c r="J359" s="96" t="s">
        <v>134</v>
      </c>
      <c r="K359" s="95" t="s">
        <v>115</v>
      </c>
      <c r="L359" s="95">
        <v>1</v>
      </c>
      <c r="M359" s="95" t="s">
        <v>843</v>
      </c>
      <c r="N359" s="97" t="s">
        <v>34</v>
      </c>
      <c r="O359" s="129">
        <v>45809</v>
      </c>
      <c r="P359" s="99"/>
      <c r="Q359" s="99"/>
      <c r="R359" s="99"/>
      <c r="S359" s="99"/>
      <c r="T359" s="99"/>
      <c r="U359" s="99"/>
      <c r="V359" s="99"/>
      <c r="W359" s="99"/>
      <c r="X359" s="99"/>
      <c r="Y359" s="99"/>
      <c r="Z359" s="99"/>
      <c r="AA359" s="99"/>
      <c r="AB359" s="99"/>
      <c r="AC359" s="99"/>
      <c r="AD359" s="99"/>
      <c r="AE359" s="99"/>
      <c r="AF359" s="99"/>
      <c r="AG359" s="99"/>
      <c r="AH359" s="99"/>
      <c r="AI359" s="99"/>
      <c r="AJ359" s="99"/>
      <c r="AK359" s="99"/>
      <c r="AL359" s="99"/>
      <c r="AM359" s="99"/>
      <c r="AN359" s="99"/>
      <c r="AO359" s="99"/>
      <c r="AP359" s="99"/>
      <c r="AQ359" s="99"/>
      <c r="AR359" s="99"/>
      <c r="AS359" s="99"/>
      <c r="AT359" s="99"/>
      <c r="AU359" s="421"/>
      <c r="AV359" s="421"/>
    </row>
    <row r="360" spans="1:48" ht="15" customHeight="1" x14ac:dyDescent="0.3">
      <c r="A360" s="101">
        <v>6</v>
      </c>
      <c r="B360" s="94" t="s">
        <v>89</v>
      </c>
      <c r="C360" s="95" t="s">
        <v>844</v>
      </c>
      <c r="D360" s="95" t="s">
        <v>845</v>
      </c>
      <c r="E360" s="95">
        <v>5</v>
      </c>
      <c r="F360" s="96" t="s">
        <v>846</v>
      </c>
      <c r="G360" s="95" t="s">
        <v>847</v>
      </c>
      <c r="H360" s="95">
        <v>4027071083</v>
      </c>
      <c r="I360" s="95" t="s">
        <v>848</v>
      </c>
      <c r="J360" s="96" t="s">
        <v>849</v>
      </c>
      <c r="K360" s="95"/>
      <c r="L360" s="95"/>
      <c r="M360" s="95" t="s">
        <v>850</v>
      </c>
      <c r="N360" s="97" t="s">
        <v>34</v>
      </c>
      <c r="O360" s="129">
        <v>45809</v>
      </c>
      <c r="P360" s="99"/>
      <c r="Q360" s="99"/>
      <c r="R360" s="99"/>
      <c r="S360" s="99"/>
      <c r="T360" s="99"/>
      <c r="U360" s="99"/>
      <c r="V360" s="99"/>
      <c r="W360" s="99"/>
      <c r="X360" s="99"/>
      <c r="Y360" s="99"/>
      <c r="Z360" s="99"/>
      <c r="AA360" s="99"/>
      <c r="AB360" s="99"/>
      <c r="AC360" s="99"/>
      <c r="AD360" s="99"/>
      <c r="AE360" s="99"/>
      <c r="AF360" s="99"/>
      <c r="AG360" s="99"/>
      <c r="AH360" s="99"/>
      <c r="AI360" s="99"/>
      <c r="AJ360" s="99"/>
      <c r="AK360" s="99"/>
      <c r="AL360" s="99"/>
      <c r="AM360" s="99"/>
      <c r="AN360" s="99"/>
      <c r="AO360" s="99"/>
      <c r="AP360" s="99"/>
      <c r="AQ360" s="99"/>
      <c r="AR360" s="99"/>
      <c r="AS360" s="99"/>
      <c r="AT360" s="99"/>
      <c r="AU360" s="421"/>
      <c r="AV360" s="421"/>
    </row>
    <row r="361" spans="1:48" ht="15" customHeight="1" x14ac:dyDescent="0.3">
      <c r="A361" s="101">
        <v>7</v>
      </c>
      <c r="B361" s="94" t="s">
        <v>48</v>
      </c>
      <c r="C361" s="95" t="s">
        <v>529</v>
      </c>
      <c r="D361" s="95" t="s">
        <v>851</v>
      </c>
      <c r="E361" s="95">
        <v>4</v>
      </c>
      <c r="F361" s="96" t="s">
        <v>852</v>
      </c>
      <c r="G361" s="95" t="s">
        <v>853</v>
      </c>
      <c r="H361" s="95">
        <v>4085076346</v>
      </c>
      <c r="I361" s="95" t="s">
        <v>594</v>
      </c>
      <c r="J361" s="96" t="s">
        <v>798</v>
      </c>
      <c r="K361" s="95" t="s">
        <v>260</v>
      </c>
      <c r="L361" s="95">
        <v>81</v>
      </c>
      <c r="M361" s="95" t="s">
        <v>843</v>
      </c>
      <c r="N361" s="97" t="s">
        <v>34</v>
      </c>
      <c r="O361" s="129">
        <v>45809</v>
      </c>
      <c r="P361" s="99"/>
      <c r="Q361" s="99"/>
      <c r="R361" s="99"/>
      <c r="S361" s="99"/>
      <c r="T361" s="99"/>
      <c r="U361" s="99"/>
      <c r="V361" s="99"/>
      <c r="W361" s="99"/>
      <c r="X361" s="99"/>
      <c r="Y361" s="99"/>
      <c r="Z361" s="99"/>
      <c r="AA361" s="99"/>
      <c r="AB361" s="99"/>
      <c r="AC361" s="99"/>
      <c r="AD361" s="99"/>
      <c r="AE361" s="99"/>
      <c r="AF361" s="99"/>
      <c r="AG361" s="99"/>
      <c r="AH361" s="99"/>
      <c r="AI361" s="99"/>
      <c r="AJ361" s="99"/>
      <c r="AK361" s="99"/>
      <c r="AL361" s="99"/>
      <c r="AM361" s="99"/>
      <c r="AN361" s="99"/>
      <c r="AO361" s="99"/>
      <c r="AP361" s="99"/>
      <c r="AQ361" s="99"/>
      <c r="AR361" s="99"/>
      <c r="AS361" s="99"/>
      <c r="AT361" s="99"/>
      <c r="AU361" s="421"/>
      <c r="AV361" s="421"/>
    </row>
    <row r="362" spans="1:48" ht="15" customHeight="1" x14ac:dyDescent="0.3">
      <c r="A362" s="101">
        <v>8</v>
      </c>
      <c r="B362" s="94" t="s">
        <v>89</v>
      </c>
      <c r="C362" s="95" t="s">
        <v>529</v>
      </c>
      <c r="D362" s="95" t="s">
        <v>851</v>
      </c>
      <c r="E362" s="95">
        <v>4</v>
      </c>
      <c r="F362" s="96" t="s">
        <v>854</v>
      </c>
      <c r="G362" s="95" t="s">
        <v>855</v>
      </c>
      <c r="H362" s="95">
        <v>4085076346</v>
      </c>
      <c r="I362" s="95" t="s">
        <v>594</v>
      </c>
      <c r="J362" s="96">
        <v>45566</v>
      </c>
      <c r="K362" s="95" t="s">
        <v>354</v>
      </c>
      <c r="L362" s="95">
        <v>56</v>
      </c>
      <c r="M362" s="95" t="s">
        <v>843</v>
      </c>
      <c r="N362" s="97" t="s">
        <v>34</v>
      </c>
      <c r="O362" s="129">
        <v>45809</v>
      </c>
      <c r="P362" s="99"/>
      <c r="Q362" s="99"/>
      <c r="R362" s="99"/>
      <c r="S362" s="99"/>
      <c r="T362" s="99"/>
      <c r="U362" s="99"/>
      <c r="V362" s="99"/>
      <c r="W362" s="99"/>
      <c r="X362" s="99"/>
      <c r="Y362" s="99"/>
      <c r="Z362" s="99"/>
      <c r="AA362" s="99"/>
      <c r="AB362" s="99"/>
      <c r="AC362" s="99"/>
      <c r="AD362" s="99"/>
      <c r="AE362" s="99"/>
      <c r="AF362" s="99"/>
      <c r="AG362" s="99"/>
      <c r="AH362" s="99"/>
      <c r="AI362" s="99"/>
      <c r="AJ362" s="99"/>
      <c r="AK362" s="99"/>
      <c r="AL362" s="99"/>
      <c r="AM362" s="99"/>
      <c r="AN362" s="99"/>
      <c r="AO362" s="99"/>
      <c r="AP362" s="99"/>
      <c r="AQ362" s="99"/>
      <c r="AR362" s="99"/>
      <c r="AS362" s="99"/>
      <c r="AT362" s="99"/>
      <c r="AU362" s="421"/>
      <c r="AV362" s="421"/>
    </row>
    <row r="363" spans="1:48" ht="15" customHeight="1" x14ac:dyDescent="0.3">
      <c r="A363" s="101">
        <v>9</v>
      </c>
      <c r="B363" s="94" t="s">
        <v>48</v>
      </c>
      <c r="C363" s="95" t="s">
        <v>534</v>
      </c>
      <c r="D363" s="95" t="s">
        <v>386</v>
      </c>
      <c r="E363" s="95">
        <v>4</v>
      </c>
      <c r="F363" s="96" t="s">
        <v>856</v>
      </c>
      <c r="G363" s="95" t="s">
        <v>857</v>
      </c>
      <c r="H363" s="95">
        <v>3104608958</v>
      </c>
      <c r="I363" s="95" t="s">
        <v>536</v>
      </c>
      <c r="J363" s="96" t="s">
        <v>858</v>
      </c>
      <c r="K363" s="95" t="s">
        <v>136</v>
      </c>
      <c r="L363" s="95">
        <v>16</v>
      </c>
      <c r="M363" s="95"/>
      <c r="N363" s="97" t="s">
        <v>34</v>
      </c>
      <c r="O363" s="129">
        <v>45809</v>
      </c>
      <c r="P363" s="99"/>
      <c r="Q363" s="99"/>
      <c r="R363" s="99"/>
      <c r="S363" s="99"/>
      <c r="T363" s="99"/>
      <c r="U363" s="99"/>
      <c r="V363" s="99"/>
      <c r="W363" s="99"/>
      <c r="X363" s="99"/>
      <c r="Y363" s="99"/>
      <c r="Z363" s="99"/>
      <c r="AA363" s="99"/>
      <c r="AB363" s="99"/>
      <c r="AC363" s="99"/>
      <c r="AD363" s="99"/>
      <c r="AE363" s="99"/>
      <c r="AF363" s="99"/>
      <c r="AG363" s="99"/>
      <c r="AH363" s="99"/>
      <c r="AI363" s="99"/>
      <c r="AJ363" s="99"/>
      <c r="AK363" s="99"/>
      <c r="AL363" s="99"/>
      <c r="AM363" s="99"/>
      <c r="AN363" s="99"/>
      <c r="AO363" s="99"/>
      <c r="AP363" s="99"/>
      <c r="AQ363" s="99"/>
      <c r="AR363" s="99"/>
      <c r="AS363" s="99"/>
      <c r="AT363" s="99"/>
      <c r="AU363" s="421"/>
      <c r="AV363" s="421"/>
    </row>
    <row r="364" spans="1:48" ht="15" customHeight="1" x14ac:dyDescent="0.3">
      <c r="A364" s="101">
        <v>10</v>
      </c>
      <c r="B364" s="94" t="s">
        <v>89</v>
      </c>
      <c r="C364" s="95" t="s">
        <v>534</v>
      </c>
      <c r="D364" s="95" t="s">
        <v>386</v>
      </c>
      <c r="E364" s="95">
        <v>4</v>
      </c>
      <c r="F364" s="96" t="s">
        <v>856</v>
      </c>
      <c r="G364" s="95" t="s">
        <v>857</v>
      </c>
      <c r="H364" s="95">
        <v>3104608958</v>
      </c>
      <c r="I364" s="95" t="s">
        <v>536</v>
      </c>
      <c r="J364" s="96" t="s">
        <v>858</v>
      </c>
      <c r="K364" s="95" t="s">
        <v>196</v>
      </c>
      <c r="L364" s="95">
        <v>71</v>
      </c>
      <c r="M364" s="95"/>
      <c r="N364" s="97" t="s">
        <v>34</v>
      </c>
      <c r="O364" s="129">
        <v>45809</v>
      </c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  <c r="AA364" s="99"/>
      <c r="AB364" s="99"/>
      <c r="AC364" s="99"/>
      <c r="AD364" s="99"/>
      <c r="AE364" s="99"/>
      <c r="AF364" s="99"/>
      <c r="AG364" s="99"/>
      <c r="AH364" s="99"/>
      <c r="AI364" s="99"/>
      <c r="AJ364" s="99"/>
      <c r="AK364" s="99"/>
      <c r="AL364" s="99"/>
      <c r="AM364" s="99"/>
      <c r="AN364" s="99"/>
      <c r="AO364" s="99"/>
      <c r="AP364" s="99"/>
      <c r="AQ364" s="99"/>
      <c r="AR364" s="99"/>
      <c r="AS364" s="99"/>
      <c r="AT364" s="99"/>
      <c r="AU364" s="421"/>
      <c r="AV364" s="421"/>
    </row>
    <row r="365" spans="1:48" ht="15" customHeight="1" x14ac:dyDescent="0.3">
      <c r="A365" s="101">
        <v>11</v>
      </c>
      <c r="B365" s="94" t="s">
        <v>48</v>
      </c>
      <c r="C365" s="95" t="s">
        <v>576</v>
      </c>
      <c r="D365" s="95" t="s">
        <v>130</v>
      </c>
      <c r="E365" s="95" t="s">
        <v>183</v>
      </c>
      <c r="F365" s="96">
        <v>43274</v>
      </c>
      <c r="G365" s="95" t="s">
        <v>577</v>
      </c>
      <c r="H365" s="95">
        <v>2544004292</v>
      </c>
      <c r="I365" s="95" t="s">
        <v>578</v>
      </c>
      <c r="J365" s="96">
        <v>45503</v>
      </c>
      <c r="K365" s="95" t="s">
        <v>127</v>
      </c>
      <c r="L365" s="95">
        <v>86</v>
      </c>
      <c r="M365" s="95"/>
      <c r="N365" s="97" t="s">
        <v>34</v>
      </c>
      <c r="O365" s="129">
        <v>45809</v>
      </c>
      <c r="P365" s="99"/>
      <c r="Q365" s="99"/>
      <c r="R365" s="99"/>
      <c r="S365" s="99"/>
      <c r="T365" s="99"/>
      <c r="U365" s="99"/>
      <c r="V365" s="99"/>
      <c r="W365" s="99"/>
      <c r="X365" s="99"/>
      <c r="Y365" s="99"/>
      <c r="Z365" s="99"/>
      <c r="AA365" s="99"/>
      <c r="AB365" s="99"/>
      <c r="AC365" s="99"/>
      <c r="AD365" s="99"/>
      <c r="AE365" s="99"/>
      <c r="AF365" s="99"/>
      <c r="AG365" s="99"/>
      <c r="AH365" s="99"/>
      <c r="AI365" s="99"/>
      <c r="AJ365" s="99"/>
      <c r="AK365" s="99"/>
      <c r="AL365" s="99"/>
      <c r="AM365" s="99"/>
      <c r="AN365" s="99"/>
      <c r="AO365" s="99"/>
      <c r="AP365" s="99"/>
      <c r="AQ365" s="99"/>
      <c r="AR365" s="99"/>
      <c r="AS365" s="99"/>
      <c r="AT365" s="99"/>
      <c r="AU365" s="421"/>
      <c r="AV365" s="421"/>
    </row>
    <row r="366" spans="1:48" ht="15" customHeight="1" x14ac:dyDescent="0.3">
      <c r="A366" s="101">
        <v>12</v>
      </c>
      <c r="B366" s="94" t="s">
        <v>89</v>
      </c>
      <c r="C366" s="95" t="s">
        <v>576</v>
      </c>
      <c r="D366" s="95" t="s">
        <v>130</v>
      </c>
      <c r="E366" s="95" t="s">
        <v>183</v>
      </c>
      <c r="F366" s="96">
        <v>43274</v>
      </c>
      <c r="G366" s="95" t="s">
        <v>577</v>
      </c>
      <c r="H366" s="95">
        <v>2544004292</v>
      </c>
      <c r="I366" s="95" t="s">
        <v>578</v>
      </c>
      <c r="J366" s="96">
        <v>45627</v>
      </c>
      <c r="K366" s="95" t="s">
        <v>162</v>
      </c>
      <c r="L366" s="95">
        <v>1</v>
      </c>
      <c r="M366" s="95"/>
      <c r="N366" s="97" t="s">
        <v>34</v>
      </c>
      <c r="O366" s="129">
        <v>45809</v>
      </c>
      <c r="P366" s="99"/>
      <c r="Q366" s="99"/>
      <c r="R366" s="99"/>
      <c r="S366" s="99"/>
      <c r="T366" s="99"/>
      <c r="U366" s="99"/>
      <c r="V366" s="99"/>
      <c r="W366" s="99"/>
      <c r="X366" s="99" t="s">
        <v>64</v>
      </c>
      <c r="Y366" s="99"/>
      <c r="Z366" s="99"/>
      <c r="AA366" s="99"/>
      <c r="AB366" s="99"/>
      <c r="AC366" s="99"/>
      <c r="AD366" s="99"/>
      <c r="AE366" s="99"/>
      <c r="AF366" s="99"/>
      <c r="AG366" s="99"/>
      <c r="AH366" s="99"/>
      <c r="AI366" s="99"/>
      <c r="AJ366" s="99"/>
      <c r="AK366" s="99"/>
      <c r="AL366" s="99"/>
      <c r="AM366" s="99"/>
      <c r="AN366" s="99"/>
      <c r="AO366" s="99"/>
      <c r="AP366" s="99"/>
      <c r="AQ366" s="99"/>
      <c r="AR366" s="99"/>
      <c r="AS366" s="99"/>
      <c r="AT366" s="99"/>
      <c r="AU366" s="421"/>
      <c r="AV366" s="421"/>
    </row>
    <row r="367" spans="1:48" ht="15" customHeight="1" x14ac:dyDescent="0.3">
      <c r="A367" s="101">
        <v>13</v>
      </c>
      <c r="B367" s="94" t="s">
        <v>48</v>
      </c>
      <c r="C367" s="95" t="s">
        <v>656</v>
      </c>
      <c r="D367" s="95" t="s">
        <v>130</v>
      </c>
      <c r="E367" s="95">
        <v>2</v>
      </c>
      <c r="F367" s="96" t="s">
        <v>859</v>
      </c>
      <c r="G367" s="95" t="s">
        <v>860</v>
      </c>
      <c r="H367" s="95">
        <v>4087591928</v>
      </c>
      <c r="I367" s="95" t="s">
        <v>658</v>
      </c>
      <c r="J367" s="96" t="s">
        <v>858</v>
      </c>
      <c r="K367" s="95" t="s">
        <v>118</v>
      </c>
      <c r="L367" s="95">
        <v>105</v>
      </c>
      <c r="M367" s="95" t="s">
        <v>843</v>
      </c>
      <c r="N367" s="97" t="s">
        <v>34</v>
      </c>
      <c r="O367" s="129">
        <v>45809</v>
      </c>
      <c r="P367" s="99"/>
      <c r="Q367" s="99"/>
      <c r="R367" s="99"/>
      <c r="S367" s="99"/>
      <c r="T367" s="99"/>
      <c r="U367" s="99"/>
      <c r="V367" s="99"/>
      <c r="W367" s="99"/>
      <c r="X367" s="99"/>
      <c r="Y367" s="99"/>
      <c r="Z367" s="99"/>
      <c r="AA367" s="99"/>
      <c r="AB367" s="99"/>
      <c r="AC367" s="99"/>
      <c r="AD367" s="99"/>
      <c r="AE367" s="99"/>
      <c r="AF367" s="99"/>
      <c r="AG367" s="99"/>
      <c r="AH367" s="99"/>
      <c r="AI367" s="99"/>
      <c r="AJ367" s="99"/>
      <c r="AK367" s="99"/>
      <c r="AL367" s="99"/>
      <c r="AM367" s="99"/>
      <c r="AN367" s="99"/>
      <c r="AO367" s="99"/>
      <c r="AP367" s="99"/>
      <c r="AQ367" s="99"/>
      <c r="AR367" s="99"/>
      <c r="AS367" s="99"/>
      <c r="AT367" s="99"/>
      <c r="AU367" s="421"/>
      <c r="AV367" s="421"/>
    </row>
    <row r="368" spans="1:48" ht="15" customHeight="1" x14ac:dyDescent="0.3">
      <c r="A368" s="101">
        <v>14</v>
      </c>
      <c r="B368" s="94" t="s">
        <v>89</v>
      </c>
      <c r="C368" s="95" t="s">
        <v>656</v>
      </c>
      <c r="D368" s="95" t="s">
        <v>130</v>
      </c>
      <c r="E368" s="95">
        <v>2</v>
      </c>
      <c r="F368" s="96" t="s">
        <v>859</v>
      </c>
      <c r="G368" s="95" t="s">
        <v>860</v>
      </c>
      <c r="H368" s="95">
        <v>4087591928</v>
      </c>
      <c r="I368" s="95" t="s">
        <v>658</v>
      </c>
      <c r="J368" s="96" t="s">
        <v>858</v>
      </c>
      <c r="K368" s="95" t="s">
        <v>162</v>
      </c>
      <c r="L368" s="95">
        <v>41</v>
      </c>
      <c r="M368" s="95" t="s">
        <v>843</v>
      </c>
      <c r="N368" s="97" t="s">
        <v>34</v>
      </c>
      <c r="O368" s="129">
        <v>45809</v>
      </c>
      <c r="P368" s="99"/>
      <c r="Q368" s="99"/>
      <c r="R368" s="99"/>
      <c r="S368" s="99"/>
      <c r="T368" s="99"/>
      <c r="U368" s="99"/>
      <c r="V368" s="99"/>
      <c r="W368" s="99"/>
      <c r="X368" s="99"/>
      <c r="Y368" s="99"/>
      <c r="Z368" s="99"/>
      <c r="AA368" s="99"/>
      <c r="AB368" s="99"/>
      <c r="AC368" s="99"/>
      <c r="AD368" s="99"/>
      <c r="AE368" s="99"/>
      <c r="AF368" s="99"/>
      <c r="AG368" s="99"/>
      <c r="AH368" s="99"/>
      <c r="AI368" s="99"/>
      <c r="AJ368" s="99"/>
      <c r="AK368" s="99"/>
      <c r="AL368" s="99"/>
      <c r="AM368" s="99"/>
      <c r="AN368" s="99"/>
      <c r="AO368" s="99"/>
      <c r="AP368" s="99"/>
      <c r="AQ368" s="99"/>
      <c r="AR368" s="99"/>
      <c r="AS368" s="99"/>
      <c r="AT368" s="99"/>
      <c r="AU368" s="421"/>
      <c r="AV368" s="421"/>
    </row>
    <row r="369" spans="1:48" ht="15" customHeight="1" x14ac:dyDescent="0.3">
      <c r="A369" s="101">
        <v>15</v>
      </c>
      <c r="B369" s="94" t="s">
        <v>48</v>
      </c>
      <c r="C369" s="95" t="s">
        <v>286</v>
      </c>
      <c r="D369" s="95" t="s">
        <v>660</v>
      </c>
      <c r="E369" s="95">
        <v>3</v>
      </c>
      <c r="F369" s="96" t="s">
        <v>861</v>
      </c>
      <c r="G369" s="95" t="s">
        <v>862</v>
      </c>
      <c r="H369" s="95">
        <v>5103336666</v>
      </c>
      <c r="I369" s="95" t="s">
        <v>662</v>
      </c>
      <c r="J369" s="96" t="s">
        <v>836</v>
      </c>
      <c r="K369" s="95" t="s">
        <v>323</v>
      </c>
      <c r="L369" s="95">
        <v>81</v>
      </c>
      <c r="M369" s="95"/>
      <c r="N369" s="97" t="s">
        <v>34</v>
      </c>
      <c r="O369" s="129">
        <v>45809</v>
      </c>
      <c r="P369" s="99"/>
      <c r="Q369" s="99"/>
      <c r="R369" s="99"/>
      <c r="S369" s="99"/>
      <c r="T369" s="99"/>
      <c r="U369" s="99"/>
      <c r="V369" s="99"/>
      <c r="W369" s="99"/>
      <c r="X369" s="99"/>
      <c r="Y369" s="99"/>
      <c r="Z369" s="99"/>
      <c r="AA369" s="99"/>
      <c r="AB369" s="99"/>
      <c r="AC369" s="99"/>
      <c r="AD369" s="99"/>
      <c r="AE369" s="99"/>
      <c r="AF369" s="99"/>
      <c r="AG369" s="99"/>
      <c r="AH369" s="99"/>
      <c r="AI369" s="99"/>
      <c r="AJ369" s="99"/>
      <c r="AK369" s="99"/>
      <c r="AL369" s="99"/>
      <c r="AM369" s="99"/>
      <c r="AN369" s="99"/>
      <c r="AO369" s="99"/>
      <c r="AP369" s="99"/>
      <c r="AQ369" s="99"/>
      <c r="AR369" s="99"/>
      <c r="AS369" s="99"/>
      <c r="AT369" s="99"/>
      <c r="AU369" s="421"/>
      <c r="AV369" s="421"/>
    </row>
    <row r="370" spans="1:48" ht="15" customHeight="1" x14ac:dyDescent="0.3">
      <c r="A370" s="101">
        <v>16</v>
      </c>
      <c r="B370" s="94" t="s">
        <v>48</v>
      </c>
      <c r="C370" s="95" t="s">
        <v>863</v>
      </c>
      <c r="D370" s="95" t="s">
        <v>864</v>
      </c>
      <c r="E370" s="95">
        <v>1</v>
      </c>
      <c r="F370" s="96" t="s">
        <v>865</v>
      </c>
      <c r="G370" s="95" t="s">
        <v>866</v>
      </c>
      <c r="H370" s="95">
        <v>5104566566</v>
      </c>
      <c r="I370" s="95" t="s">
        <v>867</v>
      </c>
      <c r="J370" s="96" t="s">
        <v>868</v>
      </c>
      <c r="K370" s="95" t="s">
        <v>115</v>
      </c>
      <c r="L370" s="95">
        <v>6</v>
      </c>
      <c r="M370" s="95" t="s">
        <v>619</v>
      </c>
      <c r="N370" s="97" t="s">
        <v>34</v>
      </c>
      <c r="O370" s="129">
        <v>45809</v>
      </c>
      <c r="P370" s="99"/>
      <c r="Q370" s="99"/>
      <c r="R370" s="99"/>
      <c r="S370" s="99"/>
      <c r="T370" s="99"/>
      <c r="U370" s="99"/>
      <c r="V370" s="99"/>
      <c r="W370" s="99"/>
      <c r="X370" s="99"/>
      <c r="Y370" s="99"/>
      <c r="Z370" s="99"/>
      <c r="AA370" s="99"/>
      <c r="AB370" s="99"/>
      <c r="AC370" s="99"/>
      <c r="AD370" s="99"/>
      <c r="AE370" s="99"/>
      <c r="AF370" s="99"/>
      <c r="AG370" s="99"/>
      <c r="AH370" s="99"/>
      <c r="AI370" s="99"/>
      <c r="AJ370" s="99"/>
      <c r="AK370" s="99"/>
      <c r="AL370" s="99"/>
      <c r="AM370" s="99"/>
      <c r="AN370" s="99"/>
      <c r="AO370" s="99"/>
      <c r="AP370" s="99"/>
      <c r="AQ370" s="99"/>
      <c r="AR370" s="99"/>
      <c r="AS370" s="99"/>
      <c r="AT370" s="99"/>
      <c r="AU370" s="421"/>
      <c r="AV370" s="421"/>
    </row>
    <row r="371" spans="1:48" ht="15" customHeight="1" x14ac:dyDescent="0.3">
      <c r="A371" s="101">
        <v>17</v>
      </c>
      <c r="B371" s="94" t="s">
        <v>89</v>
      </c>
      <c r="C371" s="95" t="s">
        <v>863</v>
      </c>
      <c r="D371" s="95" t="s">
        <v>864</v>
      </c>
      <c r="E371" s="95">
        <v>1</v>
      </c>
      <c r="F371" s="96" t="s">
        <v>865</v>
      </c>
      <c r="G371" s="95" t="s">
        <v>866</v>
      </c>
      <c r="H371" s="95">
        <v>5104566566</v>
      </c>
      <c r="I371" s="95" t="s">
        <v>867</v>
      </c>
      <c r="J371" s="96" t="s">
        <v>868</v>
      </c>
      <c r="K371" s="95" t="s">
        <v>120</v>
      </c>
      <c r="L371" s="95">
        <v>1</v>
      </c>
      <c r="M371" s="95" t="s">
        <v>619</v>
      </c>
      <c r="N371" s="97" t="s">
        <v>34</v>
      </c>
      <c r="O371" s="129">
        <v>45809</v>
      </c>
      <c r="P371" s="99"/>
      <c r="Q371" s="99"/>
      <c r="R371" s="99"/>
      <c r="S371" s="99"/>
      <c r="T371" s="99"/>
      <c r="U371" s="99"/>
      <c r="V371" s="99"/>
      <c r="W371" s="99"/>
      <c r="X371" s="99"/>
      <c r="Y371" s="99"/>
      <c r="Z371" s="99"/>
      <c r="AA371" s="99"/>
      <c r="AB371" s="99"/>
      <c r="AC371" s="99"/>
      <c r="AD371" s="99"/>
      <c r="AE371" s="99"/>
      <c r="AF371" s="99"/>
      <c r="AG371" s="99"/>
      <c r="AH371" s="99"/>
      <c r="AI371" s="99"/>
      <c r="AJ371" s="99"/>
      <c r="AK371" s="99"/>
      <c r="AL371" s="99"/>
      <c r="AM371" s="99"/>
      <c r="AN371" s="99"/>
      <c r="AO371" s="99"/>
      <c r="AP371" s="99"/>
      <c r="AQ371" s="99"/>
      <c r="AR371" s="99"/>
      <c r="AS371" s="99"/>
      <c r="AT371" s="99"/>
      <c r="AU371" s="421"/>
      <c r="AV371" s="421"/>
    </row>
    <row r="372" spans="1:48" ht="15" customHeight="1" x14ac:dyDescent="0.3">
      <c r="A372" s="101">
        <v>18</v>
      </c>
      <c r="B372" s="94" t="s">
        <v>48</v>
      </c>
      <c r="C372" s="95" t="s">
        <v>247</v>
      </c>
      <c r="D372" s="95" t="s">
        <v>869</v>
      </c>
      <c r="E372" s="95">
        <v>1</v>
      </c>
      <c r="F372" s="96">
        <v>42976</v>
      </c>
      <c r="G372" s="95" t="s">
        <v>870</v>
      </c>
      <c r="H372" s="95">
        <v>5105579050</v>
      </c>
      <c r="I372" s="95" t="s">
        <v>871</v>
      </c>
      <c r="J372" s="96">
        <v>45174</v>
      </c>
      <c r="K372" s="95" t="s">
        <v>161</v>
      </c>
      <c r="L372" s="95">
        <v>15</v>
      </c>
      <c r="M372" s="95"/>
      <c r="N372" s="97" t="s">
        <v>34</v>
      </c>
      <c r="O372" s="129">
        <v>45809</v>
      </c>
      <c r="P372" s="99"/>
      <c r="Q372" s="99"/>
      <c r="R372" s="99"/>
      <c r="S372" s="99"/>
      <c r="T372" s="99"/>
      <c r="U372" s="99"/>
      <c r="V372" s="99"/>
      <c r="W372" s="99"/>
      <c r="X372" s="99"/>
      <c r="Y372" s="99"/>
      <c r="Z372" s="99"/>
      <c r="AA372" s="99"/>
      <c r="AB372" s="99"/>
      <c r="AC372" s="99"/>
      <c r="AD372" s="99"/>
      <c r="AE372" s="99"/>
      <c r="AF372" s="99"/>
      <c r="AG372" s="99"/>
      <c r="AH372" s="99"/>
      <c r="AI372" s="99"/>
      <c r="AJ372" s="99"/>
      <c r="AK372" s="99"/>
      <c r="AL372" s="99"/>
      <c r="AM372" s="99"/>
      <c r="AN372" s="99"/>
      <c r="AO372" s="99"/>
      <c r="AP372" s="99"/>
      <c r="AQ372" s="99"/>
      <c r="AR372" s="99"/>
      <c r="AS372" s="99"/>
      <c r="AT372" s="99"/>
      <c r="AU372" s="421"/>
      <c r="AV372" s="421"/>
    </row>
    <row r="373" spans="1:48" ht="15" customHeight="1" x14ac:dyDescent="0.3">
      <c r="A373" s="101">
        <v>19</v>
      </c>
      <c r="B373" s="94" t="s">
        <v>89</v>
      </c>
      <c r="C373" s="95" t="s">
        <v>247</v>
      </c>
      <c r="D373" s="95" t="s">
        <v>869</v>
      </c>
      <c r="E373" s="95">
        <v>1</v>
      </c>
      <c r="F373" s="96">
        <v>42976</v>
      </c>
      <c r="G373" s="95" t="s">
        <v>870</v>
      </c>
      <c r="H373" s="95">
        <v>5105579050</v>
      </c>
      <c r="I373" s="95" t="s">
        <v>871</v>
      </c>
      <c r="J373" s="96">
        <v>45174</v>
      </c>
      <c r="K373" s="95" t="s">
        <v>176</v>
      </c>
      <c r="L373" s="95">
        <v>18</v>
      </c>
      <c r="M373" s="95"/>
      <c r="N373" s="97" t="s">
        <v>34</v>
      </c>
      <c r="O373" s="129">
        <v>45809</v>
      </c>
      <c r="P373" s="99"/>
      <c r="Q373" s="99"/>
      <c r="R373" s="99"/>
      <c r="S373" s="99"/>
      <c r="T373" s="99"/>
      <c r="U373" s="99"/>
      <c r="V373" s="99"/>
      <c r="W373" s="99"/>
      <c r="X373" s="99"/>
      <c r="Y373" s="99"/>
      <c r="Z373" s="99"/>
      <c r="AA373" s="99"/>
      <c r="AB373" s="99"/>
      <c r="AC373" s="99"/>
      <c r="AD373" s="99"/>
      <c r="AE373" s="99"/>
      <c r="AF373" s="99"/>
      <c r="AG373" s="99"/>
      <c r="AH373" s="99"/>
      <c r="AI373" s="99"/>
      <c r="AJ373" s="99"/>
      <c r="AK373" s="99"/>
      <c r="AL373" s="99"/>
      <c r="AM373" s="99"/>
      <c r="AN373" s="99"/>
      <c r="AO373" s="99"/>
      <c r="AP373" s="99"/>
      <c r="AQ373" s="99"/>
      <c r="AR373" s="99"/>
      <c r="AS373" s="99"/>
      <c r="AT373" s="99"/>
      <c r="AU373" s="421"/>
      <c r="AV373" s="421"/>
    </row>
    <row r="374" spans="1:48" ht="15" customHeight="1" x14ac:dyDescent="0.3">
      <c r="A374" s="101">
        <v>20</v>
      </c>
      <c r="B374" s="132" t="s">
        <v>48</v>
      </c>
      <c r="C374" s="95" t="s">
        <v>872</v>
      </c>
      <c r="D374" s="95" t="s">
        <v>873</v>
      </c>
      <c r="E374" s="429" t="s">
        <v>183</v>
      </c>
      <c r="F374" s="96">
        <v>43487</v>
      </c>
      <c r="G374" s="430" t="s">
        <v>874</v>
      </c>
      <c r="H374" s="430">
        <v>5107532567</v>
      </c>
      <c r="I374" s="430" t="s">
        <v>875</v>
      </c>
      <c r="J374" s="96">
        <v>45732</v>
      </c>
      <c r="K374" s="95"/>
      <c r="L374" s="95"/>
      <c r="M374" s="95" t="s">
        <v>876</v>
      </c>
      <c r="N374" s="97" t="s">
        <v>34</v>
      </c>
      <c r="O374" s="129">
        <v>45809</v>
      </c>
      <c r="P374" s="421"/>
      <c r="Q374" s="421"/>
      <c r="R374" s="421"/>
      <c r="S374" s="421"/>
      <c r="T374" s="421"/>
      <c r="U374" s="421"/>
      <c r="V374" s="421"/>
      <c r="W374" s="421"/>
      <c r="X374" s="421"/>
      <c r="Y374" s="421"/>
      <c r="Z374" s="421"/>
      <c r="AA374" s="421"/>
      <c r="AB374" s="421"/>
      <c r="AC374" s="421"/>
      <c r="AD374" s="421"/>
      <c r="AE374" s="421"/>
      <c r="AF374" s="421"/>
      <c r="AG374" s="421"/>
      <c r="AH374" s="421"/>
      <c r="AI374" s="421"/>
      <c r="AJ374" s="421"/>
      <c r="AK374" s="421"/>
      <c r="AL374" s="421"/>
      <c r="AM374" s="421"/>
      <c r="AN374" s="421"/>
      <c r="AO374" s="421"/>
      <c r="AP374" s="421"/>
      <c r="AQ374" s="421"/>
      <c r="AR374" s="421"/>
      <c r="AS374" s="421"/>
      <c r="AT374" s="421"/>
      <c r="AU374" s="421"/>
      <c r="AV374" s="421"/>
    </row>
    <row r="375" spans="1:48" ht="15" customHeight="1" x14ac:dyDescent="0.3">
      <c r="A375" s="101">
        <v>21</v>
      </c>
      <c r="B375" s="94" t="s">
        <v>48</v>
      </c>
      <c r="C375" s="95" t="s">
        <v>150</v>
      </c>
      <c r="D375" s="95" t="s">
        <v>877</v>
      </c>
      <c r="E375" s="95" t="s">
        <v>183</v>
      </c>
      <c r="F375" s="96" t="s">
        <v>878</v>
      </c>
      <c r="G375" s="95" t="s">
        <v>879</v>
      </c>
      <c r="H375" s="95">
        <v>2177211536</v>
      </c>
      <c r="I375" s="95" t="s">
        <v>880</v>
      </c>
      <c r="J375" s="96" t="s">
        <v>798</v>
      </c>
      <c r="K375" s="95" t="s">
        <v>161</v>
      </c>
      <c r="L375" s="95">
        <v>36</v>
      </c>
      <c r="M375" s="95" t="s">
        <v>843</v>
      </c>
      <c r="N375" s="97" t="s">
        <v>34</v>
      </c>
      <c r="O375" s="129">
        <v>45809</v>
      </c>
      <c r="P375" s="99"/>
      <c r="Q375" s="99"/>
      <c r="R375" s="99"/>
      <c r="S375" s="99"/>
      <c r="T375" s="99"/>
      <c r="U375" s="99"/>
      <c r="V375" s="99"/>
      <c r="W375" s="99"/>
      <c r="X375" s="99"/>
      <c r="Y375" s="99"/>
      <c r="Z375" s="99"/>
      <c r="AA375" s="99"/>
      <c r="AB375" s="99"/>
      <c r="AC375" s="99"/>
      <c r="AD375" s="99"/>
      <c r="AE375" s="99"/>
      <c r="AF375" s="99"/>
      <c r="AG375" s="99"/>
      <c r="AH375" s="99"/>
      <c r="AI375" s="99"/>
      <c r="AJ375" s="99"/>
      <c r="AK375" s="99"/>
      <c r="AL375" s="99"/>
      <c r="AM375" s="99"/>
      <c r="AN375" s="99"/>
      <c r="AO375" s="99"/>
      <c r="AP375" s="99"/>
      <c r="AQ375" s="99"/>
      <c r="AR375" s="99"/>
      <c r="AS375" s="99"/>
      <c r="AT375" s="99"/>
      <c r="AU375" s="421"/>
      <c r="AV375" s="421"/>
    </row>
    <row r="376" spans="1:48" ht="15" customHeight="1" x14ac:dyDescent="0.3">
      <c r="A376" s="101">
        <v>22</v>
      </c>
      <c r="B376" s="94" t="s">
        <v>89</v>
      </c>
      <c r="C376" s="95" t="s">
        <v>150</v>
      </c>
      <c r="D376" s="95" t="s">
        <v>877</v>
      </c>
      <c r="E376" s="95" t="s">
        <v>183</v>
      </c>
      <c r="F376" s="96" t="s">
        <v>878</v>
      </c>
      <c r="G376" s="95" t="s">
        <v>879</v>
      </c>
      <c r="H376" s="95">
        <v>2177211536</v>
      </c>
      <c r="I376" s="95" t="s">
        <v>880</v>
      </c>
      <c r="J376" s="96" t="s">
        <v>798</v>
      </c>
      <c r="K376" s="95" t="s">
        <v>162</v>
      </c>
      <c r="L376" s="95">
        <v>25</v>
      </c>
      <c r="M376" s="95" t="s">
        <v>843</v>
      </c>
      <c r="N376" s="97" t="s">
        <v>34</v>
      </c>
      <c r="O376" s="129">
        <v>45809</v>
      </c>
      <c r="P376" s="99"/>
      <c r="Q376" s="99"/>
      <c r="R376" s="99"/>
      <c r="S376" s="99"/>
      <c r="T376" s="99"/>
      <c r="U376" s="99"/>
      <c r="V376" s="99"/>
      <c r="W376" s="99"/>
      <c r="X376" s="99"/>
      <c r="Y376" s="99"/>
      <c r="Z376" s="99"/>
      <c r="AA376" s="99"/>
      <c r="AB376" s="99"/>
      <c r="AC376" s="99"/>
      <c r="AD376" s="99"/>
      <c r="AE376" s="99"/>
      <c r="AF376" s="99"/>
      <c r="AG376" s="99"/>
      <c r="AH376" s="99"/>
      <c r="AI376" s="99"/>
      <c r="AJ376" s="99"/>
      <c r="AK376" s="99"/>
      <c r="AL376" s="99"/>
      <c r="AM376" s="99"/>
      <c r="AN376" s="99"/>
      <c r="AO376" s="99"/>
      <c r="AP376" s="99"/>
      <c r="AQ376" s="99"/>
      <c r="AR376" s="99"/>
      <c r="AS376" s="99"/>
      <c r="AT376" s="99"/>
      <c r="AU376" s="421"/>
      <c r="AV376" s="421"/>
    </row>
    <row r="377" spans="1:48" ht="15" customHeight="1" x14ac:dyDescent="0.3">
      <c r="A377" s="101">
        <v>23</v>
      </c>
      <c r="B377" s="94" t="s">
        <v>48</v>
      </c>
      <c r="C377" s="95" t="s">
        <v>107</v>
      </c>
      <c r="D377" s="95" t="s">
        <v>881</v>
      </c>
      <c r="E377" s="95">
        <v>2</v>
      </c>
      <c r="F377" s="96" t="s">
        <v>882</v>
      </c>
      <c r="G377" s="95" t="s">
        <v>883</v>
      </c>
      <c r="H377" s="95">
        <v>5102989555</v>
      </c>
      <c r="I377" s="95" t="s">
        <v>884</v>
      </c>
      <c r="J377" s="96" t="s">
        <v>312</v>
      </c>
      <c r="K377" s="95" t="s">
        <v>118</v>
      </c>
      <c r="L377" s="95">
        <v>51</v>
      </c>
      <c r="M377" s="95"/>
      <c r="N377" s="97" t="s">
        <v>34</v>
      </c>
      <c r="O377" s="129">
        <v>45809</v>
      </c>
      <c r="P377" s="99"/>
      <c r="Q377" s="99"/>
      <c r="R377" s="99"/>
      <c r="S377" s="99"/>
      <c r="T377" s="99"/>
      <c r="U377" s="99"/>
      <c r="V377" s="99"/>
      <c r="W377" s="99"/>
      <c r="X377" s="99"/>
      <c r="Y377" s="99"/>
      <c r="Z377" s="99"/>
      <c r="AA377" s="99"/>
      <c r="AB377" s="99"/>
      <c r="AC377" s="99"/>
      <c r="AD377" s="99"/>
      <c r="AE377" s="99"/>
      <c r="AF377" s="99"/>
      <c r="AG377" s="99"/>
      <c r="AH377" s="99"/>
      <c r="AI377" s="99"/>
      <c r="AJ377" s="99"/>
      <c r="AK377" s="99"/>
      <c r="AL377" s="99"/>
      <c r="AM377" s="99"/>
      <c r="AN377" s="99"/>
      <c r="AO377" s="99"/>
      <c r="AP377" s="99"/>
      <c r="AQ377" s="99"/>
      <c r="AR377" s="99"/>
      <c r="AS377" s="99"/>
      <c r="AT377" s="99"/>
      <c r="AU377" s="421"/>
      <c r="AV377" s="421"/>
    </row>
    <row r="378" spans="1:48" ht="15" customHeight="1" x14ac:dyDescent="0.3">
      <c r="A378" s="101">
        <v>24</v>
      </c>
      <c r="B378" s="94" t="s">
        <v>89</v>
      </c>
      <c r="C378" s="95" t="s">
        <v>107</v>
      </c>
      <c r="D378" s="95" t="s">
        <v>881</v>
      </c>
      <c r="E378" s="95">
        <v>2</v>
      </c>
      <c r="F378" s="96" t="s">
        <v>885</v>
      </c>
      <c r="G378" s="95" t="s">
        <v>886</v>
      </c>
      <c r="H378" s="95">
        <v>5102989555</v>
      </c>
      <c r="I378" s="95" t="s">
        <v>884</v>
      </c>
      <c r="J378" s="96" t="s">
        <v>312</v>
      </c>
      <c r="K378" s="95" t="s">
        <v>162</v>
      </c>
      <c r="L378" s="95">
        <v>106</v>
      </c>
      <c r="M378" s="95"/>
      <c r="N378" s="97" t="s">
        <v>34</v>
      </c>
      <c r="O378" s="129">
        <v>45809</v>
      </c>
      <c r="P378" s="99"/>
      <c r="Q378" s="99"/>
      <c r="R378" s="99"/>
      <c r="S378" s="99"/>
      <c r="T378" s="99"/>
      <c r="U378" s="99"/>
      <c r="V378" s="99"/>
      <c r="W378" s="99"/>
      <c r="X378" s="99"/>
      <c r="Y378" s="99"/>
      <c r="Z378" s="99"/>
      <c r="AA378" s="99"/>
      <c r="AB378" s="99"/>
      <c r="AC378" s="99"/>
      <c r="AD378" s="99"/>
      <c r="AE378" s="99"/>
      <c r="AF378" s="99"/>
      <c r="AG378" s="99"/>
      <c r="AH378" s="99"/>
      <c r="AI378" s="99"/>
      <c r="AJ378" s="99"/>
      <c r="AK378" s="99"/>
      <c r="AL378" s="99"/>
      <c r="AM378" s="99"/>
      <c r="AN378" s="99"/>
      <c r="AO378" s="99"/>
      <c r="AP378" s="99"/>
      <c r="AQ378" s="99"/>
      <c r="AR378" s="99"/>
      <c r="AS378" s="99"/>
      <c r="AT378" s="99"/>
      <c r="AU378" s="421"/>
      <c r="AV378" s="421"/>
    </row>
    <row r="379" spans="1:48" ht="15" customHeight="1" x14ac:dyDescent="0.3">
      <c r="A379" s="101">
        <v>25</v>
      </c>
      <c r="B379" s="94" t="s">
        <v>48</v>
      </c>
      <c r="C379" s="95" t="s">
        <v>838</v>
      </c>
      <c r="D379" s="95" t="s">
        <v>887</v>
      </c>
      <c r="E379" s="95">
        <v>1</v>
      </c>
      <c r="F379" s="96" t="s">
        <v>888</v>
      </c>
      <c r="G379" s="95" t="s">
        <v>889</v>
      </c>
      <c r="H379" s="95">
        <v>4088390577</v>
      </c>
      <c r="I379" s="95" t="s">
        <v>890</v>
      </c>
      <c r="J379" s="96" t="s">
        <v>858</v>
      </c>
      <c r="K379" s="431" t="s">
        <v>186</v>
      </c>
      <c r="L379" s="95">
        <v>41</v>
      </c>
      <c r="M379" s="95"/>
      <c r="N379" s="97" t="s">
        <v>34</v>
      </c>
      <c r="O379" s="129">
        <v>45809</v>
      </c>
      <c r="P379" s="99"/>
      <c r="Q379" s="99"/>
      <c r="R379" s="99"/>
      <c r="S379" s="99"/>
      <c r="T379" s="99"/>
      <c r="U379" s="99"/>
      <c r="V379" s="99"/>
      <c r="W379" s="99"/>
      <c r="X379" s="99"/>
      <c r="Y379" s="99"/>
      <c r="Z379" s="99"/>
      <c r="AA379" s="99"/>
      <c r="AB379" s="99"/>
      <c r="AC379" s="99"/>
      <c r="AD379" s="99"/>
      <c r="AE379" s="99"/>
      <c r="AF379" s="99"/>
      <c r="AG379" s="99"/>
      <c r="AH379" s="99"/>
      <c r="AI379" s="99"/>
      <c r="AJ379" s="99"/>
      <c r="AK379" s="99"/>
      <c r="AL379" s="99"/>
      <c r="AM379" s="99"/>
      <c r="AN379" s="99"/>
      <c r="AO379" s="99"/>
      <c r="AP379" s="99"/>
      <c r="AQ379" s="99"/>
      <c r="AR379" s="99"/>
      <c r="AS379" s="99"/>
      <c r="AT379" s="99"/>
      <c r="AU379" s="421"/>
      <c r="AV379" s="421"/>
    </row>
    <row r="380" spans="1:48" ht="15" customHeight="1" x14ac:dyDescent="0.3">
      <c r="A380" s="101">
        <v>26</v>
      </c>
      <c r="B380" s="94" t="s">
        <v>89</v>
      </c>
      <c r="C380" s="95" t="s">
        <v>838</v>
      </c>
      <c r="D380" s="95" t="s">
        <v>887</v>
      </c>
      <c r="E380" s="95">
        <v>1</v>
      </c>
      <c r="F380" s="96" t="s">
        <v>888</v>
      </c>
      <c r="G380" s="95" t="s">
        <v>889</v>
      </c>
      <c r="H380" s="95">
        <v>4088390577</v>
      </c>
      <c r="I380" s="95" t="s">
        <v>890</v>
      </c>
      <c r="J380" s="96" t="s">
        <v>858</v>
      </c>
      <c r="K380" s="95" t="s">
        <v>143</v>
      </c>
      <c r="L380" s="95">
        <v>76</v>
      </c>
      <c r="M380" s="95"/>
      <c r="N380" s="97" t="s">
        <v>34</v>
      </c>
      <c r="O380" s="129">
        <v>45809</v>
      </c>
      <c r="P380" s="99"/>
      <c r="Q380" s="99"/>
      <c r="R380" s="99"/>
      <c r="S380" s="99"/>
      <c r="T380" s="99"/>
      <c r="U380" s="99"/>
      <c r="V380" s="99"/>
      <c r="W380" s="99"/>
      <c r="X380" s="99"/>
      <c r="Y380" s="99"/>
      <c r="Z380" s="99"/>
      <c r="AA380" s="99"/>
      <c r="AB380" s="99"/>
      <c r="AC380" s="99"/>
      <c r="AD380" s="99"/>
      <c r="AE380" s="99"/>
      <c r="AF380" s="99"/>
      <c r="AG380" s="99"/>
      <c r="AH380" s="99"/>
      <c r="AI380" s="99"/>
      <c r="AJ380" s="99"/>
      <c r="AK380" s="99"/>
      <c r="AL380" s="99"/>
      <c r="AM380" s="99"/>
      <c r="AN380" s="99"/>
      <c r="AO380" s="99"/>
      <c r="AP380" s="99"/>
      <c r="AQ380" s="99"/>
      <c r="AR380" s="99"/>
      <c r="AS380" s="99"/>
      <c r="AT380" s="99"/>
      <c r="AU380" s="421"/>
      <c r="AV380" s="421"/>
    </row>
    <row r="381" spans="1:48" ht="15" customHeight="1" x14ac:dyDescent="0.3">
      <c r="A381" s="101">
        <v>27</v>
      </c>
      <c r="B381" s="94" t="s">
        <v>48</v>
      </c>
      <c r="C381" s="95" t="s">
        <v>150</v>
      </c>
      <c r="D381" s="95" t="s">
        <v>891</v>
      </c>
      <c r="E381" s="95">
        <v>3</v>
      </c>
      <c r="F381" s="96">
        <v>42436</v>
      </c>
      <c r="G381" s="95" t="s">
        <v>892</v>
      </c>
      <c r="H381" s="95">
        <v>6505245558</v>
      </c>
      <c r="I381" s="95" t="s">
        <v>893</v>
      </c>
      <c r="J381" s="96">
        <v>45658</v>
      </c>
      <c r="K381" s="95" t="s">
        <v>115</v>
      </c>
      <c r="L381" s="95">
        <v>11</v>
      </c>
      <c r="M381" s="95"/>
      <c r="N381" s="97" t="s">
        <v>34</v>
      </c>
      <c r="O381" s="129">
        <v>45809</v>
      </c>
      <c r="P381" s="99"/>
      <c r="Q381" s="99"/>
      <c r="R381" s="99"/>
      <c r="S381" s="99"/>
      <c r="T381" s="99"/>
      <c r="U381" s="99"/>
      <c r="V381" s="99"/>
      <c r="W381" s="99"/>
      <c r="X381" s="99"/>
      <c r="Y381" s="99"/>
      <c r="Z381" s="99"/>
      <c r="AA381" s="99"/>
      <c r="AB381" s="99"/>
      <c r="AC381" s="99"/>
      <c r="AD381" s="99"/>
      <c r="AE381" s="99"/>
      <c r="AF381" s="99"/>
      <c r="AG381" s="99"/>
      <c r="AH381" s="99"/>
      <c r="AI381" s="99"/>
      <c r="AJ381" s="99"/>
      <c r="AK381" s="99"/>
      <c r="AL381" s="99"/>
      <c r="AM381" s="99"/>
      <c r="AN381" s="99"/>
      <c r="AO381" s="99"/>
      <c r="AP381" s="99"/>
      <c r="AQ381" s="99"/>
      <c r="AR381" s="99"/>
      <c r="AS381" s="99"/>
      <c r="AT381" s="99"/>
      <c r="AU381" s="421"/>
      <c r="AV381" s="421"/>
    </row>
    <row r="382" spans="1:48" ht="15" customHeight="1" x14ac:dyDescent="0.3">
      <c r="A382" s="101">
        <v>28</v>
      </c>
      <c r="B382" s="94" t="s">
        <v>89</v>
      </c>
      <c r="C382" s="95" t="s">
        <v>296</v>
      </c>
      <c r="D382" s="95" t="s">
        <v>271</v>
      </c>
      <c r="E382" s="95">
        <v>2</v>
      </c>
      <c r="F382" s="96" t="s">
        <v>402</v>
      </c>
      <c r="G382" s="95" t="s">
        <v>403</v>
      </c>
      <c r="H382" s="95">
        <v>4085108805</v>
      </c>
      <c r="I382" s="95" t="s">
        <v>404</v>
      </c>
      <c r="J382" s="96" t="s">
        <v>366</v>
      </c>
      <c r="K382" s="95" t="s">
        <v>196</v>
      </c>
      <c r="L382" s="95">
        <v>31</v>
      </c>
      <c r="M382" s="95"/>
      <c r="N382" s="97" t="s">
        <v>34</v>
      </c>
      <c r="O382" s="129">
        <v>45809</v>
      </c>
      <c r="P382" s="99"/>
      <c r="Q382" s="99"/>
      <c r="R382" s="99"/>
      <c r="S382" s="99"/>
      <c r="T382" s="99"/>
      <c r="U382" s="99"/>
      <c r="V382" s="99"/>
      <c r="W382" s="99"/>
      <c r="X382" s="99"/>
      <c r="Y382" s="99"/>
      <c r="Z382" s="99"/>
      <c r="AA382" s="99"/>
      <c r="AB382" s="99"/>
      <c r="AC382" s="99"/>
      <c r="AD382" s="99"/>
      <c r="AE382" s="99"/>
      <c r="AF382" s="99"/>
      <c r="AG382" s="99"/>
      <c r="AH382" s="99"/>
      <c r="AI382" s="99"/>
      <c r="AJ382" s="99"/>
      <c r="AK382" s="99"/>
      <c r="AL382" s="99"/>
      <c r="AM382" s="99"/>
      <c r="AN382" s="99"/>
      <c r="AO382" s="99"/>
      <c r="AP382" s="99"/>
      <c r="AQ382" s="99"/>
      <c r="AR382" s="99"/>
      <c r="AS382" s="99"/>
      <c r="AT382" s="99"/>
      <c r="AU382" s="421"/>
      <c r="AV382" s="421"/>
    </row>
    <row r="383" spans="1:48" ht="15" customHeight="1" x14ac:dyDescent="0.3">
      <c r="A383" s="101">
        <v>29</v>
      </c>
      <c r="B383" s="132" t="s">
        <v>48</v>
      </c>
      <c r="C383" s="98" t="s">
        <v>296</v>
      </c>
      <c r="D383" s="98" t="s">
        <v>271</v>
      </c>
      <c r="E383" s="132">
        <v>3</v>
      </c>
      <c r="F383" s="133">
        <v>42620</v>
      </c>
      <c r="G383" s="432" t="s">
        <v>894</v>
      </c>
      <c r="H383" s="432">
        <v>5105574675</v>
      </c>
      <c r="I383" s="432" t="s">
        <v>401</v>
      </c>
      <c r="J383" s="133">
        <v>45766</v>
      </c>
      <c r="K383" s="98" t="s">
        <v>118</v>
      </c>
      <c r="L383" s="95">
        <v>100</v>
      </c>
      <c r="M383" s="95"/>
      <c r="N383" s="97" t="s">
        <v>34</v>
      </c>
      <c r="O383" s="129">
        <v>45809</v>
      </c>
      <c r="P383" s="114"/>
      <c r="Q383" s="114"/>
      <c r="R383" s="114"/>
      <c r="S383" s="114"/>
      <c r="T383" s="114"/>
      <c r="U383" s="114"/>
      <c r="V383" s="114"/>
      <c r="W383" s="114"/>
      <c r="X383" s="114"/>
      <c r="Y383" s="114"/>
      <c r="Z383" s="114"/>
      <c r="AA383" s="114"/>
      <c r="AB383" s="114"/>
      <c r="AC383" s="114"/>
      <c r="AD383" s="114"/>
      <c r="AE383" s="114"/>
      <c r="AF383" s="114"/>
      <c r="AG383" s="114"/>
      <c r="AH383" s="114"/>
      <c r="AI383" s="114"/>
      <c r="AJ383" s="114"/>
      <c r="AK383" s="114"/>
      <c r="AL383" s="114"/>
      <c r="AM383" s="114"/>
      <c r="AN383" s="114"/>
      <c r="AO383" s="114"/>
      <c r="AP383" s="114"/>
      <c r="AQ383" s="114"/>
      <c r="AR383" s="114"/>
      <c r="AS383" s="114"/>
      <c r="AT383" s="114"/>
      <c r="AU383" s="421"/>
      <c r="AV383" s="421"/>
    </row>
    <row r="384" spans="1:48" ht="15" customHeight="1" x14ac:dyDescent="0.3">
      <c r="A384" s="101">
        <v>30</v>
      </c>
      <c r="B384" s="94" t="s">
        <v>48</v>
      </c>
      <c r="C384" s="95" t="s">
        <v>895</v>
      </c>
      <c r="D384" s="95" t="s">
        <v>896</v>
      </c>
      <c r="E384" s="95">
        <v>1</v>
      </c>
      <c r="F384" s="96">
        <v>43194</v>
      </c>
      <c r="G384" s="95" t="s">
        <v>897</v>
      </c>
      <c r="H384" s="95">
        <v>4155426994</v>
      </c>
      <c r="I384" s="95" t="s">
        <v>898</v>
      </c>
      <c r="J384" s="96">
        <v>45689</v>
      </c>
      <c r="K384" s="95" t="s">
        <v>115</v>
      </c>
      <c r="L384" s="95">
        <v>11</v>
      </c>
      <c r="M384" s="95"/>
      <c r="N384" s="97" t="s">
        <v>34</v>
      </c>
      <c r="O384" s="129">
        <v>45809</v>
      </c>
      <c r="P384" s="99"/>
      <c r="Q384" s="99"/>
      <c r="R384" s="99"/>
      <c r="S384" s="99"/>
      <c r="T384" s="99"/>
      <c r="U384" s="99"/>
      <c r="V384" s="99"/>
      <c r="W384" s="99"/>
      <c r="X384" s="99"/>
      <c r="Y384" s="99"/>
      <c r="Z384" s="99"/>
      <c r="AA384" s="99"/>
      <c r="AB384" s="99"/>
      <c r="AC384" s="99"/>
      <c r="AD384" s="99"/>
      <c r="AE384" s="99"/>
      <c r="AF384" s="99"/>
      <c r="AG384" s="99"/>
      <c r="AH384" s="99"/>
      <c r="AI384" s="99"/>
      <c r="AJ384" s="99"/>
      <c r="AK384" s="99"/>
      <c r="AL384" s="99"/>
      <c r="AM384" s="99"/>
      <c r="AN384" s="99"/>
      <c r="AO384" s="99"/>
      <c r="AP384" s="99"/>
      <c r="AQ384" s="99"/>
      <c r="AR384" s="99"/>
      <c r="AS384" s="99"/>
      <c r="AT384" s="99"/>
      <c r="AU384" s="421"/>
      <c r="AV384" s="421"/>
    </row>
    <row r="385" spans="1:48" ht="15" customHeight="1" x14ac:dyDescent="0.3">
      <c r="A385" s="101">
        <v>31</v>
      </c>
      <c r="B385" s="94" t="s">
        <v>89</v>
      </c>
      <c r="C385" s="95" t="s">
        <v>895</v>
      </c>
      <c r="D385" s="95" t="s">
        <v>896</v>
      </c>
      <c r="E385" s="95">
        <v>1</v>
      </c>
      <c r="F385" s="96">
        <v>43194</v>
      </c>
      <c r="G385" s="95" t="s">
        <v>897</v>
      </c>
      <c r="H385" s="95">
        <v>4155426994</v>
      </c>
      <c r="I385" s="95" t="s">
        <v>898</v>
      </c>
      <c r="J385" s="96">
        <v>45689</v>
      </c>
      <c r="K385" s="95" t="s">
        <v>126</v>
      </c>
      <c r="L385" s="95">
        <v>46</v>
      </c>
      <c r="M385" s="95"/>
      <c r="N385" s="97" t="s">
        <v>34</v>
      </c>
      <c r="O385" s="129">
        <v>45809</v>
      </c>
      <c r="P385" s="99"/>
      <c r="Q385" s="99"/>
      <c r="R385" s="99"/>
      <c r="S385" s="99"/>
      <c r="T385" s="99"/>
      <c r="U385" s="99"/>
      <c r="V385" s="99"/>
      <c r="W385" s="99"/>
      <c r="X385" s="99"/>
      <c r="Y385" s="99"/>
      <c r="Z385" s="99"/>
      <c r="AA385" s="99"/>
      <c r="AB385" s="99"/>
      <c r="AC385" s="99"/>
      <c r="AD385" s="99"/>
      <c r="AE385" s="99"/>
      <c r="AF385" s="99"/>
      <c r="AG385" s="99"/>
      <c r="AH385" s="99"/>
      <c r="AI385" s="99"/>
      <c r="AJ385" s="99"/>
      <c r="AK385" s="99"/>
      <c r="AL385" s="99"/>
      <c r="AM385" s="99"/>
      <c r="AN385" s="99"/>
      <c r="AO385" s="99"/>
      <c r="AP385" s="99"/>
      <c r="AQ385" s="99"/>
      <c r="AR385" s="99"/>
      <c r="AS385" s="99"/>
      <c r="AT385" s="99"/>
      <c r="AU385" s="421"/>
      <c r="AV385" s="421"/>
    </row>
    <row r="386" spans="1:48" ht="15" customHeight="1" x14ac:dyDescent="0.3">
      <c r="A386" s="101">
        <v>32</v>
      </c>
      <c r="B386" s="94" t="s">
        <v>48</v>
      </c>
      <c r="C386" s="95" t="s">
        <v>272</v>
      </c>
      <c r="D386" s="95" t="s">
        <v>461</v>
      </c>
      <c r="E386" s="95">
        <v>1</v>
      </c>
      <c r="F386" s="96">
        <v>42086</v>
      </c>
      <c r="G386" s="95" t="s">
        <v>462</v>
      </c>
      <c r="H386" s="95">
        <v>5109848496</v>
      </c>
      <c r="I386" s="95" t="s">
        <v>463</v>
      </c>
      <c r="J386" s="96">
        <v>45536</v>
      </c>
      <c r="K386" s="95" t="s">
        <v>136</v>
      </c>
      <c r="L386" s="95">
        <v>36</v>
      </c>
      <c r="M386" s="95"/>
      <c r="N386" s="97" t="s">
        <v>34</v>
      </c>
      <c r="O386" s="129">
        <v>45809</v>
      </c>
      <c r="P386" s="99"/>
      <c r="Q386" s="99"/>
      <c r="R386" s="99"/>
      <c r="S386" s="99"/>
      <c r="T386" s="99"/>
      <c r="U386" s="99"/>
      <c r="V386" s="99"/>
      <c r="W386" s="99"/>
      <c r="X386" s="99"/>
      <c r="Y386" s="99"/>
      <c r="Z386" s="99"/>
      <c r="AA386" s="99"/>
      <c r="AB386" s="99"/>
      <c r="AC386" s="99"/>
      <c r="AD386" s="99"/>
      <c r="AE386" s="99"/>
      <c r="AF386" s="99"/>
      <c r="AG386" s="99"/>
      <c r="AH386" s="99"/>
      <c r="AI386" s="99"/>
      <c r="AJ386" s="99"/>
      <c r="AK386" s="99"/>
      <c r="AL386" s="99"/>
      <c r="AM386" s="99"/>
      <c r="AN386" s="99"/>
      <c r="AO386" s="99"/>
      <c r="AP386" s="99"/>
      <c r="AQ386" s="99"/>
      <c r="AR386" s="99"/>
      <c r="AS386" s="99"/>
      <c r="AT386" s="99"/>
      <c r="AU386" s="421"/>
      <c r="AV386" s="421"/>
    </row>
    <row r="387" spans="1:48" ht="15" customHeight="1" x14ac:dyDescent="0.3">
      <c r="A387" s="101">
        <v>33</v>
      </c>
      <c r="B387" s="94" t="s">
        <v>89</v>
      </c>
      <c r="C387" s="95" t="s">
        <v>272</v>
      </c>
      <c r="D387" s="95" t="s">
        <v>461</v>
      </c>
      <c r="E387" s="95">
        <v>1</v>
      </c>
      <c r="F387" s="96">
        <v>42086</v>
      </c>
      <c r="G387" s="95" t="s">
        <v>462</v>
      </c>
      <c r="H387" s="95">
        <v>5109848496</v>
      </c>
      <c r="I387" s="95" t="s">
        <v>463</v>
      </c>
      <c r="J387" s="96">
        <v>45536</v>
      </c>
      <c r="K387" s="95" t="s">
        <v>240</v>
      </c>
      <c r="L387" s="95">
        <v>31</v>
      </c>
      <c r="M387" s="95"/>
      <c r="N387" s="97" t="s">
        <v>34</v>
      </c>
      <c r="O387" s="129">
        <v>45809</v>
      </c>
      <c r="P387" s="99"/>
      <c r="Q387" s="99"/>
      <c r="R387" s="99"/>
      <c r="S387" s="99"/>
      <c r="T387" s="99"/>
      <c r="U387" s="99"/>
      <c r="V387" s="99"/>
      <c r="W387" s="99"/>
      <c r="X387" s="99"/>
      <c r="Y387" s="99"/>
      <c r="Z387" s="99"/>
      <c r="AA387" s="99"/>
      <c r="AB387" s="99"/>
      <c r="AC387" s="99"/>
      <c r="AD387" s="99"/>
      <c r="AE387" s="99"/>
      <c r="AF387" s="99"/>
      <c r="AG387" s="99"/>
      <c r="AH387" s="99"/>
      <c r="AI387" s="99"/>
      <c r="AJ387" s="99"/>
      <c r="AK387" s="99"/>
      <c r="AL387" s="99"/>
      <c r="AM387" s="99"/>
      <c r="AN387" s="99"/>
      <c r="AO387" s="99"/>
      <c r="AP387" s="99"/>
      <c r="AQ387" s="99"/>
      <c r="AR387" s="99"/>
      <c r="AS387" s="99"/>
      <c r="AT387" s="99"/>
      <c r="AU387" s="421"/>
      <c r="AV387" s="421"/>
    </row>
    <row r="388" spans="1:48" ht="15" customHeight="1" x14ac:dyDescent="0.3">
      <c r="A388" s="101">
        <v>34</v>
      </c>
      <c r="B388" s="94" t="s">
        <v>48</v>
      </c>
      <c r="C388" s="95" t="s">
        <v>529</v>
      </c>
      <c r="D388" s="95" t="s">
        <v>899</v>
      </c>
      <c r="E388" s="95">
        <v>4</v>
      </c>
      <c r="F388" s="96" t="s">
        <v>852</v>
      </c>
      <c r="G388" s="95" t="s">
        <v>853</v>
      </c>
      <c r="H388" s="95">
        <v>4085076346</v>
      </c>
      <c r="I388" s="95" t="s">
        <v>594</v>
      </c>
      <c r="J388" s="96">
        <v>45520</v>
      </c>
      <c r="K388" s="95" t="s">
        <v>260</v>
      </c>
      <c r="L388" s="95">
        <v>66</v>
      </c>
      <c r="M388" s="95" t="s">
        <v>843</v>
      </c>
      <c r="N388" s="97" t="s">
        <v>34</v>
      </c>
      <c r="O388" s="129">
        <v>45809</v>
      </c>
      <c r="P388" s="99"/>
      <c r="Q388" s="99"/>
      <c r="R388" s="99"/>
      <c r="S388" s="99"/>
      <c r="T388" s="99"/>
      <c r="U388" s="99"/>
      <c r="V388" s="99"/>
      <c r="W388" s="99"/>
      <c r="X388" s="99"/>
      <c r="Y388" s="99"/>
      <c r="Z388" s="99"/>
      <c r="AA388" s="99"/>
      <c r="AB388" s="99"/>
      <c r="AC388" s="99"/>
      <c r="AD388" s="99"/>
      <c r="AE388" s="99"/>
      <c r="AF388" s="99"/>
      <c r="AG388" s="99"/>
      <c r="AH388" s="99"/>
      <c r="AI388" s="99"/>
      <c r="AJ388" s="99"/>
      <c r="AK388" s="99"/>
      <c r="AL388" s="99"/>
      <c r="AM388" s="99"/>
      <c r="AN388" s="99"/>
      <c r="AO388" s="99"/>
      <c r="AP388" s="99"/>
      <c r="AQ388" s="99"/>
      <c r="AR388" s="99"/>
      <c r="AS388" s="99"/>
      <c r="AT388" s="99"/>
      <c r="AU388" s="421"/>
      <c r="AV388" s="421"/>
    </row>
    <row r="389" spans="1:48" ht="15" customHeight="1" x14ac:dyDescent="0.3">
      <c r="A389" s="101">
        <v>35</v>
      </c>
      <c r="B389" s="94" t="s">
        <v>89</v>
      </c>
      <c r="C389" s="95" t="s">
        <v>529</v>
      </c>
      <c r="D389" s="95" t="s">
        <v>899</v>
      </c>
      <c r="E389" s="95">
        <v>4</v>
      </c>
      <c r="F389" s="96" t="s">
        <v>854</v>
      </c>
      <c r="G389" s="95" t="s">
        <v>855</v>
      </c>
      <c r="H389" s="95">
        <v>4085076346</v>
      </c>
      <c r="I389" s="95" t="s">
        <v>594</v>
      </c>
      <c r="J389" s="96">
        <v>45566</v>
      </c>
      <c r="K389" s="95" t="s">
        <v>237</v>
      </c>
      <c r="L389" s="95">
        <v>76</v>
      </c>
      <c r="M389" s="95" t="s">
        <v>843</v>
      </c>
      <c r="N389" s="97" t="s">
        <v>34</v>
      </c>
      <c r="O389" s="129">
        <v>45809</v>
      </c>
      <c r="P389" s="99"/>
      <c r="Q389" s="99"/>
      <c r="R389" s="99"/>
      <c r="S389" s="99"/>
      <c r="T389" s="99"/>
      <c r="U389" s="99"/>
      <c r="V389" s="99"/>
      <c r="W389" s="99"/>
      <c r="X389" s="99"/>
      <c r="Y389" s="99"/>
      <c r="Z389" s="99"/>
      <c r="AA389" s="99"/>
      <c r="AB389" s="99"/>
      <c r="AC389" s="99"/>
      <c r="AD389" s="99"/>
      <c r="AE389" s="99"/>
      <c r="AF389" s="99"/>
      <c r="AG389" s="99"/>
      <c r="AH389" s="99"/>
      <c r="AI389" s="99"/>
      <c r="AJ389" s="99"/>
      <c r="AK389" s="99"/>
      <c r="AL389" s="99"/>
      <c r="AM389" s="99"/>
      <c r="AN389" s="99"/>
      <c r="AO389" s="99"/>
      <c r="AP389" s="99"/>
      <c r="AQ389" s="99"/>
      <c r="AR389" s="99"/>
      <c r="AS389" s="99"/>
      <c r="AT389" s="99"/>
      <c r="AU389" s="421"/>
      <c r="AV389" s="421"/>
    </row>
    <row r="390" spans="1:48" ht="15" customHeight="1" x14ac:dyDescent="0.3">
      <c r="A390" s="101">
        <v>36</v>
      </c>
      <c r="B390" s="94" t="s">
        <v>48</v>
      </c>
      <c r="C390" s="95" t="s">
        <v>900</v>
      </c>
      <c r="D390" s="95" t="s">
        <v>901</v>
      </c>
      <c r="E390" s="95" t="s">
        <v>183</v>
      </c>
      <c r="F390" s="96" t="s">
        <v>902</v>
      </c>
      <c r="G390" s="95" t="s">
        <v>903</v>
      </c>
      <c r="H390" s="95">
        <v>4083936870</v>
      </c>
      <c r="I390" s="95" t="s">
        <v>904</v>
      </c>
      <c r="J390" s="96" t="s">
        <v>905</v>
      </c>
      <c r="K390" s="95" t="s">
        <v>205</v>
      </c>
      <c r="L390" s="95">
        <v>51</v>
      </c>
      <c r="M390" s="95" t="s">
        <v>843</v>
      </c>
      <c r="N390" s="97" t="s">
        <v>34</v>
      </c>
      <c r="O390" s="129">
        <v>45809</v>
      </c>
      <c r="P390" s="99"/>
      <c r="Q390" s="99"/>
      <c r="R390" s="99"/>
      <c r="S390" s="99"/>
      <c r="T390" s="99"/>
      <c r="U390" s="99"/>
      <c r="V390" s="99"/>
      <c r="W390" s="99"/>
      <c r="X390" s="99"/>
      <c r="Y390" s="99"/>
      <c r="Z390" s="99"/>
      <c r="AA390" s="99"/>
      <c r="AB390" s="99"/>
      <c r="AC390" s="99"/>
      <c r="AD390" s="99"/>
      <c r="AE390" s="99"/>
      <c r="AF390" s="99"/>
      <c r="AG390" s="99"/>
      <c r="AH390" s="99"/>
      <c r="AI390" s="99"/>
      <c r="AJ390" s="99"/>
      <c r="AK390" s="99"/>
      <c r="AL390" s="99"/>
      <c r="AM390" s="99"/>
      <c r="AN390" s="99"/>
      <c r="AO390" s="99"/>
      <c r="AP390" s="99"/>
      <c r="AQ390" s="99"/>
      <c r="AR390" s="99"/>
      <c r="AS390" s="99"/>
      <c r="AT390" s="99"/>
      <c r="AU390" s="421"/>
      <c r="AV390" s="421"/>
    </row>
    <row r="391" spans="1:48" ht="15" customHeight="1" x14ac:dyDescent="0.3">
      <c r="A391" s="101">
        <v>37</v>
      </c>
      <c r="B391" s="94" t="s">
        <v>89</v>
      </c>
      <c r="C391" s="95" t="s">
        <v>900</v>
      </c>
      <c r="D391" s="95" t="s">
        <v>901</v>
      </c>
      <c r="E391" s="95" t="s">
        <v>183</v>
      </c>
      <c r="F391" s="96" t="s">
        <v>902</v>
      </c>
      <c r="G391" s="95" t="s">
        <v>903</v>
      </c>
      <c r="H391" s="95">
        <v>4083936870</v>
      </c>
      <c r="I391" s="95" t="s">
        <v>904</v>
      </c>
      <c r="J391" s="96" t="s">
        <v>905</v>
      </c>
      <c r="K391" s="95" t="s">
        <v>293</v>
      </c>
      <c r="L391" s="95">
        <v>66</v>
      </c>
      <c r="M391" s="95" t="s">
        <v>843</v>
      </c>
      <c r="N391" s="97" t="s">
        <v>34</v>
      </c>
      <c r="O391" s="129">
        <v>45809</v>
      </c>
      <c r="P391" s="99"/>
      <c r="Q391" s="99"/>
      <c r="R391" s="99"/>
      <c r="S391" s="99"/>
      <c r="T391" s="99"/>
      <c r="U391" s="99"/>
      <c r="V391" s="99"/>
      <c r="W391" s="99"/>
      <c r="X391" s="99"/>
      <c r="Y391" s="99"/>
      <c r="Z391" s="99"/>
      <c r="AA391" s="99"/>
      <c r="AB391" s="99"/>
      <c r="AC391" s="99"/>
      <c r="AD391" s="99"/>
      <c r="AE391" s="99"/>
      <c r="AF391" s="99"/>
      <c r="AG391" s="99"/>
      <c r="AH391" s="99"/>
      <c r="AI391" s="99"/>
      <c r="AJ391" s="99"/>
      <c r="AK391" s="99"/>
      <c r="AL391" s="99"/>
      <c r="AM391" s="99"/>
      <c r="AN391" s="99"/>
      <c r="AO391" s="99"/>
      <c r="AP391" s="99"/>
      <c r="AQ391" s="99"/>
      <c r="AR391" s="99"/>
      <c r="AS391" s="99"/>
      <c r="AT391" s="99"/>
      <c r="AU391" s="421"/>
      <c r="AV391" s="421"/>
    </row>
    <row r="392" spans="1:48" ht="15" customHeight="1" x14ac:dyDescent="0.3">
      <c r="A392" s="101">
        <v>38</v>
      </c>
      <c r="B392" s="94" t="s">
        <v>48</v>
      </c>
      <c r="C392" s="95" t="s">
        <v>906</v>
      </c>
      <c r="D392" s="95" t="s">
        <v>907</v>
      </c>
      <c r="E392" s="95">
        <v>4</v>
      </c>
      <c r="F392" s="96" t="s">
        <v>391</v>
      </c>
      <c r="G392" s="95" t="s">
        <v>908</v>
      </c>
      <c r="H392" s="95">
        <v>2066055380</v>
      </c>
      <c r="I392" s="95" t="s">
        <v>909</v>
      </c>
      <c r="J392" s="96" t="s">
        <v>910</v>
      </c>
      <c r="K392" s="95" t="s">
        <v>323</v>
      </c>
      <c r="L392" s="95">
        <v>91</v>
      </c>
      <c r="M392" s="95"/>
      <c r="N392" s="97" t="s">
        <v>34</v>
      </c>
      <c r="O392" s="129">
        <v>45809</v>
      </c>
      <c r="P392" s="99"/>
      <c r="Q392" s="99"/>
      <c r="R392" s="99"/>
      <c r="S392" s="99"/>
      <c r="T392" s="99"/>
      <c r="U392" s="99"/>
      <c r="V392" s="99"/>
      <c r="W392" s="99"/>
      <c r="X392" s="99"/>
      <c r="Y392" s="99"/>
      <c r="Z392" s="99"/>
      <c r="AA392" s="99"/>
      <c r="AB392" s="99"/>
      <c r="AC392" s="99"/>
      <c r="AD392" s="99"/>
      <c r="AE392" s="99"/>
      <c r="AF392" s="99"/>
      <c r="AG392" s="99"/>
      <c r="AH392" s="99"/>
      <c r="AI392" s="99"/>
      <c r="AJ392" s="99"/>
      <c r="AK392" s="99"/>
      <c r="AL392" s="99"/>
      <c r="AM392" s="99"/>
      <c r="AN392" s="99"/>
      <c r="AO392" s="99"/>
      <c r="AP392" s="99"/>
      <c r="AQ392" s="99"/>
      <c r="AR392" s="99"/>
      <c r="AS392" s="99"/>
      <c r="AT392" s="99"/>
      <c r="AU392" s="421"/>
      <c r="AV392" s="421"/>
    </row>
    <row r="393" spans="1:48" ht="15" customHeight="1" x14ac:dyDescent="0.3">
      <c r="A393" s="101">
        <v>39</v>
      </c>
      <c r="B393" s="94" t="s">
        <v>89</v>
      </c>
      <c r="C393" s="95" t="s">
        <v>906</v>
      </c>
      <c r="D393" s="95" t="s">
        <v>907</v>
      </c>
      <c r="E393" s="95">
        <v>4</v>
      </c>
      <c r="F393" s="96" t="s">
        <v>911</v>
      </c>
      <c r="G393" s="95" t="s">
        <v>912</v>
      </c>
      <c r="H393" s="95">
        <v>2066055380</v>
      </c>
      <c r="I393" s="95" t="s">
        <v>909</v>
      </c>
      <c r="J393" s="96" t="s">
        <v>910</v>
      </c>
      <c r="K393" s="95" t="s">
        <v>176</v>
      </c>
      <c r="L393" s="95">
        <v>96</v>
      </c>
      <c r="M393" s="95"/>
      <c r="N393" s="97" t="s">
        <v>34</v>
      </c>
      <c r="O393" s="129">
        <v>45809</v>
      </c>
      <c r="P393" s="99"/>
      <c r="Q393" s="99"/>
      <c r="R393" s="99"/>
      <c r="S393" s="99"/>
      <c r="T393" s="99"/>
      <c r="U393" s="99"/>
      <c r="V393" s="99"/>
      <c r="W393" s="99"/>
      <c r="X393" s="99"/>
      <c r="Y393" s="99"/>
      <c r="Z393" s="99"/>
      <c r="AA393" s="99"/>
      <c r="AB393" s="99"/>
      <c r="AC393" s="99"/>
      <c r="AD393" s="99"/>
      <c r="AE393" s="99"/>
      <c r="AF393" s="99"/>
      <c r="AG393" s="99"/>
      <c r="AH393" s="99"/>
      <c r="AI393" s="99"/>
      <c r="AJ393" s="99"/>
      <c r="AK393" s="99"/>
      <c r="AL393" s="99"/>
      <c r="AM393" s="99"/>
      <c r="AN393" s="99"/>
      <c r="AO393" s="99"/>
      <c r="AP393" s="99"/>
      <c r="AQ393" s="99"/>
      <c r="AR393" s="99"/>
      <c r="AS393" s="99"/>
      <c r="AT393" s="99"/>
      <c r="AU393" s="421"/>
      <c r="AV393" s="421"/>
    </row>
    <row r="394" spans="1:48" ht="15" customHeight="1" x14ac:dyDescent="0.3">
      <c r="A394" s="101">
        <v>40</v>
      </c>
      <c r="B394" s="94" t="s">
        <v>48</v>
      </c>
      <c r="C394" s="95" t="s">
        <v>150</v>
      </c>
      <c r="D394" s="95" t="s">
        <v>913</v>
      </c>
      <c r="E394" s="95">
        <v>2</v>
      </c>
      <c r="F394" s="96">
        <v>42989</v>
      </c>
      <c r="G394" s="95" t="s">
        <v>914</v>
      </c>
      <c r="H394" s="95">
        <v>4082104112</v>
      </c>
      <c r="I394" s="95" t="s">
        <v>915</v>
      </c>
      <c r="J394" s="96">
        <v>45537</v>
      </c>
      <c r="K394" s="95" t="s">
        <v>127</v>
      </c>
      <c r="L394" s="95">
        <v>48</v>
      </c>
      <c r="M394" s="95"/>
      <c r="N394" s="97" t="s">
        <v>34</v>
      </c>
      <c r="O394" s="129">
        <v>45809</v>
      </c>
      <c r="P394" s="99"/>
      <c r="Q394" s="99"/>
      <c r="R394" s="99"/>
      <c r="S394" s="99"/>
      <c r="T394" s="99"/>
      <c r="U394" s="99"/>
      <c r="V394" s="99"/>
      <c r="W394" s="99"/>
      <c r="X394" s="99"/>
      <c r="Y394" s="99"/>
      <c r="Z394" s="99"/>
      <c r="AA394" s="99"/>
      <c r="AB394" s="99"/>
      <c r="AC394" s="99"/>
      <c r="AD394" s="99"/>
      <c r="AE394" s="99"/>
      <c r="AF394" s="99"/>
      <c r="AG394" s="99"/>
      <c r="AH394" s="99"/>
      <c r="AI394" s="99"/>
      <c r="AJ394" s="99"/>
      <c r="AK394" s="99"/>
      <c r="AL394" s="99"/>
      <c r="AM394" s="99"/>
      <c r="AN394" s="99"/>
      <c r="AO394" s="99"/>
      <c r="AP394" s="99"/>
      <c r="AQ394" s="99"/>
      <c r="AR394" s="99"/>
      <c r="AS394" s="99"/>
      <c r="AT394" s="99"/>
      <c r="AU394" s="421"/>
      <c r="AV394" s="421"/>
    </row>
    <row r="395" spans="1:48" ht="15" customHeight="1" x14ac:dyDescent="0.3">
      <c r="A395" s="101">
        <v>41</v>
      </c>
      <c r="B395" s="94" t="s">
        <v>48</v>
      </c>
      <c r="C395" s="95" t="s">
        <v>375</v>
      </c>
      <c r="D395" s="95" t="s">
        <v>425</v>
      </c>
      <c r="E395" s="95" t="s">
        <v>183</v>
      </c>
      <c r="F395" s="96">
        <v>42867</v>
      </c>
      <c r="G395" s="95" t="s">
        <v>426</v>
      </c>
      <c r="H395" s="95">
        <v>4086432868</v>
      </c>
      <c r="I395" s="95" t="s">
        <v>427</v>
      </c>
      <c r="J395" s="96" t="s">
        <v>798</v>
      </c>
      <c r="K395" s="95" t="s">
        <v>323</v>
      </c>
      <c r="L395" s="95">
        <v>54</v>
      </c>
      <c r="M395" s="95"/>
      <c r="N395" s="97" t="s">
        <v>34</v>
      </c>
      <c r="O395" s="129">
        <v>45809</v>
      </c>
      <c r="P395" s="99"/>
      <c r="Q395" s="99"/>
      <c r="R395" s="99"/>
      <c r="S395" s="99"/>
      <c r="T395" s="99"/>
      <c r="U395" s="99"/>
      <c r="V395" s="99"/>
      <c r="W395" s="99"/>
      <c r="X395" s="99"/>
      <c r="Y395" s="99"/>
      <c r="Z395" s="99"/>
      <c r="AA395" s="99"/>
      <c r="AB395" s="99"/>
      <c r="AC395" s="99"/>
      <c r="AD395" s="99"/>
      <c r="AE395" s="99"/>
      <c r="AF395" s="99"/>
      <c r="AG395" s="99"/>
      <c r="AH395" s="99"/>
      <c r="AI395" s="99"/>
      <c r="AJ395" s="99"/>
      <c r="AK395" s="99"/>
      <c r="AL395" s="99"/>
      <c r="AM395" s="99"/>
      <c r="AN395" s="99"/>
      <c r="AO395" s="99"/>
      <c r="AP395" s="99"/>
      <c r="AQ395" s="99"/>
      <c r="AR395" s="99"/>
      <c r="AS395" s="99"/>
      <c r="AT395" s="99"/>
      <c r="AU395" s="421"/>
      <c r="AV395" s="421"/>
    </row>
    <row r="396" spans="1:48" ht="15" customHeight="1" x14ac:dyDescent="0.3">
      <c r="A396" s="101">
        <v>42</v>
      </c>
      <c r="B396" s="94" t="s">
        <v>89</v>
      </c>
      <c r="C396" s="95" t="s">
        <v>375</v>
      </c>
      <c r="D396" s="95" t="s">
        <v>425</v>
      </c>
      <c r="E396" s="95" t="s">
        <v>183</v>
      </c>
      <c r="F396" s="96">
        <v>42867</v>
      </c>
      <c r="G396" s="95" t="s">
        <v>426</v>
      </c>
      <c r="H396" s="95">
        <v>4086432868</v>
      </c>
      <c r="I396" s="95" t="s">
        <v>427</v>
      </c>
      <c r="J396" s="96" t="s">
        <v>798</v>
      </c>
      <c r="K396" s="95" t="s">
        <v>135</v>
      </c>
      <c r="L396" s="95">
        <v>28</v>
      </c>
      <c r="M396" s="95"/>
      <c r="N396" s="97" t="s">
        <v>34</v>
      </c>
      <c r="O396" s="129">
        <v>45809</v>
      </c>
      <c r="P396" s="99"/>
      <c r="Q396" s="99"/>
      <c r="R396" s="99"/>
      <c r="S396" s="99"/>
      <c r="T396" s="99"/>
      <c r="U396" s="99"/>
      <c r="V396" s="99"/>
      <c r="W396" s="99"/>
      <c r="X396" s="99"/>
      <c r="Y396" s="99"/>
      <c r="Z396" s="99"/>
      <c r="AA396" s="99"/>
      <c r="AB396" s="99"/>
      <c r="AC396" s="99"/>
      <c r="AD396" s="99"/>
      <c r="AE396" s="99"/>
      <c r="AF396" s="99"/>
      <c r="AG396" s="99"/>
      <c r="AH396" s="99"/>
      <c r="AI396" s="99"/>
      <c r="AJ396" s="99"/>
      <c r="AK396" s="99"/>
      <c r="AL396" s="99"/>
      <c r="AM396" s="99"/>
      <c r="AN396" s="99"/>
      <c r="AO396" s="99"/>
      <c r="AP396" s="99"/>
      <c r="AQ396" s="99"/>
      <c r="AR396" s="99"/>
      <c r="AS396" s="99"/>
      <c r="AT396" s="99"/>
      <c r="AU396" s="421"/>
      <c r="AV396" s="421"/>
    </row>
    <row r="397" spans="1:48" ht="15" customHeight="1" x14ac:dyDescent="0.3">
      <c r="A397" s="101">
        <v>43</v>
      </c>
      <c r="B397" s="94" t="s">
        <v>48</v>
      </c>
      <c r="C397" s="95" t="s">
        <v>534</v>
      </c>
      <c r="D397" s="95" t="s">
        <v>916</v>
      </c>
      <c r="E397" s="95">
        <v>6</v>
      </c>
      <c r="F397" s="96" t="s">
        <v>917</v>
      </c>
      <c r="G397" s="95" t="s">
        <v>918</v>
      </c>
      <c r="H397" s="95">
        <v>5107714715</v>
      </c>
      <c r="I397" s="95" t="s">
        <v>919</v>
      </c>
      <c r="J397" s="96" t="s">
        <v>230</v>
      </c>
      <c r="K397" s="95" t="s">
        <v>210</v>
      </c>
      <c r="L397" s="95">
        <v>1</v>
      </c>
      <c r="M397" s="95"/>
      <c r="N397" s="97" t="s">
        <v>34</v>
      </c>
      <c r="O397" s="129">
        <v>45809</v>
      </c>
      <c r="P397" s="99"/>
      <c r="Q397" s="99"/>
      <c r="R397" s="99"/>
      <c r="S397" s="99"/>
      <c r="T397" s="99"/>
      <c r="U397" s="99"/>
      <c r="V397" s="99"/>
      <c r="W397" s="99"/>
      <c r="X397" s="99"/>
      <c r="Y397" s="99"/>
      <c r="Z397" s="99"/>
      <c r="AA397" s="99"/>
      <c r="AB397" s="99"/>
      <c r="AC397" s="99"/>
      <c r="AD397" s="99"/>
      <c r="AE397" s="99"/>
      <c r="AF397" s="99"/>
      <c r="AG397" s="99"/>
      <c r="AH397" s="99"/>
      <c r="AI397" s="99"/>
      <c r="AJ397" s="99"/>
      <c r="AK397" s="99"/>
      <c r="AL397" s="99"/>
      <c r="AM397" s="99"/>
      <c r="AN397" s="99"/>
      <c r="AO397" s="99"/>
      <c r="AP397" s="99"/>
      <c r="AQ397" s="99"/>
      <c r="AR397" s="99"/>
      <c r="AS397" s="99"/>
      <c r="AT397" s="99"/>
      <c r="AU397" s="421"/>
      <c r="AV397" s="421"/>
    </row>
    <row r="398" spans="1:48" ht="15" customHeight="1" x14ac:dyDescent="0.3">
      <c r="A398" s="101">
        <v>44</v>
      </c>
      <c r="B398" s="94" t="s">
        <v>48</v>
      </c>
      <c r="C398" s="95" t="s">
        <v>296</v>
      </c>
      <c r="D398" s="95" t="s">
        <v>920</v>
      </c>
      <c r="E398" s="95">
        <v>4</v>
      </c>
      <c r="F398" s="96" t="s">
        <v>921</v>
      </c>
      <c r="G398" s="95" t="s">
        <v>403</v>
      </c>
      <c r="H398" s="95">
        <v>4085108805</v>
      </c>
      <c r="I398" s="95" t="s">
        <v>404</v>
      </c>
      <c r="J398" s="96" t="s">
        <v>366</v>
      </c>
      <c r="K398" s="95" t="s">
        <v>210</v>
      </c>
      <c r="L398" s="95">
        <v>31</v>
      </c>
      <c r="M398" s="95"/>
      <c r="N398" s="97" t="s">
        <v>34</v>
      </c>
      <c r="O398" s="129">
        <v>45809</v>
      </c>
      <c r="P398" s="99"/>
      <c r="Q398" s="99"/>
      <c r="R398" s="99"/>
      <c r="S398" s="99"/>
      <c r="T398" s="99"/>
      <c r="U398" s="99"/>
      <c r="V398" s="99"/>
      <c r="W398" s="99"/>
      <c r="X398" s="99"/>
      <c r="Y398" s="99"/>
      <c r="Z398" s="99"/>
      <c r="AA398" s="99"/>
      <c r="AB398" s="99"/>
      <c r="AC398" s="99"/>
      <c r="AD398" s="99"/>
      <c r="AE398" s="99"/>
      <c r="AF398" s="99"/>
      <c r="AG398" s="99"/>
      <c r="AH398" s="99"/>
      <c r="AI398" s="99"/>
      <c r="AJ398" s="99"/>
      <c r="AK398" s="99"/>
      <c r="AL398" s="99"/>
      <c r="AM398" s="99"/>
      <c r="AN398" s="99"/>
      <c r="AO398" s="99"/>
      <c r="AP398" s="99"/>
      <c r="AQ398" s="99"/>
      <c r="AR398" s="99"/>
      <c r="AS398" s="99"/>
      <c r="AT398" s="99"/>
      <c r="AU398" s="421"/>
      <c r="AV398" s="421"/>
    </row>
    <row r="399" spans="1:48" ht="15" customHeight="1" x14ac:dyDescent="0.3">
      <c r="A399" s="101">
        <v>45</v>
      </c>
      <c r="B399" s="94" t="s">
        <v>89</v>
      </c>
      <c r="C399" s="95" t="s">
        <v>296</v>
      </c>
      <c r="D399" s="95" t="s">
        <v>920</v>
      </c>
      <c r="E399" s="95">
        <v>4</v>
      </c>
      <c r="F399" s="96" t="s">
        <v>921</v>
      </c>
      <c r="G399" s="95" t="s">
        <v>403</v>
      </c>
      <c r="H399" s="95">
        <v>4085108805</v>
      </c>
      <c r="I399" s="95" t="s">
        <v>404</v>
      </c>
      <c r="J399" s="96" t="s">
        <v>366</v>
      </c>
      <c r="K399" s="95" t="s">
        <v>922</v>
      </c>
      <c r="L399" s="95">
        <v>71</v>
      </c>
      <c r="M399" s="95"/>
      <c r="N399" s="97" t="s">
        <v>34</v>
      </c>
      <c r="O399" s="129">
        <v>45809</v>
      </c>
      <c r="P399" s="99"/>
      <c r="Q399" s="99"/>
      <c r="R399" s="99"/>
      <c r="S399" s="99"/>
      <c r="T399" s="99"/>
      <c r="U399" s="99"/>
      <c r="V399" s="99"/>
      <c r="W399" s="99"/>
      <c r="X399" s="99"/>
      <c r="Y399" s="99"/>
      <c r="Z399" s="99"/>
      <c r="AA399" s="99"/>
      <c r="AB399" s="99"/>
      <c r="AC399" s="99"/>
      <c r="AD399" s="99"/>
      <c r="AE399" s="99"/>
      <c r="AF399" s="99"/>
      <c r="AG399" s="99"/>
      <c r="AH399" s="99"/>
      <c r="AI399" s="99"/>
      <c r="AJ399" s="99"/>
      <c r="AK399" s="99"/>
      <c r="AL399" s="99"/>
      <c r="AM399" s="99"/>
      <c r="AN399" s="99"/>
      <c r="AO399" s="99"/>
      <c r="AP399" s="99"/>
      <c r="AQ399" s="99"/>
      <c r="AR399" s="99"/>
      <c r="AS399" s="99"/>
      <c r="AT399" s="99"/>
      <c r="AU399" s="421"/>
      <c r="AV399" s="421"/>
    </row>
    <row r="400" spans="1:48" ht="15" customHeight="1" x14ac:dyDescent="0.3">
      <c r="A400" s="101">
        <v>46</v>
      </c>
      <c r="B400" s="94" t="s">
        <v>48</v>
      </c>
      <c r="C400" s="95" t="s">
        <v>656</v>
      </c>
      <c r="D400" s="95" t="s">
        <v>708</v>
      </c>
      <c r="E400" s="95">
        <v>4</v>
      </c>
      <c r="F400" s="96" t="s">
        <v>821</v>
      </c>
      <c r="G400" s="95" t="s">
        <v>860</v>
      </c>
      <c r="H400" s="95">
        <v>4087591928</v>
      </c>
      <c r="I400" s="95" t="s">
        <v>658</v>
      </c>
      <c r="J400" s="96" t="s">
        <v>858</v>
      </c>
      <c r="K400" s="95" t="s">
        <v>175</v>
      </c>
      <c r="L400" s="95">
        <v>41</v>
      </c>
      <c r="M400" s="95" t="s">
        <v>843</v>
      </c>
      <c r="N400" s="97" t="s">
        <v>34</v>
      </c>
      <c r="O400" s="129">
        <v>45809</v>
      </c>
      <c r="P400" s="99"/>
      <c r="Q400" s="99"/>
      <c r="R400" s="99"/>
      <c r="S400" s="99"/>
      <c r="T400" s="99"/>
      <c r="U400" s="99"/>
      <c r="V400" s="99"/>
      <c r="W400" s="99"/>
      <c r="X400" s="99"/>
      <c r="Y400" s="99"/>
      <c r="Z400" s="99"/>
      <c r="AA400" s="99"/>
      <c r="AB400" s="99"/>
      <c r="AC400" s="99"/>
      <c r="AD400" s="99"/>
      <c r="AE400" s="99"/>
      <c r="AF400" s="99"/>
      <c r="AG400" s="99"/>
      <c r="AH400" s="99"/>
      <c r="AI400" s="99"/>
      <c r="AJ400" s="99"/>
      <c r="AK400" s="99"/>
      <c r="AL400" s="99"/>
      <c r="AM400" s="99"/>
      <c r="AN400" s="99"/>
      <c r="AO400" s="99"/>
      <c r="AP400" s="99"/>
      <c r="AQ400" s="99"/>
      <c r="AR400" s="99"/>
      <c r="AS400" s="99"/>
      <c r="AT400" s="99"/>
      <c r="AU400" s="421"/>
      <c r="AV400" s="421"/>
    </row>
    <row r="401" spans="1:48" ht="15" customHeight="1" x14ac:dyDescent="0.3">
      <c r="A401" s="101">
        <v>47</v>
      </c>
      <c r="B401" s="94" t="s">
        <v>89</v>
      </c>
      <c r="C401" s="95" t="s">
        <v>656</v>
      </c>
      <c r="D401" s="95" t="s">
        <v>708</v>
      </c>
      <c r="E401" s="95">
        <v>4</v>
      </c>
      <c r="F401" s="96" t="s">
        <v>821</v>
      </c>
      <c r="G401" s="95" t="s">
        <v>860</v>
      </c>
      <c r="H401" s="95">
        <v>4087591928</v>
      </c>
      <c r="I401" s="95" t="s">
        <v>658</v>
      </c>
      <c r="J401" s="96" t="s">
        <v>858</v>
      </c>
      <c r="K401" s="95" t="s">
        <v>135</v>
      </c>
      <c r="L401" s="95">
        <v>21</v>
      </c>
      <c r="M401" s="95" t="s">
        <v>843</v>
      </c>
      <c r="N401" s="97" t="s">
        <v>34</v>
      </c>
      <c r="O401" s="129">
        <v>45809</v>
      </c>
      <c r="P401" s="99"/>
      <c r="Q401" s="99"/>
      <c r="R401" s="99"/>
      <c r="S401" s="99"/>
      <c r="T401" s="99"/>
      <c r="U401" s="99"/>
      <c r="V401" s="99"/>
      <c r="W401" s="99"/>
      <c r="X401" s="99"/>
      <c r="Y401" s="99"/>
      <c r="Z401" s="99"/>
      <c r="AA401" s="99"/>
      <c r="AB401" s="99"/>
      <c r="AC401" s="99"/>
      <c r="AD401" s="99"/>
      <c r="AE401" s="99"/>
      <c r="AF401" s="99"/>
      <c r="AG401" s="99"/>
      <c r="AH401" s="99"/>
      <c r="AI401" s="99"/>
      <c r="AJ401" s="99"/>
      <c r="AK401" s="99"/>
      <c r="AL401" s="99"/>
      <c r="AM401" s="99"/>
      <c r="AN401" s="99"/>
      <c r="AO401" s="99"/>
      <c r="AP401" s="99"/>
      <c r="AQ401" s="99"/>
      <c r="AR401" s="99"/>
      <c r="AS401" s="99"/>
      <c r="AT401" s="99"/>
      <c r="AU401" s="421"/>
      <c r="AV401" s="421"/>
    </row>
    <row r="402" spans="1:48" ht="15" customHeight="1" x14ac:dyDescent="0.3">
      <c r="A402" s="101">
        <v>48</v>
      </c>
      <c r="B402" s="94" t="s">
        <v>48</v>
      </c>
      <c r="C402" s="95" t="s">
        <v>129</v>
      </c>
      <c r="D402" s="95" t="s">
        <v>810</v>
      </c>
      <c r="E402" s="95">
        <v>1</v>
      </c>
      <c r="F402" s="96">
        <v>43199</v>
      </c>
      <c r="G402" s="95" t="s">
        <v>811</v>
      </c>
      <c r="H402" s="95">
        <v>6503046747</v>
      </c>
      <c r="I402" s="95" t="s">
        <v>812</v>
      </c>
      <c r="J402" s="96">
        <v>45572</v>
      </c>
      <c r="K402" s="95" t="s">
        <v>161</v>
      </c>
      <c r="L402" s="95">
        <v>66</v>
      </c>
      <c r="M402" s="95"/>
      <c r="N402" s="97" t="s">
        <v>34</v>
      </c>
      <c r="O402" s="129">
        <v>45809</v>
      </c>
      <c r="P402" s="99"/>
      <c r="Q402" s="99"/>
      <c r="R402" s="99"/>
      <c r="S402" s="99"/>
      <c r="T402" s="99"/>
      <c r="U402" s="99"/>
      <c r="V402" s="99"/>
      <c r="W402" s="99"/>
      <c r="X402" s="99"/>
      <c r="Y402" s="99"/>
      <c r="Z402" s="99"/>
      <c r="AA402" s="99"/>
      <c r="AB402" s="99"/>
      <c r="AC402" s="99"/>
      <c r="AD402" s="99"/>
      <c r="AE402" s="99"/>
      <c r="AF402" s="99"/>
      <c r="AG402" s="99"/>
      <c r="AH402" s="99"/>
      <c r="AI402" s="99"/>
      <c r="AJ402" s="99"/>
      <c r="AK402" s="99"/>
      <c r="AL402" s="99"/>
      <c r="AM402" s="99"/>
      <c r="AN402" s="99"/>
      <c r="AO402" s="99"/>
      <c r="AP402" s="99"/>
      <c r="AQ402" s="99"/>
      <c r="AR402" s="99"/>
      <c r="AS402" s="99"/>
      <c r="AT402" s="99"/>
      <c r="AU402" s="421"/>
      <c r="AV402" s="421"/>
    </row>
    <row r="403" spans="1:48" ht="15" customHeight="1" x14ac:dyDescent="0.3">
      <c r="A403" s="101">
        <v>49</v>
      </c>
      <c r="B403" s="94" t="s">
        <v>89</v>
      </c>
      <c r="C403" s="95" t="s">
        <v>129</v>
      </c>
      <c r="D403" s="95" t="s">
        <v>810</v>
      </c>
      <c r="E403" s="95">
        <v>1</v>
      </c>
      <c r="F403" s="96">
        <v>43200</v>
      </c>
      <c r="G403" s="95" t="s">
        <v>923</v>
      </c>
      <c r="H403" s="95">
        <v>6503046747</v>
      </c>
      <c r="I403" s="95" t="s">
        <v>812</v>
      </c>
      <c r="J403" s="96">
        <v>45673</v>
      </c>
      <c r="K403" s="95" t="s">
        <v>120</v>
      </c>
      <c r="L403" s="95">
        <v>56</v>
      </c>
      <c r="M403" s="95"/>
      <c r="N403" s="97" t="s">
        <v>34</v>
      </c>
      <c r="O403" s="129">
        <v>45809</v>
      </c>
      <c r="P403" s="99"/>
      <c r="Q403" s="99"/>
      <c r="R403" s="99"/>
      <c r="S403" s="99"/>
      <c r="T403" s="99"/>
      <c r="U403" s="99"/>
      <c r="V403" s="99" t="s">
        <v>64</v>
      </c>
      <c r="W403" s="99"/>
      <c r="X403" s="99"/>
      <c r="Y403" s="99"/>
      <c r="Z403" s="99"/>
      <c r="AA403" s="99"/>
      <c r="AB403" s="99"/>
      <c r="AC403" s="99"/>
      <c r="AD403" s="99"/>
      <c r="AE403" s="99"/>
      <c r="AF403" s="99"/>
      <c r="AG403" s="99"/>
      <c r="AH403" s="99"/>
      <c r="AI403" s="99"/>
      <c r="AJ403" s="99"/>
      <c r="AK403" s="99"/>
      <c r="AL403" s="99"/>
      <c r="AM403" s="99"/>
      <c r="AN403" s="99"/>
      <c r="AO403" s="99"/>
      <c r="AP403" s="99"/>
      <c r="AQ403" s="99"/>
      <c r="AR403" s="99"/>
      <c r="AS403" s="99"/>
      <c r="AT403" s="99"/>
      <c r="AU403" s="421"/>
      <c r="AV403" s="421"/>
    </row>
    <row r="404" spans="1:48" ht="15" customHeight="1" x14ac:dyDescent="0.3">
      <c r="A404" s="101">
        <v>50</v>
      </c>
      <c r="B404" s="94" t="s">
        <v>48</v>
      </c>
      <c r="C404" s="95" t="s">
        <v>924</v>
      </c>
      <c r="D404" s="95" t="s">
        <v>925</v>
      </c>
      <c r="E404" s="95" t="s">
        <v>183</v>
      </c>
      <c r="F404" s="96" t="s">
        <v>926</v>
      </c>
      <c r="G404" s="95" t="s">
        <v>927</v>
      </c>
      <c r="H404" s="95">
        <v>2016651117</v>
      </c>
      <c r="I404" s="95" t="s">
        <v>928</v>
      </c>
      <c r="J404" s="96" t="s">
        <v>777</v>
      </c>
      <c r="K404" s="95" t="s">
        <v>127</v>
      </c>
      <c r="L404" s="95">
        <v>61</v>
      </c>
      <c r="M404" s="95"/>
      <c r="N404" s="97" t="s">
        <v>34</v>
      </c>
      <c r="O404" s="129">
        <v>45809</v>
      </c>
      <c r="P404" s="99"/>
      <c r="Q404" s="99"/>
      <c r="R404" s="99"/>
      <c r="S404" s="99"/>
      <c r="T404" s="99"/>
      <c r="U404" s="99"/>
      <c r="V404" s="99"/>
      <c r="W404" s="99"/>
      <c r="X404" s="99"/>
      <c r="Y404" s="99"/>
      <c r="Z404" s="99"/>
      <c r="AA404" s="99"/>
      <c r="AB404" s="99"/>
      <c r="AC404" s="99"/>
      <c r="AD404" s="99"/>
      <c r="AE404" s="99"/>
      <c r="AF404" s="99"/>
      <c r="AG404" s="99"/>
      <c r="AH404" s="99"/>
      <c r="AI404" s="99"/>
      <c r="AJ404" s="99"/>
      <c r="AK404" s="99"/>
      <c r="AL404" s="99"/>
      <c r="AM404" s="99"/>
      <c r="AN404" s="99"/>
      <c r="AO404" s="99"/>
      <c r="AP404" s="99"/>
      <c r="AQ404" s="99"/>
      <c r="AR404" s="99"/>
      <c r="AS404" s="99"/>
      <c r="AT404" s="99"/>
      <c r="AU404" s="421"/>
      <c r="AV404" s="421"/>
    </row>
    <row r="405" spans="1:48" ht="15" customHeight="1" x14ac:dyDescent="0.3">
      <c r="A405" s="101">
        <v>51</v>
      </c>
      <c r="B405" s="94" t="s">
        <v>89</v>
      </c>
      <c r="C405" s="95" t="s">
        <v>924</v>
      </c>
      <c r="D405" s="95" t="s">
        <v>925</v>
      </c>
      <c r="E405" s="95" t="s">
        <v>183</v>
      </c>
      <c r="F405" s="96" t="s">
        <v>929</v>
      </c>
      <c r="G405" s="95" t="s">
        <v>930</v>
      </c>
      <c r="H405" s="95">
        <v>2016651117</v>
      </c>
      <c r="I405" s="95" t="s">
        <v>928</v>
      </c>
      <c r="J405" s="96">
        <v>45673</v>
      </c>
      <c r="K405" s="95" t="s">
        <v>154</v>
      </c>
      <c r="L405" s="95">
        <v>106</v>
      </c>
      <c r="M405" s="95"/>
      <c r="N405" s="97" t="s">
        <v>34</v>
      </c>
      <c r="O405" s="129">
        <v>45809</v>
      </c>
      <c r="P405" s="99"/>
      <c r="Q405" s="99"/>
      <c r="R405" s="99"/>
      <c r="S405" s="99"/>
      <c r="T405" s="99"/>
      <c r="U405" s="99"/>
      <c r="V405" s="99"/>
      <c r="W405" s="99"/>
      <c r="X405" s="99"/>
      <c r="Y405" s="99"/>
      <c r="Z405" s="99"/>
      <c r="AA405" s="99"/>
      <c r="AB405" s="99"/>
      <c r="AC405" s="99"/>
      <c r="AD405" s="99"/>
      <c r="AE405" s="99"/>
      <c r="AF405" s="99"/>
      <c r="AG405" s="99"/>
      <c r="AH405" s="99"/>
      <c r="AI405" s="99"/>
      <c r="AJ405" s="99"/>
      <c r="AK405" s="99"/>
      <c r="AL405" s="99"/>
      <c r="AM405" s="99"/>
      <c r="AN405" s="99"/>
      <c r="AO405" s="99"/>
      <c r="AP405" s="99"/>
      <c r="AQ405" s="99"/>
      <c r="AR405" s="99"/>
      <c r="AS405" s="99"/>
      <c r="AT405" s="99"/>
      <c r="AU405" s="421"/>
      <c r="AV405" s="421"/>
    </row>
    <row r="406" spans="1:48" ht="17.25" customHeight="1" x14ac:dyDescent="0.3">
      <c r="A406" s="83"/>
      <c r="B406" s="11"/>
      <c r="C406" s="79"/>
      <c r="D406" s="79"/>
      <c r="E406" s="11"/>
      <c r="F406" s="79"/>
      <c r="G406" s="79"/>
      <c r="H406" s="79"/>
      <c r="I406" s="32"/>
      <c r="J406" s="79"/>
      <c r="K406" s="79"/>
      <c r="L406" s="79"/>
      <c r="M406" s="79"/>
      <c r="N406" s="11"/>
      <c r="O406" s="80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</row>
    <row r="407" spans="1:48" ht="17.25" customHeight="1" x14ac:dyDescent="0.3">
      <c r="A407" s="83"/>
      <c r="B407" s="11"/>
      <c r="C407" s="79"/>
      <c r="D407" s="79"/>
      <c r="E407" s="11"/>
      <c r="F407" s="79"/>
      <c r="G407" s="79"/>
      <c r="H407" s="79"/>
      <c r="I407" s="32"/>
      <c r="J407" s="79"/>
      <c r="K407" s="79"/>
      <c r="L407" s="79"/>
      <c r="M407" s="79"/>
      <c r="N407" s="11"/>
      <c r="O407" s="80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</row>
    <row r="408" spans="1:48" ht="17.25" customHeight="1" x14ac:dyDescent="0.3">
      <c r="A408" s="83"/>
      <c r="B408" s="11"/>
      <c r="C408" s="79"/>
      <c r="D408" s="79"/>
      <c r="E408" s="11"/>
      <c r="F408" s="79"/>
      <c r="G408" s="79"/>
      <c r="H408" s="79"/>
      <c r="I408" s="32"/>
      <c r="J408" s="79"/>
      <c r="K408" s="79"/>
      <c r="L408" s="79"/>
      <c r="M408" s="79"/>
      <c r="N408" s="11"/>
      <c r="O408" s="80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</row>
    <row r="409" spans="1:48" ht="17.25" customHeight="1" x14ac:dyDescent="0.3">
      <c r="A409" s="83"/>
      <c r="B409" s="11"/>
      <c r="C409" s="79"/>
      <c r="D409" s="79"/>
      <c r="E409" s="11"/>
      <c r="F409" s="79"/>
      <c r="G409" s="79"/>
      <c r="H409" s="79"/>
      <c r="I409" s="32"/>
      <c r="J409" s="79"/>
      <c r="K409" s="79"/>
      <c r="L409" s="79"/>
      <c r="M409" s="79"/>
      <c r="N409" s="11"/>
      <c r="O409" s="80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</row>
    <row r="410" spans="1:48" ht="17.25" customHeight="1" x14ac:dyDescent="0.3">
      <c r="A410" s="83"/>
      <c r="B410" s="11"/>
      <c r="C410" s="79"/>
      <c r="D410" s="79"/>
      <c r="E410" s="11"/>
      <c r="F410" s="79"/>
      <c r="G410" s="79"/>
      <c r="H410" s="79"/>
      <c r="I410" s="32"/>
      <c r="J410" s="79"/>
      <c r="K410" s="79"/>
      <c r="L410" s="79"/>
      <c r="M410" s="79"/>
      <c r="N410" s="11"/>
      <c r="O410" s="80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</row>
    <row r="411" spans="1:48" ht="17.25" customHeight="1" x14ac:dyDescent="0.3">
      <c r="A411" s="83"/>
      <c r="B411" s="11"/>
      <c r="C411" s="79"/>
      <c r="D411" s="79"/>
      <c r="E411" s="11"/>
      <c r="F411" s="79"/>
      <c r="G411" s="79"/>
      <c r="H411" s="79"/>
      <c r="I411" s="32"/>
      <c r="J411" s="79"/>
      <c r="K411" s="79"/>
      <c r="L411" s="79"/>
      <c r="M411" s="79"/>
      <c r="N411" s="11"/>
      <c r="O411" s="80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</row>
    <row r="412" spans="1:48" ht="17.25" customHeight="1" x14ac:dyDescent="0.3">
      <c r="A412" s="83"/>
      <c r="B412" s="11"/>
      <c r="C412" s="79"/>
      <c r="D412" s="79"/>
      <c r="E412" s="11"/>
      <c r="F412" s="79"/>
      <c r="G412" s="79"/>
      <c r="H412" s="79"/>
      <c r="I412" s="32"/>
      <c r="J412" s="79"/>
      <c r="K412" s="79"/>
      <c r="L412" s="79"/>
      <c r="M412" s="79"/>
      <c r="N412" s="11"/>
      <c r="O412" s="80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</row>
    <row r="413" spans="1:48" ht="17.25" customHeight="1" x14ac:dyDescent="0.3">
      <c r="A413" s="83"/>
      <c r="B413" s="11"/>
      <c r="C413" s="79"/>
      <c r="D413" s="79"/>
      <c r="E413" s="11"/>
      <c r="F413" s="79"/>
      <c r="G413" s="79"/>
      <c r="H413" s="79"/>
      <c r="I413" s="32"/>
      <c r="J413" s="79"/>
      <c r="K413" s="79"/>
      <c r="L413" s="79"/>
      <c r="M413" s="79"/>
      <c r="N413" s="11"/>
      <c r="O413" s="80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</row>
    <row r="414" spans="1:48" ht="17.25" customHeight="1" x14ac:dyDescent="0.3">
      <c r="A414" s="83"/>
      <c r="B414" s="11"/>
      <c r="C414" s="79"/>
      <c r="D414" s="79"/>
      <c r="E414" s="11"/>
      <c r="F414" s="79"/>
      <c r="G414" s="79"/>
      <c r="H414" s="79"/>
      <c r="I414" s="32"/>
      <c r="J414" s="79"/>
      <c r="K414" s="79"/>
      <c r="L414" s="79"/>
      <c r="M414" s="79"/>
      <c r="N414" s="11"/>
      <c r="O414" s="80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</row>
    <row r="415" spans="1:48" ht="17.25" customHeight="1" x14ac:dyDescent="0.3">
      <c r="A415" s="83"/>
      <c r="B415" s="11"/>
      <c r="C415" s="79"/>
      <c r="D415" s="79"/>
      <c r="E415" s="11"/>
      <c r="F415" s="79"/>
      <c r="G415" s="79"/>
      <c r="H415" s="79"/>
      <c r="I415" s="32"/>
      <c r="J415" s="79"/>
      <c r="K415" s="79"/>
      <c r="L415" s="79"/>
      <c r="M415" s="79"/>
      <c r="N415" s="11"/>
      <c r="O415" s="80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</row>
    <row r="416" spans="1:48" ht="17.25" customHeight="1" x14ac:dyDescent="0.3">
      <c r="A416" s="83"/>
      <c r="B416" s="11"/>
      <c r="C416" s="79"/>
      <c r="D416" s="79"/>
      <c r="E416" s="11"/>
      <c r="F416" s="79"/>
      <c r="G416" s="79"/>
      <c r="H416" s="79"/>
      <c r="I416" s="32"/>
      <c r="J416" s="79"/>
      <c r="K416" s="79"/>
      <c r="L416" s="79"/>
      <c r="M416" s="79"/>
      <c r="N416" s="11"/>
      <c r="O416" s="80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</row>
    <row r="417" spans="1:46" ht="17.25" customHeight="1" x14ac:dyDescent="0.3">
      <c r="A417" s="83"/>
      <c r="B417" s="11"/>
      <c r="C417" s="79"/>
      <c r="D417" s="79"/>
      <c r="E417" s="11"/>
      <c r="F417" s="79"/>
      <c r="G417" s="79"/>
      <c r="H417" s="79"/>
      <c r="I417" s="32"/>
      <c r="J417" s="79"/>
      <c r="K417" s="79"/>
      <c r="L417" s="79"/>
      <c r="M417" s="79"/>
      <c r="N417" s="11"/>
      <c r="O417" s="80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</row>
    <row r="418" spans="1:46" ht="17.25" customHeight="1" x14ac:dyDescent="0.3">
      <c r="A418" s="83"/>
      <c r="B418" s="11"/>
      <c r="C418" s="79"/>
      <c r="D418" s="79"/>
      <c r="E418" s="11"/>
      <c r="F418" s="79"/>
      <c r="G418" s="79"/>
      <c r="H418" s="79"/>
      <c r="I418" s="32"/>
      <c r="J418" s="79"/>
      <c r="K418" s="79"/>
      <c r="L418" s="79"/>
      <c r="M418" s="79"/>
      <c r="N418" s="11"/>
      <c r="O418" s="80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</row>
    <row r="419" spans="1:46" ht="17.25" customHeight="1" x14ac:dyDescent="0.3">
      <c r="A419" s="83"/>
      <c r="B419" s="11"/>
      <c r="C419" s="79"/>
      <c r="D419" s="79"/>
      <c r="E419" s="11"/>
      <c r="F419" s="79"/>
      <c r="G419" s="79"/>
      <c r="H419" s="79"/>
      <c r="I419" s="32"/>
      <c r="J419" s="79"/>
      <c r="K419" s="79"/>
      <c r="L419" s="79"/>
      <c r="M419" s="79"/>
      <c r="N419" s="11"/>
      <c r="O419" s="80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</row>
    <row r="420" spans="1:46" ht="17.25" customHeight="1" x14ac:dyDescent="0.3">
      <c r="A420" s="83"/>
      <c r="B420" s="11"/>
      <c r="C420" s="79"/>
      <c r="D420" s="79"/>
      <c r="E420" s="11"/>
      <c r="F420" s="79"/>
      <c r="G420" s="79"/>
      <c r="H420" s="79"/>
      <c r="I420" s="32"/>
      <c r="J420" s="79"/>
      <c r="K420" s="79"/>
      <c r="L420" s="79"/>
      <c r="M420" s="79"/>
      <c r="N420" s="11"/>
      <c r="O420" s="80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</row>
    <row r="421" spans="1:46" ht="17.25" customHeight="1" x14ac:dyDescent="0.3">
      <c r="A421" s="83"/>
      <c r="B421" s="11"/>
      <c r="C421" s="79"/>
      <c r="D421" s="79"/>
      <c r="E421" s="11"/>
      <c r="F421" s="79"/>
      <c r="G421" s="79"/>
      <c r="H421" s="79"/>
      <c r="I421" s="32"/>
      <c r="J421" s="79"/>
      <c r="K421" s="79"/>
      <c r="L421" s="79"/>
      <c r="M421" s="79"/>
      <c r="N421" s="11"/>
      <c r="O421" s="80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</row>
    <row r="422" spans="1:46" ht="17.25" customHeight="1" x14ac:dyDescent="0.3">
      <c r="A422" s="83"/>
      <c r="B422" s="11"/>
      <c r="C422" s="79"/>
      <c r="D422" s="79"/>
      <c r="E422" s="11"/>
      <c r="F422" s="79"/>
      <c r="G422" s="79"/>
      <c r="H422" s="79"/>
      <c r="I422" s="32"/>
      <c r="J422" s="79"/>
      <c r="K422" s="79"/>
      <c r="L422" s="79"/>
      <c r="M422" s="79"/>
      <c r="N422" s="11"/>
      <c r="O422" s="80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</row>
    <row r="423" spans="1:46" ht="17.25" customHeight="1" x14ac:dyDescent="0.3">
      <c r="A423" s="83"/>
      <c r="B423" s="11"/>
      <c r="C423" s="79"/>
      <c r="D423" s="79"/>
      <c r="E423" s="11"/>
      <c r="F423" s="79"/>
      <c r="G423" s="79"/>
      <c r="H423" s="79"/>
      <c r="I423" s="32"/>
      <c r="J423" s="79"/>
      <c r="K423" s="79"/>
      <c r="L423" s="79"/>
      <c r="M423" s="79"/>
      <c r="N423" s="11"/>
      <c r="O423" s="80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</row>
    <row r="424" spans="1:46" ht="17.25" customHeight="1" x14ac:dyDescent="0.3">
      <c r="A424" s="83"/>
      <c r="B424" s="11"/>
      <c r="C424" s="79"/>
      <c r="D424" s="79"/>
      <c r="E424" s="11"/>
      <c r="F424" s="79"/>
      <c r="G424" s="79"/>
      <c r="H424" s="79"/>
      <c r="I424" s="32"/>
      <c r="J424" s="79"/>
      <c r="K424" s="79"/>
      <c r="L424" s="79"/>
      <c r="M424" s="79"/>
      <c r="N424" s="11"/>
      <c r="O424" s="80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</row>
    <row r="425" spans="1:46" ht="17.25" customHeight="1" x14ac:dyDescent="0.3">
      <c r="A425" s="83"/>
      <c r="B425" s="11"/>
      <c r="C425" s="79"/>
      <c r="D425" s="79"/>
      <c r="E425" s="11"/>
      <c r="F425" s="79"/>
      <c r="G425" s="79"/>
      <c r="H425" s="79"/>
      <c r="I425" s="32"/>
      <c r="J425" s="79"/>
      <c r="K425" s="79"/>
      <c r="L425" s="79"/>
      <c r="M425" s="79"/>
      <c r="N425" s="11"/>
      <c r="O425" s="80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</row>
    <row r="426" spans="1:46" ht="17.25" customHeight="1" x14ac:dyDescent="0.3">
      <c r="A426" s="83"/>
      <c r="B426" s="11"/>
      <c r="C426" s="79"/>
      <c r="D426" s="79"/>
      <c r="E426" s="11"/>
      <c r="F426" s="79"/>
      <c r="G426" s="79"/>
      <c r="H426" s="79"/>
      <c r="I426" s="32"/>
      <c r="J426" s="79"/>
      <c r="K426" s="79"/>
      <c r="L426" s="79"/>
      <c r="M426" s="79"/>
      <c r="N426" s="11"/>
      <c r="O426" s="80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</row>
    <row r="427" spans="1:46" ht="17.25" customHeight="1" x14ac:dyDescent="0.3">
      <c r="A427" s="83"/>
      <c r="B427" s="11"/>
      <c r="C427" s="79"/>
      <c r="D427" s="79"/>
      <c r="E427" s="11"/>
      <c r="F427" s="79"/>
      <c r="G427" s="79"/>
      <c r="H427" s="79"/>
      <c r="I427" s="32"/>
      <c r="J427" s="79"/>
      <c r="K427" s="79"/>
      <c r="L427" s="79"/>
      <c r="M427" s="79"/>
      <c r="N427" s="11"/>
      <c r="O427" s="80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</row>
    <row r="428" spans="1:46" ht="17.25" customHeight="1" x14ac:dyDescent="0.3">
      <c r="A428" s="83"/>
      <c r="B428" s="11"/>
      <c r="C428" s="79"/>
      <c r="D428" s="79"/>
      <c r="E428" s="11"/>
      <c r="F428" s="79"/>
      <c r="G428" s="79"/>
      <c r="H428" s="79"/>
      <c r="I428" s="32"/>
      <c r="J428" s="79"/>
      <c r="K428" s="79"/>
      <c r="L428" s="79"/>
      <c r="M428" s="79"/>
      <c r="N428" s="11"/>
      <c r="O428" s="80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</row>
    <row r="429" spans="1:46" ht="17.25" customHeight="1" x14ac:dyDescent="0.3">
      <c r="A429" s="83"/>
      <c r="B429" s="11"/>
      <c r="C429" s="79"/>
      <c r="D429" s="79"/>
      <c r="E429" s="11"/>
      <c r="F429" s="79"/>
      <c r="G429" s="79"/>
      <c r="H429" s="79"/>
      <c r="I429" s="32"/>
      <c r="J429" s="79"/>
      <c r="K429" s="79"/>
      <c r="L429" s="79"/>
      <c r="M429" s="79"/>
      <c r="N429" s="11"/>
      <c r="O429" s="80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</row>
    <row r="430" spans="1:46" ht="17.25" customHeight="1" x14ac:dyDescent="0.3">
      <c r="A430" s="83"/>
      <c r="B430" s="11"/>
      <c r="C430" s="79"/>
      <c r="D430" s="79"/>
      <c r="E430" s="11"/>
      <c r="F430" s="79"/>
      <c r="G430" s="79"/>
      <c r="H430" s="79"/>
      <c r="I430" s="32"/>
      <c r="J430" s="79"/>
      <c r="K430" s="79"/>
      <c r="L430" s="79"/>
      <c r="M430" s="79"/>
      <c r="N430" s="11"/>
      <c r="O430" s="80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</row>
    <row r="431" spans="1:46" ht="17.25" customHeight="1" x14ac:dyDescent="0.3">
      <c r="A431" s="83"/>
      <c r="B431" s="11"/>
      <c r="C431" s="79"/>
      <c r="D431" s="79"/>
      <c r="E431" s="11"/>
      <c r="F431" s="79"/>
      <c r="G431" s="79"/>
      <c r="H431" s="79"/>
      <c r="I431" s="32"/>
      <c r="J431" s="79"/>
      <c r="K431" s="79"/>
      <c r="L431" s="79"/>
      <c r="M431" s="79"/>
      <c r="N431" s="11"/>
      <c r="O431" s="80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</row>
    <row r="432" spans="1:46" ht="17.25" customHeight="1" x14ac:dyDescent="0.3">
      <c r="A432" s="83"/>
      <c r="B432" s="11"/>
      <c r="C432" s="79"/>
      <c r="D432" s="79"/>
      <c r="E432" s="11"/>
      <c r="F432" s="79"/>
      <c r="G432" s="79"/>
      <c r="H432" s="79"/>
      <c r="I432" s="32"/>
      <c r="J432" s="79"/>
      <c r="K432" s="79"/>
      <c r="L432" s="79"/>
      <c r="M432" s="79"/>
      <c r="N432" s="11"/>
      <c r="O432" s="80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</row>
    <row r="433" spans="1:46" ht="17.25" customHeight="1" x14ac:dyDescent="0.3">
      <c r="A433" s="83"/>
      <c r="B433" s="11"/>
      <c r="C433" s="79"/>
      <c r="D433" s="79"/>
      <c r="E433" s="11"/>
      <c r="F433" s="79"/>
      <c r="G433" s="79"/>
      <c r="H433" s="79"/>
      <c r="I433" s="32"/>
      <c r="J433" s="79"/>
      <c r="K433" s="79"/>
      <c r="L433" s="79"/>
      <c r="M433" s="79"/>
      <c r="N433" s="11"/>
      <c r="O433" s="80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</row>
    <row r="434" spans="1:46" ht="17.25" customHeight="1" x14ac:dyDescent="0.3">
      <c r="A434" s="83"/>
      <c r="B434" s="11"/>
      <c r="C434" s="79"/>
      <c r="D434" s="79"/>
      <c r="E434" s="11"/>
      <c r="F434" s="79"/>
      <c r="G434" s="79"/>
      <c r="H434" s="79"/>
      <c r="I434" s="32"/>
      <c r="J434" s="79"/>
      <c r="K434" s="79"/>
      <c r="L434" s="79"/>
      <c r="M434" s="79"/>
      <c r="N434" s="11"/>
      <c r="O434" s="80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</row>
    <row r="435" spans="1:46" ht="17.25" customHeight="1" x14ac:dyDescent="0.3">
      <c r="A435" s="83"/>
      <c r="B435" s="11"/>
      <c r="C435" s="79"/>
      <c r="D435" s="79"/>
      <c r="E435" s="11"/>
      <c r="F435" s="79"/>
      <c r="G435" s="79"/>
      <c r="H435" s="79"/>
      <c r="I435" s="32"/>
      <c r="J435" s="79"/>
      <c r="K435" s="79"/>
      <c r="L435" s="79"/>
      <c r="M435" s="79"/>
      <c r="N435" s="11"/>
      <c r="O435" s="80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</row>
    <row r="436" spans="1:46" ht="17.25" customHeight="1" x14ac:dyDescent="0.3">
      <c r="A436" s="83"/>
      <c r="B436" s="11"/>
      <c r="C436" s="79"/>
      <c r="D436" s="79"/>
      <c r="E436" s="11"/>
      <c r="F436" s="79"/>
      <c r="G436" s="79"/>
      <c r="H436" s="79"/>
      <c r="I436" s="32"/>
      <c r="J436" s="79"/>
      <c r="K436" s="79"/>
      <c r="L436" s="79"/>
      <c r="M436" s="79"/>
      <c r="N436" s="11"/>
      <c r="O436" s="80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</row>
    <row r="437" spans="1:46" ht="17.25" customHeight="1" x14ac:dyDescent="0.3">
      <c r="A437" s="83"/>
      <c r="B437" s="11"/>
      <c r="C437" s="79"/>
      <c r="D437" s="79"/>
      <c r="E437" s="11"/>
      <c r="F437" s="79"/>
      <c r="G437" s="79"/>
      <c r="H437" s="79"/>
      <c r="I437" s="32"/>
      <c r="J437" s="79"/>
      <c r="K437" s="79"/>
      <c r="L437" s="79"/>
      <c r="M437" s="79"/>
      <c r="N437" s="11"/>
      <c r="O437" s="80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</row>
    <row r="438" spans="1:46" ht="17.25" customHeight="1" x14ac:dyDescent="0.3">
      <c r="A438" s="83"/>
      <c r="B438" s="11"/>
      <c r="C438" s="79"/>
      <c r="D438" s="79"/>
      <c r="E438" s="11"/>
      <c r="F438" s="79"/>
      <c r="G438" s="79"/>
      <c r="H438" s="79"/>
      <c r="I438" s="32"/>
      <c r="J438" s="79"/>
      <c r="K438" s="79"/>
      <c r="L438" s="79"/>
      <c r="M438" s="79"/>
      <c r="N438" s="11"/>
      <c r="O438" s="80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</row>
    <row r="439" spans="1:46" ht="17.25" customHeight="1" x14ac:dyDescent="0.3">
      <c r="A439" s="83"/>
      <c r="B439" s="11"/>
      <c r="C439" s="79"/>
      <c r="D439" s="79"/>
      <c r="E439" s="11"/>
      <c r="F439" s="79"/>
      <c r="G439" s="79"/>
      <c r="H439" s="79"/>
      <c r="I439" s="32"/>
      <c r="J439" s="79"/>
      <c r="K439" s="79"/>
      <c r="L439" s="79"/>
      <c r="M439" s="79"/>
      <c r="N439" s="11"/>
      <c r="O439" s="80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</row>
    <row r="440" spans="1:46" ht="17.25" customHeight="1" x14ac:dyDescent="0.3">
      <c r="A440" s="83"/>
      <c r="B440" s="11"/>
      <c r="C440" s="79"/>
      <c r="D440" s="79"/>
      <c r="E440" s="11"/>
      <c r="F440" s="79"/>
      <c r="G440" s="79"/>
      <c r="H440" s="79"/>
      <c r="I440" s="32"/>
      <c r="J440" s="79"/>
      <c r="K440" s="79"/>
      <c r="L440" s="79"/>
      <c r="M440" s="79"/>
      <c r="N440" s="11"/>
      <c r="O440" s="80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</row>
    <row r="441" spans="1:46" ht="17.25" customHeight="1" x14ac:dyDescent="0.3">
      <c r="A441" s="83"/>
      <c r="B441" s="11"/>
      <c r="C441" s="79"/>
      <c r="D441" s="79"/>
      <c r="E441" s="11"/>
      <c r="F441" s="79"/>
      <c r="G441" s="79"/>
      <c r="H441" s="79"/>
      <c r="I441" s="32"/>
      <c r="J441" s="79"/>
      <c r="K441" s="79"/>
      <c r="L441" s="79"/>
      <c r="M441" s="79"/>
      <c r="N441" s="11"/>
      <c r="O441" s="80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</row>
    <row r="442" spans="1:46" ht="17.25" customHeight="1" x14ac:dyDescent="0.3">
      <c r="A442" s="83"/>
      <c r="B442" s="11"/>
      <c r="C442" s="79"/>
      <c r="D442" s="79"/>
      <c r="E442" s="11"/>
      <c r="F442" s="79"/>
      <c r="G442" s="79"/>
      <c r="H442" s="79"/>
      <c r="I442" s="32"/>
      <c r="J442" s="79"/>
      <c r="K442" s="79"/>
      <c r="L442" s="79"/>
      <c r="M442" s="79"/>
      <c r="N442" s="11"/>
      <c r="O442" s="80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</row>
    <row r="443" spans="1:46" ht="17.25" customHeight="1" x14ac:dyDescent="0.3">
      <c r="A443" s="83"/>
      <c r="B443" s="11"/>
      <c r="C443" s="79"/>
      <c r="D443" s="79"/>
      <c r="E443" s="11"/>
      <c r="F443" s="79"/>
      <c r="G443" s="79"/>
      <c r="H443" s="79"/>
      <c r="I443" s="32"/>
      <c r="J443" s="79"/>
      <c r="K443" s="79"/>
      <c r="L443" s="79"/>
      <c r="M443" s="79"/>
      <c r="N443" s="11"/>
      <c r="O443" s="80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</row>
    <row r="444" spans="1:46" ht="17.25" customHeight="1" x14ac:dyDescent="0.3">
      <c r="A444" s="83"/>
      <c r="B444" s="11"/>
      <c r="C444" s="79"/>
      <c r="D444" s="79"/>
      <c r="E444" s="11"/>
      <c r="F444" s="79"/>
      <c r="G444" s="79"/>
      <c r="H444" s="79"/>
      <c r="I444" s="32"/>
      <c r="J444" s="79"/>
      <c r="K444" s="79"/>
      <c r="L444" s="79"/>
      <c r="M444" s="79"/>
      <c r="N444" s="11"/>
      <c r="O444" s="80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</row>
    <row r="445" spans="1:46" ht="17.25" customHeight="1" x14ac:dyDescent="0.3">
      <c r="A445" s="83"/>
      <c r="B445" s="11"/>
      <c r="C445" s="79"/>
      <c r="D445" s="79"/>
      <c r="E445" s="11"/>
      <c r="F445" s="79"/>
      <c r="G445" s="79"/>
      <c r="H445" s="79"/>
      <c r="I445" s="32"/>
      <c r="J445" s="79"/>
      <c r="K445" s="79"/>
      <c r="L445" s="79"/>
      <c r="M445" s="79"/>
      <c r="N445" s="11"/>
      <c r="O445" s="80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</row>
    <row r="446" spans="1:46" ht="17.25" customHeight="1" x14ac:dyDescent="0.3">
      <c r="A446" s="83"/>
      <c r="B446" s="11"/>
      <c r="C446" s="79"/>
      <c r="D446" s="79"/>
      <c r="E446" s="11"/>
      <c r="F446" s="79"/>
      <c r="G446" s="79"/>
      <c r="H446" s="79"/>
      <c r="I446" s="32"/>
      <c r="J446" s="79"/>
      <c r="K446" s="79"/>
      <c r="L446" s="79"/>
      <c r="M446" s="79"/>
      <c r="N446" s="11"/>
      <c r="O446" s="80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</row>
    <row r="447" spans="1:46" ht="17.25" customHeight="1" x14ac:dyDescent="0.3">
      <c r="A447" s="83"/>
      <c r="B447" s="11"/>
      <c r="C447" s="79"/>
      <c r="D447" s="79"/>
      <c r="E447" s="11"/>
      <c r="F447" s="79"/>
      <c r="G447" s="79"/>
      <c r="H447" s="79"/>
      <c r="I447" s="32"/>
      <c r="J447" s="79"/>
      <c r="K447" s="79"/>
      <c r="L447" s="79"/>
      <c r="M447" s="79"/>
      <c r="N447" s="11"/>
      <c r="O447" s="80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</row>
    <row r="448" spans="1:46" ht="17.25" customHeight="1" x14ac:dyDescent="0.3">
      <c r="A448" s="83"/>
      <c r="B448" s="11"/>
      <c r="C448" s="79"/>
      <c r="D448" s="79"/>
      <c r="E448" s="11"/>
      <c r="F448" s="79"/>
      <c r="G448" s="79"/>
      <c r="H448" s="79"/>
      <c r="I448" s="32"/>
      <c r="J448" s="79"/>
      <c r="K448" s="79"/>
      <c r="L448" s="79"/>
      <c r="M448" s="79"/>
      <c r="N448" s="11"/>
      <c r="O448" s="80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</row>
    <row r="449" spans="1:46" ht="17.25" customHeight="1" x14ac:dyDescent="0.3">
      <c r="A449" s="83"/>
      <c r="B449" s="11"/>
      <c r="C449" s="79"/>
      <c r="D449" s="79"/>
      <c r="E449" s="11"/>
      <c r="F449" s="79"/>
      <c r="G449" s="79"/>
      <c r="H449" s="79"/>
      <c r="I449" s="32"/>
      <c r="J449" s="79"/>
      <c r="K449" s="79"/>
      <c r="L449" s="79"/>
      <c r="M449" s="79"/>
      <c r="N449" s="11"/>
      <c r="O449" s="80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</row>
    <row r="450" spans="1:46" ht="17.25" customHeight="1" x14ac:dyDescent="0.3">
      <c r="A450" s="83"/>
      <c r="B450" s="11"/>
      <c r="C450" s="79"/>
      <c r="D450" s="79"/>
      <c r="E450" s="11"/>
      <c r="F450" s="79"/>
      <c r="G450" s="79"/>
      <c r="H450" s="79"/>
      <c r="I450" s="32"/>
      <c r="J450" s="79"/>
      <c r="K450" s="79"/>
      <c r="L450" s="79"/>
      <c r="M450" s="79"/>
      <c r="N450" s="11"/>
      <c r="O450" s="80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</row>
    <row r="451" spans="1:46" ht="17.25" customHeight="1" x14ac:dyDescent="0.3">
      <c r="A451" s="83"/>
      <c r="B451" s="11"/>
      <c r="C451" s="79"/>
      <c r="D451" s="79"/>
      <c r="E451" s="11"/>
      <c r="F451" s="79"/>
      <c r="G451" s="79"/>
      <c r="H451" s="79"/>
      <c r="I451" s="32"/>
      <c r="J451" s="79"/>
      <c r="K451" s="79"/>
      <c r="L451" s="79"/>
      <c r="M451" s="79"/>
      <c r="N451" s="11"/>
      <c r="O451" s="80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</row>
    <row r="452" spans="1:46" ht="17.25" customHeight="1" x14ac:dyDescent="0.3">
      <c r="A452" s="83"/>
      <c r="B452" s="11"/>
      <c r="C452" s="79"/>
      <c r="D452" s="79"/>
      <c r="E452" s="11"/>
      <c r="F452" s="79"/>
      <c r="G452" s="79"/>
      <c r="H452" s="79"/>
      <c r="I452" s="32"/>
      <c r="J452" s="79"/>
      <c r="K452" s="79"/>
      <c r="L452" s="79"/>
      <c r="M452" s="79"/>
      <c r="N452" s="11"/>
      <c r="O452" s="80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</row>
    <row r="453" spans="1:46" ht="17.25" customHeight="1" x14ac:dyDescent="0.3">
      <c r="A453" s="83"/>
      <c r="B453" s="11"/>
      <c r="C453" s="79"/>
      <c r="D453" s="79"/>
      <c r="E453" s="11"/>
      <c r="F453" s="79"/>
      <c r="G453" s="79"/>
      <c r="H453" s="79"/>
      <c r="I453" s="32"/>
      <c r="J453" s="79"/>
      <c r="K453" s="79"/>
      <c r="L453" s="79"/>
      <c r="M453" s="79"/>
      <c r="N453" s="11"/>
      <c r="O453" s="80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</row>
    <row r="454" spans="1:46" ht="17.25" customHeight="1" x14ac:dyDescent="0.3">
      <c r="A454" s="83"/>
      <c r="B454" s="11"/>
      <c r="C454" s="79"/>
      <c r="D454" s="79"/>
      <c r="E454" s="11"/>
      <c r="F454" s="79"/>
      <c r="G454" s="79"/>
      <c r="H454" s="79"/>
      <c r="I454" s="32"/>
      <c r="J454" s="79"/>
      <c r="K454" s="79"/>
      <c r="L454" s="79"/>
      <c r="M454" s="79"/>
      <c r="N454" s="11"/>
      <c r="O454" s="80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</row>
    <row r="455" spans="1:46" ht="17.25" customHeight="1" x14ac:dyDescent="0.3">
      <c r="A455" s="83"/>
      <c r="B455" s="11"/>
      <c r="C455" s="79"/>
      <c r="D455" s="79"/>
      <c r="E455" s="11"/>
      <c r="F455" s="79"/>
      <c r="G455" s="79"/>
      <c r="H455" s="79"/>
      <c r="I455" s="32"/>
      <c r="J455" s="79"/>
      <c r="K455" s="79"/>
      <c r="L455" s="79"/>
      <c r="M455" s="79"/>
      <c r="N455" s="11"/>
      <c r="O455" s="80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</row>
    <row r="456" spans="1:46" ht="17.25" customHeight="1" x14ac:dyDescent="0.3">
      <c r="A456" s="83"/>
      <c r="B456" s="11"/>
      <c r="C456" s="79"/>
      <c r="D456" s="79"/>
      <c r="E456" s="11"/>
      <c r="F456" s="79"/>
      <c r="G456" s="79"/>
      <c r="H456" s="79"/>
      <c r="I456" s="32"/>
      <c r="J456" s="79"/>
      <c r="K456" s="79"/>
      <c r="L456" s="79"/>
      <c r="M456" s="79"/>
      <c r="N456" s="11"/>
      <c r="O456" s="80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</row>
    <row r="457" spans="1:46" ht="17.25" customHeight="1" x14ac:dyDescent="0.3">
      <c r="A457" s="83"/>
      <c r="B457" s="11"/>
      <c r="C457" s="79"/>
      <c r="D457" s="79"/>
      <c r="E457" s="11"/>
      <c r="F457" s="79"/>
      <c r="G457" s="79"/>
      <c r="H457" s="79"/>
      <c r="I457" s="32"/>
      <c r="J457" s="79"/>
      <c r="K457" s="79"/>
      <c r="L457" s="79"/>
      <c r="M457" s="79"/>
      <c r="N457" s="11"/>
      <c r="O457" s="80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</row>
    <row r="458" spans="1:46" ht="17.25" customHeight="1" x14ac:dyDescent="0.3">
      <c r="A458" s="83"/>
      <c r="B458" s="11"/>
      <c r="C458" s="79"/>
      <c r="D458" s="79"/>
      <c r="E458" s="11"/>
      <c r="F458" s="79"/>
      <c r="G458" s="79"/>
      <c r="H458" s="79"/>
      <c r="I458" s="32"/>
      <c r="J458" s="79"/>
      <c r="K458" s="79"/>
      <c r="L458" s="79"/>
      <c r="M458" s="79"/>
      <c r="N458" s="11"/>
      <c r="O458" s="80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</row>
    <row r="459" spans="1:46" ht="17.25" customHeight="1" x14ac:dyDescent="0.3">
      <c r="A459" s="83"/>
      <c r="B459" s="11"/>
      <c r="C459" s="79"/>
      <c r="D459" s="79"/>
      <c r="E459" s="11"/>
      <c r="F459" s="79"/>
      <c r="G459" s="79"/>
      <c r="H459" s="79"/>
      <c r="I459" s="32"/>
      <c r="J459" s="79"/>
      <c r="K459" s="79"/>
      <c r="L459" s="79"/>
      <c r="M459" s="79"/>
      <c r="N459" s="11"/>
      <c r="O459" s="80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</row>
    <row r="460" spans="1:46" ht="17.25" customHeight="1" x14ac:dyDescent="0.3">
      <c r="A460" s="83"/>
      <c r="B460" s="11"/>
      <c r="C460" s="79"/>
      <c r="D460" s="79"/>
      <c r="E460" s="11"/>
      <c r="F460" s="79"/>
      <c r="G460" s="79"/>
      <c r="H460" s="79"/>
      <c r="I460" s="32"/>
      <c r="J460" s="79"/>
      <c r="K460" s="79"/>
      <c r="L460" s="79"/>
      <c r="M460" s="79"/>
      <c r="N460" s="11"/>
      <c r="O460" s="80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</row>
    <row r="461" spans="1:46" ht="17.25" customHeight="1" x14ac:dyDescent="0.3">
      <c r="A461" s="83"/>
      <c r="B461" s="11"/>
      <c r="C461" s="79"/>
      <c r="D461" s="79"/>
      <c r="E461" s="11"/>
      <c r="F461" s="79"/>
      <c r="G461" s="79"/>
      <c r="H461" s="79"/>
      <c r="I461" s="32"/>
      <c r="J461" s="79"/>
      <c r="K461" s="79"/>
      <c r="L461" s="79"/>
      <c r="M461" s="79"/>
      <c r="N461" s="11"/>
      <c r="O461" s="80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</row>
    <row r="462" spans="1:46" ht="17.25" customHeight="1" x14ac:dyDescent="0.3">
      <c r="A462" s="83"/>
      <c r="B462" s="11"/>
      <c r="C462" s="79"/>
      <c r="D462" s="79"/>
      <c r="E462" s="11"/>
      <c r="F462" s="79"/>
      <c r="G462" s="79"/>
      <c r="H462" s="79"/>
      <c r="I462" s="32"/>
      <c r="J462" s="79"/>
      <c r="K462" s="79"/>
      <c r="L462" s="79"/>
      <c r="M462" s="79"/>
      <c r="N462" s="11"/>
      <c r="O462" s="80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</row>
    <row r="463" spans="1:46" ht="17.25" customHeight="1" x14ac:dyDescent="0.3">
      <c r="A463" s="83"/>
      <c r="B463" s="11"/>
      <c r="C463" s="79"/>
      <c r="D463" s="79"/>
      <c r="E463" s="11"/>
      <c r="F463" s="79"/>
      <c r="G463" s="79"/>
      <c r="H463" s="79"/>
      <c r="I463" s="32"/>
      <c r="J463" s="79"/>
      <c r="K463" s="79"/>
      <c r="L463" s="79"/>
      <c r="M463" s="79"/>
      <c r="N463" s="11"/>
      <c r="O463" s="80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</row>
    <row r="464" spans="1:46" ht="17.25" customHeight="1" x14ac:dyDescent="0.3">
      <c r="A464" s="83"/>
      <c r="B464" s="11"/>
      <c r="C464" s="79"/>
      <c r="D464" s="79"/>
      <c r="E464" s="11"/>
      <c r="F464" s="79"/>
      <c r="G464" s="79"/>
      <c r="H464" s="79"/>
      <c r="I464" s="32"/>
      <c r="J464" s="79"/>
      <c r="K464" s="79"/>
      <c r="L464" s="79"/>
      <c r="M464" s="79"/>
      <c r="N464" s="11"/>
      <c r="O464" s="80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</row>
    <row r="465" spans="1:46" ht="17.25" customHeight="1" x14ac:dyDescent="0.3">
      <c r="A465" s="83"/>
      <c r="B465" s="11"/>
      <c r="C465" s="79"/>
      <c r="D465" s="79"/>
      <c r="E465" s="11"/>
      <c r="F465" s="79"/>
      <c r="G465" s="79"/>
      <c r="H465" s="79"/>
      <c r="I465" s="32"/>
      <c r="J465" s="79"/>
      <c r="K465" s="79"/>
      <c r="L465" s="79"/>
      <c r="M465" s="79"/>
      <c r="N465" s="11"/>
      <c r="O465" s="80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</row>
    <row r="466" spans="1:46" ht="17.25" customHeight="1" x14ac:dyDescent="0.3">
      <c r="A466" s="83"/>
      <c r="B466" s="11"/>
      <c r="C466" s="79"/>
      <c r="D466" s="79"/>
      <c r="E466" s="11"/>
      <c r="F466" s="79"/>
      <c r="G466" s="79"/>
      <c r="H466" s="79"/>
      <c r="I466" s="32"/>
      <c r="J466" s="79"/>
      <c r="K466" s="79"/>
      <c r="L466" s="79"/>
      <c r="M466" s="79"/>
      <c r="N466" s="11"/>
      <c r="O466" s="80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</row>
    <row r="467" spans="1:46" ht="17.25" customHeight="1" x14ac:dyDescent="0.3">
      <c r="A467" s="83"/>
      <c r="B467" s="11"/>
      <c r="C467" s="79"/>
      <c r="D467" s="79"/>
      <c r="E467" s="11"/>
      <c r="F467" s="79"/>
      <c r="G467" s="79"/>
      <c r="H467" s="79"/>
      <c r="I467" s="32"/>
      <c r="J467" s="79"/>
      <c r="K467" s="79"/>
      <c r="L467" s="79"/>
      <c r="M467" s="79"/>
      <c r="N467" s="11"/>
      <c r="O467" s="80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</row>
    <row r="468" spans="1:46" ht="17.25" customHeight="1" x14ac:dyDescent="0.3">
      <c r="A468" s="83"/>
      <c r="B468" s="11"/>
      <c r="C468" s="79"/>
      <c r="D468" s="79"/>
      <c r="E468" s="11"/>
      <c r="F468" s="79"/>
      <c r="G468" s="79"/>
      <c r="H468" s="79"/>
      <c r="I468" s="32"/>
      <c r="J468" s="79"/>
      <c r="K468" s="79"/>
      <c r="L468" s="79"/>
      <c r="M468" s="79"/>
      <c r="N468" s="11"/>
      <c r="O468" s="80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</row>
    <row r="469" spans="1:46" ht="17.25" customHeight="1" x14ac:dyDescent="0.3">
      <c r="A469" s="83"/>
      <c r="B469" s="11"/>
      <c r="C469" s="79"/>
      <c r="D469" s="79"/>
      <c r="E469" s="11"/>
      <c r="F469" s="79"/>
      <c r="G469" s="79"/>
      <c r="H469" s="79"/>
      <c r="I469" s="32"/>
      <c r="J469" s="79"/>
      <c r="K469" s="79"/>
      <c r="L469" s="79"/>
      <c r="M469" s="79"/>
      <c r="N469" s="11"/>
      <c r="O469" s="80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</row>
    <row r="470" spans="1:46" ht="17.25" customHeight="1" x14ac:dyDescent="0.3">
      <c r="A470" s="83"/>
      <c r="B470" s="11"/>
      <c r="C470" s="79"/>
      <c r="D470" s="79"/>
      <c r="E470" s="11"/>
      <c r="F470" s="79"/>
      <c r="G470" s="79"/>
      <c r="H470" s="79"/>
      <c r="I470" s="32"/>
      <c r="J470" s="79"/>
      <c r="K470" s="79"/>
      <c r="L470" s="79"/>
      <c r="M470" s="79"/>
      <c r="N470" s="11"/>
      <c r="O470" s="80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</row>
    <row r="471" spans="1:46" ht="17.25" customHeight="1" x14ac:dyDescent="0.3">
      <c r="A471" s="83"/>
      <c r="B471" s="11"/>
      <c r="C471" s="79"/>
      <c r="D471" s="79"/>
      <c r="E471" s="11"/>
      <c r="F471" s="79"/>
      <c r="G471" s="79"/>
      <c r="H471" s="79"/>
      <c r="I471" s="32"/>
      <c r="J471" s="79"/>
      <c r="K471" s="79"/>
      <c r="L471" s="79"/>
      <c r="M471" s="79"/>
      <c r="N471" s="11"/>
      <c r="O471" s="80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</row>
    <row r="472" spans="1:46" ht="17.25" customHeight="1" x14ac:dyDescent="0.3">
      <c r="A472" s="83"/>
      <c r="B472" s="11"/>
      <c r="C472" s="79"/>
      <c r="D472" s="79"/>
      <c r="E472" s="11"/>
      <c r="F472" s="79"/>
      <c r="G472" s="79"/>
      <c r="H472" s="79"/>
      <c r="I472" s="32"/>
      <c r="J472" s="79"/>
      <c r="K472" s="79"/>
      <c r="L472" s="79"/>
      <c r="M472" s="79"/>
      <c r="N472" s="11"/>
      <c r="O472" s="80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</row>
    <row r="473" spans="1:46" ht="17.25" customHeight="1" x14ac:dyDescent="0.3">
      <c r="A473" s="83"/>
      <c r="B473" s="11"/>
      <c r="C473" s="79"/>
      <c r="D473" s="79"/>
      <c r="E473" s="11"/>
      <c r="F473" s="79"/>
      <c r="G473" s="79"/>
      <c r="H473" s="79"/>
      <c r="I473" s="32"/>
      <c r="J473" s="79"/>
      <c r="K473" s="79"/>
      <c r="L473" s="79"/>
      <c r="M473" s="79"/>
      <c r="N473" s="11"/>
      <c r="O473" s="80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</row>
    <row r="474" spans="1:46" ht="17.25" customHeight="1" x14ac:dyDescent="0.3">
      <c r="A474" s="83"/>
      <c r="B474" s="11"/>
      <c r="C474" s="79"/>
      <c r="D474" s="79"/>
      <c r="E474" s="11"/>
      <c r="F474" s="79"/>
      <c r="G474" s="79"/>
      <c r="H474" s="79"/>
      <c r="I474" s="32"/>
      <c r="J474" s="79"/>
      <c r="K474" s="79"/>
      <c r="L474" s="79"/>
      <c r="M474" s="79"/>
      <c r="N474" s="11"/>
      <c r="O474" s="80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</row>
    <row r="475" spans="1:46" ht="17.25" customHeight="1" x14ac:dyDescent="0.3">
      <c r="A475" s="83"/>
      <c r="B475" s="11"/>
      <c r="C475" s="79"/>
      <c r="D475" s="79"/>
      <c r="E475" s="11"/>
      <c r="F475" s="79"/>
      <c r="G475" s="79"/>
      <c r="H475" s="79"/>
      <c r="I475" s="32"/>
      <c r="J475" s="79"/>
      <c r="K475" s="79"/>
      <c r="L475" s="79"/>
      <c r="M475" s="79"/>
      <c r="N475" s="11"/>
      <c r="O475" s="80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</row>
    <row r="476" spans="1:46" ht="17.25" customHeight="1" x14ac:dyDescent="0.3">
      <c r="A476" s="83"/>
      <c r="B476" s="11"/>
      <c r="C476" s="79"/>
      <c r="D476" s="79"/>
      <c r="E476" s="11"/>
      <c r="F476" s="79"/>
      <c r="G476" s="79"/>
      <c r="H476" s="79"/>
      <c r="I476" s="32"/>
      <c r="J476" s="79"/>
      <c r="K476" s="79"/>
      <c r="L476" s="79"/>
      <c r="M476" s="79"/>
      <c r="N476" s="11"/>
      <c r="O476" s="80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</row>
    <row r="477" spans="1:46" ht="17.25" customHeight="1" x14ac:dyDescent="0.3">
      <c r="A477" s="83"/>
      <c r="B477" s="11"/>
      <c r="C477" s="79"/>
      <c r="D477" s="79"/>
      <c r="E477" s="11"/>
      <c r="F477" s="79"/>
      <c r="G477" s="79"/>
      <c r="H477" s="79"/>
      <c r="I477" s="32"/>
      <c r="J477" s="79"/>
      <c r="K477" s="79"/>
      <c r="L477" s="79"/>
      <c r="M477" s="79"/>
      <c r="N477" s="11"/>
      <c r="O477" s="80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</row>
    <row r="478" spans="1:46" ht="17.25" customHeight="1" x14ac:dyDescent="0.3">
      <c r="A478" s="83"/>
      <c r="B478" s="11"/>
      <c r="C478" s="79"/>
      <c r="D478" s="79"/>
      <c r="E478" s="11"/>
      <c r="F478" s="79"/>
      <c r="G478" s="79"/>
      <c r="H478" s="79"/>
      <c r="I478" s="32"/>
      <c r="J478" s="79"/>
      <c r="K478" s="79"/>
      <c r="L478" s="79"/>
      <c r="M478" s="79"/>
      <c r="N478" s="11"/>
      <c r="O478" s="80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</row>
    <row r="479" spans="1:46" ht="17.25" customHeight="1" x14ac:dyDescent="0.3">
      <c r="A479" s="83"/>
      <c r="B479" s="11"/>
      <c r="C479" s="79"/>
      <c r="D479" s="79"/>
      <c r="E479" s="11"/>
      <c r="F479" s="79"/>
      <c r="G479" s="79"/>
      <c r="H479" s="79"/>
      <c r="I479" s="32"/>
      <c r="J479" s="79"/>
      <c r="K479" s="79"/>
      <c r="L479" s="79"/>
      <c r="M479" s="79"/>
      <c r="N479" s="11"/>
      <c r="O479" s="80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</row>
    <row r="480" spans="1:46" ht="17.25" customHeight="1" x14ac:dyDescent="0.3">
      <c r="A480" s="83"/>
      <c r="B480" s="11"/>
      <c r="C480" s="79"/>
      <c r="D480" s="79"/>
      <c r="E480" s="11"/>
      <c r="F480" s="79"/>
      <c r="G480" s="79"/>
      <c r="H480" s="79"/>
      <c r="I480" s="32"/>
      <c r="J480" s="79"/>
      <c r="K480" s="79"/>
      <c r="L480" s="79"/>
      <c r="M480" s="79"/>
      <c r="N480" s="11"/>
      <c r="O480" s="80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</row>
    <row r="481" spans="1:46" ht="17.25" customHeight="1" x14ac:dyDescent="0.3">
      <c r="A481" s="83"/>
      <c r="B481" s="11"/>
      <c r="C481" s="79"/>
      <c r="D481" s="79"/>
      <c r="E481" s="11"/>
      <c r="F481" s="79"/>
      <c r="G481" s="79"/>
      <c r="H481" s="79"/>
      <c r="I481" s="32"/>
      <c r="J481" s="79"/>
      <c r="K481" s="79"/>
      <c r="L481" s="79"/>
      <c r="M481" s="79"/>
      <c r="N481" s="11"/>
      <c r="O481" s="80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</row>
    <row r="482" spans="1:46" ht="17.25" customHeight="1" x14ac:dyDescent="0.3">
      <c r="A482" s="83"/>
      <c r="B482" s="11"/>
      <c r="C482" s="79"/>
      <c r="D482" s="79"/>
      <c r="E482" s="11"/>
      <c r="F482" s="79"/>
      <c r="G482" s="79"/>
      <c r="H482" s="79"/>
      <c r="I482" s="32"/>
      <c r="J482" s="79"/>
      <c r="K482" s="79"/>
      <c r="L482" s="79"/>
      <c r="M482" s="79"/>
      <c r="N482" s="11"/>
      <c r="O482" s="80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</row>
    <row r="483" spans="1:46" ht="17.25" customHeight="1" x14ac:dyDescent="0.3">
      <c r="A483" s="83"/>
      <c r="B483" s="11"/>
      <c r="C483" s="79"/>
      <c r="D483" s="79"/>
      <c r="E483" s="11"/>
      <c r="F483" s="79"/>
      <c r="G483" s="79"/>
      <c r="H483" s="79"/>
      <c r="I483" s="32"/>
      <c r="J483" s="79"/>
      <c r="K483" s="79"/>
      <c r="L483" s="79"/>
      <c r="M483" s="79"/>
      <c r="N483" s="11"/>
      <c r="O483" s="80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</row>
    <row r="484" spans="1:46" ht="17.25" customHeight="1" x14ac:dyDescent="0.3">
      <c r="A484" s="83"/>
      <c r="B484" s="11"/>
      <c r="C484" s="79"/>
      <c r="D484" s="79"/>
      <c r="E484" s="11"/>
      <c r="F484" s="79"/>
      <c r="G484" s="79"/>
      <c r="H484" s="79"/>
      <c r="I484" s="32"/>
      <c r="J484" s="79"/>
      <c r="K484" s="79"/>
      <c r="L484" s="79"/>
      <c r="M484" s="79"/>
      <c r="N484" s="11"/>
      <c r="O484" s="80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</row>
    <row r="485" spans="1:46" ht="17.25" customHeight="1" x14ac:dyDescent="0.3">
      <c r="A485" s="83"/>
      <c r="B485" s="11"/>
      <c r="C485" s="79"/>
      <c r="D485" s="79"/>
      <c r="E485" s="11"/>
      <c r="F485" s="79"/>
      <c r="G485" s="79"/>
      <c r="H485" s="79"/>
      <c r="I485" s="32"/>
      <c r="J485" s="79"/>
      <c r="K485" s="79"/>
      <c r="L485" s="79"/>
      <c r="M485" s="79"/>
      <c r="N485" s="11"/>
      <c r="O485" s="80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</row>
    <row r="486" spans="1:46" ht="17.25" customHeight="1" x14ac:dyDescent="0.3">
      <c r="A486" s="83"/>
      <c r="B486" s="11"/>
      <c r="C486" s="79"/>
      <c r="D486" s="79"/>
      <c r="E486" s="11"/>
      <c r="F486" s="79"/>
      <c r="G486" s="79"/>
      <c r="H486" s="79"/>
      <c r="I486" s="32"/>
      <c r="J486" s="79"/>
      <c r="K486" s="79"/>
      <c r="L486" s="79"/>
      <c r="M486" s="79"/>
      <c r="N486" s="11"/>
      <c r="O486" s="80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</row>
    <row r="487" spans="1:46" ht="17.25" customHeight="1" x14ac:dyDescent="0.3">
      <c r="A487" s="83"/>
      <c r="B487" s="11"/>
      <c r="C487" s="79"/>
      <c r="D487" s="79"/>
      <c r="E487" s="11"/>
      <c r="F487" s="79"/>
      <c r="G487" s="79"/>
      <c r="H487" s="79"/>
      <c r="I487" s="32"/>
      <c r="J487" s="79"/>
      <c r="K487" s="79"/>
      <c r="L487" s="79"/>
      <c r="M487" s="79"/>
      <c r="N487" s="11"/>
      <c r="O487" s="80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</row>
    <row r="488" spans="1:46" ht="17.25" customHeight="1" x14ac:dyDescent="0.3">
      <c r="A488" s="83"/>
      <c r="B488" s="11"/>
      <c r="C488" s="79"/>
      <c r="D488" s="79"/>
      <c r="E488" s="11"/>
      <c r="F488" s="79"/>
      <c r="G488" s="79"/>
      <c r="H488" s="79"/>
      <c r="I488" s="32"/>
      <c r="J488" s="79"/>
      <c r="K488" s="79"/>
      <c r="L488" s="79"/>
      <c r="M488" s="79"/>
      <c r="N488" s="11"/>
      <c r="O488" s="80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</row>
    <row r="489" spans="1:46" ht="17.25" customHeight="1" x14ac:dyDescent="0.3">
      <c r="A489" s="83"/>
      <c r="B489" s="11"/>
      <c r="C489" s="79"/>
      <c r="D489" s="79"/>
      <c r="E489" s="11"/>
      <c r="F489" s="79"/>
      <c r="G489" s="79"/>
      <c r="H489" s="79"/>
      <c r="I489" s="32"/>
      <c r="J489" s="79"/>
      <c r="K489" s="79"/>
      <c r="L489" s="79"/>
      <c r="M489" s="79"/>
      <c r="N489" s="11"/>
      <c r="O489" s="80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</row>
    <row r="490" spans="1:46" ht="17.25" customHeight="1" x14ac:dyDescent="0.3">
      <c r="A490" s="83"/>
      <c r="B490" s="11"/>
      <c r="C490" s="79"/>
      <c r="D490" s="79"/>
      <c r="E490" s="11"/>
      <c r="F490" s="79"/>
      <c r="G490" s="79"/>
      <c r="H490" s="79"/>
      <c r="I490" s="32"/>
      <c r="J490" s="79"/>
      <c r="K490" s="79"/>
      <c r="L490" s="79"/>
      <c r="M490" s="79"/>
      <c r="N490" s="11"/>
      <c r="O490" s="80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</row>
    <row r="491" spans="1:46" ht="17.25" customHeight="1" x14ac:dyDescent="0.3">
      <c r="A491" s="83"/>
      <c r="B491" s="11"/>
      <c r="C491" s="79"/>
      <c r="D491" s="79"/>
      <c r="E491" s="11"/>
      <c r="F491" s="79"/>
      <c r="G491" s="79"/>
      <c r="H491" s="79"/>
      <c r="I491" s="32"/>
      <c r="J491" s="79"/>
      <c r="K491" s="79"/>
      <c r="L491" s="79"/>
      <c r="M491" s="79"/>
      <c r="N491" s="11"/>
      <c r="O491" s="80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</row>
    <row r="492" spans="1:46" ht="17.25" customHeight="1" x14ac:dyDescent="0.3">
      <c r="A492" s="83"/>
      <c r="B492" s="11"/>
      <c r="C492" s="79"/>
      <c r="D492" s="79"/>
      <c r="E492" s="11"/>
      <c r="F492" s="79"/>
      <c r="G492" s="79"/>
      <c r="H492" s="79"/>
      <c r="I492" s="32"/>
      <c r="J492" s="79"/>
      <c r="K492" s="79"/>
      <c r="L492" s="79"/>
      <c r="M492" s="79"/>
      <c r="N492" s="11"/>
      <c r="O492" s="80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</row>
    <row r="493" spans="1:46" ht="17.25" customHeight="1" x14ac:dyDescent="0.3">
      <c r="A493" s="83"/>
      <c r="B493" s="11"/>
      <c r="C493" s="79"/>
      <c r="D493" s="79"/>
      <c r="E493" s="11"/>
      <c r="F493" s="79"/>
      <c r="G493" s="79"/>
      <c r="H493" s="79"/>
      <c r="I493" s="32"/>
      <c r="J493" s="79"/>
      <c r="K493" s="79"/>
      <c r="L493" s="79"/>
      <c r="M493" s="79"/>
      <c r="N493" s="11"/>
      <c r="O493" s="80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</row>
    <row r="494" spans="1:46" ht="17.25" customHeight="1" x14ac:dyDescent="0.3">
      <c r="A494" s="83"/>
      <c r="B494" s="11"/>
      <c r="C494" s="79"/>
      <c r="D494" s="79"/>
      <c r="E494" s="11"/>
      <c r="F494" s="79"/>
      <c r="G494" s="79"/>
      <c r="H494" s="79"/>
      <c r="I494" s="32"/>
      <c r="J494" s="79"/>
      <c r="K494" s="79"/>
      <c r="L494" s="79"/>
      <c r="M494" s="79"/>
      <c r="N494" s="11"/>
      <c r="O494" s="80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</row>
    <row r="495" spans="1:46" ht="17.25" customHeight="1" x14ac:dyDescent="0.3">
      <c r="A495" s="83"/>
      <c r="B495" s="11"/>
      <c r="C495" s="79"/>
      <c r="D495" s="79"/>
      <c r="E495" s="11"/>
      <c r="F495" s="79"/>
      <c r="G495" s="79"/>
      <c r="H495" s="79"/>
      <c r="I495" s="32"/>
      <c r="J495" s="79"/>
      <c r="K495" s="79"/>
      <c r="L495" s="79"/>
      <c r="M495" s="79"/>
      <c r="N495" s="11"/>
      <c r="O495" s="80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</row>
    <row r="496" spans="1:46" ht="17.25" customHeight="1" x14ac:dyDescent="0.3">
      <c r="A496" s="83"/>
      <c r="B496" s="11"/>
      <c r="C496" s="79"/>
      <c r="D496" s="79"/>
      <c r="E496" s="11"/>
      <c r="F496" s="79"/>
      <c r="G496" s="79"/>
      <c r="H496" s="79"/>
      <c r="I496" s="32"/>
      <c r="J496" s="79"/>
      <c r="K496" s="79"/>
      <c r="L496" s="79"/>
      <c r="M496" s="79"/>
      <c r="N496" s="11"/>
      <c r="O496" s="80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</row>
    <row r="497" spans="1:46" ht="17.25" customHeight="1" x14ac:dyDescent="0.3">
      <c r="A497" s="83"/>
      <c r="B497" s="11"/>
      <c r="C497" s="79"/>
      <c r="D497" s="79"/>
      <c r="E497" s="11"/>
      <c r="F497" s="79"/>
      <c r="G497" s="79"/>
      <c r="H497" s="79"/>
      <c r="I497" s="32"/>
      <c r="J497" s="79"/>
      <c r="K497" s="79"/>
      <c r="L497" s="79"/>
      <c r="M497" s="79"/>
      <c r="N497" s="11"/>
      <c r="O497" s="80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</row>
    <row r="498" spans="1:46" ht="17.25" customHeight="1" x14ac:dyDescent="0.3">
      <c r="A498" s="83"/>
      <c r="B498" s="11"/>
      <c r="C498" s="79"/>
      <c r="D498" s="79"/>
      <c r="E498" s="11"/>
      <c r="F498" s="79"/>
      <c r="G498" s="79"/>
      <c r="H498" s="79"/>
      <c r="I498" s="32"/>
      <c r="J498" s="79"/>
      <c r="K498" s="79"/>
      <c r="L498" s="79"/>
      <c r="M498" s="79"/>
      <c r="N498" s="11"/>
      <c r="O498" s="80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</row>
    <row r="499" spans="1:46" ht="17.25" customHeight="1" x14ac:dyDescent="0.3">
      <c r="A499" s="83"/>
      <c r="B499" s="11"/>
      <c r="C499" s="79"/>
      <c r="D499" s="79"/>
      <c r="E499" s="11"/>
      <c r="F499" s="79"/>
      <c r="G499" s="79"/>
      <c r="H499" s="79"/>
      <c r="I499" s="32"/>
      <c r="J499" s="79"/>
      <c r="K499" s="79"/>
      <c r="L499" s="79"/>
      <c r="M499" s="79"/>
      <c r="N499" s="11"/>
      <c r="O499" s="80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</row>
    <row r="500" spans="1:46" ht="17.25" customHeight="1" x14ac:dyDescent="0.3">
      <c r="A500" s="83"/>
      <c r="B500" s="11"/>
      <c r="C500" s="79"/>
      <c r="D500" s="79"/>
      <c r="E500" s="11"/>
      <c r="F500" s="79"/>
      <c r="G500" s="79"/>
      <c r="H500" s="79"/>
      <c r="I500" s="32"/>
      <c r="J500" s="79"/>
      <c r="K500" s="79"/>
      <c r="L500" s="79"/>
      <c r="M500" s="79"/>
      <c r="N500" s="11"/>
      <c r="O500" s="80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</row>
    <row r="501" spans="1:46" ht="15.75" customHeight="1" x14ac:dyDescent="0.3">
      <c r="B501" s="433"/>
      <c r="E501" s="434"/>
      <c r="N501" s="433"/>
    </row>
    <row r="502" spans="1:46" ht="15.75" customHeight="1" x14ac:dyDescent="0.3">
      <c r="B502" s="433"/>
      <c r="E502" s="434"/>
      <c r="N502" s="433"/>
    </row>
    <row r="503" spans="1:46" ht="15.75" customHeight="1" x14ac:dyDescent="0.3">
      <c r="B503" s="433"/>
      <c r="E503" s="434"/>
      <c r="N503" s="433"/>
    </row>
    <row r="504" spans="1:46" ht="15.75" customHeight="1" x14ac:dyDescent="0.3">
      <c r="B504" s="433"/>
      <c r="E504" s="434"/>
      <c r="N504" s="433"/>
    </row>
    <row r="505" spans="1:46" ht="15.75" customHeight="1" x14ac:dyDescent="0.3">
      <c r="B505" s="433"/>
      <c r="E505" s="434"/>
      <c r="N505" s="433"/>
    </row>
    <row r="506" spans="1:46" ht="15.75" customHeight="1" x14ac:dyDescent="0.3">
      <c r="B506" s="433"/>
      <c r="E506" s="434"/>
      <c r="N506" s="433"/>
    </row>
    <row r="507" spans="1:46" ht="15.75" customHeight="1" x14ac:dyDescent="0.3">
      <c r="B507" s="433"/>
      <c r="E507" s="434"/>
      <c r="N507" s="433"/>
    </row>
    <row r="508" spans="1:46" ht="15.75" customHeight="1" x14ac:dyDescent="0.3">
      <c r="B508" s="433"/>
      <c r="E508" s="434"/>
      <c r="N508" s="433"/>
    </row>
    <row r="509" spans="1:46" ht="15.75" customHeight="1" x14ac:dyDescent="0.3">
      <c r="B509" s="433"/>
      <c r="E509" s="434"/>
      <c r="N509" s="433"/>
    </row>
    <row r="510" spans="1:46" ht="15.75" customHeight="1" x14ac:dyDescent="0.3">
      <c r="B510" s="433"/>
      <c r="E510" s="434"/>
      <c r="N510" s="433"/>
    </row>
    <row r="511" spans="1:46" ht="15.75" customHeight="1" x14ac:dyDescent="0.3">
      <c r="B511" s="433"/>
      <c r="E511" s="434"/>
      <c r="N511" s="433"/>
    </row>
    <row r="512" spans="1:46" ht="15.75" customHeight="1" x14ac:dyDescent="0.3">
      <c r="B512" s="433"/>
      <c r="E512" s="434"/>
      <c r="N512" s="433"/>
    </row>
    <row r="513" spans="2:14" ht="15.75" customHeight="1" x14ac:dyDescent="0.3">
      <c r="B513" s="433"/>
      <c r="E513" s="434"/>
      <c r="N513" s="433"/>
    </row>
    <row r="514" spans="2:14" ht="15.75" customHeight="1" x14ac:dyDescent="0.3">
      <c r="B514" s="433"/>
      <c r="E514" s="434"/>
      <c r="N514" s="433"/>
    </row>
    <row r="515" spans="2:14" ht="15.75" customHeight="1" x14ac:dyDescent="0.3">
      <c r="B515" s="433"/>
      <c r="E515" s="434"/>
      <c r="N515" s="433"/>
    </row>
    <row r="516" spans="2:14" ht="15.75" customHeight="1" x14ac:dyDescent="0.3">
      <c r="B516" s="433"/>
      <c r="E516" s="434"/>
      <c r="N516" s="433"/>
    </row>
    <row r="517" spans="2:14" ht="15.75" customHeight="1" x14ac:dyDescent="0.3">
      <c r="B517" s="433"/>
      <c r="E517" s="434"/>
      <c r="N517" s="433"/>
    </row>
    <row r="518" spans="2:14" ht="15.75" customHeight="1" x14ac:dyDescent="0.3">
      <c r="B518" s="433"/>
      <c r="E518" s="434"/>
      <c r="N518" s="433"/>
    </row>
    <row r="519" spans="2:14" ht="15.75" customHeight="1" x14ac:dyDescent="0.3">
      <c r="B519" s="433"/>
      <c r="E519" s="434"/>
      <c r="N519" s="433"/>
    </row>
    <row r="520" spans="2:14" ht="15.75" customHeight="1" x14ac:dyDescent="0.3">
      <c r="B520" s="433"/>
      <c r="E520" s="434"/>
      <c r="N520" s="433"/>
    </row>
    <row r="521" spans="2:14" ht="15.75" customHeight="1" x14ac:dyDescent="0.3">
      <c r="B521" s="433"/>
      <c r="E521" s="434"/>
      <c r="N521" s="433"/>
    </row>
    <row r="522" spans="2:14" ht="15.75" customHeight="1" x14ac:dyDescent="0.3">
      <c r="B522" s="433"/>
      <c r="E522" s="434"/>
      <c r="N522" s="433"/>
    </row>
    <row r="523" spans="2:14" ht="15.75" customHeight="1" x14ac:dyDescent="0.3">
      <c r="B523" s="433"/>
      <c r="E523" s="434"/>
      <c r="N523" s="433"/>
    </row>
    <row r="524" spans="2:14" ht="15.75" customHeight="1" x14ac:dyDescent="0.3">
      <c r="B524" s="433"/>
      <c r="E524" s="434"/>
      <c r="N524" s="433"/>
    </row>
    <row r="525" spans="2:14" ht="15.75" customHeight="1" x14ac:dyDescent="0.3">
      <c r="B525" s="433"/>
      <c r="E525" s="434"/>
      <c r="N525" s="433"/>
    </row>
    <row r="526" spans="2:14" ht="15.75" customHeight="1" x14ac:dyDescent="0.3">
      <c r="B526" s="433"/>
      <c r="E526" s="434"/>
      <c r="N526" s="433"/>
    </row>
    <row r="527" spans="2:14" ht="15.75" customHeight="1" x14ac:dyDescent="0.3">
      <c r="B527" s="433"/>
      <c r="E527" s="434"/>
      <c r="N527" s="433"/>
    </row>
    <row r="528" spans="2:14" ht="15.75" customHeight="1" x14ac:dyDescent="0.3">
      <c r="B528" s="433"/>
      <c r="E528" s="434"/>
      <c r="N528" s="433"/>
    </row>
    <row r="529" spans="2:14" ht="15.75" customHeight="1" x14ac:dyDescent="0.3">
      <c r="B529" s="433"/>
      <c r="E529" s="434"/>
      <c r="N529" s="433"/>
    </row>
    <row r="530" spans="2:14" ht="15.75" customHeight="1" x14ac:dyDescent="0.3">
      <c r="B530" s="433"/>
      <c r="E530" s="434"/>
      <c r="N530" s="433"/>
    </row>
    <row r="531" spans="2:14" ht="15.75" customHeight="1" x14ac:dyDescent="0.3">
      <c r="B531" s="433"/>
      <c r="E531" s="434"/>
      <c r="N531" s="433"/>
    </row>
    <row r="532" spans="2:14" ht="15.75" customHeight="1" x14ac:dyDescent="0.3">
      <c r="B532" s="433"/>
      <c r="E532" s="434"/>
      <c r="N532" s="433"/>
    </row>
    <row r="533" spans="2:14" ht="15.75" customHeight="1" x14ac:dyDescent="0.3">
      <c r="B533" s="433"/>
      <c r="E533" s="434"/>
      <c r="N533" s="433"/>
    </row>
    <row r="534" spans="2:14" ht="15.75" customHeight="1" x14ac:dyDescent="0.3">
      <c r="B534" s="433"/>
      <c r="E534" s="434"/>
      <c r="N534" s="433"/>
    </row>
    <row r="535" spans="2:14" ht="15.75" customHeight="1" x14ac:dyDescent="0.3">
      <c r="B535" s="433"/>
      <c r="E535" s="434"/>
      <c r="N535" s="433"/>
    </row>
    <row r="536" spans="2:14" ht="15.75" customHeight="1" x14ac:dyDescent="0.3">
      <c r="B536" s="433"/>
      <c r="E536" s="434"/>
      <c r="N536" s="433"/>
    </row>
    <row r="537" spans="2:14" ht="15.75" customHeight="1" x14ac:dyDescent="0.3">
      <c r="B537" s="433"/>
      <c r="E537" s="434"/>
      <c r="N537" s="433"/>
    </row>
    <row r="538" spans="2:14" ht="15.75" customHeight="1" x14ac:dyDescent="0.3">
      <c r="B538" s="433"/>
      <c r="E538" s="434"/>
      <c r="N538" s="433"/>
    </row>
    <row r="539" spans="2:14" ht="15.75" customHeight="1" x14ac:dyDescent="0.3">
      <c r="B539" s="433"/>
      <c r="E539" s="434"/>
      <c r="N539" s="433"/>
    </row>
    <row r="540" spans="2:14" ht="15.75" customHeight="1" x14ac:dyDescent="0.3">
      <c r="B540" s="433"/>
      <c r="E540" s="434"/>
      <c r="N540" s="433"/>
    </row>
    <row r="541" spans="2:14" ht="15.75" customHeight="1" x14ac:dyDescent="0.3">
      <c r="B541" s="433"/>
      <c r="E541" s="434"/>
      <c r="N541" s="433"/>
    </row>
    <row r="542" spans="2:14" ht="15.75" customHeight="1" x14ac:dyDescent="0.3">
      <c r="B542" s="433"/>
      <c r="E542" s="434"/>
      <c r="N542" s="433"/>
    </row>
    <row r="543" spans="2:14" ht="15.75" customHeight="1" x14ac:dyDescent="0.3">
      <c r="B543" s="433"/>
      <c r="E543" s="434"/>
      <c r="N543" s="433"/>
    </row>
    <row r="544" spans="2:14" ht="15.75" customHeight="1" x14ac:dyDescent="0.3">
      <c r="B544" s="433"/>
      <c r="E544" s="434"/>
      <c r="N544" s="433"/>
    </row>
    <row r="545" spans="2:14" ht="15.75" customHeight="1" x14ac:dyDescent="0.3">
      <c r="B545" s="433"/>
      <c r="E545" s="434"/>
      <c r="N545" s="433"/>
    </row>
    <row r="546" spans="2:14" ht="15.75" customHeight="1" x14ac:dyDescent="0.3">
      <c r="B546" s="433"/>
      <c r="E546" s="434"/>
      <c r="N546" s="433"/>
    </row>
    <row r="547" spans="2:14" ht="15.75" customHeight="1" x14ac:dyDescent="0.3">
      <c r="B547" s="433"/>
      <c r="E547" s="434"/>
      <c r="N547" s="433"/>
    </row>
    <row r="548" spans="2:14" ht="15.75" customHeight="1" x14ac:dyDescent="0.3">
      <c r="B548" s="433"/>
      <c r="E548" s="434"/>
      <c r="N548" s="433"/>
    </row>
    <row r="549" spans="2:14" ht="15.75" customHeight="1" x14ac:dyDescent="0.3">
      <c r="B549" s="433"/>
      <c r="E549" s="434"/>
      <c r="N549" s="433"/>
    </row>
    <row r="550" spans="2:14" ht="15.75" customHeight="1" x14ac:dyDescent="0.3">
      <c r="B550" s="433"/>
      <c r="E550" s="434"/>
      <c r="N550" s="433"/>
    </row>
    <row r="551" spans="2:14" ht="15.75" customHeight="1" x14ac:dyDescent="0.3">
      <c r="B551" s="433"/>
      <c r="E551" s="434"/>
      <c r="N551" s="433"/>
    </row>
    <row r="552" spans="2:14" ht="15.75" customHeight="1" x14ac:dyDescent="0.3">
      <c r="B552" s="433"/>
      <c r="E552" s="434"/>
      <c r="N552" s="433"/>
    </row>
    <row r="553" spans="2:14" ht="15.75" customHeight="1" x14ac:dyDescent="0.3">
      <c r="B553" s="433"/>
      <c r="E553" s="434"/>
      <c r="N553" s="433"/>
    </row>
    <row r="554" spans="2:14" ht="15.75" customHeight="1" x14ac:dyDescent="0.3">
      <c r="B554" s="433"/>
      <c r="E554" s="434"/>
      <c r="N554" s="433"/>
    </row>
  </sheetData>
  <hyperlinks>
    <hyperlink ref="I41" r:id="rId1" xr:uid="{00000000-0004-0000-0100-000000000000}"/>
    <hyperlink ref="I186" r:id="rId2" xr:uid="{00000000-0004-0000-0100-000001000000}"/>
    <hyperlink ref="I207" r:id="rId3" xr:uid="{00000000-0004-0000-0100-000002000000}"/>
    <hyperlink ref="I208" r:id="rId4" xr:uid="{00000000-0004-0000-0100-000003000000}"/>
    <hyperlink ref="I348" r:id="rId5" xr:uid="{00000000-0004-0000-0100-000004000000}"/>
  </hyperlinks>
  <pageMargins left="0.25" right="0.25" top="0.75" bottom="0.75" header="0" footer="0"/>
  <pageSetup orientation="portrait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O30"/>
  <sheetViews>
    <sheetView topLeftCell="A11" workbookViewId="0"/>
  </sheetViews>
  <sheetFormatPr defaultColWidth="14.44140625" defaultRowHeight="15" customHeight="1" x14ac:dyDescent="0.3"/>
  <sheetData>
    <row r="1" spans="1:15" x14ac:dyDescent="0.3">
      <c r="A1" s="435" t="s">
        <v>94</v>
      </c>
      <c r="B1" s="435" t="s">
        <v>931</v>
      </c>
      <c r="C1" s="435" t="s">
        <v>932</v>
      </c>
      <c r="D1" s="435" t="s">
        <v>93</v>
      </c>
      <c r="E1" s="435" t="s">
        <v>933</v>
      </c>
      <c r="F1" s="435" t="s">
        <v>934</v>
      </c>
      <c r="G1" s="435" t="s">
        <v>935</v>
      </c>
      <c r="H1" s="435" t="s">
        <v>936</v>
      </c>
      <c r="I1" s="435" t="s">
        <v>937</v>
      </c>
      <c r="J1" s="435" t="s">
        <v>938</v>
      </c>
      <c r="K1" s="435" t="s">
        <v>939</v>
      </c>
      <c r="L1" s="435" t="s">
        <v>940</v>
      </c>
      <c r="M1" s="435" t="s">
        <v>941</v>
      </c>
      <c r="N1" s="435" t="s">
        <v>942</v>
      </c>
      <c r="O1" s="436" t="s">
        <v>943</v>
      </c>
    </row>
    <row r="2" spans="1:15" ht="15" customHeight="1" x14ac:dyDescent="0.35">
      <c r="A2" s="437"/>
    </row>
    <row r="3" spans="1:15" x14ac:dyDescent="0.3">
      <c r="A3" s="174" t="s">
        <v>122</v>
      </c>
    </row>
    <row r="4" spans="1:15" x14ac:dyDescent="0.3">
      <c r="A4" s="174" t="s">
        <v>346</v>
      </c>
    </row>
    <row r="5" spans="1:15" x14ac:dyDescent="0.3">
      <c r="A5" s="174" t="s">
        <v>346</v>
      </c>
    </row>
    <row r="6" spans="1:15" x14ac:dyDescent="0.3">
      <c r="A6" s="174" t="s">
        <v>262</v>
      </c>
    </row>
    <row r="7" spans="1:15" x14ac:dyDescent="0.3">
      <c r="A7" s="174" t="s">
        <v>262</v>
      </c>
    </row>
    <row r="8" spans="1:15" x14ac:dyDescent="0.3">
      <c r="A8" s="174" t="s">
        <v>256</v>
      </c>
    </row>
    <row r="9" spans="1:15" x14ac:dyDescent="0.3">
      <c r="A9" s="174" t="s">
        <v>256</v>
      </c>
    </row>
    <row r="10" spans="1:15" x14ac:dyDescent="0.3">
      <c r="A10" s="174" t="s">
        <v>271</v>
      </c>
    </row>
    <row r="11" spans="1:15" x14ac:dyDescent="0.3">
      <c r="A11" s="174" t="s">
        <v>338</v>
      </c>
    </row>
    <row r="12" spans="1:15" x14ac:dyDescent="0.3">
      <c r="A12" s="174" t="s">
        <v>300</v>
      </c>
    </row>
    <row r="13" spans="1:15" x14ac:dyDescent="0.3">
      <c r="A13" s="174" t="s">
        <v>297</v>
      </c>
    </row>
    <row r="14" spans="1:15" x14ac:dyDescent="0.3">
      <c r="A14" s="174" t="s">
        <v>163</v>
      </c>
    </row>
    <row r="15" spans="1:15" x14ac:dyDescent="0.3">
      <c r="A15" s="175" t="s">
        <v>163</v>
      </c>
    </row>
    <row r="16" spans="1:15" x14ac:dyDescent="0.3">
      <c r="A16" s="175" t="s">
        <v>267</v>
      </c>
    </row>
    <row r="17" spans="1:15" x14ac:dyDescent="0.3">
      <c r="A17" s="175" t="s">
        <v>267</v>
      </c>
    </row>
    <row r="18" spans="1:15" x14ac:dyDescent="0.3">
      <c r="A18" s="175" t="s">
        <v>325</v>
      </c>
    </row>
    <row r="19" spans="1:15" x14ac:dyDescent="0.3">
      <c r="A19" s="175" t="s">
        <v>325</v>
      </c>
    </row>
    <row r="20" spans="1:15" x14ac:dyDescent="0.3">
      <c r="A20" s="168" t="s">
        <v>374</v>
      </c>
    </row>
    <row r="21" spans="1:15" x14ac:dyDescent="0.3">
      <c r="A21" s="168" t="s">
        <v>302</v>
      </c>
    </row>
    <row r="22" spans="1:15" x14ac:dyDescent="0.3">
      <c r="A22" s="168" t="s">
        <v>302</v>
      </c>
    </row>
    <row r="23" spans="1:15" x14ac:dyDescent="0.3">
      <c r="A23" s="168" t="s">
        <v>122</v>
      </c>
    </row>
    <row r="24" spans="1:15" x14ac:dyDescent="0.3">
      <c r="A24" s="168" t="s">
        <v>334</v>
      </c>
    </row>
    <row r="25" spans="1:15" x14ac:dyDescent="0.3">
      <c r="A25" s="168" t="s">
        <v>334</v>
      </c>
    </row>
    <row r="26" spans="1:15" ht="15" customHeight="1" x14ac:dyDescent="0.35">
      <c r="A26" s="438" t="s">
        <v>116</v>
      </c>
      <c r="B26" s="438" t="s">
        <v>112</v>
      </c>
      <c r="C26" s="438" t="s">
        <v>944</v>
      </c>
      <c r="D26" s="438" t="s">
        <v>945</v>
      </c>
      <c r="E26" s="439">
        <v>9</v>
      </c>
      <c r="F26" s="440">
        <v>42320</v>
      </c>
      <c r="G26" s="438" t="s">
        <v>946</v>
      </c>
      <c r="H26" s="438" t="s">
        <v>947</v>
      </c>
      <c r="I26" s="438">
        <v>5103033485</v>
      </c>
      <c r="J26" s="438">
        <v>5104938627</v>
      </c>
      <c r="K26" s="438"/>
      <c r="L26" s="438" t="s">
        <v>948</v>
      </c>
      <c r="M26" s="441">
        <v>45829.559027777781</v>
      </c>
      <c r="N26" s="438"/>
      <c r="O26" s="440">
        <v>45830</v>
      </c>
    </row>
    <row r="27" spans="1:15" ht="15" customHeight="1" x14ac:dyDescent="0.35">
      <c r="A27" s="438" t="s">
        <v>949</v>
      </c>
      <c r="B27" s="438"/>
      <c r="C27" s="438"/>
      <c r="D27" s="438"/>
      <c r="E27" s="439"/>
      <c r="F27" s="440"/>
      <c r="G27" s="438"/>
      <c r="H27" s="438"/>
      <c r="I27" s="438"/>
      <c r="J27" s="438"/>
      <c r="K27" s="438"/>
      <c r="L27" s="438"/>
      <c r="M27" s="438"/>
      <c r="N27" s="438"/>
      <c r="O27" s="442"/>
    </row>
    <row r="29" spans="1:15" ht="15.6" x14ac:dyDescent="0.35">
      <c r="A29" s="438" t="s">
        <v>409</v>
      </c>
      <c r="B29" s="438" t="s">
        <v>385</v>
      </c>
      <c r="C29" s="438" t="s">
        <v>950</v>
      </c>
      <c r="D29" s="438" t="s">
        <v>385</v>
      </c>
      <c r="E29" s="439">
        <v>7</v>
      </c>
      <c r="F29" s="440">
        <v>43140</v>
      </c>
      <c r="G29" s="438" t="s">
        <v>946</v>
      </c>
      <c r="H29" s="438" t="s">
        <v>947</v>
      </c>
      <c r="I29" s="438">
        <v>5109994555</v>
      </c>
      <c r="J29" s="438" t="s">
        <v>951</v>
      </c>
      <c r="K29" s="438"/>
      <c r="L29" s="438" t="s">
        <v>948</v>
      </c>
      <c r="M29" s="443">
        <v>45799.660416666666</v>
      </c>
      <c r="N29" s="438"/>
      <c r="O29" s="442">
        <v>45799</v>
      </c>
    </row>
    <row r="30" spans="1:15" ht="15.6" x14ac:dyDescent="0.35">
      <c r="A30" s="438" t="s">
        <v>246</v>
      </c>
      <c r="B30" s="438" t="s">
        <v>247</v>
      </c>
      <c r="C30" s="438" t="s">
        <v>952</v>
      </c>
      <c r="D30" s="438" t="s">
        <v>953</v>
      </c>
      <c r="E30" s="439">
        <v>8</v>
      </c>
      <c r="F30" s="440">
        <v>42675</v>
      </c>
      <c r="G30" s="438" t="s">
        <v>954</v>
      </c>
      <c r="H30" s="438" t="s">
        <v>947</v>
      </c>
      <c r="I30" s="438">
        <v>5303001118</v>
      </c>
      <c r="J30" s="438"/>
      <c r="K30" s="438"/>
      <c r="L30" s="438" t="s">
        <v>948</v>
      </c>
      <c r="M30" s="441">
        <v>45826.863194444442</v>
      </c>
      <c r="N30" s="438"/>
      <c r="O30" s="440">
        <v>45827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</vt:lpstr>
      <vt:lpstr>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2019-10-25T16:26:00Z</dcterms:created>
  <dcterms:modified xsi:type="dcterms:W3CDTF">2025-08-28T14:29:07Z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FD04E2472AF74C74B062D94EFCF2021B_12</vt:lpwstr>
  </property>
  <property fmtid="{D5CDD505-2E9C-101B-9397-08002B2CF9AE}" pid="3" name="KSOProductBuildVer">
    <vt:lpwstr>2052-12.1.0.21541</vt:lpwstr>
  </property>
</Properties>
</file>