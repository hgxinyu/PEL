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Fremont/"/>
    </mc:Choice>
  </mc:AlternateContent>
  <xr:revisionPtr revIDLastSave="0" documentId="13_ncr:1_{E0020802-BBF8-2844-BCCB-12726D05E87D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P" sheetId="1" r:id="rId1"/>
    <sheet name="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wsCUIVnLGYESl9fvAzZ1VFsYVf6aEcTwvD2ApgS2IM="/>
    </ext>
  </extLst>
</workbook>
</file>

<file path=xl/calcChain.xml><?xml version="1.0" encoding="utf-8"?>
<calcChain xmlns="http://schemas.openxmlformats.org/spreadsheetml/2006/main">
  <c r="V2" i="2" l="1"/>
  <c r="V4" i="2" s="1"/>
  <c r="U2" i="2"/>
  <c r="U3" i="2"/>
  <c r="R3" i="2"/>
  <c r="R2" i="2"/>
  <c r="W3" i="2"/>
  <c r="V3" i="2"/>
  <c r="T3" i="2"/>
  <c r="S3" i="2"/>
  <c r="AB3" i="2" s="1"/>
  <c r="C3" i="2"/>
  <c r="W2" i="2"/>
  <c r="W4" i="2" s="1"/>
  <c r="T2" i="2"/>
  <c r="T4" i="2" s="1"/>
  <c r="S2" i="2"/>
  <c r="S4" i="2" s="1"/>
  <c r="M2" i="2"/>
  <c r="C2" i="2"/>
  <c r="M1" i="2"/>
  <c r="C53" i="1"/>
  <c r="C49" i="1"/>
  <c r="C55" i="1" s="1"/>
  <c r="D9" i="1" s="1"/>
  <c r="D44" i="1"/>
  <c r="C44" i="1"/>
  <c r="C43" i="1"/>
  <c r="L42" i="1"/>
  <c r="C54" i="1" s="1"/>
  <c r="D13" i="1" s="1"/>
  <c r="E13" i="1" s="1"/>
  <c r="I42" i="1"/>
  <c r="C50" i="1" s="1"/>
  <c r="L41" i="1"/>
  <c r="I41" i="1"/>
  <c r="C51" i="1" s="1"/>
  <c r="A31" i="1"/>
  <c r="A30" i="1"/>
  <c r="A29" i="1"/>
  <c r="A28" i="1"/>
  <c r="A27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E17" i="1" s="1"/>
  <c r="C17" i="1"/>
  <c r="A17" i="1"/>
  <c r="D16" i="1"/>
  <c r="E16" i="1" s="1"/>
  <c r="C16" i="1"/>
  <c r="A16" i="1"/>
  <c r="D15" i="1"/>
  <c r="E15" i="1" s="1"/>
  <c r="C15" i="1"/>
  <c r="A15" i="1"/>
  <c r="D14" i="1"/>
  <c r="E14" i="1" s="1"/>
  <c r="C14" i="1"/>
  <c r="A14" i="1"/>
  <c r="A13" i="1"/>
  <c r="D12" i="1"/>
  <c r="E12" i="1" s="1"/>
  <c r="A12" i="1"/>
  <c r="D11" i="1"/>
  <c r="E11" i="1" s="1"/>
  <c r="A11" i="1"/>
  <c r="A10" i="1"/>
  <c r="A9" i="1"/>
  <c r="X2" i="2" l="1"/>
  <c r="U4" i="2"/>
  <c r="Y3" i="2"/>
  <c r="E26" i="1"/>
  <c r="E31" i="1" s="1"/>
  <c r="Y2" i="2"/>
  <c r="Z3" i="2"/>
  <c r="Z2" i="2"/>
  <c r="Z4" i="2" s="1"/>
  <c r="C52" i="1"/>
  <c r="C56" i="1" s="1"/>
  <c r="AB2" i="2"/>
  <c r="X3" i="2"/>
  <c r="X4" i="2" s="1"/>
  <c r="R4" i="2"/>
  <c r="Y4" i="2" l="1"/>
  <c r="D56" i="1"/>
  <c r="D10" i="1"/>
  <c r="S5" i="2"/>
</calcChain>
</file>

<file path=xl/sharedStrings.xml><?xml version="1.0" encoding="utf-8"?>
<sst xmlns="http://schemas.openxmlformats.org/spreadsheetml/2006/main" count="2998" uniqueCount="931">
  <si>
    <t>Report P</t>
  </si>
  <si>
    <t>Due by: 7/1/25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</si>
  <si>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</si>
  <si>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</si>
  <si>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</si>
  <si>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</si>
  <si>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</si>
  <si>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</si>
  <si>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</si>
  <si>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</si>
  <si>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</si>
  <si>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</si>
  <si>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</si>
  <si>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</si>
  <si>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</si>
  <si>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</si>
  <si>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</si>
  <si>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</si>
  <si>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</si>
  <si>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</si>
  <si>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</si>
  <si>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</si>
  <si>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</si>
  <si>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</si>
  <si>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</si>
  <si>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</si>
  <si>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</si>
  <si>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</si>
  <si>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</si>
  <si>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</si>
  <si>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7/10/25)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</si>
  <si>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</si>
  <si>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</si>
  <si>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</si>
  <si>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</si>
  <si>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</si>
  <si>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</si>
  <si>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</si>
  <si>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</si>
  <si>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</si>
  <si>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</si>
  <si>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</si>
  <si>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</si>
  <si>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</si>
  <si>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</si>
  <si>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</si>
  <si>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</si>
  <si>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</si>
  <si>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</si>
  <si>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</si>
  <si>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</si>
  <si>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</si>
  <si>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</si>
  <si>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</si>
  <si>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</si>
  <si>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</si>
  <si>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</si>
  <si>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</si>
  <si>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</si>
  <si>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</si>
  <si>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</si>
  <si>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</si>
  <si>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</si>
  <si>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</si>
  <si>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</si>
  <si>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</si>
  <si>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</si>
  <si>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</si>
  <si>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</si>
  <si>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</si>
  <si>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</si>
  <si>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</si>
  <si>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</si>
  <si>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</si>
  <si>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</si>
  <si>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</si>
  <si>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</si>
  <si>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</si>
  <si>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</si>
  <si>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</si>
  <si>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</si>
  <si>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</si>
  <si>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</si>
  <si>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</si>
  <si>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</si>
  <si>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</si>
  <si>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</si>
  <si>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</si>
  <si>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</si>
  <si>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</si>
  <si>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</si>
  <si>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</si>
  <si>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</si>
  <si>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</si>
  <si>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</si>
  <si>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</si>
  <si>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</si>
  <si>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</si>
  <si>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</si>
  <si>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</si>
  <si>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June. WKS Lv</t>
  </si>
  <si>
    <t>June. WKS #</t>
  </si>
  <si>
    <t>Notes</t>
  </si>
  <si>
    <t>Code                  (C, N, A, R)</t>
  </si>
  <si>
    <t>Mth Absent</t>
  </si>
  <si>
    <t xml:space="preserve"> Vengalam</t>
  </si>
  <si>
    <t>Karthik</t>
  </si>
  <si>
    <t>753 Nodaway Ave</t>
  </si>
  <si>
    <t>njayanthi@gmail.com</t>
  </si>
  <si>
    <t>MG10</t>
  </si>
  <si>
    <t>EG10</t>
  </si>
  <si>
    <t>Bhatti</t>
  </si>
  <si>
    <t>Aria</t>
  </si>
  <si>
    <t>6/12/2014</t>
  </si>
  <si>
    <t>48016 leontine ctFremontCA94539</t>
  </si>
  <si>
    <t>Vaishali221@gmail.com</t>
  </si>
  <si>
    <t>7/23/2024</t>
  </si>
  <si>
    <t>QUIT leave after May</t>
  </si>
  <si>
    <t>Cai</t>
  </si>
  <si>
    <t>Ethan</t>
  </si>
  <si>
    <t>10/16/2013</t>
  </si>
  <si>
    <t>136 Gamma Grass terFremontCA94539</t>
  </si>
  <si>
    <t>zoelulu9898@gmail.com</t>
  </si>
  <si>
    <t>7/22/2024</t>
  </si>
  <si>
    <t>MG11</t>
  </si>
  <si>
    <t>EG9</t>
  </si>
  <si>
    <t>Yiyao</t>
  </si>
  <si>
    <t>8930 Wave Cove Way</t>
  </si>
  <si>
    <t>caijie0620@gmail.com</t>
  </si>
  <si>
    <t>EG4</t>
  </si>
  <si>
    <t>8931 Wave Cove Way</t>
  </si>
  <si>
    <t>MG7</t>
  </si>
  <si>
    <t>Chandra</t>
  </si>
  <si>
    <t>Vivaan</t>
  </si>
  <si>
    <t>6/23/2017</t>
  </si>
  <si>
    <t>3465 Inspiration Way #205</t>
  </si>
  <si>
    <t>vishsan06@gmail.com</t>
  </si>
  <si>
    <t>12/10/2024</t>
  </si>
  <si>
    <t>EG1</t>
  </si>
  <si>
    <t>MG4</t>
  </si>
  <si>
    <t>Chang</t>
  </si>
  <si>
    <t>Raeya</t>
  </si>
  <si>
    <t>3909 Engage Ter Unit 301</t>
  </si>
  <si>
    <t>lcleeman@gmail.com</t>
  </si>
  <si>
    <t>EG1B</t>
  </si>
  <si>
    <t>3910 Engage Ter Unit 301</t>
  </si>
  <si>
    <t>Chen</t>
  </si>
  <si>
    <t>Charlene</t>
  </si>
  <si>
    <t>46 Eagle Green, Fremont, CA</t>
  </si>
  <si>
    <t>bettyguan1990@gmail.com</t>
  </si>
  <si>
    <t>EG2</t>
  </si>
  <si>
    <t>MG6</t>
  </si>
  <si>
    <t>Kaylee</t>
  </si>
  <si>
    <t>K</t>
  </si>
  <si>
    <t>11/25/2017</t>
  </si>
  <si>
    <t>473 Craycroft DrFremontCA94539</t>
  </si>
  <si>
    <t>victor_chen82@yahoo.com</t>
  </si>
  <si>
    <t>8/16/2024</t>
  </si>
  <si>
    <t>back in Aug.</t>
  </si>
  <si>
    <t>MG8</t>
  </si>
  <si>
    <t>Kyna</t>
  </si>
  <si>
    <t>49119 Rose Ter Fremont Ca 94539</t>
  </si>
  <si>
    <t>gcychen@outlook.com</t>
  </si>
  <si>
    <t>Shelley</t>
  </si>
  <si>
    <t>1499 Piedmont Rd, San Jose, CA</t>
  </si>
  <si>
    <t>rannie_chen@hotmail.com</t>
  </si>
  <si>
    <t>EG2B</t>
  </si>
  <si>
    <t>CHENG</t>
  </si>
  <si>
    <t>PHOEBE</t>
  </si>
  <si>
    <t>6/2/2017</t>
  </si>
  <si>
    <t>46710 crawford St</t>
  </si>
  <si>
    <t>nancyw0602@gmail.com</t>
  </si>
  <si>
    <t>06/1/2024</t>
  </si>
  <si>
    <t>EG3</t>
  </si>
  <si>
    <t>Cho</t>
  </si>
  <si>
    <t>Eaint Khun(Hazel)</t>
  </si>
  <si>
    <t>5/17/2015</t>
  </si>
  <si>
    <t>49002 Cinnamon Fern Common</t>
  </si>
  <si>
    <t>hsumon.tarm@gmail.com</t>
  </si>
  <si>
    <t>12/9/2024</t>
  </si>
  <si>
    <t>EG7</t>
  </si>
  <si>
    <t>MG9</t>
  </si>
  <si>
    <t>Choudhary</t>
  </si>
  <si>
    <t>Pryansh</t>
  </si>
  <si>
    <t>48175 Leigh St, Fremont</t>
  </si>
  <si>
    <t xml:space="preserve">	amit.2105@gmail.com</t>
  </si>
  <si>
    <t>Chow</t>
  </si>
  <si>
    <t>Aileen</t>
  </si>
  <si>
    <t>10/10/2014</t>
  </si>
  <si>
    <t>506 Bristle Grass TerraceFremontCA94539</t>
  </si>
  <si>
    <t>ginah.kid@gmail.com</t>
  </si>
  <si>
    <t>8/21/2024</t>
  </si>
  <si>
    <t>Coodnapur</t>
  </si>
  <si>
    <t>Samarth</t>
  </si>
  <si>
    <t>47631 Gridley court</t>
  </si>
  <si>
    <t>rashmihholla@gmail.com</t>
  </si>
  <si>
    <t>Coondapur</t>
  </si>
  <si>
    <t>Dang</t>
  </si>
  <si>
    <t>Deion</t>
  </si>
  <si>
    <t>40989 Pajaro Dr</t>
  </si>
  <si>
    <t>bkmlxx@yahoo.com</t>
  </si>
  <si>
    <t>EG8</t>
  </si>
  <si>
    <t>Du</t>
  </si>
  <si>
    <t>Jeffrey</t>
  </si>
  <si>
    <t>2190 Cuesta Dr, Milpitas CA</t>
  </si>
  <si>
    <t>tingnaxu1120@gmail.com</t>
  </si>
  <si>
    <t>Terina</t>
  </si>
  <si>
    <t>2190 Cuesta Dr, Milpitas, CA, 95035</t>
  </si>
  <si>
    <t>Dutia</t>
  </si>
  <si>
    <t>Manay</t>
  </si>
  <si>
    <t>k</t>
  </si>
  <si>
    <t>12/26/2018</t>
  </si>
  <si>
    <t>3848 Advancement Ter, Unit 1000</t>
  </si>
  <si>
    <t>Jinal.jani@gmail.com</t>
  </si>
  <si>
    <t>EK4</t>
  </si>
  <si>
    <t>MG5</t>
  </si>
  <si>
    <t>Fan</t>
  </si>
  <si>
    <t>Angela</t>
  </si>
  <si>
    <t>295 Fusteria Ct., Fremont, CA</t>
  </si>
  <si>
    <t>fwentao@gmail.com</t>
  </si>
  <si>
    <t>EM1</t>
  </si>
  <si>
    <t>back in July</t>
  </si>
  <si>
    <t>MM1</t>
  </si>
  <si>
    <t>Golla</t>
  </si>
  <si>
    <t>Kanishk</t>
  </si>
  <si>
    <t>48943 Air fern common</t>
  </si>
  <si>
    <t xml:space="preserve">harish.golla@gmail.com
</t>
  </si>
  <si>
    <t>will be on vocation in July</t>
  </si>
  <si>
    <t>harish.golla@gmail.com</t>
  </si>
  <si>
    <t>Gu</t>
  </si>
  <si>
    <t>Mark</t>
  </si>
  <si>
    <t xml:space="preserve">	3909 Adams Ave, Fremont, CA</t>
  </si>
  <si>
    <t>(510)6737301</t>
  </si>
  <si>
    <t>qinlingli1985@gmail.com</t>
  </si>
  <si>
    <t>Hang</t>
  </si>
  <si>
    <t>Kate</t>
  </si>
  <si>
    <t>9/1/2014</t>
  </si>
  <si>
    <t>310 Stocker Ct，Fremont</t>
  </si>
  <si>
    <t>leeliantan@gmail.com</t>
  </si>
  <si>
    <t>11/16/2024</t>
  </si>
  <si>
    <t>9/2/2014</t>
  </si>
  <si>
    <t>311 Stocker Ct，Fremont</t>
  </si>
  <si>
    <t>Held</t>
  </si>
  <si>
    <t>Matthew</t>
  </si>
  <si>
    <t>Warm Spring Fremotn Ca 94540</t>
  </si>
  <si>
    <t>Zhuxi@hotmail.com</t>
  </si>
  <si>
    <t>MH2</t>
  </si>
  <si>
    <t>Michael</t>
  </si>
  <si>
    <t>Warm Spring, Fremont,CA</t>
  </si>
  <si>
    <t>Hsieh</t>
  </si>
  <si>
    <t>Lawrence</t>
  </si>
  <si>
    <t>PK</t>
  </si>
  <si>
    <t>50 ESMERELDA FALLS TERRACE, Fremont, CA</t>
  </si>
  <si>
    <t>songjinglan@hotmail.com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</si>
  <si>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</si>
  <si>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</si>
  <si>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</si>
  <si>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</si>
  <si>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</si>
  <si>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</si>
  <si>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 xml:space="preserve">will be back in Aug. </t>
  </si>
  <si>
    <t>Jain</t>
  </si>
  <si>
    <t>Aahana</t>
  </si>
  <si>
    <t>47646 Mardis St, Fremont CA 94539</t>
  </si>
  <si>
    <t>preetma.mishra@gmail.com</t>
  </si>
  <si>
    <t>Krish</t>
  </si>
  <si>
    <t>4/17/2017</t>
  </si>
  <si>
    <t>3715 broadcast common，Fremont</t>
  </si>
  <si>
    <t>suchitra.pv@gmail.com</t>
  </si>
  <si>
    <t>11/1/2024</t>
  </si>
  <si>
    <t>EG5</t>
  </si>
  <si>
    <t>4/18/2017</t>
  </si>
  <si>
    <t>3716 broadcast common，Fremont</t>
  </si>
  <si>
    <t>LeBeuf</t>
  </si>
  <si>
    <t>Liam</t>
  </si>
  <si>
    <t>47500 Kinner Falls Cmn, Fremont, CA 94539</t>
  </si>
  <si>
    <t>hulanb@icloud.com</t>
  </si>
  <si>
    <t>Li</t>
  </si>
  <si>
    <t>Eli</t>
  </si>
  <si>
    <t>7/3/2020</t>
  </si>
  <si>
    <t>5431 shattuck aveFremontCA94555</t>
  </si>
  <si>
    <t>yoyomaidongxi@gmail.com</t>
  </si>
  <si>
    <t>EK1</t>
  </si>
  <si>
    <t>Ian</t>
  </si>
  <si>
    <t>12/5/2017</t>
  </si>
  <si>
    <t>LIN</t>
  </si>
  <si>
    <t>YUENING</t>
  </si>
  <si>
    <t>6/24/2018</t>
  </si>
  <si>
    <t>44908 Wisdom rd</t>
  </si>
  <si>
    <t>flora.qu@compass.com</t>
  </si>
  <si>
    <t>06/05/2024</t>
  </si>
  <si>
    <t>6/24/2019</t>
  </si>
  <si>
    <t>44909 Wisdom rd</t>
  </si>
  <si>
    <t>Liu</t>
  </si>
  <si>
    <t xml:space="preserve">Alysia </t>
  </si>
  <si>
    <t>47074 Palo Amarillo Dr, , Fremont, CA</t>
  </si>
  <si>
    <t>danlirealty@gmail.com</t>
  </si>
  <si>
    <t>liu</t>
  </si>
  <si>
    <t>Evan</t>
  </si>
  <si>
    <t>5/21/2016</t>
  </si>
  <si>
    <t>5480 borgia roadFremontCA94538</t>
  </si>
  <si>
    <t>liusheng188888@gmail.com</t>
  </si>
  <si>
    <t>EG6</t>
  </si>
  <si>
    <t>Helena</t>
  </si>
  <si>
    <t>455 Tonopah Drive, Fremont</t>
  </si>
  <si>
    <t>xyanglove@gmail.com</t>
  </si>
  <si>
    <t>EM3</t>
  </si>
  <si>
    <t>Jasper</t>
  </si>
  <si>
    <t>455 Tonopah Drive, Fremont, CA</t>
  </si>
  <si>
    <t>MG2</t>
  </si>
  <si>
    <t>Second Subject</t>
  </si>
  <si>
    <t>Jeremy</t>
  </si>
  <si>
    <t>EM4</t>
  </si>
  <si>
    <t>MH3</t>
  </si>
  <si>
    <t>Mekala</t>
  </si>
  <si>
    <t>Prahan</t>
  </si>
  <si>
    <t>7/16/2019</t>
  </si>
  <si>
    <t>285 hackamore cmnfremontCA94539</t>
  </si>
  <si>
    <t>prashanthreddykm@gmail.com</t>
  </si>
  <si>
    <t>8/23/2024</t>
  </si>
  <si>
    <t>MG3</t>
  </si>
  <si>
    <t>Mekoyo</t>
  </si>
  <si>
    <t>Jean</t>
  </si>
  <si>
    <t>29505 mission Blvd Apt 406</t>
  </si>
  <si>
    <t>brunnelf@yahoo.com</t>
  </si>
  <si>
    <t>financial prob. will quit</t>
  </si>
  <si>
    <t>NERUKAR</t>
  </si>
  <si>
    <t>MEERA</t>
  </si>
  <si>
    <t>4/16/2018</t>
  </si>
  <si>
    <t>48432 Silva Pomar Ter</t>
  </si>
  <si>
    <t>ameyavnerurkar@gmail.com</t>
  </si>
  <si>
    <t>06/18/2024</t>
  </si>
  <si>
    <t>typo: M</t>
  </si>
  <si>
    <t>NGUYEN</t>
  </si>
  <si>
    <t>RICKY</t>
  </si>
  <si>
    <t>434 Curtner Dr, milpitas</t>
  </si>
  <si>
    <t>bichngocqn84@yahoo.com</t>
  </si>
  <si>
    <t>RUBY</t>
  </si>
  <si>
    <t>Niu</t>
  </si>
  <si>
    <t>3871 Vanguard Cmn 1001, Fremont, CA, 94538</t>
  </si>
  <si>
    <t>nkniuchao@gmail.com</t>
  </si>
  <si>
    <t>Patil</t>
  </si>
  <si>
    <t>Anvika</t>
  </si>
  <si>
    <t>4/1/2019</t>
  </si>
  <si>
    <t>3511 Vision Cmn Unit 1004FremontCA94538</t>
  </si>
  <si>
    <t>jeetenpatil@gmail.com</t>
  </si>
  <si>
    <t>Krishank</t>
  </si>
  <si>
    <t>4/5/2018</t>
  </si>
  <si>
    <t>375 Starlite WayFremontCA94539</t>
  </si>
  <si>
    <t>vaishali.khatale@gmail.com</t>
  </si>
  <si>
    <t>8/20/2024</t>
  </si>
  <si>
    <t>Pei</t>
  </si>
  <si>
    <t>Amy</t>
  </si>
  <si>
    <t>4503 longview ter</t>
  </si>
  <si>
    <t>otto28082008@gmail.com</t>
  </si>
  <si>
    <t>Shaik</t>
  </si>
  <si>
    <t>Rashid</t>
  </si>
  <si>
    <t>5/1/2015</t>
  </si>
  <si>
    <t>747 Choctaw Dr，Fremont</t>
  </si>
  <si>
    <t>hi.moulaali@gmail.com</t>
  </si>
  <si>
    <t>11/18/2024</t>
  </si>
  <si>
    <t>5/2/2015</t>
  </si>
  <si>
    <t>748 Choctaw Dr，Fremont</t>
  </si>
  <si>
    <t xml:space="preserve">Sharma </t>
  </si>
  <si>
    <t>Haanish</t>
  </si>
  <si>
    <t>3229 accelerator avn. Unit 1000</t>
  </si>
  <si>
    <t>Sharma.dipika5@gmail.com</t>
  </si>
  <si>
    <t>MG1</t>
  </si>
  <si>
    <t>Singh</t>
  </si>
  <si>
    <t>Shivansh</t>
  </si>
  <si>
    <t>30 Washington Square</t>
  </si>
  <si>
    <t>aks.bitsg@gmail.com</t>
  </si>
  <si>
    <t>Su</t>
  </si>
  <si>
    <t>736 Maya Ct. Fremont, CA 94539</t>
  </si>
  <si>
    <t>jinghuazhao950@gmail.com</t>
  </si>
  <si>
    <t>EK5</t>
  </si>
  <si>
    <t xml:space="preserve">Tan </t>
  </si>
  <si>
    <t xml:space="preserve">Jayden </t>
  </si>
  <si>
    <t>48404 Ursa Dr, , Fremont, CA</t>
  </si>
  <si>
    <t>mingao168@yahoo.com</t>
  </si>
  <si>
    <t>MM3</t>
  </si>
  <si>
    <t>Tang</t>
  </si>
  <si>
    <t>Aiden</t>
  </si>
  <si>
    <t>44642 Gabrielino Way, Fremont, CA, 94539</t>
  </si>
  <si>
    <t>etang@pacbell.net</t>
  </si>
  <si>
    <t>8/30/2024</t>
  </si>
  <si>
    <t>LingQun(Joy)</t>
  </si>
  <si>
    <t>44930 Lynx Dr., Fremont, CA, 94539</t>
  </si>
  <si>
    <t>jie9ding18@gmail.com</t>
  </si>
  <si>
    <t>Vaddiraju</t>
  </si>
  <si>
    <t>Sahasra</t>
  </si>
  <si>
    <t>4/4/2017</t>
  </si>
  <si>
    <t>49062 Tickle Grass TerrFremontCA94539</t>
  </si>
  <si>
    <t>vaddirajs@yahoo.com</t>
  </si>
  <si>
    <t>8/19/2024</t>
  </si>
  <si>
    <t>from Milpitas</t>
  </si>
  <si>
    <t>Virani</t>
  </si>
  <si>
    <t>Ezar</t>
  </si>
  <si>
    <t>48867 Sauvignon Ct Fremont CA  94539</t>
  </si>
  <si>
    <t>sonia.12t@gmail.com</t>
  </si>
  <si>
    <t>MK3</t>
  </si>
  <si>
    <t xml:space="preserve">New Student </t>
  </si>
  <si>
    <t>Wan</t>
  </si>
  <si>
    <t>Fang</t>
  </si>
  <si>
    <t>10/2/2017</t>
  </si>
  <si>
    <t>40930 Fairmont Ter</t>
  </si>
  <si>
    <t>shuichen17@gmail.com</t>
  </si>
  <si>
    <t>WAN</t>
  </si>
  <si>
    <t>YUAN</t>
  </si>
  <si>
    <t>Wang</t>
  </si>
  <si>
    <t>Andy</t>
  </si>
  <si>
    <t>39953 Cedar Blvd unit 221, Newark</t>
  </si>
  <si>
    <t>510-896-9021</t>
  </si>
  <si>
    <t>Cyberlei23@gmail.com</t>
  </si>
  <si>
    <t xml:space="preserve">QUIT </t>
  </si>
  <si>
    <t>Chloe</t>
  </si>
  <si>
    <t>5630 central pkwy</t>
  </si>
  <si>
    <t>469 268 9535</t>
  </si>
  <si>
    <t>wenwen179505@gmail.com</t>
  </si>
  <si>
    <t>Eric</t>
  </si>
  <si>
    <t>251 Bunch Grass TerFremontCA94539</t>
  </si>
  <si>
    <t>mail.liang.wang@gmail.com</t>
  </si>
  <si>
    <t>8/1/2024</t>
  </si>
  <si>
    <t>1326 Nelson Way</t>
  </si>
  <si>
    <t>lianzhigu5@gmail.com</t>
  </si>
  <si>
    <t>Vera</t>
  </si>
  <si>
    <t>1/1/2017</t>
  </si>
  <si>
    <t>Xin</t>
  </si>
  <si>
    <t>3/28/2017</t>
  </si>
  <si>
    <t>47260 Havasu StreetFremontCA94539</t>
  </si>
  <si>
    <t>xixirain@gmail.com</t>
  </si>
  <si>
    <t>William</t>
  </si>
  <si>
    <t>4/28/2015</t>
  </si>
  <si>
    <t>Xu</t>
  </si>
  <si>
    <t>Cindy</t>
  </si>
  <si>
    <t>4092 Central Ave Fremont Ca 94536</t>
  </si>
  <si>
    <t>taozi5963527@outlook.com</t>
  </si>
  <si>
    <t>Leo</t>
  </si>
  <si>
    <t>7/31/2017</t>
  </si>
  <si>
    <t>235 Lippert AveFremontCA94539</t>
  </si>
  <si>
    <t>bjunzhang@gmail.com</t>
  </si>
  <si>
    <t>4093 Central Ave Fremont Ca 94536</t>
  </si>
  <si>
    <t>Timothy</t>
  </si>
  <si>
    <t>3/14/2015</t>
  </si>
  <si>
    <t>EM2</t>
  </si>
  <si>
    <t>MH4</t>
  </si>
  <si>
    <t>Yi</t>
  </si>
  <si>
    <t>Zijin (Leo)</t>
  </si>
  <si>
    <t>392 Farley common, Fremont, CA 94539</t>
  </si>
  <si>
    <t>Liuxin170619@gmail.com</t>
  </si>
  <si>
    <t>Yuan</t>
  </si>
  <si>
    <t>Carson</t>
  </si>
  <si>
    <t>4/30/2015</t>
  </si>
  <si>
    <t>47522 Fortner StreetFREMONTCA94539</t>
  </si>
  <si>
    <t>zhoujiewu@gmail.com</t>
  </si>
  <si>
    <t>4/30/2016</t>
  </si>
  <si>
    <t>47523 Fortner StreetFREMONTCA94539</t>
  </si>
  <si>
    <t>Patrick</t>
  </si>
  <si>
    <t>Zhang</t>
  </si>
  <si>
    <t>Jasmine</t>
  </si>
  <si>
    <t xml:space="preserve">44 Essanay Ave , Fremont, CA </t>
  </si>
  <si>
    <t>jiazi3303@gmail.com</t>
  </si>
  <si>
    <t>Zhao</t>
  </si>
  <si>
    <t>4/5/2015</t>
  </si>
  <si>
    <t>382 Wheat Grass TerFremontCA94539</t>
  </si>
  <si>
    <t>screwyterror83@gmail.com</t>
  </si>
  <si>
    <t>Sophie</t>
  </si>
  <si>
    <t>12/11/2013</t>
  </si>
  <si>
    <t>47821 Masters Ct</t>
  </si>
  <si>
    <t>zhaocnus@gmail.com</t>
  </si>
  <si>
    <t>Avyakth</t>
  </si>
  <si>
    <t>Sridhar</t>
  </si>
  <si>
    <t>3690 Innovation way</t>
  </si>
  <si>
    <t>reechshree@gmail.com</t>
  </si>
  <si>
    <t xml:space="preserve">MG5 </t>
  </si>
  <si>
    <t xml:space="preserve">Taluna </t>
  </si>
  <si>
    <t>519 Mayten Way</t>
  </si>
  <si>
    <t>zhchni@hotmail.com</t>
  </si>
  <si>
    <t>520 Mayten Way</t>
  </si>
  <si>
    <t>Kaiya</t>
  </si>
  <si>
    <t>Hooks</t>
  </si>
  <si>
    <t>34196 Rowland Dr</t>
  </si>
  <si>
    <t>aong47@yahoo.com</t>
  </si>
  <si>
    <t>34197 Rowland Dr</t>
  </si>
  <si>
    <t>Johnny</t>
  </si>
  <si>
    <t>Cheng</t>
  </si>
  <si>
    <t>4207 Ogden Drive</t>
  </si>
  <si>
    <t>Babality_4u@yahoo.com</t>
  </si>
  <si>
    <t>4208 Ogden Drive</t>
  </si>
  <si>
    <t>2021 N Milpitas Blvd</t>
  </si>
  <si>
    <t>anglilly95@gmail.com</t>
  </si>
  <si>
    <t>Sindri</t>
  </si>
  <si>
    <t>Vora</t>
  </si>
  <si>
    <t>44153 Boitano dr</t>
  </si>
  <si>
    <t>lindsayvora@gmail.com</t>
  </si>
  <si>
    <t>Luna</t>
  </si>
  <si>
    <t>46912 Fernald Common</t>
  </si>
  <si>
    <t>panpanfu1986@gmail.com</t>
  </si>
  <si>
    <t>Lucas</t>
  </si>
  <si>
    <t>46913 Fernald Common</t>
  </si>
  <si>
    <t>Cherie</t>
  </si>
  <si>
    <t>Yin</t>
  </si>
  <si>
    <t>4157 Redstone Ter</t>
  </si>
  <si>
    <t>chialingwynn@gmail.com</t>
  </si>
  <si>
    <t>4158 Redstone Ter</t>
  </si>
  <si>
    <t xml:space="preserve">Kyrie </t>
  </si>
  <si>
    <t>4159 Redstone Ter</t>
  </si>
  <si>
    <t>4160 Redstone Ter</t>
  </si>
  <si>
    <t>Raydon</t>
  </si>
  <si>
    <t>Chao</t>
  </si>
  <si>
    <t>1884 Travertine Way Union City CA</t>
  </si>
  <si>
    <t>wmaung07@gmail.com</t>
  </si>
  <si>
    <t>1885 Travertine Way Union City CA</t>
  </si>
  <si>
    <t>Siddharth</t>
  </si>
  <si>
    <t>Darshan</t>
  </si>
  <si>
    <t>49114 Rose Ter</t>
  </si>
  <si>
    <t>darshan.d.komarlu@gmail.com</t>
  </si>
  <si>
    <t xml:space="preserve">Second Subject </t>
  </si>
  <si>
    <t xml:space="preserve">Abigail </t>
  </si>
  <si>
    <t>Lee</t>
  </si>
  <si>
    <t>46180 Sentinel Drive</t>
  </si>
  <si>
    <t>vannguy+pel@gmail.com</t>
  </si>
  <si>
    <t>Adalynn</t>
  </si>
  <si>
    <t>46182 Sentinel Drive</t>
  </si>
  <si>
    <t>46183 Sentinel Drive</t>
  </si>
  <si>
    <t>Yvonne</t>
  </si>
  <si>
    <t>87 delta green</t>
  </si>
  <si>
    <t>mei5206543@gmail.com</t>
  </si>
  <si>
    <t>88 delta green</t>
  </si>
  <si>
    <t>MK4</t>
  </si>
  <si>
    <t>Ivan</t>
  </si>
  <si>
    <t>ZHnag</t>
  </si>
  <si>
    <t>4207 Ogden</t>
  </si>
  <si>
    <t>kathy09041101@gmail.com</t>
  </si>
  <si>
    <t>4208 Ogden</t>
  </si>
  <si>
    <t>6/30/0202</t>
  </si>
  <si>
    <t xml:space="preserve">Vivaan </t>
  </si>
  <si>
    <t>47613 MARDIS STREET</t>
  </si>
  <si>
    <t>vishwajit.kumaratsf@yahoo.com</t>
  </si>
  <si>
    <t>Melody</t>
  </si>
  <si>
    <t>51 ESMERELDA FALLS TERRACE</t>
  </si>
  <si>
    <t>EK2</t>
  </si>
  <si>
    <t>50 ESMERELDA FALLS TERRACE</t>
  </si>
  <si>
    <t>Quit List</t>
  </si>
  <si>
    <t>Joanna</t>
  </si>
  <si>
    <t>Cao</t>
  </si>
  <si>
    <t>201 Starlite Way, Fremont 94539</t>
  </si>
  <si>
    <t>phyllis.yuen@gmail.com</t>
  </si>
  <si>
    <t>2nd</t>
  </si>
  <si>
    <t>back in Aug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</si>
  <si>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</si>
  <si>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</si>
  <si>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</si>
  <si>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</si>
  <si>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</si>
  <si>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</si>
  <si>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</si>
  <si>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</si>
  <si>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</si>
  <si>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</si>
  <si>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</si>
  <si>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</si>
  <si>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</si>
  <si>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</si>
  <si>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</si>
  <si>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</si>
  <si>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</si>
  <si>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</si>
  <si>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</si>
  <si>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</si>
  <si>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</si>
  <si>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</si>
  <si>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</si>
  <si>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</si>
  <si>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</si>
  <si>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</si>
  <si>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</si>
  <si>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</si>
  <si>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</si>
  <si>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</si>
  <si>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</si>
  <si>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</si>
  <si>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</si>
  <si>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</si>
  <si>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</si>
  <si>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</si>
  <si>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</si>
  <si>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Lin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</si>
  <si>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</si>
  <si>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</si>
  <si>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</si>
  <si>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</si>
  <si>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</si>
  <si>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</si>
  <si>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</si>
  <si>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</si>
  <si>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</si>
  <si>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</si>
  <si>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</si>
  <si>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</si>
  <si>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</si>
  <si>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</si>
  <si>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</si>
  <si>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</si>
  <si>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</si>
  <si>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</si>
  <si>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</si>
  <si>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</si>
  <si>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</si>
  <si>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</si>
  <si>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</si>
  <si>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</si>
  <si>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</si>
  <si>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</si>
  <si>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</si>
  <si>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</si>
  <si>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</si>
  <si>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</si>
  <si>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</si>
  <si>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</si>
  <si>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</si>
  <si>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</si>
  <si>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</si>
  <si>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</si>
  <si>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</si>
  <si>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</si>
  <si>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</si>
  <si>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</si>
  <si>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</si>
  <si>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</si>
  <si>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</si>
  <si>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</si>
  <si>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</si>
  <si>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382 Wheat Grass Ter, Fremont, CA 94539</t>
  </si>
  <si>
    <t xml:space="preserve">Feng </t>
  </si>
  <si>
    <t xml:space="preserve">Samuel </t>
  </si>
  <si>
    <t>4601 Margery Drive, , Fremont, CA</t>
  </si>
  <si>
    <t>Shirleylinge@gmail.com</t>
  </si>
  <si>
    <t>focus on English first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</si>
  <si>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</si>
  <si>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</si>
  <si>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</si>
  <si>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</si>
  <si>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</si>
  <si>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</si>
  <si>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</si>
  <si>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</si>
  <si>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</si>
  <si>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</si>
  <si>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</si>
  <si>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</si>
  <si>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</si>
  <si>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</si>
  <si>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</si>
  <si>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</si>
  <si>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</si>
  <si>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</si>
  <si>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</si>
  <si>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</si>
  <si>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</si>
  <si>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</si>
  <si>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</si>
  <si>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</si>
  <si>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</si>
  <si>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</si>
  <si>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</si>
  <si>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</si>
  <si>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</si>
  <si>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</si>
  <si>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</si>
  <si>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</si>
  <si>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</si>
  <si>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</si>
  <si>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</si>
  <si>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</si>
  <si>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</si>
  <si>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</si>
  <si>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</si>
  <si>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</si>
  <si>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</si>
  <si>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</si>
  <si>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</si>
  <si>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</si>
  <si>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</si>
  <si>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</si>
  <si>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</si>
  <si>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</si>
  <si>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</si>
  <si>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</si>
  <si>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</si>
  <si>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</si>
  <si>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</si>
  <si>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</si>
  <si>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</si>
  <si>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</si>
  <si>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</si>
  <si>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</si>
  <si>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</si>
  <si>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</si>
  <si>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</si>
  <si>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</si>
  <si>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</si>
  <si>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</si>
  <si>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</si>
  <si>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</si>
  <si>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</si>
  <si>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</si>
  <si>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</si>
  <si>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</si>
  <si>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</si>
  <si>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</si>
  <si>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</si>
  <si>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</si>
  <si>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</si>
  <si>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</si>
  <si>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</si>
  <si>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</si>
  <si>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</si>
  <si>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</si>
  <si>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</si>
  <si>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</si>
  <si>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</si>
  <si>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</si>
  <si>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</si>
  <si>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</si>
  <si>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</si>
  <si>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</si>
  <si>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</si>
  <si>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</si>
  <si>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</si>
  <si>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</si>
  <si>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</si>
  <si>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</si>
  <si>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</si>
  <si>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</si>
  <si>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</si>
  <si>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</si>
  <si>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</si>
  <si>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</si>
  <si>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</si>
  <si>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</si>
  <si>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</si>
  <si>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</si>
  <si>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</si>
  <si>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</si>
  <si>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47260 Havasu Street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</si>
  <si>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</si>
  <si>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</si>
  <si>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</si>
  <si>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</si>
  <si>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</si>
  <si>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</si>
  <si>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</si>
  <si>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</si>
  <si>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</si>
  <si>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</si>
  <si>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</si>
  <si>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</si>
  <si>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Jason</t>
  </si>
  <si>
    <t>172 Chama Way</t>
  </si>
  <si>
    <t>732-491-6636</t>
  </si>
  <si>
    <t>linshu8518@gmail.com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</si>
  <si>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</si>
  <si>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</si>
  <si>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</si>
  <si>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</si>
  <si>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</si>
  <si>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</si>
  <si>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</si>
  <si>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</si>
  <si>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</si>
  <si>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</si>
  <si>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</si>
  <si>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</si>
  <si>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</si>
  <si>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</si>
  <si>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</si>
  <si>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</si>
  <si>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</si>
  <si>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</si>
  <si>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</si>
  <si>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</si>
  <si>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</si>
  <si>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</si>
  <si>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</si>
  <si>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</si>
  <si>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</si>
  <si>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</si>
  <si>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</si>
  <si>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</si>
  <si>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</si>
  <si>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</si>
  <si>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</si>
  <si>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</si>
  <si>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</si>
  <si>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</si>
  <si>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</si>
  <si>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</si>
  <si>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</si>
  <si>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</si>
  <si>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</si>
  <si>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</si>
  <si>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</si>
  <si>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</si>
  <si>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</si>
  <si>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</si>
  <si>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</si>
  <si>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</si>
  <si>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</si>
  <si>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</si>
  <si>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</si>
  <si>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</si>
  <si>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</si>
  <si>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</si>
  <si>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will be absent in July</t>
  </si>
  <si>
    <t>KELLY</t>
  </si>
  <si>
    <t>10/1/2012</t>
  </si>
  <si>
    <t>1750 Lundy Ave</t>
  </si>
  <si>
    <t>cube@ymail.com</t>
  </si>
  <si>
    <t>6/3/2024</t>
  </si>
  <si>
    <t>2nd subject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</si>
  <si>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</si>
  <si>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</si>
  <si>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</si>
  <si>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</si>
  <si>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</si>
  <si>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</si>
  <si>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</si>
  <si>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</si>
  <si>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Jayden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</si>
  <si>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</si>
  <si>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</si>
  <si>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</si>
  <si>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</si>
  <si>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</si>
  <si>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</si>
  <si>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</si>
  <si>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</si>
  <si>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</si>
  <si>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</si>
  <si>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</si>
  <si>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</si>
  <si>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</si>
  <si>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</si>
  <si>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</si>
  <si>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</si>
  <si>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</si>
  <si>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</si>
  <si>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</si>
  <si>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</si>
  <si>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</si>
  <si>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</si>
  <si>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</si>
  <si>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</si>
  <si>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</si>
  <si>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</si>
  <si>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</si>
  <si>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</si>
  <si>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</si>
  <si>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</si>
  <si>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</si>
  <si>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</si>
  <si>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</si>
  <si>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</si>
  <si>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</si>
  <si>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</si>
  <si>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</si>
  <si>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</si>
  <si>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</si>
  <si>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</si>
  <si>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</si>
  <si>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</si>
  <si>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</si>
  <si>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</si>
  <si>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</si>
  <si>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</si>
  <si>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</si>
  <si>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</si>
  <si>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</si>
  <si>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</si>
  <si>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</si>
  <si>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</si>
  <si>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</si>
  <si>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</si>
  <si>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</si>
  <si>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</si>
  <si>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</si>
  <si>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</si>
  <si>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</si>
  <si>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</si>
  <si>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</si>
  <si>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</si>
  <si>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Correct to Math</t>
  </si>
  <si>
    <t>Atharva</t>
  </si>
  <si>
    <t>4269 Delaware Dr, Fremont, CA, 94538</t>
  </si>
  <si>
    <t>kameshwar2004@gmail.com</t>
  </si>
  <si>
    <t>EK3</t>
  </si>
  <si>
    <t>78P</t>
  </si>
  <si>
    <t>absent in Feb.  back in late march</t>
  </si>
  <si>
    <t>1P</t>
  </si>
  <si>
    <t>350 Phantom Falls CMNFremontCA94539</t>
  </si>
  <si>
    <t>haimingw24@gmail.com</t>
  </si>
  <si>
    <t>61P</t>
  </si>
  <si>
    <t>changed school</t>
  </si>
  <si>
    <t>101P</t>
  </si>
  <si>
    <t>86P</t>
  </si>
  <si>
    <t>Quit</t>
  </si>
  <si>
    <t>Student Last Name</t>
  </si>
  <si>
    <t>Guardian</t>
  </si>
  <si>
    <t>Age</t>
  </si>
  <si>
    <t>Dob</t>
  </si>
  <si>
    <t>Gender</t>
  </si>
  <si>
    <t>Performing</t>
  </si>
  <si>
    <t>Phone1</t>
  </si>
  <si>
    <t>Phone2</t>
  </si>
  <si>
    <t>Phone3</t>
  </si>
  <si>
    <t>Waiver</t>
  </si>
  <si>
    <t>Student Waiver Acceptance Date</t>
  </si>
  <si>
    <t>Last Measured Date</t>
  </si>
  <si>
    <t>First Enrolled</t>
  </si>
  <si>
    <t>Van</t>
  </si>
  <si>
    <t>Nguy</t>
  </si>
  <si>
    <t>Female</t>
  </si>
  <si>
    <t>Yes</t>
  </si>
  <si>
    <t>No</t>
  </si>
  <si>
    <t>Abigail</t>
  </si>
  <si>
    <t>Becky</t>
  </si>
  <si>
    <t>510-945-8888</t>
  </si>
  <si>
    <t>Kathy</t>
  </si>
  <si>
    <t>Han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</si>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</sst>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yy"/>
    <numFmt numFmtId="166" formatCode="mmm\ d\,\ yyyy"/>
    <numFmt numFmtId="167" formatCode="mmm\ d\,\ yyyy\ h:mm\ AM/PM"/>
    <numFmt numFmtId="168" formatCode="mmmm\ d\,\ yyyy"/>
    <numFmt numFmtId="169" formatCode="mmmm\ d\,\ yyyy\ h:mm\ AM/PM"/>
  </numFmts>
  <fonts count="33">
    <font>
      <sz val="11"/>
      <color theme="1"/>
      <name val="Calibri"/>
      <scheme val="minor"/>
    </font>
    <font>
      <b/>
      <sz val="20"/>
      <color theme="1"/>
      <name val="Century Gothic"/>
      <family val="1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b/>
      <i/>
      <sz val="12"/>
      <color theme="5"/>
      <name val="Century Gothic"/>
      <family val="1"/>
    </font>
    <font>
      <i/>
      <sz val="12"/>
      <color theme="1"/>
      <name val="Century Gothic"/>
      <family val="1"/>
    </font>
    <font>
      <b/>
      <i/>
      <sz val="12"/>
      <color theme="1"/>
      <name val="Century Gothic"/>
      <family val="1"/>
    </font>
    <font>
      <b/>
      <i/>
      <sz val="12"/>
      <color rgb="FFFF0000"/>
      <name val="Century Gothic"/>
      <family val="1"/>
    </font>
    <font>
      <b/>
      <sz val="12"/>
      <color rgb="FFFF0000"/>
      <name val="Century Gothic"/>
      <family val="1"/>
    </font>
    <font>
      <sz val="12"/>
      <color rgb="FFFF0000"/>
      <name val="Century Gothic"/>
      <family val="1"/>
    </font>
    <font>
      <b/>
      <sz val="12"/>
      <color rgb="FF00B050"/>
      <name val="Century Gothic"/>
      <family val="1"/>
    </font>
    <font>
      <sz val="12"/>
      <color rgb="FF9C0006"/>
      <name val="Century Gothic"/>
      <family val="1"/>
    </font>
    <font>
      <sz val="11"/>
      <color theme="1"/>
      <name val="Calibri"/>
      <family val="2"/>
    </font>
    <font>
      <sz val="12"/>
      <color rgb="FF333333"/>
      <name val="Century Gothic"/>
      <family val="1"/>
    </font>
    <font>
      <sz val="12"/>
      <color rgb="FF000000"/>
      <name val="Century Gothic"/>
      <family val="1"/>
    </font>
    <font>
      <u/>
      <sz val="12"/>
      <color theme="1"/>
      <name val="Century Gothic"/>
      <family val="1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333333"/>
      <name val="&quot;Open Sans&quot;"/>
    </font>
    <font>
      <b/>
      <sz val="11"/>
      <color rgb="FF333333"/>
      <name val="&quot;Open Sans&quot;"/>
    </font>
    <font>
      <b/>
      <sz val="11"/>
      <color theme="1"/>
      <name val="Century Gothic"/>
      <family val="1"/>
    </font>
    <font>
      <b/>
      <sz val="11"/>
      <color theme="1"/>
      <name val="Calibri"/>
      <family val="2"/>
      <scheme val="minor"/>
    </font>
    <font>
      <b/>
      <sz val="12"/>
      <color rgb="FF000000"/>
      <name val="Century Gothic"/>
      <family val="1"/>
    </font>
    <font>
      <sz val="11"/>
      <color rgb="FF0061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6100"/>
      <name val="Calibri"/>
      <family val="2"/>
    </font>
    <font>
      <u/>
      <sz val="11"/>
      <color rgb="FF0000FF"/>
      <name val="Century Gothic"/>
      <family val="1"/>
    </font>
    <font>
      <u/>
      <sz val="11"/>
      <color rgb="FF0000FF"/>
      <name val="Century Gothic"/>
      <family val="1"/>
    </font>
    <font>
      <sz val="11"/>
      <color rgb="FF000000"/>
      <name val="Century Gothic"/>
      <family val="1"/>
    </font>
    <font>
      <sz val="11"/>
      <color rgb="FF9C0006"/>
      <name val="Calibri"/>
      <family val="2"/>
    </font>
    <font>
      <u/>
      <sz val="12"/>
      <color theme="1"/>
      <name val="Century Gothic"/>
      <family val="1"/>
    </font>
    <font>
      <sz val="11"/>
      <color rgb="FF344563"/>
      <name val="&quot;Open Sans&quot;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4F7F9"/>
        <bgColor rgb="FFF4F7F9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4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/>
    <xf numFmtId="44" fontId="8" fillId="3" borderId="5" xfId="0" applyNumberFormat="1" applyFont="1" applyFill="1" applyBorder="1"/>
    <xf numFmtId="44" fontId="9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44" fontId="9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10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1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left"/>
    </xf>
    <xf numFmtId="14" fontId="3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3" fillId="10" borderId="0" xfId="0" applyFont="1" applyFill="1"/>
    <xf numFmtId="0" fontId="13" fillId="10" borderId="0" xfId="0" applyFont="1" applyFill="1"/>
    <xf numFmtId="0" fontId="3" fillId="11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left"/>
    </xf>
    <xf numFmtId="14" fontId="3" fillId="11" borderId="5" xfId="0" applyNumberFormat="1" applyFont="1" applyFill="1" applyBorder="1" applyAlignment="1">
      <alignment horizontal="left"/>
    </xf>
    <xf numFmtId="0" fontId="3" fillId="11" borderId="5" xfId="0" applyFont="1" applyFill="1" applyBorder="1" applyAlignment="1">
      <alignment horizontal="center" vertical="center" wrapText="1"/>
    </xf>
    <xf numFmtId="0" fontId="3" fillId="11" borderId="5" xfId="0" applyFont="1" applyFill="1" applyBorder="1"/>
    <xf numFmtId="0" fontId="3" fillId="12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left"/>
    </xf>
    <xf numFmtId="14" fontId="3" fillId="12" borderId="5" xfId="0" applyNumberFormat="1" applyFont="1" applyFill="1" applyBorder="1" applyAlignment="1">
      <alignment horizontal="left"/>
    </xf>
    <xf numFmtId="0" fontId="3" fillId="12" borderId="5" xfId="0" applyFont="1" applyFill="1" applyBorder="1" applyAlignment="1">
      <alignment horizontal="center" vertical="center" wrapText="1"/>
    </xf>
    <xf numFmtId="0" fontId="3" fillId="12" borderId="5" xfId="0" applyFont="1" applyFill="1" applyBorder="1"/>
    <xf numFmtId="0" fontId="3" fillId="12" borderId="0" xfId="0" applyFont="1" applyFill="1"/>
    <xf numFmtId="0" fontId="13" fillId="12" borderId="0" xfId="0" applyFont="1" applyFill="1"/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14" fillId="0" borderId="5" xfId="0" applyFont="1" applyBorder="1" applyAlignment="1">
      <alignment horizontal="left"/>
    </xf>
    <xf numFmtId="14" fontId="3" fillId="0" borderId="5" xfId="0" applyNumberFormat="1" applyFont="1" applyBorder="1"/>
    <xf numFmtId="0" fontId="15" fillId="10" borderId="0" xfId="0" applyFont="1" applyFill="1"/>
    <xf numFmtId="0" fontId="3" fillId="0" borderId="5" xfId="0" applyFont="1" applyBorder="1" applyAlignment="1">
      <alignment horizontal="center"/>
    </xf>
    <xf numFmtId="0" fontId="16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wrapText="1"/>
    </xf>
    <xf numFmtId="0" fontId="2" fillId="13" borderId="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left"/>
    </xf>
    <xf numFmtId="14" fontId="2" fillId="13" borderId="5" xfId="0" applyNumberFormat="1" applyFont="1" applyFill="1" applyBorder="1" applyAlignment="1">
      <alignment horizontal="left"/>
    </xf>
    <xf numFmtId="0" fontId="2" fillId="13" borderId="17" xfId="0" applyFont="1" applyFill="1" applyBorder="1" applyAlignment="1">
      <alignment horizontal="left" wrapText="1"/>
    </xf>
    <xf numFmtId="0" fontId="2" fillId="13" borderId="5" xfId="0" applyFont="1" applyFill="1" applyBorder="1" applyAlignment="1">
      <alignment horizontal="center" vertical="center" wrapText="1"/>
    </xf>
    <xf numFmtId="0" fontId="2" fillId="13" borderId="5" xfId="0" applyFont="1" applyFill="1" applyBorder="1"/>
    <xf numFmtId="0" fontId="2" fillId="10" borderId="0" xfId="0" applyFont="1" applyFill="1"/>
    <xf numFmtId="0" fontId="17" fillId="10" borderId="0" xfId="0" applyFont="1" applyFill="1"/>
    <xf numFmtId="0" fontId="3" fillId="11" borderId="5" xfId="0" applyFont="1" applyFill="1" applyBorder="1" applyAlignment="1">
      <alignment horizontal="center"/>
    </xf>
    <xf numFmtId="0" fontId="18" fillId="11" borderId="5" xfId="0" applyFont="1" applyFill="1" applyBorder="1" applyAlignment="1">
      <alignment horizontal="left"/>
    </xf>
    <xf numFmtId="0" fontId="14" fillId="11" borderId="5" xfId="0" applyFont="1" applyFill="1" applyBorder="1" applyAlignment="1">
      <alignment horizontal="left"/>
    </xf>
    <xf numFmtId="0" fontId="18" fillId="11" borderId="5" xfId="0" applyFont="1" applyFill="1" applyBorder="1"/>
    <xf numFmtId="0" fontId="3" fillId="11" borderId="0" xfId="0" applyFont="1" applyFill="1" applyAlignment="1">
      <alignment horizontal="left"/>
    </xf>
    <xf numFmtId="0" fontId="13" fillId="11" borderId="5" xfId="0" applyFont="1" applyFill="1" applyBorder="1"/>
    <xf numFmtId="0" fontId="15" fillId="11" borderId="5" xfId="0" applyFont="1" applyFill="1" applyBorder="1" applyAlignment="1">
      <alignment horizontal="left"/>
    </xf>
    <xf numFmtId="14" fontId="3" fillId="11" borderId="5" xfId="0" applyNumberFormat="1" applyFont="1" applyFill="1" applyBorder="1"/>
    <xf numFmtId="0" fontId="3" fillId="0" borderId="18" xfId="0" applyFont="1" applyBorder="1" applyAlignment="1">
      <alignment horizontal="left"/>
    </xf>
    <xf numFmtId="0" fontId="13" fillId="0" borderId="5" xfId="0" applyFont="1" applyBorder="1"/>
    <xf numFmtId="0" fontId="13" fillId="0" borderId="5" xfId="0" applyFont="1" applyBorder="1" applyAlignment="1">
      <alignment horizontal="left"/>
    </xf>
    <xf numFmtId="0" fontId="3" fillId="12" borderId="5" xfId="0" applyFont="1" applyFill="1" applyBorder="1" applyAlignment="1">
      <alignment horizontal="center"/>
    </xf>
    <xf numFmtId="14" fontId="3" fillId="12" borderId="5" xfId="0" applyNumberFormat="1" applyFont="1" applyFill="1" applyBorder="1"/>
    <xf numFmtId="0" fontId="14" fillId="12" borderId="5" xfId="0" applyFont="1" applyFill="1" applyBorder="1"/>
    <xf numFmtId="0" fontId="15" fillId="12" borderId="0" xfId="0" applyFont="1" applyFill="1"/>
    <xf numFmtId="0" fontId="14" fillId="11" borderId="5" xfId="0" applyFont="1" applyFill="1" applyBorder="1"/>
    <xf numFmtId="0" fontId="3" fillId="11" borderId="17" xfId="0" applyFont="1" applyFill="1" applyBorder="1" applyAlignment="1">
      <alignment horizontal="left"/>
    </xf>
    <xf numFmtId="0" fontId="3" fillId="13" borderId="5" xfId="0" applyFont="1" applyFill="1" applyBorder="1" applyAlignment="1">
      <alignment horizontal="center"/>
    </xf>
    <xf numFmtId="0" fontId="3" fillId="13" borderId="5" xfId="0" applyFont="1" applyFill="1" applyBorder="1"/>
    <xf numFmtId="14" fontId="3" fillId="13" borderId="19" xfId="0" applyNumberFormat="1" applyFont="1" applyFill="1" applyBorder="1"/>
    <xf numFmtId="0" fontId="19" fillId="13" borderId="5" xfId="0" applyFont="1" applyFill="1" applyBorder="1"/>
    <xf numFmtId="14" fontId="3" fillId="13" borderId="5" xfId="0" applyNumberFormat="1" applyFont="1" applyFill="1" applyBorder="1"/>
    <xf numFmtId="0" fontId="3" fillId="13" borderId="5" xfId="0" applyFont="1" applyFill="1" applyBorder="1" applyAlignment="1">
      <alignment horizontal="left"/>
    </xf>
    <xf numFmtId="14" fontId="3" fillId="13" borderId="5" xfId="0" applyNumberFormat="1" applyFont="1" applyFill="1" applyBorder="1" applyAlignment="1">
      <alignment horizontal="left"/>
    </xf>
    <xf numFmtId="0" fontId="3" fillId="13" borderId="5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left" wrapText="1"/>
    </xf>
    <xf numFmtId="0" fontId="2" fillId="13" borderId="5" xfId="0" applyFont="1" applyFill="1" applyBorder="1" applyAlignment="1">
      <alignment horizontal="center" wrapText="1"/>
    </xf>
    <xf numFmtId="14" fontId="2" fillId="13" borderId="5" xfId="0" applyNumberFormat="1" applyFont="1" applyFill="1" applyBorder="1" applyAlignment="1">
      <alignment horizontal="left" wrapText="1"/>
    </xf>
    <xf numFmtId="0" fontId="20" fillId="13" borderId="5" xfId="0" applyFont="1" applyFill="1" applyBorder="1"/>
    <xf numFmtId="165" fontId="2" fillId="13" borderId="5" xfId="0" applyNumberFormat="1" applyFont="1" applyFill="1" applyBorder="1" applyAlignment="1">
      <alignment horizontal="left" wrapText="1"/>
    </xf>
    <xf numFmtId="0" fontId="2" fillId="13" borderId="5" xfId="0" applyFont="1" applyFill="1" applyBorder="1" applyAlignment="1">
      <alignment wrapText="1"/>
    </xf>
    <xf numFmtId="0" fontId="2" fillId="13" borderId="17" xfId="0" applyFont="1" applyFill="1" applyBorder="1" applyAlignment="1">
      <alignment horizontal="center" vertical="center" wrapText="1"/>
    </xf>
    <xf numFmtId="14" fontId="2" fillId="13" borderId="17" xfId="0" applyNumberFormat="1" applyFont="1" applyFill="1" applyBorder="1" applyAlignment="1">
      <alignment wrapText="1"/>
    </xf>
    <xf numFmtId="0" fontId="21" fillId="10" borderId="20" xfId="0" applyFont="1" applyFill="1" applyBorder="1"/>
    <xf numFmtId="0" fontId="22" fillId="10" borderId="0" xfId="0" applyFont="1" applyFill="1"/>
    <xf numFmtId="0" fontId="2" fillId="13" borderId="5" xfId="0" applyFont="1" applyFill="1" applyBorder="1" applyAlignment="1">
      <alignment horizontal="center"/>
    </xf>
    <xf numFmtId="14" fontId="2" fillId="13" borderId="19" xfId="0" applyNumberFormat="1" applyFont="1" applyFill="1" applyBorder="1"/>
    <xf numFmtId="14" fontId="2" fillId="13" borderId="5" xfId="0" applyNumberFormat="1" applyFont="1" applyFill="1" applyBorder="1"/>
    <xf numFmtId="0" fontId="23" fillId="10" borderId="0" xfId="0" applyFont="1" applyFill="1"/>
    <xf numFmtId="0" fontId="3" fillId="13" borderId="5" xfId="0" applyFont="1" applyFill="1" applyBorder="1" applyAlignment="1">
      <alignment horizontal="right"/>
    </xf>
    <xf numFmtId="0" fontId="2" fillId="13" borderId="5" xfId="0" applyFont="1" applyFill="1" applyBorder="1" applyAlignment="1">
      <alignment horizontal="right"/>
    </xf>
    <xf numFmtId="0" fontId="3" fillId="13" borderId="5" xfId="0" applyFont="1" applyFill="1" applyBorder="1" applyAlignment="1">
      <alignment horizontal="center" vertical="center"/>
    </xf>
    <xf numFmtId="165" fontId="3" fillId="13" borderId="5" xfId="0" applyNumberFormat="1" applyFont="1" applyFill="1" applyBorder="1"/>
    <xf numFmtId="0" fontId="13" fillId="10" borderId="21" xfId="0" applyFont="1" applyFill="1" applyBorder="1"/>
    <xf numFmtId="0" fontId="13" fillId="10" borderId="22" xfId="0" applyFont="1" applyFill="1" applyBorder="1"/>
    <xf numFmtId="165" fontId="2" fillId="13" borderId="5" xfId="0" applyNumberFormat="1" applyFont="1" applyFill="1" applyBorder="1"/>
    <xf numFmtId="0" fontId="17" fillId="10" borderId="21" xfId="0" applyFont="1" applyFill="1" applyBorder="1"/>
    <xf numFmtId="0" fontId="17" fillId="10" borderId="22" xfId="0" applyFont="1" applyFill="1" applyBorder="1"/>
    <xf numFmtId="0" fontId="24" fillId="10" borderId="20" xfId="0" applyFont="1" applyFill="1" applyBorder="1"/>
    <xf numFmtId="0" fontId="25" fillId="10" borderId="0" xfId="0" applyFont="1" applyFill="1"/>
    <xf numFmtId="0" fontId="26" fillId="10" borderId="20" xfId="0" applyFont="1" applyFill="1" applyBorder="1"/>
    <xf numFmtId="0" fontId="3" fillId="13" borderId="5" xfId="0" applyFont="1" applyFill="1" applyBorder="1" applyAlignment="1">
      <alignment horizontal="left" wrapText="1"/>
    </xf>
    <xf numFmtId="0" fontId="3" fillId="13" borderId="5" xfId="0" applyFont="1" applyFill="1" applyBorder="1" applyAlignment="1">
      <alignment horizontal="center" wrapText="1"/>
    </xf>
    <xf numFmtId="14" fontId="3" fillId="13" borderId="5" xfId="0" applyNumberFormat="1" applyFont="1" applyFill="1" applyBorder="1" applyAlignment="1">
      <alignment horizontal="left" wrapText="1"/>
    </xf>
    <xf numFmtId="165" fontId="3" fillId="13" borderId="5" xfId="0" applyNumberFormat="1" applyFont="1" applyFill="1" applyBorder="1" applyAlignment="1">
      <alignment horizontal="left" wrapText="1"/>
    </xf>
    <xf numFmtId="0" fontId="3" fillId="13" borderId="5" xfId="0" applyFont="1" applyFill="1" applyBorder="1" applyAlignment="1">
      <alignment wrapText="1"/>
    </xf>
    <xf numFmtId="14" fontId="3" fillId="13" borderId="5" xfId="0" applyNumberFormat="1" applyFont="1" applyFill="1" applyBorder="1" applyAlignment="1">
      <alignment wrapText="1"/>
    </xf>
    <xf numFmtId="0" fontId="4" fillId="10" borderId="23" xfId="0" applyFont="1" applyFill="1" applyBorder="1"/>
    <xf numFmtId="0" fontId="4" fillId="10" borderId="20" xfId="0" applyFont="1" applyFill="1" applyBorder="1"/>
    <xf numFmtId="14" fontId="2" fillId="13" borderId="5" xfId="0" applyNumberFormat="1" applyFont="1" applyFill="1" applyBorder="1" applyAlignment="1">
      <alignment wrapText="1"/>
    </xf>
    <xf numFmtId="0" fontId="21" fillId="10" borderId="23" xfId="0" applyFont="1" applyFill="1" applyBorder="1"/>
    <xf numFmtId="0" fontId="26" fillId="10" borderId="23" xfId="0" applyFont="1" applyFill="1" applyBorder="1"/>
    <xf numFmtId="0" fontId="3" fillId="12" borderId="24" xfId="0" applyFont="1" applyFill="1" applyBorder="1"/>
    <xf numFmtId="0" fontId="3" fillId="12" borderId="24" xfId="0" applyFont="1" applyFill="1" applyBorder="1" applyAlignment="1">
      <alignment horizontal="center" vertical="center"/>
    </xf>
    <xf numFmtId="0" fontId="3" fillId="12" borderId="24" xfId="0" applyFont="1" applyFill="1" applyBorder="1" applyAlignment="1">
      <alignment horizontal="left"/>
    </xf>
    <xf numFmtId="0" fontId="3" fillId="12" borderId="24" xfId="0" applyFont="1" applyFill="1" applyBorder="1" applyAlignment="1">
      <alignment horizontal="center"/>
    </xf>
    <xf numFmtId="14" fontId="3" fillId="12" borderId="24" xfId="0" applyNumberFormat="1" applyFont="1" applyFill="1" applyBorder="1"/>
    <xf numFmtId="0" fontId="3" fillId="10" borderId="20" xfId="0" applyFont="1" applyFill="1" applyBorder="1"/>
    <xf numFmtId="0" fontId="3" fillId="12" borderId="20" xfId="0" applyFont="1" applyFill="1" applyBorder="1"/>
    <xf numFmtId="0" fontId="3" fillId="12" borderId="20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left"/>
    </xf>
    <xf numFmtId="0" fontId="3" fillId="12" borderId="20" xfId="0" applyFont="1" applyFill="1" applyBorder="1" applyAlignment="1">
      <alignment horizontal="center"/>
    </xf>
    <xf numFmtId="14" fontId="3" fillId="12" borderId="20" xfId="0" applyNumberFormat="1" applyFont="1" applyFill="1" applyBorder="1"/>
    <xf numFmtId="0" fontId="2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1" borderId="25" xfId="0" applyFont="1" applyFill="1" applyBorder="1" applyAlignment="1">
      <alignment horizont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left" wrapText="1"/>
    </xf>
    <xf numFmtId="0" fontId="4" fillId="11" borderId="26" xfId="0" applyFont="1" applyFill="1" applyBorder="1" applyAlignment="1">
      <alignment horizontal="center" wrapText="1"/>
    </xf>
    <xf numFmtId="14" fontId="4" fillId="11" borderId="26" xfId="0" applyNumberFormat="1" applyFont="1" applyFill="1" applyBorder="1" applyAlignment="1">
      <alignment horizontal="left" wrapText="1"/>
    </xf>
    <xf numFmtId="0" fontId="4" fillId="11" borderId="26" xfId="0" applyFont="1" applyFill="1" applyBorder="1" applyAlignment="1">
      <alignment wrapText="1"/>
    </xf>
    <xf numFmtId="14" fontId="4" fillId="11" borderId="26" xfId="0" applyNumberFormat="1" applyFont="1" applyFill="1" applyBorder="1" applyAlignment="1">
      <alignment wrapText="1"/>
    </xf>
    <xf numFmtId="0" fontId="4" fillId="11" borderId="27" xfId="0" applyFont="1" applyFill="1" applyBorder="1" applyAlignment="1">
      <alignment horizontal="center" wrapText="1"/>
    </xf>
    <xf numFmtId="0" fontId="4" fillId="11" borderId="28" xfId="0" applyFont="1" applyFill="1" applyBorder="1" applyAlignment="1">
      <alignment horizontal="center" vertical="center" wrapText="1"/>
    </xf>
    <xf numFmtId="0" fontId="4" fillId="11" borderId="28" xfId="0" applyFont="1" applyFill="1" applyBorder="1" applyAlignment="1">
      <alignment horizontal="left" wrapText="1"/>
    </xf>
    <xf numFmtId="0" fontId="4" fillId="11" borderId="28" xfId="0" applyFont="1" applyFill="1" applyBorder="1" applyAlignment="1">
      <alignment horizontal="center" wrapText="1"/>
    </xf>
    <xf numFmtId="14" fontId="4" fillId="11" borderId="28" xfId="0" applyNumberFormat="1" applyFont="1" applyFill="1" applyBorder="1" applyAlignment="1">
      <alignment horizontal="left" wrapText="1"/>
    </xf>
    <xf numFmtId="0" fontId="4" fillId="11" borderId="28" xfId="0" applyFont="1" applyFill="1" applyBorder="1" applyAlignment="1">
      <alignment wrapText="1"/>
    </xf>
    <xf numFmtId="0" fontId="4" fillId="14" borderId="27" xfId="0" applyFont="1" applyFill="1" applyBorder="1" applyAlignment="1">
      <alignment horizontal="center" wrapText="1"/>
    </xf>
    <xf numFmtId="0" fontId="4" fillId="14" borderId="28" xfId="0" applyFont="1" applyFill="1" applyBorder="1" applyAlignment="1">
      <alignment horizontal="center" vertical="center" wrapText="1"/>
    </xf>
    <xf numFmtId="0" fontId="4" fillId="14" borderId="28" xfId="0" applyFont="1" applyFill="1" applyBorder="1" applyAlignment="1">
      <alignment horizontal="left" wrapText="1"/>
    </xf>
    <xf numFmtId="0" fontId="4" fillId="14" borderId="28" xfId="0" applyFont="1" applyFill="1" applyBorder="1" applyAlignment="1">
      <alignment horizontal="center" wrapText="1"/>
    </xf>
    <xf numFmtId="14" fontId="4" fillId="14" borderId="28" xfId="0" applyNumberFormat="1" applyFont="1" applyFill="1" applyBorder="1" applyAlignment="1">
      <alignment horizontal="left" wrapText="1"/>
    </xf>
    <xf numFmtId="0" fontId="4" fillId="14" borderId="28" xfId="0" applyFont="1" applyFill="1" applyBorder="1" applyAlignment="1">
      <alignment wrapText="1"/>
    </xf>
    <xf numFmtId="14" fontId="4" fillId="14" borderId="26" xfId="0" applyNumberFormat="1" applyFont="1" applyFill="1" applyBorder="1" applyAlignment="1">
      <alignment wrapText="1"/>
    </xf>
    <xf numFmtId="0" fontId="4" fillId="14" borderId="20" xfId="0" applyFont="1" applyFill="1" applyBorder="1"/>
    <xf numFmtId="0" fontId="4" fillId="12" borderId="5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wrapText="1"/>
    </xf>
    <xf numFmtId="14" fontId="4" fillId="12" borderId="5" xfId="0" applyNumberFormat="1" applyFont="1" applyFill="1" applyBorder="1" applyAlignment="1">
      <alignment wrapText="1"/>
    </xf>
    <xf numFmtId="0" fontId="4" fillId="12" borderId="20" xfId="0" applyFont="1" applyFill="1" applyBorder="1"/>
    <xf numFmtId="0" fontId="4" fillId="14" borderId="5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14" fontId="4" fillId="14" borderId="5" xfId="0" applyNumberFormat="1" applyFont="1" applyFill="1" applyBorder="1" applyAlignment="1">
      <alignment wrapText="1"/>
    </xf>
    <xf numFmtId="0" fontId="4" fillId="12" borderId="5" xfId="0" applyFont="1" applyFill="1" applyBorder="1" applyAlignment="1">
      <alignment horizontal="left" vertical="center" wrapText="1"/>
    </xf>
    <xf numFmtId="14" fontId="4" fillId="12" borderId="5" xfId="0" applyNumberFormat="1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vertical="center" wrapText="1"/>
    </xf>
    <xf numFmtId="0" fontId="4" fillId="12" borderId="20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20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1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center"/>
    </xf>
    <xf numFmtId="14" fontId="4" fillId="11" borderId="5" xfId="0" applyNumberFormat="1" applyFont="1" applyFill="1" applyBorder="1" applyAlignment="1">
      <alignment horizontal="left"/>
    </xf>
    <xf numFmtId="0" fontId="4" fillId="11" borderId="5" xfId="0" applyFont="1" applyFill="1" applyBorder="1"/>
    <xf numFmtId="0" fontId="4" fillId="11" borderId="5" xfId="0" applyFont="1" applyFill="1" applyBorder="1" applyAlignment="1">
      <alignment horizontal="center" vertical="center" wrapText="1"/>
    </xf>
    <xf numFmtId="14" fontId="4" fillId="11" borderId="5" xfId="0" applyNumberFormat="1" applyFont="1" applyFill="1" applyBorder="1"/>
    <xf numFmtId="0" fontId="4" fillId="11" borderId="20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1" borderId="5" xfId="0" applyFont="1" applyFill="1" applyBorder="1" applyAlignment="1">
      <alignment horizontal="center" wrapText="1"/>
    </xf>
    <xf numFmtId="0" fontId="4" fillId="11" borderId="20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0" fontId="27" fillId="11" borderId="5" xfId="0" applyFont="1" applyFill="1" applyBorder="1" applyAlignment="1">
      <alignment wrapText="1"/>
    </xf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vertical="center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0" fontId="4" fillId="15" borderId="5" xfId="0" applyFont="1" applyFill="1" applyBorder="1" applyAlignment="1">
      <alignment horizontal="left" wrapText="1"/>
    </xf>
    <xf numFmtId="0" fontId="4" fillId="15" borderId="20" xfId="0" applyFont="1" applyFill="1" applyBorder="1"/>
    <xf numFmtId="0" fontId="4" fillId="0" borderId="5" xfId="0" applyFont="1" applyBorder="1" applyAlignment="1">
      <alignment vertical="center" wrapText="1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left"/>
    </xf>
    <xf numFmtId="0" fontId="4" fillId="16" borderId="5" xfId="0" applyFont="1" applyFill="1" applyBorder="1" applyAlignment="1">
      <alignment horizontal="center"/>
    </xf>
    <xf numFmtId="14" fontId="4" fillId="16" borderId="5" xfId="0" applyNumberFormat="1" applyFont="1" applyFill="1" applyBorder="1" applyAlignment="1">
      <alignment horizontal="left"/>
    </xf>
    <xf numFmtId="0" fontId="4" fillId="16" borderId="5" xfId="0" applyFont="1" applyFill="1" applyBorder="1"/>
    <xf numFmtId="0" fontId="4" fillId="16" borderId="5" xfId="0" applyFont="1" applyFill="1" applyBorder="1" applyAlignment="1">
      <alignment horizontal="center" vertical="center" wrapText="1"/>
    </xf>
    <xf numFmtId="14" fontId="4" fillId="16" borderId="5" xfId="0" applyNumberFormat="1" applyFont="1" applyFill="1" applyBorder="1"/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wrapText="1"/>
    </xf>
    <xf numFmtId="0" fontId="4" fillId="14" borderId="5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left"/>
    </xf>
    <xf numFmtId="0" fontId="4" fillId="14" borderId="5" xfId="0" applyFont="1" applyFill="1" applyBorder="1" applyAlignment="1">
      <alignment horizontal="center"/>
    </xf>
    <xf numFmtId="14" fontId="4" fillId="14" borderId="5" xfId="0" applyNumberFormat="1" applyFont="1" applyFill="1" applyBorder="1" applyAlignment="1">
      <alignment horizontal="left"/>
    </xf>
    <xf numFmtId="0" fontId="4" fillId="14" borderId="5" xfId="0" applyFont="1" applyFill="1" applyBorder="1"/>
    <xf numFmtId="14" fontId="4" fillId="14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/>
    <xf numFmtId="0" fontId="4" fillId="17" borderId="5" xfId="0" applyFont="1" applyFill="1" applyBorder="1" applyAlignment="1">
      <alignment wrapText="1"/>
    </xf>
    <xf numFmtId="14" fontId="4" fillId="17" borderId="5" xfId="0" applyNumberFormat="1" applyFont="1" applyFill="1" applyBorder="1"/>
    <xf numFmtId="0" fontId="4" fillId="17" borderId="20" xfId="0" applyFont="1" applyFill="1" applyBorder="1"/>
    <xf numFmtId="0" fontId="4" fillId="0" borderId="29" xfId="0" applyFont="1" applyBorder="1"/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left"/>
    </xf>
    <xf numFmtId="0" fontId="4" fillId="18" borderId="5" xfId="0" applyFont="1" applyFill="1" applyBorder="1"/>
    <xf numFmtId="14" fontId="4" fillId="18" borderId="5" xfId="0" applyNumberFormat="1" applyFont="1" applyFill="1" applyBorder="1"/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20" xfId="0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21" fillId="3" borderId="20" xfId="0" applyFont="1" applyFill="1" applyBorder="1"/>
    <xf numFmtId="0" fontId="4" fillId="19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left"/>
    </xf>
    <xf numFmtId="0" fontId="4" fillId="19" borderId="5" xfId="0" applyFont="1" applyFill="1" applyBorder="1" applyAlignment="1">
      <alignment horizontal="center"/>
    </xf>
    <xf numFmtId="14" fontId="4" fillId="19" borderId="5" xfId="0" applyNumberFormat="1" applyFont="1" applyFill="1" applyBorder="1" applyAlignment="1">
      <alignment horizontal="left"/>
    </xf>
    <xf numFmtId="0" fontId="4" fillId="19" borderId="5" xfId="0" applyFont="1" applyFill="1" applyBorder="1"/>
    <xf numFmtId="0" fontId="4" fillId="19" borderId="5" xfId="0" applyFont="1" applyFill="1" applyBorder="1" applyAlignment="1">
      <alignment horizontal="right"/>
    </xf>
    <xf numFmtId="14" fontId="4" fillId="19" borderId="5" xfId="0" applyNumberFormat="1" applyFont="1" applyFill="1" applyBorder="1"/>
    <xf numFmtId="0" fontId="3" fillId="19" borderId="5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left" wrapText="1"/>
    </xf>
    <xf numFmtId="0" fontId="3" fillId="19" borderId="5" xfId="0" applyFont="1" applyFill="1" applyBorder="1" applyAlignment="1">
      <alignment horizontal="center" wrapText="1"/>
    </xf>
    <xf numFmtId="14" fontId="3" fillId="19" borderId="5" xfId="0" applyNumberFormat="1" applyFont="1" applyFill="1" applyBorder="1" applyAlignment="1">
      <alignment horizontal="left" wrapText="1"/>
    </xf>
    <xf numFmtId="0" fontId="3" fillId="19" borderId="5" xfId="0" applyFont="1" applyFill="1" applyBorder="1" applyAlignment="1">
      <alignment wrapText="1"/>
    </xf>
    <xf numFmtId="0" fontId="3" fillId="19" borderId="5" xfId="0" applyFont="1" applyFill="1" applyBorder="1" applyAlignment="1">
      <alignment horizontal="right" wrapText="1"/>
    </xf>
    <xf numFmtId="0" fontId="21" fillId="11" borderId="20" xfId="0" applyFont="1" applyFill="1" applyBorder="1"/>
    <xf numFmtId="0" fontId="3" fillId="19" borderId="20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left" vertical="center"/>
    </xf>
    <xf numFmtId="0" fontId="3" fillId="19" borderId="20" xfId="0" applyFont="1" applyFill="1" applyBorder="1" applyAlignment="1">
      <alignment vertical="center"/>
    </xf>
    <xf numFmtId="0" fontId="3" fillId="11" borderId="20" xfId="0" applyFont="1" applyFill="1" applyBorder="1"/>
    <xf numFmtId="0" fontId="3" fillId="19" borderId="5" xfId="0" applyFont="1" applyFill="1" applyBorder="1"/>
    <xf numFmtId="0" fontId="3" fillId="19" borderId="5" xfId="0" applyFont="1" applyFill="1" applyBorder="1" applyAlignment="1">
      <alignment horizontal="left"/>
    </xf>
    <xf numFmtId="0" fontId="13" fillId="11" borderId="20" xfId="0" applyFont="1" applyFill="1" applyBorder="1"/>
    <xf numFmtId="0" fontId="3" fillId="2" borderId="5" xfId="0" applyFont="1" applyFill="1" applyBorder="1" applyAlignment="1">
      <alignment horizont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/>
    <xf numFmtId="0" fontId="15" fillId="2" borderId="5" xfId="0" applyFont="1" applyFill="1" applyBorder="1" applyAlignment="1">
      <alignment horizontal="center"/>
    </xf>
    <xf numFmtId="14" fontId="15" fillId="2" borderId="5" xfId="0" applyNumberFormat="1" applyFont="1" applyFill="1" applyBorder="1"/>
    <xf numFmtId="0" fontId="15" fillId="2" borderId="5" xfId="0" applyFont="1" applyFill="1" applyBorder="1" applyAlignment="1">
      <alignment horizontal="right"/>
    </xf>
    <xf numFmtId="0" fontId="15" fillId="2" borderId="5" xfId="0" applyFont="1" applyFill="1" applyBorder="1" applyAlignment="1">
      <alignment horizontal="left"/>
    </xf>
    <xf numFmtId="0" fontId="29" fillId="11" borderId="20" xfId="0" applyFont="1" applyFill="1" applyBorder="1"/>
    <xf numFmtId="0" fontId="12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/>
    </xf>
    <xf numFmtId="14" fontId="12" fillId="8" borderId="5" xfId="0" applyNumberFormat="1" applyFont="1" applyFill="1" applyBorder="1" applyAlignment="1">
      <alignment horizontal="left"/>
    </xf>
    <xf numFmtId="0" fontId="12" fillId="8" borderId="5" xfId="0" applyFont="1" applyFill="1" applyBorder="1"/>
    <xf numFmtId="0" fontId="12" fillId="8" borderId="5" xfId="0" applyFont="1" applyFill="1" applyBorder="1" applyAlignment="1">
      <alignment horizontal="right"/>
    </xf>
    <xf numFmtId="14" fontId="12" fillId="8" borderId="5" xfId="0" applyNumberFormat="1" applyFont="1" applyFill="1" applyBorder="1"/>
    <xf numFmtId="0" fontId="12" fillId="8" borderId="20" xfId="0" applyFont="1" applyFill="1" applyBorder="1"/>
    <xf numFmtId="0" fontId="12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left" wrapText="1"/>
    </xf>
    <xf numFmtId="0" fontId="12" fillId="8" borderId="5" xfId="0" applyFont="1" applyFill="1" applyBorder="1" applyAlignment="1">
      <alignment horizontal="center" wrapText="1"/>
    </xf>
    <xf numFmtId="14" fontId="12" fillId="8" borderId="5" xfId="0" applyNumberFormat="1" applyFont="1" applyFill="1" applyBorder="1" applyAlignment="1">
      <alignment horizontal="left" wrapText="1"/>
    </xf>
    <xf numFmtId="0" fontId="12" fillId="8" borderId="5" xfId="0" applyFont="1" applyFill="1" applyBorder="1" applyAlignment="1">
      <alignment wrapText="1"/>
    </xf>
    <xf numFmtId="0" fontId="3" fillId="0" borderId="17" xfId="0" applyFont="1" applyBorder="1" applyAlignment="1">
      <alignment horizontal="center" wrapText="1"/>
    </xf>
    <xf numFmtId="0" fontId="12" fillId="8" borderId="30" xfId="0" applyFont="1" applyFill="1" applyBorder="1" applyAlignment="1">
      <alignment horizontal="center" vertical="center" wrapText="1"/>
    </xf>
    <xf numFmtId="0" fontId="12" fillId="8" borderId="30" xfId="0" applyFont="1" applyFill="1" applyBorder="1" applyAlignment="1">
      <alignment horizontal="left" wrapText="1"/>
    </xf>
    <xf numFmtId="0" fontId="12" fillId="8" borderId="30" xfId="0" applyFont="1" applyFill="1" applyBorder="1" applyAlignment="1">
      <alignment horizontal="center" wrapText="1"/>
    </xf>
    <xf numFmtId="14" fontId="12" fillId="8" borderId="30" xfId="0" applyNumberFormat="1" applyFont="1" applyFill="1" applyBorder="1" applyAlignment="1">
      <alignment horizontal="left" wrapText="1"/>
    </xf>
    <xf numFmtId="0" fontId="12" fillId="8" borderId="30" xfId="0" applyFont="1" applyFill="1" applyBorder="1"/>
    <xf numFmtId="0" fontId="12" fillId="8" borderId="30" xfId="0" applyFont="1" applyFill="1" applyBorder="1" applyAlignment="1">
      <alignment horizontal="right"/>
    </xf>
    <xf numFmtId="0" fontId="12" fillId="8" borderId="30" xfId="0" applyFont="1" applyFill="1" applyBorder="1" applyAlignment="1">
      <alignment wrapText="1"/>
    </xf>
    <xf numFmtId="14" fontId="12" fillId="8" borderId="30" xfId="0" applyNumberFormat="1" applyFont="1" applyFill="1" applyBorder="1"/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14" fontId="12" fillId="0" borderId="5" xfId="0" applyNumberFormat="1" applyFont="1" applyBorder="1" applyAlignment="1">
      <alignment horizontal="center" wrapText="1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14" fontId="12" fillId="0" borderId="5" xfId="0" applyNumberFormat="1" applyFont="1" applyBorder="1"/>
    <xf numFmtId="0" fontId="30" fillId="0" borderId="0" xfId="0" applyFont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14" fontId="12" fillId="0" borderId="5" xfId="0" applyNumberFormat="1" applyFont="1" applyBorder="1" applyAlignment="1">
      <alignment horizontal="left"/>
    </xf>
    <xf numFmtId="14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right"/>
    </xf>
    <xf numFmtId="14" fontId="12" fillId="0" borderId="5" xfId="0" applyNumberFormat="1" applyFont="1" applyBorder="1" applyAlignment="1">
      <alignment wrapText="1"/>
    </xf>
    <xf numFmtId="14" fontId="12" fillId="8" borderId="5" xfId="0" applyNumberFormat="1" applyFont="1" applyFill="1" applyBorder="1" applyAlignment="1">
      <alignment horizontal="center"/>
    </xf>
    <xf numFmtId="0" fontId="30" fillId="8" borderId="20" xfId="0" applyFont="1" applyFill="1" applyBorder="1"/>
    <xf numFmtId="0" fontId="3" fillId="11" borderId="5" xfId="0" applyFont="1" applyFill="1" applyBorder="1" applyAlignment="1">
      <alignment horizontal="right"/>
    </xf>
    <xf numFmtId="0" fontId="31" fillId="11" borderId="5" xfId="0" applyFont="1" applyFill="1" applyBorder="1"/>
    <xf numFmtId="14" fontId="3" fillId="11" borderId="5" xfId="0" applyNumberFormat="1" applyFont="1" applyFill="1" applyBorder="1" applyAlignment="1">
      <alignment horizontal="center"/>
    </xf>
    <xf numFmtId="0" fontId="15" fillId="11" borderId="20" xfId="0" applyFont="1" applyFill="1" applyBorder="1"/>
    <xf numFmtId="0" fontId="3" fillId="11" borderId="5" xfId="0" applyFont="1" applyFill="1" applyBorder="1" applyAlignment="1">
      <alignment wrapText="1"/>
    </xf>
    <xf numFmtId="0" fontId="3" fillId="11" borderId="5" xfId="0" applyFont="1" applyFill="1" applyBorder="1" applyAlignment="1">
      <alignment horizontal="center" wrapText="1"/>
    </xf>
    <xf numFmtId="14" fontId="3" fillId="11" borderId="5" xfId="0" applyNumberFormat="1" applyFont="1" applyFill="1" applyBorder="1" applyAlignment="1">
      <alignment wrapText="1"/>
    </xf>
    <xf numFmtId="0" fontId="3" fillId="11" borderId="5" xfId="0" applyFont="1" applyFill="1" applyBorder="1" applyAlignment="1">
      <alignment horizontal="right" wrapText="1"/>
    </xf>
    <xf numFmtId="14" fontId="3" fillId="11" borderId="5" xfId="0" applyNumberFormat="1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center" vertical="center"/>
    </xf>
    <xf numFmtId="0" fontId="3" fillId="16" borderId="5" xfId="0" applyFont="1" applyFill="1" applyBorder="1"/>
    <xf numFmtId="0" fontId="3" fillId="16" borderId="5" xfId="0" applyFont="1" applyFill="1" applyBorder="1" applyAlignment="1">
      <alignment horizontal="center"/>
    </xf>
    <xf numFmtId="14" fontId="3" fillId="16" borderId="5" xfId="0" applyNumberFormat="1" applyFont="1" applyFill="1" applyBorder="1" applyAlignment="1">
      <alignment horizontal="left"/>
    </xf>
    <xf numFmtId="14" fontId="3" fillId="16" borderId="5" xfId="0" applyNumberFormat="1" applyFont="1" applyFill="1" applyBorder="1" applyAlignment="1">
      <alignment horizontal="center"/>
    </xf>
    <xf numFmtId="0" fontId="3" fillId="16" borderId="5" xfId="0" applyFont="1" applyFill="1" applyBorder="1" applyAlignment="1">
      <alignment horizontal="left"/>
    </xf>
    <xf numFmtId="0" fontId="3" fillId="16" borderId="5" xfId="0" applyFont="1" applyFill="1" applyBorder="1" applyAlignment="1">
      <alignment horizontal="center" vertical="center" wrapText="1"/>
    </xf>
    <xf numFmtId="14" fontId="12" fillId="16" borderId="5" xfId="0" applyNumberFormat="1" applyFont="1" applyFill="1" applyBorder="1"/>
    <xf numFmtId="0" fontId="13" fillId="10" borderId="20" xfId="0" applyFont="1" applyFill="1" applyBorder="1"/>
    <xf numFmtId="0" fontId="3" fillId="16" borderId="5" xfId="0" applyFont="1" applyFill="1" applyBorder="1" applyAlignment="1">
      <alignment horizontal="right"/>
    </xf>
    <xf numFmtId="0" fontId="15" fillId="10" borderId="20" xfId="0" applyFont="1" applyFill="1" applyBorder="1"/>
    <xf numFmtId="0" fontId="3" fillId="16" borderId="5" xfId="0" applyFont="1" applyFill="1" applyBorder="1" applyAlignment="1">
      <alignment wrapText="1"/>
    </xf>
    <xf numFmtId="14" fontId="3" fillId="16" borderId="5" xfId="0" applyNumberFormat="1" applyFont="1" applyFill="1" applyBorder="1" applyAlignment="1">
      <alignment wrapText="1"/>
    </xf>
    <xf numFmtId="0" fontId="3" fillId="16" borderId="5" xfId="0" applyFont="1" applyFill="1" applyBorder="1" applyAlignment="1">
      <alignment horizontal="right" wrapText="1"/>
    </xf>
    <xf numFmtId="14" fontId="3" fillId="16" borderId="5" xfId="0" applyNumberFormat="1" applyFont="1" applyFill="1" applyBorder="1" applyAlignment="1">
      <alignment horizontal="center" wrapText="1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32" fillId="20" borderId="31" xfId="0" applyFont="1" applyFill="1" applyBorder="1" applyAlignment="1">
      <alignment horizontal="left" vertical="top"/>
    </xf>
    <xf numFmtId="0" fontId="32" fillId="20" borderId="32" xfId="0" applyFont="1" applyFill="1" applyBorder="1" applyAlignment="1">
      <alignment horizontal="left" vertical="top"/>
    </xf>
    <xf numFmtId="0" fontId="19" fillId="10" borderId="0" xfId="0" applyFont="1" applyFill="1"/>
    <xf numFmtId="0" fontId="19" fillId="10" borderId="33" xfId="0" applyFont="1" applyFill="1" applyBorder="1" applyAlignment="1">
      <alignment horizontal="left"/>
    </xf>
    <xf numFmtId="0" fontId="19" fillId="10" borderId="33" xfId="0" applyFont="1" applyFill="1" applyBorder="1" applyAlignment="1">
      <alignment horizontal="right"/>
    </xf>
    <xf numFmtId="166" fontId="19" fillId="10" borderId="33" xfId="0" applyNumberFormat="1" applyFont="1" applyFill="1" applyBorder="1" applyAlignment="1">
      <alignment horizontal="right"/>
    </xf>
    <xf numFmtId="167" fontId="19" fillId="10" borderId="33" xfId="0" applyNumberFormat="1" applyFont="1" applyFill="1" applyBorder="1" applyAlignment="1">
      <alignment horizontal="left"/>
    </xf>
    <xf numFmtId="168" fontId="19" fillId="10" borderId="33" xfId="0" applyNumberFormat="1" applyFont="1" applyFill="1" applyBorder="1" applyAlignment="1">
      <alignment horizontal="right"/>
    </xf>
    <xf numFmtId="169" fontId="19" fillId="10" borderId="33" xfId="0" applyNumberFormat="1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10572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zf426@hotmail.com" TargetMode="External"/><Relationship Id="rId1" Type="http://schemas.openxmlformats.org/officeDocument/2006/relationships/hyperlink" Target="mailto:qinlingli1985@gmail.com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mailto:zf426@hotmail.com" TargetMode="External"/><Relationship Id="rId4" Type="http://schemas.openxmlformats.org/officeDocument/2006/relationships/hyperlink" Target="mailto:janezh30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workbookViewId="0">
      <selection activeCell="D25" sqref="D25"/>
    </sheetView>
  </sheetViews>
  <sheetFormatPr baseColWidth="10" defaultColWidth="14.5" defaultRowHeight="15" customHeight="1"/>
  <cols>
    <col min="1" max="1" width="16.83203125" customWidth="1"/>
    <col min="2" max="2" width="65.83203125" customWidth="1"/>
    <col min="3" max="3" width="12.1640625" customWidth="1"/>
    <col min="4" max="4" width="10.5" customWidth="1"/>
    <col min="5" max="5" width="24" customWidth="1"/>
    <col min="6" max="6" width="15.5" customWidth="1"/>
    <col min="7" max="7" width="8.83203125" customWidth="1"/>
    <col min="8" max="8" width="36.5" customWidth="1"/>
    <col min="9" max="10" width="8.83203125" customWidth="1"/>
    <col min="11" max="11" width="41.83203125" customWidth="1"/>
    <col min="12" max="26" width="8.83203125" customWidth="1"/>
  </cols>
  <sheetData>
    <row r="1" spans="1:26" ht="25">
      <c r="A1" s="444" t="s">
        <v>0</v>
      </c>
      <c r="B1" s="445"/>
      <c r="C1" s="445"/>
      <c r="D1" s="445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45838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45838</v>
      </c>
      <c r="B9" s="18" t="s">
        <v>15</v>
      </c>
      <c r="C9" s="18"/>
      <c r="D9" s="19">
        <f t="shared" ref="D9:D10" si="1">C55</f>
        <v>48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45838</v>
      </c>
      <c r="B10" s="18" t="s">
        <v>16</v>
      </c>
      <c r="C10" s="18"/>
      <c r="D10" s="19">
        <f t="shared" si="1"/>
        <v>63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45838</v>
      </c>
      <c r="B11" s="18" t="s">
        <v>17</v>
      </c>
      <c r="C11" s="21">
        <v>25</v>
      </c>
      <c r="D11" s="19">
        <f>SUM(C37:C40)</f>
        <v>31</v>
      </c>
      <c r="E11" s="22">
        <f t="shared" ref="E11:E25" si="2">C11*D11</f>
        <v>775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45838</v>
      </c>
      <c r="B12" s="18" t="s">
        <v>18</v>
      </c>
      <c r="C12" s="21">
        <v>22</v>
      </c>
      <c r="D12" s="19">
        <f t="shared" ref="D12:D13" si="3">C35+C37-C41-C53</f>
        <v>45</v>
      </c>
      <c r="E12" s="22">
        <f t="shared" si="2"/>
        <v>990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45838</v>
      </c>
      <c r="B13" s="18" t="s">
        <v>19</v>
      </c>
      <c r="C13" s="21">
        <v>22</v>
      </c>
      <c r="D13" s="19">
        <f t="shared" si="3"/>
        <v>57</v>
      </c>
      <c r="E13" s="22">
        <f t="shared" si="2"/>
        <v>1254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45838</v>
      </c>
      <c r="B14" s="18" t="s">
        <v>20</v>
      </c>
      <c r="C14" s="21">
        <f t="shared" ref="C14:C15" si="4">C12/2</f>
        <v>11</v>
      </c>
      <c r="D14" s="19">
        <f t="shared" ref="D14:D15" si="5">C39</f>
        <v>3</v>
      </c>
      <c r="E14" s="22">
        <f t="shared" si="2"/>
        <v>33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45838</v>
      </c>
      <c r="B15" s="18" t="s">
        <v>21</v>
      </c>
      <c r="C15" s="21">
        <f t="shared" si="4"/>
        <v>11</v>
      </c>
      <c r="D15" s="19">
        <f t="shared" si="5"/>
        <v>6</v>
      </c>
      <c r="E15" s="22">
        <f t="shared" si="2"/>
        <v>66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45838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45838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45838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45838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45838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45838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45838</v>
      </c>
      <c r="B22" s="26"/>
      <c r="C22" s="27"/>
      <c r="D22" s="28"/>
      <c r="E22" s="22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45838</v>
      </c>
      <c r="B23" s="29" t="s">
        <v>25</v>
      </c>
      <c r="C23" s="21">
        <v>-25</v>
      </c>
      <c r="D23" s="19"/>
      <c r="E23" s="30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45838</v>
      </c>
      <c r="B24" s="29" t="s">
        <v>26</v>
      </c>
      <c r="C24" s="21">
        <v>-25</v>
      </c>
      <c r="D24" s="19">
        <v>12</v>
      </c>
      <c r="E24" s="30">
        <f t="shared" si="2"/>
        <v>-300</v>
      </c>
      <c r="F24" s="31"/>
      <c r="G24" s="32"/>
      <c r="H24" s="32"/>
      <c r="I24" s="32"/>
      <c r="J24" s="32"/>
      <c r="K24" s="32"/>
      <c r="L24" s="32"/>
      <c r="M24" s="32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45838</v>
      </c>
      <c r="B25" s="33"/>
      <c r="C25" s="34"/>
      <c r="D25" s="35"/>
      <c r="E25" s="30">
        <f t="shared" si="2"/>
        <v>0</v>
      </c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45838</v>
      </c>
      <c r="B26" s="18" t="s">
        <v>27</v>
      </c>
      <c r="C26" s="21"/>
      <c r="D26" s="21"/>
      <c r="E26" s="22">
        <f>SUM(E11:E25)</f>
        <v>2968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45838</v>
      </c>
      <c r="B27" s="36"/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45838</v>
      </c>
      <c r="B28" s="36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45838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45838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45838</v>
      </c>
      <c r="B31" s="42" t="s">
        <v>30</v>
      </c>
      <c r="C31" s="21"/>
      <c r="D31" s="22"/>
      <c r="E31" s="43">
        <f>E26+E27+E28+E29-E30</f>
        <v>2968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 t="s">
        <v>34</v>
      </c>
      <c r="B35" s="51" t="s">
        <v>35</v>
      </c>
      <c r="C35" s="52">
        <v>59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 t="s">
        <v>37</v>
      </c>
      <c r="B36" s="53" t="s">
        <v>38</v>
      </c>
      <c r="C36" s="54">
        <v>72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 t="s">
        <v>40</v>
      </c>
      <c r="B37" s="55" t="s">
        <v>41</v>
      </c>
      <c r="C37" s="56">
        <v>10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 t="s">
        <v>44</v>
      </c>
      <c r="B38" s="59" t="s">
        <v>45</v>
      </c>
      <c r="C38" s="60">
        <v>12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 t="s">
        <v>48</v>
      </c>
      <c r="B39" s="55" t="s">
        <v>49</v>
      </c>
      <c r="C39" s="56">
        <v>3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 t="s">
        <v>52</v>
      </c>
      <c r="B40" s="59" t="s">
        <v>53</v>
      </c>
      <c r="C40" s="60">
        <v>6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 t="s">
        <v>56</v>
      </c>
      <c r="B41" s="57" t="s">
        <v>43</v>
      </c>
      <c r="C41" s="60">
        <v>24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 t="s">
        <v>60</v>
      </c>
      <c r="B42" s="61" t="s">
        <v>47</v>
      </c>
      <c r="C42" s="60">
        <v>27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 t="s">
        <v>65</v>
      </c>
      <c r="B43" s="63" t="s">
        <v>58</v>
      </c>
      <c r="C43" s="64">
        <f t="shared" ref="C43:C44" si="10">C35+C37+C39-C41</f>
        <v>48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 t="s">
        <v>66</v>
      </c>
      <c r="B44" s="65" t="s">
        <v>62</v>
      </c>
      <c r="C44" s="66">
        <f t="shared" si="10"/>
        <v>63</v>
      </c>
      <c r="D44" s="2">
        <f>C44+C43</f>
        <v>111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9" t="s">
        <v>68</v>
      </c>
      <c r="C49" s="70">
        <f t="shared" ref="C49:C50" si="11">C43-I41-L41</f>
        <v>48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71" t="s">
        <v>69</v>
      </c>
      <c r="C50" s="70">
        <f t="shared" si="11"/>
        <v>63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63" t="s">
        <v>58</v>
      </c>
      <c r="C55" s="64">
        <f t="shared" ref="C55:C56" si="14">C49+C51+C53</f>
        <v>48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65" t="s">
        <v>62</v>
      </c>
      <c r="C56" s="66">
        <f t="shared" si="14"/>
        <v>63</v>
      </c>
      <c r="D56" s="2">
        <f>C56+C55</f>
        <v>111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85"/>
  <sheetViews>
    <sheetView topLeftCell="I1" zoomScale="125" workbookViewId="0">
      <pane ySplit="5" topLeftCell="A153" activePane="bottomLeft" state="frozen"/>
      <selection pane="bottomLeft" activeCell="V2" sqref="V2"/>
    </sheetView>
  </sheetViews>
  <sheetFormatPr baseColWidth="10" defaultColWidth="14.5" defaultRowHeight="15" customHeight="1"/>
  <cols>
    <col min="1" max="1" width="9.5" customWidth="1"/>
    <col min="2" max="2" width="7" customWidth="1"/>
    <col min="3" max="3" width="12.5" customWidth="1"/>
    <col min="4" max="4" width="12.83203125" customWidth="1"/>
    <col min="5" max="5" width="6.1640625" customWidth="1"/>
    <col min="6" max="6" width="13.5" customWidth="1"/>
    <col min="7" max="7" width="51.5" customWidth="1"/>
    <col min="8" max="8" width="14.1640625" customWidth="1"/>
    <col min="9" max="9" width="32" customWidth="1"/>
    <col min="10" max="10" width="13.5" customWidth="1"/>
    <col min="11" max="11" width="12.5" customWidth="1"/>
    <col min="12" max="12" width="11.6640625" customWidth="1"/>
    <col min="13" max="13" width="38.5" customWidth="1"/>
    <col min="14" max="14" width="6.6640625" customWidth="1"/>
    <col min="15" max="15" width="12.83203125" customWidth="1"/>
    <col min="16" max="16" width="3.1640625" customWidth="1"/>
    <col min="17" max="27" width="5.5" customWidth="1"/>
    <col min="28" max="46" width="8.83203125" customWidth="1"/>
  </cols>
  <sheetData>
    <row r="1" spans="1:48" ht="17.25" customHeight="1">
      <c r="A1" s="1" t="s">
        <v>80</v>
      </c>
      <c r="B1" s="11"/>
      <c r="C1" s="79" t="s">
        <v>4</v>
      </c>
      <c r="D1" s="79"/>
      <c r="E1" s="11"/>
      <c r="F1" s="79"/>
      <c r="G1" s="15" t="s">
        <v>81</v>
      </c>
      <c r="H1" s="79"/>
      <c r="I1" s="32"/>
      <c r="J1" s="79"/>
      <c r="K1" s="79"/>
      <c r="L1" s="79"/>
      <c r="M1" s="79" t="str">
        <f>P!E1</f>
        <v>Due by: 7/1/25</v>
      </c>
      <c r="N1" s="11"/>
      <c r="O1" s="80"/>
      <c r="P1" s="2"/>
      <c r="Q1" s="81"/>
      <c r="R1" s="81" t="s">
        <v>40</v>
      </c>
      <c r="S1" s="81" t="s">
        <v>82</v>
      </c>
      <c r="T1" s="81" t="s">
        <v>34</v>
      </c>
      <c r="U1" s="81" t="s">
        <v>52</v>
      </c>
      <c r="V1" s="81" t="s">
        <v>83</v>
      </c>
      <c r="W1" s="82" t="s">
        <v>84</v>
      </c>
      <c r="X1" s="81" t="s">
        <v>85</v>
      </c>
      <c r="Y1" s="81" t="s">
        <v>86</v>
      </c>
      <c r="Z1" s="81" t="s">
        <v>87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8" ht="15.75" customHeight="1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2"/>
      <c r="J2" s="79"/>
      <c r="K2" s="85"/>
      <c r="L2" s="85"/>
      <c r="M2" s="85">
        <f>P!F3</f>
        <v>45838</v>
      </c>
      <c r="N2" s="11"/>
      <c r="O2" s="80"/>
      <c r="P2" s="2"/>
      <c r="Q2" s="86" t="s">
        <v>88</v>
      </c>
      <c r="R2" s="87">
        <f>COUNTIFS(N6:N167,"=C",B6:B167,"=M")</f>
        <v>35</v>
      </c>
      <c r="S2" s="87">
        <f>COUNTIFS(N6:N167,"=N",B6:B167,"=M")</f>
        <v>13</v>
      </c>
      <c r="T2" s="87">
        <f>COUNTIFS(N6:N167,"=a",B6:B167,"=M")</f>
        <v>24</v>
      </c>
      <c r="U2" s="87">
        <f>COUNTIFS(N6:N167,"=F",B6:B167,"=M")</f>
        <v>0</v>
      </c>
      <c r="V2" s="87">
        <f>COUNTIFS(N6:N167,"=R",B6:B167,"=M")</f>
        <v>0</v>
      </c>
      <c r="W2" s="87">
        <f>COUNTIFS(N6:N167,"=IT",B6:B167,"=M")</f>
        <v>0</v>
      </c>
      <c r="X2" s="87">
        <f t="shared" ref="X2:X3" si="0">R2+T2+U2</f>
        <v>59</v>
      </c>
      <c r="Y2" s="87">
        <f t="shared" ref="Y2:Y3" si="1">R2+S2+U2+W2+V2</f>
        <v>48</v>
      </c>
      <c r="Z2" s="87">
        <f t="shared" ref="Z2:Z3" si="2">R2+S2+T2+U2+W2+V2</f>
        <v>72</v>
      </c>
      <c r="AA2" s="2"/>
      <c r="AB2" s="2">
        <f t="shared" ref="AB2:AB3" si="3">S2+V2+W2</f>
        <v>13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8" ht="17.25" customHeight="1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2"/>
      <c r="J3" s="79"/>
      <c r="K3" s="79"/>
      <c r="L3" s="79"/>
      <c r="M3" s="79" t="s">
        <v>89</v>
      </c>
      <c r="N3" s="11"/>
      <c r="O3" s="80"/>
      <c r="P3" s="2"/>
      <c r="Q3" s="81" t="s">
        <v>48</v>
      </c>
      <c r="R3" s="87">
        <f>COUNTIFS(N6:N167,"=C",B6:B167,"=E")</f>
        <v>45</v>
      </c>
      <c r="S3" s="87">
        <f>COUNTIFS(N6:N167,"=N",B6:B167,"=E")</f>
        <v>18</v>
      </c>
      <c r="T3" s="87">
        <f>COUNTIFS(N6:N167,"=a",B6:B167,"=e")</f>
        <v>27</v>
      </c>
      <c r="U3" s="87">
        <f>COUNTIFS(N6:N167,"=F",B6:B167,"=E")</f>
        <v>0</v>
      </c>
      <c r="V3" s="87">
        <f>COUNTIFS(N6:N167,"=R",B6:B167,"=E")</f>
        <v>0</v>
      </c>
      <c r="W3" s="87">
        <f>COUNTIFS(N6:N167,"=IT",B6:B167,"=E")</f>
        <v>0</v>
      </c>
      <c r="X3" s="87">
        <f t="shared" si="0"/>
        <v>72</v>
      </c>
      <c r="Y3" s="87">
        <f t="shared" si="1"/>
        <v>63</v>
      </c>
      <c r="Z3" s="87">
        <f t="shared" si="2"/>
        <v>90</v>
      </c>
      <c r="AA3" s="2"/>
      <c r="AB3" s="2">
        <f t="shared" si="3"/>
        <v>18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8" ht="17.25" customHeight="1">
      <c r="A4" s="83"/>
      <c r="B4" s="11"/>
      <c r="C4" s="79"/>
      <c r="D4" s="79"/>
      <c r="E4" s="11"/>
      <c r="F4" s="79"/>
      <c r="G4" s="79"/>
      <c r="H4" s="79"/>
      <c r="I4" s="32"/>
      <c r="J4" s="79"/>
      <c r="K4" s="79"/>
      <c r="L4" s="79"/>
      <c r="M4" s="79"/>
      <c r="N4" s="11"/>
      <c r="O4" s="80"/>
      <c r="P4" s="2"/>
      <c r="Q4" s="81" t="s">
        <v>90</v>
      </c>
      <c r="R4" s="88">
        <f t="shared" ref="R4:Z4" si="4">R2+R3</f>
        <v>80</v>
      </c>
      <c r="S4" s="88">
        <f t="shared" si="4"/>
        <v>31</v>
      </c>
      <c r="T4" s="88">
        <f t="shared" si="4"/>
        <v>51</v>
      </c>
      <c r="U4" s="88">
        <f t="shared" si="4"/>
        <v>0</v>
      </c>
      <c r="V4" s="88">
        <f t="shared" si="4"/>
        <v>0</v>
      </c>
      <c r="W4" s="88">
        <f t="shared" si="4"/>
        <v>0</v>
      </c>
      <c r="X4" s="88">
        <f t="shared" si="4"/>
        <v>131</v>
      </c>
      <c r="Y4" s="88">
        <f t="shared" si="4"/>
        <v>111</v>
      </c>
      <c r="Z4" s="86">
        <f t="shared" si="4"/>
        <v>162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8" ht="68">
      <c r="A5" s="89" t="s">
        <v>13</v>
      </c>
      <c r="B5" s="89" t="s">
        <v>91</v>
      </c>
      <c r="C5" s="90" t="s">
        <v>92</v>
      </c>
      <c r="D5" s="90" t="s">
        <v>93</v>
      </c>
      <c r="E5" s="89" t="s">
        <v>94</v>
      </c>
      <c r="F5" s="90" t="s">
        <v>95</v>
      </c>
      <c r="G5" s="89" t="s">
        <v>96</v>
      </c>
      <c r="H5" s="90" t="s">
        <v>97</v>
      </c>
      <c r="I5" s="89" t="s">
        <v>98</v>
      </c>
      <c r="J5" s="90" t="s">
        <v>99</v>
      </c>
      <c r="K5" s="89" t="s">
        <v>100</v>
      </c>
      <c r="L5" s="89" t="s">
        <v>101</v>
      </c>
      <c r="M5" s="89" t="s">
        <v>102</v>
      </c>
      <c r="N5" s="89" t="s">
        <v>103</v>
      </c>
      <c r="O5" s="91" t="s">
        <v>104</v>
      </c>
      <c r="P5" s="92"/>
      <c r="Q5" s="92"/>
      <c r="R5" s="92"/>
      <c r="S5" s="92">
        <f>Y4-X4</f>
        <v>-20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2"/>
      <c r="AV5" s="2"/>
    </row>
    <row r="6" spans="1:48" ht="15" customHeight="1">
      <c r="A6" s="93">
        <v>1</v>
      </c>
      <c r="B6" s="88" t="s">
        <v>88</v>
      </c>
      <c r="C6" s="94" t="s">
        <v>105</v>
      </c>
      <c r="D6" s="94" t="s">
        <v>106</v>
      </c>
      <c r="E6" s="94">
        <v>6</v>
      </c>
      <c r="F6" s="95">
        <v>41507</v>
      </c>
      <c r="G6" s="94" t="s">
        <v>107</v>
      </c>
      <c r="H6" s="94">
        <v>4084894857</v>
      </c>
      <c r="I6" s="94" t="s">
        <v>108</v>
      </c>
      <c r="J6" s="95">
        <v>45704</v>
      </c>
      <c r="K6" s="94" t="s">
        <v>109</v>
      </c>
      <c r="L6" s="94">
        <v>100</v>
      </c>
      <c r="M6" s="94"/>
      <c r="N6" s="96" t="s">
        <v>40</v>
      </c>
      <c r="O6" s="97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9"/>
      <c r="AV6" s="99"/>
    </row>
    <row r="7" spans="1:48" ht="15" customHeight="1">
      <c r="A7" s="93">
        <v>2</v>
      </c>
      <c r="B7" s="88" t="s">
        <v>48</v>
      </c>
      <c r="C7" s="94" t="s">
        <v>105</v>
      </c>
      <c r="D7" s="94" t="s">
        <v>106</v>
      </c>
      <c r="E7" s="94">
        <v>6</v>
      </c>
      <c r="F7" s="95">
        <v>41507</v>
      </c>
      <c r="G7" s="94" t="s">
        <v>107</v>
      </c>
      <c r="H7" s="94">
        <v>4084894857</v>
      </c>
      <c r="I7" s="94" t="s">
        <v>108</v>
      </c>
      <c r="J7" s="95">
        <v>45704</v>
      </c>
      <c r="K7" s="94" t="s">
        <v>110</v>
      </c>
      <c r="L7" s="94">
        <v>1</v>
      </c>
      <c r="M7" s="94"/>
      <c r="N7" s="96" t="s">
        <v>40</v>
      </c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9"/>
      <c r="AV7" s="99"/>
    </row>
    <row r="8" spans="1:48" ht="15" customHeight="1">
      <c r="A8" s="93">
        <v>3</v>
      </c>
      <c r="B8" s="100" t="s">
        <v>88</v>
      </c>
      <c r="C8" s="101" t="s">
        <v>111</v>
      </c>
      <c r="D8" s="101" t="s">
        <v>112</v>
      </c>
      <c r="E8" s="101">
        <v>5</v>
      </c>
      <c r="F8" s="102" t="s">
        <v>113</v>
      </c>
      <c r="G8" s="101" t="s">
        <v>114</v>
      </c>
      <c r="H8" s="101">
        <v>4027071083</v>
      </c>
      <c r="I8" s="101" t="s">
        <v>115</v>
      </c>
      <c r="J8" s="102" t="s">
        <v>116</v>
      </c>
      <c r="K8" s="101"/>
      <c r="L8" s="101"/>
      <c r="M8" s="101" t="s">
        <v>117</v>
      </c>
      <c r="N8" s="103" t="s">
        <v>34</v>
      </c>
      <c r="O8" s="10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9"/>
      <c r="AV8" s="99"/>
    </row>
    <row r="9" spans="1:48" ht="15" customHeight="1">
      <c r="A9" s="93">
        <v>4</v>
      </c>
      <c r="B9" s="105" t="s">
        <v>88</v>
      </c>
      <c r="C9" s="106" t="s">
        <v>118</v>
      </c>
      <c r="D9" s="106" t="s">
        <v>119</v>
      </c>
      <c r="E9" s="106">
        <v>5</v>
      </c>
      <c r="F9" s="107" t="s">
        <v>120</v>
      </c>
      <c r="G9" s="106" t="s">
        <v>121</v>
      </c>
      <c r="H9" s="106">
        <v>5103665279</v>
      </c>
      <c r="I9" s="106" t="s">
        <v>122</v>
      </c>
      <c r="J9" s="107" t="s">
        <v>123</v>
      </c>
      <c r="K9" s="106" t="s">
        <v>124</v>
      </c>
      <c r="L9" s="106">
        <v>11</v>
      </c>
      <c r="M9" s="106"/>
      <c r="N9" s="108" t="s">
        <v>40</v>
      </c>
      <c r="O9" s="109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1"/>
      <c r="AV9" s="111"/>
    </row>
    <row r="10" spans="1:48" ht="15" customHeight="1">
      <c r="A10" s="93">
        <v>5</v>
      </c>
      <c r="B10" s="105" t="s">
        <v>48</v>
      </c>
      <c r="C10" s="106" t="s">
        <v>118</v>
      </c>
      <c r="D10" s="106" t="s">
        <v>119</v>
      </c>
      <c r="E10" s="106">
        <v>5</v>
      </c>
      <c r="F10" s="107" t="s">
        <v>120</v>
      </c>
      <c r="G10" s="106" t="s">
        <v>121</v>
      </c>
      <c r="H10" s="106">
        <v>5103665279</v>
      </c>
      <c r="I10" s="106" t="s">
        <v>122</v>
      </c>
      <c r="J10" s="107">
        <v>45536</v>
      </c>
      <c r="K10" s="106" t="s">
        <v>125</v>
      </c>
      <c r="L10" s="106">
        <v>26</v>
      </c>
      <c r="M10" s="106"/>
      <c r="N10" s="108" t="s">
        <v>40</v>
      </c>
      <c r="O10" s="109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1"/>
      <c r="AV10" s="111"/>
    </row>
    <row r="11" spans="1:48" ht="15" customHeight="1">
      <c r="A11" s="93">
        <v>6</v>
      </c>
      <c r="B11" s="100" t="s">
        <v>48</v>
      </c>
      <c r="C11" s="101" t="s">
        <v>118</v>
      </c>
      <c r="D11" s="101" t="s">
        <v>126</v>
      </c>
      <c r="E11" s="101">
        <v>1</v>
      </c>
      <c r="F11" s="102">
        <v>43199</v>
      </c>
      <c r="G11" s="101" t="s">
        <v>127</v>
      </c>
      <c r="H11" s="101">
        <v>6503046747</v>
      </c>
      <c r="I11" s="101" t="s">
        <v>128</v>
      </c>
      <c r="J11" s="102">
        <v>45572</v>
      </c>
      <c r="K11" s="101" t="s">
        <v>129</v>
      </c>
      <c r="L11" s="101">
        <v>66</v>
      </c>
      <c r="M11" s="101"/>
      <c r="N11" s="103" t="s">
        <v>34</v>
      </c>
      <c r="O11" s="10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9"/>
      <c r="AV11" s="99"/>
    </row>
    <row r="12" spans="1:48" ht="15" customHeight="1">
      <c r="A12" s="93">
        <v>7</v>
      </c>
      <c r="B12" s="100" t="s">
        <v>88</v>
      </c>
      <c r="C12" s="101" t="s">
        <v>118</v>
      </c>
      <c r="D12" s="101" t="s">
        <v>126</v>
      </c>
      <c r="E12" s="101">
        <v>1</v>
      </c>
      <c r="F12" s="102">
        <v>43200</v>
      </c>
      <c r="G12" s="101" t="s">
        <v>130</v>
      </c>
      <c r="H12" s="101">
        <v>6503046747</v>
      </c>
      <c r="I12" s="101" t="s">
        <v>128</v>
      </c>
      <c r="J12" s="102">
        <v>45673</v>
      </c>
      <c r="K12" s="101" t="s">
        <v>131</v>
      </c>
      <c r="L12" s="101">
        <v>56</v>
      </c>
      <c r="M12" s="101"/>
      <c r="N12" s="103" t="s">
        <v>34</v>
      </c>
      <c r="O12" s="104"/>
      <c r="P12" s="98"/>
      <c r="Q12" s="98"/>
      <c r="R12" s="98"/>
      <c r="S12" s="98"/>
      <c r="T12" s="98"/>
      <c r="U12" s="98"/>
      <c r="V12" s="98" t="s">
        <v>64</v>
      </c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9"/>
      <c r="AV12" s="99"/>
    </row>
    <row r="13" spans="1:48" ht="15" customHeight="1">
      <c r="A13" s="93">
        <v>8</v>
      </c>
      <c r="B13" s="88" t="s">
        <v>48</v>
      </c>
      <c r="C13" s="94" t="s">
        <v>132</v>
      </c>
      <c r="D13" s="94" t="s">
        <v>133</v>
      </c>
      <c r="E13" s="94">
        <v>2</v>
      </c>
      <c r="F13" s="95" t="s">
        <v>134</v>
      </c>
      <c r="G13" s="94" t="s">
        <v>135</v>
      </c>
      <c r="H13" s="94">
        <v>5623488522</v>
      </c>
      <c r="I13" s="94" t="s">
        <v>136</v>
      </c>
      <c r="J13" s="95" t="s">
        <v>137</v>
      </c>
      <c r="K13" s="94" t="s">
        <v>138</v>
      </c>
      <c r="L13" s="94">
        <v>75</v>
      </c>
      <c r="M13" s="94"/>
      <c r="N13" s="96" t="s">
        <v>40</v>
      </c>
      <c r="O13" s="97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9"/>
      <c r="AV13" s="99"/>
    </row>
    <row r="14" spans="1:48" ht="15" customHeight="1">
      <c r="A14" s="93">
        <v>9</v>
      </c>
      <c r="B14" s="88" t="s">
        <v>88</v>
      </c>
      <c r="C14" s="94" t="s">
        <v>132</v>
      </c>
      <c r="D14" s="94" t="s">
        <v>133</v>
      </c>
      <c r="E14" s="94">
        <v>2</v>
      </c>
      <c r="F14" s="95" t="s">
        <v>134</v>
      </c>
      <c r="G14" s="94" t="s">
        <v>135</v>
      </c>
      <c r="H14" s="94">
        <v>5623488522</v>
      </c>
      <c r="I14" s="94" t="s">
        <v>136</v>
      </c>
      <c r="J14" s="95" t="s">
        <v>137</v>
      </c>
      <c r="K14" s="94" t="s">
        <v>139</v>
      </c>
      <c r="L14" s="94">
        <v>99</v>
      </c>
      <c r="M14" s="94"/>
      <c r="N14" s="96" t="s">
        <v>40</v>
      </c>
      <c r="O14" s="97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9"/>
      <c r="AV14" s="99"/>
    </row>
    <row r="15" spans="1:48" ht="15" customHeight="1">
      <c r="A15" s="93">
        <v>10</v>
      </c>
      <c r="B15" s="93" t="s">
        <v>48</v>
      </c>
      <c r="C15" s="112" t="s">
        <v>140</v>
      </c>
      <c r="D15" s="112" t="s">
        <v>141</v>
      </c>
      <c r="E15" s="112">
        <v>1</v>
      </c>
      <c r="F15" s="113">
        <v>43285</v>
      </c>
      <c r="G15" s="114" t="s">
        <v>142</v>
      </c>
      <c r="H15" s="114">
        <v>8584722267</v>
      </c>
      <c r="I15" s="114" t="s">
        <v>143</v>
      </c>
      <c r="J15" s="95">
        <v>45717</v>
      </c>
      <c r="K15" s="112" t="s">
        <v>144</v>
      </c>
      <c r="L15" s="112">
        <v>56</v>
      </c>
      <c r="M15" s="94"/>
      <c r="N15" s="96" t="s">
        <v>40</v>
      </c>
      <c r="O15" s="115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99"/>
      <c r="AV15" s="99"/>
    </row>
    <row r="16" spans="1:48" ht="15" customHeight="1">
      <c r="A16" s="93">
        <v>11</v>
      </c>
      <c r="B16" s="93" t="s">
        <v>88</v>
      </c>
      <c r="C16" s="112" t="s">
        <v>140</v>
      </c>
      <c r="D16" s="112" t="s">
        <v>141</v>
      </c>
      <c r="E16" s="112">
        <v>1</v>
      </c>
      <c r="F16" s="113">
        <v>43285</v>
      </c>
      <c r="G16" s="114" t="s">
        <v>145</v>
      </c>
      <c r="H16" s="114">
        <v>8584722267</v>
      </c>
      <c r="I16" s="114" t="s">
        <v>143</v>
      </c>
      <c r="J16" s="95">
        <v>45717</v>
      </c>
      <c r="K16" s="112"/>
      <c r="L16" s="112"/>
      <c r="M16" s="94"/>
      <c r="N16" s="96" t="s">
        <v>40</v>
      </c>
      <c r="O16" s="115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99"/>
      <c r="AV16" s="99"/>
    </row>
    <row r="17" spans="1:48" ht="15" customHeight="1">
      <c r="A17" s="93">
        <v>12</v>
      </c>
      <c r="B17" s="105" t="s">
        <v>48</v>
      </c>
      <c r="C17" s="106" t="s">
        <v>146</v>
      </c>
      <c r="D17" s="106" t="s">
        <v>147</v>
      </c>
      <c r="E17" s="106">
        <v>1</v>
      </c>
      <c r="F17" s="107">
        <v>43091</v>
      </c>
      <c r="G17" s="106" t="s">
        <v>148</v>
      </c>
      <c r="H17" s="106">
        <v>6509967701</v>
      </c>
      <c r="I17" s="106" t="s">
        <v>149</v>
      </c>
      <c r="J17" s="107">
        <v>45537</v>
      </c>
      <c r="K17" s="106" t="s">
        <v>150</v>
      </c>
      <c r="L17" s="106">
        <v>56</v>
      </c>
      <c r="M17" s="106"/>
      <c r="N17" s="108" t="s">
        <v>40</v>
      </c>
      <c r="O17" s="109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1"/>
      <c r="AV17" s="111"/>
    </row>
    <row r="18" spans="1:48" ht="15" customHeight="1">
      <c r="A18" s="93">
        <v>13</v>
      </c>
      <c r="B18" s="105" t="s">
        <v>88</v>
      </c>
      <c r="C18" s="106" t="s">
        <v>146</v>
      </c>
      <c r="D18" s="106" t="s">
        <v>147</v>
      </c>
      <c r="E18" s="106">
        <v>1</v>
      </c>
      <c r="F18" s="107">
        <v>43091</v>
      </c>
      <c r="G18" s="106" t="s">
        <v>148</v>
      </c>
      <c r="H18" s="106">
        <v>6509967701</v>
      </c>
      <c r="I18" s="106" t="s">
        <v>149</v>
      </c>
      <c r="J18" s="107">
        <v>45537</v>
      </c>
      <c r="K18" s="106" t="s">
        <v>151</v>
      </c>
      <c r="L18" s="106">
        <v>99</v>
      </c>
      <c r="M18" s="106"/>
      <c r="N18" s="108" t="s">
        <v>40</v>
      </c>
      <c r="O18" s="109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1"/>
      <c r="AV18" s="111"/>
    </row>
    <row r="19" spans="1:48" ht="15" customHeight="1">
      <c r="A19" s="93">
        <v>14</v>
      </c>
      <c r="B19" s="100" t="s">
        <v>48</v>
      </c>
      <c r="C19" s="101" t="s">
        <v>146</v>
      </c>
      <c r="D19" s="101" t="s">
        <v>152</v>
      </c>
      <c r="E19" s="101" t="s">
        <v>153</v>
      </c>
      <c r="F19" s="102" t="s">
        <v>154</v>
      </c>
      <c r="G19" s="101" t="s">
        <v>155</v>
      </c>
      <c r="H19" s="101">
        <v>2177211536</v>
      </c>
      <c r="I19" s="101" t="s">
        <v>156</v>
      </c>
      <c r="J19" s="102" t="s">
        <v>157</v>
      </c>
      <c r="K19" s="101" t="s">
        <v>129</v>
      </c>
      <c r="L19" s="101">
        <v>36</v>
      </c>
      <c r="M19" s="101" t="s">
        <v>158</v>
      </c>
      <c r="N19" s="103" t="s">
        <v>34</v>
      </c>
      <c r="O19" s="10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9"/>
      <c r="AV19" s="99"/>
    </row>
    <row r="20" spans="1:48" ht="15" customHeight="1">
      <c r="A20" s="93">
        <v>15</v>
      </c>
      <c r="B20" s="100" t="s">
        <v>88</v>
      </c>
      <c r="C20" s="101" t="s">
        <v>146</v>
      </c>
      <c r="D20" s="101" t="s">
        <v>152</v>
      </c>
      <c r="E20" s="101" t="s">
        <v>153</v>
      </c>
      <c r="F20" s="102" t="s">
        <v>154</v>
      </c>
      <c r="G20" s="101" t="s">
        <v>155</v>
      </c>
      <c r="H20" s="101">
        <v>2177211536</v>
      </c>
      <c r="I20" s="101" t="s">
        <v>156</v>
      </c>
      <c r="J20" s="102" t="s">
        <v>157</v>
      </c>
      <c r="K20" s="101" t="s">
        <v>159</v>
      </c>
      <c r="L20" s="101">
        <v>25</v>
      </c>
      <c r="M20" s="101" t="s">
        <v>158</v>
      </c>
      <c r="N20" s="103" t="s">
        <v>34</v>
      </c>
      <c r="O20" s="10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9"/>
      <c r="AV20" s="99"/>
    </row>
    <row r="21" spans="1:48" ht="15" customHeight="1">
      <c r="A21" s="93">
        <v>16</v>
      </c>
      <c r="B21" s="100" t="s">
        <v>48</v>
      </c>
      <c r="C21" s="101" t="s">
        <v>146</v>
      </c>
      <c r="D21" s="101" t="s">
        <v>160</v>
      </c>
      <c r="E21" s="101">
        <v>3</v>
      </c>
      <c r="F21" s="102">
        <v>42436</v>
      </c>
      <c r="G21" s="101" t="s">
        <v>161</v>
      </c>
      <c r="H21" s="101">
        <v>6505245558</v>
      </c>
      <c r="I21" s="101" t="s">
        <v>162</v>
      </c>
      <c r="J21" s="102">
        <v>45658</v>
      </c>
      <c r="K21" s="101" t="s">
        <v>150</v>
      </c>
      <c r="L21" s="101">
        <v>11</v>
      </c>
      <c r="M21" s="101"/>
      <c r="N21" s="103" t="s">
        <v>34</v>
      </c>
      <c r="O21" s="10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9"/>
      <c r="AV21" s="99"/>
    </row>
    <row r="22" spans="1:48" ht="15" customHeight="1">
      <c r="A22" s="93">
        <v>17</v>
      </c>
      <c r="B22" s="100" t="s">
        <v>48</v>
      </c>
      <c r="C22" s="101" t="s">
        <v>146</v>
      </c>
      <c r="D22" s="101" t="s">
        <v>163</v>
      </c>
      <c r="E22" s="101">
        <v>2</v>
      </c>
      <c r="F22" s="102">
        <v>42989</v>
      </c>
      <c r="G22" s="101" t="s">
        <v>164</v>
      </c>
      <c r="H22" s="101">
        <v>4082104112</v>
      </c>
      <c r="I22" s="101" t="s">
        <v>165</v>
      </c>
      <c r="J22" s="102">
        <v>45537</v>
      </c>
      <c r="K22" s="101" t="s">
        <v>166</v>
      </c>
      <c r="L22" s="101">
        <v>48</v>
      </c>
      <c r="M22" s="101"/>
      <c r="N22" s="103" t="s">
        <v>34</v>
      </c>
      <c r="O22" s="10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9"/>
      <c r="AV22" s="99"/>
    </row>
    <row r="23" spans="1:48" ht="15" customHeight="1">
      <c r="A23" s="93">
        <v>18</v>
      </c>
      <c r="B23" s="88" t="s">
        <v>48</v>
      </c>
      <c r="C23" s="94" t="s">
        <v>167</v>
      </c>
      <c r="D23" s="94" t="s">
        <v>168</v>
      </c>
      <c r="E23" s="94">
        <v>1</v>
      </c>
      <c r="F23" s="95" t="s">
        <v>169</v>
      </c>
      <c r="G23" s="94" t="s">
        <v>170</v>
      </c>
      <c r="H23" s="94">
        <v>6282247551</v>
      </c>
      <c r="I23" s="94" t="s">
        <v>171</v>
      </c>
      <c r="J23" s="95" t="s">
        <v>172</v>
      </c>
      <c r="K23" s="94" t="s">
        <v>173</v>
      </c>
      <c r="L23" s="94">
        <v>66</v>
      </c>
      <c r="M23" s="94"/>
      <c r="N23" s="96" t="s">
        <v>40</v>
      </c>
      <c r="O23" s="97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9"/>
      <c r="AV23" s="99"/>
    </row>
    <row r="24" spans="1:48" ht="15" customHeight="1">
      <c r="A24" s="93">
        <v>19</v>
      </c>
      <c r="B24" s="88" t="s">
        <v>88</v>
      </c>
      <c r="C24" s="94" t="s">
        <v>167</v>
      </c>
      <c r="D24" s="94" t="s">
        <v>168</v>
      </c>
      <c r="E24" s="94">
        <v>1</v>
      </c>
      <c r="F24" s="95" t="s">
        <v>169</v>
      </c>
      <c r="G24" s="94" t="s">
        <v>170</v>
      </c>
      <c r="H24" s="94">
        <v>6282247551</v>
      </c>
      <c r="I24" s="94" t="s">
        <v>171</v>
      </c>
      <c r="J24" s="95" t="s">
        <v>172</v>
      </c>
      <c r="K24" s="94" t="s">
        <v>159</v>
      </c>
      <c r="L24" s="94">
        <v>48</v>
      </c>
      <c r="M24" s="94"/>
      <c r="N24" s="96" t="s">
        <v>40</v>
      </c>
      <c r="O24" s="97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9"/>
      <c r="AV24" s="99"/>
    </row>
    <row r="25" spans="1:48" ht="15" customHeight="1">
      <c r="A25" s="93">
        <v>20</v>
      </c>
      <c r="B25" s="105" t="s">
        <v>48</v>
      </c>
      <c r="C25" s="106" t="s">
        <v>174</v>
      </c>
      <c r="D25" s="106" t="s">
        <v>175</v>
      </c>
      <c r="E25" s="106">
        <v>4</v>
      </c>
      <c r="F25" s="107" t="s">
        <v>176</v>
      </c>
      <c r="G25" s="106" t="s">
        <v>177</v>
      </c>
      <c r="H25" s="106">
        <v>3415296214</v>
      </c>
      <c r="I25" s="106" t="s">
        <v>178</v>
      </c>
      <c r="J25" s="107" t="s">
        <v>179</v>
      </c>
      <c r="K25" s="106" t="s">
        <v>180</v>
      </c>
      <c r="L25" s="106">
        <v>1</v>
      </c>
      <c r="M25" s="106"/>
      <c r="N25" s="108" t="s">
        <v>40</v>
      </c>
      <c r="O25" s="109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1"/>
      <c r="AV25" s="111"/>
    </row>
    <row r="26" spans="1:48" ht="15" customHeight="1">
      <c r="A26" s="93">
        <v>21</v>
      </c>
      <c r="B26" s="105" t="s">
        <v>88</v>
      </c>
      <c r="C26" s="106" t="s">
        <v>174</v>
      </c>
      <c r="D26" s="106" t="s">
        <v>175</v>
      </c>
      <c r="E26" s="106">
        <v>4</v>
      </c>
      <c r="F26" s="107" t="s">
        <v>176</v>
      </c>
      <c r="G26" s="106" t="s">
        <v>177</v>
      </c>
      <c r="H26" s="106">
        <v>3415296214</v>
      </c>
      <c r="I26" s="106" t="s">
        <v>178</v>
      </c>
      <c r="J26" s="107" t="s">
        <v>179</v>
      </c>
      <c r="K26" s="106" t="s">
        <v>181</v>
      </c>
      <c r="L26" s="106">
        <v>36</v>
      </c>
      <c r="M26" s="106"/>
      <c r="N26" s="108" t="s">
        <v>40</v>
      </c>
      <c r="O26" s="109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1"/>
      <c r="AV26" s="111"/>
    </row>
    <row r="27" spans="1:48" ht="15" customHeight="1">
      <c r="A27" s="93">
        <v>22</v>
      </c>
      <c r="B27" s="88" t="s">
        <v>48</v>
      </c>
      <c r="C27" s="94" t="s">
        <v>182</v>
      </c>
      <c r="D27" s="94" t="s">
        <v>183</v>
      </c>
      <c r="E27" s="94">
        <v>1</v>
      </c>
      <c r="F27" s="95">
        <v>43107</v>
      </c>
      <c r="G27" s="94" t="s">
        <v>184</v>
      </c>
      <c r="H27" s="94">
        <v>6692516113</v>
      </c>
      <c r="I27" s="94" t="s">
        <v>185</v>
      </c>
      <c r="J27" s="95">
        <v>45566</v>
      </c>
      <c r="K27" s="94" t="s">
        <v>166</v>
      </c>
      <c r="L27" s="94">
        <v>21</v>
      </c>
      <c r="M27" s="94"/>
      <c r="N27" s="96" t="s">
        <v>40</v>
      </c>
      <c r="O27" s="97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9"/>
      <c r="AV27" s="99"/>
    </row>
    <row r="28" spans="1:48" ht="15" customHeight="1">
      <c r="A28" s="93">
        <v>23</v>
      </c>
      <c r="B28" s="100" t="s">
        <v>48</v>
      </c>
      <c r="C28" s="101" t="s">
        <v>186</v>
      </c>
      <c r="D28" s="101" t="s">
        <v>187</v>
      </c>
      <c r="E28" s="101">
        <v>4</v>
      </c>
      <c r="F28" s="102" t="s">
        <v>188</v>
      </c>
      <c r="G28" s="101" t="s">
        <v>189</v>
      </c>
      <c r="H28" s="101">
        <v>5102602020</v>
      </c>
      <c r="I28" s="101" t="s">
        <v>190</v>
      </c>
      <c r="J28" s="102" t="s">
        <v>191</v>
      </c>
      <c r="K28" s="101" t="s">
        <v>180</v>
      </c>
      <c r="L28" s="101">
        <v>26</v>
      </c>
      <c r="M28" s="101"/>
      <c r="N28" s="103" t="s">
        <v>34</v>
      </c>
      <c r="O28" s="10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9"/>
      <c r="AV28" s="99"/>
    </row>
    <row r="29" spans="1:48" ht="15" customHeight="1">
      <c r="A29" s="93">
        <v>24</v>
      </c>
      <c r="B29" s="100" t="s">
        <v>88</v>
      </c>
      <c r="C29" s="101" t="s">
        <v>186</v>
      </c>
      <c r="D29" s="101" t="s">
        <v>187</v>
      </c>
      <c r="E29" s="101">
        <v>4</v>
      </c>
      <c r="F29" s="102" t="s">
        <v>188</v>
      </c>
      <c r="G29" s="101" t="s">
        <v>189</v>
      </c>
      <c r="H29" s="101">
        <v>5102602020</v>
      </c>
      <c r="I29" s="101" t="s">
        <v>190</v>
      </c>
      <c r="J29" s="102" t="s">
        <v>191</v>
      </c>
      <c r="K29" s="101" t="s">
        <v>109</v>
      </c>
      <c r="L29" s="101">
        <v>61</v>
      </c>
      <c r="M29" s="101"/>
      <c r="N29" s="103" t="s">
        <v>34</v>
      </c>
      <c r="O29" s="10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9"/>
      <c r="AV29" s="99"/>
    </row>
    <row r="30" spans="1:48" ht="15" customHeight="1">
      <c r="A30" s="93">
        <v>25</v>
      </c>
      <c r="B30" s="117" t="s">
        <v>48</v>
      </c>
      <c r="C30" s="94" t="s">
        <v>192</v>
      </c>
      <c r="D30" s="94" t="s">
        <v>193</v>
      </c>
      <c r="E30" s="94" t="s">
        <v>153</v>
      </c>
      <c r="F30" s="95">
        <v>43556</v>
      </c>
      <c r="G30" s="94" t="s">
        <v>194</v>
      </c>
      <c r="H30" s="94">
        <v>2147624191</v>
      </c>
      <c r="I30" s="94" t="s">
        <v>195</v>
      </c>
      <c r="J30" s="95">
        <v>45740</v>
      </c>
      <c r="K30" s="94" t="s">
        <v>144</v>
      </c>
      <c r="L30" s="94">
        <v>25</v>
      </c>
      <c r="M30" s="112"/>
      <c r="N30" s="96" t="s">
        <v>40</v>
      </c>
      <c r="O30" s="115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99"/>
      <c r="AV30" s="99"/>
    </row>
    <row r="31" spans="1:48" ht="15" customHeight="1">
      <c r="A31" s="93">
        <v>26</v>
      </c>
      <c r="B31" s="117" t="s">
        <v>88</v>
      </c>
      <c r="C31" s="94" t="s">
        <v>196</v>
      </c>
      <c r="D31" s="94" t="s">
        <v>193</v>
      </c>
      <c r="E31" s="94" t="s">
        <v>153</v>
      </c>
      <c r="F31" s="95">
        <v>43556</v>
      </c>
      <c r="G31" s="94" t="s">
        <v>194</v>
      </c>
      <c r="H31" s="94">
        <v>2147624191</v>
      </c>
      <c r="I31" s="94" t="s">
        <v>195</v>
      </c>
      <c r="J31" s="95">
        <v>45740</v>
      </c>
      <c r="K31" s="94" t="s">
        <v>151</v>
      </c>
      <c r="L31" s="94">
        <v>6</v>
      </c>
      <c r="M31" s="112"/>
      <c r="N31" s="96" t="s">
        <v>40</v>
      </c>
      <c r="O31" s="115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99"/>
      <c r="AV31" s="99"/>
    </row>
    <row r="32" spans="1:48" ht="15" customHeight="1">
      <c r="A32" s="93">
        <v>27</v>
      </c>
      <c r="B32" s="88" t="s">
        <v>48</v>
      </c>
      <c r="C32" s="94" t="s">
        <v>197</v>
      </c>
      <c r="D32" s="94" t="s">
        <v>198</v>
      </c>
      <c r="E32" s="94">
        <v>6</v>
      </c>
      <c r="F32" s="95">
        <v>41275</v>
      </c>
      <c r="G32" s="94" t="s">
        <v>199</v>
      </c>
      <c r="H32" s="94">
        <v>4085120113</v>
      </c>
      <c r="I32" s="94" t="s">
        <v>200</v>
      </c>
      <c r="J32" s="95">
        <v>45689</v>
      </c>
      <c r="K32" s="94" t="s">
        <v>201</v>
      </c>
      <c r="L32" s="94">
        <v>96</v>
      </c>
      <c r="M32" s="94"/>
      <c r="N32" s="96" t="s">
        <v>40</v>
      </c>
      <c r="O32" s="97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9"/>
      <c r="AV32" s="99"/>
    </row>
    <row r="33" spans="1:48" ht="15" customHeight="1">
      <c r="A33" s="93">
        <v>28</v>
      </c>
      <c r="B33" s="88" t="s">
        <v>48</v>
      </c>
      <c r="C33" s="94" t="s">
        <v>202</v>
      </c>
      <c r="D33" s="94" t="s">
        <v>203</v>
      </c>
      <c r="E33" s="94">
        <v>4</v>
      </c>
      <c r="F33" s="95">
        <v>42277</v>
      </c>
      <c r="G33" s="94" t="s">
        <v>204</v>
      </c>
      <c r="H33" s="94">
        <v>3472777326</v>
      </c>
      <c r="I33" s="94" t="s">
        <v>205</v>
      </c>
      <c r="J33" s="95">
        <v>45536</v>
      </c>
      <c r="K33" s="94" t="s">
        <v>180</v>
      </c>
      <c r="L33" s="94">
        <v>18</v>
      </c>
      <c r="M33" s="94"/>
      <c r="N33" s="96" t="s">
        <v>40</v>
      </c>
      <c r="O33" s="97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9"/>
      <c r="AV33" s="99"/>
    </row>
    <row r="34" spans="1:48" ht="15" customHeight="1">
      <c r="A34" s="93">
        <v>29</v>
      </c>
      <c r="B34" s="88" t="s">
        <v>88</v>
      </c>
      <c r="C34" s="94" t="s">
        <v>202</v>
      </c>
      <c r="D34" s="94" t="s">
        <v>203</v>
      </c>
      <c r="E34" s="94">
        <v>4</v>
      </c>
      <c r="F34" s="95">
        <v>42277</v>
      </c>
      <c r="G34" s="94" t="s">
        <v>204</v>
      </c>
      <c r="H34" s="94">
        <v>3472777326</v>
      </c>
      <c r="I34" s="94" t="s">
        <v>205</v>
      </c>
      <c r="J34" s="95">
        <v>45536</v>
      </c>
      <c r="K34" s="94" t="s">
        <v>109</v>
      </c>
      <c r="L34" s="94">
        <v>17</v>
      </c>
      <c r="M34" s="94"/>
      <c r="N34" s="96" t="s">
        <v>40</v>
      </c>
      <c r="O34" s="97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9"/>
      <c r="AV34" s="99"/>
    </row>
    <row r="35" spans="1:48" ht="15" customHeight="1">
      <c r="A35" s="93">
        <v>30</v>
      </c>
      <c r="B35" s="88" t="s">
        <v>48</v>
      </c>
      <c r="C35" s="94" t="s">
        <v>202</v>
      </c>
      <c r="D35" s="94" t="s">
        <v>206</v>
      </c>
      <c r="E35" s="94">
        <v>1</v>
      </c>
      <c r="F35" s="95">
        <v>43431</v>
      </c>
      <c r="G35" s="94" t="s">
        <v>207</v>
      </c>
      <c r="H35" s="94">
        <v>3472777326</v>
      </c>
      <c r="I35" s="94" t="s">
        <v>205</v>
      </c>
      <c r="J35" s="95">
        <v>45536</v>
      </c>
      <c r="K35" s="94" t="s">
        <v>138</v>
      </c>
      <c r="L35" s="94">
        <v>5</v>
      </c>
      <c r="M35" s="94"/>
      <c r="N35" s="96" t="s">
        <v>40</v>
      </c>
      <c r="O35" s="97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9"/>
      <c r="AV35" s="99"/>
    </row>
    <row r="36" spans="1:48" ht="15" customHeight="1">
      <c r="A36" s="93">
        <v>31</v>
      </c>
      <c r="B36" s="88" t="s">
        <v>88</v>
      </c>
      <c r="C36" s="94" t="s">
        <v>202</v>
      </c>
      <c r="D36" s="94" t="s">
        <v>206</v>
      </c>
      <c r="E36" s="94">
        <v>1</v>
      </c>
      <c r="F36" s="95">
        <v>43431</v>
      </c>
      <c r="G36" s="94" t="s">
        <v>207</v>
      </c>
      <c r="H36" s="94">
        <v>3472777326</v>
      </c>
      <c r="I36" s="94" t="s">
        <v>205</v>
      </c>
      <c r="J36" s="95">
        <v>45536</v>
      </c>
      <c r="K36" s="94" t="s">
        <v>151</v>
      </c>
      <c r="L36" s="94">
        <v>42</v>
      </c>
      <c r="M36" s="94"/>
      <c r="N36" s="96" t="s">
        <v>40</v>
      </c>
      <c r="O36" s="97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9"/>
      <c r="AV36" s="99"/>
    </row>
    <row r="37" spans="1:48" ht="15" customHeight="1">
      <c r="A37" s="93">
        <v>32</v>
      </c>
      <c r="B37" s="88" t="s">
        <v>48</v>
      </c>
      <c r="C37" s="94" t="s">
        <v>208</v>
      </c>
      <c r="D37" s="94" t="s">
        <v>209</v>
      </c>
      <c r="E37" s="94" t="s">
        <v>210</v>
      </c>
      <c r="F37" s="95" t="s">
        <v>211</v>
      </c>
      <c r="G37" s="94" t="s">
        <v>212</v>
      </c>
      <c r="H37" s="94">
        <v>6176765481</v>
      </c>
      <c r="I37" s="94" t="s">
        <v>213</v>
      </c>
      <c r="J37" s="95">
        <v>45689</v>
      </c>
      <c r="K37" s="94" t="s">
        <v>214</v>
      </c>
      <c r="L37" s="94">
        <v>75</v>
      </c>
      <c r="M37" s="94"/>
      <c r="N37" s="96" t="s">
        <v>40</v>
      </c>
      <c r="O37" s="97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9"/>
      <c r="AV37" s="99"/>
    </row>
    <row r="38" spans="1:48" ht="15" customHeight="1">
      <c r="A38" s="93">
        <v>33</v>
      </c>
      <c r="B38" s="88" t="s">
        <v>88</v>
      </c>
      <c r="C38" s="94" t="s">
        <v>208</v>
      </c>
      <c r="D38" s="94" t="s">
        <v>209</v>
      </c>
      <c r="E38" s="94" t="s">
        <v>210</v>
      </c>
      <c r="F38" s="95" t="s">
        <v>211</v>
      </c>
      <c r="G38" s="94" t="s">
        <v>212</v>
      </c>
      <c r="H38" s="94">
        <v>6176765481</v>
      </c>
      <c r="I38" s="94" t="s">
        <v>213</v>
      </c>
      <c r="J38" s="95">
        <v>45689</v>
      </c>
      <c r="K38" s="94" t="s">
        <v>215</v>
      </c>
      <c r="L38" s="94">
        <v>25</v>
      </c>
      <c r="M38" s="94"/>
      <c r="N38" s="96" t="s">
        <v>40</v>
      </c>
      <c r="O38" s="97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9"/>
      <c r="AV38" s="99"/>
    </row>
    <row r="39" spans="1:48" ht="15" customHeight="1">
      <c r="A39" s="93">
        <v>34</v>
      </c>
      <c r="B39" s="88" t="s">
        <v>48</v>
      </c>
      <c r="C39" s="94" t="s">
        <v>216</v>
      </c>
      <c r="D39" s="94" t="s">
        <v>217</v>
      </c>
      <c r="E39" s="94">
        <v>2</v>
      </c>
      <c r="F39" s="95">
        <v>42045</v>
      </c>
      <c r="G39" s="94" t="s">
        <v>218</v>
      </c>
      <c r="H39" s="94">
        <v>6692138834</v>
      </c>
      <c r="I39" s="94" t="s">
        <v>219</v>
      </c>
      <c r="J39" s="95">
        <v>45293</v>
      </c>
      <c r="K39" s="94" t="s">
        <v>220</v>
      </c>
      <c r="L39" s="94">
        <v>60</v>
      </c>
      <c r="M39" s="94" t="s">
        <v>221</v>
      </c>
      <c r="N39" s="96" t="s">
        <v>40</v>
      </c>
      <c r="O39" s="97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9"/>
      <c r="AV39" s="99"/>
    </row>
    <row r="40" spans="1:48" ht="15" customHeight="1">
      <c r="A40" s="93">
        <v>35</v>
      </c>
      <c r="B40" s="88" t="s">
        <v>88</v>
      </c>
      <c r="C40" s="94" t="s">
        <v>216</v>
      </c>
      <c r="D40" s="94" t="s">
        <v>217</v>
      </c>
      <c r="E40" s="94">
        <v>2</v>
      </c>
      <c r="F40" s="95">
        <v>42045</v>
      </c>
      <c r="G40" s="94" t="s">
        <v>218</v>
      </c>
      <c r="H40" s="94">
        <v>6692138834</v>
      </c>
      <c r="I40" s="94" t="s">
        <v>219</v>
      </c>
      <c r="J40" s="95">
        <v>45293</v>
      </c>
      <c r="K40" s="94" t="s">
        <v>222</v>
      </c>
      <c r="L40" s="94">
        <v>96</v>
      </c>
      <c r="M40" s="94"/>
      <c r="N40" s="96" t="s">
        <v>40</v>
      </c>
      <c r="O40" s="97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9"/>
      <c r="AV40" s="99"/>
    </row>
    <row r="41" spans="1:48" ht="15" customHeight="1">
      <c r="A41" s="93">
        <v>36</v>
      </c>
      <c r="B41" s="88" t="s">
        <v>88</v>
      </c>
      <c r="C41" s="94" t="s">
        <v>223</v>
      </c>
      <c r="D41" s="94" t="s">
        <v>224</v>
      </c>
      <c r="E41" s="94">
        <v>1</v>
      </c>
      <c r="F41" s="95">
        <v>43329</v>
      </c>
      <c r="G41" s="94" t="s">
        <v>225</v>
      </c>
      <c r="H41" s="94">
        <v>6692438102</v>
      </c>
      <c r="I41" s="94" t="s">
        <v>226</v>
      </c>
      <c r="J41" s="95">
        <v>45536</v>
      </c>
      <c r="K41" s="94" t="s">
        <v>131</v>
      </c>
      <c r="L41" s="94">
        <v>46</v>
      </c>
      <c r="M41" s="94" t="s">
        <v>227</v>
      </c>
      <c r="N41" s="96" t="s">
        <v>40</v>
      </c>
      <c r="O41" s="97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9"/>
      <c r="AV41" s="99"/>
    </row>
    <row r="42" spans="1:48" ht="15" customHeight="1">
      <c r="A42" s="93">
        <v>37</v>
      </c>
      <c r="B42" s="88" t="s">
        <v>48</v>
      </c>
      <c r="C42" s="94" t="s">
        <v>223</v>
      </c>
      <c r="D42" s="94" t="s">
        <v>224</v>
      </c>
      <c r="E42" s="94">
        <v>1</v>
      </c>
      <c r="F42" s="95">
        <v>43329</v>
      </c>
      <c r="G42" s="94" t="s">
        <v>225</v>
      </c>
      <c r="H42" s="94">
        <v>6692438102</v>
      </c>
      <c r="I42" s="94" t="s">
        <v>228</v>
      </c>
      <c r="J42" s="95">
        <v>45536</v>
      </c>
      <c r="K42" s="94" t="s">
        <v>173</v>
      </c>
      <c r="L42" s="94">
        <v>76</v>
      </c>
      <c r="M42" s="94"/>
      <c r="N42" s="96" t="s">
        <v>40</v>
      </c>
      <c r="O42" s="97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9"/>
      <c r="AV42" s="99"/>
    </row>
    <row r="43" spans="1:48" ht="15" customHeight="1">
      <c r="A43" s="93">
        <v>38</v>
      </c>
      <c r="B43" s="88" t="s">
        <v>48</v>
      </c>
      <c r="C43" s="94" t="s">
        <v>229</v>
      </c>
      <c r="D43" s="94" t="s">
        <v>230</v>
      </c>
      <c r="E43" s="94">
        <v>5</v>
      </c>
      <c r="F43" s="95">
        <v>41852</v>
      </c>
      <c r="G43" s="94" t="s">
        <v>231</v>
      </c>
      <c r="H43" s="94" t="s">
        <v>232</v>
      </c>
      <c r="I43" s="118" t="s">
        <v>233</v>
      </c>
      <c r="J43" s="95">
        <v>45806</v>
      </c>
      <c r="K43" s="94" t="s">
        <v>150</v>
      </c>
      <c r="L43" s="94">
        <v>31</v>
      </c>
      <c r="M43" s="94"/>
      <c r="N43" s="96" t="s">
        <v>40</v>
      </c>
      <c r="O43" s="97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9"/>
      <c r="AV43" s="99"/>
    </row>
    <row r="44" spans="1:48" ht="15" customHeight="1">
      <c r="A44" s="93">
        <v>39</v>
      </c>
      <c r="B44" s="88" t="s">
        <v>48</v>
      </c>
      <c r="C44" s="94" t="s">
        <v>234</v>
      </c>
      <c r="D44" s="94" t="s">
        <v>235</v>
      </c>
      <c r="E44" s="94">
        <v>5</v>
      </c>
      <c r="F44" s="95" t="s">
        <v>236</v>
      </c>
      <c r="G44" s="94" t="s">
        <v>237</v>
      </c>
      <c r="H44" s="94">
        <v>4083389401</v>
      </c>
      <c r="I44" s="94" t="s">
        <v>238</v>
      </c>
      <c r="J44" s="95" t="s">
        <v>239</v>
      </c>
      <c r="K44" s="94" t="s">
        <v>125</v>
      </c>
      <c r="L44" s="94">
        <v>1</v>
      </c>
      <c r="M44" s="94"/>
      <c r="N44" s="96" t="s">
        <v>40</v>
      </c>
      <c r="O44" s="97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9"/>
      <c r="AV44" s="99"/>
    </row>
    <row r="45" spans="1:48" ht="15" customHeight="1">
      <c r="A45" s="93">
        <v>40</v>
      </c>
      <c r="B45" s="88" t="s">
        <v>88</v>
      </c>
      <c r="C45" s="94" t="s">
        <v>234</v>
      </c>
      <c r="D45" s="94" t="s">
        <v>235</v>
      </c>
      <c r="E45" s="94">
        <v>5</v>
      </c>
      <c r="F45" s="95" t="s">
        <v>240</v>
      </c>
      <c r="G45" s="94" t="s">
        <v>241</v>
      </c>
      <c r="H45" s="94">
        <v>4083389401</v>
      </c>
      <c r="I45" s="94" t="s">
        <v>238</v>
      </c>
      <c r="J45" s="95" t="s">
        <v>239</v>
      </c>
      <c r="K45" s="94" t="s">
        <v>109</v>
      </c>
      <c r="L45" s="94">
        <v>101</v>
      </c>
      <c r="M45" s="94"/>
      <c r="N45" s="96" t="s">
        <v>40</v>
      </c>
      <c r="O45" s="97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 s="99"/>
    </row>
    <row r="46" spans="1:48" ht="15" customHeight="1">
      <c r="A46" s="93">
        <v>41</v>
      </c>
      <c r="B46" s="88" t="s">
        <v>88</v>
      </c>
      <c r="C46" s="94" t="s">
        <v>242</v>
      </c>
      <c r="D46" s="94" t="s">
        <v>243</v>
      </c>
      <c r="E46" s="94">
        <v>9</v>
      </c>
      <c r="F46" s="95">
        <v>40647</v>
      </c>
      <c r="G46" s="94" t="s">
        <v>244</v>
      </c>
      <c r="H46" s="94">
        <v>4084214334</v>
      </c>
      <c r="I46" s="94" t="s">
        <v>245</v>
      </c>
      <c r="J46" s="95">
        <v>45763</v>
      </c>
      <c r="K46" s="94" t="s">
        <v>246</v>
      </c>
      <c r="L46" s="94">
        <v>101</v>
      </c>
      <c r="M46" s="94"/>
      <c r="N46" s="96" t="s">
        <v>40</v>
      </c>
      <c r="O46" s="97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9"/>
      <c r="AV46" s="99"/>
    </row>
    <row r="47" spans="1:48" ht="15" customHeight="1">
      <c r="A47" s="93">
        <v>42</v>
      </c>
      <c r="B47" s="88" t="s">
        <v>48</v>
      </c>
      <c r="C47" s="94" t="s">
        <v>242</v>
      </c>
      <c r="D47" s="94" t="s">
        <v>247</v>
      </c>
      <c r="E47" s="94">
        <v>3</v>
      </c>
      <c r="F47" s="95">
        <v>42342</v>
      </c>
      <c r="G47" s="94" t="s">
        <v>248</v>
      </c>
      <c r="H47" s="94">
        <v>4084214334</v>
      </c>
      <c r="I47" s="94" t="s">
        <v>245</v>
      </c>
      <c r="J47" s="95">
        <v>45536</v>
      </c>
      <c r="K47" s="94" t="s">
        <v>125</v>
      </c>
      <c r="L47" s="94">
        <v>101</v>
      </c>
      <c r="M47" s="94"/>
      <c r="N47" s="96" t="s">
        <v>40</v>
      </c>
      <c r="O47" s="97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9"/>
      <c r="AV47" s="99"/>
    </row>
    <row r="48" spans="1:48" ht="15" customHeight="1">
      <c r="A48" s="93">
        <v>43</v>
      </c>
      <c r="B48" s="88" t="s">
        <v>88</v>
      </c>
      <c r="C48" s="94" t="s">
        <v>242</v>
      </c>
      <c r="D48" s="94" t="s">
        <v>247</v>
      </c>
      <c r="E48" s="94">
        <v>3</v>
      </c>
      <c r="F48" s="95">
        <v>42342</v>
      </c>
      <c r="G48" s="94" t="s">
        <v>248</v>
      </c>
      <c r="H48" s="94">
        <v>4084214334</v>
      </c>
      <c r="I48" s="94" t="s">
        <v>245</v>
      </c>
      <c r="J48" s="95">
        <v>45536</v>
      </c>
      <c r="K48" s="94" t="s">
        <v>222</v>
      </c>
      <c r="L48" s="94">
        <v>71</v>
      </c>
      <c r="M48" s="94"/>
      <c r="N48" s="96" t="s">
        <v>40</v>
      </c>
      <c r="O48" s="97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9"/>
      <c r="AV48" s="99"/>
    </row>
    <row r="49" spans="1:48" ht="15" customHeight="1">
      <c r="A49" s="93">
        <v>44</v>
      </c>
      <c r="B49" s="88" t="s">
        <v>48</v>
      </c>
      <c r="C49" s="94" t="s">
        <v>249</v>
      </c>
      <c r="D49" s="94" t="s">
        <v>250</v>
      </c>
      <c r="E49" s="94" t="s">
        <v>251</v>
      </c>
      <c r="F49" s="95">
        <v>43120</v>
      </c>
      <c r="G49" s="94" t="s">
        <v>252</v>
      </c>
      <c r="H49" s="94">
        <v>4158287529</v>
      </c>
      <c r="I49" s="94" t="s">
        <v>253</v>
      </c>
      <c r="J49" s="95">
        <v>45299</v>
      </c>
      <c r="K49" s="94" t="s">
        <v>129</v>
      </c>
      <c r="L49" s="94">
        <v>26</v>
      </c>
      <c r="M49" s="94"/>
      <c r="N49" s="96" t="s">
        <v>40</v>
      </c>
      <c r="O49" s="97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9"/>
      <c r="AV49" s="99"/>
    </row>
    <row r="50" spans="1:48" ht="15" customHeight="1">
      <c r="A50" s="93">
        <v>45</v>
      </c>
      <c r="B50" s="88" t="s">
        <v>88</v>
      </c>
      <c r="C50" s="94" t="s">
        <v>249</v>
      </c>
      <c r="D50" s="94" t="s">
        <v>250</v>
      </c>
      <c r="E50" s="94" t="s">
        <v>251</v>
      </c>
      <c r="F50" s="95">
        <v>43120</v>
      </c>
      <c r="G50" s="94" t="s">
        <v>252</v>
      </c>
      <c r="H50" s="94">
        <v>4158287529</v>
      </c>
      <c r="I50" s="94" t="s">
        <v>253</v>
      </c>
      <c r="J50" s="95">
        <v>45299</v>
      </c>
      <c r="K50" s="94" t="s">
        <v>181</v>
      </c>
      <c r="L50" s="94">
        <v>35</v>
      </c>
      <c r="M50" s="94"/>
      <c r="N50" s="96" t="s">
        <v>40</v>
      </c>
      <c r="O50" s="97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9"/>
      <c r="AV50" s="99"/>
    </row>
    <row r="51" spans="1:48" ht="15" customHeight="1">
      <c r="A51" s="93">
        <v>46</v>
      </c>
      <c r="B51" s="100" t="s">
        <v>48</v>
      </c>
      <c r="C51" s="101" t="s">
        <v>254</v>
      </c>
      <c r="D51" s="101" t="s">
        <v>255</v>
      </c>
      <c r="E51" s="101">
        <v>1</v>
      </c>
      <c r="F51" s="102" t="s">
        <v>256</v>
      </c>
      <c r="G51" s="101" t="s">
        <v>257</v>
      </c>
      <c r="H51" s="101">
        <v>5104566566</v>
      </c>
      <c r="I51" s="101" t="s">
        <v>258</v>
      </c>
      <c r="J51" s="102" t="s">
        <v>259</v>
      </c>
      <c r="K51" s="101" t="s">
        <v>150</v>
      </c>
      <c r="L51" s="101">
        <v>6</v>
      </c>
      <c r="M51" s="101" t="s">
        <v>260</v>
      </c>
      <c r="N51" s="103" t="s">
        <v>34</v>
      </c>
      <c r="O51" s="104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9"/>
      <c r="AV51" s="99"/>
    </row>
    <row r="52" spans="1:48" ht="15" customHeight="1">
      <c r="A52" s="93">
        <v>47</v>
      </c>
      <c r="B52" s="100" t="s">
        <v>88</v>
      </c>
      <c r="C52" s="101" t="s">
        <v>254</v>
      </c>
      <c r="D52" s="101" t="s">
        <v>255</v>
      </c>
      <c r="E52" s="101">
        <v>1</v>
      </c>
      <c r="F52" s="102" t="s">
        <v>256</v>
      </c>
      <c r="G52" s="101" t="s">
        <v>257</v>
      </c>
      <c r="H52" s="101">
        <v>5104566566</v>
      </c>
      <c r="I52" s="101" t="s">
        <v>258</v>
      </c>
      <c r="J52" s="102" t="s">
        <v>259</v>
      </c>
      <c r="K52" s="101" t="s">
        <v>131</v>
      </c>
      <c r="L52" s="101">
        <v>1</v>
      </c>
      <c r="M52" s="101" t="s">
        <v>260</v>
      </c>
      <c r="N52" s="103" t="s">
        <v>34</v>
      </c>
      <c r="O52" s="104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9"/>
      <c r="AV52" s="99"/>
    </row>
    <row r="53" spans="1:48" ht="15" customHeight="1">
      <c r="A53" s="93">
        <v>48</v>
      </c>
      <c r="B53" s="93" t="s">
        <v>48</v>
      </c>
      <c r="C53" s="112" t="s">
        <v>261</v>
      </c>
      <c r="D53" s="112" t="s">
        <v>262</v>
      </c>
      <c r="E53" s="112">
        <v>2</v>
      </c>
      <c r="F53" s="113">
        <v>43144</v>
      </c>
      <c r="G53" s="114" t="s">
        <v>263</v>
      </c>
      <c r="H53" s="114">
        <v>5102535893</v>
      </c>
      <c r="I53" s="114" t="s">
        <v>264</v>
      </c>
      <c r="J53" s="113">
        <v>45742</v>
      </c>
      <c r="K53" s="94" t="s">
        <v>166</v>
      </c>
      <c r="L53" s="94">
        <v>26</v>
      </c>
      <c r="M53" s="94"/>
      <c r="N53" s="96" t="s">
        <v>40</v>
      </c>
      <c r="O53" s="115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99"/>
      <c r="AV53" s="99"/>
    </row>
    <row r="54" spans="1:48" ht="15" customHeight="1">
      <c r="A54" s="93">
        <v>49</v>
      </c>
      <c r="B54" s="119" t="s">
        <v>88</v>
      </c>
      <c r="C54" s="112" t="s">
        <v>261</v>
      </c>
      <c r="D54" s="112" t="s">
        <v>262</v>
      </c>
      <c r="E54" s="112">
        <v>2</v>
      </c>
      <c r="F54" s="113">
        <v>43144</v>
      </c>
      <c r="G54" s="114" t="s">
        <v>263</v>
      </c>
      <c r="H54" s="114">
        <v>5102535893</v>
      </c>
      <c r="I54" s="114" t="s">
        <v>264</v>
      </c>
      <c r="J54" s="113">
        <v>45742</v>
      </c>
      <c r="K54" s="94" t="s">
        <v>159</v>
      </c>
      <c r="L54" s="94">
        <v>86</v>
      </c>
      <c r="M54" s="94"/>
      <c r="N54" s="96" t="s">
        <v>40</v>
      </c>
      <c r="O54" s="115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99"/>
      <c r="AV54" s="99"/>
    </row>
    <row r="55" spans="1:48" ht="15" customHeight="1">
      <c r="A55" s="93">
        <v>50</v>
      </c>
      <c r="B55" s="100" t="s">
        <v>48</v>
      </c>
      <c r="C55" s="101" t="s">
        <v>106</v>
      </c>
      <c r="D55" s="101" t="s">
        <v>265</v>
      </c>
      <c r="E55" s="101">
        <v>2</v>
      </c>
      <c r="F55" s="102" t="s">
        <v>266</v>
      </c>
      <c r="G55" s="101" t="s">
        <v>267</v>
      </c>
      <c r="H55" s="101">
        <v>5102989555</v>
      </c>
      <c r="I55" s="101" t="s">
        <v>268</v>
      </c>
      <c r="J55" s="102" t="s">
        <v>269</v>
      </c>
      <c r="K55" s="101" t="s">
        <v>270</v>
      </c>
      <c r="L55" s="101">
        <v>51</v>
      </c>
      <c r="M55" s="101"/>
      <c r="N55" s="103" t="s">
        <v>34</v>
      </c>
      <c r="O55" s="104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9"/>
      <c r="AV55" s="99"/>
    </row>
    <row r="56" spans="1:48" ht="15" customHeight="1">
      <c r="A56" s="93">
        <v>51</v>
      </c>
      <c r="B56" s="100" t="s">
        <v>88</v>
      </c>
      <c r="C56" s="101" t="s">
        <v>106</v>
      </c>
      <c r="D56" s="101" t="s">
        <v>265</v>
      </c>
      <c r="E56" s="101">
        <v>2</v>
      </c>
      <c r="F56" s="102" t="s">
        <v>271</v>
      </c>
      <c r="G56" s="101" t="s">
        <v>272</v>
      </c>
      <c r="H56" s="101">
        <v>5102989555</v>
      </c>
      <c r="I56" s="101" t="s">
        <v>268</v>
      </c>
      <c r="J56" s="102" t="s">
        <v>269</v>
      </c>
      <c r="K56" s="101" t="s">
        <v>159</v>
      </c>
      <c r="L56" s="101">
        <v>106</v>
      </c>
      <c r="M56" s="101"/>
      <c r="N56" s="103" t="s">
        <v>34</v>
      </c>
      <c r="O56" s="104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9"/>
      <c r="AV56" s="99"/>
    </row>
    <row r="57" spans="1:48" ht="15" customHeight="1">
      <c r="A57" s="93">
        <v>52</v>
      </c>
      <c r="B57" s="100" t="s">
        <v>48</v>
      </c>
      <c r="C57" s="101" t="s">
        <v>273</v>
      </c>
      <c r="D57" s="101" t="s">
        <v>274</v>
      </c>
      <c r="E57" s="101">
        <v>1</v>
      </c>
      <c r="F57" s="102">
        <v>43194</v>
      </c>
      <c r="G57" s="101" t="s">
        <v>275</v>
      </c>
      <c r="H57" s="101">
        <v>4155426994</v>
      </c>
      <c r="I57" s="101" t="s">
        <v>276</v>
      </c>
      <c r="J57" s="102">
        <v>45689</v>
      </c>
      <c r="K57" s="101" t="s">
        <v>150</v>
      </c>
      <c r="L57" s="101">
        <v>11</v>
      </c>
      <c r="M57" s="101"/>
      <c r="N57" s="103" t="s">
        <v>34</v>
      </c>
      <c r="O57" s="104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9"/>
      <c r="AV57" s="99"/>
    </row>
    <row r="58" spans="1:48" ht="15" customHeight="1">
      <c r="A58" s="93">
        <v>53</v>
      </c>
      <c r="B58" s="100" t="s">
        <v>88</v>
      </c>
      <c r="C58" s="101" t="s">
        <v>273</v>
      </c>
      <c r="D58" s="101" t="s">
        <v>274</v>
      </c>
      <c r="E58" s="101">
        <v>1</v>
      </c>
      <c r="F58" s="102">
        <v>43194</v>
      </c>
      <c r="G58" s="101" t="s">
        <v>275</v>
      </c>
      <c r="H58" s="101">
        <v>4155426994</v>
      </c>
      <c r="I58" s="101" t="s">
        <v>276</v>
      </c>
      <c r="J58" s="102">
        <v>45689</v>
      </c>
      <c r="K58" s="101" t="s">
        <v>215</v>
      </c>
      <c r="L58" s="101">
        <v>46</v>
      </c>
      <c r="M58" s="101"/>
      <c r="N58" s="103" t="s">
        <v>34</v>
      </c>
      <c r="O58" s="104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9"/>
      <c r="AV58" s="99"/>
    </row>
    <row r="59" spans="1:48" ht="15" customHeight="1">
      <c r="A59" s="93">
        <v>54</v>
      </c>
      <c r="B59" s="105" t="s">
        <v>48</v>
      </c>
      <c r="C59" s="106" t="s">
        <v>277</v>
      </c>
      <c r="D59" s="106" t="s">
        <v>278</v>
      </c>
      <c r="E59" s="106" t="s">
        <v>153</v>
      </c>
      <c r="F59" s="107" t="s">
        <v>279</v>
      </c>
      <c r="G59" s="106" t="s">
        <v>280</v>
      </c>
      <c r="H59" s="106">
        <v>3233374665</v>
      </c>
      <c r="I59" s="106" t="s">
        <v>281</v>
      </c>
      <c r="J59" s="107">
        <v>45522</v>
      </c>
      <c r="K59" s="106" t="s">
        <v>282</v>
      </c>
      <c r="L59" s="106">
        <v>76</v>
      </c>
      <c r="M59" s="106"/>
      <c r="N59" s="108" t="s">
        <v>40</v>
      </c>
      <c r="O59" s="109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1"/>
      <c r="AV59" s="111"/>
    </row>
    <row r="60" spans="1:48" ht="15" customHeight="1">
      <c r="A60" s="93">
        <v>55</v>
      </c>
      <c r="B60" s="105" t="s">
        <v>48</v>
      </c>
      <c r="C60" s="106" t="s">
        <v>277</v>
      </c>
      <c r="D60" s="106" t="s">
        <v>283</v>
      </c>
      <c r="E60" s="106">
        <v>1</v>
      </c>
      <c r="F60" s="107" t="s">
        <v>284</v>
      </c>
      <c r="G60" s="106" t="s">
        <v>280</v>
      </c>
      <c r="H60" s="106">
        <v>3233374665</v>
      </c>
      <c r="I60" s="106" t="s">
        <v>281</v>
      </c>
      <c r="J60" s="107">
        <v>45522</v>
      </c>
      <c r="K60" s="106" t="s">
        <v>173</v>
      </c>
      <c r="L60" s="106">
        <v>51</v>
      </c>
      <c r="M60" s="106"/>
      <c r="N60" s="108" t="s">
        <v>40</v>
      </c>
      <c r="O60" s="109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1"/>
      <c r="AV60" s="111"/>
    </row>
    <row r="61" spans="1:48" ht="15" customHeight="1">
      <c r="A61" s="93">
        <v>56</v>
      </c>
      <c r="B61" s="100" t="s">
        <v>48</v>
      </c>
      <c r="C61" s="101" t="s">
        <v>285</v>
      </c>
      <c r="D61" s="101" t="s">
        <v>286</v>
      </c>
      <c r="E61" s="101" t="s">
        <v>153</v>
      </c>
      <c r="F61" s="102" t="s">
        <v>287</v>
      </c>
      <c r="G61" s="101" t="s">
        <v>288</v>
      </c>
      <c r="H61" s="101">
        <v>2016651117</v>
      </c>
      <c r="I61" s="101" t="s">
        <v>289</v>
      </c>
      <c r="J61" s="102" t="s">
        <v>290</v>
      </c>
      <c r="K61" s="101" t="s">
        <v>166</v>
      </c>
      <c r="L61" s="101">
        <v>61</v>
      </c>
      <c r="M61" s="101"/>
      <c r="N61" s="103" t="s">
        <v>34</v>
      </c>
      <c r="O61" s="104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9"/>
      <c r="AV61" s="99"/>
    </row>
    <row r="62" spans="1:48" ht="15" customHeight="1">
      <c r="A62" s="93">
        <v>57</v>
      </c>
      <c r="B62" s="100" t="s">
        <v>88</v>
      </c>
      <c r="C62" s="101" t="s">
        <v>285</v>
      </c>
      <c r="D62" s="101" t="s">
        <v>286</v>
      </c>
      <c r="E62" s="101" t="s">
        <v>153</v>
      </c>
      <c r="F62" s="102" t="s">
        <v>291</v>
      </c>
      <c r="G62" s="101" t="s">
        <v>292</v>
      </c>
      <c r="H62" s="101">
        <v>2016651117</v>
      </c>
      <c r="I62" s="101" t="s">
        <v>289</v>
      </c>
      <c r="J62" s="102">
        <v>45673</v>
      </c>
      <c r="K62" s="101" t="s">
        <v>151</v>
      </c>
      <c r="L62" s="101">
        <v>106</v>
      </c>
      <c r="M62" s="101"/>
      <c r="N62" s="103" t="s">
        <v>34</v>
      </c>
      <c r="O62" s="104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9"/>
      <c r="AV62" s="99"/>
    </row>
    <row r="63" spans="1:48" ht="15" customHeight="1">
      <c r="A63" s="93">
        <v>58</v>
      </c>
      <c r="B63" s="88" t="s">
        <v>48</v>
      </c>
      <c r="C63" s="94" t="s">
        <v>293</v>
      </c>
      <c r="D63" s="94" t="s">
        <v>294</v>
      </c>
      <c r="E63" s="94">
        <v>4</v>
      </c>
      <c r="F63" s="95">
        <v>41866</v>
      </c>
      <c r="G63" s="94" t="s">
        <v>295</v>
      </c>
      <c r="H63" s="94">
        <v>4085696688</v>
      </c>
      <c r="I63" s="94" t="s">
        <v>296</v>
      </c>
      <c r="J63" s="95">
        <v>45154</v>
      </c>
      <c r="K63" s="94" t="s">
        <v>180</v>
      </c>
      <c r="L63" s="94">
        <v>66</v>
      </c>
      <c r="M63" s="94"/>
      <c r="N63" s="96" t="s">
        <v>40</v>
      </c>
      <c r="O63" s="97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9"/>
      <c r="AV63" s="99"/>
    </row>
    <row r="64" spans="1:48" ht="15" customHeight="1">
      <c r="A64" s="93">
        <v>59</v>
      </c>
      <c r="B64" s="88" t="s">
        <v>88</v>
      </c>
      <c r="C64" s="94" t="s">
        <v>293</v>
      </c>
      <c r="D64" s="94" t="s">
        <v>294</v>
      </c>
      <c r="E64" s="94">
        <v>4</v>
      </c>
      <c r="F64" s="95">
        <v>41866</v>
      </c>
      <c r="G64" s="94" t="s">
        <v>295</v>
      </c>
      <c r="H64" s="94">
        <v>4085696688</v>
      </c>
      <c r="I64" s="94" t="s">
        <v>296</v>
      </c>
      <c r="J64" s="95">
        <v>45154</v>
      </c>
      <c r="K64" s="94" t="s">
        <v>109</v>
      </c>
      <c r="L64" s="94">
        <v>56</v>
      </c>
      <c r="M64" s="94"/>
      <c r="N64" s="96" t="s">
        <v>40</v>
      </c>
      <c r="O64" s="97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9"/>
      <c r="AV64" s="99"/>
    </row>
    <row r="65" spans="1:48" ht="15" customHeight="1">
      <c r="A65" s="93">
        <v>60</v>
      </c>
      <c r="B65" s="100" t="s">
        <v>48</v>
      </c>
      <c r="C65" s="101" t="s">
        <v>297</v>
      </c>
      <c r="D65" s="101" t="s">
        <v>298</v>
      </c>
      <c r="E65" s="101">
        <v>3</v>
      </c>
      <c r="F65" s="102" t="s">
        <v>299</v>
      </c>
      <c r="G65" s="101" t="s">
        <v>300</v>
      </c>
      <c r="H65" s="101">
        <v>5103336666</v>
      </c>
      <c r="I65" s="101" t="s">
        <v>301</v>
      </c>
      <c r="J65" s="102" t="s">
        <v>191</v>
      </c>
      <c r="K65" s="101" t="s">
        <v>302</v>
      </c>
      <c r="L65" s="101">
        <v>81</v>
      </c>
      <c r="M65" s="101"/>
      <c r="N65" s="103" t="s">
        <v>34</v>
      </c>
      <c r="O65" s="104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9"/>
      <c r="AV65" s="99"/>
    </row>
    <row r="66" spans="1:48" ht="15" customHeight="1">
      <c r="A66" s="93">
        <v>61</v>
      </c>
      <c r="B66" s="88" t="s">
        <v>48</v>
      </c>
      <c r="C66" s="94" t="s">
        <v>297</v>
      </c>
      <c r="D66" s="94" t="s">
        <v>303</v>
      </c>
      <c r="E66" s="94" t="s">
        <v>153</v>
      </c>
      <c r="F66" s="95">
        <v>42846</v>
      </c>
      <c r="G66" s="94" t="s">
        <v>304</v>
      </c>
      <c r="H66" s="94">
        <v>5102075030</v>
      </c>
      <c r="I66" s="94" t="s">
        <v>305</v>
      </c>
      <c r="J66" s="95">
        <v>45110</v>
      </c>
      <c r="K66" s="94" t="s">
        <v>306</v>
      </c>
      <c r="L66" s="94">
        <v>61</v>
      </c>
      <c r="M66" s="94"/>
      <c r="N66" s="96" t="s">
        <v>40</v>
      </c>
      <c r="O66" s="97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9"/>
      <c r="AV66" s="99"/>
    </row>
    <row r="67" spans="1:48" ht="15" customHeight="1">
      <c r="A67" s="93">
        <v>62</v>
      </c>
      <c r="B67" s="88" t="s">
        <v>88</v>
      </c>
      <c r="C67" s="94" t="s">
        <v>297</v>
      </c>
      <c r="D67" s="94" t="s">
        <v>303</v>
      </c>
      <c r="E67" s="94" t="s">
        <v>153</v>
      </c>
      <c r="F67" s="95">
        <v>42846</v>
      </c>
      <c r="G67" s="94" t="s">
        <v>304</v>
      </c>
      <c r="H67" s="94">
        <v>5102075030</v>
      </c>
      <c r="I67" s="94" t="s">
        <v>305</v>
      </c>
      <c r="J67" s="95">
        <v>45110</v>
      </c>
      <c r="K67" s="94" t="s">
        <v>124</v>
      </c>
      <c r="L67" s="94">
        <v>71</v>
      </c>
      <c r="M67" s="94"/>
      <c r="N67" s="96" t="s">
        <v>40</v>
      </c>
      <c r="O67" s="97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9"/>
      <c r="AV67" s="99"/>
    </row>
    <row r="68" spans="1:48" ht="15" customHeight="1">
      <c r="A68" s="93">
        <v>63</v>
      </c>
      <c r="B68" s="88" t="s">
        <v>48</v>
      </c>
      <c r="C68" s="94" t="s">
        <v>293</v>
      </c>
      <c r="D68" s="94" t="s">
        <v>307</v>
      </c>
      <c r="E68" s="94" t="s">
        <v>153</v>
      </c>
      <c r="F68" s="95">
        <v>43798</v>
      </c>
      <c r="G68" s="94" t="s">
        <v>308</v>
      </c>
      <c r="H68" s="94">
        <v>5102075030</v>
      </c>
      <c r="I68" s="94" t="s">
        <v>305</v>
      </c>
      <c r="J68" s="95">
        <v>45537</v>
      </c>
      <c r="K68" s="94" t="s">
        <v>166</v>
      </c>
      <c r="L68" s="94">
        <v>36</v>
      </c>
      <c r="M68" s="94"/>
      <c r="N68" s="96" t="s">
        <v>40</v>
      </c>
      <c r="O68" s="97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9"/>
      <c r="AV68" s="99"/>
    </row>
    <row r="69" spans="1:48" ht="15" customHeight="1">
      <c r="A69" s="119">
        <v>64</v>
      </c>
      <c r="B69" s="120" t="s">
        <v>88</v>
      </c>
      <c r="C69" s="121" t="s">
        <v>293</v>
      </c>
      <c r="D69" s="121" t="s">
        <v>307</v>
      </c>
      <c r="E69" s="121" t="s">
        <v>153</v>
      </c>
      <c r="F69" s="122">
        <v>43798</v>
      </c>
      <c r="G69" s="121" t="s">
        <v>308</v>
      </c>
      <c r="H69" s="121">
        <v>5102075030</v>
      </c>
      <c r="I69" s="121" t="s">
        <v>305</v>
      </c>
      <c r="J69" s="122">
        <v>45809</v>
      </c>
      <c r="K69" s="121" t="s">
        <v>309</v>
      </c>
      <c r="L69" s="121">
        <v>36</v>
      </c>
      <c r="M69" s="123" t="s">
        <v>310</v>
      </c>
      <c r="N69" s="124" t="s">
        <v>82</v>
      </c>
      <c r="O69" s="125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7"/>
      <c r="AV69" s="127"/>
    </row>
    <row r="70" spans="1:48" ht="15" customHeight="1">
      <c r="A70" s="93">
        <v>65</v>
      </c>
      <c r="B70" s="88" t="s">
        <v>48</v>
      </c>
      <c r="C70" s="84" t="s">
        <v>297</v>
      </c>
      <c r="D70" s="94" t="s">
        <v>311</v>
      </c>
      <c r="E70" s="94">
        <v>2</v>
      </c>
      <c r="F70" s="95">
        <v>42025</v>
      </c>
      <c r="G70" s="94" t="s">
        <v>304</v>
      </c>
      <c r="H70" s="94">
        <v>5102075030</v>
      </c>
      <c r="I70" s="94" t="s">
        <v>305</v>
      </c>
      <c r="J70" s="95">
        <v>45110</v>
      </c>
      <c r="K70" s="94" t="s">
        <v>312</v>
      </c>
      <c r="L70" s="94">
        <v>66</v>
      </c>
      <c r="M70" s="94"/>
      <c r="N70" s="96" t="s">
        <v>40</v>
      </c>
      <c r="O70" s="97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9"/>
      <c r="AV70" s="99"/>
    </row>
    <row r="71" spans="1:48" ht="15" customHeight="1">
      <c r="A71" s="93">
        <v>66</v>
      </c>
      <c r="B71" s="88" t="s">
        <v>88</v>
      </c>
      <c r="C71" s="94" t="s">
        <v>297</v>
      </c>
      <c r="D71" s="94" t="s">
        <v>311</v>
      </c>
      <c r="E71" s="94">
        <v>2</v>
      </c>
      <c r="F71" s="95">
        <v>42025</v>
      </c>
      <c r="G71" s="94" t="s">
        <v>304</v>
      </c>
      <c r="H71" s="94">
        <v>5102075030</v>
      </c>
      <c r="I71" s="94" t="s">
        <v>305</v>
      </c>
      <c r="J71" s="95">
        <v>45110</v>
      </c>
      <c r="K71" s="94" t="s">
        <v>313</v>
      </c>
      <c r="L71" s="94">
        <v>86</v>
      </c>
      <c r="M71" s="94"/>
      <c r="N71" s="96" t="s">
        <v>40</v>
      </c>
      <c r="O71" s="97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9"/>
      <c r="AV71" s="99"/>
    </row>
    <row r="72" spans="1:48" ht="15" customHeight="1">
      <c r="A72" s="93">
        <v>67</v>
      </c>
      <c r="B72" s="100" t="s">
        <v>48</v>
      </c>
      <c r="C72" s="101" t="s">
        <v>314</v>
      </c>
      <c r="D72" s="101" t="s">
        <v>315</v>
      </c>
      <c r="E72" s="101" t="s">
        <v>153</v>
      </c>
      <c r="F72" s="102" t="s">
        <v>316</v>
      </c>
      <c r="G72" s="101" t="s">
        <v>317</v>
      </c>
      <c r="H72" s="101">
        <v>4083936870</v>
      </c>
      <c r="I72" s="101" t="s">
        <v>318</v>
      </c>
      <c r="J72" s="102" t="s">
        <v>319</v>
      </c>
      <c r="K72" s="101" t="s">
        <v>138</v>
      </c>
      <c r="L72" s="101">
        <v>51</v>
      </c>
      <c r="M72" s="101" t="s">
        <v>158</v>
      </c>
      <c r="N72" s="103" t="s">
        <v>34</v>
      </c>
      <c r="O72" s="104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9"/>
      <c r="AV72" s="99"/>
    </row>
    <row r="73" spans="1:48" ht="15" customHeight="1">
      <c r="A73" s="93">
        <v>68</v>
      </c>
      <c r="B73" s="100" t="s">
        <v>88</v>
      </c>
      <c r="C73" s="101" t="s">
        <v>314</v>
      </c>
      <c r="D73" s="101" t="s">
        <v>315</v>
      </c>
      <c r="E73" s="101" t="s">
        <v>153</v>
      </c>
      <c r="F73" s="102" t="s">
        <v>316</v>
      </c>
      <c r="G73" s="101" t="s">
        <v>317</v>
      </c>
      <c r="H73" s="101">
        <v>4083936870</v>
      </c>
      <c r="I73" s="101" t="s">
        <v>318</v>
      </c>
      <c r="J73" s="102" t="s">
        <v>319</v>
      </c>
      <c r="K73" s="101" t="s">
        <v>320</v>
      </c>
      <c r="L73" s="101">
        <v>66</v>
      </c>
      <c r="M73" s="101" t="s">
        <v>158</v>
      </c>
      <c r="N73" s="103" t="s">
        <v>34</v>
      </c>
      <c r="O73" s="104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9"/>
      <c r="AV73" s="99"/>
    </row>
    <row r="74" spans="1:48" ht="15" customHeight="1">
      <c r="A74" s="93">
        <v>69</v>
      </c>
      <c r="B74" s="128" t="s">
        <v>48</v>
      </c>
      <c r="C74" s="101" t="s">
        <v>321</v>
      </c>
      <c r="D74" s="101" t="s">
        <v>322</v>
      </c>
      <c r="E74" s="129" t="s">
        <v>153</v>
      </c>
      <c r="F74" s="102">
        <v>43487</v>
      </c>
      <c r="G74" s="130" t="s">
        <v>323</v>
      </c>
      <c r="H74" s="130">
        <v>5107532567</v>
      </c>
      <c r="I74" s="130" t="s">
        <v>324</v>
      </c>
      <c r="J74" s="102">
        <v>45732</v>
      </c>
      <c r="K74" s="101"/>
      <c r="L74" s="101"/>
      <c r="M74" s="101" t="s">
        <v>325</v>
      </c>
      <c r="N74" s="103" t="s">
        <v>34</v>
      </c>
      <c r="O74" s="131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</row>
    <row r="75" spans="1:48" ht="15" customHeight="1">
      <c r="A75" s="93">
        <v>70</v>
      </c>
      <c r="B75" s="88" t="s">
        <v>48</v>
      </c>
      <c r="C75" s="94" t="s">
        <v>326</v>
      </c>
      <c r="D75" s="94" t="s">
        <v>327</v>
      </c>
      <c r="E75" s="94" t="s">
        <v>153</v>
      </c>
      <c r="F75" s="95" t="s">
        <v>328</v>
      </c>
      <c r="G75" s="94" t="s">
        <v>329</v>
      </c>
      <c r="H75" s="94">
        <v>4086054758</v>
      </c>
      <c r="I75" s="94" t="s">
        <v>330</v>
      </c>
      <c r="J75" s="95" t="s">
        <v>331</v>
      </c>
      <c r="K75" s="94" t="s">
        <v>173</v>
      </c>
      <c r="L75" s="94">
        <v>21</v>
      </c>
      <c r="M75" s="94"/>
      <c r="N75" s="96" t="s">
        <v>40</v>
      </c>
      <c r="O75" s="97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9"/>
      <c r="AV75" s="99"/>
    </row>
    <row r="76" spans="1:48" ht="15" customHeight="1">
      <c r="A76" s="93">
        <v>71</v>
      </c>
      <c r="B76" s="96" t="s">
        <v>48</v>
      </c>
      <c r="C76" s="112" t="s">
        <v>326</v>
      </c>
      <c r="D76" s="112" t="s">
        <v>327</v>
      </c>
      <c r="E76" s="112" t="s">
        <v>153</v>
      </c>
      <c r="F76" s="113" t="s">
        <v>328</v>
      </c>
      <c r="G76" s="112" t="s">
        <v>329</v>
      </c>
      <c r="H76" s="112">
        <v>4086054758</v>
      </c>
      <c r="I76" s="112" t="s">
        <v>330</v>
      </c>
      <c r="J76" s="113" t="s">
        <v>269</v>
      </c>
      <c r="K76" s="94" t="s">
        <v>131</v>
      </c>
      <c r="L76" s="94">
        <v>11</v>
      </c>
      <c r="M76" s="94" t="s">
        <v>332</v>
      </c>
      <c r="N76" s="96" t="s">
        <v>40</v>
      </c>
      <c r="O76" s="115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9"/>
      <c r="AV76" s="99"/>
    </row>
    <row r="77" spans="1:48" ht="15" customHeight="1">
      <c r="A77" s="93">
        <v>72</v>
      </c>
      <c r="B77" s="88" t="s">
        <v>48</v>
      </c>
      <c r="C77" s="94" t="s">
        <v>333</v>
      </c>
      <c r="D77" s="94" t="s">
        <v>334</v>
      </c>
      <c r="E77" s="94">
        <v>1</v>
      </c>
      <c r="F77" s="95">
        <v>42695</v>
      </c>
      <c r="G77" s="94" t="s">
        <v>335</v>
      </c>
      <c r="H77" s="94">
        <v>5103147991</v>
      </c>
      <c r="I77" s="94" t="s">
        <v>336</v>
      </c>
      <c r="J77" s="95">
        <v>45523</v>
      </c>
      <c r="K77" s="94" t="s">
        <v>270</v>
      </c>
      <c r="L77" s="94">
        <v>1</v>
      </c>
      <c r="M77" s="94"/>
      <c r="N77" s="96" t="s">
        <v>40</v>
      </c>
      <c r="O77" s="97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9"/>
      <c r="AV77" s="99"/>
    </row>
    <row r="78" spans="1:48" ht="15" customHeight="1">
      <c r="A78" s="93">
        <v>73</v>
      </c>
      <c r="B78" s="88" t="s">
        <v>88</v>
      </c>
      <c r="C78" s="94" t="s">
        <v>333</v>
      </c>
      <c r="D78" s="94" t="s">
        <v>334</v>
      </c>
      <c r="E78" s="94">
        <v>1</v>
      </c>
      <c r="F78" s="95">
        <v>42695</v>
      </c>
      <c r="G78" s="94" t="s">
        <v>335</v>
      </c>
      <c r="H78" s="94">
        <v>5103147991</v>
      </c>
      <c r="I78" s="94" t="s">
        <v>336</v>
      </c>
      <c r="J78" s="95">
        <v>45523</v>
      </c>
      <c r="K78" s="94" t="s">
        <v>159</v>
      </c>
      <c r="L78" s="94">
        <v>51</v>
      </c>
      <c r="M78" s="94"/>
      <c r="N78" s="96" t="s">
        <v>40</v>
      </c>
      <c r="O78" s="97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9"/>
      <c r="AV78" s="99"/>
    </row>
    <row r="79" spans="1:48" ht="15" customHeight="1">
      <c r="A79" s="93">
        <v>74</v>
      </c>
      <c r="B79" s="88" t="s">
        <v>88</v>
      </c>
      <c r="C79" s="94" t="s">
        <v>333</v>
      </c>
      <c r="D79" s="94" t="s">
        <v>337</v>
      </c>
      <c r="E79" s="94">
        <v>1</v>
      </c>
      <c r="F79" s="95">
        <v>42695</v>
      </c>
      <c r="G79" s="94" t="s">
        <v>335</v>
      </c>
      <c r="H79" s="94">
        <v>5103147991</v>
      </c>
      <c r="I79" s="94" t="s">
        <v>336</v>
      </c>
      <c r="J79" s="95">
        <v>45523</v>
      </c>
      <c r="K79" s="94" t="s">
        <v>159</v>
      </c>
      <c r="L79" s="94">
        <v>51</v>
      </c>
      <c r="M79" s="94"/>
      <c r="N79" s="96" t="s">
        <v>40</v>
      </c>
      <c r="O79" s="97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9"/>
      <c r="AV79" s="99"/>
    </row>
    <row r="80" spans="1:48" ht="15" customHeight="1">
      <c r="A80" s="93">
        <v>75</v>
      </c>
      <c r="B80" s="88" t="s">
        <v>48</v>
      </c>
      <c r="C80" s="94" t="s">
        <v>333</v>
      </c>
      <c r="D80" s="94" t="s">
        <v>337</v>
      </c>
      <c r="E80" s="94">
        <v>1</v>
      </c>
      <c r="F80" s="95">
        <v>42695</v>
      </c>
      <c r="G80" s="94" t="s">
        <v>335</v>
      </c>
      <c r="H80" s="94">
        <v>5103147991</v>
      </c>
      <c r="I80" s="94" t="s">
        <v>336</v>
      </c>
      <c r="J80" s="95">
        <v>45523</v>
      </c>
      <c r="K80" s="94" t="s">
        <v>129</v>
      </c>
      <c r="L80" s="94">
        <v>51</v>
      </c>
      <c r="M80" s="94"/>
      <c r="N80" s="96" t="s">
        <v>40</v>
      </c>
      <c r="O80" s="97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9"/>
      <c r="AV80" s="99"/>
    </row>
    <row r="81" spans="1:48" ht="15" customHeight="1">
      <c r="A81" s="93">
        <v>76</v>
      </c>
      <c r="B81" s="100" t="s">
        <v>48</v>
      </c>
      <c r="C81" s="101" t="s">
        <v>338</v>
      </c>
      <c r="D81" s="101" t="s">
        <v>119</v>
      </c>
      <c r="E81" s="101" t="s">
        <v>153</v>
      </c>
      <c r="F81" s="102">
        <v>43274</v>
      </c>
      <c r="G81" s="101" t="s">
        <v>339</v>
      </c>
      <c r="H81" s="101">
        <v>2544004292</v>
      </c>
      <c r="I81" s="101" t="s">
        <v>340</v>
      </c>
      <c r="J81" s="102">
        <v>45503</v>
      </c>
      <c r="K81" s="101" t="s">
        <v>166</v>
      </c>
      <c r="L81" s="101">
        <v>86</v>
      </c>
      <c r="M81" s="101"/>
      <c r="N81" s="103" t="s">
        <v>34</v>
      </c>
      <c r="O81" s="104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9"/>
      <c r="AV81" s="99"/>
    </row>
    <row r="82" spans="1:48" ht="15" customHeight="1">
      <c r="A82" s="93">
        <v>77</v>
      </c>
      <c r="B82" s="100" t="s">
        <v>88</v>
      </c>
      <c r="C82" s="101" t="s">
        <v>338</v>
      </c>
      <c r="D82" s="101" t="s">
        <v>119</v>
      </c>
      <c r="E82" s="101" t="s">
        <v>153</v>
      </c>
      <c r="F82" s="102">
        <v>43274</v>
      </c>
      <c r="G82" s="101" t="s">
        <v>339</v>
      </c>
      <c r="H82" s="101">
        <v>2544004292</v>
      </c>
      <c r="I82" s="101" t="s">
        <v>340</v>
      </c>
      <c r="J82" s="102">
        <v>45627</v>
      </c>
      <c r="K82" s="101" t="s">
        <v>159</v>
      </c>
      <c r="L82" s="101">
        <v>1</v>
      </c>
      <c r="M82" s="101"/>
      <c r="N82" s="103" t="s">
        <v>34</v>
      </c>
      <c r="O82" s="104"/>
      <c r="P82" s="98"/>
      <c r="Q82" s="98"/>
      <c r="R82" s="98"/>
      <c r="S82" s="98"/>
      <c r="T82" s="98"/>
      <c r="U82" s="98"/>
      <c r="V82" s="98"/>
      <c r="W82" s="98"/>
      <c r="X82" s="98" t="s">
        <v>64</v>
      </c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9"/>
      <c r="AV82" s="99"/>
    </row>
    <row r="83" spans="1:48" ht="15" customHeight="1">
      <c r="A83" s="93">
        <v>78</v>
      </c>
      <c r="B83" s="100" t="s">
        <v>88</v>
      </c>
      <c r="C83" s="101" t="s">
        <v>341</v>
      </c>
      <c r="D83" s="101" t="s">
        <v>342</v>
      </c>
      <c r="E83" s="101" t="s">
        <v>210</v>
      </c>
      <c r="F83" s="102" t="s">
        <v>343</v>
      </c>
      <c r="G83" s="101" t="s">
        <v>344</v>
      </c>
      <c r="H83" s="101">
        <v>7063088178</v>
      </c>
      <c r="I83" s="101" t="s">
        <v>345</v>
      </c>
      <c r="J83" s="102" t="s">
        <v>123</v>
      </c>
      <c r="K83" s="101" t="s">
        <v>215</v>
      </c>
      <c r="L83" s="101">
        <v>105</v>
      </c>
      <c r="M83" s="101" t="s">
        <v>158</v>
      </c>
      <c r="N83" s="103" t="s">
        <v>34</v>
      </c>
      <c r="O83" s="104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9"/>
      <c r="AV83" s="99"/>
    </row>
    <row r="84" spans="1:48" ht="15" customHeight="1">
      <c r="A84" s="93">
        <v>79</v>
      </c>
      <c r="B84" s="100" t="s">
        <v>48</v>
      </c>
      <c r="C84" s="101" t="s">
        <v>341</v>
      </c>
      <c r="D84" s="101" t="s">
        <v>342</v>
      </c>
      <c r="E84" s="101" t="s">
        <v>210</v>
      </c>
      <c r="F84" s="102" t="s">
        <v>343</v>
      </c>
      <c r="G84" s="101" t="s">
        <v>344</v>
      </c>
      <c r="H84" s="101">
        <v>7063088178</v>
      </c>
      <c r="I84" s="101" t="s">
        <v>345</v>
      </c>
      <c r="J84" s="102" t="s">
        <v>123</v>
      </c>
      <c r="K84" s="132" t="s">
        <v>150</v>
      </c>
      <c r="L84" s="101">
        <v>1</v>
      </c>
      <c r="M84" s="101" t="s">
        <v>158</v>
      </c>
      <c r="N84" s="103" t="s">
        <v>34</v>
      </c>
      <c r="O84" s="104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9"/>
      <c r="AV84" s="99"/>
    </row>
    <row r="85" spans="1:48" ht="15" customHeight="1">
      <c r="A85" s="93">
        <v>80</v>
      </c>
      <c r="B85" s="100" t="s">
        <v>48</v>
      </c>
      <c r="C85" s="101" t="s">
        <v>341</v>
      </c>
      <c r="D85" s="101" t="s">
        <v>346</v>
      </c>
      <c r="E85" s="101">
        <v>1</v>
      </c>
      <c r="F85" s="102" t="s">
        <v>347</v>
      </c>
      <c r="G85" s="101" t="s">
        <v>348</v>
      </c>
      <c r="H85" s="101">
        <v>4088390577</v>
      </c>
      <c r="I85" s="101" t="s">
        <v>349</v>
      </c>
      <c r="J85" s="102" t="s">
        <v>350</v>
      </c>
      <c r="K85" s="133" t="s">
        <v>144</v>
      </c>
      <c r="L85" s="101">
        <v>41</v>
      </c>
      <c r="M85" s="101"/>
      <c r="N85" s="103" t="s">
        <v>34</v>
      </c>
      <c r="O85" s="104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9"/>
      <c r="AV85" s="99"/>
    </row>
    <row r="86" spans="1:48" ht="15" customHeight="1">
      <c r="A86" s="93">
        <v>81</v>
      </c>
      <c r="B86" s="100" t="s">
        <v>88</v>
      </c>
      <c r="C86" s="101" t="s">
        <v>341</v>
      </c>
      <c r="D86" s="101" t="s">
        <v>346</v>
      </c>
      <c r="E86" s="101">
        <v>1</v>
      </c>
      <c r="F86" s="102" t="s">
        <v>347</v>
      </c>
      <c r="G86" s="101" t="s">
        <v>348</v>
      </c>
      <c r="H86" s="101">
        <v>4088390577</v>
      </c>
      <c r="I86" s="101" t="s">
        <v>349</v>
      </c>
      <c r="J86" s="102" t="s">
        <v>350</v>
      </c>
      <c r="K86" s="101" t="s">
        <v>139</v>
      </c>
      <c r="L86" s="101">
        <v>76</v>
      </c>
      <c r="M86" s="101"/>
      <c r="N86" s="103" t="s">
        <v>34</v>
      </c>
      <c r="O86" s="104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9"/>
      <c r="AV86" s="99"/>
    </row>
    <row r="87" spans="1:48" ht="15" customHeight="1">
      <c r="A87" s="93">
        <v>82</v>
      </c>
      <c r="B87" s="88" t="s">
        <v>48</v>
      </c>
      <c r="C87" s="94" t="s">
        <v>351</v>
      </c>
      <c r="D87" s="94" t="s">
        <v>352</v>
      </c>
      <c r="E87" s="94">
        <v>2</v>
      </c>
      <c r="F87" s="95">
        <v>42736</v>
      </c>
      <c r="G87" s="94" t="s">
        <v>353</v>
      </c>
      <c r="H87" s="94">
        <v>4088070200</v>
      </c>
      <c r="I87" s="94" t="s">
        <v>354</v>
      </c>
      <c r="J87" s="95">
        <v>45323</v>
      </c>
      <c r="K87" s="94" t="s">
        <v>302</v>
      </c>
      <c r="L87" s="94">
        <v>18</v>
      </c>
      <c r="M87" s="94"/>
      <c r="N87" s="96" t="s">
        <v>40</v>
      </c>
      <c r="O87" s="97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9"/>
      <c r="AV87" s="99"/>
    </row>
    <row r="88" spans="1:48" ht="15" customHeight="1">
      <c r="A88" s="93">
        <v>83</v>
      </c>
      <c r="B88" s="88" t="s">
        <v>88</v>
      </c>
      <c r="C88" s="94" t="s">
        <v>351</v>
      </c>
      <c r="D88" s="94" t="s">
        <v>352</v>
      </c>
      <c r="E88" s="94">
        <v>2</v>
      </c>
      <c r="F88" s="95">
        <v>42736</v>
      </c>
      <c r="G88" s="94" t="s">
        <v>353</v>
      </c>
      <c r="H88" s="94">
        <v>4088070200</v>
      </c>
      <c r="I88" s="94" t="s">
        <v>354</v>
      </c>
      <c r="J88" s="95">
        <v>45525</v>
      </c>
      <c r="K88" s="94" t="s">
        <v>159</v>
      </c>
      <c r="L88" s="94">
        <v>88</v>
      </c>
      <c r="M88" s="94"/>
      <c r="N88" s="96" t="s">
        <v>40</v>
      </c>
      <c r="O88" s="97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9"/>
      <c r="AV88" s="99"/>
    </row>
    <row r="89" spans="1:48" ht="15" customHeight="1">
      <c r="A89" s="93">
        <v>84</v>
      </c>
      <c r="B89" s="100" t="s">
        <v>48</v>
      </c>
      <c r="C89" s="101" t="s">
        <v>355</v>
      </c>
      <c r="D89" s="101" t="s">
        <v>356</v>
      </c>
      <c r="E89" s="101">
        <v>4</v>
      </c>
      <c r="F89" s="102" t="s">
        <v>357</v>
      </c>
      <c r="G89" s="101" t="s">
        <v>358</v>
      </c>
      <c r="H89" s="101">
        <v>2066055380</v>
      </c>
      <c r="I89" s="101" t="s">
        <v>359</v>
      </c>
      <c r="J89" s="102" t="s">
        <v>360</v>
      </c>
      <c r="K89" s="101" t="s">
        <v>302</v>
      </c>
      <c r="L89" s="101">
        <v>91</v>
      </c>
      <c r="M89" s="101"/>
      <c r="N89" s="103" t="s">
        <v>34</v>
      </c>
      <c r="O89" s="104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9"/>
      <c r="AV89" s="99"/>
    </row>
    <row r="90" spans="1:48" ht="15" customHeight="1">
      <c r="A90" s="93">
        <v>85</v>
      </c>
      <c r="B90" s="100" t="s">
        <v>88</v>
      </c>
      <c r="C90" s="101" t="s">
        <v>355</v>
      </c>
      <c r="D90" s="101" t="s">
        <v>356</v>
      </c>
      <c r="E90" s="101">
        <v>4</v>
      </c>
      <c r="F90" s="102" t="s">
        <v>361</v>
      </c>
      <c r="G90" s="101" t="s">
        <v>362</v>
      </c>
      <c r="H90" s="101">
        <v>2066055380</v>
      </c>
      <c r="I90" s="101" t="s">
        <v>359</v>
      </c>
      <c r="J90" s="102" t="s">
        <v>360</v>
      </c>
      <c r="K90" s="101" t="s">
        <v>181</v>
      </c>
      <c r="L90" s="101">
        <v>96</v>
      </c>
      <c r="M90" s="101"/>
      <c r="N90" s="103" t="s">
        <v>34</v>
      </c>
      <c r="O90" s="104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9"/>
      <c r="AV90" s="99"/>
    </row>
    <row r="91" spans="1:48" ht="15" customHeight="1">
      <c r="A91" s="93">
        <v>86</v>
      </c>
      <c r="B91" s="93" t="s">
        <v>48</v>
      </c>
      <c r="C91" s="112" t="s">
        <v>363</v>
      </c>
      <c r="D91" s="112" t="s">
        <v>364</v>
      </c>
      <c r="E91" s="112" t="s">
        <v>153</v>
      </c>
      <c r="F91" s="113">
        <v>43649</v>
      </c>
      <c r="G91" s="114" t="s">
        <v>365</v>
      </c>
      <c r="H91" s="114">
        <v>4082181523</v>
      </c>
      <c r="I91" s="114" t="s">
        <v>366</v>
      </c>
      <c r="J91" s="95">
        <v>45733</v>
      </c>
      <c r="K91" s="94" t="s">
        <v>214</v>
      </c>
      <c r="L91" s="94">
        <v>1</v>
      </c>
      <c r="M91" s="94"/>
      <c r="N91" s="96" t="s">
        <v>40</v>
      </c>
      <c r="O91" s="115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  <c r="AU91" s="99"/>
      <c r="AV91" s="99"/>
    </row>
    <row r="92" spans="1:48" ht="15" customHeight="1">
      <c r="A92" s="93">
        <v>87</v>
      </c>
      <c r="B92" s="119" t="s">
        <v>88</v>
      </c>
      <c r="C92" s="112" t="s">
        <v>363</v>
      </c>
      <c r="D92" s="112" t="s">
        <v>364</v>
      </c>
      <c r="E92" s="112" t="s">
        <v>153</v>
      </c>
      <c r="F92" s="113">
        <v>43649</v>
      </c>
      <c r="G92" s="114" t="s">
        <v>365</v>
      </c>
      <c r="H92" s="114">
        <v>4082181523</v>
      </c>
      <c r="I92" s="114" t="s">
        <v>366</v>
      </c>
      <c r="J92" s="95">
        <v>45733</v>
      </c>
      <c r="K92" s="94" t="s">
        <v>367</v>
      </c>
      <c r="L92" s="94">
        <v>107</v>
      </c>
      <c r="M92" s="94"/>
      <c r="N92" s="96" t="s">
        <v>40</v>
      </c>
      <c r="O92" s="115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  <c r="AU92" s="99"/>
      <c r="AV92" s="99"/>
    </row>
    <row r="93" spans="1:48" ht="15" customHeight="1">
      <c r="A93" s="93">
        <v>88</v>
      </c>
      <c r="B93" s="100" t="s">
        <v>48</v>
      </c>
      <c r="C93" s="101" t="s">
        <v>368</v>
      </c>
      <c r="D93" s="101" t="s">
        <v>369</v>
      </c>
      <c r="E93" s="101" t="s">
        <v>153</v>
      </c>
      <c r="F93" s="102">
        <v>42867</v>
      </c>
      <c r="G93" s="101" t="s">
        <v>370</v>
      </c>
      <c r="H93" s="101">
        <v>4086432868</v>
      </c>
      <c r="I93" s="101" t="s">
        <v>371</v>
      </c>
      <c r="J93" s="102" t="s">
        <v>157</v>
      </c>
      <c r="K93" s="101" t="s">
        <v>302</v>
      </c>
      <c r="L93" s="101">
        <v>54</v>
      </c>
      <c r="M93" s="101"/>
      <c r="N93" s="103" t="s">
        <v>34</v>
      </c>
      <c r="O93" s="104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9"/>
      <c r="AV93" s="99"/>
    </row>
    <row r="94" spans="1:48" ht="15" customHeight="1">
      <c r="A94" s="93">
        <v>89</v>
      </c>
      <c r="B94" s="100" t="s">
        <v>88</v>
      </c>
      <c r="C94" s="101" t="s">
        <v>368</v>
      </c>
      <c r="D94" s="101" t="s">
        <v>369</v>
      </c>
      <c r="E94" s="101" t="s">
        <v>153</v>
      </c>
      <c r="F94" s="102">
        <v>42867</v>
      </c>
      <c r="G94" s="101" t="s">
        <v>370</v>
      </c>
      <c r="H94" s="101">
        <v>4086432868</v>
      </c>
      <c r="I94" s="101" t="s">
        <v>371</v>
      </c>
      <c r="J94" s="102" t="s">
        <v>157</v>
      </c>
      <c r="K94" s="101" t="s">
        <v>124</v>
      </c>
      <c r="L94" s="101">
        <v>28</v>
      </c>
      <c r="M94" s="101"/>
      <c r="N94" s="103" t="s">
        <v>34</v>
      </c>
      <c r="O94" s="104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9"/>
      <c r="AV94" s="99"/>
    </row>
    <row r="95" spans="1:48" ht="15" customHeight="1">
      <c r="A95" s="93">
        <v>90</v>
      </c>
      <c r="B95" s="88" t="s">
        <v>48</v>
      </c>
      <c r="C95" s="94" t="s">
        <v>372</v>
      </c>
      <c r="D95" s="94" t="s">
        <v>311</v>
      </c>
      <c r="E95" s="94">
        <v>3</v>
      </c>
      <c r="F95" s="95">
        <v>42514</v>
      </c>
      <c r="G95" s="94" t="s">
        <v>373</v>
      </c>
      <c r="H95" s="94">
        <v>4703493407</v>
      </c>
      <c r="I95" s="94" t="s">
        <v>374</v>
      </c>
      <c r="J95" s="95">
        <v>45695</v>
      </c>
      <c r="K95" s="94" t="s">
        <v>375</v>
      </c>
      <c r="L95" s="94">
        <v>101</v>
      </c>
      <c r="M95" s="94"/>
      <c r="N95" s="96" t="s">
        <v>40</v>
      </c>
      <c r="O95" s="97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9"/>
      <c r="AV95" s="99"/>
    </row>
    <row r="96" spans="1:48" ht="15" customHeight="1">
      <c r="A96" s="93">
        <v>91</v>
      </c>
      <c r="B96" s="88" t="s">
        <v>48</v>
      </c>
      <c r="C96" s="94" t="s">
        <v>376</v>
      </c>
      <c r="D96" s="94" t="s">
        <v>377</v>
      </c>
      <c r="E96" s="94">
        <v>6</v>
      </c>
      <c r="F96" s="95">
        <v>41061</v>
      </c>
      <c r="G96" s="94" t="s">
        <v>378</v>
      </c>
      <c r="H96" s="94">
        <v>4088139160</v>
      </c>
      <c r="I96" s="94" t="s">
        <v>379</v>
      </c>
      <c r="J96" s="95">
        <v>45156</v>
      </c>
      <c r="K96" s="94" t="s">
        <v>110</v>
      </c>
      <c r="L96" s="94">
        <v>99</v>
      </c>
      <c r="M96" s="94"/>
      <c r="N96" s="96" t="s">
        <v>40</v>
      </c>
      <c r="O96" s="97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9"/>
      <c r="AV96" s="99"/>
    </row>
    <row r="97" spans="1:48" ht="15" customHeight="1">
      <c r="A97" s="93">
        <v>92</v>
      </c>
      <c r="B97" s="88" t="s">
        <v>88</v>
      </c>
      <c r="C97" s="94" t="s">
        <v>376</v>
      </c>
      <c r="D97" s="94" t="s">
        <v>377</v>
      </c>
      <c r="E97" s="94">
        <v>6</v>
      </c>
      <c r="F97" s="95">
        <v>41061</v>
      </c>
      <c r="G97" s="94" t="s">
        <v>378</v>
      </c>
      <c r="H97" s="94">
        <v>4088139160</v>
      </c>
      <c r="I97" s="94" t="s">
        <v>379</v>
      </c>
      <c r="J97" s="95">
        <v>45156</v>
      </c>
      <c r="K97" s="94" t="s">
        <v>380</v>
      </c>
      <c r="L97" s="94">
        <v>15</v>
      </c>
      <c r="M97" s="94"/>
      <c r="N97" s="96" t="s">
        <v>40</v>
      </c>
      <c r="O97" s="97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9"/>
      <c r="AV97" s="99"/>
    </row>
    <row r="98" spans="1:48" ht="15" customHeight="1">
      <c r="A98" s="93">
        <v>93</v>
      </c>
      <c r="B98" s="88" t="s">
        <v>48</v>
      </c>
      <c r="C98" s="94" t="s">
        <v>381</v>
      </c>
      <c r="D98" s="94" t="s">
        <v>382</v>
      </c>
      <c r="E98" s="94">
        <v>2</v>
      </c>
      <c r="F98" s="95">
        <v>42348</v>
      </c>
      <c r="G98" s="94" t="s">
        <v>383</v>
      </c>
      <c r="H98" s="94">
        <v>4157228574</v>
      </c>
      <c r="I98" s="94" t="s">
        <v>384</v>
      </c>
      <c r="J98" s="95" t="s">
        <v>385</v>
      </c>
      <c r="K98" s="94" t="s">
        <v>201</v>
      </c>
      <c r="L98" s="94">
        <v>71</v>
      </c>
      <c r="M98" s="94" t="s">
        <v>64</v>
      </c>
      <c r="N98" s="96" t="s">
        <v>40</v>
      </c>
      <c r="O98" s="97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9"/>
      <c r="AV98" s="99"/>
    </row>
    <row r="99" spans="1:48" ht="15" customHeight="1">
      <c r="A99" s="93">
        <v>94</v>
      </c>
      <c r="B99" s="88" t="s">
        <v>88</v>
      </c>
      <c r="C99" s="94" t="s">
        <v>381</v>
      </c>
      <c r="D99" s="94" t="s">
        <v>382</v>
      </c>
      <c r="E99" s="94">
        <v>2</v>
      </c>
      <c r="F99" s="95">
        <v>42348</v>
      </c>
      <c r="G99" s="94" t="s">
        <v>383</v>
      </c>
      <c r="H99" s="94">
        <v>4157228574</v>
      </c>
      <c r="I99" s="94" t="s">
        <v>384</v>
      </c>
      <c r="J99" s="95" t="s">
        <v>385</v>
      </c>
      <c r="K99" s="94" t="s">
        <v>109</v>
      </c>
      <c r="L99" s="94">
        <v>66</v>
      </c>
      <c r="M99" s="94"/>
      <c r="N99" s="96" t="s">
        <v>40</v>
      </c>
      <c r="O99" s="97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9"/>
      <c r="AV99" s="99"/>
    </row>
    <row r="100" spans="1:48" ht="15" customHeight="1">
      <c r="A100" s="93">
        <v>95</v>
      </c>
      <c r="B100" s="100" t="s">
        <v>48</v>
      </c>
      <c r="C100" s="101" t="s">
        <v>381</v>
      </c>
      <c r="D100" s="101" t="s">
        <v>386</v>
      </c>
      <c r="E100" s="101">
        <v>1</v>
      </c>
      <c r="F100" s="102">
        <v>42086</v>
      </c>
      <c r="G100" s="101" t="s">
        <v>387</v>
      </c>
      <c r="H100" s="101">
        <v>5109848496</v>
      </c>
      <c r="I100" s="101" t="s">
        <v>388</v>
      </c>
      <c r="J100" s="102">
        <v>45536</v>
      </c>
      <c r="K100" s="101" t="s">
        <v>125</v>
      </c>
      <c r="L100" s="101">
        <v>36</v>
      </c>
      <c r="M100" s="101"/>
      <c r="N100" s="103" t="s">
        <v>34</v>
      </c>
      <c r="O100" s="104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98"/>
      <c r="AQ100" s="98"/>
      <c r="AR100" s="98"/>
      <c r="AS100" s="98"/>
      <c r="AT100" s="98"/>
      <c r="AU100" s="99"/>
      <c r="AV100" s="99"/>
    </row>
    <row r="101" spans="1:48" ht="15" customHeight="1">
      <c r="A101" s="93">
        <v>96</v>
      </c>
      <c r="B101" s="100" t="s">
        <v>88</v>
      </c>
      <c r="C101" s="101" t="s">
        <v>381</v>
      </c>
      <c r="D101" s="101" t="s">
        <v>386</v>
      </c>
      <c r="E101" s="101">
        <v>1</v>
      </c>
      <c r="F101" s="102">
        <v>42086</v>
      </c>
      <c r="G101" s="101" t="s">
        <v>387</v>
      </c>
      <c r="H101" s="101">
        <v>5109848496</v>
      </c>
      <c r="I101" s="101" t="s">
        <v>388</v>
      </c>
      <c r="J101" s="102">
        <v>45536</v>
      </c>
      <c r="K101" s="101" t="s">
        <v>222</v>
      </c>
      <c r="L101" s="101">
        <v>31</v>
      </c>
      <c r="M101" s="101"/>
      <c r="N101" s="103" t="s">
        <v>34</v>
      </c>
      <c r="O101" s="104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98"/>
      <c r="AR101" s="98"/>
      <c r="AS101" s="98"/>
      <c r="AT101" s="98"/>
      <c r="AU101" s="99"/>
      <c r="AV101" s="99"/>
    </row>
    <row r="102" spans="1:48" ht="15" customHeight="1">
      <c r="A102" s="93">
        <v>97</v>
      </c>
      <c r="B102" s="88" t="s">
        <v>48</v>
      </c>
      <c r="C102" s="94" t="s">
        <v>389</v>
      </c>
      <c r="D102" s="94" t="s">
        <v>390</v>
      </c>
      <c r="E102" s="94">
        <v>2</v>
      </c>
      <c r="F102" s="95" t="s">
        <v>391</v>
      </c>
      <c r="G102" s="94" t="s">
        <v>392</v>
      </c>
      <c r="H102" s="94">
        <v>3473220327</v>
      </c>
      <c r="I102" s="94" t="s">
        <v>393</v>
      </c>
      <c r="J102" s="95" t="s">
        <v>394</v>
      </c>
      <c r="K102" s="94" t="s">
        <v>166</v>
      </c>
      <c r="L102" s="94">
        <v>16</v>
      </c>
      <c r="M102" s="94" t="s">
        <v>395</v>
      </c>
      <c r="N102" s="96" t="s">
        <v>40</v>
      </c>
      <c r="O102" s="97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  <c r="AN102" s="98"/>
      <c r="AO102" s="98"/>
      <c r="AP102" s="98"/>
      <c r="AQ102" s="98"/>
      <c r="AR102" s="98"/>
      <c r="AS102" s="98"/>
      <c r="AT102" s="98"/>
      <c r="AU102" s="99"/>
      <c r="AV102" s="99"/>
    </row>
    <row r="103" spans="1:48" ht="15" customHeight="1">
      <c r="A103" s="93">
        <v>98</v>
      </c>
      <c r="B103" s="88" t="s">
        <v>88</v>
      </c>
      <c r="C103" s="94" t="s">
        <v>389</v>
      </c>
      <c r="D103" s="94" t="s">
        <v>390</v>
      </c>
      <c r="E103" s="94">
        <v>2</v>
      </c>
      <c r="F103" s="95" t="s">
        <v>391</v>
      </c>
      <c r="G103" s="94" t="s">
        <v>392</v>
      </c>
      <c r="H103" s="94">
        <v>3473220327</v>
      </c>
      <c r="I103" s="94" t="s">
        <v>393</v>
      </c>
      <c r="J103" s="95" t="s">
        <v>394</v>
      </c>
      <c r="K103" s="94"/>
      <c r="L103" s="94"/>
      <c r="M103" s="94" t="s">
        <v>395</v>
      </c>
      <c r="N103" s="96" t="s">
        <v>40</v>
      </c>
      <c r="O103" s="97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98"/>
      <c r="AR103" s="98"/>
      <c r="AS103" s="98"/>
      <c r="AT103" s="98"/>
      <c r="AU103" s="99"/>
      <c r="AV103" s="99"/>
    </row>
    <row r="104" spans="1:48" ht="15" customHeight="1">
      <c r="A104" s="93">
        <v>99</v>
      </c>
      <c r="B104" s="88" t="s">
        <v>88</v>
      </c>
      <c r="C104" s="94" t="s">
        <v>396</v>
      </c>
      <c r="D104" s="94" t="s">
        <v>397</v>
      </c>
      <c r="E104" s="94" t="s">
        <v>251</v>
      </c>
      <c r="F104" s="95">
        <v>44245</v>
      </c>
      <c r="G104" s="94" t="s">
        <v>398</v>
      </c>
      <c r="H104" s="94">
        <v>6503056008</v>
      </c>
      <c r="I104" s="94" t="s">
        <v>399</v>
      </c>
      <c r="J104" s="95">
        <v>45658</v>
      </c>
      <c r="K104" s="94" t="s">
        <v>400</v>
      </c>
      <c r="L104" s="94">
        <v>46</v>
      </c>
      <c r="M104" s="94" t="s">
        <v>401</v>
      </c>
      <c r="N104" s="96" t="s">
        <v>40</v>
      </c>
      <c r="O104" s="97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9"/>
      <c r="AV104" s="99"/>
    </row>
    <row r="105" spans="1:48" ht="15" customHeight="1">
      <c r="A105" s="93">
        <v>100</v>
      </c>
      <c r="B105" s="117" t="s">
        <v>48</v>
      </c>
      <c r="C105" s="94" t="s">
        <v>402</v>
      </c>
      <c r="D105" s="94" t="s">
        <v>403</v>
      </c>
      <c r="E105" s="94">
        <v>1</v>
      </c>
      <c r="F105" s="95" t="s">
        <v>404</v>
      </c>
      <c r="G105" s="94" t="s">
        <v>405</v>
      </c>
      <c r="H105" s="94">
        <v>4052306385</v>
      </c>
      <c r="I105" s="94" t="s">
        <v>406</v>
      </c>
      <c r="J105" s="95">
        <v>410985</v>
      </c>
      <c r="K105" s="94" t="s">
        <v>166</v>
      </c>
      <c r="L105" s="94">
        <v>46</v>
      </c>
      <c r="M105" s="95">
        <v>45536</v>
      </c>
      <c r="N105" s="96" t="s">
        <v>40</v>
      </c>
      <c r="O105" s="115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  <c r="AS105" s="116"/>
      <c r="AT105" s="116"/>
      <c r="AU105" s="99"/>
      <c r="AV105" s="99"/>
    </row>
    <row r="106" spans="1:48" ht="15" customHeight="1">
      <c r="A106" s="93">
        <v>101</v>
      </c>
      <c r="B106" s="117" t="s">
        <v>88</v>
      </c>
      <c r="C106" s="94" t="s">
        <v>402</v>
      </c>
      <c r="D106" s="94" t="s">
        <v>403</v>
      </c>
      <c r="E106" s="94">
        <v>1</v>
      </c>
      <c r="F106" s="95" t="s">
        <v>404</v>
      </c>
      <c r="G106" s="94" t="s">
        <v>405</v>
      </c>
      <c r="H106" s="94">
        <v>4052306385</v>
      </c>
      <c r="I106" s="94" t="s">
        <v>406</v>
      </c>
      <c r="J106" s="95">
        <v>45803</v>
      </c>
      <c r="K106" s="94" t="s">
        <v>159</v>
      </c>
      <c r="L106" s="94">
        <v>50</v>
      </c>
      <c r="M106" s="95"/>
      <c r="N106" s="96" t="s">
        <v>40</v>
      </c>
      <c r="O106" s="115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  <c r="AT106" s="116"/>
      <c r="AU106" s="99"/>
      <c r="AV106" s="99"/>
    </row>
    <row r="107" spans="1:48" ht="15" customHeight="1">
      <c r="A107" s="93">
        <v>102</v>
      </c>
      <c r="B107" s="117" t="s">
        <v>48</v>
      </c>
      <c r="C107" s="94" t="s">
        <v>407</v>
      </c>
      <c r="D107" s="94" t="s">
        <v>408</v>
      </c>
      <c r="E107" s="94">
        <v>1</v>
      </c>
      <c r="F107" s="95" t="s">
        <v>404</v>
      </c>
      <c r="G107" s="94" t="s">
        <v>405</v>
      </c>
      <c r="H107" s="94">
        <v>4052306385</v>
      </c>
      <c r="I107" s="94" t="s">
        <v>406</v>
      </c>
      <c r="J107" s="95">
        <v>410985</v>
      </c>
      <c r="K107" s="94" t="s">
        <v>150</v>
      </c>
      <c r="L107" s="94">
        <v>16</v>
      </c>
      <c r="M107" s="95">
        <v>45536</v>
      </c>
      <c r="N107" s="96" t="s">
        <v>40</v>
      </c>
      <c r="O107" s="115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  <c r="AU107" s="99"/>
      <c r="AV107" s="99"/>
    </row>
    <row r="108" spans="1:48" ht="15" customHeight="1">
      <c r="A108" s="93">
        <v>103</v>
      </c>
      <c r="B108" s="117" t="s">
        <v>88</v>
      </c>
      <c r="C108" s="94" t="s">
        <v>407</v>
      </c>
      <c r="D108" s="94" t="s">
        <v>408</v>
      </c>
      <c r="E108" s="94">
        <v>1</v>
      </c>
      <c r="F108" s="95" t="s">
        <v>404</v>
      </c>
      <c r="G108" s="94" t="s">
        <v>405</v>
      </c>
      <c r="H108" s="94">
        <v>4052306385</v>
      </c>
      <c r="I108" s="94" t="s">
        <v>406</v>
      </c>
      <c r="J108" s="95">
        <v>45803</v>
      </c>
      <c r="K108" s="94" t="s">
        <v>131</v>
      </c>
      <c r="L108" s="94">
        <v>31</v>
      </c>
      <c r="M108" s="95"/>
      <c r="N108" s="96" t="s">
        <v>40</v>
      </c>
      <c r="O108" s="115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  <c r="AT108" s="116"/>
      <c r="AU108" s="99"/>
      <c r="AV108" s="99"/>
    </row>
    <row r="109" spans="1:48" ht="15" customHeight="1">
      <c r="A109" s="93">
        <v>104</v>
      </c>
      <c r="B109" s="128" t="s">
        <v>88</v>
      </c>
      <c r="C109" s="101" t="s">
        <v>409</v>
      </c>
      <c r="D109" s="101" t="s">
        <v>410</v>
      </c>
      <c r="E109" s="101">
        <v>5</v>
      </c>
      <c r="F109" s="102">
        <v>41774</v>
      </c>
      <c r="G109" s="101" t="s">
        <v>411</v>
      </c>
      <c r="H109" s="101" t="s">
        <v>412</v>
      </c>
      <c r="I109" s="101" t="s">
        <v>413</v>
      </c>
      <c r="J109" s="102">
        <v>45740</v>
      </c>
      <c r="K109" s="134"/>
      <c r="L109" s="134"/>
      <c r="M109" s="101" t="s">
        <v>414</v>
      </c>
      <c r="N109" s="103" t="s">
        <v>34</v>
      </c>
      <c r="O109" s="135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  <c r="AS109" s="116"/>
      <c r="AT109" s="116"/>
      <c r="AU109" s="99"/>
      <c r="AV109" s="99"/>
    </row>
    <row r="110" spans="1:48" ht="15" customHeight="1">
      <c r="A110" s="93">
        <v>105</v>
      </c>
      <c r="B110" s="88" t="s">
        <v>48</v>
      </c>
      <c r="C110" s="94" t="s">
        <v>409</v>
      </c>
      <c r="D110" s="94" t="s">
        <v>415</v>
      </c>
      <c r="E110" s="94">
        <v>5</v>
      </c>
      <c r="F110" s="95">
        <v>41349</v>
      </c>
      <c r="G110" s="94" t="s">
        <v>416</v>
      </c>
      <c r="H110" s="94" t="s">
        <v>417</v>
      </c>
      <c r="I110" s="94" t="s">
        <v>418</v>
      </c>
      <c r="J110" s="95">
        <v>45103</v>
      </c>
      <c r="K110" s="136" t="s">
        <v>125</v>
      </c>
      <c r="L110" s="84">
        <v>71</v>
      </c>
      <c r="M110" s="94"/>
      <c r="N110" s="96" t="s">
        <v>40</v>
      </c>
      <c r="O110" s="97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9"/>
      <c r="AV110" s="99"/>
    </row>
    <row r="111" spans="1:48" ht="15" customHeight="1">
      <c r="A111" s="93">
        <v>106</v>
      </c>
      <c r="B111" s="88" t="s">
        <v>88</v>
      </c>
      <c r="C111" s="94" t="s">
        <v>409</v>
      </c>
      <c r="D111" s="94" t="s">
        <v>415</v>
      </c>
      <c r="E111" s="94">
        <v>5</v>
      </c>
      <c r="F111" s="95">
        <v>41349</v>
      </c>
      <c r="G111" s="94" t="s">
        <v>416</v>
      </c>
      <c r="H111" s="94" t="s">
        <v>417</v>
      </c>
      <c r="I111" s="94" t="s">
        <v>418</v>
      </c>
      <c r="J111" s="95">
        <v>45103</v>
      </c>
      <c r="K111" s="137" t="s">
        <v>124</v>
      </c>
      <c r="L111" s="138">
        <v>41</v>
      </c>
      <c r="M111" s="94"/>
      <c r="N111" s="96" t="s">
        <v>40</v>
      </c>
      <c r="O111" s="97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98"/>
      <c r="AR111" s="98"/>
      <c r="AS111" s="98"/>
      <c r="AT111" s="98"/>
      <c r="AU111" s="99"/>
      <c r="AV111" s="99"/>
    </row>
    <row r="112" spans="1:48" ht="15" customHeight="1">
      <c r="A112" s="93">
        <v>107</v>
      </c>
      <c r="B112" s="88" t="s">
        <v>48</v>
      </c>
      <c r="C112" s="94" t="s">
        <v>409</v>
      </c>
      <c r="D112" s="94" t="s">
        <v>419</v>
      </c>
      <c r="E112" s="94">
        <v>4</v>
      </c>
      <c r="F112" s="95" t="s">
        <v>357</v>
      </c>
      <c r="G112" s="94" t="s">
        <v>420</v>
      </c>
      <c r="H112" s="94">
        <v>6266790497</v>
      </c>
      <c r="I112" s="94" t="s">
        <v>421</v>
      </c>
      <c r="J112" s="95" t="s">
        <v>422</v>
      </c>
      <c r="K112" s="94" t="s">
        <v>306</v>
      </c>
      <c r="L112" s="94">
        <v>98</v>
      </c>
      <c r="M112" s="94" t="s">
        <v>395</v>
      </c>
      <c r="N112" s="96" t="s">
        <v>40</v>
      </c>
      <c r="O112" s="97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9"/>
      <c r="AV112" s="99"/>
    </row>
    <row r="113" spans="1:48" ht="15" customHeight="1">
      <c r="A113" s="93">
        <v>108</v>
      </c>
      <c r="B113" s="88" t="s">
        <v>88</v>
      </c>
      <c r="C113" s="94" t="s">
        <v>409</v>
      </c>
      <c r="D113" s="94" t="s">
        <v>419</v>
      </c>
      <c r="E113" s="94">
        <v>4</v>
      </c>
      <c r="F113" s="95" t="s">
        <v>357</v>
      </c>
      <c r="G113" s="94" t="s">
        <v>420</v>
      </c>
      <c r="H113" s="94">
        <v>6266790497</v>
      </c>
      <c r="I113" s="94" t="s">
        <v>421</v>
      </c>
      <c r="J113" s="95" t="s">
        <v>422</v>
      </c>
      <c r="K113" s="94" t="s">
        <v>222</v>
      </c>
      <c r="L113" s="94">
        <v>95</v>
      </c>
      <c r="M113" s="94" t="s">
        <v>395</v>
      </c>
      <c r="N113" s="96" t="s">
        <v>40</v>
      </c>
      <c r="O113" s="97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  <c r="AU113" s="99"/>
      <c r="AV113" s="99"/>
    </row>
    <row r="114" spans="1:48" ht="15" customHeight="1">
      <c r="A114" s="93">
        <v>109</v>
      </c>
      <c r="B114" s="88" t="s">
        <v>48</v>
      </c>
      <c r="C114" s="94" t="s">
        <v>409</v>
      </c>
      <c r="D114" s="94" t="s">
        <v>119</v>
      </c>
      <c r="E114" s="94" t="s">
        <v>153</v>
      </c>
      <c r="F114" s="95">
        <v>42707</v>
      </c>
      <c r="G114" s="94" t="s">
        <v>423</v>
      </c>
      <c r="H114" s="94">
        <v>5108969910</v>
      </c>
      <c r="I114" s="94" t="s">
        <v>424</v>
      </c>
      <c r="J114" s="95">
        <v>44805</v>
      </c>
      <c r="K114" s="94" t="s">
        <v>129</v>
      </c>
      <c r="L114" s="94">
        <v>88</v>
      </c>
      <c r="M114" s="94"/>
      <c r="N114" s="96" t="s">
        <v>40</v>
      </c>
      <c r="O114" s="97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9"/>
      <c r="AV114" s="99"/>
    </row>
    <row r="115" spans="1:48" ht="15" customHeight="1">
      <c r="A115" s="93">
        <v>110</v>
      </c>
      <c r="B115" s="88" t="s">
        <v>88</v>
      </c>
      <c r="C115" s="94" t="s">
        <v>409</v>
      </c>
      <c r="D115" s="94" t="s">
        <v>119</v>
      </c>
      <c r="E115" s="94" t="s">
        <v>153</v>
      </c>
      <c r="F115" s="95">
        <v>42707</v>
      </c>
      <c r="G115" s="94" t="s">
        <v>423</v>
      </c>
      <c r="H115" s="94">
        <v>5108969910</v>
      </c>
      <c r="I115" s="94" t="s">
        <v>424</v>
      </c>
      <c r="J115" s="95">
        <v>44805</v>
      </c>
      <c r="K115" s="94" t="s">
        <v>181</v>
      </c>
      <c r="L115" s="94">
        <v>18</v>
      </c>
      <c r="M115" s="94"/>
      <c r="N115" s="96" t="s">
        <v>40</v>
      </c>
      <c r="O115" s="97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9"/>
      <c r="AV115" s="99"/>
    </row>
    <row r="116" spans="1:48" ht="15" customHeight="1">
      <c r="A116" s="93">
        <v>111</v>
      </c>
      <c r="B116" s="88" t="s">
        <v>48</v>
      </c>
      <c r="C116" s="94" t="s">
        <v>409</v>
      </c>
      <c r="D116" s="94" t="s">
        <v>425</v>
      </c>
      <c r="E116" s="94">
        <v>2</v>
      </c>
      <c r="F116" s="95" t="s">
        <v>426</v>
      </c>
      <c r="G116" s="94" t="s">
        <v>420</v>
      </c>
      <c r="H116" s="94">
        <v>6266790497</v>
      </c>
      <c r="I116" s="94" t="s">
        <v>421</v>
      </c>
      <c r="J116" s="95" t="s">
        <v>422</v>
      </c>
      <c r="K116" s="94" t="s">
        <v>201</v>
      </c>
      <c r="L116" s="94">
        <v>78</v>
      </c>
      <c r="M116" s="94" t="s">
        <v>395</v>
      </c>
      <c r="N116" s="96" t="s">
        <v>40</v>
      </c>
      <c r="O116" s="97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9"/>
      <c r="AV116" s="99"/>
    </row>
    <row r="117" spans="1:48" ht="15" customHeight="1">
      <c r="A117" s="93">
        <v>112</v>
      </c>
      <c r="B117" s="88" t="s">
        <v>88</v>
      </c>
      <c r="C117" s="94" t="s">
        <v>409</v>
      </c>
      <c r="D117" s="94" t="s">
        <v>425</v>
      </c>
      <c r="E117" s="94">
        <v>2</v>
      </c>
      <c r="F117" s="95" t="s">
        <v>426</v>
      </c>
      <c r="G117" s="94" t="s">
        <v>420</v>
      </c>
      <c r="H117" s="94">
        <v>6266790497</v>
      </c>
      <c r="I117" s="94" t="s">
        <v>421</v>
      </c>
      <c r="J117" s="95" t="s">
        <v>422</v>
      </c>
      <c r="K117" s="94" t="s">
        <v>109</v>
      </c>
      <c r="L117" s="94">
        <v>98</v>
      </c>
      <c r="M117" s="94" t="s">
        <v>395</v>
      </c>
      <c r="N117" s="96" t="s">
        <v>40</v>
      </c>
      <c r="O117" s="97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9"/>
      <c r="AV117" s="99"/>
    </row>
    <row r="118" spans="1:48" ht="15" customHeight="1">
      <c r="A118" s="93">
        <v>113</v>
      </c>
      <c r="B118" s="100" t="s">
        <v>48</v>
      </c>
      <c r="C118" s="101" t="s">
        <v>427</v>
      </c>
      <c r="D118" s="101" t="s">
        <v>119</v>
      </c>
      <c r="E118" s="101">
        <v>2</v>
      </c>
      <c r="F118" s="102" t="s">
        <v>428</v>
      </c>
      <c r="G118" s="101" t="s">
        <v>429</v>
      </c>
      <c r="H118" s="101">
        <v>4087591928</v>
      </c>
      <c r="I118" s="101" t="s">
        <v>430</v>
      </c>
      <c r="J118" s="102" t="s">
        <v>350</v>
      </c>
      <c r="K118" s="101" t="s">
        <v>270</v>
      </c>
      <c r="L118" s="101">
        <v>105</v>
      </c>
      <c r="M118" s="101" t="s">
        <v>158</v>
      </c>
      <c r="N118" s="103" t="s">
        <v>34</v>
      </c>
      <c r="O118" s="104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9"/>
      <c r="AV118" s="99"/>
    </row>
    <row r="119" spans="1:48" ht="15" customHeight="1">
      <c r="A119" s="93">
        <v>114</v>
      </c>
      <c r="B119" s="100" t="s">
        <v>88</v>
      </c>
      <c r="C119" s="101" t="s">
        <v>427</v>
      </c>
      <c r="D119" s="101" t="s">
        <v>119</v>
      </c>
      <c r="E119" s="101">
        <v>2</v>
      </c>
      <c r="F119" s="102" t="s">
        <v>428</v>
      </c>
      <c r="G119" s="101" t="s">
        <v>429</v>
      </c>
      <c r="H119" s="101">
        <v>4087591928</v>
      </c>
      <c r="I119" s="101" t="s">
        <v>430</v>
      </c>
      <c r="J119" s="102" t="s">
        <v>350</v>
      </c>
      <c r="K119" s="101" t="s">
        <v>159</v>
      </c>
      <c r="L119" s="101">
        <v>41</v>
      </c>
      <c r="M119" s="101" t="s">
        <v>158</v>
      </c>
      <c r="N119" s="103" t="s">
        <v>34</v>
      </c>
      <c r="O119" s="104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9"/>
      <c r="AV119" s="99"/>
    </row>
    <row r="120" spans="1:48" ht="15" customHeight="1">
      <c r="A120" s="93">
        <v>115</v>
      </c>
      <c r="B120" s="100" t="s">
        <v>48</v>
      </c>
      <c r="C120" s="101" t="s">
        <v>427</v>
      </c>
      <c r="D120" s="101" t="s">
        <v>431</v>
      </c>
      <c r="E120" s="101">
        <v>4</v>
      </c>
      <c r="F120" s="102" t="s">
        <v>432</v>
      </c>
      <c r="G120" s="101" t="s">
        <v>429</v>
      </c>
      <c r="H120" s="101">
        <v>4087591928</v>
      </c>
      <c r="I120" s="101" t="s">
        <v>430</v>
      </c>
      <c r="J120" s="102" t="s">
        <v>350</v>
      </c>
      <c r="K120" s="101" t="s">
        <v>180</v>
      </c>
      <c r="L120" s="101">
        <v>41</v>
      </c>
      <c r="M120" s="101" t="s">
        <v>158</v>
      </c>
      <c r="N120" s="103" t="s">
        <v>34</v>
      </c>
      <c r="O120" s="104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9"/>
      <c r="AV120" s="99"/>
    </row>
    <row r="121" spans="1:48" ht="15" customHeight="1">
      <c r="A121" s="93">
        <v>116</v>
      </c>
      <c r="B121" s="100" t="s">
        <v>88</v>
      </c>
      <c r="C121" s="101" t="s">
        <v>427</v>
      </c>
      <c r="D121" s="101" t="s">
        <v>431</v>
      </c>
      <c r="E121" s="101">
        <v>4</v>
      </c>
      <c r="F121" s="102" t="s">
        <v>432</v>
      </c>
      <c r="G121" s="101" t="s">
        <v>429</v>
      </c>
      <c r="H121" s="101">
        <v>4087591928</v>
      </c>
      <c r="I121" s="101" t="s">
        <v>430</v>
      </c>
      <c r="J121" s="102" t="s">
        <v>350</v>
      </c>
      <c r="K121" s="101" t="s">
        <v>124</v>
      </c>
      <c r="L121" s="101">
        <v>21</v>
      </c>
      <c r="M121" s="101" t="s">
        <v>158</v>
      </c>
      <c r="N121" s="103" t="s">
        <v>34</v>
      </c>
      <c r="O121" s="104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9"/>
      <c r="AV121" s="99"/>
    </row>
    <row r="122" spans="1:48" ht="15" customHeight="1">
      <c r="A122" s="93">
        <v>117</v>
      </c>
      <c r="B122" s="139" t="s">
        <v>48</v>
      </c>
      <c r="C122" s="109" t="s">
        <v>433</v>
      </c>
      <c r="D122" s="109" t="s">
        <v>434</v>
      </c>
      <c r="E122" s="139">
        <v>1</v>
      </c>
      <c r="F122" s="140">
        <v>43335</v>
      </c>
      <c r="G122" s="141" t="s">
        <v>435</v>
      </c>
      <c r="H122" s="141">
        <v>5105574675</v>
      </c>
      <c r="I122" s="141" t="s">
        <v>436</v>
      </c>
      <c r="J122" s="140">
        <v>45766</v>
      </c>
      <c r="K122" s="109" t="s">
        <v>214</v>
      </c>
      <c r="L122" s="106">
        <v>41</v>
      </c>
      <c r="M122" s="106"/>
      <c r="N122" s="108" t="s">
        <v>40</v>
      </c>
      <c r="O122" s="140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  <c r="AL122" s="142"/>
      <c r="AM122" s="142"/>
      <c r="AN122" s="142"/>
      <c r="AO122" s="142"/>
      <c r="AP122" s="142"/>
      <c r="AQ122" s="142"/>
      <c r="AR122" s="142"/>
      <c r="AS122" s="142"/>
      <c r="AT122" s="142"/>
      <c r="AU122" s="111"/>
      <c r="AV122" s="111"/>
    </row>
    <row r="123" spans="1:48" ht="15" customHeight="1">
      <c r="A123" s="93">
        <v>118</v>
      </c>
      <c r="B123" s="105" t="s">
        <v>48</v>
      </c>
      <c r="C123" s="106" t="s">
        <v>433</v>
      </c>
      <c r="D123" s="106" t="s">
        <v>437</v>
      </c>
      <c r="E123" s="106">
        <v>2</v>
      </c>
      <c r="F123" s="107" t="s">
        <v>438</v>
      </c>
      <c r="G123" s="106" t="s">
        <v>439</v>
      </c>
      <c r="H123" s="106">
        <v>4085108805</v>
      </c>
      <c r="I123" s="106" t="s">
        <v>440</v>
      </c>
      <c r="J123" s="107" t="s">
        <v>394</v>
      </c>
      <c r="K123" s="106" t="s">
        <v>214</v>
      </c>
      <c r="L123" s="106">
        <v>66</v>
      </c>
      <c r="M123" s="106"/>
      <c r="N123" s="108" t="s">
        <v>40</v>
      </c>
      <c r="O123" s="109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1"/>
      <c r="AV123" s="111"/>
    </row>
    <row r="124" spans="1:48" ht="15" customHeight="1">
      <c r="A124" s="93">
        <v>119</v>
      </c>
      <c r="B124" s="100" t="s">
        <v>88</v>
      </c>
      <c r="C124" s="101" t="s">
        <v>433</v>
      </c>
      <c r="D124" s="101" t="s">
        <v>437</v>
      </c>
      <c r="E124" s="101">
        <v>2</v>
      </c>
      <c r="F124" s="102" t="s">
        <v>438</v>
      </c>
      <c r="G124" s="101" t="s">
        <v>439</v>
      </c>
      <c r="H124" s="101">
        <v>4085108805</v>
      </c>
      <c r="I124" s="101" t="s">
        <v>440</v>
      </c>
      <c r="J124" s="102" t="s">
        <v>394</v>
      </c>
      <c r="K124" s="101" t="s">
        <v>109</v>
      </c>
      <c r="L124" s="101">
        <v>31</v>
      </c>
      <c r="M124" s="101"/>
      <c r="N124" s="103" t="s">
        <v>34</v>
      </c>
      <c r="O124" s="104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9"/>
      <c r="AV124" s="99"/>
    </row>
    <row r="125" spans="1:48" ht="15" customHeight="1">
      <c r="A125" s="93">
        <v>120</v>
      </c>
      <c r="B125" s="128" t="s">
        <v>48</v>
      </c>
      <c r="C125" s="104" t="s">
        <v>433</v>
      </c>
      <c r="D125" s="104" t="s">
        <v>437</v>
      </c>
      <c r="E125" s="128">
        <v>3</v>
      </c>
      <c r="F125" s="135">
        <v>42620</v>
      </c>
      <c r="G125" s="143" t="s">
        <v>441</v>
      </c>
      <c r="H125" s="143">
        <v>5105574675</v>
      </c>
      <c r="I125" s="143" t="s">
        <v>436</v>
      </c>
      <c r="J125" s="135">
        <v>45766</v>
      </c>
      <c r="K125" s="104" t="s">
        <v>270</v>
      </c>
      <c r="L125" s="101">
        <v>100</v>
      </c>
      <c r="M125" s="101"/>
      <c r="N125" s="103" t="s">
        <v>34</v>
      </c>
      <c r="O125" s="135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  <c r="AT125" s="116"/>
      <c r="AU125" s="99"/>
      <c r="AV125" s="99"/>
    </row>
    <row r="126" spans="1:48" ht="15" customHeight="1">
      <c r="A126" s="93">
        <v>121</v>
      </c>
      <c r="B126" s="100" t="s">
        <v>48</v>
      </c>
      <c r="C126" s="101" t="s">
        <v>433</v>
      </c>
      <c r="D126" s="101" t="s">
        <v>442</v>
      </c>
      <c r="E126" s="101">
        <v>4</v>
      </c>
      <c r="F126" s="102" t="s">
        <v>443</v>
      </c>
      <c r="G126" s="101" t="s">
        <v>439</v>
      </c>
      <c r="H126" s="101">
        <v>4085108805</v>
      </c>
      <c r="I126" s="101" t="s">
        <v>440</v>
      </c>
      <c r="J126" s="102" t="s">
        <v>394</v>
      </c>
      <c r="K126" s="101" t="s">
        <v>444</v>
      </c>
      <c r="L126" s="101">
        <v>31</v>
      </c>
      <c r="M126" s="101"/>
      <c r="N126" s="103" t="s">
        <v>34</v>
      </c>
      <c r="O126" s="104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8"/>
      <c r="AR126" s="98"/>
      <c r="AS126" s="98"/>
      <c r="AT126" s="98"/>
      <c r="AU126" s="99"/>
      <c r="AV126" s="99"/>
    </row>
    <row r="127" spans="1:48" ht="15" customHeight="1">
      <c r="A127" s="93">
        <v>122</v>
      </c>
      <c r="B127" s="100" t="s">
        <v>88</v>
      </c>
      <c r="C127" s="101" t="s">
        <v>433</v>
      </c>
      <c r="D127" s="101" t="s">
        <v>442</v>
      </c>
      <c r="E127" s="101">
        <v>4</v>
      </c>
      <c r="F127" s="102" t="s">
        <v>443</v>
      </c>
      <c r="G127" s="101" t="s">
        <v>439</v>
      </c>
      <c r="H127" s="101">
        <v>4085108805</v>
      </c>
      <c r="I127" s="101" t="s">
        <v>440</v>
      </c>
      <c r="J127" s="102" t="s">
        <v>394</v>
      </c>
      <c r="K127" s="101" t="s">
        <v>445</v>
      </c>
      <c r="L127" s="101">
        <v>71</v>
      </c>
      <c r="M127" s="101"/>
      <c r="N127" s="103" t="s">
        <v>34</v>
      </c>
      <c r="O127" s="104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98"/>
      <c r="AR127" s="98"/>
      <c r="AS127" s="98"/>
      <c r="AT127" s="98"/>
      <c r="AU127" s="99"/>
      <c r="AV127" s="99"/>
    </row>
    <row r="128" spans="1:48" ht="15" customHeight="1">
      <c r="A128" s="93">
        <v>123</v>
      </c>
      <c r="B128" s="88" t="s">
        <v>48</v>
      </c>
      <c r="C128" s="94" t="s">
        <v>446</v>
      </c>
      <c r="D128" s="94" t="s">
        <v>447</v>
      </c>
      <c r="E128" s="94">
        <v>2</v>
      </c>
      <c r="F128" s="95">
        <v>42905</v>
      </c>
      <c r="G128" s="94" t="s">
        <v>448</v>
      </c>
      <c r="H128" s="94">
        <v>5303647578</v>
      </c>
      <c r="I128" s="94" t="s">
        <v>449</v>
      </c>
      <c r="J128" s="95">
        <v>45717</v>
      </c>
      <c r="K128" s="94"/>
      <c r="L128" s="94"/>
      <c r="M128" s="94"/>
      <c r="N128" s="96" t="s">
        <v>40</v>
      </c>
      <c r="O128" s="97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9"/>
      <c r="AV128" s="99"/>
    </row>
    <row r="129" spans="1:48" ht="15" customHeight="1">
      <c r="A129" s="93">
        <v>124</v>
      </c>
      <c r="B129" s="100" t="s">
        <v>48</v>
      </c>
      <c r="C129" s="101" t="s">
        <v>450</v>
      </c>
      <c r="D129" s="101" t="s">
        <v>451</v>
      </c>
      <c r="E129" s="101">
        <v>4</v>
      </c>
      <c r="F129" s="102" t="s">
        <v>452</v>
      </c>
      <c r="G129" s="101" t="s">
        <v>453</v>
      </c>
      <c r="H129" s="101">
        <v>4085076346</v>
      </c>
      <c r="I129" s="101" t="s">
        <v>454</v>
      </c>
      <c r="J129" s="102" t="s">
        <v>157</v>
      </c>
      <c r="K129" s="101" t="s">
        <v>110</v>
      </c>
      <c r="L129" s="101">
        <v>81</v>
      </c>
      <c r="M129" s="101" t="s">
        <v>158</v>
      </c>
      <c r="N129" s="103" t="s">
        <v>34</v>
      </c>
      <c r="O129" s="104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  <c r="AU129" s="99"/>
      <c r="AV129" s="99"/>
    </row>
    <row r="130" spans="1:48" ht="15" customHeight="1">
      <c r="A130" s="93">
        <v>125</v>
      </c>
      <c r="B130" s="100" t="s">
        <v>88</v>
      </c>
      <c r="C130" s="101" t="s">
        <v>450</v>
      </c>
      <c r="D130" s="101" t="s">
        <v>451</v>
      </c>
      <c r="E130" s="101">
        <v>4</v>
      </c>
      <c r="F130" s="102" t="s">
        <v>455</v>
      </c>
      <c r="G130" s="101" t="s">
        <v>456</v>
      </c>
      <c r="H130" s="101">
        <v>4085076346</v>
      </c>
      <c r="I130" s="101" t="s">
        <v>454</v>
      </c>
      <c r="J130" s="102">
        <v>45566</v>
      </c>
      <c r="K130" s="101" t="s">
        <v>380</v>
      </c>
      <c r="L130" s="101">
        <v>56</v>
      </c>
      <c r="M130" s="101" t="s">
        <v>158</v>
      </c>
      <c r="N130" s="103" t="s">
        <v>34</v>
      </c>
      <c r="O130" s="104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  <c r="AU130" s="99"/>
      <c r="AV130" s="99"/>
    </row>
    <row r="131" spans="1:48" ht="15" customHeight="1">
      <c r="A131" s="93">
        <v>126</v>
      </c>
      <c r="B131" s="100" t="s">
        <v>48</v>
      </c>
      <c r="C131" s="101" t="s">
        <v>450</v>
      </c>
      <c r="D131" s="101" t="s">
        <v>457</v>
      </c>
      <c r="E131" s="101">
        <v>4</v>
      </c>
      <c r="F131" s="102" t="s">
        <v>452</v>
      </c>
      <c r="G131" s="101" t="s">
        <v>453</v>
      </c>
      <c r="H131" s="101">
        <v>4085076346</v>
      </c>
      <c r="I131" s="101" t="s">
        <v>454</v>
      </c>
      <c r="J131" s="102">
        <v>45520</v>
      </c>
      <c r="K131" s="101" t="s">
        <v>110</v>
      </c>
      <c r="L131" s="101">
        <v>66</v>
      </c>
      <c r="M131" s="101" t="s">
        <v>158</v>
      </c>
      <c r="N131" s="103" t="s">
        <v>34</v>
      </c>
      <c r="O131" s="104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98"/>
      <c r="AT131" s="98"/>
      <c r="AU131" s="99"/>
      <c r="AV131" s="99"/>
    </row>
    <row r="132" spans="1:48" ht="15" customHeight="1">
      <c r="A132" s="93">
        <v>127</v>
      </c>
      <c r="B132" s="100" t="s">
        <v>88</v>
      </c>
      <c r="C132" s="101" t="s">
        <v>450</v>
      </c>
      <c r="D132" s="101" t="s">
        <v>457</v>
      </c>
      <c r="E132" s="101">
        <v>4</v>
      </c>
      <c r="F132" s="102" t="s">
        <v>455</v>
      </c>
      <c r="G132" s="101" t="s">
        <v>456</v>
      </c>
      <c r="H132" s="101">
        <v>4085076346</v>
      </c>
      <c r="I132" s="101" t="s">
        <v>454</v>
      </c>
      <c r="J132" s="102">
        <v>45566</v>
      </c>
      <c r="K132" s="101" t="s">
        <v>313</v>
      </c>
      <c r="L132" s="101">
        <v>76</v>
      </c>
      <c r="M132" s="101" t="s">
        <v>158</v>
      </c>
      <c r="N132" s="103" t="s">
        <v>34</v>
      </c>
      <c r="O132" s="104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9"/>
      <c r="AV132" s="99"/>
    </row>
    <row r="133" spans="1:48" ht="15" customHeight="1">
      <c r="A133" s="93">
        <v>128</v>
      </c>
      <c r="B133" s="100" t="s">
        <v>48</v>
      </c>
      <c r="C133" s="101" t="s">
        <v>458</v>
      </c>
      <c r="D133" s="101" t="s">
        <v>459</v>
      </c>
      <c r="E133" s="101">
        <v>1</v>
      </c>
      <c r="F133" s="102">
        <v>42976</v>
      </c>
      <c r="G133" s="101" t="s">
        <v>460</v>
      </c>
      <c r="H133" s="101">
        <v>5105579050</v>
      </c>
      <c r="I133" s="101" t="s">
        <v>461</v>
      </c>
      <c r="J133" s="102">
        <v>45174</v>
      </c>
      <c r="K133" s="101" t="s">
        <v>129</v>
      </c>
      <c r="L133" s="101">
        <v>15</v>
      </c>
      <c r="M133" s="101"/>
      <c r="N133" s="103" t="s">
        <v>34</v>
      </c>
      <c r="O133" s="104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98"/>
      <c r="AT133" s="98"/>
      <c r="AU133" s="99"/>
      <c r="AV133" s="99"/>
    </row>
    <row r="134" spans="1:48" ht="15" customHeight="1">
      <c r="A134" s="93">
        <v>129</v>
      </c>
      <c r="B134" s="100" t="s">
        <v>88</v>
      </c>
      <c r="C134" s="101" t="s">
        <v>458</v>
      </c>
      <c r="D134" s="101" t="s">
        <v>459</v>
      </c>
      <c r="E134" s="101">
        <v>1</v>
      </c>
      <c r="F134" s="102">
        <v>42976</v>
      </c>
      <c r="G134" s="101" t="s">
        <v>460</v>
      </c>
      <c r="H134" s="101">
        <v>5105579050</v>
      </c>
      <c r="I134" s="101" t="s">
        <v>461</v>
      </c>
      <c r="J134" s="102">
        <v>45174</v>
      </c>
      <c r="K134" s="101" t="s">
        <v>181</v>
      </c>
      <c r="L134" s="101">
        <v>18</v>
      </c>
      <c r="M134" s="101"/>
      <c r="N134" s="103" t="s">
        <v>34</v>
      </c>
      <c r="O134" s="104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  <c r="AH134" s="98"/>
      <c r="AI134" s="98"/>
      <c r="AJ134" s="98"/>
      <c r="AK134" s="98"/>
      <c r="AL134" s="98"/>
      <c r="AM134" s="98"/>
      <c r="AN134" s="98"/>
      <c r="AO134" s="98"/>
      <c r="AP134" s="98"/>
      <c r="AQ134" s="98"/>
      <c r="AR134" s="98"/>
      <c r="AS134" s="98"/>
      <c r="AT134" s="98"/>
      <c r="AU134" s="99"/>
      <c r="AV134" s="99"/>
    </row>
    <row r="135" spans="1:48" ht="15" customHeight="1">
      <c r="A135" s="93">
        <v>130</v>
      </c>
      <c r="B135" s="100" t="s">
        <v>48</v>
      </c>
      <c r="C135" s="101" t="s">
        <v>462</v>
      </c>
      <c r="D135" s="101" t="s">
        <v>415</v>
      </c>
      <c r="E135" s="101">
        <v>4</v>
      </c>
      <c r="F135" s="102" t="s">
        <v>463</v>
      </c>
      <c r="G135" s="101" t="s">
        <v>464</v>
      </c>
      <c r="H135" s="101">
        <v>3104608958</v>
      </c>
      <c r="I135" s="101" t="s">
        <v>465</v>
      </c>
      <c r="J135" s="102" t="s">
        <v>350</v>
      </c>
      <c r="K135" s="101" t="s">
        <v>125</v>
      </c>
      <c r="L135" s="101">
        <v>16</v>
      </c>
      <c r="M135" s="101"/>
      <c r="N135" s="103" t="s">
        <v>34</v>
      </c>
      <c r="O135" s="104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98"/>
      <c r="AR135" s="98"/>
      <c r="AS135" s="98"/>
      <c r="AT135" s="98"/>
      <c r="AU135" s="99"/>
      <c r="AV135" s="99"/>
    </row>
    <row r="136" spans="1:48" ht="15" customHeight="1">
      <c r="A136" s="93">
        <v>131</v>
      </c>
      <c r="B136" s="100" t="s">
        <v>88</v>
      </c>
      <c r="C136" s="101" t="s">
        <v>462</v>
      </c>
      <c r="D136" s="101" t="s">
        <v>415</v>
      </c>
      <c r="E136" s="101">
        <v>4</v>
      </c>
      <c r="F136" s="102" t="s">
        <v>463</v>
      </c>
      <c r="G136" s="101" t="s">
        <v>464</v>
      </c>
      <c r="H136" s="101">
        <v>3104608958</v>
      </c>
      <c r="I136" s="101" t="s">
        <v>465</v>
      </c>
      <c r="J136" s="102" t="s">
        <v>350</v>
      </c>
      <c r="K136" s="101" t="s">
        <v>109</v>
      </c>
      <c r="L136" s="101">
        <v>71</v>
      </c>
      <c r="M136" s="101"/>
      <c r="N136" s="103" t="s">
        <v>34</v>
      </c>
      <c r="O136" s="104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  <c r="AN136" s="98"/>
      <c r="AO136" s="98"/>
      <c r="AP136" s="98"/>
      <c r="AQ136" s="98"/>
      <c r="AR136" s="98"/>
      <c r="AS136" s="98"/>
      <c r="AT136" s="98"/>
      <c r="AU136" s="99"/>
      <c r="AV136" s="99"/>
    </row>
    <row r="137" spans="1:48" ht="15" customHeight="1">
      <c r="A137" s="93">
        <v>132</v>
      </c>
      <c r="B137" s="100" t="s">
        <v>48</v>
      </c>
      <c r="C137" s="101" t="s">
        <v>462</v>
      </c>
      <c r="D137" s="101" t="s">
        <v>466</v>
      </c>
      <c r="E137" s="101">
        <v>6</v>
      </c>
      <c r="F137" s="102" t="s">
        <v>467</v>
      </c>
      <c r="G137" s="144" t="s">
        <v>468</v>
      </c>
      <c r="H137" s="144">
        <v>5107714715</v>
      </c>
      <c r="I137" s="144" t="s">
        <v>469</v>
      </c>
      <c r="J137" s="102" t="s">
        <v>239</v>
      </c>
      <c r="K137" s="101" t="s">
        <v>444</v>
      </c>
      <c r="L137" s="101">
        <v>1</v>
      </c>
      <c r="M137" s="101"/>
      <c r="N137" s="103" t="s">
        <v>34</v>
      </c>
      <c r="O137" s="104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  <c r="AM137" s="98"/>
      <c r="AN137" s="98"/>
      <c r="AO137" s="98"/>
      <c r="AP137" s="98"/>
      <c r="AQ137" s="98"/>
      <c r="AR137" s="98"/>
      <c r="AS137" s="98"/>
      <c r="AT137" s="98"/>
      <c r="AU137" s="99"/>
      <c r="AV137" s="99"/>
    </row>
    <row r="138" spans="1:48" ht="15" customHeight="1">
      <c r="A138" s="93">
        <v>133</v>
      </c>
      <c r="B138" s="145" t="s">
        <v>88</v>
      </c>
      <c r="C138" s="146" t="s">
        <v>470</v>
      </c>
      <c r="D138" s="146" t="s">
        <v>471</v>
      </c>
      <c r="E138" s="145">
        <v>3</v>
      </c>
      <c r="F138" s="147">
        <v>42661</v>
      </c>
      <c r="G138" s="148" t="s">
        <v>472</v>
      </c>
      <c r="H138" s="148">
        <v>4083320446</v>
      </c>
      <c r="I138" s="148" t="s">
        <v>473</v>
      </c>
      <c r="J138" s="149">
        <v>45810</v>
      </c>
      <c r="K138" s="146" t="s">
        <v>474</v>
      </c>
      <c r="L138" s="150">
        <v>71</v>
      </c>
      <c r="M138" s="151"/>
      <c r="N138" s="152" t="s">
        <v>82</v>
      </c>
      <c r="O138" s="149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  <c r="AS138" s="116"/>
      <c r="AT138" s="116"/>
      <c r="AU138" s="99"/>
      <c r="AV138" s="99"/>
    </row>
    <row r="139" spans="1:48" ht="17.25" customHeight="1">
      <c r="A139" s="93">
        <v>134</v>
      </c>
      <c r="B139" s="124" t="s">
        <v>48</v>
      </c>
      <c r="C139" s="153" t="s">
        <v>470</v>
      </c>
      <c r="D139" s="153" t="s">
        <v>471</v>
      </c>
      <c r="E139" s="154">
        <v>3</v>
      </c>
      <c r="F139" s="155">
        <v>42661</v>
      </c>
      <c r="G139" s="156" t="s">
        <v>472</v>
      </c>
      <c r="H139" s="156">
        <v>4083320446</v>
      </c>
      <c r="I139" s="156" t="s">
        <v>473</v>
      </c>
      <c r="J139" s="157">
        <v>45810</v>
      </c>
      <c r="K139" s="158" t="s">
        <v>150</v>
      </c>
      <c r="L139" s="123">
        <v>106</v>
      </c>
      <c r="M139" s="123" t="s">
        <v>310</v>
      </c>
      <c r="N139" s="159" t="s">
        <v>82</v>
      </c>
      <c r="O139" s="160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2"/>
      <c r="AV139" s="162"/>
    </row>
    <row r="140" spans="1:48" ht="15" customHeight="1">
      <c r="A140" s="93">
        <v>135</v>
      </c>
      <c r="B140" s="145" t="s">
        <v>88</v>
      </c>
      <c r="C140" s="146" t="s">
        <v>475</v>
      </c>
      <c r="D140" s="146" t="s">
        <v>458</v>
      </c>
      <c r="E140" s="145">
        <v>7</v>
      </c>
      <c r="F140" s="147">
        <v>41298</v>
      </c>
      <c r="G140" s="148" t="s">
        <v>476</v>
      </c>
      <c r="H140" s="148">
        <v>5105054532</v>
      </c>
      <c r="I140" s="148" t="s">
        <v>477</v>
      </c>
      <c r="J140" s="149">
        <v>45817</v>
      </c>
      <c r="K140" s="146" t="s">
        <v>246</v>
      </c>
      <c r="L140" s="150">
        <v>91</v>
      </c>
      <c r="M140" s="151"/>
      <c r="N140" s="152" t="s">
        <v>82</v>
      </c>
      <c r="O140" s="149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  <c r="AR140" s="116"/>
      <c r="AS140" s="116"/>
      <c r="AT140" s="116"/>
      <c r="AU140" s="99"/>
      <c r="AV140" s="99"/>
    </row>
    <row r="141" spans="1:48" ht="15" customHeight="1">
      <c r="A141" s="93">
        <v>136</v>
      </c>
      <c r="B141" s="163" t="s">
        <v>48</v>
      </c>
      <c r="C141" s="125" t="s">
        <v>475</v>
      </c>
      <c r="D141" s="125" t="s">
        <v>458</v>
      </c>
      <c r="E141" s="163">
        <v>7</v>
      </c>
      <c r="F141" s="164">
        <v>41299</v>
      </c>
      <c r="G141" s="156" t="s">
        <v>478</v>
      </c>
      <c r="H141" s="156">
        <v>5105054532</v>
      </c>
      <c r="I141" s="156" t="s">
        <v>477</v>
      </c>
      <c r="J141" s="165">
        <v>45817</v>
      </c>
      <c r="K141" s="125" t="s">
        <v>312</v>
      </c>
      <c r="L141" s="121">
        <v>36</v>
      </c>
      <c r="M141" s="121" t="s">
        <v>310</v>
      </c>
      <c r="N141" s="124" t="s">
        <v>82</v>
      </c>
      <c r="O141" s="165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  <c r="AS141" s="166"/>
      <c r="AT141" s="166"/>
      <c r="AU141" s="127"/>
      <c r="AV141" s="127"/>
    </row>
    <row r="142" spans="1:48" ht="15" customHeight="1">
      <c r="A142" s="93">
        <v>137</v>
      </c>
      <c r="B142" s="145" t="s">
        <v>88</v>
      </c>
      <c r="C142" s="146" t="s">
        <v>479</v>
      </c>
      <c r="D142" s="146" t="s">
        <v>480</v>
      </c>
      <c r="E142" s="145">
        <v>4</v>
      </c>
      <c r="F142" s="149">
        <v>42239</v>
      </c>
      <c r="G142" s="146" t="s">
        <v>481</v>
      </c>
      <c r="H142" s="167">
        <v>5106762755</v>
      </c>
      <c r="I142" s="148" t="s">
        <v>482</v>
      </c>
      <c r="J142" s="149">
        <v>45810</v>
      </c>
      <c r="K142" s="146" t="s">
        <v>474</v>
      </c>
      <c r="L142" s="150">
        <v>76</v>
      </c>
      <c r="M142" s="151"/>
      <c r="N142" s="152" t="s">
        <v>82</v>
      </c>
      <c r="O142" s="149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  <c r="AT142" s="116"/>
      <c r="AU142" s="99"/>
      <c r="AV142" s="99"/>
    </row>
    <row r="143" spans="1:48" ht="15" customHeight="1">
      <c r="A143" s="93">
        <v>138</v>
      </c>
      <c r="B143" s="163" t="s">
        <v>48</v>
      </c>
      <c r="C143" s="125" t="s">
        <v>479</v>
      </c>
      <c r="D143" s="125" t="s">
        <v>480</v>
      </c>
      <c r="E143" s="163">
        <v>4</v>
      </c>
      <c r="F143" s="165">
        <v>42239</v>
      </c>
      <c r="G143" s="125" t="s">
        <v>483</v>
      </c>
      <c r="H143" s="168">
        <v>5106762755</v>
      </c>
      <c r="I143" s="156" t="s">
        <v>482</v>
      </c>
      <c r="J143" s="165">
        <v>45810</v>
      </c>
      <c r="K143" s="125" t="s">
        <v>166</v>
      </c>
      <c r="L143" s="121">
        <v>16</v>
      </c>
      <c r="M143" s="121" t="s">
        <v>310</v>
      </c>
      <c r="N143" s="124" t="s">
        <v>82</v>
      </c>
      <c r="O143" s="165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  <c r="AH143" s="166"/>
      <c r="AI143" s="166"/>
      <c r="AJ143" s="166"/>
      <c r="AK143" s="166"/>
      <c r="AL143" s="166"/>
      <c r="AM143" s="166"/>
      <c r="AN143" s="166"/>
      <c r="AO143" s="166"/>
      <c r="AP143" s="166"/>
      <c r="AQ143" s="166"/>
      <c r="AR143" s="166"/>
      <c r="AS143" s="166"/>
      <c r="AT143" s="166"/>
      <c r="AU143" s="127"/>
      <c r="AV143" s="127"/>
    </row>
    <row r="144" spans="1:48" ht="15" customHeight="1">
      <c r="A144" s="93">
        <v>139</v>
      </c>
      <c r="B144" s="145" t="s">
        <v>48</v>
      </c>
      <c r="C144" s="146" t="s">
        <v>484</v>
      </c>
      <c r="D144" s="146" t="s">
        <v>485</v>
      </c>
      <c r="E144" s="145">
        <v>7</v>
      </c>
      <c r="F144" s="149">
        <v>41248</v>
      </c>
      <c r="G144" s="146" t="s">
        <v>486</v>
      </c>
      <c r="H144" s="167">
        <v>5108828973</v>
      </c>
      <c r="I144" s="148" t="s">
        <v>487</v>
      </c>
      <c r="J144" s="149">
        <v>45810</v>
      </c>
      <c r="K144" s="146" t="s">
        <v>201</v>
      </c>
      <c r="L144" s="150">
        <v>46</v>
      </c>
      <c r="M144" s="151"/>
      <c r="N144" s="152" t="s">
        <v>82</v>
      </c>
      <c r="O144" s="149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6"/>
      <c r="AT144" s="116"/>
      <c r="AU144" s="99"/>
      <c r="AV144" s="99"/>
    </row>
    <row r="145" spans="1:48" ht="15" customHeight="1">
      <c r="A145" s="93">
        <v>140</v>
      </c>
      <c r="B145" s="163" t="s">
        <v>88</v>
      </c>
      <c r="C145" s="125" t="s">
        <v>484</v>
      </c>
      <c r="D145" s="125" t="s">
        <v>485</v>
      </c>
      <c r="E145" s="163">
        <v>7</v>
      </c>
      <c r="F145" s="165">
        <v>41248</v>
      </c>
      <c r="G145" s="125" t="s">
        <v>488</v>
      </c>
      <c r="H145" s="168">
        <v>5108828973</v>
      </c>
      <c r="I145" s="156" t="s">
        <v>487</v>
      </c>
      <c r="J145" s="165">
        <v>45810</v>
      </c>
      <c r="K145" s="125" t="s">
        <v>124</v>
      </c>
      <c r="L145" s="121">
        <v>51</v>
      </c>
      <c r="M145" s="121" t="s">
        <v>310</v>
      </c>
      <c r="N145" s="124" t="s">
        <v>82</v>
      </c>
      <c r="O145" s="165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  <c r="AH145" s="166"/>
      <c r="AI145" s="166"/>
      <c r="AJ145" s="166"/>
      <c r="AK145" s="166"/>
      <c r="AL145" s="166"/>
      <c r="AM145" s="166"/>
      <c r="AN145" s="166"/>
      <c r="AO145" s="166"/>
      <c r="AP145" s="166"/>
      <c r="AQ145" s="166"/>
      <c r="AR145" s="166"/>
      <c r="AS145" s="166"/>
      <c r="AT145" s="166"/>
      <c r="AU145" s="127"/>
      <c r="AV145" s="127"/>
    </row>
    <row r="146" spans="1:48" ht="15" customHeight="1">
      <c r="A146" s="93">
        <v>141</v>
      </c>
      <c r="B146" s="145" t="s">
        <v>48</v>
      </c>
      <c r="C146" s="146" t="s">
        <v>437</v>
      </c>
      <c r="D146" s="146" t="s">
        <v>381</v>
      </c>
      <c r="E146" s="145">
        <v>5</v>
      </c>
      <c r="F146" s="149">
        <v>42124</v>
      </c>
      <c r="G146" s="146" t="s">
        <v>489</v>
      </c>
      <c r="H146" s="167">
        <v>4083948518</v>
      </c>
      <c r="I146" s="148" t="s">
        <v>490</v>
      </c>
      <c r="J146" s="149">
        <v>45817</v>
      </c>
      <c r="K146" s="146" t="s">
        <v>144</v>
      </c>
      <c r="L146" s="150">
        <v>106</v>
      </c>
      <c r="M146" s="151"/>
      <c r="N146" s="152" t="s">
        <v>82</v>
      </c>
      <c r="O146" s="149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  <c r="AT146" s="116"/>
      <c r="AU146" s="99"/>
      <c r="AV146" s="99"/>
    </row>
    <row r="147" spans="1:48" ht="15" customHeight="1">
      <c r="A147" s="93">
        <v>142</v>
      </c>
      <c r="B147" s="145" t="s">
        <v>48</v>
      </c>
      <c r="C147" s="146" t="s">
        <v>491</v>
      </c>
      <c r="D147" s="146" t="s">
        <v>492</v>
      </c>
      <c r="E147" s="145">
        <v>1</v>
      </c>
      <c r="F147" s="149">
        <v>43613</v>
      </c>
      <c r="G147" s="148" t="s">
        <v>493</v>
      </c>
      <c r="H147" s="148">
        <v>6507406798</v>
      </c>
      <c r="I147" s="148" t="s">
        <v>494</v>
      </c>
      <c r="J147" s="149">
        <v>45809</v>
      </c>
      <c r="K147" s="146" t="s">
        <v>282</v>
      </c>
      <c r="L147" s="150">
        <v>71</v>
      </c>
      <c r="M147" s="151"/>
      <c r="N147" s="152" t="s">
        <v>82</v>
      </c>
      <c r="O147" s="149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  <c r="AT147" s="116"/>
      <c r="AU147" s="99"/>
      <c r="AV147" s="99"/>
    </row>
    <row r="148" spans="1:48" ht="15" customHeight="1">
      <c r="A148" s="93">
        <v>143</v>
      </c>
      <c r="B148" s="145" t="s">
        <v>48</v>
      </c>
      <c r="C148" s="146" t="s">
        <v>495</v>
      </c>
      <c r="D148" s="146" t="s">
        <v>433</v>
      </c>
      <c r="E148" s="145" t="s">
        <v>153</v>
      </c>
      <c r="F148" s="149">
        <v>43748</v>
      </c>
      <c r="G148" s="148" t="s">
        <v>496</v>
      </c>
      <c r="H148" s="148">
        <v>5109966295</v>
      </c>
      <c r="I148" s="148" t="s">
        <v>497</v>
      </c>
      <c r="J148" s="149">
        <v>45824</v>
      </c>
      <c r="K148" s="146" t="s">
        <v>138</v>
      </c>
      <c r="L148" s="150">
        <v>46</v>
      </c>
      <c r="M148" s="151"/>
      <c r="N148" s="152" t="s">
        <v>82</v>
      </c>
      <c r="O148" s="149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  <c r="AT148" s="116"/>
      <c r="AU148" s="99"/>
      <c r="AV148" s="99"/>
    </row>
    <row r="149" spans="1:48" ht="17.25" customHeight="1">
      <c r="A149" s="93">
        <v>144</v>
      </c>
      <c r="B149" s="169" t="s">
        <v>48</v>
      </c>
      <c r="C149" s="146" t="s">
        <v>498</v>
      </c>
      <c r="D149" s="146" t="s">
        <v>433</v>
      </c>
      <c r="E149" s="145" t="s">
        <v>153</v>
      </c>
      <c r="F149" s="149">
        <v>43749</v>
      </c>
      <c r="G149" s="148" t="s">
        <v>499</v>
      </c>
      <c r="H149" s="148">
        <v>5109966295</v>
      </c>
      <c r="I149" s="148" t="s">
        <v>497</v>
      </c>
      <c r="J149" s="170">
        <v>45824</v>
      </c>
      <c r="K149" s="146" t="s">
        <v>138</v>
      </c>
      <c r="L149" s="150">
        <v>86</v>
      </c>
      <c r="M149" s="150"/>
      <c r="N149" s="152" t="s">
        <v>82</v>
      </c>
      <c r="O149" s="146"/>
      <c r="P149" s="171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  <c r="AN149" s="172"/>
      <c r="AO149" s="172"/>
      <c r="AP149" s="172"/>
      <c r="AQ149" s="172"/>
      <c r="AR149" s="172"/>
      <c r="AS149" s="99"/>
      <c r="AT149" s="99"/>
      <c r="AU149" s="98"/>
      <c r="AV149" s="98"/>
    </row>
    <row r="150" spans="1:48" ht="17.25" customHeight="1">
      <c r="A150" s="93">
        <v>145</v>
      </c>
      <c r="B150" s="169" t="s">
        <v>88</v>
      </c>
      <c r="C150" s="146" t="s">
        <v>500</v>
      </c>
      <c r="D150" s="146" t="s">
        <v>501</v>
      </c>
      <c r="E150" s="145">
        <v>4</v>
      </c>
      <c r="F150" s="170">
        <v>42433</v>
      </c>
      <c r="G150" s="146" t="s">
        <v>502</v>
      </c>
      <c r="H150" s="148">
        <v>5105202610</v>
      </c>
      <c r="I150" s="148" t="s">
        <v>503</v>
      </c>
      <c r="J150" s="170">
        <v>45810</v>
      </c>
      <c r="K150" s="146" t="s">
        <v>131</v>
      </c>
      <c r="L150" s="150">
        <v>6</v>
      </c>
      <c r="M150" s="150"/>
      <c r="N150" s="152" t="s">
        <v>82</v>
      </c>
      <c r="O150" s="146"/>
      <c r="P150" s="171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  <c r="AN150" s="172"/>
      <c r="AO150" s="172"/>
      <c r="AP150" s="172"/>
      <c r="AQ150" s="172"/>
      <c r="AR150" s="172"/>
      <c r="AS150" s="99"/>
      <c r="AT150" s="99"/>
      <c r="AU150" s="98"/>
      <c r="AV150" s="98"/>
    </row>
    <row r="151" spans="1:48" ht="17.25" customHeight="1">
      <c r="A151" s="93">
        <v>146</v>
      </c>
      <c r="B151" s="120" t="s">
        <v>48</v>
      </c>
      <c r="C151" s="121" t="s">
        <v>500</v>
      </c>
      <c r="D151" s="121" t="s">
        <v>501</v>
      </c>
      <c r="E151" s="163">
        <v>4</v>
      </c>
      <c r="F151" s="173">
        <v>42434</v>
      </c>
      <c r="G151" s="125" t="s">
        <v>504</v>
      </c>
      <c r="H151" s="156">
        <v>5105202610</v>
      </c>
      <c r="I151" s="156" t="s">
        <v>503</v>
      </c>
      <c r="J151" s="173">
        <v>45810</v>
      </c>
      <c r="K151" s="125" t="s">
        <v>270</v>
      </c>
      <c r="L151" s="121">
        <v>20</v>
      </c>
      <c r="M151" s="121" t="s">
        <v>310</v>
      </c>
      <c r="N151" s="124" t="s">
        <v>82</v>
      </c>
      <c r="O151" s="125"/>
      <c r="P151" s="174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  <c r="AA151" s="175"/>
      <c r="AB151" s="175"/>
      <c r="AC151" s="175"/>
      <c r="AD151" s="175"/>
      <c r="AE151" s="175"/>
      <c r="AF151" s="175"/>
      <c r="AG151" s="175"/>
      <c r="AH151" s="175"/>
      <c r="AI151" s="175"/>
      <c r="AJ151" s="175"/>
      <c r="AK151" s="175"/>
      <c r="AL151" s="175"/>
      <c r="AM151" s="175"/>
      <c r="AN151" s="175"/>
      <c r="AO151" s="175"/>
      <c r="AP151" s="175"/>
      <c r="AQ151" s="175"/>
      <c r="AR151" s="175"/>
      <c r="AS151" s="127"/>
      <c r="AT151" s="127"/>
      <c r="AU151" s="126"/>
      <c r="AV151" s="126"/>
    </row>
    <row r="152" spans="1:48" ht="17.25" customHeight="1">
      <c r="A152" s="93">
        <v>147</v>
      </c>
      <c r="B152" s="152" t="s">
        <v>48</v>
      </c>
      <c r="C152" s="150" t="s">
        <v>505</v>
      </c>
      <c r="D152" s="150" t="s">
        <v>501</v>
      </c>
      <c r="E152" s="145">
        <v>1</v>
      </c>
      <c r="F152" s="151">
        <v>43326</v>
      </c>
      <c r="G152" s="146" t="s">
        <v>506</v>
      </c>
      <c r="H152" s="148">
        <v>5105202610</v>
      </c>
      <c r="I152" s="148" t="s">
        <v>503</v>
      </c>
      <c r="J152" s="170">
        <v>45810</v>
      </c>
      <c r="K152" s="146" t="s">
        <v>151</v>
      </c>
      <c r="L152" s="150">
        <v>1</v>
      </c>
      <c r="M152" s="150"/>
      <c r="N152" s="152" t="s">
        <v>82</v>
      </c>
      <c r="O152" s="149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  <c r="AA152" s="176"/>
      <c r="AB152" s="176"/>
      <c r="AC152" s="176"/>
      <c r="AD152" s="176"/>
      <c r="AE152" s="176"/>
      <c r="AF152" s="176"/>
      <c r="AG152" s="176"/>
      <c r="AH152" s="176"/>
      <c r="AI152" s="176"/>
      <c r="AJ152" s="176"/>
      <c r="AK152" s="176"/>
      <c r="AL152" s="176"/>
      <c r="AM152" s="176"/>
      <c r="AN152" s="176"/>
      <c r="AO152" s="176"/>
      <c r="AP152" s="176"/>
      <c r="AQ152" s="176"/>
      <c r="AR152" s="176"/>
      <c r="AS152" s="176"/>
      <c r="AT152" s="176"/>
      <c r="AU152" s="177"/>
      <c r="AV152" s="177"/>
    </row>
    <row r="153" spans="1:48" ht="17.25" customHeight="1">
      <c r="A153" s="93">
        <v>148</v>
      </c>
      <c r="B153" s="124" t="s">
        <v>88</v>
      </c>
      <c r="C153" s="121" t="s">
        <v>505</v>
      </c>
      <c r="D153" s="121" t="s">
        <v>501</v>
      </c>
      <c r="E153" s="163">
        <v>1</v>
      </c>
      <c r="F153" s="122">
        <v>43326</v>
      </c>
      <c r="G153" s="125" t="s">
        <v>507</v>
      </c>
      <c r="H153" s="156">
        <v>5105202610</v>
      </c>
      <c r="I153" s="156" t="s">
        <v>503</v>
      </c>
      <c r="J153" s="173">
        <v>45810</v>
      </c>
      <c r="K153" s="125" t="s">
        <v>144</v>
      </c>
      <c r="L153" s="121">
        <v>50</v>
      </c>
      <c r="M153" s="121" t="s">
        <v>310</v>
      </c>
      <c r="N153" s="124" t="s">
        <v>82</v>
      </c>
      <c r="O153" s="165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78"/>
      <c r="AI153" s="178"/>
      <c r="AJ153" s="178"/>
      <c r="AK153" s="178"/>
      <c r="AL153" s="178"/>
      <c r="AM153" s="178"/>
      <c r="AN153" s="178"/>
      <c r="AO153" s="178"/>
      <c r="AP153" s="178"/>
      <c r="AQ153" s="178"/>
      <c r="AR153" s="178"/>
      <c r="AS153" s="178"/>
      <c r="AT153" s="178"/>
      <c r="AU153" s="162"/>
      <c r="AV153" s="162"/>
    </row>
    <row r="154" spans="1:48" ht="17.25" customHeight="1">
      <c r="A154" s="93">
        <v>149</v>
      </c>
      <c r="B154" s="152" t="s">
        <v>88</v>
      </c>
      <c r="C154" s="150" t="s">
        <v>508</v>
      </c>
      <c r="D154" s="150" t="s">
        <v>509</v>
      </c>
      <c r="E154" s="145">
        <v>6</v>
      </c>
      <c r="F154" s="151">
        <v>42007</v>
      </c>
      <c r="G154" s="148" t="s">
        <v>510</v>
      </c>
      <c r="H154" s="148">
        <v>5103143231</v>
      </c>
      <c r="I154" s="148" t="s">
        <v>511</v>
      </c>
      <c r="J154" s="151">
        <v>45810</v>
      </c>
      <c r="K154" s="146" t="s">
        <v>131</v>
      </c>
      <c r="L154" s="150">
        <v>26</v>
      </c>
      <c r="M154" s="150"/>
      <c r="N154" s="152" t="s">
        <v>82</v>
      </c>
      <c r="O154" s="149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  <c r="AA154" s="176"/>
      <c r="AB154" s="176"/>
      <c r="AC154" s="176"/>
      <c r="AD154" s="176"/>
      <c r="AE154" s="176"/>
      <c r="AF154" s="176"/>
      <c r="AG154" s="176"/>
      <c r="AH154" s="176"/>
      <c r="AI154" s="176"/>
      <c r="AJ154" s="176"/>
      <c r="AK154" s="176"/>
      <c r="AL154" s="176"/>
      <c r="AM154" s="176"/>
      <c r="AN154" s="176"/>
      <c r="AO154" s="176"/>
      <c r="AP154" s="176"/>
      <c r="AQ154" s="176"/>
      <c r="AR154" s="176"/>
      <c r="AS154" s="176"/>
      <c r="AT154" s="176"/>
      <c r="AU154" s="177"/>
      <c r="AV154" s="177"/>
    </row>
    <row r="155" spans="1:48" ht="17.25" customHeight="1">
      <c r="A155" s="93">
        <v>150</v>
      </c>
      <c r="B155" s="124" t="s">
        <v>48</v>
      </c>
      <c r="C155" s="121" t="s">
        <v>508</v>
      </c>
      <c r="D155" s="121" t="s">
        <v>509</v>
      </c>
      <c r="E155" s="163">
        <v>6</v>
      </c>
      <c r="F155" s="122">
        <v>42008</v>
      </c>
      <c r="G155" s="156" t="s">
        <v>512</v>
      </c>
      <c r="H155" s="156">
        <v>5103143231</v>
      </c>
      <c r="I155" s="156" t="s">
        <v>511</v>
      </c>
      <c r="J155" s="122">
        <v>45811</v>
      </c>
      <c r="K155" s="125" t="s">
        <v>270</v>
      </c>
      <c r="L155" s="121">
        <v>51</v>
      </c>
      <c r="M155" s="121" t="s">
        <v>310</v>
      </c>
      <c r="N155" s="124" t="s">
        <v>82</v>
      </c>
      <c r="O155" s="165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78"/>
      <c r="AI155" s="178"/>
      <c r="AJ155" s="178"/>
      <c r="AK155" s="178"/>
      <c r="AL155" s="178"/>
      <c r="AM155" s="178"/>
      <c r="AN155" s="178"/>
      <c r="AO155" s="178"/>
      <c r="AP155" s="178"/>
      <c r="AQ155" s="178"/>
      <c r="AR155" s="178"/>
      <c r="AS155" s="178"/>
      <c r="AT155" s="178"/>
      <c r="AU155" s="162"/>
      <c r="AV155" s="162"/>
    </row>
    <row r="156" spans="1:48" ht="17.25" customHeight="1">
      <c r="A156" s="93">
        <v>151</v>
      </c>
      <c r="B156" s="152" t="s">
        <v>88</v>
      </c>
      <c r="C156" s="179" t="s">
        <v>513</v>
      </c>
      <c r="D156" s="179" t="s">
        <v>514</v>
      </c>
      <c r="E156" s="180">
        <v>1</v>
      </c>
      <c r="F156" s="181">
        <v>43340</v>
      </c>
      <c r="G156" s="148" t="s">
        <v>515</v>
      </c>
      <c r="H156" s="148">
        <v>5183340006</v>
      </c>
      <c r="I156" s="148" t="s">
        <v>516</v>
      </c>
      <c r="J156" s="182">
        <v>45817</v>
      </c>
      <c r="K156" s="183" t="s">
        <v>367</v>
      </c>
      <c r="L156" s="179">
        <v>46</v>
      </c>
      <c r="M156" s="179"/>
      <c r="N156" s="152" t="s">
        <v>82</v>
      </c>
      <c r="O156" s="184"/>
      <c r="P156" s="185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77"/>
      <c r="AV156" s="177"/>
    </row>
    <row r="157" spans="1:48" ht="17.25" customHeight="1">
      <c r="A157" s="93">
        <v>152</v>
      </c>
      <c r="B157" s="124" t="s">
        <v>48</v>
      </c>
      <c r="C157" s="153" t="s">
        <v>513</v>
      </c>
      <c r="D157" s="153" t="s">
        <v>514</v>
      </c>
      <c r="E157" s="154">
        <v>1</v>
      </c>
      <c r="F157" s="155">
        <v>43340</v>
      </c>
      <c r="G157" s="156" t="s">
        <v>515</v>
      </c>
      <c r="H157" s="156">
        <v>5183340006</v>
      </c>
      <c r="I157" s="156" t="s">
        <v>516</v>
      </c>
      <c r="J157" s="157">
        <v>45817</v>
      </c>
      <c r="K157" s="158" t="s">
        <v>282</v>
      </c>
      <c r="L157" s="153">
        <v>61</v>
      </c>
      <c r="M157" s="153" t="s">
        <v>517</v>
      </c>
      <c r="N157" s="124" t="s">
        <v>82</v>
      </c>
      <c r="O157" s="187"/>
      <c r="P157" s="188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2"/>
      <c r="AV157" s="162"/>
    </row>
    <row r="158" spans="1:48" ht="17.25" customHeight="1">
      <c r="A158" s="93">
        <v>153</v>
      </c>
      <c r="B158" s="152" t="s">
        <v>48</v>
      </c>
      <c r="C158" s="179" t="s">
        <v>518</v>
      </c>
      <c r="D158" s="179" t="s">
        <v>519</v>
      </c>
      <c r="E158" s="180">
        <v>2</v>
      </c>
      <c r="F158" s="181">
        <v>43249</v>
      </c>
      <c r="G158" s="148" t="s">
        <v>520</v>
      </c>
      <c r="H158" s="148">
        <v>5103033485</v>
      </c>
      <c r="I158" s="148" t="s">
        <v>521</v>
      </c>
      <c r="J158" s="182">
        <v>45829</v>
      </c>
      <c r="K158" s="183" t="s">
        <v>144</v>
      </c>
      <c r="L158" s="179">
        <v>21</v>
      </c>
      <c r="M158" s="179"/>
      <c r="N158" s="152" t="s">
        <v>82</v>
      </c>
      <c r="O158" s="184"/>
      <c r="P158" s="185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77"/>
      <c r="AV158" s="177"/>
    </row>
    <row r="159" spans="1:48" ht="17.25" customHeight="1">
      <c r="A159" s="93">
        <v>154</v>
      </c>
      <c r="B159" s="152" t="s">
        <v>48</v>
      </c>
      <c r="C159" s="179" t="s">
        <v>522</v>
      </c>
      <c r="D159" s="179" t="s">
        <v>519</v>
      </c>
      <c r="E159" s="180">
        <v>4</v>
      </c>
      <c r="F159" s="182">
        <v>42320</v>
      </c>
      <c r="G159" s="148" t="s">
        <v>523</v>
      </c>
      <c r="H159" s="148">
        <v>5103033485</v>
      </c>
      <c r="I159" s="148" t="s">
        <v>521</v>
      </c>
      <c r="J159" s="182">
        <v>45829</v>
      </c>
      <c r="K159" s="183" t="s">
        <v>129</v>
      </c>
      <c r="L159" s="179">
        <v>91</v>
      </c>
      <c r="M159" s="179"/>
      <c r="N159" s="152" t="s">
        <v>82</v>
      </c>
      <c r="O159" s="184"/>
      <c r="P159" s="185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77"/>
      <c r="AV159" s="177"/>
    </row>
    <row r="160" spans="1:48" ht="17.25" customHeight="1">
      <c r="A160" s="93">
        <v>155</v>
      </c>
      <c r="B160" s="124" t="s">
        <v>88</v>
      </c>
      <c r="C160" s="153" t="s">
        <v>522</v>
      </c>
      <c r="D160" s="153" t="s">
        <v>519</v>
      </c>
      <c r="E160" s="154">
        <v>4</v>
      </c>
      <c r="F160" s="155">
        <v>6656862</v>
      </c>
      <c r="G160" s="156" t="s">
        <v>524</v>
      </c>
      <c r="H160" s="156">
        <v>5103033485</v>
      </c>
      <c r="I160" s="156" t="s">
        <v>521</v>
      </c>
      <c r="J160" s="157">
        <v>45829</v>
      </c>
      <c r="K160" s="158" t="s">
        <v>151</v>
      </c>
      <c r="L160" s="153">
        <v>6</v>
      </c>
      <c r="M160" s="153" t="s">
        <v>517</v>
      </c>
      <c r="N160" s="124" t="s">
        <v>82</v>
      </c>
      <c r="O160" s="187"/>
      <c r="P160" s="188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2"/>
      <c r="AV160" s="162"/>
    </row>
    <row r="161" spans="1:48" ht="17.25" customHeight="1">
      <c r="A161" s="93">
        <v>156</v>
      </c>
      <c r="B161" s="152" t="s">
        <v>48</v>
      </c>
      <c r="C161" s="179" t="s">
        <v>525</v>
      </c>
      <c r="D161" s="179" t="s">
        <v>409</v>
      </c>
      <c r="E161" s="180">
        <v>2</v>
      </c>
      <c r="F161" s="181">
        <v>43140</v>
      </c>
      <c r="G161" s="148" t="s">
        <v>526</v>
      </c>
      <c r="H161" s="148">
        <v>5109994555</v>
      </c>
      <c r="I161" s="148" t="s">
        <v>527</v>
      </c>
      <c r="J161" s="182">
        <v>45838</v>
      </c>
      <c r="K161" s="183" t="s">
        <v>282</v>
      </c>
      <c r="L161" s="179">
        <v>52</v>
      </c>
      <c r="M161" s="179"/>
      <c r="N161" s="152" t="s">
        <v>82</v>
      </c>
      <c r="O161" s="184"/>
      <c r="P161" s="185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77"/>
      <c r="AV161" s="177"/>
    </row>
    <row r="162" spans="1:48" ht="17.25" customHeight="1">
      <c r="A162" s="93">
        <v>157</v>
      </c>
      <c r="B162" s="124" t="s">
        <v>88</v>
      </c>
      <c r="C162" s="153" t="s">
        <v>525</v>
      </c>
      <c r="D162" s="153" t="s">
        <v>409</v>
      </c>
      <c r="E162" s="154">
        <v>2</v>
      </c>
      <c r="F162" s="155">
        <v>43141</v>
      </c>
      <c r="G162" s="156" t="s">
        <v>528</v>
      </c>
      <c r="H162" s="156">
        <v>5109994555</v>
      </c>
      <c r="I162" s="156" t="s">
        <v>527</v>
      </c>
      <c r="J162" s="157">
        <v>45838</v>
      </c>
      <c r="K162" s="158" t="s">
        <v>529</v>
      </c>
      <c r="L162" s="153">
        <v>51</v>
      </c>
      <c r="M162" s="153" t="s">
        <v>517</v>
      </c>
      <c r="N162" s="124" t="s">
        <v>82</v>
      </c>
      <c r="O162" s="187"/>
      <c r="P162" s="188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2"/>
      <c r="AV162" s="162"/>
    </row>
    <row r="163" spans="1:48" ht="17.25" customHeight="1">
      <c r="A163" s="93">
        <v>158</v>
      </c>
      <c r="B163" s="152" t="s">
        <v>48</v>
      </c>
      <c r="C163" s="179" t="s">
        <v>530</v>
      </c>
      <c r="D163" s="179" t="s">
        <v>531</v>
      </c>
      <c r="E163" s="180">
        <v>3</v>
      </c>
      <c r="F163" s="181">
        <v>42675</v>
      </c>
      <c r="G163" s="148" t="s">
        <v>532</v>
      </c>
      <c r="H163" s="148" t="s">
        <v>532</v>
      </c>
      <c r="I163" s="148" t="s">
        <v>533</v>
      </c>
      <c r="J163" s="182">
        <v>45838</v>
      </c>
      <c r="K163" s="183" t="s">
        <v>173</v>
      </c>
      <c r="L163" s="179">
        <v>66</v>
      </c>
      <c r="M163" s="179"/>
      <c r="N163" s="152" t="s">
        <v>82</v>
      </c>
      <c r="O163" s="184"/>
      <c r="P163" s="185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77"/>
      <c r="AV163" s="177"/>
    </row>
    <row r="164" spans="1:48" ht="17.25" customHeight="1">
      <c r="A164" s="93">
        <v>159</v>
      </c>
      <c r="B164" s="124" t="s">
        <v>88</v>
      </c>
      <c r="C164" s="153" t="s">
        <v>530</v>
      </c>
      <c r="D164" s="153" t="s">
        <v>531</v>
      </c>
      <c r="E164" s="154">
        <v>3</v>
      </c>
      <c r="F164" s="155">
        <v>42675</v>
      </c>
      <c r="G164" s="156" t="s">
        <v>534</v>
      </c>
      <c r="H164" s="156" t="s">
        <v>534</v>
      </c>
      <c r="I164" s="156" t="s">
        <v>533</v>
      </c>
      <c r="J164" s="122" t="s">
        <v>535</v>
      </c>
      <c r="K164" s="125" t="s">
        <v>151</v>
      </c>
      <c r="L164" s="121">
        <v>101</v>
      </c>
      <c r="M164" s="153" t="s">
        <v>517</v>
      </c>
      <c r="N164" s="124" t="s">
        <v>82</v>
      </c>
      <c r="O164" s="165"/>
      <c r="P164" s="189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78"/>
      <c r="AI164" s="178"/>
      <c r="AJ164" s="178"/>
      <c r="AK164" s="178"/>
      <c r="AL164" s="178"/>
      <c r="AM164" s="178"/>
      <c r="AN164" s="178"/>
      <c r="AO164" s="178"/>
      <c r="AP164" s="178"/>
      <c r="AQ164" s="178"/>
      <c r="AR164" s="178"/>
      <c r="AS164" s="178"/>
      <c r="AT164" s="178"/>
      <c r="AU164" s="162"/>
      <c r="AV164" s="162"/>
    </row>
    <row r="165" spans="1:48" ht="17.25" customHeight="1">
      <c r="A165" s="93">
        <v>160</v>
      </c>
      <c r="B165" s="152" t="s">
        <v>48</v>
      </c>
      <c r="C165" s="179" t="s">
        <v>536</v>
      </c>
      <c r="D165" s="179" t="s">
        <v>368</v>
      </c>
      <c r="E165" s="180">
        <v>3</v>
      </c>
      <c r="F165" s="181">
        <v>43337</v>
      </c>
      <c r="G165" s="148" t="s">
        <v>537</v>
      </c>
      <c r="H165" s="148">
        <v>4084062657</v>
      </c>
      <c r="I165" s="148" t="s">
        <v>538</v>
      </c>
      <c r="J165" s="182">
        <v>45809</v>
      </c>
      <c r="K165" s="183" t="s">
        <v>150</v>
      </c>
      <c r="L165" s="150">
        <v>56</v>
      </c>
      <c r="M165" s="150"/>
      <c r="N165" s="152" t="s">
        <v>82</v>
      </c>
      <c r="O165" s="149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76"/>
      <c r="AC165" s="176"/>
      <c r="AD165" s="176"/>
      <c r="AE165" s="176"/>
      <c r="AF165" s="176"/>
      <c r="AG165" s="176"/>
      <c r="AH165" s="176"/>
      <c r="AI165" s="176"/>
      <c r="AJ165" s="176"/>
      <c r="AK165" s="176"/>
      <c r="AL165" s="176"/>
      <c r="AM165" s="176"/>
      <c r="AN165" s="176"/>
      <c r="AO165" s="176"/>
      <c r="AP165" s="176"/>
      <c r="AQ165" s="176"/>
      <c r="AR165" s="176"/>
      <c r="AS165" s="176"/>
      <c r="AT165" s="176"/>
      <c r="AU165" s="177"/>
      <c r="AV165" s="177"/>
    </row>
    <row r="166" spans="1:48" ht="17.25" customHeight="1">
      <c r="A166" s="93">
        <v>161</v>
      </c>
      <c r="B166" s="152" t="s">
        <v>88</v>
      </c>
      <c r="C166" s="179" t="s">
        <v>539</v>
      </c>
      <c r="D166" s="179" t="s">
        <v>249</v>
      </c>
      <c r="E166" s="180">
        <v>1</v>
      </c>
      <c r="F166" s="181">
        <v>43466</v>
      </c>
      <c r="G166" s="148" t="s">
        <v>540</v>
      </c>
      <c r="H166" s="148">
        <v>4158287529</v>
      </c>
      <c r="I166" s="148" t="s">
        <v>253</v>
      </c>
      <c r="J166" s="182">
        <v>45810</v>
      </c>
      <c r="K166" s="183" t="s">
        <v>541</v>
      </c>
      <c r="L166" s="179">
        <v>85</v>
      </c>
      <c r="M166" s="150"/>
      <c r="N166" s="152" t="s">
        <v>82</v>
      </c>
      <c r="O166" s="184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77"/>
      <c r="AV166" s="177"/>
    </row>
    <row r="167" spans="1:48" ht="17.25" customHeight="1">
      <c r="A167" s="93">
        <v>162</v>
      </c>
      <c r="B167" s="124" t="s">
        <v>48</v>
      </c>
      <c r="C167" s="153" t="s">
        <v>539</v>
      </c>
      <c r="D167" s="153" t="s">
        <v>249</v>
      </c>
      <c r="E167" s="154">
        <v>1</v>
      </c>
      <c r="F167" s="155">
        <v>43466</v>
      </c>
      <c r="G167" s="156" t="s">
        <v>542</v>
      </c>
      <c r="H167" s="156">
        <v>4158287529</v>
      </c>
      <c r="I167" s="156" t="s">
        <v>253</v>
      </c>
      <c r="J167" s="157">
        <v>45810</v>
      </c>
      <c r="K167" s="158" t="s">
        <v>367</v>
      </c>
      <c r="L167" s="153">
        <v>55</v>
      </c>
      <c r="M167" s="153" t="s">
        <v>517</v>
      </c>
      <c r="N167" s="124" t="s">
        <v>82</v>
      </c>
      <c r="O167" s="187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2"/>
      <c r="AV167" s="162"/>
    </row>
    <row r="176" spans="1:48" ht="17.25" customHeight="1">
      <c r="A176" s="190"/>
      <c r="B176" s="191"/>
      <c r="C176" s="192"/>
      <c r="D176" s="192"/>
      <c r="E176" s="193"/>
      <c r="F176" s="192"/>
      <c r="G176" s="190"/>
      <c r="H176" s="192"/>
      <c r="I176" s="190"/>
      <c r="J176" s="192"/>
      <c r="K176" s="190"/>
      <c r="L176" s="190"/>
      <c r="M176" s="192"/>
      <c r="N176" s="191"/>
      <c r="O176" s="194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195"/>
      <c r="AQ176" s="195"/>
      <c r="AR176" s="195"/>
      <c r="AS176" s="195"/>
      <c r="AT176" s="195"/>
      <c r="AU176" s="177"/>
      <c r="AV176" s="177"/>
    </row>
    <row r="177" spans="1:46" ht="17.25" customHeight="1">
      <c r="A177" s="196"/>
      <c r="B177" s="197"/>
      <c r="C177" s="198"/>
      <c r="D177" s="198"/>
      <c r="E177" s="199"/>
      <c r="F177" s="198"/>
      <c r="G177" s="196"/>
      <c r="H177" s="198"/>
      <c r="I177" s="196"/>
      <c r="J177" s="198"/>
      <c r="K177" s="196"/>
      <c r="L177" s="196"/>
      <c r="M177" s="198"/>
      <c r="N177" s="197"/>
      <c r="O177" s="200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196"/>
      <c r="AH177" s="196"/>
      <c r="AI177" s="196"/>
      <c r="AJ177" s="196"/>
      <c r="AK177" s="196"/>
      <c r="AL177" s="196"/>
      <c r="AM177" s="196"/>
      <c r="AN177" s="196"/>
      <c r="AO177" s="196"/>
      <c r="AP177" s="196"/>
      <c r="AQ177" s="196"/>
      <c r="AR177" s="196"/>
      <c r="AS177" s="196"/>
      <c r="AT177" s="196"/>
    </row>
    <row r="178" spans="1:46" ht="17.25" customHeight="1">
      <c r="A178" s="201" t="s">
        <v>543</v>
      </c>
      <c r="B178" s="7"/>
      <c r="C178" s="202"/>
      <c r="D178" s="202"/>
      <c r="E178" s="7"/>
      <c r="F178" s="203"/>
      <c r="G178" s="203"/>
      <c r="H178" s="203"/>
      <c r="I178" s="204"/>
      <c r="J178" s="203"/>
      <c r="K178" s="203"/>
      <c r="L178" s="203"/>
      <c r="M178" s="203"/>
      <c r="N178" s="7"/>
      <c r="O178" s="205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ht="21" hidden="1" customHeight="1">
      <c r="A179" s="206">
        <v>1</v>
      </c>
      <c r="B179" s="207" t="s">
        <v>48</v>
      </c>
      <c r="C179" s="208" t="s">
        <v>544</v>
      </c>
      <c r="D179" s="208" t="s">
        <v>545</v>
      </c>
      <c r="E179" s="209">
        <v>5</v>
      </c>
      <c r="F179" s="210">
        <v>41297</v>
      </c>
      <c r="G179" s="211" t="s">
        <v>546</v>
      </c>
      <c r="H179" s="208">
        <v>5108288339</v>
      </c>
      <c r="I179" s="211" t="s">
        <v>547</v>
      </c>
      <c r="J179" s="210">
        <v>45082</v>
      </c>
      <c r="K179" s="211"/>
      <c r="L179" s="211"/>
      <c r="M179" s="208"/>
      <c r="N179" s="207" t="s">
        <v>34</v>
      </c>
      <c r="O179" s="212">
        <v>45108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ht="21" hidden="1" customHeight="1">
      <c r="A180" s="213">
        <v>2</v>
      </c>
      <c r="B180" s="214" t="s">
        <v>88</v>
      </c>
      <c r="C180" s="215" t="s">
        <v>544</v>
      </c>
      <c r="D180" s="215" t="s">
        <v>545</v>
      </c>
      <c r="E180" s="216">
        <v>5</v>
      </c>
      <c r="F180" s="217">
        <v>41297</v>
      </c>
      <c r="G180" s="218" t="s">
        <v>546</v>
      </c>
      <c r="H180" s="215">
        <v>5108288339</v>
      </c>
      <c r="I180" s="218" t="s">
        <v>547</v>
      </c>
      <c r="J180" s="217">
        <v>45082</v>
      </c>
      <c r="K180" s="218"/>
      <c r="L180" s="218"/>
      <c r="M180" s="215" t="s">
        <v>548</v>
      </c>
      <c r="N180" s="214" t="s">
        <v>34</v>
      </c>
      <c r="O180" s="212">
        <v>45108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spans="1:46" ht="21" hidden="1" customHeight="1">
      <c r="A181" s="219">
        <v>3</v>
      </c>
      <c r="B181" s="220" t="s">
        <v>48</v>
      </c>
      <c r="C181" s="221" t="s">
        <v>368</v>
      </c>
      <c r="D181" s="221" t="s">
        <v>369</v>
      </c>
      <c r="E181" s="222" t="s">
        <v>153</v>
      </c>
      <c r="F181" s="223">
        <v>42867</v>
      </c>
      <c r="G181" s="224" t="s">
        <v>370</v>
      </c>
      <c r="H181" s="221">
        <v>4086432868</v>
      </c>
      <c r="I181" s="224" t="s">
        <v>371</v>
      </c>
      <c r="J181" s="223">
        <v>44835</v>
      </c>
      <c r="K181" s="224"/>
      <c r="L181" s="224"/>
      <c r="M181" s="221" t="s">
        <v>549</v>
      </c>
      <c r="N181" s="220" t="s">
        <v>34</v>
      </c>
      <c r="O181" s="225">
        <v>45108</v>
      </c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  <c r="AA181" s="226"/>
      <c r="AB181" s="226"/>
      <c r="AC181" s="226"/>
      <c r="AD181" s="226"/>
      <c r="AE181" s="226"/>
      <c r="AF181" s="226"/>
      <c r="AG181" s="226"/>
      <c r="AH181" s="226"/>
      <c r="AI181" s="226"/>
      <c r="AJ181" s="226"/>
      <c r="AK181" s="226"/>
      <c r="AL181" s="226"/>
      <c r="AM181" s="226"/>
      <c r="AN181" s="226"/>
      <c r="AO181" s="226"/>
      <c r="AP181" s="226"/>
      <c r="AQ181" s="226"/>
      <c r="AR181" s="226"/>
      <c r="AS181" s="226"/>
      <c r="AT181" s="226"/>
    </row>
    <row r="182" spans="1:46" ht="21" hidden="1" customHeight="1">
      <c r="A182" s="219">
        <v>4</v>
      </c>
      <c r="B182" s="220"/>
      <c r="C182" s="221" t="s">
        <v>368</v>
      </c>
      <c r="D182" s="221" t="s">
        <v>369</v>
      </c>
      <c r="E182" s="222" t="s">
        <v>153</v>
      </c>
      <c r="F182" s="223">
        <v>42867</v>
      </c>
      <c r="G182" s="224" t="s">
        <v>370</v>
      </c>
      <c r="H182" s="221">
        <v>4086432868</v>
      </c>
      <c r="I182" s="224" t="s">
        <v>371</v>
      </c>
      <c r="J182" s="223">
        <v>44958</v>
      </c>
      <c r="K182" s="224"/>
      <c r="L182" s="224"/>
      <c r="M182" s="221" t="s">
        <v>549</v>
      </c>
      <c r="N182" s="220" t="s">
        <v>34</v>
      </c>
      <c r="O182" s="225">
        <v>45108</v>
      </c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  <c r="AA182" s="226"/>
      <c r="AB182" s="226"/>
      <c r="AC182" s="226"/>
      <c r="AD182" s="226"/>
      <c r="AE182" s="226"/>
      <c r="AF182" s="226"/>
      <c r="AG182" s="226"/>
      <c r="AH182" s="226"/>
      <c r="AI182" s="226"/>
      <c r="AJ182" s="226"/>
      <c r="AK182" s="226"/>
      <c r="AL182" s="226"/>
      <c r="AM182" s="226"/>
      <c r="AN182" s="226"/>
      <c r="AO182" s="226"/>
      <c r="AP182" s="226"/>
      <c r="AQ182" s="226"/>
      <c r="AR182" s="226"/>
      <c r="AS182" s="226"/>
      <c r="AT182" s="226"/>
    </row>
    <row r="183" spans="1:46" ht="17.25" hidden="1" customHeight="1">
      <c r="A183" s="227">
        <v>1</v>
      </c>
      <c r="B183" s="228" t="s">
        <v>48</v>
      </c>
      <c r="C183" s="229" t="s">
        <v>140</v>
      </c>
      <c r="D183" s="229" t="s">
        <v>550</v>
      </c>
      <c r="E183" s="227">
        <v>4</v>
      </c>
      <c r="F183" s="230">
        <v>41337</v>
      </c>
      <c r="G183" s="231" t="s">
        <v>551</v>
      </c>
      <c r="H183" s="229">
        <v>5103585536</v>
      </c>
      <c r="I183" s="231" t="s">
        <v>552</v>
      </c>
      <c r="J183" s="230">
        <v>44844</v>
      </c>
      <c r="K183" s="231"/>
      <c r="L183" s="231"/>
      <c r="M183" s="229"/>
      <c r="N183" s="228" t="s">
        <v>34</v>
      </c>
      <c r="O183" s="232">
        <v>45139</v>
      </c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233"/>
      <c r="AO183" s="233"/>
      <c r="AP183" s="233"/>
      <c r="AQ183" s="233"/>
      <c r="AR183" s="233"/>
      <c r="AS183" s="233"/>
      <c r="AT183" s="233"/>
    </row>
    <row r="184" spans="1:46" ht="17.25" hidden="1" customHeight="1">
      <c r="A184" s="227">
        <v>2</v>
      </c>
      <c r="B184" s="228" t="s">
        <v>48</v>
      </c>
      <c r="C184" s="229" t="s">
        <v>553</v>
      </c>
      <c r="D184" s="229" t="s">
        <v>554</v>
      </c>
      <c r="E184" s="227">
        <v>1</v>
      </c>
      <c r="F184" s="230">
        <v>43061</v>
      </c>
      <c r="G184" s="231" t="s">
        <v>555</v>
      </c>
      <c r="H184" s="229">
        <v>4152449059</v>
      </c>
      <c r="I184" s="231" t="s">
        <v>556</v>
      </c>
      <c r="J184" s="230">
        <v>45082</v>
      </c>
      <c r="K184" s="231"/>
      <c r="L184" s="231"/>
      <c r="M184" s="229"/>
      <c r="N184" s="228" t="s">
        <v>34</v>
      </c>
      <c r="O184" s="232">
        <v>45139</v>
      </c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  <c r="AA184" s="233"/>
      <c r="AB184" s="233"/>
      <c r="AC184" s="233"/>
      <c r="AD184" s="233"/>
      <c r="AE184" s="233"/>
      <c r="AF184" s="233"/>
      <c r="AG184" s="233"/>
      <c r="AH184" s="233"/>
      <c r="AI184" s="233"/>
      <c r="AJ184" s="233"/>
      <c r="AK184" s="233"/>
      <c r="AL184" s="233"/>
      <c r="AM184" s="233"/>
      <c r="AN184" s="233"/>
      <c r="AO184" s="233"/>
      <c r="AP184" s="233"/>
      <c r="AQ184" s="233"/>
      <c r="AR184" s="233"/>
      <c r="AS184" s="233"/>
      <c r="AT184" s="233"/>
    </row>
    <row r="185" spans="1:46" ht="17.25" hidden="1" customHeight="1">
      <c r="A185" s="227">
        <v>3</v>
      </c>
      <c r="B185" s="228" t="s">
        <v>88</v>
      </c>
      <c r="C185" s="229" t="s">
        <v>553</v>
      </c>
      <c r="D185" s="229" t="s">
        <v>554</v>
      </c>
      <c r="E185" s="227">
        <v>1</v>
      </c>
      <c r="F185" s="230">
        <v>43061</v>
      </c>
      <c r="G185" s="231" t="s">
        <v>555</v>
      </c>
      <c r="H185" s="229">
        <v>4152449059</v>
      </c>
      <c r="I185" s="231" t="s">
        <v>556</v>
      </c>
      <c r="J185" s="230">
        <v>45082</v>
      </c>
      <c r="K185" s="231"/>
      <c r="L185" s="231"/>
      <c r="M185" s="229" t="s">
        <v>548</v>
      </c>
      <c r="N185" s="228" t="s">
        <v>34</v>
      </c>
      <c r="O185" s="232">
        <v>45139</v>
      </c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  <c r="AA185" s="233"/>
      <c r="AB185" s="233"/>
      <c r="AC185" s="233"/>
      <c r="AD185" s="233"/>
      <c r="AE185" s="233"/>
      <c r="AF185" s="233"/>
      <c r="AG185" s="233"/>
      <c r="AH185" s="233"/>
      <c r="AI185" s="233"/>
      <c r="AJ185" s="233"/>
      <c r="AK185" s="233"/>
      <c r="AL185" s="233"/>
      <c r="AM185" s="233"/>
      <c r="AN185" s="233"/>
      <c r="AO185" s="233"/>
      <c r="AP185" s="233"/>
      <c r="AQ185" s="233"/>
      <c r="AR185" s="233"/>
      <c r="AS185" s="233"/>
      <c r="AT185" s="233"/>
    </row>
    <row r="186" spans="1:46" ht="15" hidden="1" customHeight="1">
      <c r="A186" s="234">
        <v>4</v>
      </c>
      <c r="B186" s="235" t="s">
        <v>48</v>
      </c>
      <c r="C186" s="236" t="s">
        <v>277</v>
      </c>
      <c r="D186" s="236" t="s">
        <v>557</v>
      </c>
      <c r="E186" s="234">
        <v>3</v>
      </c>
      <c r="F186" s="237">
        <v>41924</v>
      </c>
      <c r="G186" s="238" t="s">
        <v>558</v>
      </c>
      <c r="H186" s="236">
        <v>5102921648</v>
      </c>
      <c r="I186" s="238" t="s">
        <v>559</v>
      </c>
      <c r="J186" s="237">
        <v>45093</v>
      </c>
      <c r="K186" s="238"/>
      <c r="L186" s="238"/>
      <c r="M186" s="236"/>
      <c r="N186" s="235" t="s">
        <v>34</v>
      </c>
      <c r="O186" s="239">
        <v>45139</v>
      </c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  <c r="AA186" s="226"/>
      <c r="AB186" s="226"/>
      <c r="AC186" s="226"/>
      <c r="AD186" s="226"/>
      <c r="AE186" s="226"/>
      <c r="AF186" s="226"/>
      <c r="AG186" s="226"/>
      <c r="AH186" s="226"/>
      <c r="AI186" s="226"/>
      <c r="AJ186" s="226"/>
      <c r="AK186" s="226"/>
      <c r="AL186" s="226"/>
      <c r="AM186" s="226"/>
      <c r="AN186" s="226"/>
      <c r="AO186" s="226"/>
      <c r="AP186" s="226"/>
      <c r="AQ186" s="226"/>
      <c r="AR186" s="226"/>
      <c r="AS186" s="226"/>
      <c r="AT186" s="226"/>
    </row>
    <row r="187" spans="1:46" ht="17.25" hidden="1" customHeight="1">
      <c r="A187" s="227">
        <v>5</v>
      </c>
      <c r="B187" s="228" t="s">
        <v>48</v>
      </c>
      <c r="C187" s="229" t="s">
        <v>560</v>
      </c>
      <c r="D187" s="240" t="s">
        <v>561</v>
      </c>
      <c r="E187" s="227">
        <v>5</v>
      </c>
      <c r="F187" s="241">
        <v>40972</v>
      </c>
      <c r="G187" s="242" t="s">
        <v>562</v>
      </c>
      <c r="H187" s="240">
        <v>5105098418</v>
      </c>
      <c r="I187" s="242" t="s">
        <v>563</v>
      </c>
      <c r="J187" s="230">
        <v>45110</v>
      </c>
      <c r="K187" s="231"/>
      <c r="L187" s="231"/>
      <c r="M187" s="229"/>
      <c r="N187" s="228" t="s">
        <v>34</v>
      </c>
      <c r="O187" s="232">
        <v>45139</v>
      </c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  <c r="AA187" s="233"/>
      <c r="AB187" s="233"/>
      <c r="AC187" s="233"/>
      <c r="AD187" s="233"/>
      <c r="AE187" s="233"/>
      <c r="AF187" s="233"/>
      <c r="AG187" s="233"/>
      <c r="AH187" s="233"/>
      <c r="AI187" s="233"/>
      <c r="AJ187" s="233"/>
      <c r="AK187" s="233"/>
      <c r="AL187" s="233"/>
      <c r="AM187" s="233"/>
      <c r="AN187" s="233"/>
      <c r="AO187" s="233"/>
      <c r="AP187" s="233"/>
      <c r="AQ187" s="233"/>
      <c r="AR187" s="233"/>
      <c r="AS187" s="233"/>
      <c r="AT187" s="233"/>
    </row>
    <row r="188" spans="1:46" ht="17.25" hidden="1" customHeight="1">
      <c r="A188" s="227">
        <v>6</v>
      </c>
      <c r="B188" s="228" t="s">
        <v>88</v>
      </c>
      <c r="C188" s="229" t="s">
        <v>560</v>
      </c>
      <c r="D188" s="240" t="s">
        <v>561</v>
      </c>
      <c r="E188" s="227">
        <v>5</v>
      </c>
      <c r="F188" s="241">
        <v>40972</v>
      </c>
      <c r="G188" s="242" t="s">
        <v>562</v>
      </c>
      <c r="H188" s="240">
        <v>5105098418</v>
      </c>
      <c r="I188" s="242" t="s">
        <v>563</v>
      </c>
      <c r="J188" s="230">
        <v>45110</v>
      </c>
      <c r="K188" s="231"/>
      <c r="L188" s="231"/>
      <c r="M188" s="229" t="s">
        <v>548</v>
      </c>
      <c r="N188" s="228" t="s">
        <v>34</v>
      </c>
      <c r="O188" s="232">
        <v>45139</v>
      </c>
      <c r="P188" s="243"/>
      <c r="Q188" s="243"/>
      <c r="R188" s="243"/>
      <c r="S188" s="243"/>
      <c r="T188" s="243"/>
      <c r="U188" s="243"/>
      <c r="V188" s="243"/>
      <c r="W188" s="243"/>
      <c r="X188" s="243"/>
      <c r="Y188" s="243"/>
      <c r="Z188" s="243"/>
      <c r="AA188" s="243"/>
      <c r="AB188" s="243"/>
      <c r="AC188" s="243"/>
      <c r="AD188" s="243"/>
      <c r="AE188" s="243"/>
      <c r="AF188" s="243"/>
      <c r="AG188" s="243"/>
      <c r="AH188" s="243"/>
      <c r="AI188" s="243"/>
      <c r="AJ188" s="243"/>
      <c r="AK188" s="243"/>
      <c r="AL188" s="243"/>
      <c r="AM188" s="243"/>
      <c r="AN188" s="243"/>
      <c r="AO188" s="243"/>
      <c r="AP188" s="243"/>
      <c r="AQ188" s="243"/>
      <c r="AR188" s="243"/>
      <c r="AS188" s="243"/>
      <c r="AT188" s="243"/>
    </row>
    <row r="189" spans="1:46" ht="17.25" hidden="1" customHeight="1">
      <c r="A189" s="227">
        <v>7</v>
      </c>
      <c r="B189" s="228" t="s">
        <v>48</v>
      </c>
      <c r="C189" s="240" t="s">
        <v>560</v>
      </c>
      <c r="D189" s="240" t="s">
        <v>119</v>
      </c>
      <c r="E189" s="227">
        <v>7</v>
      </c>
      <c r="F189" s="230">
        <v>40193</v>
      </c>
      <c r="G189" s="242" t="s">
        <v>562</v>
      </c>
      <c r="H189" s="240">
        <v>5105098418</v>
      </c>
      <c r="I189" s="242" t="s">
        <v>563</v>
      </c>
      <c r="J189" s="230">
        <v>45110</v>
      </c>
      <c r="K189" s="231"/>
      <c r="L189" s="231"/>
      <c r="M189" s="229"/>
      <c r="N189" s="228" t="s">
        <v>34</v>
      </c>
      <c r="O189" s="232">
        <v>45139</v>
      </c>
      <c r="P189" s="243"/>
      <c r="Q189" s="243"/>
      <c r="R189" s="243"/>
      <c r="S189" s="243"/>
      <c r="T189" s="243"/>
      <c r="U189" s="243"/>
      <c r="V189" s="243"/>
      <c r="W189" s="243"/>
      <c r="X189" s="243"/>
      <c r="Y189" s="243"/>
      <c r="Z189" s="243"/>
      <c r="AA189" s="243"/>
      <c r="AB189" s="243"/>
      <c r="AC189" s="243"/>
      <c r="AD189" s="243"/>
      <c r="AE189" s="243"/>
      <c r="AF189" s="243"/>
      <c r="AG189" s="243"/>
      <c r="AH189" s="243"/>
      <c r="AI189" s="243"/>
      <c r="AJ189" s="243"/>
      <c r="AK189" s="243"/>
      <c r="AL189" s="243"/>
      <c r="AM189" s="243"/>
      <c r="AN189" s="243"/>
      <c r="AO189" s="243"/>
      <c r="AP189" s="243"/>
      <c r="AQ189" s="243"/>
      <c r="AR189" s="243"/>
      <c r="AS189" s="243"/>
      <c r="AT189" s="243"/>
    </row>
    <row r="190" spans="1:46" ht="17.25" hidden="1" customHeight="1">
      <c r="A190" s="227">
        <v>8</v>
      </c>
      <c r="B190" s="228" t="s">
        <v>88</v>
      </c>
      <c r="C190" s="240" t="s">
        <v>560</v>
      </c>
      <c r="D190" s="240" t="s">
        <v>119</v>
      </c>
      <c r="E190" s="227">
        <v>7</v>
      </c>
      <c r="F190" s="230">
        <v>40193</v>
      </c>
      <c r="G190" s="242" t="s">
        <v>562</v>
      </c>
      <c r="H190" s="240">
        <v>5105098418</v>
      </c>
      <c r="I190" s="242" t="s">
        <v>563</v>
      </c>
      <c r="J190" s="230">
        <v>45110</v>
      </c>
      <c r="K190" s="231"/>
      <c r="L190" s="231"/>
      <c r="M190" s="229" t="s">
        <v>548</v>
      </c>
      <c r="N190" s="228" t="s">
        <v>34</v>
      </c>
      <c r="O190" s="232">
        <v>45139</v>
      </c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  <c r="AA190" s="233"/>
      <c r="AB190" s="233"/>
      <c r="AC190" s="233"/>
      <c r="AD190" s="233"/>
      <c r="AE190" s="233"/>
      <c r="AF190" s="233"/>
      <c r="AG190" s="233"/>
      <c r="AH190" s="233"/>
      <c r="AI190" s="233"/>
      <c r="AJ190" s="233"/>
      <c r="AK190" s="233"/>
      <c r="AL190" s="233"/>
      <c r="AM190" s="233"/>
      <c r="AN190" s="233"/>
      <c r="AO190" s="233"/>
      <c r="AP190" s="233"/>
      <c r="AQ190" s="233"/>
      <c r="AR190" s="233"/>
      <c r="AS190" s="233"/>
      <c r="AT190" s="233"/>
    </row>
    <row r="191" spans="1:46" ht="17.25" hidden="1" customHeight="1">
      <c r="A191" s="234">
        <v>9</v>
      </c>
      <c r="B191" s="235" t="s">
        <v>48</v>
      </c>
      <c r="C191" s="236" t="s">
        <v>381</v>
      </c>
      <c r="D191" s="236" t="s">
        <v>386</v>
      </c>
      <c r="E191" s="234">
        <v>1</v>
      </c>
      <c r="F191" s="237">
        <v>42086</v>
      </c>
      <c r="G191" s="238" t="s">
        <v>387</v>
      </c>
      <c r="H191" s="236">
        <v>5109848496</v>
      </c>
      <c r="I191" s="238" t="s">
        <v>388</v>
      </c>
      <c r="J191" s="237">
        <v>44812</v>
      </c>
      <c r="K191" s="238"/>
      <c r="L191" s="238"/>
      <c r="M191" s="236" t="s">
        <v>564</v>
      </c>
      <c r="N191" s="235" t="s">
        <v>34</v>
      </c>
      <c r="O191" s="239">
        <v>45139</v>
      </c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  <c r="AA191" s="226"/>
      <c r="AB191" s="226"/>
      <c r="AC191" s="226"/>
      <c r="AD191" s="226"/>
      <c r="AE191" s="226"/>
      <c r="AF191" s="226"/>
      <c r="AG191" s="226"/>
      <c r="AH191" s="226"/>
      <c r="AI191" s="226"/>
      <c r="AJ191" s="226"/>
      <c r="AK191" s="226"/>
      <c r="AL191" s="226"/>
      <c r="AM191" s="226"/>
      <c r="AN191" s="226"/>
      <c r="AO191" s="226"/>
      <c r="AP191" s="226"/>
      <c r="AQ191" s="226"/>
      <c r="AR191" s="226"/>
      <c r="AS191" s="226"/>
      <c r="AT191" s="226"/>
    </row>
    <row r="192" spans="1:46" ht="17.25" hidden="1" customHeight="1">
      <c r="A192" s="234">
        <v>10</v>
      </c>
      <c r="B192" s="235" t="s">
        <v>88</v>
      </c>
      <c r="C192" s="236" t="s">
        <v>381</v>
      </c>
      <c r="D192" s="236" t="s">
        <v>386</v>
      </c>
      <c r="E192" s="234">
        <v>1</v>
      </c>
      <c r="F192" s="237">
        <v>42086</v>
      </c>
      <c r="G192" s="238" t="s">
        <v>387</v>
      </c>
      <c r="H192" s="236">
        <v>5109848496</v>
      </c>
      <c r="I192" s="238" t="s">
        <v>388</v>
      </c>
      <c r="J192" s="237">
        <v>44812</v>
      </c>
      <c r="K192" s="238"/>
      <c r="L192" s="238"/>
      <c r="M192" s="236" t="s">
        <v>564</v>
      </c>
      <c r="N192" s="235" t="s">
        <v>34</v>
      </c>
      <c r="O192" s="239">
        <v>45139</v>
      </c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  <c r="AA192" s="226"/>
      <c r="AB192" s="226"/>
      <c r="AC192" s="226"/>
      <c r="AD192" s="226"/>
      <c r="AE192" s="226"/>
      <c r="AF192" s="226"/>
      <c r="AG192" s="226"/>
      <c r="AH192" s="226"/>
      <c r="AI192" s="226"/>
      <c r="AJ192" s="226"/>
      <c r="AK192" s="226"/>
      <c r="AL192" s="226"/>
      <c r="AM192" s="226"/>
      <c r="AN192" s="226"/>
      <c r="AO192" s="226"/>
      <c r="AP192" s="226"/>
      <c r="AQ192" s="226"/>
      <c r="AR192" s="226"/>
      <c r="AS192" s="226"/>
      <c r="AT192" s="226"/>
    </row>
    <row r="193" spans="1:46" ht="17.25" hidden="1" customHeight="1">
      <c r="A193" s="227">
        <v>11</v>
      </c>
      <c r="B193" s="228" t="s">
        <v>48</v>
      </c>
      <c r="C193" s="229" t="s">
        <v>565</v>
      </c>
      <c r="D193" s="229" t="s">
        <v>352</v>
      </c>
      <c r="E193" s="227">
        <v>7</v>
      </c>
      <c r="F193" s="230">
        <v>40635</v>
      </c>
      <c r="G193" s="231" t="s">
        <v>566</v>
      </c>
      <c r="H193" s="229">
        <v>7605507063</v>
      </c>
      <c r="I193" s="231" t="s">
        <v>567</v>
      </c>
      <c r="J193" s="230">
        <v>45082</v>
      </c>
      <c r="K193" s="231"/>
      <c r="L193" s="231"/>
      <c r="M193" s="229" t="s">
        <v>568</v>
      </c>
      <c r="N193" s="228" t="s">
        <v>34</v>
      </c>
      <c r="O193" s="232">
        <v>45139</v>
      </c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  <c r="AA193" s="233"/>
      <c r="AB193" s="233"/>
      <c r="AC193" s="233"/>
      <c r="AD193" s="233"/>
      <c r="AE193" s="233"/>
      <c r="AF193" s="233"/>
      <c r="AG193" s="233"/>
      <c r="AH193" s="233"/>
      <c r="AI193" s="233"/>
      <c r="AJ193" s="233"/>
      <c r="AK193" s="233"/>
      <c r="AL193" s="233"/>
      <c r="AM193" s="233"/>
      <c r="AN193" s="233"/>
      <c r="AO193" s="233"/>
      <c r="AP193" s="233"/>
      <c r="AQ193" s="233"/>
      <c r="AR193" s="233"/>
      <c r="AS193" s="233"/>
      <c r="AT193" s="233"/>
    </row>
    <row r="194" spans="1:46" ht="17.25" hidden="1" customHeight="1">
      <c r="A194" s="227">
        <v>12</v>
      </c>
      <c r="B194" s="228" t="s">
        <v>88</v>
      </c>
      <c r="C194" s="229" t="s">
        <v>565</v>
      </c>
      <c r="D194" s="229" t="s">
        <v>352</v>
      </c>
      <c r="E194" s="227">
        <v>7</v>
      </c>
      <c r="F194" s="230">
        <v>40635</v>
      </c>
      <c r="G194" s="231" t="s">
        <v>566</v>
      </c>
      <c r="H194" s="229">
        <v>7605507063</v>
      </c>
      <c r="I194" s="231" t="s">
        <v>567</v>
      </c>
      <c r="J194" s="230">
        <v>45082</v>
      </c>
      <c r="K194" s="231"/>
      <c r="L194" s="231"/>
      <c r="M194" s="229" t="s">
        <v>568</v>
      </c>
      <c r="N194" s="228" t="s">
        <v>34</v>
      </c>
      <c r="O194" s="232">
        <v>45139</v>
      </c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  <c r="AA194" s="233"/>
      <c r="AB194" s="233"/>
      <c r="AC194" s="233"/>
      <c r="AD194" s="233"/>
      <c r="AE194" s="233"/>
      <c r="AF194" s="233"/>
      <c r="AG194" s="233"/>
      <c r="AH194" s="233"/>
      <c r="AI194" s="233"/>
      <c r="AJ194" s="233"/>
      <c r="AK194" s="233"/>
      <c r="AL194" s="233"/>
      <c r="AM194" s="233"/>
      <c r="AN194" s="233"/>
      <c r="AO194" s="233"/>
      <c r="AP194" s="233"/>
      <c r="AQ194" s="233"/>
      <c r="AR194" s="233"/>
      <c r="AS194" s="233"/>
      <c r="AT194" s="233"/>
    </row>
    <row r="195" spans="1:46" ht="17.25" hidden="1" customHeight="1">
      <c r="A195" s="227">
        <v>13</v>
      </c>
      <c r="B195" s="228" t="s">
        <v>48</v>
      </c>
      <c r="C195" s="229" t="s">
        <v>565</v>
      </c>
      <c r="D195" s="229" t="s">
        <v>569</v>
      </c>
      <c r="E195" s="227">
        <v>2</v>
      </c>
      <c r="F195" s="230">
        <v>42425</v>
      </c>
      <c r="G195" s="231" t="s">
        <v>566</v>
      </c>
      <c r="H195" s="229">
        <v>7605507063</v>
      </c>
      <c r="I195" s="231" t="s">
        <v>567</v>
      </c>
      <c r="J195" s="230">
        <v>45082</v>
      </c>
      <c r="K195" s="231"/>
      <c r="L195" s="231"/>
      <c r="M195" s="229" t="s">
        <v>568</v>
      </c>
      <c r="N195" s="228" t="s">
        <v>34</v>
      </c>
      <c r="O195" s="232">
        <v>45139</v>
      </c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  <c r="AE195" s="233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  <c r="AP195" s="233"/>
      <c r="AQ195" s="233"/>
      <c r="AR195" s="233"/>
      <c r="AS195" s="233"/>
      <c r="AT195" s="233"/>
    </row>
    <row r="196" spans="1:46" ht="17.25" hidden="1" customHeight="1">
      <c r="A196" s="227">
        <v>14</v>
      </c>
      <c r="B196" s="228" t="s">
        <v>88</v>
      </c>
      <c r="C196" s="229" t="s">
        <v>565</v>
      </c>
      <c r="D196" s="229" t="s">
        <v>569</v>
      </c>
      <c r="E196" s="227">
        <v>2</v>
      </c>
      <c r="F196" s="230">
        <v>42425</v>
      </c>
      <c r="G196" s="231" t="s">
        <v>566</v>
      </c>
      <c r="H196" s="229">
        <v>7605507063</v>
      </c>
      <c r="I196" s="231" t="s">
        <v>567</v>
      </c>
      <c r="J196" s="230">
        <v>45082</v>
      </c>
      <c r="K196" s="231"/>
      <c r="L196" s="231"/>
      <c r="M196" s="229" t="s">
        <v>568</v>
      </c>
      <c r="N196" s="228" t="s">
        <v>34</v>
      </c>
      <c r="O196" s="232">
        <v>45139</v>
      </c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  <c r="AA196" s="233"/>
      <c r="AB196" s="233"/>
      <c r="AC196" s="233"/>
      <c r="AD196" s="233"/>
      <c r="AE196" s="233"/>
      <c r="AF196" s="233"/>
      <c r="AG196" s="233"/>
      <c r="AH196" s="233"/>
      <c r="AI196" s="233"/>
      <c r="AJ196" s="233"/>
      <c r="AK196" s="233"/>
      <c r="AL196" s="233"/>
      <c r="AM196" s="233"/>
      <c r="AN196" s="233"/>
      <c r="AO196" s="233"/>
      <c r="AP196" s="233"/>
      <c r="AQ196" s="233"/>
      <c r="AR196" s="233"/>
      <c r="AS196" s="233"/>
      <c r="AT196" s="233"/>
    </row>
    <row r="197" spans="1:46" ht="17.25" hidden="1" customHeight="1">
      <c r="A197" s="227">
        <v>15</v>
      </c>
      <c r="B197" s="228" t="s">
        <v>48</v>
      </c>
      <c r="C197" s="229" t="s">
        <v>446</v>
      </c>
      <c r="D197" s="229" t="s">
        <v>447</v>
      </c>
      <c r="E197" s="227">
        <v>1</v>
      </c>
      <c r="F197" s="230">
        <v>42905</v>
      </c>
      <c r="G197" s="231" t="s">
        <v>448</v>
      </c>
      <c r="H197" s="229">
        <v>5303647578</v>
      </c>
      <c r="I197" s="231" t="s">
        <v>449</v>
      </c>
      <c r="J197" s="230">
        <v>45078</v>
      </c>
      <c r="K197" s="231"/>
      <c r="L197" s="231"/>
      <c r="M197" s="229" t="s">
        <v>570</v>
      </c>
      <c r="N197" s="228" t="s">
        <v>34</v>
      </c>
      <c r="O197" s="232">
        <v>45139</v>
      </c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33"/>
      <c r="AK197" s="233"/>
      <c r="AL197" s="233"/>
      <c r="AM197" s="233"/>
      <c r="AN197" s="233"/>
      <c r="AO197" s="233"/>
      <c r="AP197" s="233"/>
      <c r="AQ197" s="233"/>
      <c r="AR197" s="233"/>
      <c r="AS197" s="233"/>
      <c r="AT197" s="233"/>
    </row>
    <row r="198" spans="1:46" ht="17.25" hidden="1" customHeight="1">
      <c r="A198" s="227">
        <v>16</v>
      </c>
      <c r="B198" s="228" t="s">
        <v>88</v>
      </c>
      <c r="C198" s="229" t="s">
        <v>446</v>
      </c>
      <c r="D198" s="229" t="s">
        <v>447</v>
      </c>
      <c r="E198" s="227">
        <v>1</v>
      </c>
      <c r="F198" s="230">
        <v>42905</v>
      </c>
      <c r="G198" s="231" t="s">
        <v>448</v>
      </c>
      <c r="H198" s="229">
        <v>5303647578</v>
      </c>
      <c r="I198" s="231" t="s">
        <v>449</v>
      </c>
      <c r="J198" s="230">
        <v>45078</v>
      </c>
      <c r="K198" s="231"/>
      <c r="L198" s="231"/>
      <c r="M198" s="229" t="s">
        <v>570</v>
      </c>
      <c r="N198" s="228" t="s">
        <v>34</v>
      </c>
      <c r="O198" s="232">
        <v>45139</v>
      </c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  <c r="AA198" s="233"/>
      <c r="AB198" s="233"/>
      <c r="AC198" s="233"/>
      <c r="AD198" s="233"/>
      <c r="AE198" s="233"/>
      <c r="AF198" s="233"/>
      <c r="AG198" s="233"/>
      <c r="AH198" s="233"/>
      <c r="AI198" s="233"/>
      <c r="AJ198" s="233"/>
      <c r="AK198" s="233"/>
      <c r="AL198" s="233"/>
      <c r="AM198" s="233"/>
      <c r="AN198" s="233"/>
      <c r="AO198" s="233"/>
      <c r="AP198" s="233"/>
      <c r="AQ198" s="233"/>
      <c r="AR198" s="233"/>
      <c r="AS198" s="233"/>
      <c r="AT198" s="233"/>
    </row>
    <row r="199" spans="1:46" ht="17.25" hidden="1" customHeight="1">
      <c r="A199" s="227">
        <v>17</v>
      </c>
      <c r="B199" s="228" t="s">
        <v>48</v>
      </c>
      <c r="C199" s="229" t="s">
        <v>571</v>
      </c>
      <c r="D199" s="229" t="s">
        <v>572</v>
      </c>
      <c r="E199" s="227">
        <v>3</v>
      </c>
      <c r="F199" s="230">
        <v>41816</v>
      </c>
      <c r="G199" s="231" t="s">
        <v>573</v>
      </c>
      <c r="H199" s="229">
        <v>6692518555</v>
      </c>
      <c r="I199" s="231" t="s">
        <v>574</v>
      </c>
      <c r="J199" s="230">
        <v>45078</v>
      </c>
      <c r="K199" s="231"/>
      <c r="L199" s="231"/>
      <c r="M199" s="229" t="s">
        <v>575</v>
      </c>
      <c r="N199" s="228" t="s">
        <v>34</v>
      </c>
      <c r="O199" s="232">
        <v>45139</v>
      </c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  <c r="AA199" s="233"/>
      <c r="AB199" s="233"/>
      <c r="AC199" s="233"/>
      <c r="AD199" s="233"/>
      <c r="AE199" s="233"/>
      <c r="AF199" s="233"/>
      <c r="AG199" s="233"/>
      <c r="AH199" s="233"/>
      <c r="AI199" s="233"/>
      <c r="AJ199" s="233"/>
      <c r="AK199" s="233"/>
      <c r="AL199" s="233"/>
      <c r="AM199" s="233"/>
      <c r="AN199" s="233"/>
      <c r="AO199" s="233"/>
      <c r="AP199" s="233"/>
      <c r="AQ199" s="233"/>
      <c r="AR199" s="233"/>
      <c r="AS199" s="233"/>
      <c r="AT199" s="233"/>
    </row>
    <row r="200" spans="1:46" ht="17.25" hidden="1" customHeight="1">
      <c r="A200" s="227">
        <v>18</v>
      </c>
      <c r="B200" s="228" t="s">
        <v>88</v>
      </c>
      <c r="C200" s="229" t="s">
        <v>571</v>
      </c>
      <c r="D200" s="229" t="s">
        <v>572</v>
      </c>
      <c r="E200" s="227">
        <v>3</v>
      </c>
      <c r="F200" s="230">
        <v>41816</v>
      </c>
      <c r="G200" s="231" t="s">
        <v>573</v>
      </c>
      <c r="H200" s="229">
        <v>6692518555</v>
      </c>
      <c r="I200" s="231" t="s">
        <v>574</v>
      </c>
      <c r="J200" s="230">
        <v>45078</v>
      </c>
      <c r="K200" s="231"/>
      <c r="L200" s="231"/>
      <c r="M200" s="229" t="s">
        <v>575</v>
      </c>
      <c r="N200" s="228" t="s">
        <v>34</v>
      </c>
      <c r="O200" s="232">
        <v>45139</v>
      </c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  <c r="AA200" s="233"/>
      <c r="AB200" s="233"/>
      <c r="AC200" s="233"/>
      <c r="AD200" s="233"/>
      <c r="AE200" s="233"/>
      <c r="AF200" s="233"/>
      <c r="AG200" s="233"/>
      <c r="AH200" s="233"/>
      <c r="AI200" s="233"/>
      <c r="AJ200" s="233"/>
      <c r="AK200" s="233"/>
      <c r="AL200" s="233"/>
      <c r="AM200" s="233"/>
      <c r="AN200" s="233"/>
      <c r="AO200" s="233"/>
      <c r="AP200" s="233"/>
      <c r="AQ200" s="233"/>
      <c r="AR200" s="233"/>
      <c r="AS200" s="233"/>
      <c r="AT200" s="233"/>
    </row>
    <row r="201" spans="1:46" ht="17.25" hidden="1" customHeight="1">
      <c r="A201" s="227">
        <v>19</v>
      </c>
      <c r="B201" s="228" t="s">
        <v>48</v>
      </c>
      <c r="C201" s="229" t="s">
        <v>576</v>
      </c>
      <c r="D201" s="229" t="s">
        <v>577</v>
      </c>
      <c r="E201" s="227">
        <v>7</v>
      </c>
      <c r="F201" s="230">
        <v>40806</v>
      </c>
      <c r="G201" s="231" t="s">
        <v>573</v>
      </c>
      <c r="H201" s="229">
        <v>6692518555</v>
      </c>
      <c r="I201" s="231" t="s">
        <v>574</v>
      </c>
      <c r="J201" s="230">
        <v>45078</v>
      </c>
      <c r="K201" s="231"/>
      <c r="L201" s="231"/>
      <c r="M201" s="229" t="s">
        <v>575</v>
      </c>
      <c r="N201" s="228" t="s">
        <v>34</v>
      </c>
      <c r="O201" s="232">
        <v>45139</v>
      </c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  <c r="AA201" s="233"/>
      <c r="AB201" s="233"/>
      <c r="AC201" s="233"/>
      <c r="AD201" s="233"/>
      <c r="AE201" s="233"/>
      <c r="AF201" s="233"/>
      <c r="AG201" s="233"/>
      <c r="AH201" s="233"/>
      <c r="AI201" s="233"/>
      <c r="AJ201" s="233"/>
      <c r="AK201" s="233"/>
      <c r="AL201" s="233"/>
      <c r="AM201" s="233"/>
      <c r="AN201" s="233"/>
      <c r="AO201" s="233"/>
      <c r="AP201" s="233"/>
      <c r="AQ201" s="233"/>
      <c r="AR201" s="233"/>
      <c r="AS201" s="233"/>
      <c r="AT201" s="233"/>
    </row>
    <row r="202" spans="1:46" ht="17.25" hidden="1" customHeight="1">
      <c r="A202" s="227">
        <v>20</v>
      </c>
      <c r="B202" s="228" t="s">
        <v>88</v>
      </c>
      <c r="C202" s="229" t="s">
        <v>576</v>
      </c>
      <c r="D202" s="229" t="s">
        <v>577</v>
      </c>
      <c r="E202" s="227">
        <v>7</v>
      </c>
      <c r="F202" s="230">
        <v>40806</v>
      </c>
      <c r="G202" s="231" t="s">
        <v>573</v>
      </c>
      <c r="H202" s="229">
        <v>6692518555</v>
      </c>
      <c r="I202" s="231" t="s">
        <v>574</v>
      </c>
      <c r="J202" s="230">
        <v>45078</v>
      </c>
      <c r="K202" s="231"/>
      <c r="L202" s="231"/>
      <c r="M202" s="229" t="s">
        <v>575</v>
      </c>
      <c r="N202" s="228" t="s">
        <v>34</v>
      </c>
      <c r="O202" s="232">
        <v>45139</v>
      </c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  <c r="AA202" s="233"/>
      <c r="AB202" s="233"/>
      <c r="AC202" s="233"/>
      <c r="AD202" s="233"/>
      <c r="AE202" s="233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</row>
    <row r="203" spans="1:46" ht="17.25" hidden="1" customHeight="1">
      <c r="A203" s="234">
        <v>21</v>
      </c>
      <c r="B203" s="235" t="s">
        <v>88</v>
      </c>
      <c r="C203" s="236" t="s">
        <v>458</v>
      </c>
      <c r="D203" s="236" t="s">
        <v>578</v>
      </c>
      <c r="E203" s="234">
        <v>1</v>
      </c>
      <c r="F203" s="237">
        <v>42483</v>
      </c>
      <c r="G203" s="238" t="s">
        <v>579</v>
      </c>
      <c r="H203" s="236">
        <v>6692460021</v>
      </c>
      <c r="I203" s="238" t="s">
        <v>580</v>
      </c>
      <c r="J203" s="237">
        <v>45084</v>
      </c>
      <c r="K203" s="238"/>
      <c r="L203" s="238"/>
      <c r="M203" s="236" t="s">
        <v>581</v>
      </c>
      <c r="N203" s="235" t="s">
        <v>34</v>
      </c>
      <c r="O203" s="239">
        <v>45139</v>
      </c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  <c r="AA203" s="226"/>
      <c r="AB203" s="226"/>
      <c r="AC203" s="226"/>
      <c r="AD203" s="226"/>
      <c r="AE203" s="226"/>
      <c r="AF203" s="226"/>
      <c r="AG203" s="226"/>
      <c r="AH203" s="226"/>
      <c r="AI203" s="226"/>
      <c r="AJ203" s="226"/>
      <c r="AK203" s="226"/>
      <c r="AL203" s="226"/>
      <c r="AM203" s="226"/>
      <c r="AN203" s="226"/>
      <c r="AO203" s="226"/>
      <c r="AP203" s="226"/>
      <c r="AQ203" s="226"/>
      <c r="AR203" s="226"/>
      <c r="AS203" s="226"/>
      <c r="AT203" s="226"/>
    </row>
    <row r="204" spans="1:46" ht="17.25" hidden="1" customHeight="1">
      <c r="A204" s="244">
        <v>1</v>
      </c>
      <c r="B204" s="245" t="s">
        <v>88</v>
      </c>
      <c r="C204" s="246" t="s">
        <v>582</v>
      </c>
      <c r="D204" s="246" t="s">
        <v>583</v>
      </c>
      <c r="E204" s="247">
        <v>6</v>
      </c>
      <c r="F204" s="248">
        <v>41034</v>
      </c>
      <c r="G204" s="249" t="s">
        <v>584</v>
      </c>
      <c r="H204" s="246">
        <v>5108161486</v>
      </c>
      <c r="I204" s="249" t="s">
        <v>585</v>
      </c>
      <c r="J204" s="248">
        <v>45139</v>
      </c>
      <c r="K204" s="249"/>
      <c r="L204" s="249"/>
      <c r="M204" s="246" t="s">
        <v>586</v>
      </c>
      <c r="N204" s="245" t="s">
        <v>34</v>
      </c>
      <c r="O204" s="250">
        <v>45170</v>
      </c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</row>
    <row r="205" spans="1:46" ht="17.25" hidden="1" customHeight="1">
      <c r="A205" s="244">
        <v>2</v>
      </c>
      <c r="B205" s="245" t="s">
        <v>48</v>
      </c>
      <c r="C205" s="252" t="s">
        <v>587</v>
      </c>
      <c r="D205" s="252" t="s">
        <v>588</v>
      </c>
      <c r="E205" s="244" t="s">
        <v>153</v>
      </c>
      <c r="F205" s="253">
        <v>42776</v>
      </c>
      <c r="G205" s="254" t="s">
        <v>589</v>
      </c>
      <c r="H205" s="252">
        <v>6692385152</v>
      </c>
      <c r="I205" s="254" t="s">
        <v>590</v>
      </c>
      <c r="J205" s="253">
        <v>45093</v>
      </c>
      <c r="K205" s="254"/>
      <c r="L205" s="254"/>
      <c r="M205" s="252" t="s">
        <v>591</v>
      </c>
      <c r="N205" s="245" t="s">
        <v>34</v>
      </c>
      <c r="O205" s="250">
        <v>45170</v>
      </c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251"/>
      <c r="AP205" s="251"/>
      <c r="AQ205" s="251"/>
      <c r="AR205" s="251"/>
      <c r="AS205" s="251"/>
      <c r="AT205" s="251"/>
    </row>
    <row r="206" spans="1:46" ht="17.25" hidden="1" customHeight="1">
      <c r="A206" s="244">
        <v>3</v>
      </c>
      <c r="B206" s="245" t="s">
        <v>88</v>
      </c>
      <c r="C206" s="255" t="s">
        <v>587</v>
      </c>
      <c r="D206" s="255" t="s">
        <v>588</v>
      </c>
      <c r="E206" s="244" t="s">
        <v>153</v>
      </c>
      <c r="F206" s="253">
        <v>42776</v>
      </c>
      <c r="G206" s="254" t="s">
        <v>589</v>
      </c>
      <c r="H206" s="252">
        <v>6692385152</v>
      </c>
      <c r="I206" s="254" t="s">
        <v>590</v>
      </c>
      <c r="J206" s="253">
        <v>45124</v>
      </c>
      <c r="K206" s="254"/>
      <c r="L206" s="254"/>
      <c r="M206" s="252" t="s">
        <v>591</v>
      </c>
      <c r="N206" s="245" t="s">
        <v>34</v>
      </c>
      <c r="O206" s="250">
        <v>45170</v>
      </c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</row>
    <row r="207" spans="1:46" ht="17.25" hidden="1" customHeight="1">
      <c r="A207" s="256">
        <v>1</v>
      </c>
      <c r="B207" s="257" t="s">
        <v>48</v>
      </c>
      <c r="C207" s="258" t="s">
        <v>592</v>
      </c>
      <c r="D207" s="258" t="s">
        <v>593</v>
      </c>
      <c r="E207" s="259" t="s">
        <v>251</v>
      </c>
      <c r="F207" s="260">
        <v>43461</v>
      </c>
      <c r="G207" s="261" t="s">
        <v>594</v>
      </c>
      <c r="H207" s="258">
        <v>4086803486</v>
      </c>
      <c r="I207" s="261" t="s">
        <v>595</v>
      </c>
      <c r="J207" s="260">
        <v>45174</v>
      </c>
      <c r="K207" s="261"/>
      <c r="L207" s="261"/>
      <c r="M207" s="258" t="s">
        <v>596</v>
      </c>
      <c r="N207" s="262" t="s">
        <v>34</v>
      </c>
      <c r="O207" s="263">
        <v>45231</v>
      </c>
      <c r="P207" s="264"/>
      <c r="Q207" s="264"/>
      <c r="R207" s="264"/>
      <c r="S207" s="264"/>
      <c r="T207" s="264"/>
      <c r="U207" s="264"/>
      <c r="V207" s="264"/>
      <c r="W207" s="264"/>
      <c r="X207" s="264"/>
      <c r="Y207" s="264"/>
      <c r="Z207" s="264"/>
      <c r="AA207" s="264"/>
      <c r="AB207" s="264"/>
      <c r="AC207" s="264"/>
      <c r="AD207" s="264"/>
      <c r="AE207" s="264"/>
      <c r="AF207" s="264"/>
      <c r="AG207" s="264"/>
      <c r="AH207" s="264"/>
      <c r="AI207" s="264"/>
      <c r="AJ207" s="264"/>
      <c r="AK207" s="264"/>
      <c r="AL207" s="264"/>
      <c r="AM207" s="264"/>
      <c r="AN207" s="264"/>
      <c r="AO207" s="264"/>
      <c r="AP207" s="264"/>
      <c r="AQ207" s="264"/>
      <c r="AR207" s="264"/>
      <c r="AS207" s="264"/>
      <c r="AT207" s="264"/>
    </row>
    <row r="208" spans="1:46" ht="17.25" hidden="1" customHeight="1">
      <c r="A208" s="256">
        <v>1</v>
      </c>
      <c r="B208" s="265" t="s">
        <v>48</v>
      </c>
      <c r="C208" s="266" t="s">
        <v>277</v>
      </c>
      <c r="D208" s="266" t="s">
        <v>557</v>
      </c>
      <c r="E208" s="256">
        <v>3</v>
      </c>
      <c r="F208" s="267">
        <v>41924</v>
      </c>
      <c r="G208" s="268" t="s">
        <v>597</v>
      </c>
      <c r="H208" s="268">
        <v>5102921648</v>
      </c>
      <c r="I208" s="268" t="s">
        <v>598</v>
      </c>
      <c r="J208" s="267">
        <v>45246</v>
      </c>
      <c r="K208" s="269"/>
      <c r="L208" s="269"/>
      <c r="M208" s="266" t="s">
        <v>599</v>
      </c>
      <c r="N208" s="265" t="s">
        <v>34</v>
      </c>
      <c r="O208" s="270">
        <v>45261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7.25" hidden="1" customHeight="1">
      <c r="A209" s="256">
        <v>2</v>
      </c>
      <c r="B209" s="265" t="s">
        <v>88</v>
      </c>
      <c r="C209" s="266" t="s">
        <v>277</v>
      </c>
      <c r="D209" s="266" t="s">
        <v>557</v>
      </c>
      <c r="E209" s="256">
        <v>3</v>
      </c>
      <c r="F209" s="267">
        <v>41924</v>
      </c>
      <c r="G209" s="268" t="s">
        <v>597</v>
      </c>
      <c r="H209" s="268">
        <v>5102921648</v>
      </c>
      <c r="I209" s="268" t="s">
        <v>598</v>
      </c>
      <c r="J209" s="267">
        <v>45246</v>
      </c>
      <c r="K209" s="269"/>
      <c r="L209" s="269"/>
      <c r="M209" s="266" t="s">
        <v>599</v>
      </c>
      <c r="N209" s="265" t="s">
        <v>34</v>
      </c>
      <c r="O209" s="270">
        <v>45261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ht="17.25" hidden="1" customHeight="1">
      <c r="A210" s="256">
        <v>3</v>
      </c>
      <c r="B210" s="265" t="s">
        <v>48</v>
      </c>
      <c r="C210" s="266" t="s">
        <v>409</v>
      </c>
      <c r="D210" s="266" t="s">
        <v>600</v>
      </c>
      <c r="E210" s="256">
        <v>2</v>
      </c>
      <c r="F210" s="267">
        <v>42588</v>
      </c>
      <c r="G210" s="269" t="s">
        <v>601</v>
      </c>
      <c r="H210" s="266">
        <v>6692068365</v>
      </c>
      <c r="I210" s="269" t="s">
        <v>602</v>
      </c>
      <c r="J210" s="267">
        <v>45170</v>
      </c>
      <c r="K210" s="269"/>
      <c r="L210" s="269"/>
      <c r="M210" s="266" t="s">
        <v>603</v>
      </c>
      <c r="N210" s="265" t="s">
        <v>34</v>
      </c>
      <c r="O210" s="270">
        <v>45261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7.25" hidden="1" customHeight="1">
      <c r="A211" s="256">
        <v>4</v>
      </c>
      <c r="B211" s="265" t="s">
        <v>48</v>
      </c>
      <c r="C211" s="271" t="s">
        <v>604</v>
      </c>
      <c r="D211" s="271" t="s">
        <v>605</v>
      </c>
      <c r="E211" s="256">
        <v>1</v>
      </c>
      <c r="F211" s="267">
        <v>42388</v>
      </c>
      <c r="G211" s="269" t="s">
        <v>606</v>
      </c>
      <c r="H211" s="266">
        <v>4087977701</v>
      </c>
      <c r="I211" s="269" t="s">
        <v>607</v>
      </c>
      <c r="J211" s="267">
        <v>45033</v>
      </c>
      <c r="K211" s="269"/>
      <c r="L211" s="269"/>
      <c r="M211" s="266" t="s">
        <v>608</v>
      </c>
      <c r="N211" s="265" t="s">
        <v>34</v>
      </c>
      <c r="O211" s="270">
        <v>45261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ht="17.25" hidden="1" customHeight="1">
      <c r="A212" s="256">
        <v>5</v>
      </c>
      <c r="B212" s="265" t="s">
        <v>88</v>
      </c>
      <c r="C212" s="272" t="s">
        <v>609</v>
      </c>
      <c r="D212" s="272" t="s">
        <v>437</v>
      </c>
      <c r="E212" s="273">
        <v>1</v>
      </c>
      <c r="F212" s="274">
        <v>42947</v>
      </c>
      <c r="G212" s="268" t="s">
        <v>610</v>
      </c>
      <c r="H212" s="272">
        <v>4085108805</v>
      </c>
      <c r="I212" s="268" t="s">
        <v>440</v>
      </c>
      <c r="J212" s="274">
        <v>45246</v>
      </c>
      <c r="K212" s="268"/>
      <c r="L212" s="268"/>
      <c r="M212" s="272" t="s">
        <v>611</v>
      </c>
      <c r="N212" s="265" t="s">
        <v>34</v>
      </c>
      <c r="O212" s="275">
        <v>45261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ht="17.25" hidden="1" customHeight="1">
      <c r="A213" s="256">
        <v>6</v>
      </c>
      <c r="B213" s="265" t="s">
        <v>48</v>
      </c>
      <c r="C213" s="266" t="s">
        <v>409</v>
      </c>
      <c r="D213" s="266" t="s">
        <v>612</v>
      </c>
      <c r="E213" s="256" t="s">
        <v>153</v>
      </c>
      <c r="F213" s="267">
        <v>43151</v>
      </c>
      <c r="G213" s="269" t="s">
        <v>601</v>
      </c>
      <c r="H213" s="266">
        <v>6692068365</v>
      </c>
      <c r="I213" s="269" t="s">
        <v>602</v>
      </c>
      <c r="J213" s="267">
        <v>45170</v>
      </c>
      <c r="K213" s="269"/>
      <c r="L213" s="269"/>
      <c r="M213" s="266" t="s">
        <v>603</v>
      </c>
      <c r="N213" s="265" t="s">
        <v>34</v>
      </c>
      <c r="O213" s="270">
        <v>45261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ht="17.25" hidden="1" customHeight="1">
      <c r="A214" s="256">
        <v>7</v>
      </c>
      <c r="B214" s="265" t="s">
        <v>88</v>
      </c>
      <c r="C214" s="271" t="s">
        <v>604</v>
      </c>
      <c r="D214" s="271" t="s">
        <v>613</v>
      </c>
      <c r="E214" s="256">
        <v>5</v>
      </c>
      <c r="F214" s="267">
        <v>40961</v>
      </c>
      <c r="G214" s="269" t="s">
        <v>614</v>
      </c>
      <c r="H214" s="266">
        <v>4087977701</v>
      </c>
      <c r="I214" s="269" t="s">
        <v>607</v>
      </c>
      <c r="J214" s="267">
        <v>44791</v>
      </c>
      <c r="K214" s="269"/>
      <c r="L214" s="269"/>
      <c r="M214" s="266" t="s">
        <v>615</v>
      </c>
      <c r="N214" s="265" t="s">
        <v>34</v>
      </c>
      <c r="O214" s="270">
        <v>45261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spans="1:46" ht="17.25" hidden="1" customHeight="1">
      <c r="A215" s="276">
        <v>1</v>
      </c>
      <c r="B215" s="262" t="s">
        <v>48</v>
      </c>
      <c r="C215" s="258" t="s">
        <v>616</v>
      </c>
      <c r="D215" s="258" t="s">
        <v>617</v>
      </c>
      <c r="E215" s="259">
        <v>3</v>
      </c>
      <c r="F215" s="260">
        <v>42236</v>
      </c>
      <c r="G215" s="261" t="s">
        <v>618</v>
      </c>
      <c r="H215" s="258" t="s">
        <v>619</v>
      </c>
      <c r="I215" s="261" t="s">
        <v>620</v>
      </c>
      <c r="J215" s="260">
        <v>45174</v>
      </c>
      <c r="K215" s="261"/>
      <c r="L215" s="261"/>
      <c r="M215" s="258"/>
      <c r="N215" s="262" t="s">
        <v>34</v>
      </c>
      <c r="O215" s="263">
        <v>45292</v>
      </c>
      <c r="P215" s="264"/>
      <c r="Q215" s="264"/>
      <c r="R215" s="264"/>
      <c r="S215" s="264"/>
      <c r="T215" s="264"/>
      <c r="U215" s="264"/>
      <c r="V215" s="264"/>
      <c r="W215" s="264"/>
      <c r="X215" s="264"/>
      <c r="Y215" s="264"/>
      <c r="Z215" s="264"/>
      <c r="AA215" s="264"/>
      <c r="AB215" s="264"/>
      <c r="AC215" s="264"/>
      <c r="AD215" s="264"/>
      <c r="AE215" s="264"/>
      <c r="AF215" s="264"/>
      <c r="AG215" s="264"/>
      <c r="AH215" s="264"/>
      <c r="AI215" s="264"/>
      <c r="AJ215" s="264"/>
      <c r="AK215" s="264"/>
      <c r="AL215" s="264"/>
      <c r="AM215" s="264"/>
      <c r="AN215" s="264"/>
      <c r="AO215" s="264"/>
      <c r="AP215" s="264"/>
      <c r="AQ215" s="264"/>
      <c r="AR215" s="264"/>
      <c r="AS215" s="264"/>
      <c r="AT215" s="264"/>
    </row>
    <row r="216" spans="1:46" ht="17.25" hidden="1" customHeight="1">
      <c r="A216" s="276">
        <v>2</v>
      </c>
      <c r="B216" s="262" t="s">
        <v>88</v>
      </c>
      <c r="C216" s="258" t="s">
        <v>616</v>
      </c>
      <c r="D216" s="258" t="s">
        <v>617</v>
      </c>
      <c r="E216" s="259">
        <v>3</v>
      </c>
      <c r="F216" s="260">
        <v>42236</v>
      </c>
      <c r="G216" s="261" t="s">
        <v>618</v>
      </c>
      <c r="H216" s="258" t="s">
        <v>619</v>
      </c>
      <c r="I216" s="261" t="s">
        <v>620</v>
      </c>
      <c r="J216" s="260">
        <v>45174</v>
      </c>
      <c r="K216" s="261"/>
      <c r="L216" s="261"/>
      <c r="M216" s="258"/>
      <c r="N216" s="262" t="s">
        <v>34</v>
      </c>
      <c r="O216" s="263">
        <v>45292</v>
      </c>
      <c r="P216" s="264"/>
      <c r="Q216" s="264"/>
      <c r="R216" s="264"/>
      <c r="S216" s="264"/>
      <c r="T216" s="264"/>
      <c r="U216" s="264"/>
      <c r="V216" s="264"/>
      <c r="W216" s="264"/>
      <c r="X216" s="264"/>
      <c r="Y216" s="264"/>
      <c r="Z216" s="264"/>
      <c r="AA216" s="264"/>
      <c r="AB216" s="264"/>
      <c r="AC216" s="264"/>
      <c r="AD216" s="264"/>
      <c r="AE216" s="264"/>
      <c r="AF216" s="264"/>
      <c r="AG216" s="264"/>
      <c r="AH216" s="264"/>
      <c r="AI216" s="264"/>
      <c r="AJ216" s="264"/>
      <c r="AK216" s="264"/>
      <c r="AL216" s="264"/>
      <c r="AM216" s="264"/>
      <c r="AN216" s="264"/>
      <c r="AO216" s="264"/>
      <c r="AP216" s="264"/>
      <c r="AQ216" s="264"/>
      <c r="AR216" s="264"/>
      <c r="AS216" s="264"/>
      <c r="AT216" s="264"/>
    </row>
    <row r="217" spans="1:46" ht="17.25" hidden="1" customHeight="1">
      <c r="A217" s="277">
        <v>3</v>
      </c>
      <c r="B217" s="262" t="s">
        <v>88</v>
      </c>
      <c r="C217" s="278" t="s">
        <v>621</v>
      </c>
      <c r="D217" s="278" t="s">
        <v>622</v>
      </c>
      <c r="E217" s="276">
        <v>6</v>
      </c>
      <c r="F217" s="279">
        <v>41034</v>
      </c>
      <c r="G217" s="280" t="s">
        <v>623</v>
      </c>
      <c r="H217" s="278">
        <v>5108161486</v>
      </c>
      <c r="I217" s="281" t="s">
        <v>585</v>
      </c>
      <c r="J217" s="279">
        <v>45093</v>
      </c>
      <c r="K217" s="280"/>
      <c r="L217" s="280"/>
      <c r="M217" s="278" t="s">
        <v>624</v>
      </c>
      <c r="N217" s="262" t="s">
        <v>34</v>
      </c>
      <c r="O217" s="263">
        <v>45292</v>
      </c>
      <c r="P217" s="264"/>
      <c r="Q217" s="264"/>
      <c r="R217" s="264"/>
      <c r="S217" s="264"/>
      <c r="T217" s="264"/>
      <c r="U217" s="264"/>
      <c r="V217" s="264"/>
      <c r="W217" s="264"/>
      <c r="X217" s="264"/>
      <c r="Y217" s="264"/>
      <c r="Z217" s="264"/>
      <c r="AA217" s="264"/>
      <c r="AB217" s="264"/>
      <c r="AC217" s="264"/>
      <c r="AD217" s="264"/>
      <c r="AE217" s="264"/>
      <c r="AF217" s="264"/>
      <c r="AG217" s="264"/>
      <c r="AH217" s="264"/>
      <c r="AI217" s="264"/>
      <c r="AJ217" s="264"/>
      <c r="AK217" s="264"/>
      <c r="AL217" s="264"/>
      <c r="AM217" s="264"/>
      <c r="AN217" s="264"/>
      <c r="AO217" s="264"/>
      <c r="AP217" s="264"/>
      <c r="AQ217" s="264"/>
      <c r="AR217" s="264"/>
      <c r="AS217" s="264"/>
      <c r="AT217" s="264"/>
    </row>
    <row r="218" spans="1:46" ht="17.25" hidden="1" customHeight="1">
      <c r="A218" s="276">
        <v>4</v>
      </c>
      <c r="B218" s="262" t="s">
        <v>48</v>
      </c>
      <c r="C218" s="278" t="s">
        <v>293</v>
      </c>
      <c r="D218" s="278" t="s">
        <v>625</v>
      </c>
      <c r="E218" s="276">
        <v>7</v>
      </c>
      <c r="F218" s="279">
        <v>40552</v>
      </c>
      <c r="G218" s="280" t="s">
        <v>626</v>
      </c>
      <c r="H218" s="278">
        <v>5108221710</v>
      </c>
      <c r="I218" s="280" t="s">
        <v>627</v>
      </c>
      <c r="J218" s="279">
        <v>45233</v>
      </c>
      <c r="K218" s="280"/>
      <c r="L218" s="280"/>
      <c r="M218" s="278"/>
      <c r="N218" s="262" t="s">
        <v>34</v>
      </c>
      <c r="O218" s="263">
        <v>45292</v>
      </c>
      <c r="P218" s="264"/>
      <c r="Q218" s="264"/>
      <c r="R218" s="264"/>
      <c r="S218" s="264"/>
      <c r="T218" s="264"/>
      <c r="U218" s="264"/>
      <c r="V218" s="264"/>
      <c r="W218" s="264"/>
      <c r="X218" s="264"/>
      <c r="Y218" s="264"/>
      <c r="Z218" s="264"/>
      <c r="AA218" s="264"/>
      <c r="AB218" s="264"/>
      <c r="AC218" s="264"/>
      <c r="AD218" s="264"/>
      <c r="AE218" s="264"/>
      <c r="AF218" s="264"/>
      <c r="AG218" s="264"/>
      <c r="AH218" s="264"/>
      <c r="AI218" s="264"/>
      <c r="AJ218" s="264"/>
      <c r="AK218" s="264"/>
      <c r="AL218" s="264"/>
      <c r="AM218" s="264"/>
      <c r="AN218" s="264"/>
      <c r="AO218" s="264"/>
      <c r="AP218" s="264"/>
      <c r="AQ218" s="264"/>
      <c r="AR218" s="264"/>
      <c r="AS218" s="264"/>
      <c r="AT218" s="264"/>
    </row>
    <row r="219" spans="1:46" ht="17.25" hidden="1" customHeight="1">
      <c r="A219" s="276">
        <v>5</v>
      </c>
      <c r="B219" s="262" t="s">
        <v>48</v>
      </c>
      <c r="C219" s="258" t="s">
        <v>409</v>
      </c>
      <c r="D219" s="258" t="s">
        <v>578</v>
      </c>
      <c r="E219" s="259">
        <v>1</v>
      </c>
      <c r="F219" s="260">
        <v>42483</v>
      </c>
      <c r="G219" s="261" t="s">
        <v>579</v>
      </c>
      <c r="H219" s="258">
        <v>6692460021</v>
      </c>
      <c r="I219" s="261" t="s">
        <v>580</v>
      </c>
      <c r="J219" s="260">
        <v>45247</v>
      </c>
      <c r="K219" s="261"/>
      <c r="L219" s="261"/>
      <c r="M219" s="258" t="s">
        <v>628</v>
      </c>
      <c r="N219" s="262" t="s">
        <v>34</v>
      </c>
      <c r="O219" s="263">
        <v>45292</v>
      </c>
      <c r="P219" s="264"/>
      <c r="Q219" s="264"/>
      <c r="R219" s="264"/>
      <c r="S219" s="264"/>
      <c r="T219" s="264"/>
      <c r="U219" s="264"/>
      <c r="V219" s="264"/>
      <c r="W219" s="264"/>
      <c r="X219" s="264"/>
      <c r="Y219" s="264"/>
      <c r="Z219" s="264"/>
      <c r="AA219" s="264"/>
      <c r="AB219" s="264"/>
      <c r="AC219" s="264"/>
      <c r="AD219" s="264"/>
      <c r="AE219" s="264"/>
      <c r="AF219" s="264"/>
      <c r="AG219" s="264"/>
      <c r="AH219" s="264"/>
      <c r="AI219" s="264"/>
      <c r="AJ219" s="264"/>
      <c r="AK219" s="264"/>
      <c r="AL219" s="264"/>
      <c r="AM219" s="264"/>
      <c r="AN219" s="264"/>
      <c r="AO219" s="264"/>
      <c r="AP219" s="264"/>
      <c r="AQ219" s="264"/>
      <c r="AR219" s="264"/>
      <c r="AS219" s="264"/>
      <c r="AT219" s="264"/>
    </row>
    <row r="220" spans="1:46" ht="15" hidden="1" customHeight="1">
      <c r="A220" s="282">
        <v>6</v>
      </c>
      <c r="B220" s="283" t="s">
        <v>48</v>
      </c>
      <c r="C220" s="284" t="s">
        <v>450</v>
      </c>
      <c r="D220" s="284" t="s">
        <v>629</v>
      </c>
      <c r="E220" s="282" t="s">
        <v>153</v>
      </c>
      <c r="F220" s="285">
        <v>42409</v>
      </c>
      <c r="G220" s="286" t="s">
        <v>630</v>
      </c>
      <c r="H220" s="287">
        <v>4088292099</v>
      </c>
      <c r="I220" s="286" t="s">
        <v>631</v>
      </c>
      <c r="J220" s="285">
        <v>44645</v>
      </c>
      <c r="K220" s="286"/>
      <c r="L220" s="286"/>
      <c r="M220" s="287" t="s">
        <v>632</v>
      </c>
      <c r="N220" s="283" t="s">
        <v>34</v>
      </c>
      <c r="O220" s="263">
        <v>45292</v>
      </c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88"/>
      <c r="AB220" s="288"/>
      <c r="AC220" s="288"/>
      <c r="AD220" s="288"/>
      <c r="AE220" s="288"/>
      <c r="AF220" s="288"/>
      <c r="AG220" s="288"/>
      <c r="AH220" s="288"/>
      <c r="AI220" s="288"/>
      <c r="AJ220" s="288"/>
      <c r="AK220" s="288"/>
      <c r="AL220" s="288"/>
      <c r="AM220" s="288"/>
      <c r="AN220" s="288"/>
      <c r="AO220" s="288"/>
      <c r="AP220" s="288"/>
      <c r="AQ220" s="288"/>
      <c r="AR220" s="288"/>
      <c r="AS220" s="288"/>
      <c r="AT220" s="288"/>
    </row>
    <row r="221" spans="1:46" ht="17.25" hidden="1" customHeight="1">
      <c r="A221" s="282">
        <v>7</v>
      </c>
      <c r="B221" s="283" t="s">
        <v>88</v>
      </c>
      <c r="C221" s="284" t="s">
        <v>450</v>
      </c>
      <c r="D221" s="284" t="s">
        <v>629</v>
      </c>
      <c r="E221" s="282" t="s">
        <v>153</v>
      </c>
      <c r="F221" s="285">
        <v>42409</v>
      </c>
      <c r="G221" s="286" t="s">
        <v>630</v>
      </c>
      <c r="H221" s="287">
        <v>4088292099</v>
      </c>
      <c r="I221" s="286" t="s">
        <v>631</v>
      </c>
      <c r="J221" s="285">
        <v>44866</v>
      </c>
      <c r="K221" s="286"/>
      <c r="L221" s="286"/>
      <c r="M221" s="287" t="s">
        <v>632</v>
      </c>
      <c r="N221" s="283" t="s">
        <v>34</v>
      </c>
      <c r="O221" s="263">
        <v>45292</v>
      </c>
      <c r="P221" s="288"/>
      <c r="Q221" s="288"/>
      <c r="R221" s="288"/>
      <c r="S221" s="288"/>
      <c r="T221" s="288"/>
      <c r="U221" s="288"/>
      <c r="V221" s="288"/>
      <c r="W221" s="288"/>
      <c r="X221" s="288"/>
      <c r="Y221" s="288"/>
      <c r="Z221" s="288"/>
      <c r="AA221" s="288"/>
      <c r="AB221" s="288"/>
      <c r="AC221" s="288"/>
      <c r="AD221" s="288"/>
      <c r="AE221" s="288"/>
      <c r="AF221" s="288"/>
      <c r="AG221" s="288"/>
      <c r="AH221" s="288"/>
      <c r="AI221" s="288"/>
      <c r="AJ221" s="288"/>
      <c r="AK221" s="288"/>
      <c r="AL221" s="288"/>
      <c r="AM221" s="288"/>
      <c r="AN221" s="288"/>
      <c r="AO221" s="288"/>
      <c r="AP221" s="288"/>
      <c r="AQ221" s="288"/>
      <c r="AR221" s="288"/>
      <c r="AS221" s="288"/>
      <c r="AT221" s="288"/>
    </row>
    <row r="222" spans="1:46" ht="17.25" hidden="1" customHeight="1">
      <c r="A222" s="276">
        <v>8</v>
      </c>
      <c r="B222" s="262" t="s">
        <v>48</v>
      </c>
      <c r="C222" s="278" t="s">
        <v>462</v>
      </c>
      <c r="D222" s="278" t="s">
        <v>415</v>
      </c>
      <c r="E222" s="276">
        <v>3</v>
      </c>
      <c r="F222" s="279">
        <v>42099</v>
      </c>
      <c r="G222" s="280" t="s">
        <v>633</v>
      </c>
      <c r="H222" s="278">
        <v>3104608958</v>
      </c>
      <c r="I222" s="280" t="s">
        <v>465</v>
      </c>
      <c r="J222" s="279">
        <v>45200</v>
      </c>
      <c r="K222" s="280"/>
      <c r="L222" s="280"/>
      <c r="M222" s="278"/>
      <c r="N222" s="262" t="s">
        <v>34</v>
      </c>
      <c r="O222" s="263">
        <v>45292</v>
      </c>
      <c r="P222" s="264"/>
      <c r="Q222" s="264"/>
      <c r="R222" s="264"/>
      <c r="S222" s="264"/>
      <c r="T222" s="264"/>
      <c r="U222" s="264"/>
      <c r="V222" s="264"/>
      <c r="W222" s="264"/>
      <c r="X222" s="264"/>
      <c r="Y222" s="264"/>
      <c r="Z222" s="264"/>
      <c r="AA222" s="264"/>
      <c r="AB222" s="264"/>
      <c r="AC222" s="264"/>
      <c r="AD222" s="264"/>
      <c r="AE222" s="264"/>
      <c r="AF222" s="264"/>
      <c r="AG222" s="264"/>
      <c r="AH222" s="264"/>
      <c r="AI222" s="264"/>
      <c r="AJ222" s="264"/>
      <c r="AK222" s="264"/>
      <c r="AL222" s="264"/>
      <c r="AM222" s="264"/>
      <c r="AN222" s="264"/>
      <c r="AO222" s="264"/>
      <c r="AP222" s="264"/>
      <c r="AQ222" s="264"/>
      <c r="AR222" s="264"/>
      <c r="AS222" s="264"/>
      <c r="AT222" s="264"/>
    </row>
    <row r="223" spans="1:46" ht="17.25" hidden="1" customHeight="1">
      <c r="A223" s="276">
        <v>9</v>
      </c>
      <c r="B223" s="262" t="s">
        <v>88</v>
      </c>
      <c r="C223" s="278" t="s">
        <v>462</v>
      </c>
      <c r="D223" s="278" t="s">
        <v>415</v>
      </c>
      <c r="E223" s="276">
        <v>3</v>
      </c>
      <c r="F223" s="279">
        <v>42099</v>
      </c>
      <c r="G223" s="280" t="s">
        <v>633</v>
      </c>
      <c r="H223" s="278">
        <v>3104608958</v>
      </c>
      <c r="I223" s="280" t="s">
        <v>465</v>
      </c>
      <c r="J223" s="279">
        <v>45200</v>
      </c>
      <c r="K223" s="280"/>
      <c r="L223" s="280"/>
      <c r="M223" s="278"/>
      <c r="N223" s="262" t="s">
        <v>34</v>
      </c>
      <c r="O223" s="263">
        <v>45292</v>
      </c>
      <c r="P223" s="264"/>
      <c r="Q223" s="264"/>
      <c r="R223" s="264"/>
      <c r="S223" s="264"/>
      <c r="T223" s="264"/>
      <c r="U223" s="264"/>
      <c r="V223" s="264"/>
      <c r="W223" s="264"/>
      <c r="X223" s="264"/>
      <c r="Y223" s="264"/>
      <c r="Z223" s="264"/>
      <c r="AA223" s="264"/>
      <c r="AB223" s="264"/>
      <c r="AC223" s="264"/>
      <c r="AD223" s="264"/>
      <c r="AE223" s="264"/>
      <c r="AF223" s="264"/>
      <c r="AG223" s="264"/>
      <c r="AH223" s="264"/>
      <c r="AI223" s="264"/>
      <c r="AJ223" s="264"/>
      <c r="AK223" s="264"/>
      <c r="AL223" s="264"/>
      <c r="AM223" s="264"/>
      <c r="AN223" s="264"/>
      <c r="AO223" s="264"/>
      <c r="AP223" s="264"/>
      <c r="AQ223" s="264"/>
      <c r="AR223" s="264"/>
      <c r="AS223" s="264"/>
      <c r="AT223" s="264"/>
    </row>
    <row r="224" spans="1:46" ht="17.25" hidden="1" customHeight="1">
      <c r="A224" s="256">
        <v>1</v>
      </c>
      <c r="B224" s="265" t="s">
        <v>88</v>
      </c>
      <c r="C224" s="272" t="s">
        <v>634</v>
      </c>
      <c r="D224" s="272" t="s">
        <v>635</v>
      </c>
      <c r="E224" s="273">
        <v>1</v>
      </c>
      <c r="F224" s="274">
        <v>42894</v>
      </c>
      <c r="G224" s="268" t="s">
        <v>636</v>
      </c>
      <c r="H224" s="272">
        <v>6503358676</v>
      </c>
      <c r="I224" s="268" t="s">
        <v>637</v>
      </c>
      <c r="J224" s="274">
        <v>45159</v>
      </c>
      <c r="K224" s="268"/>
      <c r="L224" s="268"/>
      <c r="M224" s="272" t="s">
        <v>638</v>
      </c>
      <c r="N224" s="265" t="s">
        <v>34</v>
      </c>
      <c r="O224" s="275">
        <v>45352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spans="1:46" ht="17.25" hidden="1" customHeight="1">
      <c r="A225" s="256">
        <v>2</v>
      </c>
      <c r="B225" s="265" t="s">
        <v>48</v>
      </c>
      <c r="C225" s="271" t="s">
        <v>372</v>
      </c>
      <c r="D225" s="271" t="s">
        <v>639</v>
      </c>
      <c r="E225" s="256">
        <v>4</v>
      </c>
      <c r="F225" s="267">
        <v>41300</v>
      </c>
      <c r="G225" s="289" t="s">
        <v>640</v>
      </c>
      <c r="H225" s="271" t="s">
        <v>641</v>
      </c>
      <c r="I225" s="289" t="s">
        <v>642</v>
      </c>
      <c r="J225" s="267">
        <v>45110</v>
      </c>
      <c r="K225" s="269"/>
      <c r="L225" s="269"/>
      <c r="M225" s="266"/>
      <c r="N225" s="265" t="s">
        <v>34</v>
      </c>
      <c r="O225" s="275">
        <v>45352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spans="1:46" ht="17.25" hidden="1" customHeight="1">
      <c r="A226" s="256">
        <v>3</v>
      </c>
      <c r="B226" s="265" t="s">
        <v>88</v>
      </c>
      <c r="C226" s="271" t="s">
        <v>372</v>
      </c>
      <c r="D226" s="271" t="s">
        <v>639</v>
      </c>
      <c r="E226" s="256">
        <v>4</v>
      </c>
      <c r="F226" s="267">
        <v>41301</v>
      </c>
      <c r="G226" s="289" t="s">
        <v>643</v>
      </c>
      <c r="H226" s="271" t="s">
        <v>644</v>
      </c>
      <c r="I226" s="289" t="s">
        <v>642</v>
      </c>
      <c r="J226" s="267">
        <v>45110</v>
      </c>
      <c r="K226" s="269"/>
      <c r="L226" s="269"/>
      <c r="M226" s="266"/>
      <c r="N226" s="265" t="s">
        <v>34</v>
      </c>
      <c r="O226" s="275">
        <v>45352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spans="1:46" ht="17.25" hidden="1" customHeight="1">
      <c r="A227" s="290">
        <v>1</v>
      </c>
      <c r="B227" s="291" t="s">
        <v>48</v>
      </c>
      <c r="C227" s="292" t="s">
        <v>645</v>
      </c>
      <c r="D227" s="292" t="s">
        <v>646</v>
      </c>
      <c r="E227" s="293">
        <v>5</v>
      </c>
      <c r="F227" s="294">
        <v>41253</v>
      </c>
      <c r="G227" s="295" t="s">
        <v>647</v>
      </c>
      <c r="H227" s="292">
        <v>4153956788</v>
      </c>
      <c r="I227" s="295" t="s">
        <v>648</v>
      </c>
      <c r="J227" s="294">
        <v>45180</v>
      </c>
      <c r="K227" s="295"/>
      <c r="L227" s="295"/>
      <c r="M227" s="292" t="s">
        <v>649</v>
      </c>
      <c r="N227" s="296" t="s">
        <v>34</v>
      </c>
      <c r="O227" s="297">
        <v>45383</v>
      </c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spans="1:46" ht="17.25" hidden="1" customHeight="1">
      <c r="A228" s="290">
        <v>2</v>
      </c>
      <c r="B228" s="291" t="s">
        <v>88</v>
      </c>
      <c r="C228" s="292" t="s">
        <v>645</v>
      </c>
      <c r="D228" s="292" t="s">
        <v>646</v>
      </c>
      <c r="E228" s="293">
        <v>5</v>
      </c>
      <c r="F228" s="294">
        <v>41253</v>
      </c>
      <c r="G228" s="295" t="s">
        <v>647</v>
      </c>
      <c r="H228" s="292">
        <v>4153956788</v>
      </c>
      <c r="I228" s="295" t="s">
        <v>648</v>
      </c>
      <c r="J228" s="294">
        <v>45180</v>
      </c>
      <c r="K228" s="295"/>
      <c r="L228" s="295"/>
      <c r="M228" s="292" t="s">
        <v>649</v>
      </c>
      <c r="N228" s="296" t="s">
        <v>34</v>
      </c>
      <c r="O228" s="297">
        <v>45383</v>
      </c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spans="1:46" ht="17.25" hidden="1" customHeight="1">
      <c r="A229" s="290">
        <v>3</v>
      </c>
      <c r="B229" s="296" t="s">
        <v>48</v>
      </c>
      <c r="C229" s="298" t="s">
        <v>650</v>
      </c>
      <c r="D229" s="298" t="s">
        <v>651</v>
      </c>
      <c r="E229" s="290" t="s">
        <v>251</v>
      </c>
      <c r="F229" s="299">
        <v>43521</v>
      </c>
      <c r="G229" s="300" t="s">
        <v>652</v>
      </c>
      <c r="H229" s="298">
        <v>5107505202</v>
      </c>
      <c r="I229" s="300" t="s">
        <v>653</v>
      </c>
      <c r="J229" s="299">
        <v>45317</v>
      </c>
      <c r="K229" s="300"/>
      <c r="L229" s="300"/>
      <c r="M229" s="298"/>
      <c r="N229" s="296" t="s">
        <v>34</v>
      </c>
      <c r="O229" s="297">
        <v>45383</v>
      </c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spans="1:46" ht="17.25" hidden="1" customHeight="1">
      <c r="A230" s="290">
        <v>4</v>
      </c>
      <c r="B230" s="296" t="s">
        <v>88</v>
      </c>
      <c r="C230" s="298" t="s">
        <v>650</v>
      </c>
      <c r="D230" s="298" t="s">
        <v>651</v>
      </c>
      <c r="E230" s="290" t="s">
        <v>251</v>
      </c>
      <c r="F230" s="299">
        <v>43521</v>
      </c>
      <c r="G230" s="300" t="s">
        <v>652</v>
      </c>
      <c r="H230" s="298">
        <v>5107505202</v>
      </c>
      <c r="I230" s="300" t="s">
        <v>653</v>
      </c>
      <c r="J230" s="299">
        <v>45317</v>
      </c>
      <c r="K230" s="300"/>
      <c r="L230" s="300"/>
      <c r="M230" s="298" t="s">
        <v>548</v>
      </c>
      <c r="N230" s="296" t="s">
        <v>34</v>
      </c>
      <c r="O230" s="297">
        <v>45383</v>
      </c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spans="1:46" ht="17.25" hidden="1" customHeight="1">
      <c r="A231" s="290">
        <v>5</v>
      </c>
      <c r="B231" s="296" t="s">
        <v>48</v>
      </c>
      <c r="C231" s="298" t="s">
        <v>654</v>
      </c>
      <c r="D231" s="298" t="s">
        <v>655</v>
      </c>
      <c r="E231" s="290">
        <v>5</v>
      </c>
      <c r="F231" s="299">
        <v>41451</v>
      </c>
      <c r="G231" s="295" t="s">
        <v>656</v>
      </c>
      <c r="H231" s="295">
        <v>5106820365</v>
      </c>
      <c r="I231" s="295" t="s">
        <v>657</v>
      </c>
      <c r="J231" s="299">
        <v>45078</v>
      </c>
      <c r="K231" s="300"/>
      <c r="L231" s="300"/>
      <c r="M231" s="298" t="s">
        <v>658</v>
      </c>
      <c r="N231" s="296" t="s">
        <v>34</v>
      </c>
      <c r="O231" s="297">
        <v>45383</v>
      </c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spans="1:46" ht="17.25" hidden="1" customHeight="1">
      <c r="A232" s="290">
        <v>6</v>
      </c>
      <c r="B232" s="296" t="s">
        <v>88</v>
      </c>
      <c r="C232" s="298" t="s">
        <v>654</v>
      </c>
      <c r="D232" s="298" t="s">
        <v>655</v>
      </c>
      <c r="E232" s="290">
        <v>5</v>
      </c>
      <c r="F232" s="299">
        <v>41451</v>
      </c>
      <c r="G232" s="295" t="s">
        <v>656</v>
      </c>
      <c r="H232" s="295">
        <v>5106820365</v>
      </c>
      <c r="I232" s="295" t="s">
        <v>657</v>
      </c>
      <c r="J232" s="299">
        <v>45096</v>
      </c>
      <c r="K232" s="300"/>
      <c r="L232" s="300"/>
      <c r="M232" s="298" t="s">
        <v>658</v>
      </c>
      <c r="N232" s="296" t="s">
        <v>34</v>
      </c>
      <c r="O232" s="297">
        <v>45383</v>
      </c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spans="1:46" ht="17.25" hidden="1" customHeight="1">
      <c r="A233" s="290">
        <v>7</v>
      </c>
      <c r="B233" s="291" t="s">
        <v>48</v>
      </c>
      <c r="C233" s="292" t="s">
        <v>645</v>
      </c>
      <c r="D233" s="292" t="s">
        <v>659</v>
      </c>
      <c r="E233" s="293">
        <v>4</v>
      </c>
      <c r="F233" s="294">
        <v>41875</v>
      </c>
      <c r="G233" s="295" t="s">
        <v>647</v>
      </c>
      <c r="H233" s="292">
        <v>4153956788</v>
      </c>
      <c r="I233" s="295" t="s">
        <v>648</v>
      </c>
      <c r="J233" s="294">
        <v>45180</v>
      </c>
      <c r="K233" s="295"/>
      <c r="L233" s="295"/>
      <c r="M233" s="292" t="s">
        <v>649</v>
      </c>
      <c r="N233" s="296" t="s">
        <v>34</v>
      </c>
      <c r="O233" s="297">
        <v>45383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spans="1:46" ht="17.25" hidden="1" customHeight="1">
      <c r="A234" s="290">
        <v>8</v>
      </c>
      <c r="B234" s="291" t="s">
        <v>88</v>
      </c>
      <c r="C234" s="292" t="s">
        <v>645</v>
      </c>
      <c r="D234" s="292" t="s">
        <v>659</v>
      </c>
      <c r="E234" s="293">
        <v>4</v>
      </c>
      <c r="F234" s="294">
        <v>41875</v>
      </c>
      <c r="G234" s="295" t="s">
        <v>647</v>
      </c>
      <c r="H234" s="292">
        <v>4153956788</v>
      </c>
      <c r="I234" s="295" t="s">
        <v>648</v>
      </c>
      <c r="J234" s="294">
        <v>45180</v>
      </c>
      <c r="K234" s="295"/>
      <c r="L234" s="295"/>
      <c r="M234" s="292" t="s">
        <v>649</v>
      </c>
      <c r="N234" s="296" t="s">
        <v>34</v>
      </c>
      <c r="O234" s="297">
        <v>45383</v>
      </c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spans="1:46" ht="17.25" hidden="1" customHeight="1">
      <c r="A235" s="290">
        <v>9</v>
      </c>
      <c r="B235" s="291" t="s">
        <v>48</v>
      </c>
      <c r="C235" s="292" t="s">
        <v>660</v>
      </c>
      <c r="D235" s="292" t="s">
        <v>661</v>
      </c>
      <c r="E235" s="293" t="s">
        <v>153</v>
      </c>
      <c r="F235" s="294">
        <v>43214</v>
      </c>
      <c r="G235" s="295" t="s">
        <v>662</v>
      </c>
      <c r="H235" s="292">
        <v>5103885720</v>
      </c>
      <c r="I235" s="295" t="s">
        <v>663</v>
      </c>
      <c r="J235" s="294">
        <v>45178</v>
      </c>
      <c r="K235" s="295"/>
      <c r="L235" s="295"/>
      <c r="M235" s="292"/>
      <c r="N235" s="296" t="s">
        <v>34</v>
      </c>
      <c r="O235" s="297">
        <v>45383</v>
      </c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spans="1:46" ht="17.25" hidden="1" customHeight="1">
      <c r="A236" s="290">
        <v>10</v>
      </c>
      <c r="B236" s="291" t="s">
        <v>48</v>
      </c>
      <c r="C236" s="292" t="s">
        <v>660</v>
      </c>
      <c r="D236" s="292" t="s">
        <v>664</v>
      </c>
      <c r="E236" s="293">
        <v>2</v>
      </c>
      <c r="F236" s="294">
        <v>42626</v>
      </c>
      <c r="G236" s="295" t="s">
        <v>662</v>
      </c>
      <c r="H236" s="292">
        <v>5103885720</v>
      </c>
      <c r="I236" s="295" t="s">
        <v>663</v>
      </c>
      <c r="J236" s="294">
        <v>45178</v>
      </c>
      <c r="K236" s="295"/>
      <c r="L236" s="295"/>
      <c r="M236" s="292"/>
      <c r="N236" s="296" t="s">
        <v>34</v>
      </c>
      <c r="O236" s="297">
        <v>45383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6" ht="17.25" hidden="1" customHeight="1">
      <c r="A237" s="256">
        <v>1</v>
      </c>
      <c r="B237" s="301" t="s">
        <v>48</v>
      </c>
      <c r="C237" s="272" t="s">
        <v>665</v>
      </c>
      <c r="D237" s="272" t="s">
        <v>666</v>
      </c>
      <c r="E237" s="273" t="s">
        <v>251</v>
      </c>
      <c r="F237" s="274">
        <v>43630</v>
      </c>
      <c r="G237" s="268" t="s">
        <v>667</v>
      </c>
      <c r="H237" s="272">
        <v>5109444628</v>
      </c>
      <c r="I237" s="268" t="s">
        <v>668</v>
      </c>
      <c r="J237" s="274">
        <v>45170</v>
      </c>
      <c r="K237" s="268"/>
      <c r="L237" s="268"/>
      <c r="M237" s="272" t="s">
        <v>669</v>
      </c>
      <c r="N237" s="265" t="s">
        <v>34</v>
      </c>
      <c r="O237" s="275">
        <v>45413</v>
      </c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spans="1:46" ht="17.25" hidden="1" customHeight="1">
      <c r="A238" s="256">
        <v>2</v>
      </c>
      <c r="B238" s="265" t="s">
        <v>48</v>
      </c>
      <c r="C238" s="266" t="s">
        <v>293</v>
      </c>
      <c r="D238" s="266" t="s">
        <v>550</v>
      </c>
      <c r="E238" s="256" t="s">
        <v>153</v>
      </c>
      <c r="F238" s="267">
        <v>42943</v>
      </c>
      <c r="G238" s="269" t="s">
        <v>670</v>
      </c>
      <c r="H238" s="266">
        <v>5103035129</v>
      </c>
      <c r="I238" s="302" t="s">
        <v>671</v>
      </c>
      <c r="J238" s="267">
        <v>44728</v>
      </c>
      <c r="K238" s="269"/>
      <c r="L238" s="269"/>
      <c r="M238" s="266" t="s">
        <v>672</v>
      </c>
      <c r="N238" s="265" t="s">
        <v>34</v>
      </c>
      <c r="O238" s="275">
        <v>45413</v>
      </c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spans="1:46" ht="17.25" hidden="1" customHeight="1">
      <c r="A239" s="256">
        <v>3</v>
      </c>
      <c r="B239" s="265" t="s">
        <v>88</v>
      </c>
      <c r="C239" s="266" t="s">
        <v>293</v>
      </c>
      <c r="D239" s="266" t="s">
        <v>550</v>
      </c>
      <c r="E239" s="256" t="s">
        <v>153</v>
      </c>
      <c r="F239" s="267">
        <v>42943</v>
      </c>
      <c r="G239" s="269" t="s">
        <v>670</v>
      </c>
      <c r="H239" s="266">
        <v>5103035129</v>
      </c>
      <c r="I239" s="302" t="s">
        <v>671</v>
      </c>
      <c r="J239" s="267">
        <v>44728</v>
      </c>
      <c r="K239" s="269"/>
      <c r="L239" s="269"/>
      <c r="M239" s="266" t="s">
        <v>672</v>
      </c>
      <c r="N239" s="265" t="s">
        <v>34</v>
      </c>
      <c r="O239" s="275">
        <v>45413</v>
      </c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spans="1:46" ht="17.25" hidden="1" customHeight="1">
      <c r="A240" s="234">
        <v>4</v>
      </c>
      <c r="B240" s="303" t="s">
        <v>48</v>
      </c>
      <c r="C240" s="304" t="s">
        <v>338</v>
      </c>
      <c r="D240" s="304" t="s">
        <v>119</v>
      </c>
      <c r="E240" s="305" t="s">
        <v>153</v>
      </c>
      <c r="F240" s="306">
        <v>43274</v>
      </c>
      <c r="G240" s="307" t="s">
        <v>339</v>
      </c>
      <c r="H240" s="304">
        <v>2544004292</v>
      </c>
      <c r="I240" s="307" t="s">
        <v>340</v>
      </c>
      <c r="J240" s="306">
        <v>45185</v>
      </c>
      <c r="K240" s="307"/>
      <c r="L240" s="307"/>
      <c r="M240" s="304" t="s">
        <v>673</v>
      </c>
      <c r="N240" s="235" t="s">
        <v>34</v>
      </c>
      <c r="O240" s="308">
        <v>45413</v>
      </c>
      <c r="P240" s="226"/>
      <c r="Q240" s="226"/>
      <c r="R240" s="226"/>
      <c r="S240" s="226"/>
      <c r="T240" s="226"/>
      <c r="U240" s="226"/>
      <c r="V240" s="226"/>
      <c r="W240" s="226"/>
      <c r="X240" s="226"/>
      <c r="Y240" s="226"/>
      <c r="Z240" s="226"/>
      <c r="AA240" s="226"/>
      <c r="AB240" s="226"/>
      <c r="AC240" s="226"/>
      <c r="AD240" s="226"/>
      <c r="AE240" s="226"/>
      <c r="AF240" s="226"/>
      <c r="AG240" s="226"/>
      <c r="AH240" s="226"/>
      <c r="AI240" s="226"/>
      <c r="AJ240" s="226"/>
      <c r="AK240" s="226"/>
      <c r="AL240" s="226"/>
      <c r="AM240" s="226"/>
      <c r="AN240" s="226"/>
      <c r="AO240" s="226"/>
      <c r="AP240" s="226"/>
      <c r="AQ240" s="226"/>
      <c r="AR240" s="226"/>
      <c r="AS240" s="226"/>
      <c r="AT240" s="226"/>
    </row>
    <row r="241" spans="1:46" ht="17.25" hidden="1" customHeight="1">
      <c r="A241" s="256">
        <v>5</v>
      </c>
      <c r="B241" s="265" t="s">
        <v>48</v>
      </c>
      <c r="C241" s="266" t="s">
        <v>674</v>
      </c>
      <c r="D241" s="266" t="s">
        <v>675</v>
      </c>
      <c r="E241" s="256">
        <v>3</v>
      </c>
      <c r="F241" s="267">
        <v>42182</v>
      </c>
      <c r="G241" s="269" t="s">
        <v>676</v>
      </c>
      <c r="H241" s="266">
        <v>4085948203</v>
      </c>
      <c r="I241" s="269" t="s">
        <v>677</v>
      </c>
      <c r="J241" s="267">
        <v>45215</v>
      </c>
      <c r="K241" s="269"/>
      <c r="L241" s="269"/>
      <c r="M241" s="266"/>
      <c r="N241" s="265" t="s">
        <v>34</v>
      </c>
      <c r="O241" s="275">
        <v>45413</v>
      </c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spans="1:46" ht="17.25" hidden="1" customHeight="1">
      <c r="A242" s="256">
        <v>6</v>
      </c>
      <c r="B242" s="265" t="s">
        <v>48</v>
      </c>
      <c r="C242" s="266" t="s">
        <v>678</v>
      </c>
      <c r="D242" s="266" t="s">
        <v>679</v>
      </c>
      <c r="E242" s="256">
        <v>6</v>
      </c>
      <c r="F242" s="267">
        <v>41089</v>
      </c>
      <c r="G242" s="268" t="s">
        <v>680</v>
      </c>
      <c r="H242" s="268">
        <v>4085819618</v>
      </c>
      <c r="I242" s="268" t="s">
        <v>681</v>
      </c>
      <c r="J242" s="267">
        <v>45329</v>
      </c>
      <c r="K242" s="269"/>
      <c r="L242" s="269"/>
      <c r="M242" s="266"/>
      <c r="N242" s="265" t="s">
        <v>34</v>
      </c>
      <c r="O242" s="275">
        <v>45413</v>
      </c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spans="1:46" ht="17.25" hidden="1" customHeight="1">
      <c r="A243" s="256">
        <v>7</v>
      </c>
      <c r="B243" s="265" t="s">
        <v>88</v>
      </c>
      <c r="C243" s="266" t="s">
        <v>678</v>
      </c>
      <c r="D243" s="266" t="s">
        <v>679</v>
      </c>
      <c r="E243" s="256">
        <v>6</v>
      </c>
      <c r="F243" s="267">
        <v>41089</v>
      </c>
      <c r="G243" s="268" t="s">
        <v>680</v>
      </c>
      <c r="H243" s="268">
        <v>4085819618</v>
      </c>
      <c r="I243" s="268" t="s">
        <v>681</v>
      </c>
      <c r="J243" s="267">
        <v>45329</v>
      </c>
      <c r="K243" s="269"/>
      <c r="L243" s="269"/>
      <c r="M243" s="266"/>
      <c r="N243" s="265" t="s">
        <v>34</v>
      </c>
      <c r="O243" s="275">
        <v>45413</v>
      </c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spans="1:46" ht="17.25" hidden="1" customHeight="1">
      <c r="A244" s="256">
        <v>8</v>
      </c>
      <c r="B244" s="265" t="s">
        <v>48</v>
      </c>
      <c r="C244" s="272" t="s">
        <v>409</v>
      </c>
      <c r="D244" s="272" t="s">
        <v>682</v>
      </c>
      <c r="E244" s="273">
        <v>2</v>
      </c>
      <c r="F244" s="274">
        <v>42516</v>
      </c>
      <c r="G244" s="268" t="s">
        <v>683</v>
      </c>
      <c r="H244" s="272">
        <v>6318770767</v>
      </c>
      <c r="I244" s="268" t="s">
        <v>684</v>
      </c>
      <c r="J244" s="274">
        <v>45156</v>
      </c>
      <c r="K244" s="268"/>
      <c r="L244" s="268"/>
      <c r="M244" s="272" t="s">
        <v>672</v>
      </c>
      <c r="N244" s="265" t="s">
        <v>34</v>
      </c>
      <c r="O244" s="275">
        <v>45413</v>
      </c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spans="1:46" ht="17.25" hidden="1" customHeight="1">
      <c r="A245" s="256">
        <v>9</v>
      </c>
      <c r="B245" s="265" t="s">
        <v>88</v>
      </c>
      <c r="C245" s="266" t="s">
        <v>409</v>
      </c>
      <c r="D245" s="266" t="s">
        <v>682</v>
      </c>
      <c r="E245" s="256">
        <v>2</v>
      </c>
      <c r="F245" s="267">
        <v>42516</v>
      </c>
      <c r="G245" s="269" t="s">
        <v>683</v>
      </c>
      <c r="H245" s="266">
        <v>6318770767</v>
      </c>
      <c r="I245" s="269" t="s">
        <v>684</v>
      </c>
      <c r="J245" s="267">
        <v>410535</v>
      </c>
      <c r="K245" s="268"/>
      <c r="L245" s="268"/>
      <c r="M245" s="272" t="s">
        <v>672</v>
      </c>
      <c r="N245" s="265" t="s">
        <v>34</v>
      </c>
      <c r="O245" s="275">
        <v>45413</v>
      </c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spans="1:46" ht="17.25" hidden="1" customHeight="1">
      <c r="A246" s="234">
        <v>10</v>
      </c>
      <c r="B246" s="235" t="s">
        <v>88</v>
      </c>
      <c r="C246" s="304" t="s">
        <v>685</v>
      </c>
      <c r="D246" s="304" t="s">
        <v>686</v>
      </c>
      <c r="E246" s="305">
        <v>3</v>
      </c>
      <c r="F246" s="306">
        <v>42124</v>
      </c>
      <c r="G246" s="307" t="s">
        <v>687</v>
      </c>
      <c r="H246" s="304">
        <v>4085076346</v>
      </c>
      <c r="I246" s="307" t="s">
        <v>454</v>
      </c>
      <c r="J246" s="306">
        <v>45159</v>
      </c>
      <c r="K246" s="307"/>
      <c r="L246" s="307"/>
      <c r="M246" s="304"/>
      <c r="N246" s="235" t="s">
        <v>34</v>
      </c>
      <c r="O246" s="308">
        <v>45413</v>
      </c>
      <c r="P246" s="226"/>
      <c r="Q246" s="226"/>
      <c r="R246" s="226"/>
      <c r="S246" s="226"/>
      <c r="T246" s="226"/>
      <c r="U246" s="226"/>
      <c r="V246" s="226"/>
      <c r="W246" s="226"/>
      <c r="X246" s="226"/>
      <c r="Y246" s="226"/>
      <c r="Z246" s="226"/>
      <c r="AA246" s="226"/>
      <c r="AB246" s="226"/>
      <c r="AC246" s="226"/>
      <c r="AD246" s="226"/>
      <c r="AE246" s="226"/>
      <c r="AF246" s="226"/>
      <c r="AG246" s="226"/>
      <c r="AH246" s="226"/>
      <c r="AI246" s="226"/>
      <c r="AJ246" s="226"/>
      <c r="AK246" s="226"/>
      <c r="AL246" s="226"/>
      <c r="AM246" s="226"/>
      <c r="AN246" s="226"/>
      <c r="AO246" s="226"/>
      <c r="AP246" s="226"/>
      <c r="AQ246" s="226"/>
      <c r="AR246" s="226"/>
      <c r="AS246" s="226"/>
      <c r="AT246" s="226"/>
    </row>
    <row r="247" spans="1:46" ht="17.25" hidden="1" customHeight="1">
      <c r="A247" s="234">
        <v>11</v>
      </c>
      <c r="B247" s="235" t="s">
        <v>88</v>
      </c>
      <c r="C247" s="304" t="s">
        <v>685</v>
      </c>
      <c r="D247" s="304" t="s">
        <v>688</v>
      </c>
      <c r="E247" s="305">
        <v>3</v>
      </c>
      <c r="F247" s="306">
        <v>42124</v>
      </c>
      <c r="G247" s="307" t="s">
        <v>687</v>
      </c>
      <c r="H247" s="304">
        <v>4085076346</v>
      </c>
      <c r="I247" s="307" t="s">
        <v>454</v>
      </c>
      <c r="J247" s="306">
        <v>45159</v>
      </c>
      <c r="K247" s="307"/>
      <c r="L247" s="307"/>
      <c r="M247" s="304"/>
      <c r="N247" s="235" t="s">
        <v>34</v>
      </c>
      <c r="O247" s="308">
        <v>45413</v>
      </c>
      <c r="P247" s="226"/>
      <c r="Q247" s="226"/>
      <c r="R247" s="226"/>
      <c r="S247" s="226"/>
      <c r="T247" s="226"/>
      <c r="U247" s="226"/>
      <c r="V247" s="226"/>
      <c r="W247" s="226"/>
      <c r="X247" s="226"/>
      <c r="Y247" s="226"/>
      <c r="Z247" s="226"/>
      <c r="AA247" s="226"/>
      <c r="AB247" s="226"/>
      <c r="AC247" s="226"/>
      <c r="AD247" s="226"/>
      <c r="AE247" s="226"/>
      <c r="AF247" s="226"/>
      <c r="AG247" s="226"/>
      <c r="AH247" s="226"/>
      <c r="AI247" s="226"/>
      <c r="AJ247" s="226"/>
      <c r="AK247" s="226"/>
      <c r="AL247" s="226"/>
      <c r="AM247" s="226"/>
      <c r="AN247" s="226"/>
      <c r="AO247" s="226"/>
      <c r="AP247" s="226"/>
      <c r="AQ247" s="226"/>
      <c r="AR247" s="226"/>
      <c r="AS247" s="226"/>
      <c r="AT247" s="226"/>
    </row>
    <row r="248" spans="1:46" ht="17.25" hidden="1" customHeight="1">
      <c r="A248" s="256">
        <v>12</v>
      </c>
      <c r="B248" s="265" t="s">
        <v>48</v>
      </c>
      <c r="C248" s="266" t="s">
        <v>689</v>
      </c>
      <c r="D248" s="266" t="s">
        <v>382</v>
      </c>
      <c r="E248" s="256" t="s">
        <v>210</v>
      </c>
      <c r="F248" s="267">
        <v>42940</v>
      </c>
      <c r="G248" s="269" t="s">
        <v>690</v>
      </c>
      <c r="H248" s="266">
        <v>5105090555</v>
      </c>
      <c r="I248" s="269" t="s">
        <v>691</v>
      </c>
      <c r="J248" s="267">
        <v>44723</v>
      </c>
      <c r="K248" s="269"/>
      <c r="L248" s="269"/>
      <c r="M248" s="266" t="s">
        <v>692</v>
      </c>
      <c r="N248" s="265" t="s">
        <v>34</v>
      </c>
      <c r="O248" s="275">
        <v>45413</v>
      </c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ht="17.25" hidden="1" customHeight="1">
      <c r="A249" s="256">
        <v>13</v>
      </c>
      <c r="B249" s="265" t="s">
        <v>88</v>
      </c>
      <c r="C249" s="266" t="s">
        <v>689</v>
      </c>
      <c r="D249" s="266" t="s">
        <v>382</v>
      </c>
      <c r="E249" s="256" t="s">
        <v>210</v>
      </c>
      <c r="F249" s="267">
        <v>42940</v>
      </c>
      <c r="G249" s="269" t="s">
        <v>690</v>
      </c>
      <c r="H249" s="266">
        <v>5105090555</v>
      </c>
      <c r="I249" s="269" t="s">
        <v>691</v>
      </c>
      <c r="J249" s="267">
        <v>44723</v>
      </c>
      <c r="K249" s="269"/>
      <c r="L249" s="269"/>
      <c r="M249" s="266" t="s">
        <v>692</v>
      </c>
      <c r="N249" s="265" t="s">
        <v>34</v>
      </c>
      <c r="O249" s="275">
        <v>45413</v>
      </c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spans="1:46" ht="17.25" hidden="1" customHeight="1">
      <c r="A250" s="256">
        <v>14</v>
      </c>
      <c r="B250" s="265" t="s">
        <v>48</v>
      </c>
      <c r="C250" s="266" t="s">
        <v>689</v>
      </c>
      <c r="D250" s="266" t="s">
        <v>693</v>
      </c>
      <c r="E250" s="256">
        <v>5</v>
      </c>
      <c r="F250" s="267">
        <v>40745</v>
      </c>
      <c r="G250" s="269" t="s">
        <v>694</v>
      </c>
      <c r="H250" s="266">
        <v>5105090555</v>
      </c>
      <c r="I250" s="269" t="s">
        <v>691</v>
      </c>
      <c r="J250" s="266" t="s">
        <v>695</v>
      </c>
      <c r="K250" s="269"/>
      <c r="L250" s="269"/>
      <c r="M250" s="266" t="s">
        <v>692</v>
      </c>
      <c r="N250" s="265" t="s">
        <v>34</v>
      </c>
      <c r="O250" s="275">
        <v>45413</v>
      </c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spans="1:46" ht="17.25" hidden="1" customHeight="1">
      <c r="A251" s="256">
        <v>15</v>
      </c>
      <c r="B251" s="265" t="s">
        <v>88</v>
      </c>
      <c r="C251" s="266" t="s">
        <v>689</v>
      </c>
      <c r="D251" s="266" t="s">
        <v>693</v>
      </c>
      <c r="E251" s="256">
        <v>5</v>
      </c>
      <c r="F251" s="267">
        <v>40745</v>
      </c>
      <c r="G251" s="269" t="s">
        <v>694</v>
      </c>
      <c r="H251" s="266">
        <v>5105090555</v>
      </c>
      <c r="I251" s="269" t="s">
        <v>691</v>
      </c>
      <c r="J251" s="266" t="s">
        <v>695</v>
      </c>
      <c r="K251" s="269"/>
      <c r="L251" s="269"/>
      <c r="M251" s="266" t="s">
        <v>692</v>
      </c>
      <c r="N251" s="265" t="s">
        <v>34</v>
      </c>
      <c r="O251" s="275">
        <v>45413</v>
      </c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spans="1:46" ht="17.25" hidden="1" customHeight="1">
      <c r="A252" s="244">
        <v>1</v>
      </c>
      <c r="B252" s="245" t="s">
        <v>48</v>
      </c>
      <c r="C252" s="252" t="s">
        <v>696</v>
      </c>
      <c r="D252" s="252" t="s">
        <v>697</v>
      </c>
      <c r="E252" s="244">
        <v>2</v>
      </c>
      <c r="F252" s="253">
        <v>42279</v>
      </c>
      <c r="G252" s="254" t="s">
        <v>698</v>
      </c>
      <c r="H252" s="252">
        <v>4256334423</v>
      </c>
      <c r="I252" s="254" t="s">
        <v>699</v>
      </c>
      <c r="J252" s="253">
        <v>45231</v>
      </c>
      <c r="K252" s="254"/>
      <c r="L252" s="254"/>
      <c r="M252" s="252" t="s">
        <v>700</v>
      </c>
      <c r="N252" s="245" t="s">
        <v>34</v>
      </c>
      <c r="O252" s="250">
        <v>45444</v>
      </c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</row>
    <row r="253" spans="1:46" ht="17.25" hidden="1" customHeight="1">
      <c r="A253" s="244">
        <v>2</v>
      </c>
      <c r="B253" s="245" t="s">
        <v>48</v>
      </c>
      <c r="C253" s="246" t="s">
        <v>634</v>
      </c>
      <c r="D253" s="246" t="s">
        <v>701</v>
      </c>
      <c r="E253" s="247">
        <v>2</v>
      </c>
      <c r="F253" s="248">
        <v>42301</v>
      </c>
      <c r="G253" s="249" t="s">
        <v>636</v>
      </c>
      <c r="H253" s="246">
        <v>6503358676</v>
      </c>
      <c r="I253" s="249" t="s">
        <v>637</v>
      </c>
      <c r="J253" s="248">
        <v>45159</v>
      </c>
      <c r="K253" s="249"/>
      <c r="L253" s="249"/>
      <c r="M253" s="246"/>
      <c r="N253" s="245" t="s">
        <v>34</v>
      </c>
      <c r="O253" s="250">
        <v>45444</v>
      </c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</row>
    <row r="254" spans="1:46" ht="17.25" hidden="1" customHeight="1">
      <c r="A254" s="244">
        <v>3</v>
      </c>
      <c r="B254" s="245" t="s">
        <v>88</v>
      </c>
      <c r="C254" s="246" t="s">
        <v>634</v>
      </c>
      <c r="D254" s="246" t="s">
        <v>701</v>
      </c>
      <c r="E254" s="247">
        <v>2</v>
      </c>
      <c r="F254" s="248">
        <v>42301</v>
      </c>
      <c r="G254" s="249" t="s">
        <v>636</v>
      </c>
      <c r="H254" s="246">
        <v>6503358676</v>
      </c>
      <c r="I254" s="249" t="s">
        <v>637</v>
      </c>
      <c r="J254" s="248">
        <v>45159</v>
      </c>
      <c r="K254" s="249"/>
      <c r="L254" s="249"/>
      <c r="M254" s="246"/>
      <c r="N254" s="245" t="s">
        <v>34</v>
      </c>
      <c r="O254" s="250">
        <v>45444</v>
      </c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</row>
    <row r="255" spans="1:46" ht="17.25" hidden="1" customHeight="1">
      <c r="A255" s="234">
        <v>4</v>
      </c>
      <c r="B255" s="303" t="s">
        <v>48</v>
      </c>
      <c r="C255" s="304" t="s">
        <v>381</v>
      </c>
      <c r="D255" s="304" t="s">
        <v>382</v>
      </c>
      <c r="E255" s="305">
        <v>2</v>
      </c>
      <c r="F255" s="306">
        <v>42348</v>
      </c>
      <c r="G255" s="307" t="s">
        <v>383</v>
      </c>
      <c r="H255" s="304">
        <v>4157228574</v>
      </c>
      <c r="I255" s="307" t="s">
        <v>384</v>
      </c>
      <c r="J255" s="306">
        <v>45170</v>
      </c>
      <c r="K255" s="307"/>
      <c r="L255" s="307"/>
      <c r="M255" s="304" t="s">
        <v>702</v>
      </c>
      <c r="N255" s="235" t="s">
        <v>34</v>
      </c>
      <c r="O255" s="239">
        <v>45444</v>
      </c>
      <c r="P255" s="226"/>
      <c r="Q255" s="226"/>
      <c r="R255" s="226"/>
      <c r="S255" s="226"/>
      <c r="T255" s="226"/>
      <c r="U255" s="226"/>
      <c r="V255" s="226"/>
      <c r="W255" s="226"/>
      <c r="X255" s="226"/>
      <c r="Y255" s="226"/>
      <c r="Z255" s="226"/>
      <c r="AA255" s="226"/>
      <c r="AB255" s="226"/>
      <c r="AC255" s="226"/>
      <c r="AD255" s="226"/>
      <c r="AE255" s="226"/>
      <c r="AF255" s="226"/>
      <c r="AG255" s="226"/>
      <c r="AH255" s="226"/>
      <c r="AI255" s="226"/>
      <c r="AJ255" s="226"/>
      <c r="AK255" s="226"/>
      <c r="AL255" s="226"/>
      <c r="AM255" s="226"/>
      <c r="AN255" s="226"/>
      <c r="AO255" s="226"/>
      <c r="AP255" s="226"/>
      <c r="AQ255" s="226"/>
      <c r="AR255" s="226"/>
      <c r="AS255" s="226"/>
      <c r="AT255" s="226"/>
    </row>
    <row r="256" spans="1:46" ht="17.25" hidden="1" customHeight="1">
      <c r="A256" s="234">
        <v>5</v>
      </c>
      <c r="B256" s="303" t="s">
        <v>88</v>
      </c>
      <c r="C256" s="304" t="s">
        <v>381</v>
      </c>
      <c r="D256" s="304" t="s">
        <v>382</v>
      </c>
      <c r="E256" s="305">
        <v>2</v>
      </c>
      <c r="F256" s="306">
        <v>42348</v>
      </c>
      <c r="G256" s="307" t="s">
        <v>383</v>
      </c>
      <c r="H256" s="304">
        <v>4157228574</v>
      </c>
      <c r="I256" s="307" t="s">
        <v>384</v>
      </c>
      <c r="J256" s="306">
        <v>45170</v>
      </c>
      <c r="K256" s="307"/>
      <c r="L256" s="307"/>
      <c r="M256" s="304" t="s">
        <v>702</v>
      </c>
      <c r="N256" s="235" t="s">
        <v>34</v>
      </c>
      <c r="O256" s="239">
        <v>45444</v>
      </c>
      <c r="P256" s="226"/>
      <c r="Q256" s="226"/>
      <c r="R256" s="226"/>
      <c r="S256" s="226"/>
      <c r="T256" s="226"/>
      <c r="U256" s="226"/>
      <c r="V256" s="226"/>
      <c r="W256" s="226"/>
      <c r="X256" s="226"/>
      <c r="Y256" s="226"/>
      <c r="Z256" s="226"/>
      <c r="AA256" s="226"/>
      <c r="AB256" s="226"/>
      <c r="AC256" s="226"/>
      <c r="AD256" s="226"/>
      <c r="AE256" s="226"/>
      <c r="AF256" s="226"/>
      <c r="AG256" s="226"/>
      <c r="AH256" s="226"/>
      <c r="AI256" s="226"/>
      <c r="AJ256" s="226"/>
      <c r="AK256" s="226"/>
      <c r="AL256" s="226"/>
      <c r="AM256" s="226"/>
      <c r="AN256" s="226"/>
      <c r="AO256" s="226"/>
      <c r="AP256" s="226"/>
      <c r="AQ256" s="226"/>
      <c r="AR256" s="226"/>
      <c r="AS256" s="226"/>
      <c r="AT256" s="226"/>
    </row>
    <row r="257" spans="1:46" ht="17.25" hidden="1" customHeight="1">
      <c r="A257" s="244">
        <v>6</v>
      </c>
      <c r="B257" s="245" t="s">
        <v>48</v>
      </c>
      <c r="C257" s="246" t="s">
        <v>703</v>
      </c>
      <c r="D257" s="246" t="s">
        <v>382</v>
      </c>
      <c r="E257" s="247">
        <v>4</v>
      </c>
      <c r="F257" s="248">
        <v>41745</v>
      </c>
      <c r="G257" s="249" t="s">
        <v>704</v>
      </c>
      <c r="H257" s="246">
        <v>5102828122</v>
      </c>
      <c r="I257" s="249" t="s">
        <v>705</v>
      </c>
      <c r="J257" s="248">
        <v>45159</v>
      </c>
      <c r="K257" s="249"/>
      <c r="L257" s="249"/>
      <c r="M257" s="246"/>
      <c r="N257" s="245" t="s">
        <v>34</v>
      </c>
      <c r="O257" s="250">
        <v>45444</v>
      </c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</row>
    <row r="258" spans="1:46" ht="17.25" hidden="1" customHeight="1">
      <c r="A258" s="244">
        <v>7</v>
      </c>
      <c r="B258" s="245" t="s">
        <v>88</v>
      </c>
      <c r="C258" s="246" t="s">
        <v>703</v>
      </c>
      <c r="D258" s="246" t="s">
        <v>706</v>
      </c>
      <c r="E258" s="247">
        <v>4</v>
      </c>
      <c r="F258" s="248">
        <v>41745</v>
      </c>
      <c r="G258" s="249" t="s">
        <v>704</v>
      </c>
      <c r="H258" s="246">
        <v>5102828122</v>
      </c>
      <c r="I258" s="249" t="s">
        <v>705</v>
      </c>
      <c r="J258" s="248">
        <v>45159</v>
      </c>
      <c r="K258" s="249"/>
      <c r="L258" s="249"/>
      <c r="M258" s="246"/>
      <c r="N258" s="245" t="s">
        <v>34</v>
      </c>
      <c r="O258" s="250">
        <v>45444</v>
      </c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</row>
    <row r="259" spans="1:46" ht="17.25" hidden="1" customHeight="1">
      <c r="A259" s="234">
        <v>8</v>
      </c>
      <c r="B259" s="235" t="s">
        <v>48</v>
      </c>
      <c r="C259" s="236" t="s">
        <v>186</v>
      </c>
      <c r="D259" s="236" t="s">
        <v>187</v>
      </c>
      <c r="E259" s="234">
        <v>1</v>
      </c>
      <c r="F259" s="237">
        <v>41922</v>
      </c>
      <c r="G259" s="238" t="s">
        <v>707</v>
      </c>
      <c r="H259" s="236" t="s">
        <v>708</v>
      </c>
      <c r="I259" s="238" t="s">
        <v>190</v>
      </c>
      <c r="J259" s="237">
        <v>44795</v>
      </c>
      <c r="K259" s="238"/>
      <c r="L259" s="238"/>
      <c r="M259" s="236" t="s">
        <v>260</v>
      </c>
      <c r="N259" s="235" t="s">
        <v>34</v>
      </c>
      <c r="O259" s="239">
        <v>45444</v>
      </c>
      <c r="P259" s="226"/>
      <c r="Q259" s="226"/>
      <c r="R259" s="226"/>
      <c r="S259" s="226"/>
      <c r="T259" s="226"/>
      <c r="U259" s="226"/>
      <c r="V259" s="226"/>
      <c r="W259" s="226"/>
      <c r="X259" s="226"/>
      <c r="Y259" s="226"/>
      <c r="Z259" s="226"/>
      <c r="AA259" s="226"/>
      <c r="AB259" s="226"/>
      <c r="AC259" s="226"/>
      <c r="AD259" s="226"/>
      <c r="AE259" s="226"/>
      <c r="AF259" s="226"/>
      <c r="AG259" s="226"/>
      <c r="AH259" s="226"/>
      <c r="AI259" s="226"/>
      <c r="AJ259" s="226"/>
      <c r="AK259" s="226"/>
      <c r="AL259" s="226"/>
      <c r="AM259" s="226"/>
      <c r="AN259" s="226"/>
      <c r="AO259" s="226"/>
      <c r="AP259" s="226"/>
      <c r="AQ259" s="226"/>
      <c r="AR259" s="226"/>
      <c r="AS259" s="226"/>
      <c r="AT259" s="226"/>
    </row>
    <row r="260" spans="1:46" ht="17.25" hidden="1" customHeight="1">
      <c r="A260" s="234">
        <v>9</v>
      </c>
      <c r="B260" s="235" t="s">
        <v>88</v>
      </c>
      <c r="C260" s="236" t="s">
        <v>186</v>
      </c>
      <c r="D260" s="236" t="s">
        <v>187</v>
      </c>
      <c r="E260" s="234">
        <v>1</v>
      </c>
      <c r="F260" s="237">
        <v>41922</v>
      </c>
      <c r="G260" s="238" t="s">
        <v>707</v>
      </c>
      <c r="H260" s="236" t="s">
        <v>708</v>
      </c>
      <c r="I260" s="238" t="s">
        <v>190</v>
      </c>
      <c r="J260" s="237">
        <v>44795</v>
      </c>
      <c r="K260" s="238"/>
      <c r="L260" s="238"/>
      <c r="M260" s="236" t="s">
        <v>260</v>
      </c>
      <c r="N260" s="235" t="s">
        <v>34</v>
      </c>
      <c r="O260" s="239">
        <v>45444</v>
      </c>
      <c r="P260" s="226"/>
      <c r="Q260" s="226"/>
      <c r="R260" s="226"/>
      <c r="S260" s="226"/>
      <c r="T260" s="226"/>
      <c r="U260" s="226"/>
      <c r="V260" s="226"/>
      <c r="W260" s="226"/>
      <c r="X260" s="226"/>
      <c r="Y260" s="226"/>
      <c r="Z260" s="226"/>
      <c r="AA260" s="226"/>
      <c r="AB260" s="226"/>
      <c r="AC260" s="226"/>
      <c r="AD260" s="226"/>
      <c r="AE260" s="226"/>
      <c r="AF260" s="226"/>
      <c r="AG260" s="226"/>
      <c r="AH260" s="226"/>
      <c r="AI260" s="226"/>
      <c r="AJ260" s="226"/>
      <c r="AK260" s="226"/>
      <c r="AL260" s="226"/>
      <c r="AM260" s="226"/>
      <c r="AN260" s="226"/>
      <c r="AO260" s="226"/>
      <c r="AP260" s="226"/>
      <c r="AQ260" s="226"/>
      <c r="AR260" s="226"/>
      <c r="AS260" s="226"/>
      <c r="AT260" s="226"/>
    </row>
    <row r="261" spans="1:46" ht="17.25" hidden="1" customHeight="1">
      <c r="A261" s="244">
        <v>10</v>
      </c>
      <c r="B261" s="245" t="s">
        <v>88</v>
      </c>
      <c r="C261" s="246" t="s">
        <v>381</v>
      </c>
      <c r="D261" s="246" t="s">
        <v>709</v>
      </c>
      <c r="E261" s="247">
        <v>1</v>
      </c>
      <c r="F261" s="248">
        <v>42962</v>
      </c>
      <c r="G261" s="249" t="s">
        <v>710</v>
      </c>
      <c r="H261" s="246">
        <v>4087189860</v>
      </c>
      <c r="I261" s="249" t="s">
        <v>711</v>
      </c>
      <c r="J261" s="248">
        <v>45156</v>
      </c>
      <c r="K261" s="249"/>
      <c r="L261" s="249"/>
      <c r="M261" s="246"/>
      <c r="N261" s="245" t="s">
        <v>34</v>
      </c>
      <c r="O261" s="250">
        <v>45444</v>
      </c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</row>
    <row r="262" spans="1:46" ht="17.25" hidden="1" customHeight="1">
      <c r="A262" s="244">
        <v>11</v>
      </c>
      <c r="B262" s="245" t="s">
        <v>48</v>
      </c>
      <c r="C262" s="246" t="s">
        <v>712</v>
      </c>
      <c r="D262" s="246" t="s">
        <v>709</v>
      </c>
      <c r="E262" s="247">
        <v>1</v>
      </c>
      <c r="F262" s="248">
        <v>42962</v>
      </c>
      <c r="G262" s="249" t="s">
        <v>710</v>
      </c>
      <c r="H262" s="246">
        <v>4087189860</v>
      </c>
      <c r="I262" s="249" t="s">
        <v>711</v>
      </c>
      <c r="J262" s="248">
        <v>45156</v>
      </c>
      <c r="K262" s="249"/>
      <c r="L262" s="249"/>
      <c r="M262" s="246"/>
      <c r="N262" s="245" t="s">
        <v>34</v>
      </c>
      <c r="O262" s="250">
        <v>45444</v>
      </c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</row>
    <row r="263" spans="1:46" ht="17.25" hidden="1" customHeight="1">
      <c r="A263" s="244">
        <v>12</v>
      </c>
      <c r="B263" s="245" t="s">
        <v>48</v>
      </c>
      <c r="C263" s="246" t="s">
        <v>713</v>
      </c>
      <c r="D263" s="246" t="s">
        <v>709</v>
      </c>
      <c r="E263" s="247">
        <v>1</v>
      </c>
      <c r="F263" s="248">
        <v>44927</v>
      </c>
      <c r="G263" s="249" t="s">
        <v>714</v>
      </c>
      <c r="H263" s="246">
        <v>5108813622</v>
      </c>
      <c r="I263" s="249" t="s">
        <v>715</v>
      </c>
      <c r="J263" s="248">
        <v>45154</v>
      </c>
      <c r="K263" s="249"/>
      <c r="L263" s="249"/>
      <c r="M263" s="246"/>
      <c r="N263" s="245" t="s">
        <v>34</v>
      </c>
      <c r="O263" s="250">
        <v>45444</v>
      </c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</row>
    <row r="264" spans="1:46" ht="17.25" hidden="1" customHeight="1">
      <c r="A264" s="244">
        <v>13</v>
      </c>
      <c r="B264" s="245" t="s">
        <v>88</v>
      </c>
      <c r="C264" s="246" t="s">
        <v>713</v>
      </c>
      <c r="D264" s="246" t="s">
        <v>709</v>
      </c>
      <c r="E264" s="247">
        <v>1</v>
      </c>
      <c r="F264" s="248">
        <v>44927</v>
      </c>
      <c r="G264" s="249" t="s">
        <v>714</v>
      </c>
      <c r="H264" s="246">
        <v>5108813622</v>
      </c>
      <c r="I264" s="249" t="s">
        <v>715</v>
      </c>
      <c r="J264" s="248">
        <v>45154</v>
      </c>
      <c r="K264" s="249"/>
      <c r="L264" s="249"/>
      <c r="M264" s="246"/>
      <c r="N264" s="245" t="s">
        <v>34</v>
      </c>
      <c r="O264" s="250">
        <v>45444</v>
      </c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</row>
    <row r="265" spans="1:46" ht="17.25" hidden="1" customHeight="1">
      <c r="A265" s="244">
        <v>14</v>
      </c>
      <c r="B265" s="245" t="s">
        <v>48</v>
      </c>
      <c r="C265" s="246" t="s">
        <v>716</v>
      </c>
      <c r="D265" s="246" t="s">
        <v>717</v>
      </c>
      <c r="E265" s="247">
        <v>3</v>
      </c>
      <c r="F265" s="248">
        <v>42125</v>
      </c>
      <c r="G265" s="249" t="s">
        <v>718</v>
      </c>
      <c r="H265" s="246">
        <v>5105795250</v>
      </c>
      <c r="I265" s="249" t="s">
        <v>719</v>
      </c>
      <c r="J265" s="248">
        <v>45156</v>
      </c>
      <c r="K265" s="249"/>
      <c r="L265" s="249"/>
      <c r="M265" s="246"/>
      <c r="N265" s="245" t="s">
        <v>34</v>
      </c>
      <c r="O265" s="250">
        <v>45444</v>
      </c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</row>
    <row r="266" spans="1:46" ht="17.25" hidden="1" customHeight="1">
      <c r="A266" s="244">
        <v>15</v>
      </c>
      <c r="B266" s="245" t="s">
        <v>88</v>
      </c>
      <c r="C266" s="246" t="s">
        <v>716</v>
      </c>
      <c r="D266" s="246" t="s">
        <v>717</v>
      </c>
      <c r="E266" s="247">
        <v>3</v>
      </c>
      <c r="F266" s="248">
        <v>42125</v>
      </c>
      <c r="G266" s="249" t="s">
        <v>718</v>
      </c>
      <c r="H266" s="246">
        <v>5105795250</v>
      </c>
      <c r="I266" s="249" t="s">
        <v>719</v>
      </c>
      <c r="J266" s="248">
        <v>45156</v>
      </c>
      <c r="K266" s="249"/>
      <c r="L266" s="249"/>
      <c r="M266" s="246"/>
      <c r="N266" s="245" t="s">
        <v>34</v>
      </c>
      <c r="O266" s="250">
        <v>45444</v>
      </c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</row>
    <row r="267" spans="1:46" ht="17.25" hidden="1" customHeight="1">
      <c r="A267" s="244">
        <v>16</v>
      </c>
      <c r="B267" s="245" t="s">
        <v>48</v>
      </c>
      <c r="C267" s="252" t="s">
        <v>720</v>
      </c>
      <c r="D267" s="252" t="s">
        <v>721</v>
      </c>
      <c r="E267" s="244">
        <v>3</v>
      </c>
      <c r="F267" s="253">
        <v>42162</v>
      </c>
      <c r="G267" s="254" t="s">
        <v>722</v>
      </c>
      <c r="H267" s="252">
        <v>4087992378</v>
      </c>
      <c r="I267" s="254" t="s">
        <v>723</v>
      </c>
      <c r="J267" s="253">
        <v>45383</v>
      </c>
      <c r="K267" s="254"/>
      <c r="L267" s="254"/>
      <c r="M267" s="252"/>
      <c r="N267" s="245" t="s">
        <v>34</v>
      </c>
      <c r="O267" s="250">
        <v>45444</v>
      </c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</row>
    <row r="268" spans="1:46" ht="17.25" hidden="1" customHeight="1">
      <c r="A268" s="244">
        <v>17</v>
      </c>
      <c r="B268" s="245" t="s">
        <v>88</v>
      </c>
      <c r="C268" s="252" t="s">
        <v>720</v>
      </c>
      <c r="D268" s="252" t="s">
        <v>721</v>
      </c>
      <c r="E268" s="244">
        <v>3</v>
      </c>
      <c r="F268" s="253">
        <v>42162</v>
      </c>
      <c r="G268" s="254" t="s">
        <v>722</v>
      </c>
      <c r="H268" s="252">
        <v>4087992378</v>
      </c>
      <c r="I268" s="254" t="s">
        <v>723</v>
      </c>
      <c r="J268" s="253">
        <v>45383</v>
      </c>
      <c r="K268" s="254"/>
      <c r="L268" s="254"/>
      <c r="M268" s="252"/>
      <c r="N268" s="245" t="s">
        <v>34</v>
      </c>
      <c r="O268" s="250">
        <v>45444</v>
      </c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</row>
    <row r="269" spans="1:46" ht="17.25" hidden="1" customHeight="1">
      <c r="A269" s="244">
        <v>18</v>
      </c>
      <c r="B269" s="245" t="s">
        <v>48</v>
      </c>
      <c r="C269" s="246" t="s">
        <v>724</v>
      </c>
      <c r="D269" s="246" t="s">
        <v>725</v>
      </c>
      <c r="E269" s="247" t="s">
        <v>153</v>
      </c>
      <c r="F269" s="248">
        <v>43210</v>
      </c>
      <c r="G269" s="249" t="s">
        <v>726</v>
      </c>
      <c r="H269" s="246">
        <v>4089133406</v>
      </c>
      <c r="I269" s="249" t="s">
        <v>727</v>
      </c>
      <c r="J269" s="248">
        <v>45154</v>
      </c>
      <c r="K269" s="249"/>
      <c r="L269" s="249"/>
      <c r="M269" s="246"/>
      <c r="N269" s="245" t="s">
        <v>34</v>
      </c>
      <c r="O269" s="250">
        <v>45444</v>
      </c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</row>
    <row r="270" spans="1:46" ht="17.25" hidden="1" customHeight="1">
      <c r="A270" s="244">
        <v>19</v>
      </c>
      <c r="B270" s="245" t="s">
        <v>88</v>
      </c>
      <c r="C270" s="246" t="s">
        <v>724</v>
      </c>
      <c r="D270" s="246" t="s">
        <v>725</v>
      </c>
      <c r="E270" s="247" t="s">
        <v>153</v>
      </c>
      <c r="F270" s="248">
        <v>43210</v>
      </c>
      <c r="G270" s="249" t="s">
        <v>726</v>
      </c>
      <c r="H270" s="246">
        <v>4089133406</v>
      </c>
      <c r="I270" s="249" t="s">
        <v>727</v>
      </c>
      <c r="J270" s="248">
        <v>45154</v>
      </c>
      <c r="K270" s="249"/>
      <c r="L270" s="249"/>
      <c r="M270" s="246"/>
      <c r="N270" s="245" t="s">
        <v>34</v>
      </c>
      <c r="O270" s="250">
        <v>45444</v>
      </c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</row>
    <row r="271" spans="1:46" ht="17.25" hidden="1" customHeight="1">
      <c r="A271" s="244">
        <v>20</v>
      </c>
      <c r="B271" s="245" t="s">
        <v>48</v>
      </c>
      <c r="C271" s="246" t="s">
        <v>728</v>
      </c>
      <c r="D271" s="246" t="s">
        <v>729</v>
      </c>
      <c r="E271" s="247">
        <v>1</v>
      </c>
      <c r="F271" s="248">
        <v>42828</v>
      </c>
      <c r="G271" s="249" t="s">
        <v>730</v>
      </c>
      <c r="H271" s="246">
        <v>5109196544</v>
      </c>
      <c r="I271" s="249" t="s">
        <v>731</v>
      </c>
      <c r="J271" s="248">
        <v>45159</v>
      </c>
      <c r="K271" s="249"/>
      <c r="L271" s="249"/>
      <c r="M271" s="246"/>
      <c r="N271" s="245" t="s">
        <v>34</v>
      </c>
      <c r="O271" s="250">
        <v>45444</v>
      </c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</row>
    <row r="272" spans="1:46" ht="17.25" hidden="1" customHeight="1">
      <c r="A272" s="244">
        <v>21</v>
      </c>
      <c r="B272" s="245" t="s">
        <v>88</v>
      </c>
      <c r="C272" s="246" t="s">
        <v>732</v>
      </c>
      <c r="D272" s="246" t="s">
        <v>729</v>
      </c>
      <c r="E272" s="247">
        <v>1</v>
      </c>
      <c r="F272" s="248">
        <v>42828</v>
      </c>
      <c r="G272" s="249" t="s">
        <v>730</v>
      </c>
      <c r="H272" s="246">
        <v>5109196544</v>
      </c>
      <c r="I272" s="249" t="s">
        <v>731</v>
      </c>
      <c r="J272" s="248">
        <v>45159</v>
      </c>
      <c r="K272" s="249"/>
      <c r="L272" s="249"/>
      <c r="M272" s="246"/>
      <c r="N272" s="245" t="s">
        <v>34</v>
      </c>
      <c r="O272" s="250">
        <v>45444</v>
      </c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</row>
    <row r="273" spans="1:46" ht="17.25" hidden="1" customHeight="1">
      <c r="A273" s="234">
        <v>22</v>
      </c>
      <c r="B273" s="235" t="s">
        <v>48</v>
      </c>
      <c r="C273" s="236" t="s">
        <v>685</v>
      </c>
      <c r="D273" s="236" t="s">
        <v>686</v>
      </c>
      <c r="E273" s="234">
        <v>3</v>
      </c>
      <c r="F273" s="237">
        <v>42124</v>
      </c>
      <c r="G273" s="238" t="s">
        <v>687</v>
      </c>
      <c r="H273" s="236">
        <v>4085076346</v>
      </c>
      <c r="I273" s="238" t="s">
        <v>454</v>
      </c>
      <c r="J273" s="237">
        <v>45293</v>
      </c>
      <c r="K273" s="307"/>
      <c r="L273" s="307"/>
      <c r="M273" s="304" t="s">
        <v>260</v>
      </c>
      <c r="N273" s="235" t="s">
        <v>34</v>
      </c>
      <c r="O273" s="239">
        <v>45444</v>
      </c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6"/>
      <c r="AH273" s="226"/>
      <c r="AI273" s="226"/>
      <c r="AJ273" s="226"/>
      <c r="AK273" s="226"/>
      <c r="AL273" s="226"/>
      <c r="AM273" s="226"/>
      <c r="AN273" s="226"/>
      <c r="AO273" s="226"/>
      <c r="AP273" s="226"/>
      <c r="AQ273" s="226"/>
      <c r="AR273" s="226"/>
      <c r="AS273" s="226"/>
      <c r="AT273" s="226"/>
    </row>
    <row r="274" spans="1:46" ht="16.5" hidden="1" customHeight="1">
      <c r="A274" s="244">
        <v>23</v>
      </c>
      <c r="B274" s="245" t="s">
        <v>48</v>
      </c>
      <c r="C274" s="246" t="s">
        <v>733</v>
      </c>
      <c r="D274" s="246" t="s">
        <v>734</v>
      </c>
      <c r="E274" s="247">
        <v>2</v>
      </c>
      <c r="F274" s="248">
        <v>42534</v>
      </c>
      <c r="G274" s="249" t="s">
        <v>735</v>
      </c>
      <c r="H274" s="246">
        <v>6188035803</v>
      </c>
      <c r="I274" s="249" t="s">
        <v>736</v>
      </c>
      <c r="J274" s="248">
        <v>45161</v>
      </c>
      <c r="K274" s="249"/>
      <c r="L274" s="249"/>
      <c r="M274" s="246"/>
      <c r="N274" s="245" t="s">
        <v>34</v>
      </c>
      <c r="O274" s="250">
        <v>45444</v>
      </c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</row>
    <row r="275" spans="1:46" ht="17.25" hidden="1" customHeight="1">
      <c r="A275" s="244">
        <v>24</v>
      </c>
      <c r="B275" s="245" t="s">
        <v>88</v>
      </c>
      <c r="C275" s="246" t="s">
        <v>733</v>
      </c>
      <c r="D275" s="246" t="s">
        <v>734</v>
      </c>
      <c r="E275" s="247">
        <v>2</v>
      </c>
      <c r="F275" s="248">
        <v>42534</v>
      </c>
      <c r="G275" s="249" t="s">
        <v>735</v>
      </c>
      <c r="H275" s="246">
        <v>6188035803</v>
      </c>
      <c r="I275" s="249" t="s">
        <v>736</v>
      </c>
      <c r="J275" s="248">
        <v>45161</v>
      </c>
      <c r="K275" s="249"/>
      <c r="L275" s="249"/>
      <c r="M275" s="246"/>
      <c r="N275" s="245" t="s">
        <v>34</v>
      </c>
      <c r="O275" s="250">
        <v>45444</v>
      </c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</row>
    <row r="276" spans="1:46" ht="17.25" hidden="1" customHeight="1">
      <c r="A276" s="244">
        <v>25</v>
      </c>
      <c r="B276" s="245" t="s">
        <v>88</v>
      </c>
      <c r="C276" s="252" t="s">
        <v>737</v>
      </c>
      <c r="D276" s="252" t="s">
        <v>738</v>
      </c>
      <c r="E276" s="244">
        <v>5</v>
      </c>
      <c r="F276" s="253">
        <v>41363</v>
      </c>
      <c r="G276" s="249" t="s">
        <v>739</v>
      </c>
      <c r="H276" s="249">
        <v>4082064921</v>
      </c>
      <c r="I276" s="249" t="s">
        <v>740</v>
      </c>
      <c r="J276" s="253">
        <v>45352</v>
      </c>
      <c r="K276" s="254"/>
      <c r="L276" s="254"/>
      <c r="M276" s="252"/>
      <c r="N276" s="245" t="s">
        <v>34</v>
      </c>
      <c r="O276" s="250">
        <v>45444</v>
      </c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</row>
    <row r="277" spans="1:46" ht="17.25" hidden="1" customHeight="1">
      <c r="A277" s="244">
        <v>26</v>
      </c>
      <c r="B277" s="245" t="s">
        <v>48</v>
      </c>
      <c r="C277" s="246" t="s">
        <v>741</v>
      </c>
      <c r="D277" s="246" t="s">
        <v>742</v>
      </c>
      <c r="E277" s="247">
        <v>1</v>
      </c>
      <c r="F277" s="248">
        <v>42820</v>
      </c>
      <c r="G277" s="249" t="s">
        <v>743</v>
      </c>
      <c r="H277" s="246">
        <v>6692526762</v>
      </c>
      <c r="I277" s="249" t="s">
        <v>744</v>
      </c>
      <c r="J277" s="248">
        <v>45159</v>
      </c>
      <c r="K277" s="249"/>
      <c r="L277" s="249"/>
      <c r="M277" s="246"/>
      <c r="N277" s="245" t="s">
        <v>34</v>
      </c>
      <c r="O277" s="250">
        <v>45444</v>
      </c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</row>
    <row r="278" spans="1:46" ht="17.25" hidden="1" customHeight="1">
      <c r="A278" s="244">
        <v>27</v>
      </c>
      <c r="B278" s="245" t="s">
        <v>88</v>
      </c>
      <c r="C278" s="246" t="s">
        <v>741</v>
      </c>
      <c r="D278" s="246" t="s">
        <v>742</v>
      </c>
      <c r="E278" s="247">
        <v>1</v>
      </c>
      <c r="F278" s="248">
        <v>42820</v>
      </c>
      <c r="G278" s="249" t="s">
        <v>743</v>
      </c>
      <c r="H278" s="246">
        <v>6692526762</v>
      </c>
      <c r="I278" s="249" t="s">
        <v>744</v>
      </c>
      <c r="J278" s="248">
        <v>45159</v>
      </c>
      <c r="K278" s="249"/>
      <c r="L278" s="249"/>
      <c r="M278" s="246"/>
      <c r="N278" s="245" t="s">
        <v>34</v>
      </c>
      <c r="O278" s="250">
        <v>45444</v>
      </c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</row>
    <row r="279" spans="1:46" ht="17.25" hidden="1" customHeight="1">
      <c r="A279" s="234">
        <v>28</v>
      </c>
      <c r="B279" s="235" t="s">
        <v>88</v>
      </c>
      <c r="C279" s="304" t="s">
        <v>427</v>
      </c>
      <c r="D279" s="304" t="s">
        <v>119</v>
      </c>
      <c r="E279" s="305">
        <v>1</v>
      </c>
      <c r="F279" s="306">
        <v>42822</v>
      </c>
      <c r="G279" s="307" t="s">
        <v>745</v>
      </c>
      <c r="H279" s="304">
        <v>4087591928</v>
      </c>
      <c r="I279" s="307" t="s">
        <v>430</v>
      </c>
      <c r="J279" s="306">
        <v>45246</v>
      </c>
      <c r="K279" s="307"/>
      <c r="L279" s="307"/>
      <c r="M279" s="304" t="s">
        <v>746</v>
      </c>
      <c r="N279" s="235" t="s">
        <v>34</v>
      </c>
      <c r="O279" s="239">
        <v>45444</v>
      </c>
      <c r="P279" s="226"/>
      <c r="Q279" s="226"/>
      <c r="R279" s="226"/>
      <c r="S279" s="226"/>
      <c r="T279" s="226"/>
      <c r="U279" s="226"/>
      <c r="V279" s="226"/>
      <c r="W279" s="226"/>
      <c r="X279" s="226"/>
      <c r="Y279" s="226"/>
      <c r="Z279" s="226"/>
      <c r="AA279" s="226"/>
      <c r="AB279" s="226"/>
      <c r="AC279" s="226"/>
      <c r="AD279" s="226"/>
      <c r="AE279" s="226"/>
      <c r="AF279" s="226"/>
      <c r="AG279" s="226"/>
      <c r="AH279" s="226"/>
      <c r="AI279" s="226"/>
      <c r="AJ279" s="226"/>
      <c r="AK279" s="226"/>
      <c r="AL279" s="226"/>
      <c r="AM279" s="226"/>
      <c r="AN279" s="226"/>
      <c r="AO279" s="226"/>
      <c r="AP279" s="226"/>
      <c r="AQ279" s="226"/>
      <c r="AR279" s="226"/>
      <c r="AS279" s="226"/>
      <c r="AT279" s="226"/>
    </row>
    <row r="280" spans="1:46" ht="17.25" hidden="1" customHeight="1">
      <c r="A280" s="244">
        <v>29</v>
      </c>
      <c r="B280" s="245" t="s">
        <v>48</v>
      </c>
      <c r="C280" s="252" t="s">
        <v>293</v>
      </c>
      <c r="D280" s="252" t="s">
        <v>298</v>
      </c>
      <c r="E280" s="244">
        <v>2</v>
      </c>
      <c r="F280" s="253">
        <v>42511</v>
      </c>
      <c r="G280" s="254" t="s">
        <v>747</v>
      </c>
      <c r="H280" s="252">
        <v>5103336666</v>
      </c>
      <c r="I280" s="254" t="s">
        <v>301</v>
      </c>
      <c r="J280" s="252" t="s">
        <v>748</v>
      </c>
      <c r="K280" s="254"/>
      <c r="L280" s="254"/>
      <c r="M280" s="252" t="s">
        <v>260</v>
      </c>
      <c r="N280" s="245" t="s">
        <v>34</v>
      </c>
      <c r="O280" s="250">
        <v>45444</v>
      </c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</row>
    <row r="281" spans="1:46" ht="17.25" hidden="1" customHeight="1">
      <c r="A281" s="244">
        <v>30</v>
      </c>
      <c r="B281" s="245" t="s">
        <v>48</v>
      </c>
      <c r="C281" s="252" t="s">
        <v>604</v>
      </c>
      <c r="D281" s="252" t="s">
        <v>605</v>
      </c>
      <c r="E281" s="244">
        <v>2</v>
      </c>
      <c r="F281" s="253">
        <v>42388</v>
      </c>
      <c r="G281" s="249" t="s">
        <v>749</v>
      </c>
      <c r="H281" s="249">
        <v>4087977701</v>
      </c>
      <c r="I281" s="249" t="s">
        <v>607</v>
      </c>
      <c r="J281" s="253">
        <v>45323</v>
      </c>
      <c r="K281" s="254"/>
      <c r="L281" s="254"/>
      <c r="M281" s="252" t="s">
        <v>750</v>
      </c>
      <c r="N281" s="245" t="s">
        <v>34</v>
      </c>
      <c r="O281" s="250">
        <v>45444</v>
      </c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</row>
    <row r="282" spans="1:46" ht="17.25" hidden="1" customHeight="1">
      <c r="A282" s="244">
        <v>31</v>
      </c>
      <c r="B282" s="309" t="s">
        <v>48</v>
      </c>
      <c r="C282" s="246" t="s">
        <v>146</v>
      </c>
      <c r="D282" s="246" t="s">
        <v>751</v>
      </c>
      <c r="E282" s="247">
        <v>5</v>
      </c>
      <c r="F282" s="248">
        <v>41514</v>
      </c>
      <c r="G282" s="249" t="s">
        <v>752</v>
      </c>
      <c r="H282" s="246">
        <v>5107883613</v>
      </c>
      <c r="I282" s="249" t="s">
        <v>753</v>
      </c>
      <c r="J282" s="248">
        <v>45189</v>
      </c>
      <c r="K282" s="249"/>
      <c r="L282" s="249"/>
      <c r="M282" s="246"/>
      <c r="N282" s="245" t="s">
        <v>34</v>
      </c>
      <c r="O282" s="250">
        <v>45444</v>
      </c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</row>
    <row r="283" spans="1:46" ht="17.25" hidden="1" customHeight="1">
      <c r="A283" s="244">
        <v>32</v>
      </c>
      <c r="B283" s="309" t="s">
        <v>88</v>
      </c>
      <c r="C283" s="246" t="s">
        <v>146</v>
      </c>
      <c r="D283" s="246" t="s">
        <v>751</v>
      </c>
      <c r="E283" s="247">
        <v>5</v>
      </c>
      <c r="F283" s="248">
        <v>41514</v>
      </c>
      <c r="G283" s="249" t="s">
        <v>752</v>
      </c>
      <c r="H283" s="246">
        <v>5107883613</v>
      </c>
      <c r="I283" s="249" t="s">
        <v>753</v>
      </c>
      <c r="J283" s="248">
        <v>45189</v>
      </c>
      <c r="K283" s="249"/>
      <c r="L283" s="249"/>
      <c r="M283" s="246"/>
      <c r="N283" s="245" t="s">
        <v>34</v>
      </c>
      <c r="O283" s="250">
        <v>45444</v>
      </c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</row>
    <row r="284" spans="1:46" ht="17.25" hidden="1" customHeight="1">
      <c r="A284" s="244">
        <v>33</v>
      </c>
      <c r="B284" s="245" t="s">
        <v>48</v>
      </c>
      <c r="C284" s="246" t="s">
        <v>754</v>
      </c>
      <c r="D284" s="246" t="s">
        <v>755</v>
      </c>
      <c r="E284" s="247">
        <v>4</v>
      </c>
      <c r="F284" s="248">
        <v>41619</v>
      </c>
      <c r="G284" s="249" t="s">
        <v>756</v>
      </c>
      <c r="H284" s="246">
        <v>6264658590</v>
      </c>
      <c r="I284" s="249" t="s">
        <v>757</v>
      </c>
      <c r="J284" s="248">
        <v>45154</v>
      </c>
      <c r="K284" s="249"/>
      <c r="L284" s="249"/>
      <c r="M284" s="246"/>
      <c r="N284" s="245" t="s">
        <v>34</v>
      </c>
      <c r="O284" s="250">
        <v>45444</v>
      </c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</row>
    <row r="285" spans="1:46" ht="17.25" hidden="1" customHeight="1">
      <c r="A285" s="244">
        <v>34</v>
      </c>
      <c r="B285" s="245" t="s">
        <v>88</v>
      </c>
      <c r="C285" s="246" t="s">
        <v>754</v>
      </c>
      <c r="D285" s="246" t="s">
        <v>755</v>
      </c>
      <c r="E285" s="247">
        <v>4</v>
      </c>
      <c r="F285" s="248">
        <v>41619</v>
      </c>
      <c r="G285" s="249" t="s">
        <v>756</v>
      </c>
      <c r="H285" s="246">
        <v>6264658590</v>
      </c>
      <c r="I285" s="249" t="s">
        <v>757</v>
      </c>
      <c r="J285" s="248">
        <v>45154</v>
      </c>
      <c r="K285" s="249"/>
      <c r="L285" s="249"/>
      <c r="M285" s="246"/>
      <c r="N285" s="245" t="s">
        <v>34</v>
      </c>
      <c r="O285" s="250">
        <v>45444</v>
      </c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</row>
    <row r="286" spans="1:46" ht="17.25" hidden="1" customHeight="1">
      <c r="A286" s="234">
        <v>35</v>
      </c>
      <c r="B286" s="235" t="s">
        <v>48</v>
      </c>
      <c r="C286" s="304" t="s">
        <v>409</v>
      </c>
      <c r="D286" s="304" t="s">
        <v>758</v>
      </c>
      <c r="E286" s="305">
        <v>1</v>
      </c>
      <c r="F286" s="306">
        <v>42122</v>
      </c>
      <c r="G286" s="307" t="s">
        <v>759</v>
      </c>
      <c r="H286" s="304" t="s">
        <v>760</v>
      </c>
      <c r="I286" s="307" t="s">
        <v>761</v>
      </c>
      <c r="J286" s="306">
        <v>45154</v>
      </c>
      <c r="K286" s="307"/>
      <c r="L286" s="307"/>
      <c r="M286" s="304" t="s">
        <v>260</v>
      </c>
      <c r="N286" s="235" t="s">
        <v>34</v>
      </c>
      <c r="O286" s="239">
        <v>45444</v>
      </c>
      <c r="P286" s="226"/>
      <c r="Q286" s="226"/>
      <c r="R286" s="226"/>
      <c r="S286" s="226"/>
      <c r="T286" s="226"/>
      <c r="U286" s="226"/>
      <c r="V286" s="226"/>
      <c r="W286" s="226"/>
      <c r="X286" s="226"/>
      <c r="Y286" s="226"/>
      <c r="Z286" s="226"/>
      <c r="AA286" s="226"/>
      <c r="AB286" s="226"/>
      <c r="AC286" s="226"/>
      <c r="AD286" s="226"/>
      <c r="AE286" s="226"/>
      <c r="AF286" s="226"/>
      <c r="AG286" s="226"/>
      <c r="AH286" s="226"/>
      <c r="AI286" s="226"/>
      <c r="AJ286" s="226"/>
      <c r="AK286" s="226"/>
      <c r="AL286" s="226"/>
      <c r="AM286" s="226"/>
      <c r="AN286" s="226"/>
      <c r="AO286" s="226"/>
      <c r="AP286" s="226"/>
      <c r="AQ286" s="226"/>
      <c r="AR286" s="226"/>
      <c r="AS286" s="226"/>
      <c r="AT286" s="226"/>
    </row>
    <row r="287" spans="1:46" ht="17.25" hidden="1" customHeight="1">
      <c r="A287" s="234">
        <v>36</v>
      </c>
      <c r="B287" s="235" t="s">
        <v>88</v>
      </c>
      <c r="C287" s="304" t="s">
        <v>409</v>
      </c>
      <c r="D287" s="304" t="s">
        <v>758</v>
      </c>
      <c r="E287" s="305">
        <v>1</v>
      </c>
      <c r="F287" s="306">
        <v>42122</v>
      </c>
      <c r="G287" s="307" t="s">
        <v>759</v>
      </c>
      <c r="H287" s="304" t="s">
        <v>760</v>
      </c>
      <c r="I287" s="307" t="s">
        <v>761</v>
      </c>
      <c r="J287" s="306">
        <v>45154</v>
      </c>
      <c r="K287" s="307"/>
      <c r="L287" s="307"/>
      <c r="M287" s="304" t="s">
        <v>260</v>
      </c>
      <c r="N287" s="235" t="s">
        <v>34</v>
      </c>
      <c r="O287" s="239">
        <v>45444</v>
      </c>
      <c r="P287" s="226"/>
      <c r="Q287" s="226"/>
      <c r="R287" s="226"/>
      <c r="S287" s="226"/>
      <c r="T287" s="226"/>
      <c r="U287" s="226"/>
      <c r="V287" s="226"/>
      <c r="W287" s="226"/>
      <c r="X287" s="226"/>
      <c r="Y287" s="226"/>
      <c r="Z287" s="226"/>
      <c r="AA287" s="226"/>
      <c r="AB287" s="226"/>
      <c r="AC287" s="226"/>
      <c r="AD287" s="226"/>
      <c r="AE287" s="226"/>
      <c r="AF287" s="226"/>
      <c r="AG287" s="226"/>
      <c r="AH287" s="226"/>
      <c r="AI287" s="226"/>
      <c r="AJ287" s="226"/>
      <c r="AK287" s="226"/>
      <c r="AL287" s="226"/>
      <c r="AM287" s="226"/>
      <c r="AN287" s="226"/>
      <c r="AO287" s="226"/>
      <c r="AP287" s="226"/>
      <c r="AQ287" s="226"/>
      <c r="AR287" s="226"/>
      <c r="AS287" s="226"/>
      <c r="AT287" s="226"/>
    </row>
    <row r="288" spans="1:46" ht="17.25" hidden="1" customHeight="1">
      <c r="A288" s="244">
        <v>37</v>
      </c>
      <c r="B288" s="245" t="s">
        <v>48</v>
      </c>
      <c r="C288" s="246" t="s">
        <v>703</v>
      </c>
      <c r="D288" s="246" t="s">
        <v>377</v>
      </c>
      <c r="E288" s="247">
        <v>1</v>
      </c>
      <c r="F288" s="248">
        <v>42954</v>
      </c>
      <c r="G288" s="249" t="s">
        <v>762</v>
      </c>
      <c r="H288" s="246">
        <v>5105656975</v>
      </c>
      <c r="I288" s="249" t="s">
        <v>763</v>
      </c>
      <c r="J288" s="248">
        <v>45159</v>
      </c>
      <c r="K288" s="249"/>
      <c r="L288" s="249"/>
      <c r="M288" s="246" t="s">
        <v>260</v>
      </c>
      <c r="N288" s="245" t="s">
        <v>34</v>
      </c>
      <c r="O288" s="250">
        <v>45444</v>
      </c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</row>
    <row r="289" spans="1:46" ht="17.25" hidden="1" customHeight="1">
      <c r="A289" s="244">
        <v>38</v>
      </c>
      <c r="B289" s="245" t="s">
        <v>88</v>
      </c>
      <c r="C289" s="246" t="s">
        <v>703</v>
      </c>
      <c r="D289" s="246" t="s">
        <v>377</v>
      </c>
      <c r="E289" s="247">
        <v>1</v>
      </c>
      <c r="F289" s="248">
        <v>42954</v>
      </c>
      <c r="G289" s="249" t="s">
        <v>762</v>
      </c>
      <c r="H289" s="246">
        <v>5105656975</v>
      </c>
      <c r="I289" s="249" t="s">
        <v>763</v>
      </c>
      <c r="J289" s="248">
        <v>45159</v>
      </c>
      <c r="K289" s="249"/>
      <c r="L289" s="249"/>
      <c r="M289" s="246" t="s">
        <v>260</v>
      </c>
      <c r="N289" s="245" t="s">
        <v>34</v>
      </c>
      <c r="O289" s="250">
        <v>45444</v>
      </c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</row>
    <row r="290" spans="1:46" ht="17.25" hidden="1" customHeight="1">
      <c r="A290" s="244">
        <v>39</v>
      </c>
      <c r="B290" s="245" t="s">
        <v>48</v>
      </c>
      <c r="C290" s="246" t="s">
        <v>724</v>
      </c>
      <c r="D290" s="246" t="s">
        <v>764</v>
      </c>
      <c r="E290" s="247">
        <v>1</v>
      </c>
      <c r="F290" s="248">
        <v>42810</v>
      </c>
      <c r="G290" s="249" t="s">
        <v>765</v>
      </c>
      <c r="H290" s="246">
        <v>5103742897</v>
      </c>
      <c r="I290" s="249" t="s">
        <v>766</v>
      </c>
      <c r="J290" s="248">
        <v>45154</v>
      </c>
      <c r="K290" s="249"/>
      <c r="L290" s="249"/>
      <c r="M290" s="246"/>
      <c r="N290" s="245" t="s">
        <v>34</v>
      </c>
      <c r="O290" s="250">
        <v>45444</v>
      </c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</row>
    <row r="291" spans="1:46" ht="17.25" hidden="1" customHeight="1">
      <c r="A291" s="244">
        <v>40</v>
      </c>
      <c r="B291" s="245" t="s">
        <v>88</v>
      </c>
      <c r="C291" s="252" t="s">
        <v>724</v>
      </c>
      <c r="D291" s="252" t="s">
        <v>764</v>
      </c>
      <c r="E291" s="244">
        <v>1</v>
      </c>
      <c r="F291" s="253">
        <v>42810</v>
      </c>
      <c r="G291" s="254" t="s">
        <v>765</v>
      </c>
      <c r="H291" s="252">
        <v>5103742897</v>
      </c>
      <c r="I291" s="254" t="s">
        <v>766</v>
      </c>
      <c r="J291" s="253">
        <v>45293</v>
      </c>
      <c r="K291" s="254"/>
      <c r="L291" s="254"/>
      <c r="M291" s="252"/>
      <c r="N291" s="245" t="s">
        <v>34</v>
      </c>
      <c r="O291" s="250">
        <v>45444</v>
      </c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</row>
    <row r="292" spans="1:46" ht="17.25" hidden="1" customHeight="1">
      <c r="A292" s="244">
        <v>41</v>
      </c>
      <c r="B292" s="245" t="s">
        <v>88</v>
      </c>
      <c r="C292" s="246" t="s">
        <v>767</v>
      </c>
      <c r="D292" s="246" t="s">
        <v>768</v>
      </c>
      <c r="E292" s="247">
        <v>7</v>
      </c>
      <c r="F292" s="248">
        <v>40748</v>
      </c>
      <c r="G292" s="249" t="s">
        <v>769</v>
      </c>
      <c r="H292" s="246" t="s">
        <v>770</v>
      </c>
      <c r="I292" s="249" t="s">
        <v>771</v>
      </c>
      <c r="J292" s="248">
        <v>45154</v>
      </c>
      <c r="K292" s="249"/>
      <c r="L292" s="249"/>
      <c r="M292" s="246"/>
      <c r="N292" s="245" t="s">
        <v>34</v>
      </c>
      <c r="O292" s="250">
        <v>45444</v>
      </c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</row>
    <row r="293" spans="1:46" ht="17.25" hidden="1" customHeight="1">
      <c r="A293" s="244">
        <v>42</v>
      </c>
      <c r="B293" s="245" t="s">
        <v>48</v>
      </c>
      <c r="C293" s="246" t="s">
        <v>767</v>
      </c>
      <c r="D293" s="246" t="s">
        <v>772</v>
      </c>
      <c r="E293" s="247">
        <v>7</v>
      </c>
      <c r="F293" s="248">
        <v>40748</v>
      </c>
      <c r="G293" s="249" t="s">
        <v>769</v>
      </c>
      <c r="H293" s="246" t="s">
        <v>770</v>
      </c>
      <c r="I293" s="249" t="s">
        <v>771</v>
      </c>
      <c r="J293" s="248">
        <v>45154</v>
      </c>
      <c r="K293" s="249"/>
      <c r="L293" s="249"/>
      <c r="M293" s="246"/>
      <c r="N293" s="245" t="s">
        <v>34</v>
      </c>
      <c r="O293" s="250">
        <v>45444</v>
      </c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</row>
    <row r="294" spans="1:46" ht="17.25" hidden="1" customHeight="1">
      <c r="A294" s="244">
        <v>43</v>
      </c>
      <c r="B294" s="245" t="s">
        <v>48</v>
      </c>
      <c r="C294" s="246" t="s">
        <v>754</v>
      </c>
      <c r="D294" s="246" t="s">
        <v>773</v>
      </c>
      <c r="E294" s="247">
        <v>7</v>
      </c>
      <c r="F294" s="248">
        <v>40732</v>
      </c>
      <c r="G294" s="249" t="s">
        <v>756</v>
      </c>
      <c r="H294" s="252">
        <v>6264658590</v>
      </c>
      <c r="I294" s="249" t="s">
        <v>757</v>
      </c>
      <c r="J294" s="248">
        <v>45154</v>
      </c>
      <c r="K294" s="249"/>
      <c r="L294" s="249"/>
      <c r="M294" s="246"/>
      <c r="N294" s="245" t="s">
        <v>34</v>
      </c>
      <c r="O294" s="250">
        <v>45444</v>
      </c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</row>
    <row r="295" spans="1:46" ht="17.25" hidden="1" customHeight="1">
      <c r="A295" s="244">
        <v>44</v>
      </c>
      <c r="B295" s="245" t="s">
        <v>88</v>
      </c>
      <c r="C295" s="246" t="s">
        <v>754</v>
      </c>
      <c r="D295" s="246" t="s">
        <v>773</v>
      </c>
      <c r="E295" s="247">
        <v>7</v>
      </c>
      <c r="F295" s="248">
        <v>40732</v>
      </c>
      <c r="G295" s="249" t="s">
        <v>756</v>
      </c>
      <c r="H295" s="252">
        <v>6264658590</v>
      </c>
      <c r="I295" s="249" t="s">
        <v>757</v>
      </c>
      <c r="J295" s="248">
        <v>45154</v>
      </c>
      <c r="K295" s="249"/>
      <c r="L295" s="249"/>
      <c r="M295" s="246"/>
      <c r="N295" s="245" t="s">
        <v>34</v>
      </c>
      <c r="O295" s="250">
        <v>45444</v>
      </c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</row>
    <row r="296" spans="1:46" ht="17.25" hidden="1" customHeight="1">
      <c r="A296" s="234">
        <v>45</v>
      </c>
      <c r="B296" s="235" t="s">
        <v>48</v>
      </c>
      <c r="C296" s="304" t="s">
        <v>609</v>
      </c>
      <c r="D296" s="304" t="s">
        <v>437</v>
      </c>
      <c r="E296" s="305">
        <v>1</v>
      </c>
      <c r="F296" s="306">
        <v>42947</v>
      </c>
      <c r="G296" s="307" t="s">
        <v>610</v>
      </c>
      <c r="H296" s="304">
        <v>4085108805</v>
      </c>
      <c r="I296" s="307" t="s">
        <v>440</v>
      </c>
      <c r="J296" s="306">
        <v>45160</v>
      </c>
      <c r="K296" s="307"/>
      <c r="L296" s="307"/>
      <c r="M296" s="304" t="s">
        <v>260</v>
      </c>
      <c r="N296" s="235" t="s">
        <v>34</v>
      </c>
      <c r="O296" s="239">
        <v>45444</v>
      </c>
      <c r="P296" s="226"/>
      <c r="Q296" s="226"/>
      <c r="R296" s="226"/>
      <c r="S296" s="226"/>
      <c r="T296" s="226"/>
      <c r="U296" s="226"/>
      <c r="V296" s="226"/>
      <c r="W296" s="226"/>
      <c r="X296" s="226"/>
      <c r="Y296" s="226"/>
      <c r="Z296" s="226"/>
      <c r="AA296" s="226"/>
      <c r="AB296" s="226"/>
      <c r="AC296" s="226"/>
      <c r="AD296" s="226"/>
      <c r="AE296" s="226"/>
      <c r="AF296" s="226"/>
      <c r="AG296" s="226"/>
      <c r="AH296" s="226"/>
      <c r="AI296" s="226"/>
      <c r="AJ296" s="226"/>
      <c r="AK296" s="226"/>
      <c r="AL296" s="226"/>
      <c r="AM296" s="226"/>
      <c r="AN296" s="226"/>
      <c r="AO296" s="226"/>
      <c r="AP296" s="226"/>
      <c r="AQ296" s="226"/>
      <c r="AR296" s="226"/>
      <c r="AS296" s="226"/>
      <c r="AT296" s="226"/>
    </row>
    <row r="297" spans="1:46" ht="17.25" hidden="1" customHeight="1">
      <c r="A297" s="234">
        <v>46</v>
      </c>
      <c r="B297" s="235" t="s">
        <v>88</v>
      </c>
      <c r="C297" s="304" t="s">
        <v>609</v>
      </c>
      <c r="D297" s="304" t="s">
        <v>437</v>
      </c>
      <c r="E297" s="305">
        <v>1</v>
      </c>
      <c r="F297" s="306">
        <v>42947</v>
      </c>
      <c r="G297" s="307" t="s">
        <v>610</v>
      </c>
      <c r="H297" s="304">
        <v>4085108805</v>
      </c>
      <c r="I297" s="307" t="s">
        <v>440</v>
      </c>
      <c r="J297" s="306">
        <v>45383</v>
      </c>
      <c r="K297" s="307"/>
      <c r="L297" s="307"/>
      <c r="M297" s="304" t="s">
        <v>260</v>
      </c>
      <c r="N297" s="235" t="s">
        <v>34</v>
      </c>
      <c r="O297" s="239">
        <v>45444</v>
      </c>
      <c r="P297" s="226"/>
      <c r="Q297" s="226"/>
      <c r="R297" s="226"/>
      <c r="S297" s="226"/>
      <c r="T297" s="226"/>
      <c r="U297" s="226"/>
      <c r="V297" s="226"/>
      <c r="W297" s="226"/>
      <c r="X297" s="226"/>
      <c r="Y297" s="226"/>
      <c r="Z297" s="226"/>
      <c r="AA297" s="226"/>
      <c r="AB297" s="226"/>
      <c r="AC297" s="226"/>
      <c r="AD297" s="226"/>
      <c r="AE297" s="226"/>
      <c r="AF297" s="226"/>
      <c r="AG297" s="226"/>
      <c r="AH297" s="226"/>
      <c r="AI297" s="226"/>
      <c r="AJ297" s="226"/>
      <c r="AK297" s="226"/>
      <c r="AL297" s="226"/>
      <c r="AM297" s="226"/>
      <c r="AN297" s="226"/>
      <c r="AO297" s="226"/>
      <c r="AP297" s="226"/>
      <c r="AQ297" s="226"/>
      <c r="AR297" s="226"/>
      <c r="AS297" s="226"/>
      <c r="AT297" s="226"/>
    </row>
    <row r="298" spans="1:46" ht="17.25" hidden="1" customHeight="1">
      <c r="A298" s="244">
        <v>47</v>
      </c>
      <c r="B298" s="245" t="s">
        <v>48</v>
      </c>
      <c r="C298" s="252" t="s">
        <v>409</v>
      </c>
      <c r="D298" s="252" t="s">
        <v>243</v>
      </c>
      <c r="E298" s="244" t="s">
        <v>153</v>
      </c>
      <c r="F298" s="253">
        <v>42902</v>
      </c>
      <c r="G298" s="254" t="s">
        <v>774</v>
      </c>
      <c r="H298" s="252">
        <v>4352252200</v>
      </c>
      <c r="I298" s="254" t="s">
        <v>775</v>
      </c>
      <c r="J298" s="253">
        <v>44835</v>
      </c>
      <c r="K298" s="249"/>
      <c r="L298" s="249"/>
      <c r="M298" s="246" t="s">
        <v>260</v>
      </c>
      <c r="N298" s="245" t="s">
        <v>34</v>
      </c>
      <c r="O298" s="250">
        <v>45444</v>
      </c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</row>
    <row r="299" spans="1:46" ht="17.25" hidden="1" customHeight="1">
      <c r="A299" s="244">
        <v>48</v>
      </c>
      <c r="B299" s="245" t="s">
        <v>88</v>
      </c>
      <c r="C299" s="252" t="s">
        <v>409</v>
      </c>
      <c r="D299" s="252" t="s">
        <v>243</v>
      </c>
      <c r="E299" s="244" t="s">
        <v>153</v>
      </c>
      <c r="F299" s="253">
        <v>42902</v>
      </c>
      <c r="G299" s="254" t="s">
        <v>774</v>
      </c>
      <c r="H299" s="252">
        <v>4352252200</v>
      </c>
      <c r="I299" s="254" t="s">
        <v>775</v>
      </c>
      <c r="J299" s="253">
        <v>45078</v>
      </c>
      <c r="K299" s="249"/>
      <c r="L299" s="249"/>
      <c r="M299" s="246" t="s">
        <v>260</v>
      </c>
      <c r="N299" s="245" t="s">
        <v>34</v>
      </c>
      <c r="O299" s="250">
        <v>45444</v>
      </c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</row>
    <row r="300" spans="1:46" ht="17.25" hidden="1" customHeight="1">
      <c r="A300" s="244">
        <v>49</v>
      </c>
      <c r="B300" s="245" t="s">
        <v>48</v>
      </c>
      <c r="C300" s="252" t="s">
        <v>277</v>
      </c>
      <c r="D300" s="252" t="s">
        <v>776</v>
      </c>
      <c r="E300" s="244">
        <v>4</v>
      </c>
      <c r="F300" s="253">
        <v>40736</v>
      </c>
      <c r="G300" s="254" t="s">
        <v>777</v>
      </c>
      <c r="H300" s="252">
        <v>4083321491</v>
      </c>
      <c r="I300" s="254" t="s">
        <v>778</v>
      </c>
      <c r="J300" s="253">
        <v>44004</v>
      </c>
      <c r="K300" s="254"/>
      <c r="L300" s="254"/>
      <c r="M300" s="252"/>
      <c r="N300" s="245" t="s">
        <v>34</v>
      </c>
      <c r="O300" s="250">
        <v>45444</v>
      </c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</row>
    <row r="301" spans="1:46" ht="17.25" hidden="1" customHeight="1">
      <c r="A301" s="244">
        <v>50</v>
      </c>
      <c r="B301" s="245" t="s">
        <v>88</v>
      </c>
      <c r="C301" s="252" t="s">
        <v>277</v>
      </c>
      <c r="D301" s="252" t="s">
        <v>776</v>
      </c>
      <c r="E301" s="244">
        <v>4</v>
      </c>
      <c r="F301" s="253">
        <v>40736</v>
      </c>
      <c r="G301" s="254" t="s">
        <v>777</v>
      </c>
      <c r="H301" s="252">
        <v>4083321491</v>
      </c>
      <c r="I301" s="254" t="s">
        <v>778</v>
      </c>
      <c r="J301" s="253">
        <v>44004</v>
      </c>
      <c r="K301" s="254"/>
      <c r="L301" s="254"/>
      <c r="M301" s="252"/>
      <c r="N301" s="245" t="s">
        <v>34</v>
      </c>
      <c r="O301" s="250">
        <v>45444</v>
      </c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</row>
    <row r="302" spans="1:46" ht="17.25" hidden="1" customHeight="1">
      <c r="A302" s="244">
        <v>51</v>
      </c>
      <c r="B302" s="309" t="s">
        <v>48</v>
      </c>
      <c r="C302" s="246" t="s">
        <v>242</v>
      </c>
      <c r="D302" s="246" t="s">
        <v>247</v>
      </c>
      <c r="E302" s="247">
        <v>2</v>
      </c>
      <c r="F302" s="248">
        <v>42342</v>
      </c>
      <c r="G302" s="249" t="s">
        <v>779</v>
      </c>
      <c r="H302" s="246">
        <v>4084214334</v>
      </c>
      <c r="I302" s="249" t="s">
        <v>245</v>
      </c>
      <c r="J302" s="248">
        <v>45170</v>
      </c>
      <c r="K302" s="249"/>
      <c r="L302" s="249"/>
      <c r="M302" s="246" t="s">
        <v>780</v>
      </c>
      <c r="N302" s="245" t="s">
        <v>34</v>
      </c>
      <c r="O302" s="250">
        <v>45444</v>
      </c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</row>
    <row r="303" spans="1:46" ht="17.25" hidden="1" customHeight="1">
      <c r="A303" s="244">
        <v>52</v>
      </c>
      <c r="B303" s="309" t="s">
        <v>88</v>
      </c>
      <c r="C303" s="246" t="s">
        <v>242</v>
      </c>
      <c r="D303" s="246" t="s">
        <v>247</v>
      </c>
      <c r="E303" s="247">
        <v>2</v>
      </c>
      <c r="F303" s="248">
        <v>42342</v>
      </c>
      <c r="G303" s="249" t="s">
        <v>779</v>
      </c>
      <c r="H303" s="246">
        <v>4084214334</v>
      </c>
      <c r="I303" s="249" t="s">
        <v>245</v>
      </c>
      <c r="J303" s="248">
        <v>45170</v>
      </c>
      <c r="K303" s="249"/>
      <c r="L303" s="249"/>
      <c r="M303" s="246" t="s">
        <v>780</v>
      </c>
      <c r="N303" s="245" t="s">
        <v>34</v>
      </c>
      <c r="O303" s="250">
        <v>45444</v>
      </c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</row>
    <row r="304" spans="1:46" ht="17.25" hidden="1" customHeight="1">
      <c r="A304" s="234">
        <v>53</v>
      </c>
      <c r="B304" s="235" t="s">
        <v>48</v>
      </c>
      <c r="C304" s="236" t="s">
        <v>781</v>
      </c>
      <c r="D304" s="236" t="s">
        <v>782</v>
      </c>
      <c r="E304" s="234">
        <v>1</v>
      </c>
      <c r="F304" s="237">
        <v>42177</v>
      </c>
      <c r="G304" s="307" t="s">
        <v>783</v>
      </c>
      <c r="H304" s="307">
        <v>4436532199</v>
      </c>
      <c r="I304" s="307" t="s">
        <v>784</v>
      </c>
      <c r="J304" s="237">
        <v>45154</v>
      </c>
      <c r="K304" s="238"/>
      <c r="L304" s="238"/>
      <c r="M304" s="236" t="s">
        <v>260</v>
      </c>
      <c r="N304" s="235" t="s">
        <v>34</v>
      </c>
      <c r="O304" s="239">
        <v>45444</v>
      </c>
      <c r="P304" s="226"/>
      <c r="Q304" s="226"/>
      <c r="R304" s="226"/>
      <c r="S304" s="226"/>
      <c r="T304" s="226"/>
      <c r="U304" s="226"/>
      <c r="V304" s="226"/>
      <c r="W304" s="226"/>
      <c r="X304" s="226"/>
      <c r="Y304" s="226"/>
      <c r="Z304" s="226"/>
      <c r="AA304" s="226"/>
      <c r="AB304" s="226"/>
      <c r="AC304" s="226"/>
      <c r="AD304" s="226"/>
      <c r="AE304" s="226"/>
      <c r="AF304" s="226"/>
      <c r="AG304" s="226"/>
      <c r="AH304" s="226"/>
      <c r="AI304" s="226"/>
      <c r="AJ304" s="226"/>
      <c r="AK304" s="226"/>
      <c r="AL304" s="226"/>
      <c r="AM304" s="226"/>
      <c r="AN304" s="226"/>
      <c r="AO304" s="226"/>
      <c r="AP304" s="226"/>
      <c r="AQ304" s="226"/>
      <c r="AR304" s="226"/>
      <c r="AS304" s="226"/>
      <c r="AT304" s="226"/>
    </row>
    <row r="305" spans="1:46" ht="17.25" hidden="1" customHeight="1">
      <c r="A305" s="234">
        <v>54</v>
      </c>
      <c r="B305" s="235" t="s">
        <v>88</v>
      </c>
      <c r="C305" s="236" t="s">
        <v>781</v>
      </c>
      <c r="D305" s="236" t="s">
        <v>782</v>
      </c>
      <c r="E305" s="234">
        <v>1</v>
      </c>
      <c r="F305" s="237">
        <v>42177</v>
      </c>
      <c r="G305" s="307" t="s">
        <v>783</v>
      </c>
      <c r="H305" s="307">
        <v>4436532199</v>
      </c>
      <c r="I305" s="307" t="s">
        <v>784</v>
      </c>
      <c r="J305" s="237">
        <v>45154</v>
      </c>
      <c r="K305" s="238"/>
      <c r="L305" s="238"/>
      <c r="M305" s="236" t="s">
        <v>260</v>
      </c>
      <c r="N305" s="235" t="s">
        <v>34</v>
      </c>
      <c r="O305" s="239">
        <v>45444</v>
      </c>
      <c r="P305" s="226"/>
      <c r="Q305" s="226"/>
      <c r="R305" s="226"/>
      <c r="S305" s="226"/>
      <c r="T305" s="226"/>
      <c r="U305" s="226"/>
      <c r="V305" s="226"/>
      <c r="W305" s="226"/>
      <c r="X305" s="226"/>
      <c r="Y305" s="226"/>
      <c r="Z305" s="226"/>
      <c r="AA305" s="226"/>
      <c r="AB305" s="226"/>
      <c r="AC305" s="226"/>
      <c r="AD305" s="226"/>
      <c r="AE305" s="226"/>
      <c r="AF305" s="226"/>
      <c r="AG305" s="226"/>
      <c r="AH305" s="226"/>
      <c r="AI305" s="226"/>
      <c r="AJ305" s="226"/>
      <c r="AK305" s="226"/>
      <c r="AL305" s="226"/>
      <c r="AM305" s="226"/>
      <c r="AN305" s="226"/>
      <c r="AO305" s="226"/>
      <c r="AP305" s="226"/>
      <c r="AQ305" s="226"/>
      <c r="AR305" s="226"/>
      <c r="AS305" s="226"/>
      <c r="AT305" s="226"/>
    </row>
    <row r="306" spans="1:46" ht="17.25" hidden="1" customHeight="1">
      <c r="A306" s="244">
        <v>55</v>
      </c>
      <c r="B306" s="245" t="s">
        <v>48</v>
      </c>
      <c r="C306" s="252" t="s">
        <v>409</v>
      </c>
      <c r="D306" s="252" t="s">
        <v>659</v>
      </c>
      <c r="E306" s="244" t="s">
        <v>153</v>
      </c>
      <c r="F306" s="253">
        <v>42902</v>
      </c>
      <c r="G306" s="254" t="s">
        <v>774</v>
      </c>
      <c r="H306" s="252">
        <v>4352252200</v>
      </c>
      <c r="I306" s="254" t="s">
        <v>775</v>
      </c>
      <c r="J306" s="253">
        <v>44835</v>
      </c>
      <c r="K306" s="254"/>
      <c r="L306" s="254"/>
      <c r="M306" s="252"/>
      <c r="N306" s="245" t="s">
        <v>34</v>
      </c>
      <c r="O306" s="250">
        <v>45444</v>
      </c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</row>
    <row r="307" spans="1:46" ht="17.25" hidden="1" customHeight="1">
      <c r="A307" s="244">
        <v>56</v>
      </c>
      <c r="B307" s="245" t="s">
        <v>88</v>
      </c>
      <c r="C307" s="252" t="s">
        <v>409</v>
      </c>
      <c r="D307" s="252" t="s">
        <v>659</v>
      </c>
      <c r="E307" s="244" t="s">
        <v>153</v>
      </c>
      <c r="F307" s="253">
        <v>42902</v>
      </c>
      <c r="G307" s="254" t="s">
        <v>774</v>
      </c>
      <c r="H307" s="252">
        <v>4352252200</v>
      </c>
      <c r="I307" s="254" t="s">
        <v>775</v>
      </c>
      <c r="J307" s="253">
        <v>45078</v>
      </c>
      <c r="K307" s="254"/>
      <c r="L307" s="254"/>
      <c r="M307" s="252"/>
      <c r="N307" s="245" t="s">
        <v>34</v>
      </c>
      <c r="O307" s="250">
        <v>45444</v>
      </c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</row>
    <row r="308" spans="1:46" ht="17.25" hidden="1" customHeight="1">
      <c r="A308" s="244">
        <v>57</v>
      </c>
      <c r="B308" s="245" t="s">
        <v>48</v>
      </c>
      <c r="C308" s="252" t="s">
        <v>372</v>
      </c>
      <c r="D308" s="252" t="s">
        <v>785</v>
      </c>
      <c r="E308" s="244">
        <v>1</v>
      </c>
      <c r="F308" s="253">
        <v>42568</v>
      </c>
      <c r="G308" s="249" t="s">
        <v>640</v>
      </c>
      <c r="H308" s="249" t="s">
        <v>641</v>
      </c>
      <c r="I308" s="249" t="s">
        <v>642</v>
      </c>
      <c r="J308" s="253">
        <v>45110</v>
      </c>
      <c r="K308" s="254"/>
      <c r="L308" s="254"/>
      <c r="M308" s="252"/>
      <c r="N308" s="245" t="s">
        <v>34</v>
      </c>
      <c r="O308" s="250">
        <v>45444</v>
      </c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</row>
    <row r="309" spans="1:46" ht="17.25" hidden="1" customHeight="1">
      <c r="A309" s="244">
        <v>58</v>
      </c>
      <c r="B309" s="245" t="s">
        <v>88</v>
      </c>
      <c r="C309" s="252" t="s">
        <v>372</v>
      </c>
      <c r="D309" s="252" t="s">
        <v>785</v>
      </c>
      <c r="E309" s="244">
        <v>1</v>
      </c>
      <c r="F309" s="253">
        <v>42568</v>
      </c>
      <c r="G309" s="249" t="s">
        <v>643</v>
      </c>
      <c r="H309" s="249" t="s">
        <v>644</v>
      </c>
      <c r="I309" s="249" t="s">
        <v>642</v>
      </c>
      <c r="J309" s="253">
        <v>45110</v>
      </c>
      <c r="K309" s="254"/>
      <c r="L309" s="254"/>
      <c r="M309" s="252"/>
      <c r="N309" s="245" t="s">
        <v>34</v>
      </c>
      <c r="O309" s="250">
        <v>45444</v>
      </c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</row>
    <row r="310" spans="1:46" ht="17.25" hidden="1" customHeight="1">
      <c r="A310" s="234">
        <v>59</v>
      </c>
      <c r="B310" s="235" t="s">
        <v>48</v>
      </c>
      <c r="C310" s="236" t="s">
        <v>685</v>
      </c>
      <c r="D310" s="236" t="s">
        <v>688</v>
      </c>
      <c r="E310" s="234">
        <v>3</v>
      </c>
      <c r="F310" s="237">
        <v>42124</v>
      </c>
      <c r="G310" s="238" t="s">
        <v>687</v>
      </c>
      <c r="H310" s="236">
        <v>4085076346</v>
      </c>
      <c r="I310" s="238" t="s">
        <v>454</v>
      </c>
      <c r="J310" s="237">
        <v>45293</v>
      </c>
      <c r="K310" s="307"/>
      <c r="L310" s="307"/>
      <c r="M310" s="304" t="s">
        <v>260</v>
      </c>
      <c r="N310" s="235" t="s">
        <v>34</v>
      </c>
      <c r="O310" s="239">
        <v>45444</v>
      </c>
      <c r="P310" s="226"/>
      <c r="Q310" s="226"/>
      <c r="R310" s="226"/>
      <c r="S310" s="226"/>
      <c r="T310" s="226"/>
      <c r="U310" s="226"/>
      <c r="V310" s="226"/>
      <c r="W310" s="226"/>
      <c r="X310" s="226"/>
      <c r="Y310" s="226"/>
      <c r="Z310" s="226"/>
      <c r="AA310" s="226"/>
      <c r="AB310" s="226"/>
      <c r="AC310" s="226"/>
      <c r="AD310" s="226"/>
      <c r="AE310" s="226"/>
      <c r="AF310" s="226"/>
      <c r="AG310" s="226"/>
      <c r="AH310" s="226"/>
      <c r="AI310" s="226"/>
      <c r="AJ310" s="226"/>
      <c r="AK310" s="226"/>
      <c r="AL310" s="226"/>
      <c r="AM310" s="226"/>
      <c r="AN310" s="226"/>
      <c r="AO310" s="226"/>
      <c r="AP310" s="226"/>
      <c r="AQ310" s="226"/>
      <c r="AR310" s="226"/>
      <c r="AS310" s="226"/>
      <c r="AT310" s="226"/>
    </row>
    <row r="311" spans="1:46" ht="17.25" hidden="1" customHeight="1">
      <c r="A311" s="244">
        <v>60</v>
      </c>
      <c r="B311" s="245" t="s">
        <v>48</v>
      </c>
      <c r="C311" s="246" t="s">
        <v>634</v>
      </c>
      <c r="D311" s="246" t="s">
        <v>635</v>
      </c>
      <c r="E311" s="247">
        <v>1</v>
      </c>
      <c r="F311" s="248">
        <v>42894</v>
      </c>
      <c r="G311" s="249" t="s">
        <v>636</v>
      </c>
      <c r="H311" s="246">
        <v>6503358676</v>
      </c>
      <c r="I311" s="249" t="s">
        <v>637</v>
      </c>
      <c r="J311" s="248">
        <v>45159</v>
      </c>
      <c r="K311" s="249"/>
      <c r="L311" s="249"/>
      <c r="M311" s="246"/>
      <c r="N311" s="245" t="s">
        <v>34</v>
      </c>
      <c r="O311" s="250">
        <v>45444</v>
      </c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</row>
    <row r="312" spans="1:46" ht="17.25" hidden="1" customHeight="1">
      <c r="A312" s="244">
        <v>61</v>
      </c>
      <c r="B312" s="245" t="s">
        <v>48</v>
      </c>
      <c r="C312" s="252" t="s">
        <v>786</v>
      </c>
      <c r="D312" s="252" t="s">
        <v>787</v>
      </c>
      <c r="E312" s="244">
        <v>4</v>
      </c>
      <c r="F312" s="253">
        <v>41881</v>
      </c>
      <c r="G312" s="249" t="s">
        <v>788</v>
      </c>
      <c r="H312" s="249">
        <v>5103587899</v>
      </c>
      <c r="I312" s="249" t="s">
        <v>789</v>
      </c>
      <c r="J312" s="253">
        <v>45159</v>
      </c>
      <c r="K312" s="254"/>
      <c r="L312" s="254"/>
      <c r="M312" s="252"/>
      <c r="N312" s="245" t="s">
        <v>34</v>
      </c>
      <c r="O312" s="250">
        <v>45444</v>
      </c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</row>
    <row r="313" spans="1:46" ht="17.25" hidden="1" customHeight="1">
      <c r="A313" s="244">
        <v>62</v>
      </c>
      <c r="B313" s="245" t="s">
        <v>88</v>
      </c>
      <c r="C313" s="246" t="s">
        <v>786</v>
      </c>
      <c r="D313" s="246" t="s">
        <v>787</v>
      </c>
      <c r="E313" s="247">
        <v>4</v>
      </c>
      <c r="F313" s="248">
        <v>41881</v>
      </c>
      <c r="G313" s="249" t="s">
        <v>788</v>
      </c>
      <c r="H313" s="246">
        <v>5103587899</v>
      </c>
      <c r="I313" s="249" t="s">
        <v>789</v>
      </c>
      <c r="J313" s="248">
        <v>45159</v>
      </c>
      <c r="K313" s="249"/>
      <c r="L313" s="249"/>
      <c r="M313" s="246"/>
      <c r="N313" s="245" t="s">
        <v>34</v>
      </c>
      <c r="O313" s="250">
        <v>45444</v>
      </c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</row>
    <row r="314" spans="1:46" ht="17.25" hidden="1" customHeight="1">
      <c r="A314" s="244">
        <v>63</v>
      </c>
      <c r="B314" s="245" t="s">
        <v>48</v>
      </c>
      <c r="C314" s="252" t="s">
        <v>737</v>
      </c>
      <c r="D314" s="252" t="s">
        <v>790</v>
      </c>
      <c r="E314" s="244">
        <v>1</v>
      </c>
      <c r="F314" s="253">
        <v>42637</v>
      </c>
      <c r="G314" s="249" t="s">
        <v>739</v>
      </c>
      <c r="H314" s="249">
        <v>4082064921</v>
      </c>
      <c r="I314" s="249" t="s">
        <v>740</v>
      </c>
      <c r="J314" s="253">
        <v>45352</v>
      </c>
      <c r="K314" s="254"/>
      <c r="L314" s="254"/>
      <c r="M314" s="252"/>
      <c r="N314" s="245" t="s">
        <v>34</v>
      </c>
      <c r="O314" s="250">
        <v>45444</v>
      </c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</row>
    <row r="315" spans="1:46" ht="17.25" hidden="1" customHeight="1">
      <c r="A315" s="244">
        <v>64</v>
      </c>
      <c r="B315" s="245" t="s">
        <v>88</v>
      </c>
      <c r="C315" s="246" t="s">
        <v>409</v>
      </c>
      <c r="D315" s="246" t="s">
        <v>578</v>
      </c>
      <c r="E315" s="247">
        <v>1</v>
      </c>
      <c r="F315" s="248">
        <v>42483</v>
      </c>
      <c r="G315" s="249" t="s">
        <v>579</v>
      </c>
      <c r="H315" s="246">
        <v>6692460021</v>
      </c>
      <c r="I315" s="249" t="s">
        <v>580</v>
      </c>
      <c r="J315" s="248">
        <v>45174</v>
      </c>
      <c r="K315" s="249"/>
      <c r="L315" s="249"/>
      <c r="M315" s="246"/>
      <c r="N315" s="245" t="s">
        <v>34</v>
      </c>
      <c r="O315" s="250">
        <v>45444</v>
      </c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</row>
    <row r="316" spans="1:46" ht="17.25" hidden="1" customHeight="1">
      <c r="A316" s="234">
        <v>65</v>
      </c>
      <c r="B316" s="235" t="s">
        <v>48</v>
      </c>
      <c r="C316" s="304" t="s">
        <v>609</v>
      </c>
      <c r="D316" s="304" t="s">
        <v>791</v>
      </c>
      <c r="E316" s="305">
        <v>3</v>
      </c>
      <c r="F316" s="306">
        <v>42077</v>
      </c>
      <c r="G316" s="307" t="s">
        <v>610</v>
      </c>
      <c r="H316" s="304">
        <v>4085108805</v>
      </c>
      <c r="I316" s="307" t="s">
        <v>440</v>
      </c>
      <c r="J316" s="306">
        <v>45160</v>
      </c>
      <c r="K316" s="307"/>
      <c r="L316" s="307"/>
      <c r="M316" s="304" t="s">
        <v>260</v>
      </c>
      <c r="N316" s="235" t="s">
        <v>34</v>
      </c>
      <c r="O316" s="239">
        <v>45444</v>
      </c>
      <c r="P316" s="226"/>
      <c r="Q316" s="226"/>
      <c r="R316" s="226"/>
      <c r="S316" s="226"/>
      <c r="T316" s="226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6"/>
      <c r="AG316" s="226"/>
      <c r="AH316" s="226"/>
      <c r="AI316" s="226"/>
      <c r="AJ316" s="226"/>
      <c r="AK316" s="226"/>
      <c r="AL316" s="226"/>
      <c r="AM316" s="226"/>
      <c r="AN316" s="226"/>
      <c r="AO316" s="226"/>
      <c r="AP316" s="226"/>
      <c r="AQ316" s="226"/>
      <c r="AR316" s="226"/>
      <c r="AS316" s="226"/>
      <c r="AT316" s="226"/>
    </row>
    <row r="317" spans="1:46" ht="17.25" hidden="1" customHeight="1">
      <c r="A317" s="234">
        <v>66</v>
      </c>
      <c r="B317" s="235" t="s">
        <v>88</v>
      </c>
      <c r="C317" s="304" t="s">
        <v>609</v>
      </c>
      <c r="D317" s="304" t="s">
        <v>791</v>
      </c>
      <c r="E317" s="305">
        <v>3</v>
      </c>
      <c r="F317" s="306">
        <v>42077</v>
      </c>
      <c r="G317" s="307" t="s">
        <v>610</v>
      </c>
      <c r="H317" s="304">
        <v>4085108805</v>
      </c>
      <c r="I317" s="307" t="s">
        <v>440</v>
      </c>
      <c r="J317" s="306">
        <v>45160</v>
      </c>
      <c r="K317" s="307"/>
      <c r="L317" s="307"/>
      <c r="M317" s="304" t="s">
        <v>260</v>
      </c>
      <c r="N317" s="235" t="s">
        <v>34</v>
      </c>
      <c r="O317" s="239">
        <v>45444</v>
      </c>
      <c r="P317" s="226"/>
      <c r="Q317" s="226"/>
      <c r="R317" s="226"/>
      <c r="S317" s="226"/>
      <c r="T317" s="226"/>
      <c r="U317" s="226"/>
      <c r="V317" s="226"/>
      <c r="W317" s="226"/>
      <c r="X317" s="226"/>
      <c r="Y317" s="226"/>
      <c r="Z317" s="226"/>
      <c r="AA317" s="226"/>
      <c r="AB317" s="226"/>
      <c r="AC317" s="226"/>
      <c r="AD317" s="226"/>
      <c r="AE317" s="226"/>
      <c r="AF317" s="226"/>
      <c r="AG317" s="226"/>
      <c r="AH317" s="226"/>
      <c r="AI317" s="226"/>
      <c r="AJ317" s="226"/>
      <c r="AK317" s="226"/>
      <c r="AL317" s="226"/>
      <c r="AM317" s="226"/>
      <c r="AN317" s="226"/>
      <c r="AO317" s="226"/>
      <c r="AP317" s="226"/>
      <c r="AQ317" s="226"/>
      <c r="AR317" s="226"/>
      <c r="AS317" s="226"/>
      <c r="AT317" s="226"/>
    </row>
    <row r="318" spans="1:46" ht="17.25" hidden="1" customHeight="1">
      <c r="A318" s="244">
        <v>67</v>
      </c>
      <c r="B318" s="245" t="s">
        <v>48</v>
      </c>
      <c r="C318" s="246" t="s">
        <v>713</v>
      </c>
      <c r="D318" s="246" t="s">
        <v>792</v>
      </c>
      <c r="E318" s="247">
        <v>6</v>
      </c>
      <c r="F318" s="248">
        <v>41153</v>
      </c>
      <c r="G318" s="249" t="s">
        <v>714</v>
      </c>
      <c r="H318" s="246">
        <v>5108813622</v>
      </c>
      <c r="I318" s="249" t="s">
        <v>715</v>
      </c>
      <c r="J318" s="248">
        <v>45154</v>
      </c>
      <c r="K318" s="249"/>
      <c r="L318" s="249"/>
      <c r="M318" s="246"/>
      <c r="N318" s="245" t="s">
        <v>34</v>
      </c>
      <c r="O318" s="250">
        <v>45444</v>
      </c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</row>
    <row r="319" spans="1:46" ht="17.25" hidden="1" customHeight="1">
      <c r="A319" s="244">
        <v>68</v>
      </c>
      <c r="B319" s="245" t="s">
        <v>88</v>
      </c>
      <c r="C319" s="246" t="s">
        <v>713</v>
      </c>
      <c r="D319" s="246" t="s">
        <v>792</v>
      </c>
      <c r="E319" s="247">
        <v>6</v>
      </c>
      <c r="F319" s="248">
        <v>41153</v>
      </c>
      <c r="G319" s="249" t="s">
        <v>714</v>
      </c>
      <c r="H319" s="246">
        <v>5108813622</v>
      </c>
      <c r="I319" s="249" t="s">
        <v>715</v>
      </c>
      <c r="J319" s="248">
        <v>45154</v>
      </c>
      <c r="K319" s="249"/>
      <c r="L319" s="249"/>
      <c r="M319" s="246"/>
      <c r="N319" s="245" t="s">
        <v>34</v>
      </c>
      <c r="O319" s="250">
        <v>45444</v>
      </c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</row>
    <row r="320" spans="1:46" ht="17.25" hidden="1" customHeight="1">
      <c r="A320" s="234">
        <v>69</v>
      </c>
      <c r="B320" s="235" t="s">
        <v>88</v>
      </c>
      <c r="C320" s="304" t="s">
        <v>427</v>
      </c>
      <c r="D320" s="304" t="s">
        <v>431</v>
      </c>
      <c r="E320" s="305">
        <v>3</v>
      </c>
      <c r="F320" s="306">
        <v>42122</v>
      </c>
      <c r="G320" s="307" t="s">
        <v>745</v>
      </c>
      <c r="H320" s="304">
        <v>4087591928</v>
      </c>
      <c r="I320" s="307" t="s">
        <v>430</v>
      </c>
      <c r="J320" s="306">
        <v>45246</v>
      </c>
      <c r="K320" s="307"/>
      <c r="L320" s="307"/>
      <c r="M320" s="304" t="s">
        <v>746</v>
      </c>
      <c r="N320" s="235" t="s">
        <v>34</v>
      </c>
      <c r="O320" s="239">
        <v>45444</v>
      </c>
      <c r="P320" s="226"/>
      <c r="Q320" s="226"/>
      <c r="R320" s="226"/>
      <c r="S320" s="226"/>
      <c r="T320" s="226"/>
      <c r="U320" s="226"/>
      <c r="V320" s="226"/>
      <c r="W320" s="226"/>
      <c r="X320" s="226"/>
      <c r="Y320" s="226"/>
      <c r="Z320" s="226"/>
      <c r="AA320" s="226"/>
      <c r="AB320" s="226"/>
      <c r="AC320" s="226"/>
      <c r="AD320" s="226"/>
      <c r="AE320" s="226"/>
      <c r="AF320" s="226"/>
      <c r="AG320" s="226"/>
      <c r="AH320" s="226"/>
      <c r="AI320" s="226"/>
      <c r="AJ320" s="226"/>
      <c r="AK320" s="226"/>
      <c r="AL320" s="226"/>
      <c r="AM320" s="226"/>
      <c r="AN320" s="226"/>
      <c r="AO320" s="226"/>
      <c r="AP320" s="226"/>
      <c r="AQ320" s="226"/>
      <c r="AR320" s="226"/>
      <c r="AS320" s="226"/>
      <c r="AT320" s="226"/>
    </row>
    <row r="321" spans="1:46" ht="17.25" hidden="1" customHeight="1">
      <c r="A321" s="244">
        <v>70</v>
      </c>
      <c r="B321" s="245" t="s">
        <v>88</v>
      </c>
      <c r="C321" s="252" t="s">
        <v>604</v>
      </c>
      <c r="D321" s="252" t="s">
        <v>613</v>
      </c>
      <c r="E321" s="244">
        <v>6</v>
      </c>
      <c r="F321" s="253">
        <v>40961</v>
      </c>
      <c r="G321" s="249" t="s">
        <v>749</v>
      </c>
      <c r="H321" s="249">
        <v>4087977701</v>
      </c>
      <c r="I321" s="249" t="s">
        <v>607</v>
      </c>
      <c r="J321" s="253">
        <v>45323</v>
      </c>
      <c r="K321" s="254"/>
      <c r="L321" s="254"/>
      <c r="M321" s="252" t="s">
        <v>750</v>
      </c>
      <c r="N321" s="245" t="s">
        <v>34</v>
      </c>
      <c r="O321" s="250">
        <v>45444</v>
      </c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</row>
    <row r="322" spans="1:46" ht="17.25" hidden="1" customHeight="1">
      <c r="A322" s="256">
        <v>1</v>
      </c>
      <c r="B322" s="265" t="s">
        <v>48</v>
      </c>
      <c r="C322" s="271" t="s">
        <v>462</v>
      </c>
      <c r="D322" s="271" t="s">
        <v>793</v>
      </c>
      <c r="E322" s="256">
        <v>3</v>
      </c>
      <c r="F322" s="267">
        <v>42387</v>
      </c>
      <c r="G322" s="269" t="s">
        <v>794</v>
      </c>
      <c r="H322" s="266">
        <v>9258603355</v>
      </c>
      <c r="I322" s="269" t="s">
        <v>795</v>
      </c>
      <c r="J322" s="267">
        <v>45231</v>
      </c>
      <c r="K322" s="269"/>
      <c r="L322" s="269"/>
      <c r="M322" s="266" t="s">
        <v>796</v>
      </c>
      <c r="N322" s="265" t="s">
        <v>34</v>
      </c>
      <c r="O322" s="275">
        <v>45474</v>
      </c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spans="1:46" ht="17.25" hidden="1" customHeight="1">
      <c r="A323" s="256">
        <v>2</v>
      </c>
      <c r="B323" s="265" t="s">
        <v>88</v>
      </c>
      <c r="C323" s="271" t="s">
        <v>462</v>
      </c>
      <c r="D323" s="271" t="s">
        <v>793</v>
      </c>
      <c r="E323" s="256">
        <v>3</v>
      </c>
      <c r="F323" s="267">
        <v>42387</v>
      </c>
      <c r="G323" s="269" t="s">
        <v>794</v>
      </c>
      <c r="H323" s="266">
        <v>9258603355</v>
      </c>
      <c r="I323" s="269" t="s">
        <v>795</v>
      </c>
      <c r="J323" s="267">
        <v>45231</v>
      </c>
      <c r="K323" s="269"/>
      <c r="L323" s="269"/>
      <c r="M323" s="266" t="s">
        <v>796</v>
      </c>
      <c r="N323" s="265" t="s">
        <v>34</v>
      </c>
      <c r="O323" s="275">
        <v>45474</v>
      </c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spans="1:46" ht="17.25" hidden="1" customHeight="1">
      <c r="A324" s="256">
        <v>3</v>
      </c>
      <c r="B324" s="265" t="s">
        <v>48</v>
      </c>
      <c r="C324" s="272" t="s">
        <v>797</v>
      </c>
      <c r="D324" s="272" t="s">
        <v>798</v>
      </c>
      <c r="E324" s="273">
        <v>2</v>
      </c>
      <c r="F324" s="274">
        <v>42521</v>
      </c>
      <c r="G324" s="268" t="s">
        <v>799</v>
      </c>
      <c r="H324" s="272">
        <v>4089311977</v>
      </c>
      <c r="I324" s="268" t="s">
        <v>800</v>
      </c>
      <c r="J324" s="274">
        <v>45161</v>
      </c>
      <c r="K324" s="268"/>
      <c r="L324" s="268"/>
      <c r="M324" s="272" t="s">
        <v>801</v>
      </c>
      <c r="N324" s="265" t="s">
        <v>34</v>
      </c>
      <c r="O324" s="275">
        <v>45474</v>
      </c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spans="1:46" ht="17.25" hidden="1" customHeight="1">
      <c r="A325" s="256">
        <v>4</v>
      </c>
      <c r="B325" s="265" t="s">
        <v>88</v>
      </c>
      <c r="C325" s="272" t="s">
        <v>797</v>
      </c>
      <c r="D325" s="272" t="s">
        <v>798</v>
      </c>
      <c r="E325" s="273">
        <v>2</v>
      </c>
      <c r="F325" s="274">
        <v>42521</v>
      </c>
      <c r="G325" s="268" t="s">
        <v>799</v>
      </c>
      <c r="H325" s="272">
        <v>4089311977</v>
      </c>
      <c r="I325" s="268" t="s">
        <v>800</v>
      </c>
      <c r="J325" s="274">
        <v>45161</v>
      </c>
      <c r="K325" s="268"/>
      <c r="L325" s="268"/>
      <c r="M325" s="272" t="s">
        <v>801</v>
      </c>
      <c r="N325" s="265" t="s">
        <v>34</v>
      </c>
      <c r="O325" s="275">
        <v>45474</v>
      </c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 spans="1:46" ht="17.25" hidden="1" customHeight="1">
      <c r="A326" s="256">
        <v>5</v>
      </c>
      <c r="B326" s="265" t="s">
        <v>48</v>
      </c>
      <c r="C326" s="272" t="s">
        <v>802</v>
      </c>
      <c r="D326" s="272" t="s">
        <v>803</v>
      </c>
      <c r="E326" s="273">
        <v>1</v>
      </c>
      <c r="F326" s="274" t="s">
        <v>804</v>
      </c>
      <c r="G326" s="268" t="s">
        <v>805</v>
      </c>
      <c r="H326" s="272">
        <v>5105654841</v>
      </c>
      <c r="I326" s="268" t="s">
        <v>806</v>
      </c>
      <c r="J326" s="274" t="s">
        <v>331</v>
      </c>
      <c r="K326" s="268"/>
      <c r="L326" s="268"/>
      <c r="M326" s="272"/>
      <c r="N326" s="265" t="s">
        <v>34</v>
      </c>
      <c r="O326" s="275">
        <v>45474</v>
      </c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 spans="1:46" ht="17.25" hidden="1" customHeight="1">
      <c r="A327" s="256">
        <v>6</v>
      </c>
      <c r="B327" s="265" t="s">
        <v>88</v>
      </c>
      <c r="C327" s="272" t="s">
        <v>802</v>
      </c>
      <c r="D327" s="272" t="s">
        <v>803</v>
      </c>
      <c r="E327" s="273">
        <v>1</v>
      </c>
      <c r="F327" s="274" t="s">
        <v>804</v>
      </c>
      <c r="G327" s="268" t="s">
        <v>805</v>
      </c>
      <c r="H327" s="272">
        <v>5105654841</v>
      </c>
      <c r="I327" s="268" t="s">
        <v>806</v>
      </c>
      <c r="J327" s="274" t="s">
        <v>331</v>
      </c>
      <c r="K327" s="268"/>
      <c r="L327" s="268"/>
      <c r="M327" s="272"/>
      <c r="N327" s="265" t="s">
        <v>34</v>
      </c>
      <c r="O327" s="275">
        <v>45474</v>
      </c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 spans="1:46" ht="17.25" hidden="1" customHeight="1">
      <c r="A328" s="310">
        <v>7</v>
      </c>
      <c r="B328" s="311" t="s">
        <v>48</v>
      </c>
      <c r="C328" s="312" t="s">
        <v>587</v>
      </c>
      <c r="D328" s="312" t="s">
        <v>807</v>
      </c>
      <c r="E328" s="310">
        <v>2</v>
      </c>
      <c r="F328" s="313">
        <v>42933</v>
      </c>
      <c r="G328" s="314" t="s">
        <v>808</v>
      </c>
      <c r="H328" s="314">
        <v>4083986905</v>
      </c>
      <c r="I328" s="314" t="s">
        <v>809</v>
      </c>
      <c r="J328" s="313">
        <v>45323</v>
      </c>
      <c r="K328" s="315"/>
      <c r="L328" s="315"/>
      <c r="M328" s="312" t="s">
        <v>810</v>
      </c>
      <c r="N328" s="311" t="s">
        <v>34</v>
      </c>
      <c r="O328" s="316">
        <v>45474</v>
      </c>
      <c r="P328" s="317"/>
      <c r="Q328" s="317"/>
      <c r="R328" s="317"/>
      <c r="S328" s="317"/>
      <c r="T328" s="317"/>
      <c r="U328" s="317"/>
      <c r="V328" s="317"/>
      <c r="W328" s="317"/>
      <c r="X328" s="317"/>
      <c r="Y328" s="317"/>
      <c r="Z328" s="317"/>
      <c r="AA328" s="317"/>
      <c r="AB328" s="317"/>
      <c r="AC328" s="317"/>
      <c r="AD328" s="317"/>
      <c r="AE328" s="317"/>
      <c r="AF328" s="317"/>
      <c r="AG328" s="317"/>
      <c r="AH328" s="317"/>
      <c r="AI328" s="317"/>
      <c r="AJ328" s="317"/>
      <c r="AK328" s="317"/>
      <c r="AL328" s="317"/>
      <c r="AM328" s="317"/>
      <c r="AN328" s="317"/>
      <c r="AO328" s="317"/>
      <c r="AP328" s="317"/>
      <c r="AQ328" s="317"/>
      <c r="AR328" s="317"/>
      <c r="AS328" s="317"/>
      <c r="AT328" s="317"/>
    </row>
    <row r="329" spans="1:46" ht="17.25" hidden="1" customHeight="1">
      <c r="A329" s="310">
        <v>8</v>
      </c>
      <c r="B329" s="311" t="s">
        <v>88</v>
      </c>
      <c r="C329" s="312" t="s">
        <v>587</v>
      </c>
      <c r="D329" s="312" t="s">
        <v>807</v>
      </c>
      <c r="E329" s="310">
        <v>2</v>
      </c>
      <c r="F329" s="313">
        <v>42933</v>
      </c>
      <c r="G329" s="314" t="s">
        <v>808</v>
      </c>
      <c r="H329" s="314">
        <v>4083986905</v>
      </c>
      <c r="I329" s="314" t="s">
        <v>809</v>
      </c>
      <c r="J329" s="313">
        <v>45323</v>
      </c>
      <c r="K329" s="315"/>
      <c r="L329" s="315"/>
      <c r="M329" s="312" t="s">
        <v>810</v>
      </c>
      <c r="N329" s="311" t="s">
        <v>34</v>
      </c>
      <c r="O329" s="316">
        <v>45474</v>
      </c>
      <c r="P329" s="317"/>
      <c r="Q329" s="317"/>
      <c r="R329" s="317"/>
      <c r="S329" s="317"/>
      <c r="T329" s="317"/>
      <c r="U329" s="317"/>
      <c r="V329" s="317"/>
      <c r="W329" s="317"/>
      <c r="X329" s="317"/>
      <c r="Y329" s="317"/>
      <c r="Z329" s="317"/>
      <c r="AA329" s="317"/>
      <c r="AB329" s="317"/>
      <c r="AC329" s="317"/>
      <c r="AD329" s="317"/>
      <c r="AE329" s="317"/>
      <c r="AF329" s="317"/>
      <c r="AG329" s="317"/>
      <c r="AH329" s="317"/>
      <c r="AI329" s="317"/>
      <c r="AJ329" s="317"/>
      <c r="AK329" s="317"/>
      <c r="AL329" s="317"/>
      <c r="AM329" s="317"/>
      <c r="AN329" s="317"/>
      <c r="AO329" s="317"/>
      <c r="AP329" s="317"/>
      <c r="AQ329" s="317"/>
      <c r="AR329" s="317"/>
      <c r="AS329" s="317"/>
      <c r="AT329" s="317"/>
    </row>
    <row r="330" spans="1:46" ht="17.25" hidden="1" customHeight="1">
      <c r="A330" s="310">
        <v>9</v>
      </c>
      <c r="B330" s="311" t="s">
        <v>48</v>
      </c>
      <c r="C330" s="312" t="s">
        <v>368</v>
      </c>
      <c r="D330" s="312" t="s">
        <v>369</v>
      </c>
      <c r="E330" s="310" t="s">
        <v>153</v>
      </c>
      <c r="F330" s="313">
        <v>42867</v>
      </c>
      <c r="G330" s="314" t="s">
        <v>370</v>
      </c>
      <c r="H330" s="314">
        <v>4086432868</v>
      </c>
      <c r="I330" s="314" t="s">
        <v>371</v>
      </c>
      <c r="J330" s="313">
        <v>45154</v>
      </c>
      <c r="K330" s="315"/>
      <c r="L330" s="315"/>
      <c r="M330" s="312" t="s">
        <v>811</v>
      </c>
      <c r="N330" s="311" t="s">
        <v>34</v>
      </c>
      <c r="O330" s="316">
        <v>45474</v>
      </c>
      <c r="P330" s="317"/>
      <c r="Q330" s="317"/>
      <c r="R330" s="317"/>
      <c r="S330" s="317"/>
      <c r="T330" s="317"/>
      <c r="U330" s="317"/>
      <c r="V330" s="317"/>
      <c r="W330" s="317"/>
      <c r="X330" s="317"/>
      <c r="Y330" s="317"/>
      <c r="Z330" s="317"/>
      <c r="AA330" s="317"/>
      <c r="AB330" s="317"/>
      <c r="AC330" s="317"/>
      <c r="AD330" s="317"/>
      <c r="AE330" s="317"/>
      <c r="AF330" s="317"/>
      <c r="AG330" s="317"/>
      <c r="AH330" s="317"/>
      <c r="AI330" s="317"/>
      <c r="AJ330" s="317"/>
      <c r="AK330" s="317"/>
      <c r="AL330" s="317"/>
      <c r="AM330" s="317"/>
      <c r="AN330" s="317"/>
      <c r="AO330" s="317"/>
      <c r="AP330" s="317"/>
      <c r="AQ330" s="317"/>
      <c r="AR330" s="317"/>
      <c r="AS330" s="317"/>
      <c r="AT330" s="317"/>
    </row>
    <row r="331" spans="1:46" ht="17.25" hidden="1" customHeight="1">
      <c r="A331" s="310">
        <v>10</v>
      </c>
      <c r="B331" s="311" t="s">
        <v>88</v>
      </c>
      <c r="C331" s="312" t="s">
        <v>368</v>
      </c>
      <c r="D331" s="312" t="s">
        <v>369</v>
      </c>
      <c r="E331" s="310" t="s">
        <v>153</v>
      </c>
      <c r="F331" s="313">
        <v>42867</v>
      </c>
      <c r="G331" s="314" t="s">
        <v>370</v>
      </c>
      <c r="H331" s="314">
        <v>4086432868</v>
      </c>
      <c r="I331" s="314" t="s">
        <v>371</v>
      </c>
      <c r="J331" s="313">
        <v>45154</v>
      </c>
      <c r="K331" s="315"/>
      <c r="L331" s="315"/>
      <c r="M331" s="312" t="s">
        <v>810</v>
      </c>
      <c r="N331" s="311" t="s">
        <v>34</v>
      </c>
      <c r="O331" s="316">
        <v>45474</v>
      </c>
      <c r="P331" s="317"/>
      <c r="Q331" s="317"/>
      <c r="R331" s="317"/>
      <c r="S331" s="317"/>
      <c r="T331" s="317"/>
      <c r="U331" s="317"/>
      <c r="V331" s="317"/>
      <c r="W331" s="317"/>
      <c r="X331" s="317"/>
      <c r="Y331" s="317"/>
      <c r="Z331" s="317"/>
      <c r="AA331" s="317"/>
      <c r="AB331" s="317"/>
      <c r="AC331" s="317"/>
      <c r="AD331" s="317"/>
      <c r="AE331" s="317"/>
      <c r="AF331" s="317"/>
      <c r="AG331" s="317"/>
      <c r="AH331" s="317"/>
      <c r="AI331" s="317"/>
      <c r="AJ331" s="317"/>
      <c r="AK331" s="317"/>
      <c r="AL331" s="317"/>
      <c r="AM331" s="317"/>
      <c r="AN331" s="317"/>
      <c r="AO331" s="317"/>
      <c r="AP331" s="317"/>
      <c r="AQ331" s="317"/>
      <c r="AR331" s="317"/>
      <c r="AS331" s="317"/>
      <c r="AT331" s="317"/>
    </row>
    <row r="332" spans="1:46" ht="17.25" hidden="1" customHeight="1">
      <c r="A332" s="256">
        <v>11</v>
      </c>
      <c r="B332" s="265" t="s">
        <v>48</v>
      </c>
      <c r="C332" s="271" t="s">
        <v>458</v>
      </c>
      <c r="D332" s="271" t="s">
        <v>812</v>
      </c>
      <c r="E332" s="256">
        <v>5</v>
      </c>
      <c r="F332" s="267">
        <v>41298</v>
      </c>
      <c r="G332" s="269" t="s">
        <v>813</v>
      </c>
      <c r="H332" s="266">
        <v>7138395988</v>
      </c>
      <c r="I332" s="269" t="s">
        <v>477</v>
      </c>
      <c r="J332" s="267">
        <v>45124</v>
      </c>
      <c r="K332" s="269"/>
      <c r="L332" s="269"/>
      <c r="M332" s="266" t="s">
        <v>814</v>
      </c>
      <c r="N332" s="265" t="s">
        <v>34</v>
      </c>
      <c r="O332" s="275">
        <v>45474</v>
      </c>
      <c r="P332" s="31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  <c r="AA332" s="268"/>
      <c r="AB332" s="268"/>
      <c r="AC332" s="268"/>
      <c r="AD332" s="268"/>
      <c r="AE332" s="268"/>
      <c r="AF332" s="268"/>
      <c r="AG332" s="268"/>
      <c r="AH332" s="268"/>
      <c r="AI332" s="268"/>
      <c r="AJ332" s="268"/>
      <c r="AK332" s="268"/>
      <c r="AL332" s="268"/>
      <c r="AM332" s="268"/>
      <c r="AN332" s="268"/>
      <c r="AO332" s="268"/>
      <c r="AP332" s="268"/>
      <c r="AQ332" s="268"/>
      <c r="AR332" s="268"/>
      <c r="AS332" s="268"/>
      <c r="AT332" s="268"/>
    </row>
    <row r="333" spans="1:46" ht="17.25" hidden="1" customHeight="1">
      <c r="A333" s="256">
        <v>12</v>
      </c>
      <c r="B333" s="265" t="s">
        <v>88</v>
      </c>
      <c r="C333" s="271" t="s">
        <v>458</v>
      </c>
      <c r="D333" s="271" t="s">
        <v>812</v>
      </c>
      <c r="E333" s="256">
        <v>5</v>
      </c>
      <c r="F333" s="267">
        <v>41298</v>
      </c>
      <c r="G333" s="269" t="s">
        <v>813</v>
      </c>
      <c r="H333" s="266">
        <v>7138395988</v>
      </c>
      <c r="I333" s="269" t="s">
        <v>477</v>
      </c>
      <c r="J333" s="267">
        <v>45124</v>
      </c>
      <c r="K333" s="269"/>
      <c r="L333" s="269"/>
      <c r="M333" s="266" t="s">
        <v>814</v>
      </c>
      <c r="N333" s="265" t="s">
        <v>34</v>
      </c>
      <c r="O333" s="275">
        <v>45474</v>
      </c>
      <c r="P333" s="31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  <c r="AA333" s="268"/>
      <c r="AB333" s="268"/>
      <c r="AC333" s="268"/>
      <c r="AD333" s="268"/>
      <c r="AE333" s="268"/>
      <c r="AF333" s="268"/>
      <c r="AG333" s="268"/>
      <c r="AH333" s="268"/>
      <c r="AI333" s="268"/>
      <c r="AJ333" s="268"/>
      <c r="AK333" s="268"/>
      <c r="AL333" s="268"/>
      <c r="AM333" s="268"/>
      <c r="AN333" s="268"/>
      <c r="AO333" s="268"/>
      <c r="AP333" s="268"/>
      <c r="AQ333" s="268"/>
      <c r="AR333" s="268"/>
      <c r="AS333" s="268"/>
      <c r="AT333" s="268"/>
    </row>
    <row r="334" spans="1:46" ht="17.25" hidden="1" customHeight="1">
      <c r="A334" s="319">
        <v>1</v>
      </c>
      <c r="B334" s="320" t="s">
        <v>48</v>
      </c>
      <c r="C334" s="321" t="s">
        <v>167</v>
      </c>
      <c r="D334" s="321" t="s">
        <v>815</v>
      </c>
      <c r="E334" s="322">
        <v>5</v>
      </c>
      <c r="F334" s="323" t="s">
        <v>816</v>
      </c>
      <c r="G334" s="324" t="s">
        <v>817</v>
      </c>
      <c r="H334" s="321">
        <v>6506053215</v>
      </c>
      <c r="I334" s="324" t="s">
        <v>818</v>
      </c>
      <c r="J334" s="323" t="s">
        <v>819</v>
      </c>
      <c r="K334" s="324"/>
      <c r="L334" s="324"/>
      <c r="M334" s="321"/>
      <c r="N334" s="320" t="s">
        <v>34</v>
      </c>
      <c r="O334" s="325">
        <v>45505</v>
      </c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spans="1:46" ht="17.25" hidden="1" customHeight="1">
      <c r="A335" s="319">
        <v>2</v>
      </c>
      <c r="B335" s="320" t="s">
        <v>88</v>
      </c>
      <c r="C335" s="321" t="s">
        <v>167</v>
      </c>
      <c r="D335" s="321" t="s">
        <v>815</v>
      </c>
      <c r="E335" s="322">
        <v>5</v>
      </c>
      <c r="F335" s="323" t="s">
        <v>816</v>
      </c>
      <c r="G335" s="324" t="s">
        <v>817</v>
      </c>
      <c r="H335" s="321">
        <v>6506053215</v>
      </c>
      <c r="I335" s="324" t="s">
        <v>818</v>
      </c>
      <c r="J335" s="323" t="s">
        <v>819</v>
      </c>
      <c r="K335" s="324"/>
      <c r="L335" s="324"/>
      <c r="M335" s="321" t="s">
        <v>820</v>
      </c>
      <c r="N335" s="320" t="s">
        <v>34</v>
      </c>
      <c r="O335" s="325">
        <v>45505</v>
      </c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spans="1:46" ht="17.25" hidden="1" customHeight="1">
      <c r="A336" s="319">
        <v>3</v>
      </c>
      <c r="B336" s="320" t="s">
        <v>48</v>
      </c>
      <c r="C336" s="321" t="s">
        <v>821</v>
      </c>
      <c r="D336" s="321" t="s">
        <v>822</v>
      </c>
      <c r="E336" s="322">
        <v>6</v>
      </c>
      <c r="F336" s="323" t="s">
        <v>823</v>
      </c>
      <c r="G336" s="324" t="s">
        <v>824</v>
      </c>
      <c r="H336" s="321" t="s">
        <v>825</v>
      </c>
      <c r="I336" s="324" t="s">
        <v>826</v>
      </c>
      <c r="J336" s="323" t="s">
        <v>827</v>
      </c>
      <c r="K336" s="324"/>
      <c r="L336" s="324"/>
      <c r="M336" s="321" t="s">
        <v>828</v>
      </c>
      <c r="N336" s="320" t="s">
        <v>34</v>
      </c>
      <c r="O336" s="325">
        <v>45505</v>
      </c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spans="1:46" ht="17.25" hidden="1" customHeight="1">
      <c r="A337" s="319">
        <v>4</v>
      </c>
      <c r="B337" s="320" t="s">
        <v>88</v>
      </c>
      <c r="C337" s="321" t="s">
        <v>821</v>
      </c>
      <c r="D337" s="321" t="s">
        <v>822</v>
      </c>
      <c r="E337" s="322">
        <v>6</v>
      </c>
      <c r="F337" s="323" t="s">
        <v>823</v>
      </c>
      <c r="G337" s="324" t="s">
        <v>824</v>
      </c>
      <c r="H337" s="321" t="s">
        <v>825</v>
      </c>
      <c r="I337" s="324" t="s">
        <v>826</v>
      </c>
      <c r="J337" s="323" t="s">
        <v>827</v>
      </c>
      <c r="K337" s="324"/>
      <c r="L337" s="324"/>
      <c r="M337" s="321" t="s">
        <v>828</v>
      </c>
      <c r="N337" s="320" t="s">
        <v>34</v>
      </c>
      <c r="O337" s="325">
        <v>45505</v>
      </c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spans="1:46" ht="17.25" hidden="1" customHeight="1">
      <c r="A338" s="319">
        <v>5</v>
      </c>
      <c r="B338" s="320" t="s">
        <v>48</v>
      </c>
      <c r="C338" s="321" t="s">
        <v>821</v>
      </c>
      <c r="D338" s="321" t="s">
        <v>829</v>
      </c>
      <c r="E338" s="322">
        <v>9</v>
      </c>
      <c r="F338" s="323" t="s">
        <v>830</v>
      </c>
      <c r="G338" s="324" t="s">
        <v>824</v>
      </c>
      <c r="H338" s="321" t="s">
        <v>825</v>
      </c>
      <c r="I338" s="324" t="s">
        <v>826</v>
      </c>
      <c r="J338" s="323" t="s">
        <v>827</v>
      </c>
      <c r="K338" s="324"/>
      <c r="L338" s="324"/>
      <c r="M338" s="321" t="s">
        <v>828</v>
      </c>
      <c r="N338" s="320" t="s">
        <v>34</v>
      </c>
      <c r="O338" s="325">
        <v>45505</v>
      </c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spans="1:46" ht="17.25" hidden="1" customHeight="1">
      <c r="A339" s="319">
        <v>6</v>
      </c>
      <c r="B339" s="320" t="s">
        <v>88</v>
      </c>
      <c r="C339" s="321" t="s">
        <v>821</v>
      </c>
      <c r="D339" s="321" t="s">
        <v>829</v>
      </c>
      <c r="E339" s="322">
        <v>9</v>
      </c>
      <c r="F339" s="323" t="s">
        <v>830</v>
      </c>
      <c r="G339" s="324" t="s">
        <v>824</v>
      </c>
      <c r="H339" s="321" t="s">
        <v>825</v>
      </c>
      <c r="I339" s="324" t="s">
        <v>826</v>
      </c>
      <c r="J339" s="323" t="s">
        <v>827</v>
      </c>
      <c r="K339" s="324"/>
      <c r="L339" s="324"/>
      <c r="M339" s="321" t="s">
        <v>828</v>
      </c>
      <c r="N339" s="320" t="s">
        <v>34</v>
      </c>
      <c r="O339" s="325">
        <v>45505</v>
      </c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spans="1:46" ht="17.25" hidden="1" customHeight="1">
      <c r="A340" s="319">
        <v>7</v>
      </c>
      <c r="B340" s="320" t="s">
        <v>48</v>
      </c>
      <c r="C340" s="321" t="s">
        <v>831</v>
      </c>
      <c r="D340" s="321" t="s">
        <v>832</v>
      </c>
      <c r="E340" s="322">
        <v>1</v>
      </c>
      <c r="F340" s="323" t="s">
        <v>833</v>
      </c>
      <c r="G340" s="324" t="s">
        <v>834</v>
      </c>
      <c r="H340" s="321" t="s">
        <v>835</v>
      </c>
      <c r="I340" s="324" t="s">
        <v>836</v>
      </c>
      <c r="J340" s="323" t="s">
        <v>837</v>
      </c>
      <c r="K340" s="324"/>
      <c r="L340" s="324"/>
      <c r="M340" s="321" t="s">
        <v>568</v>
      </c>
      <c r="N340" s="320" t="s">
        <v>34</v>
      </c>
      <c r="O340" s="325">
        <v>45505</v>
      </c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spans="1:46" ht="17.25" hidden="1" customHeight="1">
      <c r="A341" s="319">
        <v>8</v>
      </c>
      <c r="B341" s="320" t="s">
        <v>88</v>
      </c>
      <c r="C341" s="321" t="s">
        <v>831</v>
      </c>
      <c r="D341" s="321" t="s">
        <v>832</v>
      </c>
      <c r="E341" s="322">
        <v>1</v>
      </c>
      <c r="F341" s="323" t="s">
        <v>833</v>
      </c>
      <c r="G341" s="324" t="s">
        <v>834</v>
      </c>
      <c r="H341" s="321" t="s">
        <v>835</v>
      </c>
      <c r="I341" s="324" t="s">
        <v>836</v>
      </c>
      <c r="J341" s="323" t="s">
        <v>837</v>
      </c>
      <c r="K341" s="324"/>
      <c r="L341" s="324"/>
      <c r="M341" s="321" t="s">
        <v>568</v>
      </c>
      <c r="N341" s="320" t="s">
        <v>34</v>
      </c>
      <c r="O341" s="325">
        <v>45505</v>
      </c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spans="1:46" ht="17.25" hidden="1" customHeight="1">
      <c r="A342" s="319">
        <v>9</v>
      </c>
      <c r="B342" s="320" t="s">
        <v>48</v>
      </c>
      <c r="C342" s="321" t="s">
        <v>381</v>
      </c>
      <c r="D342" s="321" t="s">
        <v>386</v>
      </c>
      <c r="E342" s="322">
        <v>1</v>
      </c>
      <c r="F342" s="323">
        <v>42086</v>
      </c>
      <c r="G342" s="324" t="s">
        <v>387</v>
      </c>
      <c r="H342" s="321">
        <v>5109848496</v>
      </c>
      <c r="I342" s="324" t="s">
        <v>388</v>
      </c>
      <c r="J342" s="323">
        <v>45174</v>
      </c>
      <c r="K342" s="324"/>
      <c r="L342" s="324"/>
      <c r="M342" s="321" t="s">
        <v>838</v>
      </c>
      <c r="N342" s="320" t="s">
        <v>34</v>
      </c>
      <c r="O342" s="325">
        <v>45505</v>
      </c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spans="1:46" ht="17.25" hidden="1" customHeight="1">
      <c r="A343" s="319">
        <v>10</v>
      </c>
      <c r="B343" s="320" t="s">
        <v>88</v>
      </c>
      <c r="C343" s="321" t="s">
        <v>381</v>
      </c>
      <c r="D343" s="321" t="s">
        <v>386</v>
      </c>
      <c r="E343" s="322">
        <v>1</v>
      </c>
      <c r="F343" s="323">
        <v>42086</v>
      </c>
      <c r="G343" s="324" t="s">
        <v>387</v>
      </c>
      <c r="H343" s="321">
        <v>5109848496</v>
      </c>
      <c r="I343" s="324" t="s">
        <v>388</v>
      </c>
      <c r="J343" s="323">
        <v>45174</v>
      </c>
      <c r="K343" s="324"/>
      <c r="L343" s="324"/>
      <c r="M343" s="321" t="s">
        <v>838</v>
      </c>
      <c r="N343" s="320" t="s">
        <v>34</v>
      </c>
      <c r="O343" s="325">
        <v>45505</v>
      </c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spans="1:46" ht="17.25" hidden="1" customHeight="1">
      <c r="A344" s="319">
        <v>11</v>
      </c>
      <c r="B344" s="320" t="s">
        <v>48</v>
      </c>
      <c r="C344" s="321" t="s">
        <v>839</v>
      </c>
      <c r="D344" s="321" t="s">
        <v>840</v>
      </c>
      <c r="E344" s="322">
        <v>5</v>
      </c>
      <c r="F344" s="323" t="s">
        <v>841</v>
      </c>
      <c r="G344" s="324" t="s">
        <v>842</v>
      </c>
      <c r="H344" s="321">
        <v>5105098478</v>
      </c>
      <c r="I344" s="324" t="s">
        <v>843</v>
      </c>
      <c r="J344" s="323" t="s">
        <v>844</v>
      </c>
      <c r="K344" s="324"/>
      <c r="L344" s="324"/>
      <c r="M344" s="321"/>
      <c r="N344" s="320" t="s">
        <v>34</v>
      </c>
      <c r="O344" s="325">
        <v>45505</v>
      </c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spans="1:46" ht="17.25" hidden="1" customHeight="1">
      <c r="A345" s="319">
        <v>12</v>
      </c>
      <c r="B345" s="320" t="s">
        <v>88</v>
      </c>
      <c r="C345" s="321" t="s">
        <v>839</v>
      </c>
      <c r="D345" s="321" t="s">
        <v>840</v>
      </c>
      <c r="E345" s="322">
        <v>5</v>
      </c>
      <c r="F345" s="323" t="s">
        <v>841</v>
      </c>
      <c r="G345" s="324" t="s">
        <v>842</v>
      </c>
      <c r="H345" s="321">
        <v>5105098478</v>
      </c>
      <c r="I345" s="324" t="s">
        <v>843</v>
      </c>
      <c r="J345" s="323" t="s">
        <v>844</v>
      </c>
      <c r="K345" s="324"/>
      <c r="L345" s="324"/>
      <c r="M345" s="321" t="s">
        <v>820</v>
      </c>
      <c r="N345" s="320" t="s">
        <v>34</v>
      </c>
      <c r="O345" s="325">
        <v>45505</v>
      </c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 spans="1:46" ht="15" hidden="1" customHeight="1">
      <c r="A346" s="326">
        <v>1</v>
      </c>
      <c r="B346" s="327" t="s">
        <v>48</v>
      </c>
      <c r="C346" s="328" t="s">
        <v>845</v>
      </c>
      <c r="D346" s="328" t="s">
        <v>846</v>
      </c>
      <c r="E346" s="329" t="s">
        <v>847</v>
      </c>
      <c r="F346" s="330" t="s">
        <v>848</v>
      </c>
      <c r="G346" s="331" t="s">
        <v>542</v>
      </c>
      <c r="H346" s="332">
        <v>4158287529</v>
      </c>
      <c r="I346" s="331" t="s">
        <v>253</v>
      </c>
      <c r="J346" s="330" t="s">
        <v>849</v>
      </c>
      <c r="K346" s="331"/>
      <c r="L346" s="331"/>
      <c r="M346" s="328"/>
      <c r="N346" s="327" t="s">
        <v>34</v>
      </c>
      <c r="O346" s="333">
        <v>45536</v>
      </c>
      <c r="P346" s="334"/>
      <c r="Q346" s="334"/>
      <c r="R346" s="334"/>
      <c r="S346" s="334"/>
      <c r="T346" s="334"/>
      <c r="U346" s="334"/>
      <c r="V346" s="334"/>
      <c r="W346" s="334"/>
      <c r="X346" s="334"/>
      <c r="Y346" s="334"/>
      <c r="Z346" s="334"/>
      <c r="AA346" s="334"/>
      <c r="AB346" s="334"/>
      <c r="AC346" s="334"/>
      <c r="AD346" s="334"/>
      <c r="AE346" s="334"/>
      <c r="AF346" s="334"/>
      <c r="AG346" s="334"/>
      <c r="AH346" s="334"/>
      <c r="AI346" s="334"/>
      <c r="AJ346" s="334"/>
      <c r="AK346" s="334"/>
      <c r="AL346" s="334"/>
      <c r="AM346" s="334"/>
      <c r="AN346" s="334"/>
      <c r="AO346" s="334"/>
      <c r="AP346" s="334"/>
      <c r="AQ346" s="334"/>
      <c r="AR346" s="334"/>
      <c r="AS346" s="334"/>
      <c r="AT346" s="334"/>
    </row>
    <row r="347" spans="1:46" ht="15" hidden="1" customHeight="1">
      <c r="A347" s="326">
        <v>2</v>
      </c>
      <c r="B347" s="327" t="s">
        <v>88</v>
      </c>
      <c r="C347" s="328" t="s">
        <v>845</v>
      </c>
      <c r="D347" s="328" t="s">
        <v>846</v>
      </c>
      <c r="E347" s="329" t="s">
        <v>847</v>
      </c>
      <c r="F347" s="330" t="s">
        <v>848</v>
      </c>
      <c r="G347" s="331" t="s">
        <v>542</v>
      </c>
      <c r="H347" s="332">
        <v>4158287529</v>
      </c>
      <c r="I347" s="331" t="s">
        <v>253</v>
      </c>
      <c r="J347" s="330" t="s">
        <v>849</v>
      </c>
      <c r="K347" s="331"/>
      <c r="L347" s="331"/>
      <c r="M347" s="328" t="s">
        <v>820</v>
      </c>
      <c r="N347" s="327" t="s">
        <v>34</v>
      </c>
      <c r="O347" s="333">
        <v>45536</v>
      </c>
      <c r="P347" s="334"/>
      <c r="Q347" s="334"/>
      <c r="R347" s="334"/>
      <c r="S347" s="334"/>
      <c r="T347" s="334"/>
      <c r="U347" s="334"/>
      <c r="V347" s="334"/>
      <c r="W347" s="334"/>
      <c r="X347" s="334"/>
      <c r="Y347" s="334"/>
      <c r="Z347" s="334"/>
      <c r="AA347" s="334"/>
      <c r="AB347" s="334"/>
      <c r="AC347" s="334"/>
      <c r="AD347" s="334"/>
      <c r="AE347" s="334"/>
      <c r="AF347" s="334"/>
      <c r="AG347" s="334"/>
      <c r="AH347" s="334"/>
      <c r="AI347" s="334"/>
      <c r="AJ347" s="334"/>
      <c r="AK347" s="334"/>
      <c r="AL347" s="334"/>
      <c r="AM347" s="334"/>
      <c r="AN347" s="334"/>
      <c r="AO347" s="334"/>
      <c r="AP347" s="334"/>
      <c r="AQ347" s="334"/>
      <c r="AR347" s="334"/>
      <c r="AS347" s="334"/>
      <c r="AT347" s="334"/>
    </row>
    <row r="348" spans="1:46" ht="15" hidden="1" customHeight="1">
      <c r="A348" s="326">
        <v>3</v>
      </c>
      <c r="B348" s="327" t="s">
        <v>48</v>
      </c>
      <c r="C348" s="335" t="s">
        <v>850</v>
      </c>
      <c r="D348" s="335" t="s">
        <v>851</v>
      </c>
      <c r="E348" s="326">
        <v>5</v>
      </c>
      <c r="F348" s="336">
        <v>41572</v>
      </c>
      <c r="G348" s="337" t="s">
        <v>852</v>
      </c>
      <c r="H348" s="338">
        <v>6503838201</v>
      </c>
      <c r="I348" s="337" t="s">
        <v>853</v>
      </c>
      <c r="J348" s="336">
        <v>45232</v>
      </c>
      <c r="K348" s="337"/>
      <c r="L348" s="337"/>
      <c r="M348" s="335" t="s">
        <v>854</v>
      </c>
      <c r="N348" s="327" t="s">
        <v>34</v>
      </c>
      <c r="O348" s="333">
        <v>45536</v>
      </c>
      <c r="P348" s="334"/>
      <c r="Q348" s="334"/>
      <c r="R348" s="334"/>
      <c r="S348" s="334"/>
      <c r="T348" s="334"/>
      <c r="U348" s="334"/>
      <c r="V348" s="334"/>
      <c r="W348" s="334"/>
      <c r="X348" s="334"/>
      <c r="Y348" s="334"/>
      <c r="Z348" s="334"/>
      <c r="AA348" s="334"/>
      <c r="AB348" s="334"/>
      <c r="AC348" s="334"/>
      <c r="AD348" s="334"/>
      <c r="AE348" s="334"/>
      <c r="AF348" s="334"/>
      <c r="AG348" s="334"/>
      <c r="AH348" s="334"/>
      <c r="AI348" s="334"/>
      <c r="AJ348" s="334"/>
      <c r="AK348" s="334"/>
      <c r="AL348" s="334"/>
      <c r="AM348" s="334"/>
      <c r="AN348" s="334"/>
      <c r="AO348" s="334"/>
      <c r="AP348" s="334"/>
      <c r="AQ348" s="334"/>
      <c r="AR348" s="334"/>
      <c r="AS348" s="334"/>
      <c r="AT348" s="334"/>
    </row>
    <row r="349" spans="1:46" ht="15" hidden="1" customHeight="1">
      <c r="A349" s="326">
        <v>4</v>
      </c>
      <c r="B349" s="327" t="s">
        <v>48</v>
      </c>
      <c r="C349" s="328" t="s">
        <v>855</v>
      </c>
      <c r="D349" s="328" t="s">
        <v>856</v>
      </c>
      <c r="E349" s="329">
        <v>4</v>
      </c>
      <c r="F349" s="330" t="s">
        <v>857</v>
      </c>
      <c r="G349" s="331" t="s">
        <v>858</v>
      </c>
      <c r="H349" s="332">
        <v>6028204006</v>
      </c>
      <c r="I349" s="331" t="s">
        <v>859</v>
      </c>
      <c r="J349" s="330" t="s">
        <v>860</v>
      </c>
      <c r="K349" s="331"/>
      <c r="L349" s="331"/>
      <c r="M349" s="328"/>
      <c r="N349" s="327" t="s">
        <v>34</v>
      </c>
      <c r="O349" s="333">
        <v>45536</v>
      </c>
      <c r="P349" s="334"/>
      <c r="Q349" s="334"/>
      <c r="R349" s="334"/>
      <c r="S349" s="334"/>
      <c r="T349" s="334"/>
      <c r="U349" s="334"/>
      <c r="V349" s="334"/>
      <c r="W349" s="334"/>
      <c r="X349" s="334"/>
      <c r="Y349" s="334"/>
      <c r="Z349" s="334"/>
      <c r="AA349" s="334"/>
      <c r="AB349" s="334"/>
      <c r="AC349" s="334"/>
      <c r="AD349" s="334"/>
      <c r="AE349" s="334"/>
      <c r="AF349" s="334"/>
      <c r="AG349" s="334"/>
      <c r="AH349" s="334"/>
      <c r="AI349" s="334"/>
      <c r="AJ349" s="334"/>
      <c r="AK349" s="334"/>
      <c r="AL349" s="334"/>
      <c r="AM349" s="334"/>
      <c r="AN349" s="334"/>
      <c r="AO349" s="334"/>
      <c r="AP349" s="334"/>
      <c r="AQ349" s="334"/>
      <c r="AR349" s="334"/>
      <c r="AS349" s="334"/>
      <c r="AT349" s="334"/>
    </row>
    <row r="350" spans="1:46" ht="15" hidden="1" customHeight="1">
      <c r="A350" s="326">
        <v>5</v>
      </c>
      <c r="B350" s="327" t="s">
        <v>88</v>
      </c>
      <c r="C350" s="328" t="s">
        <v>855</v>
      </c>
      <c r="D350" s="328" t="s">
        <v>856</v>
      </c>
      <c r="E350" s="329">
        <v>4</v>
      </c>
      <c r="F350" s="330" t="s">
        <v>857</v>
      </c>
      <c r="G350" s="331" t="s">
        <v>858</v>
      </c>
      <c r="H350" s="332">
        <v>6028204006</v>
      </c>
      <c r="I350" s="331" t="s">
        <v>859</v>
      </c>
      <c r="J350" s="330" t="s">
        <v>860</v>
      </c>
      <c r="K350" s="331"/>
      <c r="L350" s="331"/>
      <c r="M350" s="328" t="s">
        <v>820</v>
      </c>
      <c r="N350" s="327" t="s">
        <v>34</v>
      </c>
      <c r="O350" s="333">
        <v>45536</v>
      </c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  <c r="AA350" s="339"/>
      <c r="AB350" s="339"/>
      <c r="AC350" s="339"/>
      <c r="AD350" s="339"/>
      <c r="AE350" s="339"/>
      <c r="AF350" s="339"/>
      <c r="AG350" s="339"/>
      <c r="AH350" s="339"/>
      <c r="AI350" s="339"/>
      <c r="AJ350" s="339"/>
      <c r="AK350" s="339"/>
      <c r="AL350" s="339"/>
      <c r="AM350" s="339"/>
      <c r="AN350" s="339"/>
      <c r="AO350" s="339"/>
      <c r="AP350" s="339"/>
      <c r="AQ350" s="339"/>
      <c r="AR350" s="339"/>
      <c r="AS350" s="339"/>
      <c r="AT350" s="339"/>
    </row>
    <row r="351" spans="1:46" ht="15" hidden="1" customHeight="1">
      <c r="A351" s="326">
        <v>6</v>
      </c>
      <c r="B351" s="327" t="s">
        <v>48</v>
      </c>
      <c r="C351" s="328" t="s">
        <v>402</v>
      </c>
      <c r="D351" s="328" t="s">
        <v>403</v>
      </c>
      <c r="E351" s="329" t="s">
        <v>153</v>
      </c>
      <c r="F351" s="330" t="s">
        <v>404</v>
      </c>
      <c r="G351" s="331" t="s">
        <v>405</v>
      </c>
      <c r="H351" s="332">
        <v>4052306385</v>
      </c>
      <c r="I351" s="331" t="s">
        <v>406</v>
      </c>
      <c r="J351" s="330" t="s">
        <v>290</v>
      </c>
      <c r="K351" s="331"/>
      <c r="L351" s="331"/>
      <c r="M351" s="328"/>
      <c r="N351" s="327" t="s">
        <v>34</v>
      </c>
      <c r="O351" s="333">
        <v>45536</v>
      </c>
      <c r="P351" s="334"/>
      <c r="Q351" s="334"/>
      <c r="R351" s="334"/>
      <c r="S351" s="334"/>
      <c r="T351" s="334"/>
      <c r="U351" s="334"/>
      <c r="V351" s="334"/>
      <c r="W351" s="334"/>
      <c r="X351" s="334"/>
      <c r="Y351" s="334"/>
      <c r="Z351" s="334"/>
      <c r="AA351" s="334"/>
      <c r="AB351" s="334"/>
      <c r="AC351" s="334"/>
      <c r="AD351" s="334"/>
      <c r="AE351" s="334"/>
      <c r="AF351" s="334"/>
      <c r="AG351" s="334"/>
      <c r="AH351" s="334"/>
      <c r="AI351" s="334"/>
      <c r="AJ351" s="334"/>
      <c r="AK351" s="334"/>
      <c r="AL351" s="334"/>
      <c r="AM351" s="334"/>
      <c r="AN351" s="334"/>
      <c r="AO351" s="334"/>
      <c r="AP351" s="334"/>
      <c r="AQ351" s="334"/>
      <c r="AR351" s="334"/>
      <c r="AS351" s="334"/>
      <c r="AT351" s="334"/>
    </row>
    <row r="352" spans="1:46" ht="15" hidden="1" customHeight="1">
      <c r="A352" s="326">
        <v>7</v>
      </c>
      <c r="B352" s="327" t="s">
        <v>48</v>
      </c>
      <c r="C352" s="328" t="s">
        <v>407</v>
      </c>
      <c r="D352" s="328" t="s">
        <v>408</v>
      </c>
      <c r="E352" s="329" t="s">
        <v>153</v>
      </c>
      <c r="F352" s="330" t="s">
        <v>404</v>
      </c>
      <c r="G352" s="331" t="s">
        <v>405</v>
      </c>
      <c r="H352" s="332">
        <v>4052306385</v>
      </c>
      <c r="I352" s="331" t="s">
        <v>406</v>
      </c>
      <c r="J352" s="330" t="s">
        <v>290</v>
      </c>
      <c r="K352" s="331"/>
      <c r="L352" s="331"/>
      <c r="M352" s="328"/>
      <c r="N352" s="327" t="s">
        <v>34</v>
      </c>
      <c r="O352" s="333">
        <v>45536</v>
      </c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  <c r="AA352" s="339"/>
      <c r="AB352" s="339"/>
      <c r="AC352" s="339"/>
      <c r="AD352" s="339"/>
      <c r="AE352" s="339"/>
      <c r="AF352" s="339"/>
      <c r="AG352" s="339"/>
      <c r="AH352" s="339"/>
      <c r="AI352" s="339"/>
      <c r="AJ352" s="339"/>
      <c r="AK352" s="339"/>
      <c r="AL352" s="339"/>
      <c r="AM352" s="339"/>
      <c r="AN352" s="339"/>
      <c r="AO352" s="339"/>
      <c r="AP352" s="339"/>
      <c r="AQ352" s="339"/>
      <c r="AR352" s="339"/>
      <c r="AS352" s="339"/>
      <c r="AT352" s="339"/>
    </row>
    <row r="353" spans="1:48" ht="15" hidden="1" customHeight="1">
      <c r="A353" s="326">
        <v>8</v>
      </c>
      <c r="B353" s="340" t="s">
        <v>48</v>
      </c>
      <c r="C353" s="341" t="s">
        <v>861</v>
      </c>
      <c r="D353" s="341" t="s">
        <v>862</v>
      </c>
      <c r="E353" s="342" t="s">
        <v>153</v>
      </c>
      <c r="F353" s="343" t="s">
        <v>863</v>
      </c>
      <c r="G353" s="344" t="s">
        <v>864</v>
      </c>
      <c r="H353" s="345">
        <v>6692158549</v>
      </c>
      <c r="I353" s="344" t="s">
        <v>865</v>
      </c>
      <c r="J353" s="343" t="s">
        <v>290</v>
      </c>
      <c r="K353" s="344"/>
      <c r="L353" s="344"/>
      <c r="M353" s="341"/>
      <c r="N353" s="340" t="s">
        <v>34</v>
      </c>
      <c r="O353" s="346">
        <v>45536</v>
      </c>
      <c r="P353" s="334"/>
      <c r="Q353" s="334"/>
      <c r="R353" s="334"/>
      <c r="S353" s="334"/>
      <c r="T353" s="334"/>
      <c r="U353" s="334"/>
      <c r="V353" s="334"/>
      <c r="W353" s="334"/>
      <c r="X353" s="334"/>
      <c r="Y353" s="334"/>
      <c r="Z353" s="334"/>
      <c r="AA353" s="334"/>
      <c r="AB353" s="334"/>
      <c r="AC353" s="334"/>
      <c r="AD353" s="334"/>
      <c r="AE353" s="334"/>
      <c r="AF353" s="334"/>
      <c r="AG353" s="334"/>
      <c r="AH353" s="334"/>
      <c r="AI353" s="334"/>
      <c r="AJ353" s="334"/>
      <c r="AK353" s="334"/>
      <c r="AL353" s="334"/>
      <c r="AM353" s="334"/>
      <c r="AN353" s="334"/>
      <c r="AO353" s="334"/>
      <c r="AP353" s="334"/>
      <c r="AQ353" s="334"/>
      <c r="AR353" s="334"/>
      <c r="AS353" s="334"/>
      <c r="AT353" s="334"/>
    </row>
    <row r="354" spans="1:48" ht="17.25" hidden="1" customHeight="1">
      <c r="A354" s="326">
        <v>9</v>
      </c>
      <c r="B354" s="347" t="s">
        <v>48</v>
      </c>
      <c r="C354" s="348" t="s">
        <v>297</v>
      </c>
      <c r="D354" s="348" t="s">
        <v>866</v>
      </c>
      <c r="E354" s="349">
        <v>4</v>
      </c>
      <c r="F354" s="350">
        <v>41496</v>
      </c>
      <c r="G354" s="351" t="s">
        <v>867</v>
      </c>
      <c r="H354" s="352">
        <v>4156099128</v>
      </c>
      <c r="I354" s="351" t="s">
        <v>868</v>
      </c>
      <c r="J354" s="350">
        <v>45082</v>
      </c>
      <c r="K354" s="351"/>
      <c r="L354" s="351"/>
      <c r="M354" s="348"/>
      <c r="N354" s="340" t="s">
        <v>34</v>
      </c>
      <c r="O354" s="346">
        <v>45536</v>
      </c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  <c r="Z354" s="353"/>
      <c r="AA354" s="353"/>
      <c r="AB354" s="353"/>
      <c r="AC354" s="353"/>
      <c r="AD354" s="353"/>
      <c r="AE354" s="353"/>
      <c r="AF354" s="353"/>
      <c r="AG354" s="353"/>
      <c r="AH354" s="353"/>
      <c r="AI354" s="353"/>
      <c r="AJ354" s="353"/>
      <c r="AK354" s="353"/>
      <c r="AL354" s="353"/>
      <c r="AM354" s="353"/>
      <c r="AN354" s="353"/>
      <c r="AO354" s="353"/>
      <c r="AP354" s="353"/>
      <c r="AQ354" s="353"/>
      <c r="AR354" s="353"/>
      <c r="AS354" s="353"/>
      <c r="AT354" s="353"/>
    </row>
    <row r="355" spans="1:48" ht="17.25" hidden="1" customHeight="1">
      <c r="A355" s="326">
        <v>10</v>
      </c>
      <c r="B355" s="347" t="s">
        <v>88</v>
      </c>
      <c r="C355" s="348" t="s">
        <v>297</v>
      </c>
      <c r="D355" s="348" t="s">
        <v>866</v>
      </c>
      <c r="E355" s="349">
        <v>4</v>
      </c>
      <c r="F355" s="350">
        <v>41496</v>
      </c>
      <c r="G355" s="351" t="s">
        <v>867</v>
      </c>
      <c r="H355" s="352">
        <v>4156099128</v>
      </c>
      <c r="I355" s="351" t="s">
        <v>868</v>
      </c>
      <c r="J355" s="350">
        <v>45082</v>
      </c>
      <c r="K355" s="351"/>
      <c r="L355" s="351"/>
      <c r="M355" s="348"/>
      <c r="N355" s="340" t="s">
        <v>34</v>
      </c>
      <c r="O355" s="346">
        <v>45536</v>
      </c>
      <c r="P355" s="264"/>
      <c r="Q355" s="264"/>
      <c r="R355" s="264"/>
      <c r="S355" s="264"/>
      <c r="T355" s="264"/>
      <c r="U355" s="264"/>
      <c r="V355" s="264"/>
      <c r="W355" s="264"/>
      <c r="X355" s="264"/>
      <c r="Y355" s="264"/>
      <c r="Z355" s="264"/>
      <c r="AA355" s="264"/>
      <c r="AB355" s="264"/>
      <c r="AC355" s="264"/>
      <c r="AD355" s="264"/>
      <c r="AE355" s="264"/>
      <c r="AF355" s="264"/>
      <c r="AG355" s="264"/>
      <c r="AH355" s="264"/>
      <c r="AI355" s="264"/>
      <c r="AJ355" s="264"/>
      <c r="AK355" s="264"/>
      <c r="AL355" s="264"/>
      <c r="AM355" s="264"/>
      <c r="AN355" s="264"/>
      <c r="AO355" s="264"/>
      <c r="AP355" s="264"/>
      <c r="AQ355" s="264"/>
      <c r="AR355" s="264"/>
      <c r="AS355" s="264"/>
      <c r="AT355" s="264"/>
    </row>
    <row r="356" spans="1:48" ht="17.25" hidden="1" customHeight="1">
      <c r="A356" s="326">
        <v>11</v>
      </c>
      <c r="B356" s="347" t="s">
        <v>48</v>
      </c>
      <c r="C356" s="348" t="s">
        <v>297</v>
      </c>
      <c r="D356" s="348" t="s">
        <v>869</v>
      </c>
      <c r="E356" s="349">
        <v>1</v>
      </c>
      <c r="F356" s="350">
        <v>42757</v>
      </c>
      <c r="G356" s="351" t="s">
        <v>867</v>
      </c>
      <c r="H356" s="352">
        <v>4156099128</v>
      </c>
      <c r="I356" s="351" t="s">
        <v>868</v>
      </c>
      <c r="J356" s="350">
        <v>45082</v>
      </c>
      <c r="K356" s="351"/>
      <c r="L356" s="351"/>
      <c r="M356" s="348"/>
      <c r="N356" s="340" t="s">
        <v>34</v>
      </c>
      <c r="O356" s="346">
        <v>45536</v>
      </c>
      <c r="P356" s="353"/>
      <c r="Q356" s="353"/>
      <c r="R356" s="353"/>
      <c r="S356" s="353"/>
      <c r="T356" s="353"/>
      <c r="U356" s="353"/>
      <c r="V356" s="353"/>
      <c r="W356" s="353"/>
      <c r="X356" s="353"/>
      <c r="Y356" s="353"/>
      <c r="Z356" s="353"/>
      <c r="AA356" s="353"/>
      <c r="AB356" s="353"/>
      <c r="AC356" s="353"/>
      <c r="AD356" s="353"/>
      <c r="AE356" s="353"/>
      <c r="AF356" s="353"/>
      <c r="AG356" s="353"/>
      <c r="AH356" s="353"/>
      <c r="AI356" s="353"/>
      <c r="AJ356" s="353"/>
      <c r="AK356" s="353"/>
      <c r="AL356" s="353"/>
      <c r="AM356" s="353"/>
      <c r="AN356" s="353"/>
      <c r="AO356" s="353"/>
      <c r="AP356" s="353"/>
      <c r="AQ356" s="353"/>
      <c r="AR356" s="353"/>
      <c r="AS356" s="353"/>
      <c r="AT356" s="353"/>
    </row>
    <row r="357" spans="1:48" ht="17.25" hidden="1" customHeight="1">
      <c r="A357" s="326">
        <v>12</v>
      </c>
      <c r="B357" s="347" t="s">
        <v>88</v>
      </c>
      <c r="C357" s="348" t="s">
        <v>297</v>
      </c>
      <c r="D357" s="348" t="s">
        <v>869</v>
      </c>
      <c r="E357" s="349">
        <v>1</v>
      </c>
      <c r="F357" s="350">
        <v>42757</v>
      </c>
      <c r="G357" s="351" t="s">
        <v>867</v>
      </c>
      <c r="H357" s="352">
        <v>4156099128</v>
      </c>
      <c r="I357" s="351" t="s">
        <v>868</v>
      </c>
      <c r="J357" s="350">
        <v>45082</v>
      </c>
      <c r="K357" s="351"/>
      <c r="L357" s="351"/>
      <c r="M357" s="348"/>
      <c r="N357" s="340" t="s">
        <v>34</v>
      </c>
      <c r="O357" s="346">
        <v>45536</v>
      </c>
      <c r="P357" s="264"/>
      <c r="Q357" s="264"/>
      <c r="R357" s="264"/>
      <c r="S357" s="264"/>
      <c r="T357" s="264"/>
      <c r="U357" s="264"/>
      <c r="V357" s="264"/>
      <c r="W357" s="264"/>
      <c r="X357" s="264"/>
      <c r="Y357" s="264"/>
      <c r="Z357" s="264"/>
      <c r="AA357" s="264"/>
      <c r="AB357" s="264"/>
      <c r="AC357" s="264"/>
      <c r="AD357" s="264"/>
      <c r="AE357" s="264"/>
      <c r="AF357" s="264"/>
      <c r="AG357" s="264"/>
      <c r="AH357" s="264"/>
      <c r="AI357" s="264"/>
      <c r="AJ357" s="264"/>
      <c r="AK357" s="264"/>
      <c r="AL357" s="264"/>
      <c r="AM357" s="264"/>
      <c r="AN357" s="264"/>
      <c r="AO357" s="264"/>
      <c r="AP357" s="264"/>
      <c r="AQ357" s="264"/>
      <c r="AR357" s="264"/>
      <c r="AS357" s="264"/>
      <c r="AT357" s="264"/>
    </row>
    <row r="358" spans="1:48" ht="17.25" hidden="1" customHeight="1">
      <c r="A358" s="326">
        <v>13</v>
      </c>
      <c r="B358" s="354" t="s">
        <v>48</v>
      </c>
      <c r="C358" s="355" t="s">
        <v>870</v>
      </c>
      <c r="D358" s="355" t="s">
        <v>871</v>
      </c>
      <c r="E358" s="354">
        <v>4</v>
      </c>
      <c r="F358" s="355" t="s">
        <v>872</v>
      </c>
      <c r="G358" s="355" t="s">
        <v>873</v>
      </c>
      <c r="H358" s="355">
        <v>5103144836</v>
      </c>
      <c r="I358" s="356" t="s">
        <v>874</v>
      </c>
      <c r="J358" s="355" t="s">
        <v>875</v>
      </c>
      <c r="K358" s="355"/>
      <c r="L358" s="355"/>
      <c r="M358" s="355" t="s">
        <v>876</v>
      </c>
      <c r="N358" s="340" t="s">
        <v>34</v>
      </c>
      <c r="O358" s="346">
        <v>45536</v>
      </c>
      <c r="P358" s="357"/>
      <c r="Q358" s="357"/>
      <c r="R358" s="357"/>
      <c r="S358" s="357"/>
      <c r="T358" s="357"/>
      <c r="U358" s="357"/>
      <c r="V358" s="357"/>
      <c r="W358" s="357"/>
      <c r="X358" s="357"/>
      <c r="Y358" s="357"/>
      <c r="Z358" s="357"/>
      <c r="AA358" s="357"/>
      <c r="AB358" s="357"/>
      <c r="AC358" s="357"/>
      <c r="AD358" s="357"/>
      <c r="AE358" s="357"/>
      <c r="AF358" s="357"/>
      <c r="AG358" s="357"/>
      <c r="AH358" s="357"/>
      <c r="AI358" s="357"/>
      <c r="AJ358" s="357"/>
      <c r="AK358" s="357"/>
      <c r="AL358" s="357"/>
      <c r="AM358" s="357"/>
      <c r="AN358" s="357"/>
      <c r="AO358" s="357"/>
      <c r="AP358" s="357"/>
      <c r="AQ358" s="357"/>
      <c r="AR358" s="357"/>
      <c r="AS358" s="357"/>
      <c r="AT358" s="357"/>
    </row>
    <row r="359" spans="1:48" ht="17.25" hidden="1" customHeight="1">
      <c r="A359" s="326">
        <v>14</v>
      </c>
      <c r="B359" s="354" t="s">
        <v>88</v>
      </c>
      <c r="C359" s="355" t="s">
        <v>870</v>
      </c>
      <c r="D359" s="355" t="s">
        <v>871</v>
      </c>
      <c r="E359" s="354">
        <v>4</v>
      </c>
      <c r="F359" s="355" t="s">
        <v>872</v>
      </c>
      <c r="G359" s="355" t="s">
        <v>873</v>
      </c>
      <c r="H359" s="355">
        <v>5103144836</v>
      </c>
      <c r="I359" s="356" t="s">
        <v>874</v>
      </c>
      <c r="J359" s="355" t="s">
        <v>875</v>
      </c>
      <c r="K359" s="355"/>
      <c r="L359" s="355"/>
      <c r="M359" s="355"/>
      <c r="N359" s="340" t="s">
        <v>34</v>
      </c>
      <c r="O359" s="346">
        <v>45536</v>
      </c>
      <c r="P359" s="357"/>
      <c r="Q359" s="357"/>
      <c r="R359" s="357"/>
      <c r="S359" s="357"/>
      <c r="T359" s="357"/>
      <c r="U359" s="357"/>
      <c r="V359" s="357"/>
      <c r="W359" s="357"/>
      <c r="X359" s="357"/>
      <c r="Y359" s="357"/>
      <c r="Z359" s="357"/>
      <c r="AA359" s="357"/>
      <c r="AB359" s="357"/>
      <c r="AC359" s="357"/>
      <c r="AD359" s="357"/>
      <c r="AE359" s="357"/>
      <c r="AF359" s="357"/>
      <c r="AG359" s="357"/>
      <c r="AH359" s="357"/>
      <c r="AI359" s="357"/>
      <c r="AJ359" s="357"/>
      <c r="AK359" s="357"/>
      <c r="AL359" s="357"/>
      <c r="AM359" s="357"/>
      <c r="AN359" s="357"/>
      <c r="AO359" s="357"/>
      <c r="AP359" s="357"/>
      <c r="AQ359" s="357"/>
      <c r="AR359" s="357"/>
      <c r="AS359" s="357"/>
      <c r="AT359" s="357"/>
    </row>
    <row r="360" spans="1:48" ht="17.25" hidden="1" customHeight="1">
      <c r="A360" s="326">
        <v>15</v>
      </c>
      <c r="B360" s="347" t="s">
        <v>48</v>
      </c>
      <c r="C360" s="351" t="s">
        <v>877</v>
      </c>
      <c r="D360" s="351" t="s">
        <v>878</v>
      </c>
      <c r="E360" s="349">
        <v>4</v>
      </c>
      <c r="F360" s="351" t="s">
        <v>879</v>
      </c>
      <c r="G360" s="351" t="s">
        <v>880</v>
      </c>
      <c r="H360" s="352">
        <v>4436532199</v>
      </c>
      <c r="I360" s="351" t="s">
        <v>784</v>
      </c>
      <c r="J360" s="351" t="s">
        <v>157</v>
      </c>
      <c r="K360" s="358"/>
      <c r="L360" s="358"/>
      <c r="M360" s="359" t="s">
        <v>881</v>
      </c>
      <c r="N360" s="340" t="s">
        <v>34</v>
      </c>
      <c r="O360" s="346">
        <v>45536</v>
      </c>
      <c r="P360" s="360"/>
      <c r="Q360" s="360"/>
      <c r="R360" s="360"/>
      <c r="S360" s="360"/>
      <c r="T360" s="360"/>
      <c r="U360" s="360"/>
      <c r="V360" s="360"/>
      <c r="W360" s="360"/>
      <c r="X360" s="360"/>
      <c r="Y360" s="360"/>
      <c r="Z360" s="360"/>
      <c r="AA360" s="360"/>
      <c r="AB360" s="360"/>
      <c r="AC360" s="360"/>
      <c r="AD360" s="360"/>
      <c r="AE360" s="360"/>
      <c r="AF360" s="360"/>
      <c r="AG360" s="360"/>
      <c r="AH360" s="360"/>
      <c r="AI360" s="360"/>
      <c r="AJ360" s="360"/>
      <c r="AK360" s="360"/>
      <c r="AL360" s="360"/>
      <c r="AM360" s="360"/>
      <c r="AN360" s="360"/>
      <c r="AO360" s="360"/>
      <c r="AP360" s="360"/>
      <c r="AQ360" s="360"/>
      <c r="AR360" s="360"/>
      <c r="AS360" s="360"/>
      <c r="AT360" s="360"/>
    </row>
    <row r="361" spans="1:48" ht="17.25" hidden="1" customHeight="1">
      <c r="A361" s="326">
        <v>16</v>
      </c>
      <c r="B361" s="347" t="s">
        <v>88</v>
      </c>
      <c r="C361" s="351" t="s">
        <v>877</v>
      </c>
      <c r="D361" s="351" t="s">
        <v>878</v>
      </c>
      <c r="E361" s="349">
        <v>4</v>
      </c>
      <c r="F361" s="351" t="s">
        <v>879</v>
      </c>
      <c r="G361" s="351" t="s">
        <v>880</v>
      </c>
      <c r="H361" s="352">
        <v>4436532199</v>
      </c>
      <c r="I361" s="351" t="s">
        <v>784</v>
      </c>
      <c r="J361" s="351" t="s">
        <v>157</v>
      </c>
      <c r="K361" s="358"/>
      <c r="L361" s="358"/>
      <c r="M361" s="359" t="s">
        <v>881</v>
      </c>
      <c r="N361" s="340" t="s">
        <v>34</v>
      </c>
      <c r="O361" s="346">
        <v>45536</v>
      </c>
      <c r="P361" s="360"/>
      <c r="Q361" s="360"/>
      <c r="R361" s="360"/>
      <c r="S361" s="360"/>
      <c r="T361" s="360"/>
      <c r="U361" s="360"/>
      <c r="V361" s="360"/>
      <c r="W361" s="360"/>
      <c r="X361" s="360"/>
      <c r="Y361" s="360"/>
      <c r="Z361" s="360"/>
      <c r="AA361" s="360"/>
      <c r="AB361" s="360"/>
      <c r="AC361" s="360"/>
      <c r="AD361" s="360"/>
      <c r="AE361" s="360"/>
      <c r="AF361" s="360"/>
      <c r="AG361" s="360"/>
      <c r="AH361" s="360"/>
      <c r="AI361" s="360"/>
      <c r="AJ361" s="360"/>
      <c r="AK361" s="360"/>
      <c r="AL361" s="360"/>
      <c r="AM361" s="360"/>
      <c r="AN361" s="360"/>
      <c r="AO361" s="360"/>
      <c r="AP361" s="360"/>
      <c r="AQ361" s="360"/>
      <c r="AR361" s="360"/>
      <c r="AS361" s="360"/>
      <c r="AT361" s="360"/>
    </row>
    <row r="362" spans="1:48" ht="15" hidden="1" customHeight="1">
      <c r="A362" s="361">
        <v>1</v>
      </c>
      <c r="B362" s="362" t="s">
        <v>48</v>
      </c>
      <c r="C362" s="363" t="s">
        <v>870</v>
      </c>
      <c r="D362" s="363" t="s">
        <v>871</v>
      </c>
      <c r="E362" s="364">
        <v>4</v>
      </c>
      <c r="F362" s="365">
        <v>42071</v>
      </c>
      <c r="G362" s="363" t="s">
        <v>873</v>
      </c>
      <c r="H362" s="366">
        <v>5103144836</v>
      </c>
      <c r="I362" s="363" t="s">
        <v>874</v>
      </c>
      <c r="J362" s="365">
        <v>45530</v>
      </c>
      <c r="K362" s="363"/>
      <c r="L362" s="363"/>
      <c r="M362" s="367" t="s">
        <v>876</v>
      </c>
      <c r="N362" s="364" t="s">
        <v>34</v>
      </c>
      <c r="O362" s="346">
        <v>45566</v>
      </c>
      <c r="P362" s="368"/>
      <c r="Q362" s="368"/>
      <c r="R362" s="368"/>
      <c r="S362" s="368"/>
      <c r="T362" s="368"/>
      <c r="U362" s="368"/>
      <c r="V362" s="368"/>
      <c r="W362" s="368"/>
      <c r="X362" s="368"/>
      <c r="Y362" s="368"/>
      <c r="Z362" s="368"/>
      <c r="AA362" s="368"/>
      <c r="AB362" s="368"/>
      <c r="AC362" s="368"/>
      <c r="AD362" s="368"/>
      <c r="AE362" s="368"/>
      <c r="AF362" s="368"/>
      <c r="AG362" s="368"/>
      <c r="AH362" s="368"/>
      <c r="AI362" s="368"/>
      <c r="AJ362" s="368"/>
      <c r="AK362" s="368"/>
      <c r="AL362" s="368"/>
      <c r="AM362" s="368"/>
      <c r="AN362" s="368"/>
      <c r="AO362" s="368"/>
      <c r="AP362" s="368"/>
      <c r="AQ362" s="368"/>
      <c r="AR362" s="368"/>
      <c r="AS362" s="360"/>
      <c r="AT362" s="360"/>
    </row>
    <row r="363" spans="1:48" ht="15" hidden="1" customHeight="1">
      <c r="A363" s="361">
        <v>2</v>
      </c>
      <c r="B363" s="362" t="s">
        <v>88</v>
      </c>
      <c r="C363" s="363" t="s">
        <v>870</v>
      </c>
      <c r="D363" s="363" t="s">
        <v>871</v>
      </c>
      <c r="E363" s="364">
        <v>4</v>
      </c>
      <c r="F363" s="365">
        <v>42071</v>
      </c>
      <c r="G363" s="363" t="s">
        <v>873</v>
      </c>
      <c r="H363" s="366">
        <v>5103144836</v>
      </c>
      <c r="I363" s="363" t="s">
        <v>874</v>
      </c>
      <c r="J363" s="365">
        <v>45530</v>
      </c>
      <c r="K363" s="363"/>
      <c r="L363" s="363"/>
      <c r="M363" s="367"/>
      <c r="N363" s="364" t="s">
        <v>34</v>
      </c>
      <c r="O363" s="346">
        <v>45566</v>
      </c>
      <c r="P363" s="368"/>
      <c r="Q363" s="368"/>
      <c r="R363" s="368"/>
      <c r="S363" s="368"/>
      <c r="T363" s="368"/>
      <c r="U363" s="368"/>
      <c r="V363" s="368"/>
      <c r="W363" s="368"/>
      <c r="X363" s="368"/>
      <c r="Y363" s="368"/>
      <c r="Z363" s="368"/>
      <c r="AA363" s="368"/>
      <c r="AB363" s="368"/>
      <c r="AC363" s="368"/>
      <c r="AD363" s="368"/>
      <c r="AE363" s="368"/>
      <c r="AF363" s="368"/>
      <c r="AG363" s="368"/>
      <c r="AH363" s="368"/>
      <c r="AI363" s="368"/>
      <c r="AJ363" s="368"/>
      <c r="AK363" s="368"/>
      <c r="AL363" s="368"/>
      <c r="AM363" s="368"/>
      <c r="AN363" s="368"/>
      <c r="AO363" s="368"/>
      <c r="AP363" s="368"/>
      <c r="AQ363" s="368"/>
      <c r="AR363" s="368"/>
      <c r="AS363" s="360"/>
      <c r="AT363" s="360"/>
    </row>
    <row r="364" spans="1:48" ht="15.75" hidden="1" customHeight="1">
      <c r="A364" s="361">
        <v>3</v>
      </c>
      <c r="B364" s="362" t="s">
        <v>48</v>
      </c>
      <c r="C364" s="363" t="s">
        <v>877</v>
      </c>
      <c r="D364" s="363" t="s">
        <v>878</v>
      </c>
      <c r="E364" s="364">
        <v>4</v>
      </c>
      <c r="F364" s="365">
        <v>42177</v>
      </c>
      <c r="G364" s="363" t="s">
        <v>880</v>
      </c>
      <c r="H364" s="366">
        <v>4436532199</v>
      </c>
      <c r="I364" s="363" t="s">
        <v>784</v>
      </c>
      <c r="J364" s="365">
        <v>45520</v>
      </c>
      <c r="K364" s="363"/>
      <c r="L364" s="363"/>
      <c r="M364" s="367" t="s">
        <v>882</v>
      </c>
      <c r="N364" s="364" t="s">
        <v>34</v>
      </c>
      <c r="O364" s="346">
        <v>45566</v>
      </c>
      <c r="P364" s="368"/>
      <c r="Q364" s="368"/>
      <c r="R364" s="368"/>
      <c r="S364" s="368"/>
      <c r="T364" s="368"/>
      <c r="U364" s="368"/>
      <c r="V364" s="368"/>
      <c r="W364" s="368"/>
      <c r="X364" s="368"/>
      <c r="Y364" s="368"/>
      <c r="Z364" s="368"/>
      <c r="AA364" s="368"/>
      <c r="AB364" s="368"/>
      <c r="AC364" s="368"/>
      <c r="AD364" s="368"/>
      <c r="AE364" s="368"/>
      <c r="AF364" s="368"/>
      <c r="AG364" s="368"/>
      <c r="AH364" s="368"/>
      <c r="AI364" s="368"/>
      <c r="AJ364" s="368"/>
      <c r="AK364" s="368"/>
      <c r="AL364" s="368"/>
      <c r="AM364" s="368"/>
      <c r="AN364" s="368"/>
      <c r="AO364" s="368"/>
      <c r="AP364" s="368"/>
      <c r="AQ364" s="368"/>
      <c r="AR364" s="368"/>
      <c r="AS364" s="264"/>
      <c r="AT364" s="264"/>
    </row>
    <row r="365" spans="1:48" ht="15" hidden="1" customHeight="1">
      <c r="A365" s="361">
        <v>4</v>
      </c>
      <c r="B365" s="362" t="s">
        <v>88</v>
      </c>
      <c r="C365" s="363" t="s">
        <v>877</v>
      </c>
      <c r="D365" s="363" t="s">
        <v>878</v>
      </c>
      <c r="E365" s="364">
        <v>4</v>
      </c>
      <c r="F365" s="365">
        <v>42177</v>
      </c>
      <c r="G365" s="363" t="s">
        <v>880</v>
      </c>
      <c r="H365" s="366">
        <v>4436532199</v>
      </c>
      <c r="I365" s="363" t="s">
        <v>784</v>
      </c>
      <c r="J365" s="365">
        <v>45520</v>
      </c>
      <c r="K365" s="363"/>
      <c r="L365" s="363"/>
      <c r="M365" s="367" t="s">
        <v>882</v>
      </c>
      <c r="N365" s="364" t="s">
        <v>34</v>
      </c>
      <c r="O365" s="346">
        <v>45566</v>
      </c>
      <c r="P365" s="368"/>
      <c r="Q365" s="368"/>
      <c r="R365" s="368"/>
      <c r="S365" s="368"/>
      <c r="T365" s="368"/>
      <c r="U365" s="368"/>
      <c r="V365" s="368"/>
      <c r="W365" s="368"/>
      <c r="X365" s="368"/>
      <c r="Y365" s="368"/>
      <c r="Z365" s="368"/>
      <c r="AA365" s="368"/>
      <c r="AB365" s="368"/>
      <c r="AC365" s="368"/>
      <c r="AD365" s="368"/>
      <c r="AE365" s="368"/>
      <c r="AF365" s="368"/>
      <c r="AG365" s="368"/>
      <c r="AH365" s="368"/>
      <c r="AI365" s="368"/>
      <c r="AJ365" s="368"/>
      <c r="AK365" s="368"/>
      <c r="AL365" s="368"/>
      <c r="AM365" s="368"/>
      <c r="AN365" s="368"/>
      <c r="AO365" s="368"/>
      <c r="AP365" s="368"/>
      <c r="AQ365" s="368"/>
      <c r="AR365" s="368"/>
      <c r="AS365" s="264"/>
      <c r="AT365" s="264"/>
    </row>
    <row r="366" spans="1:48" ht="15" hidden="1" customHeight="1">
      <c r="A366" s="93">
        <v>1</v>
      </c>
      <c r="B366" s="369" t="s">
        <v>48</v>
      </c>
      <c r="C366" s="370" t="s">
        <v>821</v>
      </c>
      <c r="D366" s="370" t="s">
        <v>822</v>
      </c>
      <c r="E366" s="82">
        <v>6</v>
      </c>
      <c r="F366" s="371">
        <v>40840</v>
      </c>
      <c r="G366" s="372" t="s">
        <v>824</v>
      </c>
      <c r="H366" s="373" t="s">
        <v>825</v>
      </c>
      <c r="I366" s="372" t="s">
        <v>826</v>
      </c>
      <c r="J366" s="371">
        <v>45536</v>
      </c>
      <c r="K366" s="372"/>
      <c r="L366" s="372"/>
      <c r="M366" s="370" t="s">
        <v>883</v>
      </c>
      <c r="N366" s="369" t="s">
        <v>34</v>
      </c>
      <c r="O366" s="374">
        <v>45597</v>
      </c>
      <c r="P366" s="375"/>
      <c r="Q366" s="375"/>
      <c r="R366" s="375"/>
      <c r="S366" s="375"/>
      <c r="T366" s="375"/>
      <c r="U366" s="375"/>
      <c r="V366" s="375"/>
      <c r="W366" s="375"/>
      <c r="X366" s="375"/>
      <c r="Y366" s="375"/>
      <c r="Z366" s="375"/>
      <c r="AA366" s="375"/>
      <c r="AB366" s="375"/>
      <c r="AC366" s="375"/>
      <c r="AD366" s="375"/>
      <c r="AE366" s="375"/>
      <c r="AF366" s="375"/>
      <c r="AG366" s="375"/>
      <c r="AH366" s="375"/>
      <c r="AI366" s="375"/>
      <c r="AJ366" s="375"/>
      <c r="AK366" s="375"/>
      <c r="AL366" s="375"/>
      <c r="AM366" s="375"/>
      <c r="AN366" s="375"/>
      <c r="AO366" s="375"/>
      <c r="AP366" s="375"/>
      <c r="AQ366" s="375"/>
      <c r="AR366" s="375"/>
      <c r="AS366" s="375"/>
      <c r="AT366" s="375"/>
      <c r="AU366" s="2"/>
      <c r="AV366" s="2"/>
    </row>
    <row r="367" spans="1:48" ht="15" hidden="1" customHeight="1">
      <c r="A367" s="93">
        <v>2</v>
      </c>
      <c r="B367" s="369" t="s">
        <v>88</v>
      </c>
      <c r="C367" s="370" t="s">
        <v>821</v>
      </c>
      <c r="D367" s="370" t="s">
        <v>829</v>
      </c>
      <c r="E367" s="82">
        <v>9</v>
      </c>
      <c r="F367" s="371">
        <v>39818</v>
      </c>
      <c r="G367" s="372" t="s">
        <v>824</v>
      </c>
      <c r="H367" s="373" t="s">
        <v>825</v>
      </c>
      <c r="I367" s="372" t="s">
        <v>826</v>
      </c>
      <c r="J367" s="371">
        <v>45536</v>
      </c>
      <c r="K367" s="372"/>
      <c r="L367" s="372"/>
      <c r="M367" s="370" t="s">
        <v>883</v>
      </c>
      <c r="N367" s="369" t="s">
        <v>34</v>
      </c>
      <c r="O367" s="374">
        <v>45597</v>
      </c>
      <c r="P367" s="375"/>
      <c r="Q367" s="375"/>
      <c r="R367" s="375"/>
      <c r="S367" s="375"/>
      <c r="T367" s="375"/>
      <c r="U367" s="375"/>
      <c r="V367" s="375"/>
      <c r="W367" s="375"/>
      <c r="X367" s="375"/>
      <c r="Y367" s="375"/>
      <c r="Z367" s="375"/>
      <c r="AA367" s="375"/>
      <c r="AB367" s="375"/>
      <c r="AC367" s="375"/>
      <c r="AD367" s="375"/>
      <c r="AE367" s="375"/>
      <c r="AF367" s="375"/>
      <c r="AG367" s="375"/>
      <c r="AH367" s="375"/>
      <c r="AI367" s="375"/>
      <c r="AJ367" s="375"/>
      <c r="AK367" s="375"/>
      <c r="AL367" s="375"/>
      <c r="AM367" s="375"/>
      <c r="AN367" s="375"/>
      <c r="AO367" s="375"/>
      <c r="AP367" s="375"/>
      <c r="AQ367" s="375"/>
      <c r="AR367" s="375"/>
      <c r="AS367" s="375"/>
      <c r="AT367" s="375"/>
      <c r="AU367" s="2"/>
      <c r="AV367" s="2"/>
    </row>
    <row r="368" spans="1:48" ht="15" hidden="1" customHeight="1">
      <c r="A368" s="93">
        <v>3</v>
      </c>
      <c r="B368" s="376" t="s">
        <v>48</v>
      </c>
      <c r="C368" s="370" t="s">
        <v>297</v>
      </c>
      <c r="D368" s="370" t="s">
        <v>866</v>
      </c>
      <c r="E368" s="82">
        <v>4</v>
      </c>
      <c r="F368" s="371">
        <v>41496</v>
      </c>
      <c r="G368" s="372" t="s">
        <v>867</v>
      </c>
      <c r="H368" s="373">
        <v>4156099128</v>
      </c>
      <c r="I368" s="372" t="s">
        <v>868</v>
      </c>
      <c r="J368" s="371">
        <v>45082</v>
      </c>
      <c r="K368" s="372"/>
      <c r="L368" s="372"/>
      <c r="M368" s="370" t="s">
        <v>884</v>
      </c>
      <c r="N368" s="82" t="s">
        <v>34</v>
      </c>
      <c r="O368" s="374">
        <v>45597</v>
      </c>
      <c r="P368" s="375"/>
      <c r="Q368" s="375"/>
      <c r="R368" s="375"/>
      <c r="S368" s="375"/>
      <c r="T368" s="375"/>
      <c r="U368" s="375"/>
      <c r="V368" s="375"/>
      <c r="W368" s="375"/>
      <c r="X368" s="375"/>
      <c r="Y368" s="375"/>
      <c r="Z368" s="375"/>
      <c r="AA368" s="375"/>
      <c r="AB368" s="375"/>
      <c r="AC368" s="375"/>
      <c r="AD368" s="375"/>
      <c r="AE368" s="375"/>
      <c r="AF368" s="375"/>
      <c r="AG368" s="375"/>
      <c r="AH368" s="375"/>
      <c r="AI368" s="375"/>
      <c r="AJ368" s="375"/>
      <c r="AK368" s="375"/>
      <c r="AL368" s="375"/>
      <c r="AM368" s="375"/>
      <c r="AN368" s="375"/>
      <c r="AO368" s="375"/>
      <c r="AP368" s="375"/>
      <c r="AQ368" s="375"/>
      <c r="AR368" s="375"/>
      <c r="AS368" s="375"/>
      <c r="AT368" s="375"/>
      <c r="AU368" s="2"/>
      <c r="AV368" s="2"/>
    </row>
    <row r="369" spans="1:48" ht="15" hidden="1" customHeight="1">
      <c r="A369" s="93">
        <v>4</v>
      </c>
      <c r="B369" s="376" t="s">
        <v>88</v>
      </c>
      <c r="C369" s="370" t="s">
        <v>297</v>
      </c>
      <c r="D369" s="370" t="s">
        <v>866</v>
      </c>
      <c r="E369" s="82">
        <v>4</v>
      </c>
      <c r="F369" s="371">
        <v>41496</v>
      </c>
      <c r="G369" s="372" t="s">
        <v>867</v>
      </c>
      <c r="H369" s="373">
        <v>4156099128</v>
      </c>
      <c r="I369" s="372" t="s">
        <v>868</v>
      </c>
      <c r="J369" s="371">
        <v>45082</v>
      </c>
      <c r="K369" s="372"/>
      <c r="L369" s="372"/>
      <c r="M369" s="370" t="s">
        <v>884</v>
      </c>
      <c r="N369" s="82" t="s">
        <v>34</v>
      </c>
      <c r="O369" s="374">
        <v>45597</v>
      </c>
      <c r="P369" s="375"/>
      <c r="Q369" s="375"/>
      <c r="R369" s="375"/>
      <c r="S369" s="375"/>
      <c r="T369" s="375"/>
      <c r="U369" s="375"/>
      <c r="V369" s="375"/>
      <c r="W369" s="375"/>
      <c r="X369" s="375"/>
      <c r="Y369" s="375"/>
      <c r="Z369" s="375"/>
      <c r="AA369" s="375"/>
      <c r="AB369" s="375"/>
      <c r="AC369" s="375"/>
      <c r="AD369" s="375"/>
      <c r="AE369" s="375"/>
      <c r="AF369" s="375"/>
      <c r="AG369" s="375"/>
      <c r="AH369" s="375"/>
      <c r="AI369" s="375"/>
      <c r="AJ369" s="375"/>
      <c r="AK369" s="375"/>
      <c r="AL369" s="375"/>
      <c r="AM369" s="375"/>
      <c r="AN369" s="375"/>
      <c r="AO369" s="375"/>
      <c r="AP369" s="375"/>
      <c r="AQ369" s="375"/>
      <c r="AR369" s="375"/>
      <c r="AS369" s="375"/>
      <c r="AT369" s="375"/>
      <c r="AU369" s="2"/>
      <c r="AV369" s="2"/>
    </row>
    <row r="370" spans="1:48" ht="15" hidden="1" customHeight="1">
      <c r="A370" s="93">
        <v>5</v>
      </c>
      <c r="B370" s="376" t="s">
        <v>48</v>
      </c>
      <c r="C370" s="370" t="s">
        <v>297</v>
      </c>
      <c r="D370" s="370" t="s">
        <v>869</v>
      </c>
      <c r="E370" s="82">
        <v>1</v>
      </c>
      <c r="F370" s="371">
        <v>42757</v>
      </c>
      <c r="G370" s="372" t="s">
        <v>867</v>
      </c>
      <c r="H370" s="373">
        <v>4156099128</v>
      </c>
      <c r="I370" s="372" t="s">
        <v>868</v>
      </c>
      <c r="J370" s="371">
        <v>45082</v>
      </c>
      <c r="K370" s="372"/>
      <c r="L370" s="372"/>
      <c r="M370" s="370"/>
      <c r="N370" s="82" t="s">
        <v>34</v>
      </c>
      <c r="O370" s="374">
        <v>45597</v>
      </c>
      <c r="P370" s="375"/>
      <c r="Q370" s="375"/>
      <c r="R370" s="375"/>
      <c r="S370" s="375"/>
      <c r="T370" s="375"/>
      <c r="U370" s="375"/>
      <c r="V370" s="375"/>
      <c r="W370" s="375"/>
      <c r="X370" s="375"/>
      <c r="Y370" s="375"/>
      <c r="Z370" s="375"/>
      <c r="AA370" s="375"/>
      <c r="AB370" s="375"/>
      <c r="AC370" s="375"/>
      <c r="AD370" s="375"/>
      <c r="AE370" s="375"/>
      <c r="AF370" s="375"/>
      <c r="AG370" s="375"/>
      <c r="AH370" s="375"/>
      <c r="AI370" s="375"/>
      <c r="AJ370" s="375"/>
      <c r="AK370" s="375"/>
      <c r="AL370" s="375"/>
      <c r="AM370" s="375"/>
      <c r="AN370" s="375"/>
      <c r="AO370" s="375"/>
      <c r="AP370" s="375"/>
      <c r="AQ370" s="375"/>
      <c r="AR370" s="375"/>
      <c r="AS370" s="375"/>
      <c r="AT370" s="375"/>
      <c r="AU370" s="2"/>
      <c r="AV370" s="2"/>
    </row>
    <row r="371" spans="1:48" ht="15" hidden="1" customHeight="1">
      <c r="A371" s="93">
        <v>6</v>
      </c>
      <c r="B371" s="376" t="s">
        <v>88</v>
      </c>
      <c r="C371" s="370" t="s">
        <v>297</v>
      </c>
      <c r="D371" s="370" t="s">
        <v>869</v>
      </c>
      <c r="E371" s="82">
        <v>1</v>
      </c>
      <c r="F371" s="371">
        <v>42757</v>
      </c>
      <c r="G371" s="372" t="s">
        <v>867</v>
      </c>
      <c r="H371" s="373">
        <v>4156099128</v>
      </c>
      <c r="I371" s="372" t="s">
        <v>868</v>
      </c>
      <c r="J371" s="371">
        <v>45082</v>
      </c>
      <c r="K371" s="372"/>
      <c r="L371" s="372"/>
      <c r="M371" s="370"/>
      <c r="N371" s="82" t="s">
        <v>34</v>
      </c>
      <c r="O371" s="374">
        <v>45597</v>
      </c>
      <c r="P371" s="375"/>
      <c r="Q371" s="375"/>
      <c r="R371" s="375"/>
      <c r="S371" s="375"/>
      <c r="T371" s="375"/>
      <c r="U371" s="375"/>
      <c r="V371" s="375"/>
      <c r="W371" s="375"/>
      <c r="X371" s="375"/>
      <c r="Y371" s="375"/>
      <c r="Z371" s="375"/>
      <c r="AA371" s="375"/>
      <c r="AB371" s="375"/>
      <c r="AC371" s="375"/>
      <c r="AD371" s="375"/>
      <c r="AE371" s="375"/>
      <c r="AF371" s="375"/>
      <c r="AG371" s="375"/>
      <c r="AH371" s="375"/>
      <c r="AI371" s="375"/>
      <c r="AJ371" s="375"/>
      <c r="AK371" s="375"/>
      <c r="AL371" s="375"/>
      <c r="AM371" s="375"/>
      <c r="AN371" s="375"/>
      <c r="AO371" s="375"/>
      <c r="AP371" s="375"/>
      <c r="AQ371" s="375"/>
      <c r="AR371" s="375"/>
      <c r="AS371" s="375"/>
      <c r="AT371" s="375"/>
      <c r="AU371" s="2"/>
      <c r="AV371" s="2"/>
    </row>
    <row r="372" spans="1:48" ht="15" hidden="1" customHeight="1">
      <c r="A372" s="93">
        <v>7</v>
      </c>
      <c r="B372" s="369" t="s">
        <v>48</v>
      </c>
      <c r="C372" s="377" t="s">
        <v>587</v>
      </c>
      <c r="D372" s="377" t="s">
        <v>807</v>
      </c>
      <c r="E372" s="378">
        <v>2</v>
      </c>
      <c r="F372" s="379">
        <v>42933</v>
      </c>
      <c r="G372" s="372" t="s">
        <v>808</v>
      </c>
      <c r="H372" s="373">
        <v>4083986905</v>
      </c>
      <c r="I372" s="372" t="s">
        <v>809</v>
      </c>
      <c r="J372" s="380" t="s">
        <v>157</v>
      </c>
      <c r="K372" s="380"/>
      <c r="L372" s="380"/>
      <c r="M372" s="377" t="s">
        <v>885</v>
      </c>
      <c r="N372" s="369" t="s">
        <v>34</v>
      </c>
      <c r="O372" s="374">
        <v>45597</v>
      </c>
      <c r="P372" s="375"/>
      <c r="Q372" s="375"/>
      <c r="R372" s="375"/>
      <c r="S372" s="375"/>
      <c r="T372" s="375"/>
      <c r="U372" s="375"/>
      <c r="V372" s="375"/>
      <c r="W372" s="375"/>
      <c r="X372" s="375"/>
      <c r="Y372" s="375"/>
      <c r="Z372" s="375"/>
      <c r="AA372" s="375"/>
      <c r="AB372" s="375"/>
      <c r="AC372" s="375"/>
      <c r="AD372" s="375"/>
      <c r="AE372" s="375"/>
      <c r="AF372" s="375"/>
      <c r="AG372" s="375"/>
      <c r="AH372" s="375"/>
      <c r="AI372" s="375"/>
      <c r="AJ372" s="375"/>
      <c r="AK372" s="375"/>
      <c r="AL372" s="375"/>
      <c r="AM372" s="375"/>
      <c r="AN372" s="375"/>
      <c r="AO372" s="375"/>
      <c r="AP372" s="375"/>
      <c r="AQ372" s="375"/>
      <c r="AR372" s="375"/>
      <c r="AS372" s="375"/>
      <c r="AT372" s="375"/>
      <c r="AU372" s="2"/>
      <c r="AV372" s="2"/>
    </row>
    <row r="373" spans="1:48" ht="15" hidden="1" customHeight="1">
      <c r="A373" s="381">
        <v>8</v>
      </c>
      <c r="B373" s="382" t="s">
        <v>88</v>
      </c>
      <c r="C373" s="383" t="s">
        <v>587</v>
      </c>
      <c r="D373" s="383" t="s">
        <v>807</v>
      </c>
      <c r="E373" s="384">
        <v>2</v>
      </c>
      <c r="F373" s="385">
        <v>42933</v>
      </c>
      <c r="G373" s="386" t="s">
        <v>808</v>
      </c>
      <c r="H373" s="387">
        <v>4083986905</v>
      </c>
      <c r="I373" s="386" t="s">
        <v>809</v>
      </c>
      <c r="J373" s="388" t="s">
        <v>157</v>
      </c>
      <c r="K373" s="388"/>
      <c r="L373" s="388"/>
      <c r="M373" s="383"/>
      <c r="N373" s="382" t="s">
        <v>34</v>
      </c>
      <c r="O373" s="389">
        <v>45597</v>
      </c>
      <c r="P373" s="375"/>
      <c r="Q373" s="375"/>
      <c r="R373" s="375"/>
      <c r="S373" s="375"/>
      <c r="T373" s="375"/>
      <c r="U373" s="375"/>
      <c r="V373" s="375"/>
      <c r="W373" s="375"/>
      <c r="X373" s="375"/>
      <c r="Y373" s="375"/>
      <c r="Z373" s="375"/>
      <c r="AA373" s="375"/>
      <c r="AB373" s="375"/>
      <c r="AC373" s="375"/>
      <c r="AD373" s="375"/>
      <c r="AE373" s="375"/>
      <c r="AF373" s="375"/>
      <c r="AG373" s="375"/>
      <c r="AH373" s="375"/>
      <c r="AI373" s="375"/>
      <c r="AJ373" s="375"/>
      <c r="AK373" s="375"/>
      <c r="AL373" s="375"/>
      <c r="AM373" s="375"/>
      <c r="AN373" s="375"/>
      <c r="AO373" s="375"/>
      <c r="AP373" s="375"/>
      <c r="AQ373" s="375"/>
      <c r="AR373" s="375"/>
      <c r="AS373" s="375"/>
      <c r="AT373" s="375"/>
      <c r="AU373" s="2"/>
      <c r="AV373" s="2"/>
    </row>
    <row r="374" spans="1:48" ht="15" hidden="1" customHeight="1">
      <c r="A374" s="93">
        <v>1</v>
      </c>
      <c r="B374" s="390" t="s">
        <v>48</v>
      </c>
      <c r="C374" s="391" t="s">
        <v>886</v>
      </c>
      <c r="D374" s="391" t="s">
        <v>887</v>
      </c>
      <c r="E374" s="392">
        <v>2</v>
      </c>
      <c r="F374" s="391">
        <v>42157</v>
      </c>
      <c r="G374" s="391" t="s">
        <v>888</v>
      </c>
      <c r="H374" s="393">
        <v>5857522132</v>
      </c>
      <c r="I374" s="391" t="s">
        <v>889</v>
      </c>
      <c r="J374" s="394">
        <v>45299</v>
      </c>
      <c r="K374" s="395"/>
      <c r="L374" s="395"/>
      <c r="M374" s="396" t="s">
        <v>890</v>
      </c>
      <c r="N374" s="390" t="s">
        <v>34</v>
      </c>
      <c r="O374" s="397">
        <v>45627</v>
      </c>
      <c r="P374" s="398"/>
      <c r="Q374" s="398"/>
      <c r="R374" s="398"/>
      <c r="S374" s="398"/>
      <c r="T374" s="398"/>
      <c r="U374" s="398"/>
      <c r="V374" s="398"/>
      <c r="W374" s="398"/>
      <c r="X374" s="398"/>
      <c r="Y374" s="398"/>
      <c r="Z374" s="398"/>
      <c r="AA374" s="398"/>
      <c r="AB374" s="398"/>
      <c r="AC374" s="398"/>
      <c r="AD374" s="398"/>
      <c r="AE374" s="398"/>
      <c r="AF374" s="398"/>
      <c r="AG374" s="398"/>
      <c r="AH374" s="398"/>
      <c r="AI374" s="398"/>
      <c r="AJ374" s="398"/>
      <c r="AK374" s="398"/>
      <c r="AL374" s="398"/>
      <c r="AM374" s="398"/>
      <c r="AN374" s="398"/>
      <c r="AO374" s="398"/>
      <c r="AP374" s="398"/>
      <c r="AQ374" s="398"/>
      <c r="AR374" s="398"/>
      <c r="AS374" s="398"/>
      <c r="AT374" s="398"/>
      <c r="AU374" s="398"/>
      <c r="AV374" s="398"/>
    </row>
    <row r="375" spans="1:48" ht="15" hidden="1" customHeight="1">
      <c r="A375" s="93">
        <v>2</v>
      </c>
      <c r="B375" s="399" t="s">
        <v>88</v>
      </c>
      <c r="C375" s="395" t="s">
        <v>886</v>
      </c>
      <c r="D375" s="395" t="s">
        <v>887</v>
      </c>
      <c r="E375" s="400">
        <v>2</v>
      </c>
      <c r="F375" s="401">
        <v>42157</v>
      </c>
      <c r="G375" s="395" t="s">
        <v>888</v>
      </c>
      <c r="H375" s="395">
        <v>5857522132</v>
      </c>
      <c r="I375" s="395" t="s">
        <v>889</v>
      </c>
      <c r="J375" s="402">
        <v>45299</v>
      </c>
      <c r="K375" s="395"/>
      <c r="L375" s="395"/>
      <c r="M375" s="396" t="s">
        <v>890</v>
      </c>
      <c r="N375" s="390" t="s">
        <v>34</v>
      </c>
      <c r="O375" s="397">
        <v>45627</v>
      </c>
      <c r="P375" s="398"/>
      <c r="Q375" s="398"/>
      <c r="R375" s="398"/>
      <c r="S375" s="398"/>
      <c r="T375" s="398"/>
      <c r="U375" s="398"/>
      <c r="V375" s="398"/>
      <c r="W375" s="398"/>
      <c r="X375" s="398"/>
      <c r="Y375" s="398"/>
      <c r="Z375" s="398"/>
      <c r="AA375" s="398"/>
      <c r="AB375" s="398"/>
      <c r="AC375" s="398"/>
      <c r="AD375" s="398"/>
      <c r="AE375" s="398"/>
      <c r="AF375" s="398"/>
      <c r="AG375" s="398"/>
      <c r="AH375" s="398"/>
      <c r="AI375" s="398"/>
      <c r="AJ375" s="398"/>
      <c r="AK375" s="398"/>
      <c r="AL375" s="398"/>
      <c r="AM375" s="398"/>
      <c r="AN375" s="398"/>
      <c r="AO375" s="398"/>
      <c r="AP375" s="398"/>
      <c r="AQ375" s="398"/>
      <c r="AR375" s="398"/>
      <c r="AS375" s="398"/>
      <c r="AT375" s="398"/>
      <c r="AU375" s="398"/>
      <c r="AV375" s="398"/>
    </row>
    <row r="376" spans="1:48" ht="15" hidden="1" customHeight="1">
      <c r="A376" s="93">
        <v>3</v>
      </c>
      <c r="B376" s="390" t="s">
        <v>48</v>
      </c>
      <c r="C376" s="396" t="s">
        <v>592</v>
      </c>
      <c r="D376" s="396" t="s">
        <v>593</v>
      </c>
      <c r="E376" s="400" t="s">
        <v>251</v>
      </c>
      <c r="F376" s="401">
        <v>43461</v>
      </c>
      <c r="G376" s="396" t="s">
        <v>594</v>
      </c>
      <c r="H376" s="403">
        <v>4086803486</v>
      </c>
      <c r="I376" s="395" t="s">
        <v>595</v>
      </c>
      <c r="J376" s="402">
        <v>45323</v>
      </c>
      <c r="K376" s="395"/>
      <c r="L376" s="395"/>
      <c r="M376" s="396" t="s">
        <v>891</v>
      </c>
      <c r="N376" s="390" t="s">
        <v>34</v>
      </c>
      <c r="O376" s="397">
        <v>45627</v>
      </c>
      <c r="P376" s="398"/>
      <c r="Q376" s="398"/>
      <c r="R376" s="398"/>
      <c r="S376" s="398"/>
      <c r="T376" s="398"/>
      <c r="U376" s="398"/>
      <c r="V376" s="398"/>
      <c r="W376" s="398"/>
      <c r="X376" s="398"/>
      <c r="Y376" s="398"/>
      <c r="Z376" s="398"/>
      <c r="AA376" s="398"/>
      <c r="AB376" s="398"/>
      <c r="AC376" s="398"/>
      <c r="AD376" s="398"/>
      <c r="AE376" s="398"/>
      <c r="AF376" s="398"/>
      <c r="AG376" s="398"/>
      <c r="AH376" s="398"/>
      <c r="AI376" s="398"/>
      <c r="AJ376" s="398"/>
      <c r="AK376" s="398"/>
      <c r="AL376" s="398"/>
      <c r="AM376" s="398"/>
      <c r="AN376" s="398"/>
      <c r="AO376" s="398"/>
      <c r="AP376" s="398"/>
      <c r="AQ376" s="398"/>
      <c r="AR376" s="398"/>
      <c r="AS376" s="398"/>
      <c r="AT376" s="398"/>
      <c r="AU376" s="398"/>
      <c r="AV376" s="398"/>
    </row>
    <row r="377" spans="1:48" ht="15" hidden="1" customHeight="1">
      <c r="A377" s="93">
        <v>4</v>
      </c>
      <c r="B377" s="390" t="s">
        <v>88</v>
      </c>
      <c r="C377" s="391" t="s">
        <v>592</v>
      </c>
      <c r="D377" s="391" t="s">
        <v>593</v>
      </c>
      <c r="E377" s="392" t="s">
        <v>251</v>
      </c>
      <c r="F377" s="404">
        <v>43461</v>
      </c>
      <c r="G377" s="391" t="s">
        <v>594</v>
      </c>
      <c r="H377" s="393">
        <v>4086803486</v>
      </c>
      <c r="I377" s="391" t="s">
        <v>595</v>
      </c>
      <c r="J377" s="394">
        <v>45352</v>
      </c>
      <c r="K377" s="395"/>
      <c r="L377" s="395"/>
      <c r="M377" s="396" t="s">
        <v>891</v>
      </c>
      <c r="N377" s="390" t="s">
        <v>34</v>
      </c>
      <c r="O377" s="397">
        <v>45627</v>
      </c>
      <c r="P377" s="398"/>
      <c r="Q377" s="398"/>
      <c r="R377" s="398"/>
      <c r="S377" s="398"/>
      <c r="T377" s="398"/>
      <c r="U377" s="398"/>
      <c r="V377" s="398"/>
      <c r="W377" s="398"/>
      <c r="X377" s="398"/>
      <c r="Y377" s="398"/>
      <c r="Z377" s="398"/>
      <c r="AA377" s="398"/>
      <c r="AB377" s="398"/>
      <c r="AC377" s="398"/>
      <c r="AD377" s="398"/>
      <c r="AE377" s="398"/>
      <c r="AF377" s="398"/>
      <c r="AG377" s="398"/>
      <c r="AH377" s="398"/>
      <c r="AI377" s="398"/>
      <c r="AJ377" s="398"/>
      <c r="AK377" s="398"/>
      <c r="AL377" s="398"/>
      <c r="AM377" s="398"/>
      <c r="AN377" s="398"/>
      <c r="AO377" s="398"/>
      <c r="AP377" s="398"/>
      <c r="AQ377" s="398"/>
      <c r="AR377" s="398"/>
      <c r="AS377" s="398"/>
      <c r="AT377" s="398"/>
      <c r="AU377" s="398"/>
      <c r="AV377" s="398"/>
    </row>
    <row r="378" spans="1:48" ht="15" hidden="1" customHeight="1">
      <c r="A378" s="378">
        <v>1</v>
      </c>
      <c r="B378" s="376" t="s">
        <v>48</v>
      </c>
      <c r="C378" s="372" t="s">
        <v>118</v>
      </c>
      <c r="D378" s="372" t="s">
        <v>126</v>
      </c>
      <c r="E378" s="82">
        <v>1</v>
      </c>
      <c r="F378" s="371">
        <v>43199</v>
      </c>
      <c r="G378" s="372" t="s">
        <v>127</v>
      </c>
      <c r="H378" s="372">
        <v>6503046747</v>
      </c>
      <c r="I378" s="372" t="s">
        <v>128</v>
      </c>
      <c r="J378" s="405">
        <v>45572</v>
      </c>
      <c r="K378" s="372"/>
      <c r="L378" s="372"/>
      <c r="M378" s="370" t="s">
        <v>892</v>
      </c>
      <c r="N378" s="369" t="s">
        <v>34</v>
      </c>
      <c r="O378" s="374">
        <v>45658</v>
      </c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  <c r="AA378" s="406"/>
      <c r="AB378" s="406"/>
      <c r="AC378" s="406"/>
      <c r="AD378" s="406"/>
      <c r="AE378" s="406"/>
      <c r="AF378" s="406"/>
      <c r="AG378" s="406"/>
      <c r="AH378" s="406"/>
      <c r="AI378" s="406"/>
      <c r="AJ378" s="406"/>
      <c r="AK378" s="406"/>
      <c r="AL378" s="406"/>
      <c r="AM378" s="406"/>
      <c r="AN378" s="406"/>
      <c r="AO378" s="406"/>
      <c r="AP378" s="406"/>
      <c r="AQ378" s="406"/>
      <c r="AR378" s="406"/>
      <c r="AS378" s="406"/>
      <c r="AT378" s="406"/>
      <c r="AU378" s="406"/>
      <c r="AV378" s="406"/>
    </row>
    <row r="379" spans="1:48" ht="15" hidden="1" customHeight="1">
      <c r="A379" s="93">
        <v>2</v>
      </c>
      <c r="B379" s="103" t="s">
        <v>48</v>
      </c>
      <c r="C379" s="101" t="s">
        <v>621</v>
      </c>
      <c r="D379" s="101" t="s">
        <v>622</v>
      </c>
      <c r="E379" s="128">
        <v>6</v>
      </c>
      <c r="F379" s="102">
        <v>41034</v>
      </c>
      <c r="G379" s="104" t="s">
        <v>623</v>
      </c>
      <c r="H379" s="407">
        <v>5108161486</v>
      </c>
      <c r="I379" s="408" t="s">
        <v>585</v>
      </c>
      <c r="J379" s="409">
        <v>45293</v>
      </c>
      <c r="K379" s="104"/>
      <c r="L379" s="104"/>
      <c r="M379" s="101" t="s">
        <v>599</v>
      </c>
      <c r="N379" s="103" t="s">
        <v>34</v>
      </c>
      <c r="O379" s="374">
        <v>45658</v>
      </c>
      <c r="P379" s="410"/>
      <c r="Q379" s="410"/>
      <c r="R379" s="410"/>
      <c r="S379" s="410"/>
      <c r="T379" s="410"/>
      <c r="U379" s="410"/>
      <c r="V379" s="410"/>
      <c r="W379" s="410"/>
      <c r="X379" s="410"/>
      <c r="Y379" s="410"/>
      <c r="Z379" s="410"/>
      <c r="AA379" s="410"/>
      <c r="AB379" s="410"/>
      <c r="AC379" s="410"/>
      <c r="AD379" s="410"/>
      <c r="AE379" s="410"/>
      <c r="AF379" s="410"/>
      <c r="AG379" s="410"/>
      <c r="AH379" s="410"/>
      <c r="AI379" s="410"/>
      <c r="AJ379" s="410"/>
      <c r="AK379" s="410"/>
      <c r="AL379" s="410"/>
      <c r="AM379" s="410"/>
      <c r="AN379" s="410"/>
      <c r="AO379" s="410"/>
      <c r="AP379" s="410"/>
      <c r="AQ379" s="410"/>
      <c r="AR379" s="410"/>
      <c r="AS379" s="410"/>
      <c r="AT379" s="410"/>
      <c r="AU379" s="360"/>
      <c r="AV379" s="360"/>
    </row>
    <row r="380" spans="1:48" ht="15" hidden="1" customHeight="1">
      <c r="A380" s="93">
        <v>3</v>
      </c>
      <c r="B380" s="103" t="s">
        <v>48</v>
      </c>
      <c r="C380" s="411" t="s">
        <v>368</v>
      </c>
      <c r="D380" s="411" t="s">
        <v>893</v>
      </c>
      <c r="E380" s="412">
        <v>1</v>
      </c>
      <c r="F380" s="413">
        <v>42977</v>
      </c>
      <c r="G380" s="411" t="s">
        <v>894</v>
      </c>
      <c r="H380" s="414">
        <v>8173712065</v>
      </c>
      <c r="I380" s="411" t="s">
        <v>895</v>
      </c>
      <c r="J380" s="415">
        <v>45174</v>
      </c>
      <c r="K380" s="104"/>
      <c r="L380" s="104"/>
      <c r="M380" s="101"/>
      <c r="N380" s="103" t="s">
        <v>34</v>
      </c>
      <c r="O380" s="374">
        <v>45658</v>
      </c>
      <c r="P380" s="357"/>
      <c r="Q380" s="357"/>
      <c r="R380" s="357"/>
      <c r="S380" s="357"/>
      <c r="T380" s="357"/>
      <c r="U380" s="357"/>
      <c r="V380" s="357"/>
      <c r="W380" s="357"/>
      <c r="X380" s="357"/>
      <c r="Y380" s="357"/>
      <c r="Z380" s="357"/>
      <c r="AA380" s="357"/>
      <c r="AB380" s="357"/>
      <c r="AC380" s="357"/>
      <c r="AD380" s="357"/>
      <c r="AE380" s="357"/>
      <c r="AF380" s="357"/>
      <c r="AG380" s="357"/>
      <c r="AH380" s="357"/>
      <c r="AI380" s="357"/>
      <c r="AJ380" s="357"/>
      <c r="AK380" s="357"/>
      <c r="AL380" s="357"/>
      <c r="AM380" s="357"/>
      <c r="AN380" s="357"/>
      <c r="AO380" s="357"/>
      <c r="AP380" s="357"/>
      <c r="AQ380" s="357"/>
      <c r="AR380" s="357"/>
      <c r="AS380" s="357"/>
      <c r="AT380" s="357"/>
      <c r="AU380" s="357"/>
      <c r="AV380" s="357"/>
    </row>
    <row r="381" spans="1:48" ht="15" customHeight="1">
      <c r="A381" s="416">
        <v>1</v>
      </c>
      <c r="B381" s="417" t="s">
        <v>48</v>
      </c>
      <c r="C381" s="418" t="s">
        <v>192</v>
      </c>
      <c r="D381" s="418" t="s">
        <v>193</v>
      </c>
      <c r="E381" s="419" t="s">
        <v>153</v>
      </c>
      <c r="F381" s="420">
        <v>43556</v>
      </c>
      <c r="G381" s="418" t="s">
        <v>194</v>
      </c>
      <c r="H381" s="418">
        <v>2147624191</v>
      </c>
      <c r="I381" s="418" t="s">
        <v>195</v>
      </c>
      <c r="J381" s="421">
        <v>45585</v>
      </c>
      <c r="K381" s="418" t="s">
        <v>896</v>
      </c>
      <c r="L381" s="418" t="s">
        <v>897</v>
      </c>
      <c r="M381" s="422" t="s">
        <v>898</v>
      </c>
      <c r="N381" s="423" t="s">
        <v>34</v>
      </c>
      <c r="O381" s="424">
        <v>45689</v>
      </c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  <c r="AL381" s="195"/>
      <c r="AM381" s="195"/>
      <c r="AN381" s="195"/>
      <c r="AO381" s="195"/>
      <c r="AP381" s="195"/>
      <c r="AQ381" s="195"/>
      <c r="AR381" s="195"/>
      <c r="AS381" s="195"/>
      <c r="AT381" s="195"/>
      <c r="AU381" s="195"/>
      <c r="AV381" s="195"/>
    </row>
    <row r="382" spans="1:48" ht="15" customHeight="1">
      <c r="A382" s="416">
        <v>2</v>
      </c>
      <c r="B382" s="417" t="s">
        <v>88</v>
      </c>
      <c r="C382" s="418" t="s">
        <v>196</v>
      </c>
      <c r="D382" s="418" t="s">
        <v>193</v>
      </c>
      <c r="E382" s="419" t="s">
        <v>153</v>
      </c>
      <c r="F382" s="420">
        <v>43556</v>
      </c>
      <c r="G382" s="418" t="s">
        <v>194</v>
      </c>
      <c r="H382" s="418">
        <v>2147624191</v>
      </c>
      <c r="I382" s="418" t="s">
        <v>195</v>
      </c>
      <c r="J382" s="421">
        <v>45585</v>
      </c>
      <c r="K382" s="418" t="s">
        <v>139</v>
      </c>
      <c r="L382" s="418" t="s">
        <v>899</v>
      </c>
      <c r="M382" s="422" t="s">
        <v>898</v>
      </c>
      <c r="N382" s="423" t="s">
        <v>34</v>
      </c>
      <c r="O382" s="424">
        <v>45689</v>
      </c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  <c r="AL382" s="195"/>
      <c r="AM382" s="195"/>
      <c r="AN382" s="195"/>
      <c r="AO382" s="195"/>
      <c r="AP382" s="195"/>
      <c r="AQ382" s="195"/>
      <c r="AR382" s="195"/>
      <c r="AS382" s="195"/>
      <c r="AT382" s="195"/>
      <c r="AU382" s="425"/>
      <c r="AV382" s="425"/>
    </row>
    <row r="383" spans="1:48" ht="15" customHeight="1">
      <c r="A383" s="416">
        <v>3</v>
      </c>
      <c r="B383" s="423" t="s">
        <v>48</v>
      </c>
      <c r="C383" s="422" t="s">
        <v>409</v>
      </c>
      <c r="D383" s="422" t="s">
        <v>758</v>
      </c>
      <c r="E383" s="419">
        <v>4</v>
      </c>
      <c r="F383" s="420" t="s">
        <v>432</v>
      </c>
      <c r="G383" s="422" t="s">
        <v>900</v>
      </c>
      <c r="H383" s="426">
        <v>7324916636</v>
      </c>
      <c r="I383" s="418" t="s">
        <v>901</v>
      </c>
      <c r="J383" s="421" t="s">
        <v>157</v>
      </c>
      <c r="K383" s="418" t="s">
        <v>125</v>
      </c>
      <c r="L383" s="418" t="s">
        <v>902</v>
      </c>
      <c r="M383" s="422" t="s">
        <v>903</v>
      </c>
      <c r="N383" s="423" t="s">
        <v>34</v>
      </c>
      <c r="O383" s="424">
        <v>45689</v>
      </c>
      <c r="P383" s="427"/>
      <c r="Q383" s="427"/>
      <c r="R383" s="427"/>
      <c r="S383" s="427"/>
      <c r="T383" s="427"/>
      <c r="U383" s="427"/>
      <c r="V383" s="427"/>
      <c r="W383" s="427"/>
      <c r="X383" s="427"/>
      <c r="Y383" s="427"/>
      <c r="Z383" s="427"/>
      <c r="AA383" s="427"/>
      <c r="AB383" s="427"/>
      <c r="AC383" s="427"/>
      <c r="AD383" s="427"/>
      <c r="AE383" s="427"/>
      <c r="AF383" s="427"/>
      <c r="AG383" s="427"/>
      <c r="AH383" s="427"/>
      <c r="AI383" s="427"/>
      <c r="AJ383" s="427"/>
      <c r="AK383" s="427"/>
      <c r="AL383" s="427"/>
      <c r="AM383" s="427"/>
      <c r="AN383" s="427"/>
      <c r="AO383" s="427"/>
      <c r="AP383" s="427"/>
      <c r="AQ383" s="427"/>
      <c r="AR383" s="427"/>
      <c r="AS383" s="427"/>
      <c r="AT383" s="427"/>
      <c r="AU383" s="195"/>
      <c r="AV383" s="195"/>
    </row>
    <row r="384" spans="1:48" ht="15" customHeight="1">
      <c r="A384" s="416">
        <v>4</v>
      </c>
      <c r="B384" s="423" t="s">
        <v>88</v>
      </c>
      <c r="C384" s="428" t="s">
        <v>409</v>
      </c>
      <c r="D384" s="428" t="s">
        <v>758</v>
      </c>
      <c r="E384" s="416">
        <v>4</v>
      </c>
      <c r="F384" s="429" t="s">
        <v>432</v>
      </c>
      <c r="G384" s="428" t="s">
        <v>900</v>
      </c>
      <c r="H384" s="430">
        <v>7324916636</v>
      </c>
      <c r="I384" s="428" t="s">
        <v>901</v>
      </c>
      <c r="J384" s="431" t="s">
        <v>157</v>
      </c>
      <c r="K384" s="418" t="s">
        <v>159</v>
      </c>
      <c r="L384" s="418" t="s">
        <v>904</v>
      </c>
      <c r="M384" s="422" t="s">
        <v>903</v>
      </c>
      <c r="N384" s="423" t="s">
        <v>34</v>
      </c>
      <c r="O384" s="424">
        <v>45689</v>
      </c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  <c r="AL384" s="195"/>
      <c r="AM384" s="195"/>
      <c r="AN384" s="195"/>
      <c r="AO384" s="195"/>
      <c r="AP384" s="195"/>
      <c r="AQ384" s="195"/>
      <c r="AR384" s="195"/>
      <c r="AS384" s="195"/>
      <c r="AT384" s="195"/>
      <c r="AU384" s="195"/>
      <c r="AV384" s="195"/>
    </row>
    <row r="385" spans="1:48" ht="15" customHeight="1">
      <c r="A385" s="93">
        <v>1</v>
      </c>
      <c r="B385" s="88" t="s">
        <v>48</v>
      </c>
      <c r="C385" s="94" t="s">
        <v>409</v>
      </c>
      <c r="D385" s="94" t="s">
        <v>410</v>
      </c>
      <c r="E385" s="94">
        <v>5</v>
      </c>
      <c r="F385" s="95">
        <v>41774</v>
      </c>
      <c r="G385" s="94" t="s">
        <v>411</v>
      </c>
      <c r="H385" s="94" t="s">
        <v>412</v>
      </c>
      <c r="I385" s="94" t="s">
        <v>413</v>
      </c>
      <c r="J385" s="95">
        <v>45588</v>
      </c>
      <c r="K385" s="94" t="s">
        <v>220</v>
      </c>
      <c r="L385" s="94" t="s">
        <v>905</v>
      </c>
      <c r="M385" s="94" t="s">
        <v>906</v>
      </c>
      <c r="N385" s="96" t="s">
        <v>34</v>
      </c>
      <c r="O385" s="115">
        <v>45748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432"/>
      <c r="AV385" s="432"/>
    </row>
    <row r="386" spans="1:48" ht="17.25" customHeight="1">
      <c r="A386" s="83"/>
      <c r="B386" s="11"/>
      <c r="C386" s="79"/>
      <c r="D386" s="79"/>
      <c r="E386" s="11"/>
      <c r="F386" s="79"/>
      <c r="G386" s="79"/>
      <c r="H386" s="79"/>
      <c r="I386" s="32"/>
      <c r="J386" s="79"/>
      <c r="K386" s="79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8" ht="17.25" customHeight="1">
      <c r="A387" s="83"/>
      <c r="B387" s="11"/>
      <c r="C387" s="79"/>
      <c r="D387" s="79"/>
      <c r="E387" s="11"/>
      <c r="F387" s="79"/>
      <c r="G387" s="79"/>
      <c r="H387" s="79"/>
      <c r="I387" s="32"/>
      <c r="J387" s="79"/>
      <c r="K387" s="79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8" ht="17.25" customHeight="1">
      <c r="A388" s="83"/>
      <c r="B388" s="11"/>
      <c r="C388" s="79"/>
      <c r="D388" s="79"/>
      <c r="E388" s="11"/>
      <c r="F388" s="79"/>
      <c r="G388" s="79"/>
      <c r="H388" s="79"/>
      <c r="I388" s="32"/>
      <c r="J388" s="79"/>
      <c r="K388" s="79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8" ht="17.25" customHeight="1">
      <c r="A389" s="83"/>
      <c r="B389" s="11"/>
      <c r="C389" s="79"/>
      <c r="D389" s="79"/>
      <c r="E389" s="11"/>
      <c r="F389" s="79"/>
      <c r="G389" s="79"/>
      <c r="H389" s="79"/>
      <c r="I389" s="32"/>
      <c r="J389" s="79"/>
      <c r="K389" s="79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8" ht="17.25" customHeight="1">
      <c r="A390" s="83"/>
      <c r="B390" s="11"/>
      <c r="C390" s="79"/>
      <c r="D390" s="79"/>
      <c r="E390" s="11"/>
      <c r="F390" s="79"/>
      <c r="G390" s="79"/>
      <c r="H390" s="79"/>
      <c r="I390" s="32"/>
      <c r="J390" s="79"/>
      <c r="K390" s="79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8" ht="17.25" customHeight="1">
      <c r="A391" s="83"/>
      <c r="B391" s="11"/>
      <c r="C391" s="79"/>
      <c r="D391" s="79"/>
      <c r="E391" s="11"/>
      <c r="F391" s="79"/>
      <c r="G391" s="79"/>
      <c r="H391" s="79"/>
      <c r="I391" s="32"/>
      <c r="J391" s="79"/>
      <c r="K391" s="79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8" ht="17.25" customHeight="1">
      <c r="A392" s="83"/>
      <c r="B392" s="11"/>
      <c r="C392" s="79"/>
      <c r="D392" s="79"/>
      <c r="E392" s="11"/>
      <c r="F392" s="79"/>
      <c r="G392" s="79"/>
      <c r="H392" s="79"/>
      <c r="I392" s="32"/>
      <c r="J392" s="79"/>
      <c r="K392" s="79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8" ht="17.25" customHeight="1">
      <c r="A393" s="83"/>
      <c r="B393" s="11"/>
      <c r="C393" s="79"/>
      <c r="D393" s="79"/>
      <c r="E393" s="11"/>
      <c r="F393" s="79"/>
      <c r="G393" s="79"/>
      <c r="H393" s="79"/>
      <c r="I393" s="32"/>
      <c r="J393" s="79"/>
      <c r="K393" s="79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8" ht="17.25" customHeight="1">
      <c r="A394" s="83"/>
      <c r="B394" s="11"/>
      <c r="C394" s="79"/>
      <c r="D394" s="79"/>
      <c r="E394" s="11"/>
      <c r="F394" s="79"/>
      <c r="G394" s="79"/>
      <c r="H394" s="79"/>
      <c r="I394" s="32"/>
      <c r="J394" s="79"/>
      <c r="K394" s="79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8" ht="17.25" customHeight="1">
      <c r="A395" s="83"/>
      <c r="B395" s="11"/>
      <c r="C395" s="79"/>
      <c r="D395" s="79"/>
      <c r="E395" s="11"/>
      <c r="F395" s="79"/>
      <c r="G395" s="79"/>
      <c r="H395" s="79"/>
      <c r="I395" s="32"/>
      <c r="J395" s="79"/>
      <c r="K395" s="79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8" ht="17.25" customHeight="1">
      <c r="A396" s="83"/>
      <c r="B396" s="11"/>
      <c r="C396" s="79"/>
      <c r="D396" s="79"/>
      <c r="E396" s="11"/>
      <c r="F396" s="79"/>
      <c r="G396" s="79"/>
      <c r="H396" s="79"/>
      <c r="I396" s="32"/>
      <c r="J396" s="79"/>
      <c r="K396" s="79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8" ht="17.25" customHeight="1">
      <c r="A397" s="83"/>
      <c r="B397" s="11"/>
      <c r="C397" s="79"/>
      <c r="D397" s="79"/>
      <c r="E397" s="11"/>
      <c r="F397" s="79"/>
      <c r="G397" s="79"/>
      <c r="H397" s="79"/>
      <c r="I397" s="32"/>
      <c r="J397" s="79"/>
      <c r="K397" s="79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8" ht="17.25" customHeight="1">
      <c r="A398" s="83"/>
      <c r="B398" s="11"/>
      <c r="C398" s="79"/>
      <c r="D398" s="79"/>
      <c r="E398" s="11"/>
      <c r="F398" s="79"/>
      <c r="G398" s="79"/>
      <c r="H398" s="79"/>
      <c r="I398" s="32"/>
      <c r="J398" s="79"/>
      <c r="K398" s="79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8" ht="17.25" customHeight="1">
      <c r="A399" s="83"/>
      <c r="B399" s="11"/>
      <c r="C399" s="79"/>
      <c r="D399" s="79"/>
      <c r="E399" s="11"/>
      <c r="F399" s="79"/>
      <c r="G399" s="79"/>
      <c r="H399" s="79"/>
      <c r="I399" s="32"/>
      <c r="J399" s="79"/>
      <c r="K399" s="79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8" ht="17.25" customHeight="1">
      <c r="A400" s="83"/>
      <c r="B400" s="11"/>
      <c r="C400" s="79"/>
      <c r="D400" s="79"/>
      <c r="E400" s="11"/>
      <c r="F400" s="79"/>
      <c r="G400" s="79"/>
      <c r="H400" s="79"/>
      <c r="I400" s="32"/>
      <c r="J400" s="79"/>
      <c r="K400" s="79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>
      <c r="A401" s="83"/>
      <c r="B401" s="11"/>
      <c r="C401" s="79"/>
      <c r="D401" s="79"/>
      <c r="E401" s="11"/>
      <c r="F401" s="79"/>
      <c r="G401" s="79"/>
      <c r="H401" s="79"/>
      <c r="I401" s="32"/>
      <c r="J401" s="79"/>
      <c r="K401" s="79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>
      <c r="A402" s="83"/>
      <c r="B402" s="11"/>
      <c r="C402" s="79"/>
      <c r="D402" s="79"/>
      <c r="E402" s="11"/>
      <c r="F402" s="79"/>
      <c r="G402" s="79"/>
      <c r="H402" s="79"/>
      <c r="I402" s="32"/>
      <c r="J402" s="79"/>
      <c r="K402" s="79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>
      <c r="A403" s="83"/>
      <c r="B403" s="11"/>
      <c r="C403" s="79"/>
      <c r="D403" s="79"/>
      <c r="E403" s="11"/>
      <c r="F403" s="79"/>
      <c r="G403" s="79"/>
      <c r="H403" s="79"/>
      <c r="I403" s="32"/>
      <c r="J403" s="79"/>
      <c r="K403" s="79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>
      <c r="A404" s="83"/>
      <c r="B404" s="11"/>
      <c r="C404" s="79"/>
      <c r="D404" s="79"/>
      <c r="E404" s="11"/>
      <c r="F404" s="79"/>
      <c r="G404" s="79"/>
      <c r="H404" s="79"/>
      <c r="I404" s="32"/>
      <c r="J404" s="79"/>
      <c r="K404" s="79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>
      <c r="A405" s="83"/>
      <c r="B405" s="11"/>
      <c r="C405" s="79"/>
      <c r="D405" s="79"/>
      <c r="E405" s="11"/>
      <c r="F405" s="79"/>
      <c r="G405" s="79"/>
      <c r="H405" s="79"/>
      <c r="I405" s="32"/>
      <c r="J405" s="79"/>
      <c r="K405" s="79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>
      <c r="A406" s="83"/>
      <c r="B406" s="11"/>
      <c r="C406" s="79"/>
      <c r="D406" s="79"/>
      <c r="E406" s="11"/>
      <c r="F406" s="79"/>
      <c r="G406" s="79"/>
      <c r="H406" s="79"/>
      <c r="I406" s="32"/>
      <c r="J406" s="79"/>
      <c r="K406" s="79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>
      <c r="A407" s="83"/>
      <c r="B407" s="11"/>
      <c r="C407" s="79"/>
      <c r="D407" s="79"/>
      <c r="E407" s="11"/>
      <c r="F407" s="79"/>
      <c r="G407" s="79"/>
      <c r="H407" s="79"/>
      <c r="I407" s="32"/>
      <c r="J407" s="79"/>
      <c r="K407" s="79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>
      <c r="A408" s="83"/>
      <c r="B408" s="11"/>
      <c r="C408" s="79"/>
      <c r="D408" s="79"/>
      <c r="E408" s="11"/>
      <c r="F408" s="79"/>
      <c r="G408" s="79"/>
      <c r="H408" s="79"/>
      <c r="I408" s="32"/>
      <c r="J408" s="79"/>
      <c r="K408" s="79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>
      <c r="A409" s="83"/>
      <c r="B409" s="11"/>
      <c r="C409" s="79"/>
      <c r="D409" s="79"/>
      <c r="E409" s="11"/>
      <c r="F409" s="79"/>
      <c r="G409" s="79"/>
      <c r="H409" s="79"/>
      <c r="I409" s="32"/>
      <c r="J409" s="79"/>
      <c r="K409" s="79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>
      <c r="A410" s="83"/>
      <c r="B410" s="11"/>
      <c r="C410" s="79"/>
      <c r="D410" s="79"/>
      <c r="E410" s="11"/>
      <c r="F410" s="79"/>
      <c r="G410" s="79"/>
      <c r="H410" s="79"/>
      <c r="I410" s="32"/>
      <c r="J410" s="79"/>
      <c r="K410" s="79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>
      <c r="A411" s="83"/>
      <c r="B411" s="11"/>
      <c r="C411" s="79"/>
      <c r="D411" s="79"/>
      <c r="E411" s="11"/>
      <c r="F411" s="79"/>
      <c r="G411" s="79"/>
      <c r="H411" s="79"/>
      <c r="I411" s="32"/>
      <c r="J411" s="79"/>
      <c r="K411" s="79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>
      <c r="A412" s="83"/>
      <c r="B412" s="11"/>
      <c r="C412" s="79"/>
      <c r="D412" s="79"/>
      <c r="E412" s="11"/>
      <c r="F412" s="79"/>
      <c r="G412" s="79"/>
      <c r="H412" s="79"/>
      <c r="I412" s="32"/>
      <c r="J412" s="79"/>
      <c r="K412" s="79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>
      <c r="A413" s="83"/>
      <c r="B413" s="11"/>
      <c r="C413" s="79"/>
      <c r="D413" s="79"/>
      <c r="E413" s="11"/>
      <c r="F413" s="79"/>
      <c r="G413" s="79"/>
      <c r="H413" s="79"/>
      <c r="I413" s="32"/>
      <c r="J413" s="79"/>
      <c r="K413" s="79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>
      <c r="A414" s="83"/>
      <c r="B414" s="11"/>
      <c r="C414" s="79"/>
      <c r="D414" s="79"/>
      <c r="E414" s="11"/>
      <c r="F414" s="79"/>
      <c r="G414" s="79"/>
      <c r="H414" s="79"/>
      <c r="I414" s="32"/>
      <c r="J414" s="79"/>
      <c r="K414" s="79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>
      <c r="A415" s="83"/>
      <c r="B415" s="11"/>
      <c r="C415" s="79"/>
      <c r="D415" s="79"/>
      <c r="E415" s="11"/>
      <c r="F415" s="79"/>
      <c r="G415" s="79"/>
      <c r="H415" s="79"/>
      <c r="I415" s="32"/>
      <c r="J415" s="79"/>
      <c r="K415" s="79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>
      <c r="A416" s="83"/>
      <c r="B416" s="11"/>
      <c r="C416" s="79"/>
      <c r="D416" s="79"/>
      <c r="E416" s="11"/>
      <c r="F416" s="79"/>
      <c r="G416" s="79"/>
      <c r="H416" s="79"/>
      <c r="I416" s="32"/>
      <c r="J416" s="79"/>
      <c r="K416" s="79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>
      <c r="A417" s="83"/>
      <c r="B417" s="11"/>
      <c r="C417" s="79"/>
      <c r="D417" s="79"/>
      <c r="E417" s="11"/>
      <c r="F417" s="79"/>
      <c r="G417" s="79"/>
      <c r="H417" s="79"/>
      <c r="I417" s="32"/>
      <c r="J417" s="79"/>
      <c r="K417" s="79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>
      <c r="A418" s="83"/>
      <c r="B418" s="11"/>
      <c r="C418" s="79"/>
      <c r="D418" s="79"/>
      <c r="E418" s="11"/>
      <c r="F418" s="79"/>
      <c r="G418" s="79"/>
      <c r="H418" s="79"/>
      <c r="I418" s="32"/>
      <c r="J418" s="79"/>
      <c r="K418" s="79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>
      <c r="A419" s="83"/>
      <c r="B419" s="11"/>
      <c r="C419" s="79"/>
      <c r="D419" s="79"/>
      <c r="E419" s="11"/>
      <c r="F419" s="79"/>
      <c r="G419" s="79"/>
      <c r="H419" s="79"/>
      <c r="I419" s="32"/>
      <c r="J419" s="79"/>
      <c r="K419" s="79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>
      <c r="A420" s="83"/>
      <c r="B420" s="11"/>
      <c r="C420" s="79"/>
      <c r="D420" s="79"/>
      <c r="E420" s="11"/>
      <c r="F420" s="79"/>
      <c r="G420" s="79"/>
      <c r="H420" s="79"/>
      <c r="I420" s="32"/>
      <c r="J420" s="79"/>
      <c r="K420" s="79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>
      <c r="A421" s="83"/>
      <c r="B421" s="11"/>
      <c r="C421" s="79"/>
      <c r="D421" s="79"/>
      <c r="E421" s="11"/>
      <c r="F421" s="79"/>
      <c r="G421" s="79"/>
      <c r="H421" s="79"/>
      <c r="I421" s="32"/>
      <c r="J421" s="79"/>
      <c r="K421" s="79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>
      <c r="A422" s="83"/>
      <c r="B422" s="11"/>
      <c r="C422" s="79"/>
      <c r="D422" s="79"/>
      <c r="E422" s="11"/>
      <c r="F422" s="79"/>
      <c r="G422" s="79"/>
      <c r="H422" s="79"/>
      <c r="I422" s="32"/>
      <c r="J422" s="79"/>
      <c r="K422" s="79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>
      <c r="A423" s="83"/>
      <c r="B423" s="11"/>
      <c r="C423" s="79"/>
      <c r="D423" s="79"/>
      <c r="E423" s="11"/>
      <c r="F423" s="79"/>
      <c r="G423" s="79"/>
      <c r="H423" s="79"/>
      <c r="I423" s="32"/>
      <c r="J423" s="79"/>
      <c r="K423" s="79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>
      <c r="A424" s="83"/>
      <c r="B424" s="11"/>
      <c r="C424" s="79"/>
      <c r="D424" s="79"/>
      <c r="E424" s="11"/>
      <c r="F424" s="79"/>
      <c r="G424" s="79"/>
      <c r="H424" s="79"/>
      <c r="I424" s="32"/>
      <c r="J424" s="79"/>
      <c r="K424" s="79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>
      <c r="A425" s="83"/>
      <c r="B425" s="11"/>
      <c r="C425" s="79"/>
      <c r="D425" s="79"/>
      <c r="E425" s="11"/>
      <c r="F425" s="79"/>
      <c r="G425" s="79"/>
      <c r="H425" s="79"/>
      <c r="I425" s="32"/>
      <c r="J425" s="79"/>
      <c r="K425" s="79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>
      <c r="A426" s="83"/>
      <c r="B426" s="11"/>
      <c r="C426" s="79"/>
      <c r="D426" s="79"/>
      <c r="E426" s="11"/>
      <c r="F426" s="79"/>
      <c r="G426" s="79"/>
      <c r="H426" s="79"/>
      <c r="I426" s="32"/>
      <c r="J426" s="79"/>
      <c r="K426" s="79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>
      <c r="A427" s="83"/>
      <c r="B427" s="11"/>
      <c r="C427" s="79"/>
      <c r="D427" s="79"/>
      <c r="E427" s="11"/>
      <c r="F427" s="79"/>
      <c r="G427" s="79"/>
      <c r="H427" s="79"/>
      <c r="I427" s="32"/>
      <c r="J427" s="79"/>
      <c r="K427" s="79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>
      <c r="A428" s="83"/>
      <c r="B428" s="11"/>
      <c r="C428" s="79"/>
      <c r="D428" s="79"/>
      <c r="E428" s="11"/>
      <c r="F428" s="79"/>
      <c r="G428" s="79"/>
      <c r="H428" s="79"/>
      <c r="I428" s="32"/>
      <c r="J428" s="79"/>
      <c r="K428" s="79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>
      <c r="A429" s="83"/>
      <c r="B429" s="11"/>
      <c r="C429" s="79"/>
      <c r="D429" s="79"/>
      <c r="E429" s="11"/>
      <c r="F429" s="79"/>
      <c r="G429" s="79"/>
      <c r="H429" s="79"/>
      <c r="I429" s="32"/>
      <c r="J429" s="79"/>
      <c r="K429" s="79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>
      <c r="A430" s="83"/>
      <c r="B430" s="11"/>
      <c r="C430" s="79"/>
      <c r="D430" s="79"/>
      <c r="E430" s="11"/>
      <c r="F430" s="79"/>
      <c r="G430" s="79"/>
      <c r="H430" s="79"/>
      <c r="I430" s="32"/>
      <c r="J430" s="79"/>
      <c r="K430" s="79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>
      <c r="A431" s="83"/>
      <c r="B431" s="11"/>
      <c r="C431" s="79"/>
      <c r="D431" s="79"/>
      <c r="E431" s="11"/>
      <c r="F431" s="79"/>
      <c r="G431" s="79"/>
      <c r="H431" s="79"/>
      <c r="I431" s="32"/>
      <c r="J431" s="79"/>
      <c r="K431" s="79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>
      <c r="A432" s="83"/>
      <c r="B432" s="11"/>
      <c r="C432" s="79"/>
      <c r="D432" s="79"/>
      <c r="E432" s="11"/>
      <c r="F432" s="79"/>
      <c r="G432" s="79"/>
      <c r="H432" s="79"/>
      <c r="I432" s="32"/>
      <c r="J432" s="79"/>
      <c r="K432" s="79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>
      <c r="A433" s="83"/>
      <c r="B433" s="11"/>
      <c r="C433" s="79"/>
      <c r="D433" s="79"/>
      <c r="E433" s="11"/>
      <c r="F433" s="79"/>
      <c r="G433" s="79"/>
      <c r="H433" s="79"/>
      <c r="I433" s="32"/>
      <c r="J433" s="79"/>
      <c r="K433" s="79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>
      <c r="A434" s="83"/>
      <c r="B434" s="11"/>
      <c r="C434" s="79"/>
      <c r="D434" s="79"/>
      <c r="E434" s="11"/>
      <c r="F434" s="79"/>
      <c r="G434" s="79"/>
      <c r="H434" s="79"/>
      <c r="I434" s="32"/>
      <c r="J434" s="79"/>
      <c r="K434" s="79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>
      <c r="A435" s="83"/>
      <c r="B435" s="11"/>
      <c r="C435" s="79"/>
      <c r="D435" s="79"/>
      <c r="E435" s="11"/>
      <c r="F435" s="79"/>
      <c r="G435" s="79"/>
      <c r="H435" s="79"/>
      <c r="I435" s="32"/>
      <c r="J435" s="79"/>
      <c r="K435" s="79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>
      <c r="A436" s="83"/>
      <c r="B436" s="11"/>
      <c r="C436" s="79"/>
      <c r="D436" s="79"/>
      <c r="E436" s="11"/>
      <c r="F436" s="79"/>
      <c r="G436" s="79"/>
      <c r="H436" s="79"/>
      <c r="I436" s="32"/>
      <c r="J436" s="79"/>
      <c r="K436" s="79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>
      <c r="A437" s="83"/>
      <c r="B437" s="11"/>
      <c r="C437" s="79"/>
      <c r="D437" s="79"/>
      <c r="E437" s="11"/>
      <c r="F437" s="79"/>
      <c r="G437" s="79"/>
      <c r="H437" s="79"/>
      <c r="I437" s="32"/>
      <c r="J437" s="79"/>
      <c r="K437" s="79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>
      <c r="A438" s="83"/>
      <c r="B438" s="11"/>
      <c r="C438" s="79"/>
      <c r="D438" s="79"/>
      <c r="E438" s="11"/>
      <c r="F438" s="79"/>
      <c r="G438" s="79"/>
      <c r="H438" s="79"/>
      <c r="I438" s="32"/>
      <c r="J438" s="79"/>
      <c r="K438" s="79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>
      <c r="A439" s="83"/>
      <c r="B439" s="11"/>
      <c r="C439" s="79"/>
      <c r="D439" s="79"/>
      <c r="E439" s="11"/>
      <c r="F439" s="79"/>
      <c r="G439" s="79"/>
      <c r="H439" s="79"/>
      <c r="I439" s="32"/>
      <c r="J439" s="79"/>
      <c r="K439" s="79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>
      <c r="A440" s="83"/>
      <c r="B440" s="11"/>
      <c r="C440" s="79"/>
      <c r="D440" s="79"/>
      <c r="E440" s="11"/>
      <c r="F440" s="79"/>
      <c r="G440" s="79"/>
      <c r="H440" s="79"/>
      <c r="I440" s="32"/>
      <c r="J440" s="79"/>
      <c r="K440" s="79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>
      <c r="A441" s="83"/>
      <c r="B441" s="11"/>
      <c r="C441" s="79"/>
      <c r="D441" s="79"/>
      <c r="E441" s="11"/>
      <c r="F441" s="79"/>
      <c r="G441" s="79"/>
      <c r="H441" s="79"/>
      <c r="I441" s="32"/>
      <c r="J441" s="79"/>
      <c r="K441" s="79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>
      <c r="A442" s="83"/>
      <c r="B442" s="11"/>
      <c r="C442" s="79"/>
      <c r="D442" s="79"/>
      <c r="E442" s="11"/>
      <c r="F442" s="79"/>
      <c r="G442" s="79"/>
      <c r="H442" s="79"/>
      <c r="I442" s="32"/>
      <c r="J442" s="79"/>
      <c r="K442" s="79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>
      <c r="A443" s="83"/>
      <c r="B443" s="11"/>
      <c r="C443" s="79"/>
      <c r="D443" s="79"/>
      <c r="E443" s="11"/>
      <c r="F443" s="79"/>
      <c r="G443" s="79"/>
      <c r="H443" s="79"/>
      <c r="I443" s="32"/>
      <c r="J443" s="79"/>
      <c r="K443" s="79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>
      <c r="A444" s="83"/>
      <c r="B444" s="11"/>
      <c r="C444" s="79"/>
      <c r="D444" s="79"/>
      <c r="E444" s="11"/>
      <c r="F444" s="79"/>
      <c r="G444" s="79"/>
      <c r="H444" s="79"/>
      <c r="I444" s="32"/>
      <c r="J444" s="79"/>
      <c r="K444" s="79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>
      <c r="A445" s="83"/>
      <c r="B445" s="11"/>
      <c r="C445" s="79"/>
      <c r="D445" s="79"/>
      <c r="E445" s="11"/>
      <c r="F445" s="79"/>
      <c r="G445" s="79"/>
      <c r="H445" s="79"/>
      <c r="I445" s="32"/>
      <c r="J445" s="79"/>
      <c r="K445" s="79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>
      <c r="A446" s="83"/>
      <c r="B446" s="11"/>
      <c r="C446" s="79"/>
      <c r="D446" s="79"/>
      <c r="E446" s="11"/>
      <c r="F446" s="79"/>
      <c r="G446" s="79"/>
      <c r="H446" s="79"/>
      <c r="I446" s="32"/>
      <c r="J446" s="79"/>
      <c r="K446" s="79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>
      <c r="A447" s="83"/>
      <c r="B447" s="11"/>
      <c r="C447" s="79"/>
      <c r="D447" s="79"/>
      <c r="E447" s="11"/>
      <c r="F447" s="79"/>
      <c r="G447" s="79"/>
      <c r="H447" s="79"/>
      <c r="I447" s="32"/>
      <c r="J447" s="79"/>
      <c r="K447" s="79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>
      <c r="A448" s="83"/>
      <c r="B448" s="11"/>
      <c r="C448" s="79"/>
      <c r="D448" s="79"/>
      <c r="E448" s="11"/>
      <c r="F448" s="79"/>
      <c r="G448" s="79"/>
      <c r="H448" s="79"/>
      <c r="I448" s="32"/>
      <c r="J448" s="79"/>
      <c r="K448" s="79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>
      <c r="A449" s="83"/>
      <c r="B449" s="11"/>
      <c r="C449" s="79"/>
      <c r="D449" s="79"/>
      <c r="E449" s="11"/>
      <c r="F449" s="79"/>
      <c r="G449" s="79"/>
      <c r="H449" s="79"/>
      <c r="I449" s="32"/>
      <c r="J449" s="79"/>
      <c r="K449" s="79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>
      <c r="A450" s="83"/>
      <c r="B450" s="11"/>
      <c r="C450" s="79"/>
      <c r="D450" s="79"/>
      <c r="E450" s="11"/>
      <c r="F450" s="79"/>
      <c r="G450" s="79"/>
      <c r="H450" s="79"/>
      <c r="I450" s="32"/>
      <c r="J450" s="79"/>
      <c r="K450" s="79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>
      <c r="A451" s="83"/>
      <c r="B451" s="11"/>
      <c r="C451" s="79"/>
      <c r="D451" s="79"/>
      <c r="E451" s="11"/>
      <c r="F451" s="79"/>
      <c r="G451" s="79"/>
      <c r="H451" s="79"/>
      <c r="I451" s="32"/>
      <c r="J451" s="79"/>
      <c r="K451" s="79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>
      <c r="A452" s="83"/>
      <c r="B452" s="11"/>
      <c r="C452" s="79"/>
      <c r="D452" s="79"/>
      <c r="E452" s="11"/>
      <c r="F452" s="79"/>
      <c r="G452" s="79"/>
      <c r="H452" s="79"/>
      <c r="I452" s="32"/>
      <c r="J452" s="79"/>
      <c r="K452" s="79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>
      <c r="A453" s="83"/>
      <c r="B453" s="11"/>
      <c r="C453" s="79"/>
      <c r="D453" s="79"/>
      <c r="E453" s="11"/>
      <c r="F453" s="79"/>
      <c r="G453" s="79"/>
      <c r="H453" s="79"/>
      <c r="I453" s="32"/>
      <c r="J453" s="79"/>
      <c r="K453" s="79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>
      <c r="A454" s="83"/>
      <c r="B454" s="11"/>
      <c r="C454" s="79"/>
      <c r="D454" s="79"/>
      <c r="E454" s="11"/>
      <c r="F454" s="79"/>
      <c r="G454" s="79"/>
      <c r="H454" s="79"/>
      <c r="I454" s="32"/>
      <c r="J454" s="79"/>
      <c r="K454" s="79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>
      <c r="A455" s="83"/>
      <c r="B455" s="11"/>
      <c r="C455" s="79"/>
      <c r="D455" s="79"/>
      <c r="E455" s="11"/>
      <c r="F455" s="79"/>
      <c r="G455" s="79"/>
      <c r="H455" s="79"/>
      <c r="I455" s="32"/>
      <c r="J455" s="79"/>
      <c r="K455" s="79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>
      <c r="A456" s="83"/>
      <c r="B456" s="11"/>
      <c r="C456" s="79"/>
      <c r="D456" s="79"/>
      <c r="E456" s="11"/>
      <c r="F456" s="79"/>
      <c r="G456" s="79"/>
      <c r="H456" s="79"/>
      <c r="I456" s="32"/>
      <c r="J456" s="79"/>
      <c r="K456" s="79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>
      <c r="A457" s="83"/>
      <c r="B457" s="11"/>
      <c r="C457" s="79"/>
      <c r="D457" s="79"/>
      <c r="E457" s="11"/>
      <c r="F457" s="79"/>
      <c r="G457" s="79"/>
      <c r="H457" s="79"/>
      <c r="I457" s="32"/>
      <c r="J457" s="79"/>
      <c r="K457" s="79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>
      <c r="A458" s="83"/>
      <c r="B458" s="11"/>
      <c r="C458" s="79"/>
      <c r="D458" s="79"/>
      <c r="E458" s="11"/>
      <c r="F458" s="79"/>
      <c r="G458" s="79"/>
      <c r="H458" s="79"/>
      <c r="I458" s="32"/>
      <c r="J458" s="79"/>
      <c r="K458" s="79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>
      <c r="A459" s="83"/>
      <c r="B459" s="11"/>
      <c r="C459" s="79"/>
      <c r="D459" s="79"/>
      <c r="E459" s="11"/>
      <c r="F459" s="79"/>
      <c r="G459" s="79"/>
      <c r="H459" s="79"/>
      <c r="I459" s="32"/>
      <c r="J459" s="79"/>
      <c r="K459" s="79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>
      <c r="A460" s="83"/>
      <c r="B460" s="11"/>
      <c r="C460" s="79"/>
      <c r="D460" s="79"/>
      <c r="E460" s="11"/>
      <c r="F460" s="79"/>
      <c r="G460" s="79"/>
      <c r="H460" s="79"/>
      <c r="I460" s="32"/>
      <c r="J460" s="79"/>
      <c r="K460" s="79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>
      <c r="A461" s="83"/>
      <c r="B461" s="11"/>
      <c r="C461" s="79"/>
      <c r="D461" s="79"/>
      <c r="E461" s="11"/>
      <c r="F461" s="79"/>
      <c r="G461" s="79"/>
      <c r="H461" s="79"/>
      <c r="I461" s="32"/>
      <c r="J461" s="79"/>
      <c r="K461" s="79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>
      <c r="A462" s="83"/>
      <c r="B462" s="11"/>
      <c r="C462" s="79"/>
      <c r="D462" s="79"/>
      <c r="E462" s="11"/>
      <c r="F462" s="79"/>
      <c r="G462" s="79"/>
      <c r="H462" s="79"/>
      <c r="I462" s="32"/>
      <c r="J462" s="79"/>
      <c r="K462" s="79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>
      <c r="A463" s="83"/>
      <c r="B463" s="11"/>
      <c r="C463" s="79"/>
      <c r="D463" s="79"/>
      <c r="E463" s="11"/>
      <c r="F463" s="79"/>
      <c r="G463" s="79"/>
      <c r="H463" s="79"/>
      <c r="I463" s="32"/>
      <c r="J463" s="79"/>
      <c r="K463" s="79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>
      <c r="A464" s="83"/>
      <c r="B464" s="11"/>
      <c r="C464" s="79"/>
      <c r="D464" s="79"/>
      <c r="E464" s="11"/>
      <c r="F464" s="79"/>
      <c r="G464" s="79"/>
      <c r="H464" s="79"/>
      <c r="I464" s="32"/>
      <c r="J464" s="79"/>
      <c r="K464" s="79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>
      <c r="A465" s="83"/>
      <c r="B465" s="11"/>
      <c r="C465" s="79"/>
      <c r="D465" s="79"/>
      <c r="E465" s="11"/>
      <c r="F465" s="79"/>
      <c r="G465" s="79"/>
      <c r="H465" s="79"/>
      <c r="I465" s="32"/>
      <c r="J465" s="79"/>
      <c r="K465" s="79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>
      <c r="A466" s="83"/>
      <c r="B466" s="11"/>
      <c r="C466" s="79"/>
      <c r="D466" s="79"/>
      <c r="E466" s="11"/>
      <c r="F466" s="79"/>
      <c r="G466" s="79"/>
      <c r="H466" s="79"/>
      <c r="I466" s="32"/>
      <c r="J466" s="79"/>
      <c r="K466" s="79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>
      <c r="A467" s="83"/>
      <c r="B467" s="11"/>
      <c r="C467" s="79"/>
      <c r="D467" s="79"/>
      <c r="E467" s="11"/>
      <c r="F467" s="79"/>
      <c r="G467" s="79"/>
      <c r="H467" s="79"/>
      <c r="I467" s="32"/>
      <c r="J467" s="79"/>
      <c r="K467" s="79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>
      <c r="A468" s="83"/>
      <c r="B468" s="11"/>
      <c r="C468" s="79"/>
      <c r="D468" s="79"/>
      <c r="E468" s="11"/>
      <c r="F468" s="79"/>
      <c r="G468" s="79"/>
      <c r="H468" s="79"/>
      <c r="I468" s="32"/>
      <c r="J468" s="79"/>
      <c r="K468" s="79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>
      <c r="A469" s="83"/>
      <c r="B469" s="11"/>
      <c r="C469" s="79"/>
      <c r="D469" s="79"/>
      <c r="E469" s="11"/>
      <c r="F469" s="79"/>
      <c r="G469" s="79"/>
      <c r="H469" s="79"/>
      <c r="I469" s="32"/>
      <c r="J469" s="79"/>
      <c r="K469" s="79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>
      <c r="A470" s="83"/>
      <c r="B470" s="11"/>
      <c r="C470" s="79"/>
      <c r="D470" s="79"/>
      <c r="E470" s="11"/>
      <c r="F470" s="79"/>
      <c r="G470" s="79"/>
      <c r="H470" s="79"/>
      <c r="I470" s="32"/>
      <c r="J470" s="79"/>
      <c r="K470" s="79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>
      <c r="A471" s="83"/>
      <c r="B471" s="11"/>
      <c r="C471" s="79"/>
      <c r="D471" s="79"/>
      <c r="E471" s="11"/>
      <c r="F471" s="79"/>
      <c r="G471" s="79"/>
      <c r="H471" s="79"/>
      <c r="I471" s="32"/>
      <c r="J471" s="79"/>
      <c r="K471" s="79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>
      <c r="A472" s="83"/>
      <c r="B472" s="11"/>
      <c r="C472" s="79"/>
      <c r="D472" s="79"/>
      <c r="E472" s="11"/>
      <c r="F472" s="79"/>
      <c r="G472" s="79"/>
      <c r="H472" s="79"/>
      <c r="I472" s="32"/>
      <c r="J472" s="79"/>
      <c r="K472" s="79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>
      <c r="A473" s="83"/>
      <c r="B473" s="11"/>
      <c r="C473" s="79"/>
      <c r="D473" s="79"/>
      <c r="E473" s="11"/>
      <c r="F473" s="79"/>
      <c r="G473" s="79"/>
      <c r="H473" s="79"/>
      <c r="I473" s="32"/>
      <c r="J473" s="79"/>
      <c r="K473" s="79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>
      <c r="A474" s="83"/>
      <c r="B474" s="11"/>
      <c r="C474" s="79"/>
      <c r="D474" s="79"/>
      <c r="E474" s="11"/>
      <c r="F474" s="79"/>
      <c r="G474" s="79"/>
      <c r="H474" s="79"/>
      <c r="I474" s="32"/>
      <c r="J474" s="79"/>
      <c r="K474" s="79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>
      <c r="A475" s="83"/>
      <c r="B475" s="11"/>
      <c r="C475" s="79"/>
      <c r="D475" s="79"/>
      <c r="E475" s="11"/>
      <c r="F475" s="79"/>
      <c r="G475" s="79"/>
      <c r="H475" s="79"/>
      <c r="I475" s="32"/>
      <c r="J475" s="79"/>
      <c r="K475" s="79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>
      <c r="A476" s="83"/>
      <c r="B476" s="11"/>
      <c r="C476" s="79"/>
      <c r="D476" s="79"/>
      <c r="E476" s="11"/>
      <c r="F476" s="79"/>
      <c r="G476" s="79"/>
      <c r="H476" s="79"/>
      <c r="I476" s="32"/>
      <c r="J476" s="79"/>
      <c r="K476" s="79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>
      <c r="A477" s="83"/>
      <c r="B477" s="11"/>
      <c r="C477" s="79"/>
      <c r="D477" s="79"/>
      <c r="E477" s="11"/>
      <c r="F477" s="79"/>
      <c r="G477" s="79"/>
      <c r="H477" s="79"/>
      <c r="I477" s="32"/>
      <c r="J477" s="79"/>
      <c r="K477" s="79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>
      <c r="A478" s="83"/>
      <c r="B478" s="11"/>
      <c r="C478" s="79"/>
      <c r="D478" s="79"/>
      <c r="E478" s="11"/>
      <c r="F478" s="79"/>
      <c r="G478" s="79"/>
      <c r="H478" s="79"/>
      <c r="I478" s="32"/>
      <c r="J478" s="79"/>
      <c r="K478" s="79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>
      <c r="A479" s="83"/>
      <c r="B479" s="11"/>
      <c r="C479" s="79"/>
      <c r="D479" s="79"/>
      <c r="E479" s="11"/>
      <c r="F479" s="79"/>
      <c r="G479" s="79"/>
      <c r="H479" s="79"/>
      <c r="I479" s="32"/>
      <c r="J479" s="79"/>
      <c r="K479" s="79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>
      <c r="A480" s="83"/>
      <c r="B480" s="11"/>
      <c r="C480" s="79"/>
      <c r="D480" s="79"/>
      <c r="E480" s="11"/>
      <c r="F480" s="79"/>
      <c r="G480" s="79"/>
      <c r="H480" s="79"/>
      <c r="I480" s="32"/>
      <c r="J480" s="79"/>
      <c r="K480" s="79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>
      <c r="A481" s="83"/>
      <c r="B481" s="11"/>
      <c r="C481" s="79"/>
      <c r="D481" s="79"/>
      <c r="E481" s="11"/>
      <c r="F481" s="79"/>
      <c r="G481" s="79"/>
      <c r="H481" s="79"/>
      <c r="I481" s="32"/>
      <c r="J481" s="79"/>
      <c r="K481" s="79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>
      <c r="A482" s="83"/>
      <c r="B482" s="11"/>
      <c r="C482" s="79"/>
      <c r="D482" s="79"/>
      <c r="E482" s="11"/>
      <c r="F482" s="79"/>
      <c r="G482" s="79"/>
      <c r="H482" s="79"/>
      <c r="I482" s="32"/>
      <c r="J482" s="79"/>
      <c r="K482" s="79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>
      <c r="A483" s="83"/>
      <c r="B483" s="11"/>
      <c r="C483" s="79"/>
      <c r="D483" s="79"/>
      <c r="E483" s="11"/>
      <c r="F483" s="79"/>
      <c r="G483" s="79"/>
      <c r="H483" s="79"/>
      <c r="I483" s="32"/>
      <c r="J483" s="79"/>
      <c r="K483" s="79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>
      <c r="A484" s="83"/>
      <c r="B484" s="11"/>
      <c r="C484" s="79"/>
      <c r="D484" s="79"/>
      <c r="E484" s="11"/>
      <c r="F484" s="79"/>
      <c r="G484" s="79"/>
      <c r="H484" s="79"/>
      <c r="I484" s="32"/>
      <c r="J484" s="79"/>
      <c r="K484" s="79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>
      <c r="A485" s="83"/>
      <c r="B485" s="11"/>
      <c r="C485" s="79"/>
      <c r="D485" s="79"/>
      <c r="E485" s="11"/>
      <c r="F485" s="79"/>
      <c r="G485" s="79"/>
      <c r="H485" s="79"/>
      <c r="I485" s="32"/>
      <c r="J485" s="79"/>
      <c r="K485" s="79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>
      <c r="A486" s="83"/>
      <c r="B486" s="11"/>
      <c r="C486" s="79"/>
      <c r="D486" s="79"/>
      <c r="E486" s="11"/>
      <c r="F486" s="79"/>
      <c r="G486" s="79"/>
      <c r="H486" s="79"/>
      <c r="I486" s="32"/>
      <c r="J486" s="79"/>
      <c r="K486" s="79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>
      <c r="A487" s="83"/>
      <c r="B487" s="11"/>
      <c r="C487" s="79"/>
      <c r="D487" s="79"/>
      <c r="E487" s="11"/>
      <c r="F487" s="79"/>
      <c r="G487" s="79"/>
      <c r="H487" s="79"/>
      <c r="I487" s="32"/>
      <c r="J487" s="79"/>
      <c r="K487" s="79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>
      <c r="A488" s="83"/>
      <c r="B488" s="11"/>
      <c r="C488" s="79"/>
      <c r="D488" s="79"/>
      <c r="E488" s="11"/>
      <c r="F488" s="79"/>
      <c r="G488" s="79"/>
      <c r="H488" s="79"/>
      <c r="I488" s="32"/>
      <c r="J488" s="79"/>
      <c r="K488" s="79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>
      <c r="A489" s="83"/>
      <c r="B489" s="11"/>
      <c r="C489" s="79"/>
      <c r="D489" s="79"/>
      <c r="E489" s="11"/>
      <c r="F489" s="79"/>
      <c r="G489" s="79"/>
      <c r="H489" s="79"/>
      <c r="I489" s="32"/>
      <c r="J489" s="79"/>
      <c r="K489" s="79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>
      <c r="A490" s="83"/>
      <c r="B490" s="11"/>
      <c r="C490" s="79"/>
      <c r="D490" s="79"/>
      <c r="E490" s="11"/>
      <c r="F490" s="79"/>
      <c r="G490" s="79"/>
      <c r="H490" s="79"/>
      <c r="I490" s="32"/>
      <c r="J490" s="79"/>
      <c r="K490" s="79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>
      <c r="A491" s="83"/>
      <c r="B491" s="11"/>
      <c r="C491" s="79"/>
      <c r="D491" s="79"/>
      <c r="E491" s="11"/>
      <c r="F491" s="79"/>
      <c r="G491" s="79"/>
      <c r="H491" s="79"/>
      <c r="I491" s="32"/>
      <c r="J491" s="79"/>
      <c r="K491" s="79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>
      <c r="A492" s="83"/>
      <c r="B492" s="11"/>
      <c r="C492" s="79"/>
      <c r="D492" s="79"/>
      <c r="E492" s="11"/>
      <c r="F492" s="79"/>
      <c r="G492" s="79"/>
      <c r="H492" s="79"/>
      <c r="I492" s="32"/>
      <c r="J492" s="79"/>
      <c r="K492" s="79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>
      <c r="A493" s="83"/>
      <c r="B493" s="11"/>
      <c r="C493" s="79"/>
      <c r="D493" s="79"/>
      <c r="E493" s="11"/>
      <c r="F493" s="79"/>
      <c r="G493" s="79"/>
      <c r="H493" s="79"/>
      <c r="I493" s="32"/>
      <c r="J493" s="79"/>
      <c r="K493" s="79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>
      <c r="A494" s="83"/>
      <c r="B494" s="11"/>
      <c r="C494" s="79"/>
      <c r="D494" s="79"/>
      <c r="E494" s="11"/>
      <c r="F494" s="79"/>
      <c r="G494" s="79"/>
      <c r="H494" s="79"/>
      <c r="I494" s="32"/>
      <c r="J494" s="79"/>
      <c r="K494" s="79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>
      <c r="A495" s="83"/>
      <c r="B495" s="11"/>
      <c r="C495" s="79"/>
      <c r="D495" s="79"/>
      <c r="E495" s="11"/>
      <c r="F495" s="79"/>
      <c r="G495" s="79"/>
      <c r="H495" s="79"/>
      <c r="I495" s="32"/>
      <c r="J495" s="79"/>
      <c r="K495" s="79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>
      <c r="A496" s="83"/>
      <c r="B496" s="11"/>
      <c r="C496" s="79"/>
      <c r="D496" s="79"/>
      <c r="E496" s="11"/>
      <c r="F496" s="79"/>
      <c r="G496" s="79"/>
      <c r="H496" s="79"/>
      <c r="I496" s="32"/>
      <c r="J496" s="79"/>
      <c r="K496" s="79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>
      <c r="A497" s="83"/>
      <c r="B497" s="11"/>
      <c r="C497" s="79"/>
      <c r="D497" s="79"/>
      <c r="E497" s="11"/>
      <c r="F497" s="79"/>
      <c r="G497" s="79"/>
      <c r="H497" s="79"/>
      <c r="I497" s="32"/>
      <c r="J497" s="79"/>
      <c r="K497" s="79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>
      <c r="A498" s="83"/>
      <c r="B498" s="11"/>
      <c r="C498" s="79"/>
      <c r="D498" s="79"/>
      <c r="E498" s="11"/>
      <c r="F498" s="79"/>
      <c r="G498" s="79"/>
      <c r="H498" s="79"/>
      <c r="I498" s="32"/>
      <c r="J498" s="79"/>
      <c r="K498" s="79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>
      <c r="A499" s="83"/>
      <c r="B499" s="11"/>
      <c r="C499" s="79"/>
      <c r="D499" s="79"/>
      <c r="E499" s="11"/>
      <c r="F499" s="79"/>
      <c r="G499" s="79"/>
      <c r="H499" s="79"/>
      <c r="I499" s="32"/>
      <c r="J499" s="79"/>
      <c r="K499" s="79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>
      <c r="A500" s="83"/>
      <c r="B500" s="11"/>
      <c r="C500" s="79"/>
      <c r="D500" s="79"/>
      <c r="E500" s="11"/>
      <c r="F500" s="79"/>
      <c r="G500" s="79"/>
      <c r="H500" s="79"/>
      <c r="I500" s="32"/>
      <c r="J500" s="79"/>
      <c r="K500" s="79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>
      <c r="A501" s="83"/>
      <c r="B501" s="11"/>
      <c r="C501" s="79"/>
      <c r="D501" s="79"/>
      <c r="E501" s="11"/>
      <c r="F501" s="79"/>
      <c r="G501" s="79"/>
      <c r="H501" s="79"/>
      <c r="I501" s="32"/>
      <c r="J501" s="79"/>
      <c r="K501" s="79"/>
      <c r="L501" s="79"/>
      <c r="M501" s="79"/>
      <c r="N501" s="11"/>
      <c r="O501" s="8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>
      <c r="A502" s="83"/>
      <c r="B502" s="11"/>
      <c r="C502" s="79"/>
      <c r="D502" s="79"/>
      <c r="E502" s="11"/>
      <c r="F502" s="79"/>
      <c r="G502" s="79"/>
      <c r="H502" s="79"/>
      <c r="I502" s="32"/>
      <c r="J502" s="79"/>
      <c r="K502" s="79"/>
      <c r="L502" s="79"/>
      <c r="M502" s="79"/>
      <c r="N502" s="11"/>
      <c r="O502" s="8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>
      <c r="A503" s="83"/>
      <c r="B503" s="11"/>
      <c r="C503" s="79"/>
      <c r="D503" s="79"/>
      <c r="E503" s="11"/>
      <c r="F503" s="79"/>
      <c r="G503" s="79"/>
      <c r="H503" s="79"/>
      <c r="I503" s="32"/>
      <c r="J503" s="79"/>
      <c r="K503" s="79"/>
      <c r="L503" s="79"/>
      <c r="M503" s="79"/>
      <c r="N503" s="11"/>
      <c r="O503" s="8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>
      <c r="A504" s="83"/>
      <c r="B504" s="11"/>
      <c r="C504" s="79"/>
      <c r="D504" s="79"/>
      <c r="E504" s="11"/>
      <c r="F504" s="79"/>
      <c r="G504" s="79"/>
      <c r="H504" s="79"/>
      <c r="I504" s="32"/>
      <c r="J504" s="79"/>
      <c r="K504" s="79"/>
      <c r="L504" s="79"/>
      <c r="M504" s="79"/>
      <c r="N504" s="11"/>
      <c r="O504" s="8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>
      <c r="A505" s="83"/>
      <c r="B505" s="11"/>
      <c r="C505" s="79"/>
      <c r="D505" s="79"/>
      <c r="E505" s="11"/>
      <c r="F505" s="79"/>
      <c r="G505" s="79"/>
      <c r="H505" s="79"/>
      <c r="I505" s="32"/>
      <c r="J505" s="79"/>
      <c r="K505" s="79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>
      <c r="A506" s="83"/>
      <c r="B506" s="11"/>
      <c r="C506" s="79"/>
      <c r="D506" s="79"/>
      <c r="E506" s="11"/>
      <c r="F506" s="79"/>
      <c r="G506" s="79"/>
      <c r="H506" s="79"/>
      <c r="I506" s="32"/>
      <c r="J506" s="79"/>
      <c r="K506" s="79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>
      <c r="A507" s="83"/>
      <c r="B507" s="11"/>
      <c r="C507" s="79"/>
      <c r="D507" s="79"/>
      <c r="E507" s="11"/>
      <c r="F507" s="79"/>
      <c r="G507" s="79"/>
      <c r="H507" s="79"/>
      <c r="I507" s="32"/>
      <c r="J507" s="79"/>
      <c r="K507" s="79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>
      <c r="A508" s="83"/>
      <c r="B508" s="11"/>
      <c r="C508" s="79"/>
      <c r="D508" s="79"/>
      <c r="E508" s="11"/>
      <c r="F508" s="79"/>
      <c r="G508" s="79"/>
      <c r="H508" s="79"/>
      <c r="I508" s="32"/>
      <c r="J508" s="79"/>
      <c r="K508" s="79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7.25" customHeight="1">
      <c r="A509" s="83"/>
      <c r="B509" s="11"/>
      <c r="C509" s="79"/>
      <c r="D509" s="79"/>
      <c r="E509" s="11"/>
      <c r="F509" s="79"/>
      <c r="G509" s="79"/>
      <c r="H509" s="79"/>
      <c r="I509" s="32"/>
      <c r="J509" s="79"/>
      <c r="K509" s="79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7.25" customHeight="1">
      <c r="A510" s="83"/>
      <c r="B510" s="11"/>
      <c r="C510" s="79"/>
      <c r="D510" s="79"/>
      <c r="E510" s="11"/>
      <c r="F510" s="79"/>
      <c r="G510" s="79"/>
      <c r="H510" s="79"/>
      <c r="I510" s="32"/>
      <c r="J510" s="79"/>
      <c r="K510" s="79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7.25" customHeight="1">
      <c r="A511" s="83"/>
      <c r="B511" s="11"/>
      <c r="C511" s="79"/>
      <c r="D511" s="79"/>
      <c r="E511" s="11"/>
      <c r="F511" s="79"/>
      <c r="G511" s="79"/>
      <c r="H511" s="79"/>
      <c r="I511" s="32"/>
      <c r="J511" s="79"/>
      <c r="K511" s="79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7.25" customHeight="1">
      <c r="A512" s="83"/>
      <c r="B512" s="11"/>
      <c r="C512" s="79"/>
      <c r="D512" s="79"/>
      <c r="E512" s="11"/>
      <c r="F512" s="79"/>
      <c r="G512" s="79"/>
      <c r="H512" s="79"/>
      <c r="I512" s="32"/>
      <c r="J512" s="79"/>
      <c r="K512" s="79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>
      <c r="A513" s="83"/>
      <c r="B513" s="11"/>
      <c r="C513" s="79"/>
      <c r="D513" s="79"/>
      <c r="E513" s="11"/>
      <c r="F513" s="79"/>
      <c r="G513" s="79"/>
      <c r="H513" s="79"/>
      <c r="I513" s="32"/>
      <c r="J513" s="79"/>
      <c r="K513" s="79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>
      <c r="A514" s="83"/>
      <c r="B514" s="11"/>
      <c r="C514" s="79"/>
      <c r="D514" s="79"/>
      <c r="E514" s="11"/>
      <c r="F514" s="79"/>
      <c r="G514" s="79"/>
      <c r="H514" s="79"/>
      <c r="I514" s="32"/>
      <c r="J514" s="79"/>
      <c r="K514" s="79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>
      <c r="A515" s="83"/>
      <c r="B515" s="11"/>
      <c r="C515" s="79"/>
      <c r="D515" s="79"/>
      <c r="E515" s="11"/>
      <c r="F515" s="79"/>
      <c r="G515" s="79"/>
      <c r="H515" s="79"/>
      <c r="I515" s="32"/>
      <c r="J515" s="79"/>
      <c r="K515" s="79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>
      <c r="A516" s="83"/>
      <c r="B516" s="11"/>
      <c r="C516" s="79"/>
      <c r="D516" s="79"/>
      <c r="E516" s="11"/>
      <c r="F516" s="79"/>
      <c r="G516" s="79"/>
      <c r="H516" s="79"/>
      <c r="I516" s="32"/>
      <c r="J516" s="79"/>
      <c r="K516" s="79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>
      <c r="A517" s="83"/>
      <c r="B517" s="11"/>
      <c r="C517" s="79"/>
      <c r="D517" s="79"/>
      <c r="E517" s="11"/>
      <c r="F517" s="79"/>
      <c r="G517" s="79"/>
      <c r="H517" s="79"/>
      <c r="I517" s="32"/>
      <c r="J517" s="79"/>
      <c r="K517" s="79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>
      <c r="A518" s="83"/>
      <c r="B518" s="11"/>
      <c r="C518" s="79"/>
      <c r="D518" s="79"/>
      <c r="E518" s="11"/>
      <c r="F518" s="79"/>
      <c r="G518" s="79"/>
      <c r="H518" s="79"/>
      <c r="I518" s="32"/>
      <c r="J518" s="79"/>
      <c r="K518" s="79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>
      <c r="A519" s="83"/>
      <c r="B519" s="11"/>
      <c r="C519" s="79"/>
      <c r="D519" s="79"/>
      <c r="E519" s="11"/>
      <c r="F519" s="79"/>
      <c r="G519" s="79"/>
      <c r="H519" s="79"/>
      <c r="I519" s="32"/>
      <c r="J519" s="79"/>
      <c r="K519" s="79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>
      <c r="A520" s="83"/>
      <c r="B520" s="11"/>
      <c r="C520" s="79"/>
      <c r="D520" s="79"/>
      <c r="E520" s="11"/>
      <c r="F520" s="79"/>
      <c r="G520" s="79"/>
      <c r="H520" s="79"/>
      <c r="I520" s="32"/>
      <c r="J520" s="79"/>
      <c r="K520" s="79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>
      <c r="A521" s="83"/>
      <c r="B521" s="11"/>
      <c r="C521" s="79"/>
      <c r="D521" s="79"/>
      <c r="E521" s="11"/>
      <c r="F521" s="79"/>
      <c r="G521" s="79"/>
      <c r="H521" s="79"/>
      <c r="I521" s="32"/>
      <c r="J521" s="79"/>
      <c r="K521" s="79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>
      <c r="A522" s="83"/>
      <c r="B522" s="11"/>
      <c r="C522" s="79"/>
      <c r="D522" s="79"/>
      <c r="E522" s="11"/>
      <c r="F522" s="79"/>
      <c r="G522" s="79"/>
      <c r="H522" s="79"/>
      <c r="I522" s="32"/>
      <c r="J522" s="79"/>
      <c r="K522" s="79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>
      <c r="A523" s="83"/>
      <c r="B523" s="11"/>
      <c r="C523" s="79"/>
      <c r="D523" s="79"/>
      <c r="E523" s="11"/>
      <c r="F523" s="79"/>
      <c r="G523" s="79"/>
      <c r="H523" s="79"/>
      <c r="I523" s="32"/>
      <c r="J523" s="79"/>
      <c r="K523" s="79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>
      <c r="A524" s="83"/>
      <c r="B524" s="11"/>
      <c r="C524" s="79"/>
      <c r="D524" s="79"/>
      <c r="E524" s="11"/>
      <c r="F524" s="79"/>
      <c r="G524" s="79"/>
      <c r="H524" s="79"/>
      <c r="I524" s="32"/>
      <c r="J524" s="79"/>
      <c r="K524" s="79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>
      <c r="A525" s="83"/>
      <c r="B525" s="11"/>
      <c r="C525" s="79"/>
      <c r="D525" s="79"/>
      <c r="E525" s="11"/>
      <c r="F525" s="79"/>
      <c r="G525" s="79"/>
      <c r="H525" s="79"/>
      <c r="I525" s="32"/>
      <c r="J525" s="79"/>
      <c r="K525" s="79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>
      <c r="A526" s="83"/>
      <c r="B526" s="11"/>
      <c r="C526" s="79"/>
      <c r="D526" s="79"/>
      <c r="E526" s="11"/>
      <c r="F526" s="79"/>
      <c r="G526" s="79"/>
      <c r="H526" s="79"/>
      <c r="I526" s="32"/>
      <c r="J526" s="79"/>
      <c r="K526" s="79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>
      <c r="A527" s="83"/>
      <c r="B527" s="11"/>
      <c r="C527" s="79"/>
      <c r="D527" s="79"/>
      <c r="E527" s="11"/>
      <c r="F527" s="79"/>
      <c r="G527" s="79"/>
      <c r="H527" s="79"/>
      <c r="I527" s="32"/>
      <c r="J527" s="79"/>
      <c r="K527" s="79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>
      <c r="A528" s="83"/>
      <c r="B528" s="11"/>
      <c r="C528" s="79"/>
      <c r="D528" s="79"/>
      <c r="E528" s="11"/>
      <c r="F528" s="79"/>
      <c r="G528" s="79"/>
      <c r="H528" s="79"/>
      <c r="I528" s="32"/>
      <c r="J528" s="79"/>
      <c r="K528" s="79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>
      <c r="A529" s="83"/>
      <c r="B529" s="11"/>
      <c r="C529" s="79"/>
      <c r="D529" s="79"/>
      <c r="E529" s="11"/>
      <c r="F529" s="79"/>
      <c r="G529" s="79"/>
      <c r="H529" s="79"/>
      <c r="I529" s="32"/>
      <c r="J529" s="79"/>
      <c r="K529" s="79"/>
      <c r="L529" s="79"/>
      <c r="M529" s="79"/>
      <c r="N529" s="11"/>
      <c r="O529" s="8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>
      <c r="A530" s="83"/>
      <c r="B530" s="11"/>
      <c r="C530" s="79"/>
      <c r="D530" s="79"/>
      <c r="E530" s="11"/>
      <c r="F530" s="79"/>
      <c r="G530" s="79"/>
      <c r="H530" s="79"/>
      <c r="I530" s="32"/>
      <c r="J530" s="79"/>
      <c r="K530" s="79"/>
      <c r="L530" s="79"/>
      <c r="M530" s="79"/>
      <c r="N530" s="11"/>
      <c r="O530" s="8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7.25" customHeight="1">
      <c r="A531" s="83"/>
      <c r="B531" s="11"/>
      <c r="C531" s="79"/>
      <c r="D531" s="79"/>
      <c r="E531" s="11"/>
      <c r="F531" s="79"/>
      <c r="G531" s="79"/>
      <c r="H531" s="79"/>
      <c r="I531" s="32"/>
      <c r="J531" s="79"/>
      <c r="K531" s="79"/>
      <c r="L531" s="79"/>
      <c r="M531" s="79"/>
      <c r="N531" s="11"/>
      <c r="O531" s="8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5.75" customHeight="1">
      <c r="B532" s="433"/>
      <c r="E532" s="434"/>
      <c r="N532" s="433"/>
    </row>
    <row r="533" spans="1:46" ht="15.75" customHeight="1">
      <c r="B533" s="433"/>
      <c r="E533" s="434"/>
      <c r="N533" s="433"/>
    </row>
    <row r="534" spans="1:46" ht="15.75" customHeight="1">
      <c r="B534" s="433"/>
      <c r="E534" s="434"/>
      <c r="N534" s="433"/>
    </row>
    <row r="535" spans="1:46" ht="15.75" customHeight="1">
      <c r="B535" s="433"/>
      <c r="E535" s="434"/>
      <c r="N535" s="433"/>
    </row>
    <row r="536" spans="1:46" ht="15.75" customHeight="1">
      <c r="B536" s="433"/>
      <c r="E536" s="434"/>
      <c r="N536" s="433"/>
    </row>
    <row r="537" spans="1:46" ht="15.75" customHeight="1">
      <c r="B537" s="433"/>
      <c r="E537" s="434"/>
      <c r="N537" s="433"/>
    </row>
    <row r="538" spans="1:46" ht="15.75" customHeight="1">
      <c r="B538" s="433"/>
      <c r="E538" s="434"/>
      <c r="N538" s="433"/>
    </row>
    <row r="539" spans="1:46" ht="15.75" customHeight="1">
      <c r="B539" s="433"/>
      <c r="E539" s="434"/>
      <c r="N539" s="433"/>
    </row>
    <row r="540" spans="1:46" ht="15.75" customHeight="1">
      <c r="B540" s="433"/>
      <c r="E540" s="434"/>
      <c r="N540" s="433"/>
    </row>
    <row r="541" spans="1:46" ht="15.75" customHeight="1">
      <c r="B541" s="433"/>
      <c r="E541" s="434"/>
      <c r="N541" s="433"/>
    </row>
    <row r="542" spans="1:46" ht="15.75" customHeight="1">
      <c r="B542" s="433"/>
      <c r="E542" s="434"/>
      <c r="N542" s="433"/>
    </row>
    <row r="543" spans="1:46" ht="15.75" customHeight="1">
      <c r="B543" s="433"/>
      <c r="E543" s="434"/>
      <c r="N543" s="433"/>
    </row>
    <row r="544" spans="1:46" ht="15.75" customHeight="1">
      <c r="B544" s="433"/>
      <c r="E544" s="434"/>
      <c r="N544" s="433"/>
    </row>
    <row r="545" spans="2:14" ht="15.75" customHeight="1">
      <c r="B545" s="433"/>
      <c r="E545" s="434"/>
      <c r="N545" s="433"/>
    </row>
    <row r="546" spans="2:14" ht="15.75" customHeight="1">
      <c r="B546" s="433"/>
      <c r="E546" s="434"/>
      <c r="N546" s="433"/>
    </row>
    <row r="547" spans="2:14" ht="15.75" customHeight="1">
      <c r="B547" s="433"/>
      <c r="E547" s="434"/>
      <c r="N547" s="433"/>
    </row>
    <row r="548" spans="2:14" ht="15.75" customHeight="1">
      <c r="B548" s="433"/>
      <c r="E548" s="434"/>
      <c r="N548" s="433"/>
    </row>
    <row r="549" spans="2:14" ht="15.75" customHeight="1">
      <c r="B549" s="433"/>
      <c r="E549" s="434"/>
      <c r="N549" s="433"/>
    </row>
    <row r="550" spans="2:14" ht="15.75" customHeight="1">
      <c r="B550" s="433"/>
      <c r="E550" s="434"/>
      <c r="N550" s="433"/>
    </row>
    <row r="551" spans="2:14" ht="15.75" customHeight="1">
      <c r="B551" s="433"/>
      <c r="E551" s="434"/>
      <c r="N551" s="433"/>
    </row>
    <row r="552" spans="2:14" ht="15.75" customHeight="1">
      <c r="B552" s="433"/>
      <c r="E552" s="434"/>
      <c r="N552" s="433"/>
    </row>
    <row r="553" spans="2:14" ht="15.75" customHeight="1">
      <c r="B553" s="433"/>
      <c r="E553" s="434"/>
      <c r="N553" s="433"/>
    </row>
    <row r="554" spans="2:14" ht="15.75" customHeight="1">
      <c r="B554" s="433"/>
      <c r="E554" s="434"/>
      <c r="N554" s="433"/>
    </row>
    <row r="555" spans="2:14" ht="15.75" customHeight="1">
      <c r="B555" s="433"/>
      <c r="E555" s="434"/>
      <c r="N555" s="433"/>
    </row>
    <row r="556" spans="2:14" ht="15.75" customHeight="1">
      <c r="B556" s="433"/>
      <c r="E556" s="434"/>
      <c r="N556" s="433"/>
    </row>
    <row r="557" spans="2:14" ht="15.75" customHeight="1">
      <c r="B557" s="433"/>
      <c r="E557" s="434"/>
      <c r="N557" s="433"/>
    </row>
    <row r="558" spans="2:14" ht="15.75" customHeight="1">
      <c r="B558" s="433"/>
      <c r="E558" s="434"/>
      <c r="N558" s="433"/>
    </row>
    <row r="559" spans="2:14" ht="15.75" customHeight="1">
      <c r="B559" s="433"/>
      <c r="E559" s="434"/>
      <c r="N559" s="433"/>
    </row>
    <row r="560" spans="2:14" ht="15.75" customHeight="1">
      <c r="B560" s="433"/>
      <c r="E560" s="434"/>
      <c r="N560" s="433"/>
    </row>
    <row r="561" spans="2:14" ht="15.75" customHeight="1">
      <c r="B561" s="433"/>
      <c r="E561" s="434"/>
      <c r="N561" s="433"/>
    </row>
    <row r="562" spans="2:14" ht="15.75" customHeight="1">
      <c r="B562" s="433"/>
      <c r="E562" s="434"/>
      <c r="N562" s="433"/>
    </row>
    <row r="563" spans="2:14" ht="15.75" customHeight="1">
      <c r="B563" s="433"/>
      <c r="E563" s="434"/>
      <c r="N563" s="433"/>
    </row>
    <row r="564" spans="2:14" ht="15.75" customHeight="1">
      <c r="B564" s="433"/>
      <c r="E564" s="434"/>
      <c r="N564" s="433"/>
    </row>
    <row r="565" spans="2:14" ht="15.75" customHeight="1">
      <c r="B565" s="433"/>
      <c r="E565" s="434"/>
      <c r="N565" s="433"/>
    </row>
    <row r="566" spans="2:14" ht="15.75" customHeight="1">
      <c r="B566" s="433"/>
      <c r="E566" s="434"/>
      <c r="N566" s="433"/>
    </row>
    <row r="567" spans="2:14" ht="15.75" customHeight="1">
      <c r="B567" s="433"/>
      <c r="E567" s="434"/>
      <c r="N567" s="433"/>
    </row>
    <row r="568" spans="2:14" ht="15.75" customHeight="1">
      <c r="B568" s="433"/>
      <c r="E568" s="434"/>
      <c r="N568" s="433"/>
    </row>
    <row r="569" spans="2:14" ht="15.75" customHeight="1">
      <c r="B569" s="433"/>
      <c r="E569" s="434"/>
      <c r="N569" s="433"/>
    </row>
    <row r="570" spans="2:14" ht="15.75" customHeight="1">
      <c r="B570" s="433"/>
      <c r="E570" s="434"/>
      <c r="N570" s="433"/>
    </row>
    <row r="571" spans="2:14" ht="15.75" customHeight="1">
      <c r="B571" s="433"/>
      <c r="E571" s="434"/>
      <c r="N571" s="433"/>
    </row>
    <row r="572" spans="2:14" ht="15.75" customHeight="1">
      <c r="B572" s="433"/>
      <c r="E572" s="434"/>
      <c r="N572" s="433"/>
    </row>
    <row r="573" spans="2:14" ht="15.75" customHeight="1">
      <c r="B573" s="433"/>
      <c r="E573" s="434"/>
      <c r="N573" s="433"/>
    </row>
    <row r="574" spans="2:14" ht="15.75" customHeight="1">
      <c r="B574" s="433"/>
      <c r="E574" s="434"/>
      <c r="N574" s="433"/>
    </row>
    <row r="575" spans="2:14" ht="15.75" customHeight="1">
      <c r="B575" s="433"/>
      <c r="E575" s="434"/>
      <c r="N575" s="433"/>
    </row>
    <row r="576" spans="2:14" ht="15.75" customHeight="1">
      <c r="B576" s="433"/>
      <c r="E576" s="434"/>
      <c r="N576" s="433"/>
    </row>
    <row r="577" spans="2:14" ht="15.75" customHeight="1">
      <c r="B577" s="433"/>
      <c r="E577" s="434"/>
      <c r="N577" s="433"/>
    </row>
    <row r="578" spans="2:14" ht="15.75" customHeight="1">
      <c r="B578" s="433"/>
      <c r="E578" s="434"/>
      <c r="N578" s="433"/>
    </row>
    <row r="579" spans="2:14" ht="15.75" customHeight="1">
      <c r="B579" s="433"/>
      <c r="E579" s="434"/>
      <c r="N579" s="433"/>
    </row>
    <row r="580" spans="2:14" ht="15.75" customHeight="1">
      <c r="B580" s="433"/>
      <c r="E580" s="434"/>
      <c r="N580" s="433"/>
    </row>
    <row r="581" spans="2:14" ht="15.75" customHeight="1">
      <c r="B581" s="433"/>
      <c r="E581" s="434"/>
      <c r="N581" s="433"/>
    </row>
    <row r="582" spans="2:14" ht="15.75" customHeight="1">
      <c r="B582" s="433"/>
      <c r="E582" s="434"/>
      <c r="N582" s="433"/>
    </row>
    <row r="583" spans="2:14" ht="15.75" customHeight="1">
      <c r="B583" s="433"/>
      <c r="E583" s="434"/>
      <c r="N583" s="433"/>
    </row>
    <row r="584" spans="2:14" ht="15.75" customHeight="1">
      <c r="B584" s="433"/>
      <c r="E584" s="434"/>
      <c r="N584" s="433"/>
    </row>
    <row r="585" spans="2:14" ht="15.75" customHeight="1">
      <c r="B585" s="433"/>
      <c r="E585" s="434"/>
      <c r="N585" s="433"/>
    </row>
  </sheetData>
  <hyperlinks>
    <hyperlink ref="I43" r:id="rId1" xr:uid="{00000000-0004-0000-0100-000000000000}"/>
    <hyperlink ref="I217" r:id="rId2" xr:uid="{00000000-0004-0000-0100-000001000000}"/>
    <hyperlink ref="I238" r:id="rId3" xr:uid="{00000000-0004-0000-0100-000002000000}"/>
    <hyperlink ref="I239" r:id="rId4" xr:uid="{00000000-0004-0000-0100-000003000000}"/>
    <hyperlink ref="I379" r:id="rId5" xr:uid="{00000000-0004-0000-0100-000004000000}"/>
  </hyperlinks>
  <pageMargins left="0.25" right="0.25" top="0.75" bottom="0.75" header="0" footer="0"/>
  <pageSetup orientation="portrait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30"/>
  <sheetViews>
    <sheetView workbookViewId="0"/>
  </sheetViews>
  <sheetFormatPr baseColWidth="10" defaultColWidth="14.5" defaultRowHeight="15" customHeight="1"/>
  <sheetData>
    <row r="1" spans="1:15">
      <c r="A1" s="435" t="s">
        <v>93</v>
      </c>
      <c r="B1" s="435" t="s">
        <v>907</v>
      </c>
      <c r="C1" s="435" t="s">
        <v>908</v>
      </c>
      <c r="D1" s="435" t="s">
        <v>92</v>
      </c>
      <c r="E1" s="435" t="s">
        <v>909</v>
      </c>
      <c r="F1" s="435" t="s">
        <v>910</v>
      </c>
      <c r="G1" s="435" t="s">
        <v>911</v>
      </c>
      <c r="H1" s="435" t="s">
        <v>912</v>
      </c>
      <c r="I1" s="435" t="s">
        <v>913</v>
      </c>
      <c r="J1" s="435" t="s">
        <v>914</v>
      </c>
      <c r="K1" s="435" t="s">
        <v>915</v>
      </c>
      <c r="L1" s="435" t="s">
        <v>916</v>
      </c>
      <c r="M1" s="435" t="s">
        <v>917</v>
      </c>
      <c r="N1" s="435" t="s">
        <v>918</v>
      </c>
      <c r="O1" s="436" t="s">
        <v>919</v>
      </c>
    </row>
    <row r="2" spans="1:15">
      <c r="A2" s="437"/>
    </row>
    <row r="3" spans="1:15">
      <c r="A3" s="146" t="s">
        <v>470</v>
      </c>
    </row>
    <row r="4" spans="1:15">
      <c r="A4" s="146" t="s">
        <v>475</v>
      </c>
    </row>
    <row r="5" spans="1:15">
      <c r="A5" s="146" t="s">
        <v>475</v>
      </c>
    </row>
    <row r="6" spans="1:15">
      <c r="A6" s="146" t="s">
        <v>479</v>
      </c>
    </row>
    <row r="7" spans="1:15">
      <c r="A7" s="146" t="s">
        <v>479</v>
      </c>
    </row>
    <row r="8" spans="1:15">
      <c r="A8" s="146" t="s">
        <v>484</v>
      </c>
    </row>
    <row r="9" spans="1:15">
      <c r="A9" s="146" t="s">
        <v>484</v>
      </c>
    </row>
    <row r="10" spans="1:15">
      <c r="A10" s="146" t="s">
        <v>437</v>
      </c>
    </row>
    <row r="11" spans="1:15">
      <c r="A11" s="146" t="s">
        <v>491</v>
      </c>
    </row>
    <row r="12" spans="1:15">
      <c r="A12" s="146" t="s">
        <v>495</v>
      </c>
    </row>
    <row r="13" spans="1:15">
      <c r="A13" s="146" t="s">
        <v>498</v>
      </c>
    </row>
    <row r="14" spans="1:15">
      <c r="A14" s="146" t="s">
        <v>500</v>
      </c>
    </row>
    <row r="15" spans="1:15">
      <c r="A15" s="150" t="s">
        <v>500</v>
      </c>
    </row>
    <row r="16" spans="1:15">
      <c r="A16" s="150" t="s">
        <v>505</v>
      </c>
    </row>
    <row r="17" spans="1:15">
      <c r="A17" s="150" t="s">
        <v>505</v>
      </c>
    </row>
    <row r="18" spans="1:15">
      <c r="A18" s="150" t="s">
        <v>508</v>
      </c>
    </row>
    <row r="19" spans="1:15">
      <c r="A19" s="150" t="s">
        <v>508</v>
      </c>
    </row>
    <row r="20" spans="1:15">
      <c r="A20" s="179" t="s">
        <v>536</v>
      </c>
    </row>
    <row r="21" spans="1:15">
      <c r="A21" s="179" t="s">
        <v>539</v>
      </c>
    </row>
    <row r="22" spans="1:15">
      <c r="A22" s="179" t="s">
        <v>539</v>
      </c>
    </row>
    <row r="23" spans="1:15">
      <c r="A23" s="179" t="s">
        <v>470</v>
      </c>
    </row>
    <row r="24" spans="1:15">
      <c r="A24" s="179" t="s">
        <v>513</v>
      </c>
    </row>
    <row r="25" spans="1:15">
      <c r="A25" s="179" t="s">
        <v>513</v>
      </c>
    </row>
    <row r="26" spans="1:15">
      <c r="A26" s="438" t="s">
        <v>522</v>
      </c>
      <c r="B26" s="438" t="s">
        <v>519</v>
      </c>
      <c r="C26" s="438" t="s">
        <v>920</v>
      </c>
      <c r="D26" s="438" t="s">
        <v>921</v>
      </c>
      <c r="E26" s="439">
        <v>9</v>
      </c>
      <c r="F26" s="440">
        <v>42320</v>
      </c>
      <c r="G26" s="438" t="s">
        <v>922</v>
      </c>
      <c r="H26" s="438" t="s">
        <v>923</v>
      </c>
      <c r="I26" s="438">
        <v>5103033485</v>
      </c>
      <c r="J26" s="438">
        <v>5104938627</v>
      </c>
      <c r="K26" s="438"/>
      <c r="L26" s="438" t="s">
        <v>924</v>
      </c>
      <c r="M26" s="441">
        <v>45829.559027777781</v>
      </c>
      <c r="N26" s="438"/>
      <c r="O26" s="440">
        <v>45830</v>
      </c>
    </row>
    <row r="27" spans="1:15">
      <c r="A27" s="438" t="s">
        <v>925</v>
      </c>
      <c r="B27" s="438"/>
      <c r="C27" s="438"/>
      <c r="D27" s="438"/>
      <c r="E27" s="439"/>
      <c r="F27" s="440"/>
      <c r="G27" s="438"/>
      <c r="H27" s="438"/>
      <c r="I27" s="438"/>
      <c r="J27" s="438"/>
      <c r="K27" s="438"/>
      <c r="L27" s="438"/>
      <c r="M27" s="438"/>
      <c r="N27" s="438"/>
      <c r="O27" s="442"/>
    </row>
    <row r="29" spans="1:15">
      <c r="A29" s="438" t="s">
        <v>525</v>
      </c>
      <c r="B29" s="438" t="s">
        <v>409</v>
      </c>
      <c r="C29" s="438" t="s">
        <v>926</v>
      </c>
      <c r="D29" s="438" t="s">
        <v>409</v>
      </c>
      <c r="E29" s="439">
        <v>7</v>
      </c>
      <c r="F29" s="440">
        <v>43140</v>
      </c>
      <c r="G29" s="438" t="s">
        <v>922</v>
      </c>
      <c r="H29" s="438" t="s">
        <v>923</v>
      </c>
      <c r="I29" s="438">
        <v>5109994555</v>
      </c>
      <c r="J29" s="438" t="s">
        <v>927</v>
      </c>
      <c r="K29" s="438"/>
      <c r="L29" s="438" t="s">
        <v>924</v>
      </c>
      <c r="M29" s="443">
        <v>45799.660416666666</v>
      </c>
      <c r="N29" s="438"/>
      <c r="O29" s="442">
        <v>45799</v>
      </c>
    </row>
    <row r="30" spans="1:15">
      <c r="A30" s="438" t="s">
        <v>530</v>
      </c>
      <c r="B30" s="438" t="s">
        <v>458</v>
      </c>
      <c r="C30" s="438" t="s">
        <v>928</v>
      </c>
      <c r="D30" s="438" t="s">
        <v>929</v>
      </c>
      <c r="E30" s="439">
        <v>8</v>
      </c>
      <c r="F30" s="440">
        <v>42675</v>
      </c>
      <c r="G30" s="438" t="s">
        <v>930</v>
      </c>
      <c r="H30" s="438" t="s">
        <v>923</v>
      </c>
      <c r="I30" s="438">
        <v>5303001118</v>
      </c>
      <c r="J30" s="438"/>
      <c r="K30" s="438"/>
      <c r="L30" s="438" t="s">
        <v>924</v>
      </c>
      <c r="M30" s="441">
        <v>45826.863194444442</v>
      </c>
      <c r="N30" s="438"/>
      <c r="O30" s="440">
        <v>45827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2019-10-25T16:26:00Z</dcterms:created>
  <dcterms:modified xsi:type="dcterms:W3CDTF">2025-07-28T01:56:28Z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FD04E2472AF74C74B062D94EFCF2021B_12</vt:lpwstr>
  </property>
  <property fmtid="{D5CDD505-2E9C-101B-9397-08002B2CF9AE}" pid="3" name="KSOProductBuildVer">
    <vt:lpwstr>2052-12.1.0.21541</vt:lpwstr>
  </property>
</Properties>
</file>