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1C9AB604-0762-894B-969A-FB1448079521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MfZKuzuB8vYFMGXERH+6nTqUXDMzh1XZa143j/cD/0="/>
    </ext>
  </extLst>
</workbook>
</file>

<file path=xl/calcChain.xml><?xml version="1.0" encoding="utf-8"?>
<calcChain xmlns="http://schemas.openxmlformats.org/spreadsheetml/2006/main">
  <c r="T4" i="2" l="1"/>
  <c r="W3" i="2"/>
  <c r="V3" i="2"/>
  <c r="U3" i="2"/>
  <c r="T3" i="2"/>
  <c r="S3" i="2"/>
  <c r="AB3" i="2" s="1"/>
  <c r="R3" i="2"/>
  <c r="Y3" i="2" s="1"/>
  <c r="C3" i="2"/>
  <c r="W2" i="2"/>
  <c r="W4" i="2" s="1"/>
  <c r="V2" i="2"/>
  <c r="V4" i="2" s="1"/>
  <c r="U2" i="2"/>
  <c r="U4" i="2" s="1"/>
  <c r="T2" i="2"/>
  <c r="S2" i="2"/>
  <c r="S4" i="2" s="1"/>
  <c r="R2" i="2"/>
  <c r="X2" i="2" s="1"/>
  <c r="M2" i="2"/>
  <c r="C2" i="2"/>
  <c r="M1" i="2"/>
  <c r="C53" i="1"/>
  <c r="C49" i="1"/>
  <c r="C55" i="1" s="1"/>
  <c r="D9" i="1" s="1"/>
  <c r="C44" i="1"/>
  <c r="C43" i="1"/>
  <c r="D44" i="1" s="1"/>
  <c r="L42" i="1"/>
  <c r="C54" i="1" s="1"/>
  <c r="D13" i="1" s="1"/>
  <c r="E13" i="1" s="1"/>
  <c r="I42" i="1"/>
  <c r="C52" i="1" s="1"/>
  <c r="L41" i="1"/>
  <c r="I41" i="1"/>
  <c r="C51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E17" i="1" s="1"/>
  <c r="C17" i="1"/>
  <c r="A17" i="1"/>
  <c r="D16" i="1"/>
  <c r="E16" i="1" s="1"/>
  <c r="C16" i="1"/>
  <c r="A16" i="1"/>
  <c r="D15" i="1"/>
  <c r="E15" i="1" s="1"/>
  <c r="C15" i="1"/>
  <c r="A15" i="1"/>
  <c r="D14" i="1"/>
  <c r="E14" i="1" s="1"/>
  <c r="C14" i="1"/>
  <c r="A14" i="1"/>
  <c r="A13" i="1"/>
  <c r="D12" i="1"/>
  <c r="E12" i="1" s="1"/>
  <c r="A12" i="1"/>
  <c r="D11" i="1"/>
  <c r="E11" i="1" s="1"/>
  <c r="A11" i="1"/>
  <c r="A10" i="1"/>
  <c r="A9" i="1"/>
  <c r="E26" i="1" l="1"/>
  <c r="E31" i="1" s="1"/>
  <c r="Y2" i="2"/>
  <c r="Y4" i="2" s="1"/>
  <c r="Z2" i="2"/>
  <c r="C50" i="1"/>
  <c r="C56" i="1" s="1"/>
  <c r="AB2" i="2"/>
  <c r="X3" i="2"/>
  <c r="X4" i="2" s="1"/>
  <c r="R4" i="2"/>
  <c r="Z3" i="2"/>
  <c r="S5" i="2" l="1"/>
  <c r="D56" i="1"/>
  <c r="D10" i="1"/>
  <c r="Z4" i="2"/>
</calcChain>
</file>

<file path=xl/sharedStrings.xml><?xml version="1.0" encoding="utf-8"?>
<sst xmlns="http://schemas.openxmlformats.org/spreadsheetml/2006/main" count="2692" uniqueCount="827">
  <si>
    <t>Report P</t>
  </si>
  <si>
    <t>Due by: 5/1/25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</si>
  <si>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</si>
  <si>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</si>
  <si>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</si>
  <si>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</si>
  <si>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</si>
  <si>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</si>
  <si>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</si>
  <si>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</si>
  <si>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</si>
  <si>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</si>
  <si>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</si>
  <si>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</si>
  <si>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</si>
  <si>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</si>
  <si>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</si>
  <si>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</si>
  <si>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</si>
  <si>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</si>
  <si>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</si>
  <si>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</si>
  <si>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</si>
  <si>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</si>
  <si>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</si>
  <si>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</si>
  <si>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</si>
  <si>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</si>
  <si>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</si>
  <si>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</si>
  <si>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5/10/25)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</si>
  <si>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</si>
  <si>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</si>
  <si>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</si>
  <si>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</si>
  <si>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</si>
  <si>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</si>
  <si>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</si>
  <si>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</si>
  <si>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</si>
  <si>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</si>
  <si>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</si>
  <si>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</si>
  <si>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</si>
  <si>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</si>
  <si>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</si>
  <si>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</si>
  <si>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</si>
  <si>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</si>
  <si>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</si>
  <si>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</si>
  <si>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</si>
  <si>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</si>
  <si>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</si>
  <si>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</si>
  <si>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</si>
  <si>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</si>
  <si>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</si>
  <si>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</si>
  <si>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</si>
  <si>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</si>
  <si>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</si>
  <si>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</si>
  <si>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</si>
  <si>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</si>
  <si>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</si>
  <si>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</si>
  <si>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</si>
  <si>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</si>
  <si>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</si>
  <si>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</si>
  <si>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</si>
  <si>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</si>
  <si>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</si>
  <si>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</si>
  <si>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</si>
  <si>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</si>
  <si>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</si>
  <si>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</si>
  <si>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</si>
  <si>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</si>
  <si>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</si>
  <si>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</si>
  <si>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</si>
  <si>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</si>
  <si>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</si>
  <si>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</si>
  <si>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</si>
  <si>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</si>
  <si>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</si>
  <si>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</si>
  <si>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</si>
  <si>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</si>
  <si>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</si>
  <si>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</si>
  <si>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</si>
  <si>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</si>
  <si>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</si>
  <si>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</si>
  <si>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</si>
  <si>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APR. WKS Lv</t>
  </si>
  <si>
    <t>APR. WKS #</t>
  </si>
  <si>
    <t>Notes</t>
  </si>
  <si>
    <t>Code                  (C, N, A, R)</t>
  </si>
  <si>
    <t>Mth Absent</t>
  </si>
  <si>
    <t xml:space="preserve"> Vengalam</t>
  </si>
  <si>
    <t>Karthik</t>
  </si>
  <si>
    <t>753 Nodaway Ave</t>
  </si>
  <si>
    <t>njayanthi@gmail.com</t>
  </si>
  <si>
    <t>MG10</t>
  </si>
  <si>
    <t>EG8</t>
  </si>
  <si>
    <t>Bhatti</t>
  </si>
  <si>
    <t>Aria</t>
  </si>
  <si>
    <t>6/12/2014</t>
  </si>
  <si>
    <t>48016 leontine ctFremontCA94539</t>
  </si>
  <si>
    <t>Vaishali221@gmail.com</t>
  </si>
  <si>
    <t>7/23/2024</t>
  </si>
  <si>
    <t>MM2</t>
  </si>
  <si>
    <t>Cai</t>
  </si>
  <si>
    <t>Ethan</t>
  </si>
  <si>
    <t>10/16/2013</t>
  </si>
  <si>
    <t>136 Gamma Grass terFremontCA94539</t>
  </si>
  <si>
    <t>zoelulu9898@gmail.com</t>
  </si>
  <si>
    <t>7/22/2024</t>
  </si>
  <si>
    <t>EG10</t>
  </si>
  <si>
    <t>Yiyao</t>
  </si>
  <si>
    <t>8930 Wave Cove Way</t>
  </si>
  <si>
    <t>caijie0620@gmail.com</t>
  </si>
  <si>
    <t>EG4</t>
  </si>
  <si>
    <t>8931 Wave Cove Way</t>
  </si>
  <si>
    <t>MG7</t>
  </si>
  <si>
    <t>Chandra</t>
  </si>
  <si>
    <t>Vivaan</t>
  </si>
  <si>
    <t>6/23/2017</t>
  </si>
  <si>
    <t>3465 Inspiration Way #205</t>
  </si>
  <si>
    <t>vishsan06@gmail.com</t>
  </si>
  <si>
    <t>12/10/2024</t>
  </si>
  <si>
    <t>EG1</t>
  </si>
  <si>
    <t>MG4</t>
  </si>
  <si>
    <t>Chang</t>
  </si>
  <si>
    <t>Raeya</t>
  </si>
  <si>
    <t>3909 Engage Ter Unit 301</t>
  </si>
  <si>
    <t>lcleeman@gmail.com</t>
  </si>
  <si>
    <t>EG1B</t>
  </si>
  <si>
    <t xml:space="preserve">New Student </t>
  </si>
  <si>
    <t>3910 Engage Ter Unit 301</t>
  </si>
  <si>
    <t>EK3</t>
  </si>
  <si>
    <t>Chen</t>
  </si>
  <si>
    <t>Charlene</t>
  </si>
  <si>
    <t>46 Eagle Green, Fremont, CA</t>
  </si>
  <si>
    <t>bettyguan1990@gmail.com</t>
  </si>
  <si>
    <t xml:space="preserve">EG2 </t>
  </si>
  <si>
    <t>MG6</t>
  </si>
  <si>
    <t>Kaylee</t>
  </si>
  <si>
    <t>K</t>
  </si>
  <si>
    <t>11/25/2017</t>
  </si>
  <si>
    <t>473 Craycroft DrFremontCA94539</t>
  </si>
  <si>
    <t>victor_chen82@yahoo.com</t>
  </si>
  <si>
    <t>8/16/2024</t>
  </si>
  <si>
    <t>EG3</t>
  </si>
  <si>
    <t>MG8</t>
  </si>
  <si>
    <t>Kyna</t>
  </si>
  <si>
    <t>49119 Rose Ter Fremont Ca 94539</t>
  </si>
  <si>
    <t>gcychen@outlook.com</t>
  </si>
  <si>
    <t>Shelley</t>
  </si>
  <si>
    <t>1499 Piedmont Rd, San Jose, CA</t>
  </si>
  <si>
    <t>rannie_chen@hotmail.com</t>
  </si>
  <si>
    <t>EG2B</t>
  </si>
  <si>
    <t>CHENG</t>
  </si>
  <si>
    <t>PHOEBE</t>
  </si>
  <si>
    <t>6/2/2017</t>
  </si>
  <si>
    <t>46710 crawford St</t>
  </si>
  <si>
    <t>nancyw0602@gmail.com</t>
  </si>
  <si>
    <t>06/1/2024</t>
  </si>
  <si>
    <t>2nd subject</t>
  </si>
  <si>
    <t>Cho</t>
  </si>
  <si>
    <t>Eaint Khun(Hazel)</t>
  </si>
  <si>
    <t>5/17/2015</t>
  </si>
  <si>
    <t>49002 Cinnamon Fern Common</t>
  </si>
  <si>
    <t>hsumon.tarm@gmail.com</t>
  </si>
  <si>
    <t>12/9/2024</t>
  </si>
  <si>
    <t>EG6</t>
  </si>
  <si>
    <t>MG9</t>
  </si>
  <si>
    <t>Choudhary</t>
  </si>
  <si>
    <t>Pryansh</t>
  </si>
  <si>
    <t>48175 Leigh St, Fremont</t>
  </si>
  <si>
    <t xml:space="preserve">	amit.2105@gmail.com</t>
  </si>
  <si>
    <t>EG2</t>
  </si>
  <si>
    <t>Chow</t>
  </si>
  <si>
    <t>Aileen</t>
  </si>
  <si>
    <t>10/10/2014</t>
  </si>
  <si>
    <t>506 Bristle Grass TerraceFremontCA94539</t>
  </si>
  <si>
    <t>ginah.kid@gmail.com</t>
  </si>
  <si>
    <t>8/21/2024</t>
  </si>
  <si>
    <t>EG7</t>
  </si>
  <si>
    <t>Coodnapur</t>
  </si>
  <si>
    <t>Samarth</t>
  </si>
  <si>
    <t>47631 Gridley court</t>
  </si>
  <si>
    <t>rashmihholla@gmail.com</t>
  </si>
  <si>
    <t>EK5</t>
  </si>
  <si>
    <t>Coondapur</t>
  </si>
  <si>
    <t>MG5</t>
  </si>
  <si>
    <t>Dang</t>
  </si>
  <si>
    <t>Deion</t>
  </si>
  <si>
    <t>40989 Pajaro Dr</t>
  </si>
  <si>
    <t>bkmlxx@yahoo.com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</si>
  <si>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</si>
  <si>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</si>
  <si>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</si>
  <si>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</si>
  <si>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</si>
  <si>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</si>
  <si>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</si>
  <si>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</si>
  <si>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</si>
  <si>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</si>
  <si>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</si>
  <si>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</si>
  <si>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MG3</t>
  </si>
  <si>
    <t>Fan</t>
  </si>
  <si>
    <t>Angela</t>
  </si>
  <si>
    <t>295 Fusteria Ct., Fremont, CA</t>
  </si>
  <si>
    <t>fwentao@gmail.com</t>
  </si>
  <si>
    <t>EM1</t>
  </si>
  <si>
    <t>MM1</t>
  </si>
  <si>
    <t>2nd</t>
  </si>
  <si>
    <t>Golla</t>
  </si>
  <si>
    <t>Kanishk</t>
  </si>
  <si>
    <t>48943 Air fern common</t>
  </si>
  <si>
    <t xml:space="preserve">harish.golla@gmail.com
</t>
  </si>
  <si>
    <t>harish.golla@gmail.com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</si>
  <si>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</si>
  <si>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</si>
  <si>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</si>
  <si>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</si>
  <si>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</si>
  <si>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</si>
  <si>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</si>
  <si>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</si>
  <si>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</si>
  <si>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Michael</t>
  </si>
  <si>
    <t>Warm Spring, Fremont,CA</t>
  </si>
  <si>
    <t>Zhuxi@hotmail.com</t>
  </si>
  <si>
    <t>MG11</t>
  </si>
  <si>
    <t>Hsieh</t>
  </si>
  <si>
    <t>Lawrence</t>
  </si>
  <si>
    <t>PK</t>
  </si>
  <si>
    <t>50 ESMERELDA FALLS TERRACE, Fremont, CA</t>
  </si>
  <si>
    <t>songjinglan@hotmail.com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</si>
  <si>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</si>
  <si>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</si>
  <si>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</si>
  <si>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</si>
  <si>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</si>
  <si>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</si>
  <si>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Jain</t>
  </si>
  <si>
    <t>Aahana</t>
  </si>
  <si>
    <t>47646 Mardis St, Fremont CA 94539</t>
  </si>
  <si>
    <t>preetma.mishra@gmail.com</t>
  </si>
  <si>
    <t>2nd Subject</t>
  </si>
  <si>
    <t>Krish</t>
  </si>
  <si>
    <t>4/17/2017</t>
  </si>
  <si>
    <t>3715 broadcast common，Fremont</t>
  </si>
  <si>
    <t>suchitra.pv@gmail.com</t>
  </si>
  <si>
    <t>11/1/2024</t>
  </si>
  <si>
    <t>EG5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</si>
  <si>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</si>
  <si>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</si>
  <si>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</si>
  <si>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</si>
  <si>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</si>
  <si>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</si>
  <si>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Li</t>
  </si>
  <si>
    <t>Eli</t>
  </si>
  <si>
    <t>7/3/2020</t>
  </si>
  <si>
    <t>5431 shattuck aveFremontCA94555</t>
  </si>
  <si>
    <t>yoyomaidongxi@gmail.com</t>
  </si>
  <si>
    <t>EK1</t>
  </si>
  <si>
    <t>Ian</t>
  </si>
  <si>
    <t>12/5/2017</t>
  </si>
  <si>
    <t>LIN</t>
  </si>
  <si>
    <t>YUENING</t>
  </si>
  <si>
    <t>6/24/2018</t>
  </si>
  <si>
    <t>44908 Wisdom rd</t>
  </si>
  <si>
    <t>flora.qu@compass.com</t>
  </si>
  <si>
    <t>06/05/2024</t>
  </si>
  <si>
    <t>6/24/2019</t>
  </si>
  <si>
    <t>44909 Wisdom rd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</si>
  <si>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</si>
  <si>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</si>
  <si>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</si>
  <si>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</si>
  <si>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</si>
  <si>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</si>
  <si>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</si>
  <si>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</si>
  <si>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</si>
  <si>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</si>
  <si>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</si>
  <si>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</si>
  <si>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EM2</t>
  </si>
  <si>
    <t>Jasper</t>
  </si>
  <si>
    <t>455 Tonopah Drive, Fremont, CA</t>
  </si>
  <si>
    <t>Jeremy</t>
  </si>
  <si>
    <t>EM3</t>
  </si>
  <si>
    <t>MH3</t>
  </si>
  <si>
    <t>Mekala</t>
  </si>
  <si>
    <t>Prahan</t>
  </si>
  <si>
    <t>7/16/2019</t>
  </si>
  <si>
    <t>285 hackamore cmnfremontCA94539</t>
  </si>
  <si>
    <t>prashanthreddykm@gmail.com</t>
  </si>
  <si>
    <t>8/23/2024</t>
  </si>
  <si>
    <t>Mekoyo</t>
  </si>
  <si>
    <t>Jean</t>
  </si>
  <si>
    <t>29505 mission Blvd Apt 406</t>
  </si>
  <si>
    <t>brunnelf@yahoo.com</t>
  </si>
  <si>
    <t>NERUKAR</t>
  </si>
  <si>
    <t>MEERA</t>
  </si>
  <si>
    <t>4/16/2018</t>
  </si>
  <si>
    <t>48432 Silva Pomar Ter</t>
  </si>
  <si>
    <t>ameyavnerurkar@gmail.com</t>
  </si>
  <si>
    <t>06/18/2024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</si>
  <si>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</si>
  <si>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</si>
  <si>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</si>
  <si>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</si>
  <si>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</si>
  <si>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</si>
  <si>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</si>
  <si>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</si>
  <si>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</si>
  <si>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</si>
  <si>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</si>
  <si>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</si>
  <si>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</si>
  <si>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</si>
  <si>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</si>
  <si>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</si>
  <si>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</si>
  <si>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</si>
  <si>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</si>
  <si>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</si>
  <si>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</si>
  <si>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</si>
  <si>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</si>
  <si>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</si>
  <si>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</si>
  <si>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</si>
  <si>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</si>
  <si>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</si>
  <si>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</si>
  <si>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5/2/2015</t>
  </si>
  <si>
    <t>748 Choctaw Dr，Fremont</t>
  </si>
  <si>
    <t xml:space="preserve">Sharma </t>
  </si>
  <si>
    <t>Haanish</t>
  </si>
  <si>
    <t>3229 accelerator avn. Unit 1000</t>
  </si>
  <si>
    <t>Sharma.dipika5@gmail.com</t>
  </si>
  <si>
    <t>EK2</t>
  </si>
  <si>
    <t>MK4</t>
  </si>
  <si>
    <t>Singh</t>
  </si>
  <si>
    <t>Shivansh</t>
  </si>
  <si>
    <t>30 Washington Square</t>
  </si>
  <si>
    <t>aks.bitsg@gmail.com</t>
  </si>
  <si>
    <t>Su</t>
  </si>
  <si>
    <t>736 Maya Ct. Fremont, CA 94539</t>
  </si>
  <si>
    <t>jinghuazhao950@gmail.com</t>
  </si>
  <si>
    <t xml:space="preserve">Tan </t>
  </si>
  <si>
    <t xml:space="preserve">Jayden </t>
  </si>
  <si>
    <t>48404 Ursa Dr, , Fremont, CA</t>
  </si>
  <si>
    <t>mingao168@yahoo.com</t>
  </si>
  <si>
    <t>MM3</t>
  </si>
  <si>
    <t>Tang</t>
  </si>
  <si>
    <t>Aiden</t>
  </si>
  <si>
    <t>44642 Gabrielino Way, Fremont, CA, 94539</t>
  </si>
  <si>
    <t>etang@pacbell.net</t>
  </si>
  <si>
    <t>8/30/2024</t>
  </si>
  <si>
    <t>LingQun(Joy)</t>
  </si>
  <si>
    <t>44930 Lynx Dr., Fremont, CA, 94539</t>
  </si>
  <si>
    <t>jie9ding18@gmail.com</t>
  </si>
  <si>
    <t>EG9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</si>
  <si>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</si>
  <si>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</si>
  <si>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</si>
  <si>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</si>
  <si>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</si>
  <si>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</si>
  <si>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</si>
  <si>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101p</t>
  </si>
  <si>
    <t>Virani</t>
  </si>
  <si>
    <t>Ezar</t>
  </si>
  <si>
    <t>48867 Sauvignon Ct Fremont CA  94539</t>
  </si>
  <si>
    <t>sonia.12t@gmail.com</t>
  </si>
  <si>
    <t>MK2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</si>
  <si>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</si>
  <si>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</si>
  <si>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</si>
  <si>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</si>
  <si>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</si>
  <si>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</si>
  <si>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</si>
  <si>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</si>
  <si>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Andy</t>
  </si>
  <si>
    <t>39953 Cedar Blvd unit 221, Newark</t>
  </si>
  <si>
    <t>510-896-9021</t>
  </si>
  <si>
    <t>Cyberlei23@gmail.com</t>
  </si>
  <si>
    <t>86P</t>
  </si>
  <si>
    <t>Quit</t>
  </si>
  <si>
    <t>Chloe</t>
  </si>
  <si>
    <t>5630 central pkwy</t>
  </si>
  <si>
    <t>469 268 9535</t>
  </si>
  <si>
    <t>wenwen179505@gmail.com</t>
  </si>
  <si>
    <t>Eric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</si>
  <si>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</si>
  <si>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</si>
  <si>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</si>
  <si>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</si>
  <si>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</si>
  <si>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</si>
  <si>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</si>
  <si>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</si>
  <si>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</si>
  <si>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</si>
  <si>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</si>
  <si>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</si>
  <si>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4/28/2015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</si>
  <si>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</si>
  <si>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</si>
  <si>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</si>
  <si>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</si>
  <si>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</si>
  <si>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</si>
  <si>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</si>
  <si>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MH4</t>
  </si>
  <si>
    <t>Yi</t>
  </si>
  <si>
    <t>Zijin (Leo)</t>
  </si>
  <si>
    <t>392 Farley common, Fremont, CA 94539</t>
  </si>
  <si>
    <t>Liuxin170619@gmail.com</t>
  </si>
  <si>
    <t>110p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</si>
  <si>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</si>
  <si>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</si>
  <si>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</si>
  <si>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</si>
  <si>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</si>
  <si>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</si>
  <si>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</si>
  <si>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</si>
  <si>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</si>
  <si>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</si>
  <si>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</si>
  <si>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</si>
  <si>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</si>
  <si>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</si>
  <si>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</si>
  <si>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</si>
  <si>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</si>
  <si>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</si>
  <si>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</si>
  <si>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</si>
  <si>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Cindy</t>
  </si>
  <si>
    <t>4092 Central Ave Fremont Ca 94536</t>
  </si>
  <si>
    <t>taozi5963527@outlook.com</t>
  </si>
  <si>
    <t>4093 Central Ave Fremont Ca 94536</t>
  </si>
  <si>
    <t>Matthew</t>
  </si>
  <si>
    <t>Warm Spring Fremotn Ca 94540</t>
  </si>
  <si>
    <t>MH2</t>
  </si>
  <si>
    <t>Quit List</t>
  </si>
  <si>
    <t>Joanna</t>
  </si>
  <si>
    <t>Cao</t>
  </si>
  <si>
    <t>201 Starlite Way, Fremont 94539</t>
  </si>
  <si>
    <t>phyllis.yuen@gmail.com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</si>
  <si>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</si>
  <si>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</si>
  <si>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</si>
  <si>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</si>
  <si>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</si>
  <si>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</si>
  <si>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</si>
  <si>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</si>
  <si>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</si>
  <si>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</si>
  <si>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</si>
  <si>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</si>
  <si>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</si>
  <si>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</si>
  <si>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</si>
  <si>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</si>
  <si>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</si>
  <si>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</si>
  <si>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</si>
  <si>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</si>
  <si>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</si>
  <si>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</si>
  <si>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</si>
  <si>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</si>
  <si>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</si>
  <si>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</si>
  <si>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</si>
  <si>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</si>
  <si>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</si>
  <si>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</si>
  <si>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</si>
  <si>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</si>
  <si>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</si>
  <si>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</si>
  <si>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</si>
  <si>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</si>
  <si>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</si>
  <si>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</si>
  <si>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</si>
  <si>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</si>
  <si>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</si>
  <si>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</si>
  <si>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</si>
  <si>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</si>
  <si>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</si>
  <si>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</si>
  <si>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</si>
  <si>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</si>
  <si>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</si>
  <si>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</si>
  <si>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</si>
  <si>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</si>
  <si>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</si>
  <si>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</si>
  <si>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</si>
  <si>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</si>
  <si>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</si>
  <si>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</si>
  <si>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</si>
  <si>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</si>
  <si>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</si>
  <si>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</si>
  <si>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</si>
  <si>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</si>
  <si>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</si>
  <si>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</si>
  <si>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</si>
  <si>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</si>
  <si>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</si>
  <si>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</si>
  <si>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</si>
  <si>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</si>
  <si>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</si>
  <si>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</si>
  <si>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</si>
  <si>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</si>
  <si>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</si>
  <si>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</si>
  <si>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</si>
  <si>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</si>
  <si>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</si>
  <si>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</si>
  <si>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</si>
  <si>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</si>
  <si>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</si>
  <si>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</si>
  <si>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</si>
  <si>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</si>
  <si>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</si>
  <si>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</si>
  <si>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</si>
  <si>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</si>
  <si>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</si>
  <si>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</si>
  <si>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</si>
  <si>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</si>
  <si>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</si>
  <si>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</si>
  <si>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</si>
  <si>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</si>
  <si>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</si>
  <si>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</si>
  <si>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</si>
  <si>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</si>
  <si>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</si>
  <si>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</si>
  <si>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</si>
  <si>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</si>
  <si>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</si>
  <si>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</si>
  <si>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</si>
  <si>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</si>
  <si>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</si>
  <si>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</si>
  <si>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</si>
  <si>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</si>
  <si>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</si>
  <si>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</si>
  <si>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</si>
  <si>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</si>
  <si>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</si>
  <si>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</si>
  <si>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</si>
  <si>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</si>
  <si>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</si>
  <si>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</si>
  <si>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</si>
  <si>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</si>
  <si>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</si>
  <si>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</si>
  <si>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</si>
  <si>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</si>
  <si>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</si>
  <si>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</si>
  <si>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</si>
  <si>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</si>
  <si>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</si>
  <si>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</si>
  <si>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</si>
  <si>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</si>
  <si>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</si>
  <si>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</si>
  <si>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</si>
  <si>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</si>
  <si>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</si>
  <si>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</si>
  <si>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</si>
  <si>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</si>
  <si>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</si>
  <si>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</si>
  <si>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</si>
  <si>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</si>
  <si>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</si>
  <si>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</si>
  <si>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</si>
  <si>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</si>
  <si>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</si>
  <si>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</si>
  <si>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</si>
  <si>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</si>
  <si>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</si>
  <si>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</si>
  <si>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</si>
  <si>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</si>
  <si>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</si>
  <si>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</si>
  <si>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</si>
  <si>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</si>
  <si>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</si>
  <si>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</si>
  <si>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</si>
  <si>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</si>
  <si>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</si>
  <si>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</si>
  <si>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</si>
  <si>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</si>
  <si>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</si>
  <si>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</si>
  <si>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</si>
  <si>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</si>
  <si>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</si>
  <si>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</si>
  <si>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</si>
  <si>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</si>
  <si>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</si>
  <si>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</si>
  <si>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</si>
  <si>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</si>
  <si>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</si>
  <si>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</si>
  <si>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</si>
  <si>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</si>
  <si>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</si>
  <si>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</si>
  <si>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</si>
  <si>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</si>
  <si>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</si>
  <si>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</si>
  <si>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</si>
  <si>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</si>
  <si>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</si>
  <si>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</si>
  <si>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</si>
  <si>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</si>
  <si>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</si>
  <si>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</si>
  <si>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</si>
  <si>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</si>
  <si>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</si>
  <si>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</si>
  <si>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</si>
  <si>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</si>
  <si>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</si>
  <si>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</si>
  <si>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</si>
  <si>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</si>
  <si>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</si>
  <si>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</si>
  <si>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</si>
  <si>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</si>
  <si>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</si>
  <si>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</si>
  <si>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</si>
  <si>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</si>
  <si>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</si>
  <si>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</si>
  <si>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</si>
  <si>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</si>
  <si>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</si>
  <si>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</si>
  <si>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</si>
  <si>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</si>
  <si>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</si>
  <si>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</si>
  <si>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</si>
  <si>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</si>
  <si>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</si>
  <si>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</si>
  <si>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</si>
  <si>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</si>
  <si>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</si>
  <si>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</si>
  <si>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</si>
  <si>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</si>
  <si>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</si>
  <si>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</si>
  <si>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</si>
  <si>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</si>
  <si>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</si>
  <si>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</si>
  <si>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</si>
  <si>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</si>
  <si>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</si>
  <si>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</si>
  <si>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</si>
  <si>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</si>
  <si>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</si>
  <si>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</si>
  <si>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</si>
  <si>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</si>
  <si>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</si>
  <si>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</si>
  <si>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</si>
  <si>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</si>
  <si>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</si>
  <si>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</si>
  <si>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</si>
  <si>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</si>
  <si>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</si>
  <si>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</si>
  <si>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</si>
  <si>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</si>
  <si>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</si>
  <si>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</si>
  <si>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</si>
  <si>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</si>
  <si>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</si>
  <si>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</si>
  <si>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</si>
  <si>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</si>
  <si>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</si>
  <si>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</si>
  <si>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</si>
  <si>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</si>
  <si>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</si>
  <si>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</si>
  <si>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</si>
  <si>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</si>
  <si>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</si>
  <si>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</si>
  <si>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</si>
  <si>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</si>
  <si>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</si>
  <si>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</si>
  <si>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</si>
  <si>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</si>
  <si>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</si>
  <si>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</si>
  <si>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</si>
  <si>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</si>
  <si>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</si>
  <si>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</si>
  <si>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</si>
  <si>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</si>
  <si>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</si>
  <si>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</si>
  <si>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</si>
  <si>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</si>
  <si>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</si>
  <si>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</si>
  <si>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</si>
  <si>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</si>
  <si>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</si>
  <si>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</si>
  <si>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</si>
  <si>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</si>
  <si>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</si>
  <si>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</si>
  <si>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</si>
  <si>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</si>
  <si>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</si>
  <si>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</si>
  <si>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</si>
  <si>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</si>
  <si>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</si>
  <si>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</si>
  <si>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</si>
  <si>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</si>
  <si>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</si>
  <si>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</si>
  <si>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</si>
  <si>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</si>
  <si>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</si>
  <si>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</si>
  <si>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</si>
  <si>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</si>
  <si>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</si>
  <si>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</si>
  <si>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</si>
  <si>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</si>
  <si>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</si>
  <si>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</si>
  <si>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</si>
  <si>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</si>
  <si>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</si>
  <si>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</si>
  <si>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</si>
  <si>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</si>
  <si>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</si>
  <si>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</si>
  <si>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</si>
  <si>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</si>
  <si>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350 Phantom Falls CMNFremontCA94539</t>
  </si>
  <si>
    <t>haimingw24@gmail.com</t>
  </si>
  <si>
    <t>61P</t>
  </si>
  <si>
    <t>changed school</t>
  </si>
  <si>
    <t>101P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</si>
</sst>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9C0006"/>
      <name val="Century Gothic"/>
      <family val="1"/>
    </font>
    <font>
      <sz val="11"/>
      <color theme="1"/>
      <name val="Calibri"/>
      <family val="2"/>
    </font>
    <font>
      <sz val="12"/>
      <color rgb="FF333333"/>
      <name val="Century Gothic"/>
      <family val="1"/>
    </font>
    <font>
      <sz val="12"/>
      <color rgb="FF000000"/>
      <name val="Century Gothic"/>
      <family val="1"/>
    </font>
    <font>
      <sz val="11"/>
      <color rgb="FF006100"/>
      <name val="Calibri"/>
      <family val="2"/>
    </font>
    <font>
      <b/>
      <sz val="11"/>
      <color theme="1"/>
      <name val="Century Gothic"/>
      <family val="1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sz val="11"/>
      <color rgb="FF000000"/>
      <name val="Century Gothic"/>
      <family val="1"/>
    </font>
    <font>
      <sz val="11"/>
      <color rgb="FF9C0006"/>
      <name val="Calibri"/>
      <family val="2"/>
    </font>
    <font>
      <u/>
      <sz val="12"/>
      <color theme="1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13" fillId="0" borderId="0" xfId="0" applyFont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14" fontId="3" fillId="0" borderId="5" xfId="0" applyNumberFormat="1" applyFont="1" applyBorder="1"/>
    <xf numFmtId="0" fontId="15" fillId="0" borderId="0" xfId="0" applyFont="1"/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left"/>
    </xf>
    <xf numFmtId="165" fontId="3" fillId="0" borderId="5" xfId="0" applyNumberFormat="1" applyFont="1" applyBorder="1" applyAlignment="1">
      <alignment horizontal="left"/>
    </xf>
    <xf numFmtId="0" fontId="13" fillId="0" borderId="5" xfId="0" applyFont="1" applyBorder="1"/>
    <xf numFmtId="0" fontId="3" fillId="6" borderId="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14" fontId="3" fillId="10" borderId="5" xfId="0" applyNumberFormat="1" applyFont="1" applyFill="1" applyBorder="1"/>
    <xf numFmtId="0" fontId="14" fillId="10" borderId="22" xfId="0" applyFont="1" applyFill="1" applyBorder="1"/>
    <xf numFmtId="0" fontId="14" fillId="10" borderId="23" xfId="0" applyFont="1" applyFill="1" applyBorder="1"/>
    <xf numFmtId="0" fontId="14" fillId="10" borderId="5" xfId="0" applyFont="1" applyFill="1" applyBorder="1"/>
    <xf numFmtId="0" fontId="3" fillId="10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 vertical="center" wrapText="1"/>
    </xf>
    <xf numFmtId="0" fontId="15" fillId="10" borderId="0" xfId="0" applyFont="1" applyFill="1"/>
    <xf numFmtId="0" fontId="13" fillId="10" borderId="0" xfId="0" applyFont="1" applyFill="1"/>
    <xf numFmtId="0" fontId="14" fillId="10" borderId="24" xfId="0" applyFont="1" applyFill="1" applyBorder="1"/>
    <xf numFmtId="0" fontId="14" fillId="10" borderId="0" xfId="0" applyFont="1" applyFill="1"/>
    <xf numFmtId="0" fontId="14" fillId="10" borderId="17" xfId="0" applyFont="1" applyFill="1" applyBorder="1"/>
    <xf numFmtId="0" fontId="14" fillId="10" borderId="20" xfId="0" applyFont="1" applyFill="1" applyBorder="1"/>
    <xf numFmtId="0" fontId="3" fillId="0" borderId="5" xfId="0" applyFont="1" applyBorder="1" applyAlignment="1">
      <alignment horizontal="right"/>
    </xf>
    <xf numFmtId="0" fontId="13" fillId="0" borderId="25" xfId="0" applyFont="1" applyBorder="1"/>
    <xf numFmtId="0" fontId="13" fillId="0" borderId="26" xfId="0" applyFont="1" applyBorder="1"/>
    <xf numFmtId="0" fontId="16" fillId="11" borderId="27" xfId="0" applyFont="1" applyFill="1" applyBorder="1"/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4" fillId="11" borderId="27" xfId="0" applyFont="1" applyFill="1" applyBorder="1"/>
    <xf numFmtId="0" fontId="3" fillId="11" borderId="27" xfId="0" applyFont="1" applyFill="1" applyBorder="1"/>
    <xf numFmtId="0" fontId="3" fillId="11" borderId="27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left"/>
    </xf>
    <xf numFmtId="0" fontId="3" fillId="11" borderId="27" xfId="0" applyFont="1" applyFill="1" applyBorder="1" applyAlignment="1">
      <alignment horizontal="center"/>
    </xf>
    <xf numFmtId="14" fontId="3" fillId="11" borderId="27" xfId="0" applyNumberFormat="1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2" borderId="28" xfId="0" applyFont="1" applyFill="1" applyBorder="1" applyAlignment="1">
      <alignment horizontal="center" wrapText="1"/>
    </xf>
    <xf numFmtId="0" fontId="4" fillId="12" borderId="29" xfId="0" applyFont="1" applyFill="1" applyBorder="1" applyAlignment="1">
      <alignment horizontal="center" vertical="center" wrapText="1"/>
    </xf>
    <xf numFmtId="0" fontId="4" fillId="12" borderId="29" xfId="0" applyFont="1" applyFill="1" applyBorder="1" applyAlignment="1">
      <alignment horizontal="left" wrapText="1"/>
    </xf>
    <xf numFmtId="0" fontId="4" fillId="12" borderId="29" xfId="0" applyFont="1" applyFill="1" applyBorder="1" applyAlignment="1">
      <alignment horizontal="center" wrapText="1"/>
    </xf>
    <xf numFmtId="14" fontId="4" fillId="12" borderId="29" xfId="0" applyNumberFormat="1" applyFont="1" applyFill="1" applyBorder="1" applyAlignment="1">
      <alignment horizontal="left" wrapText="1"/>
    </xf>
    <xf numFmtId="0" fontId="4" fillId="12" borderId="29" xfId="0" applyFont="1" applyFill="1" applyBorder="1" applyAlignment="1">
      <alignment wrapText="1"/>
    </xf>
    <xf numFmtId="14" fontId="4" fillId="12" borderId="29" xfId="0" applyNumberFormat="1" applyFont="1" applyFill="1" applyBorder="1" applyAlignment="1">
      <alignment wrapText="1"/>
    </xf>
    <xf numFmtId="0" fontId="4" fillId="12" borderId="30" xfId="0" applyFont="1" applyFill="1" applyBorder="1" applyAlignment="1">
      <alignment horizontal="center" wrapText="1"/>
    </xf>
    <xf numFmtId="0" fontId="4" fillId="12" borderId="31" xfId="0" applyFont="1" applyFill="1" applyBorder="1" applyAlignment="1">
      <alignment horizontal="center" vertical="center" wrapText="1"/>
    </xf>
    <xf numFmtId="0" fontId="4" fillId="12" borderId="31" xfId="0" applyFont="1" applyFill="1" applyBorder="1" applyAlignment="1">
      <alignment horizontal="left" wrapText="1"/>
    </xf>
    <xf numFmtId="0" fontId="4" fillId="12" borderId="31" xfId="0" applyFont="1" applyFill="1" applyBorder="1" applyAlignment="1">
      <alignment horizontal="center" wrapText="1"/>
    </xf>
    <xf numFmtId="14" fontId="4" fillId="12" borderId="31" xfId="0" applyNumberFormat="1" applyFont="1" applyFill="1" applyBorder="1" applyAlignment="1">
      <alignment horizontal="left" wrapText="1"/>
    </xf>
    <xf numFmtId="0" fontId="4" fillId="12" borderId="31" xfId="0" applyFont="1" applyFill="1" applyBorder="1" applyAlignment="1">
      <alignment wrapText="1"/>
    </xf>
    <xf numFmtId="0" fontId="4" fillId="13" borderId="30" xfId="0" applyFont="1" applyFill="1" applyBorder="1" applyAlignment="1">
      <alignment horizontal="center" wrapText="1"/>
    </xf>
    <xf numFmtId="0" fontId="4" fillId="13" borderId="31" xfId="0" applyFont="1" applyFill="1" applyBorder="1" applyAlignment="1">
      <alignment horizontal="center" vertical="center" wrapText="1"/>
    </xf>
    <xf numFmtId="0" fontId="4" fillId="13" borderId="31" xfId="0" applyFont="1" applyFill="1" applyBorder="1" applyAlignment="1">
      <alignment horizontal="left" wrapText="1"/>
    </xf>
    <xf numFmtId="0" fontId="4" fillId="13" borderId="31" xfId="0" applyFont="1" applyFill="1" applyBorder="1" applyAlignment="1">
      <alignment horizontal="center" wrapText="1"/>
    </xf>
    <xf numFmtId="14" fontId="4" fillId="13" borderId="31" xfId="0" applyNumberFormat="1" applyFont="1" applyFill="1" applyBorder="1" applyAlignment="1">
      <alignment horizontal="left" wrapText="1"/>
    </xf>
    <xf numFmtId="0" fontId="4" fillId="13" borderId="31" xfId="0" applyFont="1" applyFill="1" applyBorder="1" applyAlignment="1">
      <alignment wrapText="1"/>
    </xf>
    <xf numFmtId="14" fontId="4" fillId="13" borderId="29" xfId="0" applyNumberFormat="1" applyFont="1" applyFill="1" applyBorder="1" applyAlignment="1">
      <alignment wrapText="1"/>
    </xf>
    <xf numFmtId="0" fontId="4" fillId="13" borderId="27" xfId="0" applyFont="1" applyFill="1" applyBorder="1"/>
    <xf numFmtId="0" fontId="4" fillId="11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14" fontId="4" fillId="11" borderId="5" xfId="0" applyNumberFormat="1" applyFont="1" applyFill="1" applyBorder="1" applyAlignment="1">
      <alignment wrapText="1"/>
    </xf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left" vertical="center" wrapText="1"/>
    </xf>
    <xf numFmtId="14" fontId="4" fillId="11" borderId="5" xfId="0" applyNumberFormat="1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2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2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 vertical="center" wrapText="1"/>
    </xf>
    <xf numFmtId="14" fontId="4" fillId="12" borderId="5" xfId="0" applyNumberFormat="1" applyFont="1" applyFill="1" applyBorder="1"/>
    <xf numFmtId="0" fontId="4" fillId="12" borderId="27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2" borderId="5" xfId="0" applyFont="1" applyFill="1" applyBorder="1" applyAlignment="1">
      <alignment horizontal="center" wrapText="1"/>
    </xf>
    <xf numFmtId="0" fontId="4" fillId="12" borderId="27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0" fontId="18" fillId="12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left" wrapText="1"/>
    </xf>
    <xf numFmtId="0" fontId="4" fillId="14" borderId="27" xfId="0" applyFont="1" applyFill="1" applyBorder="1"/>
    <xf numFmtId="0" fontId="4" fillId="0" borderId="5" xfId="0" applyFont="1" applyBorder="1" applyAlignment="1">
      <alignment vertical="center"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0" fontId="4" fillId="15" borderId="5" xfId="0" applyFont="1" applyFill="1" applyBorder="1" applyAlignment="1">
      <alignment horizontal="center" vertical="center" wrapText="1"/>
    </xf>
    <xf numFmtId="14" fontId="4" fillId="15" borderId="5" xfId="0" applyNumberFormat="1" applyFont="1" applyFill="1" applyBorder="1"/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14" fontId="4" fillId="13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/>
    <xf numFmtId="0" fontId="4" fillId="16" borderId="5" xfId="0" applyFont="1" applyFill="1" applyBorder="1" applyAlignment="1">
      <alignment wrapText="1"/>
    </xf>
    <xf numFmtId="14" fontId="4" fillId="16" borderId="5" xfId="0" applyNumberFormat="1" applyFont="1" applyFill="1" applyBorder="1"/>
    <xf numFmtId="0" fontId="4" fillId="16" borderId="27" xfId="0" applyFont="1" applyFill="1" applyBorder="1"/>
    <xf numFmtId="0" fontId="4" fillId="0" borderId="20" xfId="0" applyFont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14" fontId="4" fillId="17" borderId="5" xfId="0" applyNumberFormat="1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27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7" fillId="3" borderId="27" xfId="0" applyFont="1" applyFill="1" applyBorder="1"/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0" fontId="4" fillId="18" borderId="5" xfId="0" applyFont="1" applyFill="1" applyBorder="1" applyAlignment="1">
      <alignment horizontal="right"/>
    </xf>
    <xf numFmtId="14" fontId="4" fillId="18" borderId="5" xfId="0" applyNumberFormat="1" applyFont="1" applyFill="1" applyBorder="1"/>
    <xf numFmtId="0" fontId="3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left" wrapText="1"/>
    </xf>
    <xf numFmtId="0" fontId="3" fillId="18" borderId="5" xfId="0" applyFont="1" applyFill="1" applyBorder="1" applyAlignment="1">
      <alignment horizontal="center" wrapText="1"/>
    </xf>
    <xf numFmtId="14" fontId="3" fillId="18" borderId="5" xfId="0" applyNumberFormat="1" applyFont="1" applyFill="1" applyBorder="1" applyAlignment="1">
      <alignment horizontal="left" wrapText="1"/>
    </xf>
    <xf numFmtId="0" fontId="3" fillId="18" borderId="5" xfId="0" applyFont="1" applyFill="1" applyBorder="1" applyAlignment="1">
      <alignment wrapText="1"/>
    </xf>
    <xf numFmtId="0" fontId="3" fillId="18" borderId="5" xfId="0" applyFont="1" applyFill="1" applyBorder="1" applyAlignment="1">
      <alignment horizontal="right" wrapText="1"/>
    </xf>
    <xf numFmtId="0" fontId="17" fillId="12" borderId="27" xfId="0" applyFont="1" applyFill="1" applyBorder="1"/>
    <xf numFmtId="0" fontId="3" fillId="18" borderId="27" xfId="0" applyFont="1" applyFill="1" applyBorder="1" applyAlignment="1">
      <alignment horizontal="center" vertical="center"/>
    </xf>
    <xf numFmtId="0" fontId="3" fillId="18" borderId="27" xfId="0" applyFont="1" applyFill="1" applyBorder="1" applyAlignment="1">
      <alignment horizontal="left" vertical="center"/>
    </xf>
    <xf numFmtId="0" fontId="3" fillId="18" borderId="27" xfId="0" applyFont="1" applyFill="1" applyBorder="1" applyAlignment="1">
      <alignment vertical="center"/>
    </xf>
    <xf numFmtId="0" fontId="3" fillId="12" borderId="27" xfId="0" applyFont="1" applyFill="1" applyBorder="1"/>
    <xf numFmtId="0" fontId="3" fillId="18" borderId="5" xfId="0" applyFont="1" applyFill="1" applyBorder="1"/>
    <xf numFmtId="0" fontId="3" fillId="18" borderId="5" xfId="0" applyFont="1" applyFill="1" applyBorder="1" applyAlignment="1">
      <alignment horizontal="left"/>
    </xf>
    <xf numFmtId="0" fontId="13" fillId="12" borderId="27" xfId="0" applyFont="1" applyFill="1" applyBorder="1"/>
    <xf numFmtId="0" fontId="3" fillId="2" borderId="5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5" fillId="2" borderId="5" xfId="0" applyFont="1" applyFill="1" applyBorder="1" applyAlignment="1">
      <alignment horizontal="center"/>
    </xf>
    <xf numFmtId="14" fontId="15" fillId="2" borderId="5" xfId="0" applyNumberFormat="1" applyFont="1" applyFill="1" applyBorder="1"/>
    <xf numFmtId="0" fontId="15" fillId="2" borderId="5" xfId="0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20" fillId="12" borderId="27" xfId="0" applyFont="1" applyFill="1" applyBorder="1"/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27" xfId="0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32" xfId="0" applyFont="1" applyBorder="1" applyAlignment="1">
      <alignment horizontal="center" wrapText="1"/>
    </xf>
    <xf numFmtId="0" fontId="12" fillId="8" borderId="33" xfId="0" applyFont="1" applyFill="1" applyBorder="1" applyAlignment="1">
      <alignment horizontal="center" vertical="center" wrapText="1"/>
    </xf>
    <xf numFmtId="0" fontId="12" fillId="8" borderId="33" xfId="0" applyFont="1" applyFill="1" applyBorder="1" applyAlignment="1">
      <alignment horizontal="left" wrapText="1"/>
    </xf>
    <xf numFmtId="0" fontId="12" fillId="8" borderId="33" xfId="0" applyFont="1" applyFill="1" applyBorder="1" applyAlignment="1">
      <alignment horizontal="center" wrapText="1"/>
    </xf>
    <xf numFmtId="14" fontId="12" fillId="8" borderId="33" xfId="0" applyNumberFormat="1" applyFont="1" applyFill="1" applyBorder="1" applyAlignment="1">
      <alignment horizontal="left" wrapText="1"/>
    </xf>
    <xf numFmtId="0" fontId="12" fillId="8" borderId="33" xfId="0" applyFont="1" applyFill="1" applyBorder="1"/>
    <xf numFmtId="0" fontId="12" fillId="8" borderId="33" xfId="0" applyFont="1" applyFill="1" applyBorder="1" applyAlignment="1">
      <alignment horizontal="right"/>
    </xf>
    <xf numFmtId="0" fontId="12" fillId="8" borderId="33" xfId="0" applyFont="1" applyFill="1" applyBorder="1" applyAlignment="1">
      <alignment wrapText="1"/>
    </xf>
    <xf numFmtId="14" fontId="12" fillId="8" borderId="33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21" fillId="0" borderId="0" xfId="0" applyFont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21" fillId="8" borderId="27" xfId="0" applyFont="1" applyFill="1" applyBorder="1"/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center"/>
    </xf>
    <xf numFmtId="14" fontId="3" fillId="12" borderId="5" xfId="0" applyNumberFormat="1" applyFont="1" applyFill="1" applyBorder="1" applyAlignment="1">
      <alignment horizontal="left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right"/>
    </xf>
    <xf numFmtId="0" fontId="22" fillId="12" borderId="5" xfId="0" applyFont="1" applyFill="1" applyBorder="1"/>
    <xf numFmtId="14" fontId="3" fillId="12" borderId="5" xfId="0" applyNumberFormat="1" applyFont="1" applyFill="1" applyBorder="1" applyAlignment="1">
      <alignment horizontal="center"/>
    </xf>
    <xf numFmtId="0" fontId="15" fillId="12" borderId="27" xfId="0" applyFont="1" applyFill="1" applyBorder="1"/>
    <xf numFmtId="0" fontId="3" fillId="12" borderId="5" xfId="0" applyFont="1" applyFill="1" applyBorder="1" applyAlignment="1">
      <alignment wrapText="1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wrapText="1"/>
    </xf>
    <xf numFmtId="0" fontId="3" fillId="12" borderId="5" xfId="0" applyFont="1" applyFill="1" applyBorder="1" applyAlignment="1">
      <alignment horizontal="right" wrapText="1"/>
    </xf>
    <xf numFmtId="14" fontId="3" fillId="12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vertical="center"/>
    </xf>
    <xf numFmtId="0" fontId="3" fillId="16" borderId="5" xfId="0" applyFont="1" applyFill="1" applyBorder="1"/>
    <xf numFmtId="0" fontId="3" fillId="16" borderId="5" xfId="0" applyFont="1" applyFill="1" applyBorder="1" applyAlignment="1">
      <alignment horizontal="center"/>
    </xf>
    <xf numFmtId="14" fontId="3" fillId="16" borderId="5" xfId="0" applyNumberFormat="1" applyFont="1" applyFill="1" applyBorder="1" applyAlignment="1">
      <alignment horizontal="left"/>
    </xf>
    <xf numFmtId="14" fontId="3" fillId="16" borderId="5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0" fontId="3" fillId="16" borderId="5" xfId="0" applyFont="1" applyFill="1" applyBorder="1" applyAlignment="1">
      <alignment horizontal="center" vertical="center" wrapText="1"/>
    </xf>
    <xf numFmtId="14" fontId="12" fillId="16" borderId="5" xfId="0" applyNumberFormat="1" applyFont="1" applyFill="1" applyBorder="1"/>
    <xf numFmtId="0" fontId="3" fillId="16" borderId="27" xfId="0" applyFont="1" applyFill="1" applyBorder="1"/>
    <xf numFmtId="0" fontId="13" fillId="16" borderId="27" xfId="0" applyFont="1" applyFill="1" applyBorder="1"/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right" wrapText="1"/>
    </xf>
    <xf numFmtId="14" fontId="3" fillId="0" borderId="5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5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/>
    </xf>
    <xf numFmtId="14" fontId="3" fillId="0" borderId="5" xfId="0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/>
    <xf numFmtId="0" fontId="13" fillId="0" borderId="0" xfId="0" applyFont="1" applyFill="1"/>
    <xf numFmtId="0" fontId="0" fillId="0" borderId="0" xfId="0" applyFill="1"/>
    <xf numFmtId="14" fontId="3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6" sqref="E26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24" customWidth="1"/>
    <col min="6" max="6" width="15.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 x14ac:dyDescent="0.25">
      <c r="A1" s="376" t="s">
        <v>0</v>
      </c>
      <c r="B1" s="377"/>
      <c r="C1" s="377"/>
      <c r="D1" s="377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" x14ac:dyDescent="0.2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 t="s">
        <v>3</v>
      </c>
      <c r="B3" s="6" t="s">
        <v>4</v>
      </c>
      <c r="C3" s="7"/>
      <c r="D3" s="6"/>
      <c r="E3" s="6" t="s">
        <v>5</v>
      </c>
      <c r="F3" s="8">
        <v>45777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7">
        <f t="shared" ref="A9:A31" si="0">$F$3</f>
        <v>45777</v>
      </c>
      <c r="B9" s="18" t="s">
        <v>15</v>
      </c>
      <c r="C9" s="18"/>
      <c r="D9" s="19">
        <f t="shared" ref="D9:D10" si="1">C55</f>
        <v>57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7">
        <f t="shared" si="0"/>
        <v>45777</v>
      </c>
      <c r="B10" s="18" t="s">
        <v>16</v>
      </c>
      <c r="C10" s="18"/>
      <c r="D10" s="19">
        <f t="shared" si="1"/>
        <v>71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7">
        <f t="shared" si="0"/>
        <v>45777</v>
      </c>
      <c r="B11" s="18" t="s">
        <v>17</v>
      </c>
      <c r="C11" s="21">
        <v>25</v>
      </c>
      <c r="D11" s="19">
        <f>SUM(C37:C40)</f>
        <v>3</v>
      </c>
      <c r="E11" s="22">
        <f t="shared" ref="E11:E25" si="2">C11*D11</f>
        <v>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7">
        <f t="shared" si="0"/>
        <v>45777</v>
      </c>
      <c r="B12" s="18" t="s">
        <v>18</v>
      </c>
      <c r="C12" s="21">
        <v>22</v>
      </c>
      <c r="D12" s="19">
        <f t="shared" ref="D12:D13" si="3">C35+C37-C41-C53</f>
        <v>56</v>
      </c>
      <c r="E12" s="22">
        <f t="shared" si="2"/>
        <v>1232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7">
        <f t="shared" si="0"/>
        <v>45777</v>
      </c>
      <c r="B13" s="18" t="s">
        <v>19</v>
      </c>
      <c r="C13" s="21">
        <v>22</v>
      </c>
      <c r="D13" s="19">
        <f t="shared" si="3"/>
        <v>69</v>
      </c>
      <c r="E13" s="22">
        <f t="shared" si="2"/>
        <v>1518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7">
        <f t="shared" si="0"/>
        <v>45777</v>
      </c>
      <c r="B14" s="18" t="s">
        <v>20</v>
      </c>
      <c r="C14" s="21">
        <f t="shared" ref="C14:C15" si="4">C12/2</f>
        <v>11</v>
      </c>
      <c r="D14" s="19">
        <f t="shared" ref="D14:D15" si="5">C39</f>
        <v>1</v>
      </c>
      <c r="E14" s="22">
        <f t="shared" si="2"/>
        <v>11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7">
        <f t="shared" si="0"/>
        <v>45777</v>
      </c>
      <c r="B15" s="18" t="s">
        <v>21</v>
      </c>
      <c r="C15" s="21">
        <f t="shared" si="4"/>
        <v>11</v>
      </c>
      <c r="D15" s="19">
        <f t="shared" si="5"/>
        <v>2</v>
      </c>
      <c r="E15" s="22">
        <f t="shared" si="2"/>
        <v>22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7">
        <f t="shared" si="0"/>
        <v>45777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7">
        <f t="shared" si="0"/>
        <v>45777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7">
        <f t="shared" si="0"/>
        <v>45777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7">
        <f t="shared" si="0"/>
        <v>45777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7">
        <f t="shared" si="0"/>
        <v>45777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7">
        <f t="shared" si="0"/>
        <v>45777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7">
        <f t="shared" si="0"/>
        <v>45777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7">
        <f t="shared" si="0"/>
        <v>45777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7">
        <f t="shared" si="0"/>
        <v>45777</v>
      </c>
      <c r="B24" s="29" t="s">
        <v>26</v>
      </c>
      <c r="C24" s="21">
        <v>-25</v>
      </c>
      <c r="D24" s="19"/>
      <c r="E24" s="30">
        <f t="shared" si="2"/>
        <v>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7">
        <f t="shared" si="0"/>
        <v>45777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7">
        <f t="shared" si="0"/>
        <v>45777</v>
      </c>
      <c r="B26" s="18" t="s">
        <v>27</v>
      </c>
      <c r="C26" s="21"/>
      <c r="D26" s="21"/>
      <c r="E26" s="22">
        <f>SUM(E11:E25)</f>
        <v>3008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7">
        <f t="shared" si="0"/>
        <v>45777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7">
        <f t="shared" si="0"/>
        <v>45777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7">
        <f t="shared" si="0"/>
        <v>45777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7">
        <f t="shared" si="0"/>
        <v>45777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7">
        <f t="shared" si="0"/>
        <v>45777</v>
      </c>
      <c r="B31" s="42" t="s">
        <v>30</v>
      </c>
      <c r="C31" s="21"/>
      <c r="D31" s="22"/>
      <c r="E31" s="43">
        <f>E26+E27+E28+E29-E30</f>
        <v>3008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1" t="s">
        <v>34</v>
      </c>
      <c r="B35" s="51" t="s">
        <v>35</v>
      </c>
      <c r="C35" s="52">
        <v>56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1" t="s">
        <v>37</v>
      </c>
      <c r="B36" s="53" t="s">
        <v>38</v>
      </c>
      <c r="C36" s="54">
        <v>70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1" t="s">
        <v>40</v>
      </c>
      <c r="B37" s="55" t="s">
        <v>41</v>
      </c>
      <c r="C37" s="56">
        <v>0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1" t="s">
        <v>44</v>
      </c>
      <c r="B38" s="59" t="s">
        <v>45</v>
      </c>
      <c r="C38" s="60">
        <v>0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1" t="s">
        <v>48</v>
      </c>
      <c r="B39" s="55" t="s">
        <v>49</v>
      </c>
      <c r="C39" s="56">
        <v>1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1" t="s">
        <v>52</v>
      </c>
      <c r="B40" s="59" t="s">
        <v>53</v>
      </c>
      <c r="C40" s="60">
        <v>2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1" t="s">
        <v>56</v>
      </c>
      <c r="B41" s="57" t="s">
        <v>43</v>
      </c>
      <c r="C41" s="60">
        <v>0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1" t="s">
        <v>60</v>
      </c>
      <c r="B42" s="61" t="s">
        <v>47</v>
      </c>
      <c r="C42" s="60">
        <v>1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1" t="s">
        <v>65</v>
      </c>
      <c r="B43" s="63" t="s">
        <v>58</v>
      </c>
      <c r="C43" s="64">
        <f t="shared" ref="C43:C44" si="10">C35+C37+C39-C41</f>
        <v>57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1" t="s">
        <v>66</v>
      </c>
      <c r="B44" s="65" t="s">
        <v>62</v>
      </c>
      <c r="C44" s="66">
        <f t="shared" si="10"/>
        <v>71</v>
      </c>
      <c r="D44" s="2">
        <f>C44+C43</f>
        <v>128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69" t="s">
        <v>68</v>
      </c>
      <c r="C49" s="70">
        <f t="shared" ref="C49:C50" si="11">C43-I41-L41</f>
        <v>57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71" t="s">
        <v>69</v>
      </c>
      <c r="C50" s="70">
        <f t="shared" si="11"/>
        <v>71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63" t="s">
        <v>58</v>
      </c>
      <c r="C55" s="64">
        <f t="shared" ref="C55:C56" si="14">C49+C51+C53</f>
        <v>57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9"/>
      <c r="B56" s="65" t="s">
        <v>62</v>
      </c>
      <c r="C56" s="66">
        <f t="shared" si="14"/>
        <v>71</v>
      </c>
      <c r="D56" s="2">
        <f>C56+C55</f>
        <v>128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4"/>
  <sheetViews>
    <sheetView topLeftCell="G1" workbookViewId="0">
      <pane ySplit="5" topLeftCell="A125" activePane="bottomLeft" state="frozen"/>
      <selection pane="bottomLeft" activeCell="M73" sqref="M73"/>
    </sheetView>
  </sheetViews>
  <sheetFormatPr baseColWidth="10" defaultColWidth="14.5" defaultRowHeight="15" customHeight="1" x14ac:dyDescent="0.2"/>
  <cols>
    <col min="1" max="1" width="9.5" customWidth="1"/>
    <col min="2" max="2" width="7" customWidth="1"/>
    <col min="3" max="3" width="12.5" customWidth="1"/>
    <col min="4" max="4" width="12.83203125" customWidth="1"/>
    <col min="5" max="5" width="6.1640625" customWidth="1"/>
    <col min="6" max="6" width="13.5" customWidth="1"/>
    <col min="7" max="7" width="51.5" customWidth="1"/>
    <col min="8" max="8" width="14.1640625" customWidth="1"/>
    <col min="9" max="9" width="32" customWidth="1"/>
    <col min="10" max="10" width="13.5" customWidth="1"/>
    <col min="11" max="11" width="12.5" customWidth="1"/>
    <col min="12" max="12" width="11.6640625" customWidth="1"/>
    <col min="13" max="13" width="38.5" customWidth="1"/>
    <col min="14" max="14" width="6.6640625" customWidth="1"/>
    <col min="15" max="15" width="12.83203125" customWidth="1"/>
    <col min="16" max="16" width="3.1640625" customWidth="1"/>
    <col min="17" max="27" width="5.5" customWidth="1"/>
    <col min="28" max="46" width="8.83203125" customWidth="1"/>
  </cols>
  <sheetData>
    <row r="1" spans="1:48" ht="17.25" customHeight="1" x14ac:dyDescent="0.2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/>
      <c r="K1" s="79"/>
      <c r="L1" s="79"/>
      <c r="M1" s="79" t="str">
        <f>P!E1</f>
        <v>Due by: 5/1/25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2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45777</v>
      </c>
      <c r="N2" s="11"/>
      <c r="O2" s="80"/>
      <c r="P2" s="2"/>
      <c r="Q2" s="86" t="s">
        <v>88</v>
      </c>
      <c r="R2" s="87">
        <f>COUNTIFS(N6:N148,"=C",B6:B148,"=M")</f>
        <v>56</v>
      </c>
      <c r="S2" s="87">
        <f>COUNTIFS(N6:N153,"=N",B6:B153,"=M")</f>
        <v>1</v>
      </c>
      <c r="T2" s="87">
        <f>COUNTIFS(N6:N153,"=a",B6:B153,"=M")</f>
        <v>0</v>
      </c>
      <c r="U2" s="87">
        <f>COUNTIFS(N6:N149,"=F",B6:B149,"=M")</f>
        <v>0</v>
      </c>
      <c r="V2" s="87">
        <f>COUNTIFS(N6:N152,"=R",B6:B152,"=M")</f>
        <v>0</v>
      </c>
      <c r="W2" s="87">
        <f>COUNTIFS(N6:N153,"=IT",B6:B153,"=M")</f>
        <v>0</v>
      </c>
      <c r="X2" s="87">
        <f t="shared" ref="X2:X3" si="0">R2+T2+U2</f>
        <v>56</v>
      </c>
      <c r="Y2" s="87">
        <f t="shared" ref="Y2:Y3" si="1">R2+S2+U2+W2+V2</f>
        <v>57</v>
      </c>
      <c r="Z2" s="87">
        <f t="shared" ref="Z2:Z3" si="2">R2+S2+T2+U2+W2+V2</f>
        <v>57</v>
      </c>
      <c r="AA2" s="2"/>
      <c r="AB2" s="2">
        <f t="shared" ref="AB2:AB3" si="3">S2+V2+W2</f>
        <v>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2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89</v>
      </c>
      <c r="N3" s="11"/>
      <c r="O3" s="80"/>
      <c r="P3" s="2"/>
      <c r="Q3" s="81" t="s">
        <v>48</v>
      </c>
      <c r="R3" s="87">
        <f>COUNTIFS(N6:N148,"=C",B6:B148,"=E")</f>
        <v>69</v>
      </c>
      <c r="S3" s="87">
        <f>COUNTIFS(N6:N153,"=N",B6:B153,"=E")</f>
        <v>2</v>
      </c>
      <c r="T3" s="87">
        <f>COUNTIFS(N6:N153,"=a",B6:B153,"=e")</f>
        <v>1</v>
      </c>
      <c r="U3" s="87">
        <f>COUNTIFS(N6:N148,"=F",B6:B148,"=E")</f>
        <v>0</v>
      </c>
      <c r="V3" s="87">
        <f>COUNTIFS(N6:N153,"=R",B6:B153,"=E")</f>
        <v>0</v>
      </c>
      <c r="W3" s="87">
        <f>COUNTIFS(N6:N153,"=IT",B6:B153,"=E")</f>
        <v>0</v>
      </c>
      <c r="X3" s="87">
        <f t="shared" si="0"/>
        <v>70</v>
      </c>
      <c r="Y3" s="87">
        <f t="shared" si="1"/>
        <v>71</v>
      </c>
      <c r="Z3" s="87">
        <f t="shared" si="2"/>
        <v>72</v>
      </c>
      <c r="AA3" s="2"/>
      <c r="AB3" s="2">
        <f t="shared" si="3"/>
        <v>2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2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90</v>
      </c>
      <c r="R4" s="88">
        <f t="shared" ref="R4:Z4" si="4">R2+R3</f>
        <v>125</v>
      </c>
      <c r="S4" s="88">
        <f t="shared" si="4"/>
        <v>3</v>
      </c>
      <c r="T4" s="88">
        <f t="shared" si="4"/>
        <v>1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126</v>
      </c>
      <c r="Y4" s="88">
        <f t="shared" si="4"/>
        <v>128</v>
      </c>
      <c r="Z4" s="86">
        <f t="shared" si="4"/>
        <v>129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68" x14ac:dyDescent="0.2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89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>
        <f>Y4-X4</f>
        <v>2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 x14ac:dyDescent="0.2">
      <c r="A6" s="93">
        <v>1</v>
      </c>
      <c r="B6" s="88" t="s">
        <v>88</v>
      </c>
      <c r="C6" s="94" t="s">
        <v>105</v>
      </c>
      <c r="D6" s="94" t="s">
        <v>106</v>
      </c>
      <c r="E6" s="94">
        <v>6</v>
      </c>
      <c r="F6" s="95">
        <v>41507</v>
      </c>
      <c r="G6" s="94" t="s">
        <v>107</v>
      </c>
      <c r="H6" s="94">
        <v>4084894857</v>
      </c>
      <c r="I6" s="94" t="s">
        <v>108</v>
      </c>
      <c r="J6" s="95">
        <v>45704</v>
      </c>
      <c r="K6" s="94" t="s">
        <v>109</v>
      </c>
      <c r="L6" s="94">
        <v>11</v>
      </c>
      <c r="M6" s="94"/>
      <c r="N6" s="96" t="s">
        <v>40</v>
      </c>
      <c r="O6" s="9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98"/>
      <c r="AV6" s="98"/>
    </row>
    <row r="7" spans="1:48" ht="15" customHeight="1" x14ac:dyDescent="0.2">
      <c r="A7" s="93">
        <v>2</v>
      </c>
      <c r="B7" s="88" t="s">
        <v>48</v>
      </c>
      <c r="C7" s="94" t="s">
        <v>105</v>
      </c>
      <c r="D7" s="94" t="s">
        <v>106</v>
      </c>
      <c r="E7" s="94">
        <v>6</v>
      </c>
      <c r="F7" s="95">
        <v>41507</v>
      </c>
      <c r="G7" s="94" t="s">
        <v>107</v>
      </c>
      <c r="H7" s="94">
        <v>4084894857</v>
      </c>
      <c r="I7" s="94" t="s">
        <v>108</v>
      </c>
      <c r="J7" s="95">
        <v>45704</v>
      </c>
      <c r="K7" s="94" t="s">
        <v>110</v>
      </c>
      <c r="L7" s="94">
        <v>81</v>
      </c>
      <c r="M7" s="94"/>
      <c r="N7" s="96" t="s">
        <v>40</v>
      </c>
      <c r="O7" s="97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98"/>
      <c r="AV7" s="98"/>
    </row>
    <row r="8" spans="1:48" ht="15" customHeight="1" x14ac:dyDescent="0.2">
      <c r="A8" s="93">
        <v>3</v>
      </c>
      <c r="B8" s="88" t="s">
        <v>88</v>
      </c>
      <c r="C8" s="94" t="s">
        <v>111</v>
      </c>
      <c r="D8" s="94" t="s">
        <v>112</v>
      </c>
      <c r="E8" s="94">
        <v>5</v>
      </c>
      <c r="F8" s="95" t="s">
        <v>113</v>
      </c>
      <c r="G8" s="94" t="s">
        <v>114</v>
      </c>
      <c r="H8" s="94">
        <v>4027071083</v>
      </c>
      <c r="I8" s="94" t="s">
        <v>115</v>
      </c>
      <c r="J8" s="95" t="s">
        <v>116</v>
      </c>
      <c r="K8" s="94" t="s">
        <v>117</v>
      </c>
      <c r="L8" s="94">
        <v>81</v>
      </c>
      <c r="M8" s="94"/>
      <c r="N8" s="96" t="s">
        <v>40</v>
      </c>
      <c r="O8" s="9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98"/>
      <c r="AV8" s="98"/>
    </row>
    <row r="9" spans="1:48" ht="15" customHeight="1" x14ac:dyDescent="0.2">
      <c r="A9" s="93">
        <v>4</v>
      </c>
      <c r="B9" s="88" t="s">
        <v>88</v>
      </c>
      <c r="C9" s="94" t="s">
        <v>118</v>
      </c>
      <c r="D9" s="94" t="s">
        <v>119</v>
      </c>
      <c r="E9" s="94">
        <v>5</v>
      </c>
      <c r="F9" s="95" t="s">
        <v>120</v>
      </c>
      <c r="G9" s="94" t="s">
        <v>121</v>
      </c>
      <c r="H9" s="94">
        <v>5103665279</v>
      </c>
      <c r="I9" s="94" t="s">
        <v>122</v>
      </c>
      <c r="J9" s="95" t="s">
        <v>123</v>
      </c>
      <c r="K9" s="94" t="s">
        <v>124</v>
      </c>
      <c r="L9" s="94">
        <v>71</v>
      </c>
      <c r="M9" s="94"/>
      <c r="N9" s="96" t="s">
        <v>40</v>
      </c>
      <c r="O9" s="9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98"/>
      <c r="AV9" s="98"/>
    </row>
    <row r="10" spans="1:48" ht="15" customHeight="1" x14ac:dyDescent="0.2">
      <c r="A10" s="93">
        <v>5</v>
      </c>
      <c r="B10" s="88" t="s">
        <v>48</v>
      </c>
      <c r="C10" s="94" t="s">
        <v>118</v>
      </c>
      <c r="D10" s="94" t="s">
        <v>119</v>
      </c>
      <c r="E10" s="94">
        <v>5</v>
      </c>
      <c r="F10" s="95" t="s">
        <v>120</v>
      </c>
      <c r="G10" s="94" t="s">
        <v>121</v>
      </c>
      <c r="H10" s="94">
        <v>5103665279</v>
      </c>
      <c r="I10" s="94" t="s">
        <v>122</v>
      </c>
      <c r="J10" s="95">
        <v>45536</v>
      </c>
      <c r="K10" s="94" t="s">
        <v>110</v>
      </c>
      <c r="L10" s="94">
        <v>91</v>
      </c>
      <c r="M10" s="94"/>
      <c r="N10" s="96" t="s">
        <v>40</v>
      </c>
      <c r="O10" s="9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98"/>
      <c r="AV10" s="98"/>
    </row>
    <row r="11" spans="1:48" ht="15" customHeight="1" x14ac:dyDescent="0.2">
      <c r="A11" s="93">
        <v>6</v>
      </c>
      <c r="B11" s="88" t="s">
        <v>48</v>
      </c>
      <c r="C11" s="94" t="s">
        <v>118</v>
      </c>
      <c r="D11" s="94" t="s">
        <v>125</v>
      </c>
      <c r="E11" s="94">
        <v>1</v>
      </c>
      <c r="F11" s="95">
        <v>43199</v>
      </c>
      <c r="G11" s="94" t="s">
        <v>126</v>
      </c>
      <c r="H11" s="94">
        <v>6503046747</v>
      </c>
      <c r="I11" s="94" t="s">
        <v>127</v>
      </c>
      <c r="J11" s="95">
        <v>45572</v>
      </c>
      <c r="K11" s="94" t="s">
        <v>128</v>
      </c>
      <c r="L11" s="94">
        <v>66</v>
      </c>
      <c r="M11" s="94"/>
      <c r="N11" s="96" t="s">
        <v>40</v>
      </c>
      <c r="O11" s="9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98"/>
      <c r="AV11" s="98"/>
    </row>
    <row r="12" spans="1:48" ht="15" customHeight="1" x14ac:dyDescent="0.2">
      <c r="A12" s="93">
        <v>7</v>
      </c>
      <c r="B12" s="88" t="s">
        <v>88</v>
      </c>
      <c r="C12" s="94" t="s">
        <v>118</v>
      </c>
      <c r="D12" s="94" t="s">
        <v>125</v>
      </c>
      <c r="E12" s="94">
        <v>1</v>
      </c>
      <c r="F12" s="95">
        <v>43200</v>
      </c>
      <c r="G12" s="94" t="s">
        <v>129</v>
      </c>
      <c r="H12" s="94">
        <v>6503046747</v>
      </c>
      <c r="I12" s="94" t="s">
        <v>127</v>
      </c>
      <c r="J12" s="95">
        <v>45673</v>
      </c>
      <c r="K12" s="94" t="s">
        <v>130</v>
      </c>
      <c r="L12" s="94">
        <v>31</v>
      </c>
      <c r="M12" s="94"/>
      <c r="N12" s="96" t="s">
        <v>40</v>
      </c>
      <c r="O12" s="9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98"/>
      <c r="AV12" s="98"/>
    </row>
    <row r="13" spans="1:48" ht="15" customHeight="1" x14ac:dyDescent="0.2">
      <c r="A13" s="93">
        <v>8</v>
      </c>
      <c r="B13" s="88" t="s">
        <v>48</v>
      </c>
      <c r="C13" s="94" t="s">
        <v>131</v>
      </c>
      <c r="D13" s="94" t="s">
        <v>132</v>
      </c>
      <c r="E13" s="94">
        <v>2</v>
      </c>
      <c r="F13" s="95" t="s">
        <v>133</v>
      </c>
      <c r="G13" s="94" t="s">
        <v>134</v>
      </c>
      <c r="H13" s="94">
        <v>5623488522</v>
      </c>
      <c r="I13" s="94" t="s">
        <v>135</v>
      </c>
      <c r="J13" s="95" t="s">
        <v>136</v>
      </c>
      <c r="K13" s="94" t="s">
        <v>137</v>
      </c>
      <c r="L13" s="94">
        <v>31</v>
      </c>
      <c r="M13" s="94"/>
      <c r="N13" s="96" t="s">
        <v>40</v>
      </c>
      <c r="O13" s="9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98"/>
      <c r="AV13" s="98"/>
    </row>
    <row r="14" spans="1:48" ht="15" customHeight="1" x14ac:dyDescent="0.2">
      <c r="A14" s="93">
        <v>9</v>
      </c>
      <c r="B14" s="88" t="s">
        <v>88</v>
      </c>
      <c r="C14" s="94" t="s">
        <v>131</v>
      </c>
      <c r="D14" s="94" t="s">
        <v>132</v>
      </c>
      <c r="E14" s="94">
        <v>2</v>
      </c>
      <c r="F14" s="95" t="s">
        <v>133</v>
      </c>
      <c r="G14" s="94" t="s">
        <v>134</v>
      </c>
      <c r="H14" s="94">
        <v>5623488522</v>
      </c>
      <c r="I14" s="94" t="s">
        <v>135</v>
      </c>
      <c r="J14" s="95" t="s">
        <v>136</v>
      </c>
      <c r="K14" s="94" t="s">
        <v>138</v>
      </c>
      <c r="L14" s="94">
        <v>6</v>
      </c>
      <c r="M14" s="94"/>
      <c r="N14" s="96" t="s">
        <v>40</v>
      </c>
      <c r="O14" s="9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98"/>
      <c r="AV14" s="98"/>
    </row>
    <row r="15" spans="1:48" ht="15" customHeight="1" x14ac:dyDescent="0.2">
      <c r="A15" s="93">
        <v>10</v>
      </c>
      <c r="B15" s="93" t="s">
        <v>48</v>
      </c>
      <c r="C15" s="99" t="s">
        <v>139</v>
      </c>
      <c r="D15" s="99" t="s">
        <v>140</v>
      </c>
      <c r="E15" s="99">
        <v>1</v>
      </c>
      <c r="F15" s="100">
        <v>43285</v>
      </c>
      <c r="G15" s="101" t="s">
        <v>141</v>
      </c>
      <c r="H15" s="101">
        <v>8584722267</v>
      </c>
      <c r="I15" s="101" t="s">
        <v>142</v>
      </c>
      <c r="J15" s="95">
        <v>45717</v>
      </c>
      <c r="K15" s="99" t="s">
        <v>143</v>
      </c>
      <c r="L15" s="99">
        <v>46</v>
      </c>
      <c r="M15" s="94" t="s">
        <v>144</v>
      </c>
      <c r="N15" s="96" t="s">
        <v>40</v>
      </c>
      <c r="O15" s="102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98"/>
      <c r="AV15" s="98"/>
    </row>
    <row r="16" spans="1:48" ht="15" customHeight="1" x14ac:dyDescent="0.2">
      <c r="A16" s="93">
        <v>11</v>
      </c>
      <c r="B16" s="93" t="s">
        <v>88</v>
      </c>
      <c r="C16" s="99" t="s">
        <v>139</v>
      </c>
      <c r="D16" s="99" t="s">
        <v>140</v>
      </c>
      <c r="E16" s="99">
        <v>1</v>
      </c>
      <c r="F16" s="100">
        <v>43285</v>
      </c>
      <c r="G16" s="101" t="s">
        <v>145</v>
      </c>
      <c r="H16" s="101">
        <v>8584722267</v>
      </c>
      <c r="I16" s="101" t="s">
        <v>142</v>
      </c>
      <c r="J16" s="95">
        <v>45717</v>
      </c>
      <c r="K16" s="99" t="s">
        <v>146</v>
      </c>
      <c r="L16" s="99">
        <v>86</v>
      </c>
      <c r="M16" s="94"/>
      <c r="N16" s="96" t="s">
        <v>40</v>
      </c>
      <c r="O16" s="102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98"/>
      <c r="AV16" s="98"/>
    </row>
    <row r="17" spans="1:48" ht="15" customHeight="1" x14ac:dyDescent="0.2">
      <c r="A17" s="93">
        <v>12</v>
      </c>
      <c r="B17" s="88" t="s">
        <v>48</v>
      </c>
      <c r="C17" s="94" t="s">
        <v>147</v>
      </c>
      <c r="D17" s="94" t="s">
        <v>148</v>
      </c>
      <c r="E17" s="94">
        <v>1</v>
      </c>
      <c r="F17" s="95">
        <v>43091</v>
      </c>
      <c r="G17" s="94" t="s">
        <v>149</v>
      </c>
      <c r="H17" s="94">
        <v>6509967701</v>
      </c>
      <c r="I17" s="94" t="s">
        <v>150</v>
      </c>
      <c r="J17" s="95">
        <v>45537</v>
      </c>
      <c r="K17" s="94" t="s">
        <v>151</v>
      </c>
      <c r="L17" s="94">
        <v>26</v>
      </c>
      <c r="M17" s="94"/>
      <c r="N17" s="96" t="s">
        <v>40</v>
      </c>
      <c r="O17" s="9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98"/>
      <c r="AV17" s="98"/>
    </row>
    <row r="18" spans="1:48" ht="15" customHeight="1" x14ac:dyDescent="0.2">
      <c r="A18" s="93">
        <v>13</v>
      </c>
      <c r="B18" s="88" t="s">
        <v>88</v>
      </c>
      <c r="C18" s="94" t="s">
        <v>147</v>
      </c>
      <c r="D18" s="94" t="s">
        <v>148</v>
      </c>
      <c r="E18" s="94">
        <v>1</v>
      </c>
      <c r="F18" s="95">
        <v>43091</v>
      </c>
      <c r="G18" s="94" t="s">
        <v>149</v>
      </c>
      <c r="H18" s="94">
        <v>6509967701</v>
      </c>
      <c r="I18" s="94" t="s">
        <v>150</v>
      </c>
      <c r="J18" s="95">
        <v>45537</v>
      </c>
      <c r="K18" s="94" t="s">
        <v>152</v>
      </c>
      <c r="L18" s="94">
        <v>66</v>
      </c>
      <c r="M18" s="94"/>
      <c r="N18" s="96" t="s">
        <v>40</v>
      </c>
      <c r="O18" s="9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98"/>
      <c r="AV18" s="98"/>
    </row>
    <row r="19" spans="1:48" ht="15" customHeight="1" x14ac:dyDescent="0.2">
      <c r="A19" s="93">
        <v>14</v>
      </c>
      <c r="B19" s="88" t="s">
        <v>48</v>
      </c>
      <c r="C19" s="94" t="s">
        <v>147</v>
      </c>
      <c r="D19" s="94" t="s">
        <v>153</v>
      </c>
      <c r="E19" s="94" t="s">
        <v>154</v>
      </c>
      <c r="F19" s="95" t="s">
        <v>155</v>
      </c>
      <c r="G19" s="94" t="s">
        <v>156</v>
      </c>
      <c r="H19" s="94">
        <v>2177211536</v>
      </c>
      <c r="I19" s="94" t="s">
        <v>157</v>
      </c>
      <c r="J19" s="95" t="s">
        <v>158</v>
      </c>
      <c r="K19" s="94" t="s">
        <v>159</v>
      </c>
      <c r="L19" s="94">
        <v>66</v>
      </c>
      <c r="M19" s="94"/>
      <c r="N19" s="96" t="s">
        <v>40</v>
      </c>
      <c r="O19" s="9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98"/>
      <c r="AV19" s="98"/>
    </row>
    <row r="20" spans="1:48" ht="15" customHeight="1" x14ac:dyDescent="0.2">
      <c r="A20" s="93">
        <v>15</v>
      </c>
      <c r="B20" s="88" t="s">
        <v>88</v>
      </c>
      <c r="C20" s="94" t="s">
        <v>147</v>
      </c>
      <c r="D20" s="94" t="s">
        <v>153</v>
      </c>
      <c r="E20" s="94" t="s">
        <v>154</v>
      </c>
      <c r="F20" s="95" t="s">
        <v>155</v>
      </c>
      <c r="G20" s="94" t="s">
        <v>156</v>
      </c>
      <c r="H20" s="94">
        <v>2177211536</v>
      </c>
      <c r="I20" s="94" t="s">
        <v>157</v>
      </c>
      <c r="J20" s="95" t="s">
        <v>158</v>
      </c>
      <c r="K20" s="94" t="s">
        <v>160</v>
      </c>
      <c r="L20" s="94">
        <v>48</v>
      </c>
      <c r="M20" s="94"/>
      <c r="N20" s="96" t="s">
        <v>40</v>
      </c>
      <c r="O20" s="9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98"/>
      <c r="AV20" s="98"/>
    </row>
    <row r="21" spans="1:48" ht="15" customHeight="1" x14ac:dyDescent="0.2">
      <c r="A21" s="93">
        <v>16</v>
      </c>
      <c r="B21" s="88" t="s">
        <v>48</v>
      </c>
      <c r="C21" s="94" t="s">
        <v>147</v>
      </c>
      <c r="D21" s="94" t="s">
        <v>161</v>
      </c>
      <c r="E21" s="94">
        <v>3</v>
      </c>
      <c r="F21" s="95">
        <v>42436</v>
      </c>
      <c r="G21" s="94" t="s">
        <v>162</v>
      </c>
      <c r="H21" s="94">
        <v>6505245558</v>
      </c>
      <c r="I21" s="94" t="s">
        <v>163</v>
      </c>
      <c r="J21" s="95">
        <v>45658</v>
      </c>
      <c r="K21" s="94" t="s">
        <v>151</v>
      </c>
      <c r="L21" s="94">
        <v>11</v>
      </c>
      <c r="M21" s="94" t="s">
        <v>144</v>
      </c>
      <c r="N21" s="96" t="s">
        <v>40</v>
      </c>
      <c r="O21" s="9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98"/>
      <c r="AV21" s="98"/>
    </row>
    <row r="22" spans="1:48" ht="15" customHeight="1" x14ac:dyDescent="0.2">
      <c r="A22" s="93">
        <v>17</v>
      </c>
      <c r="B22" s="88" t="s">
        <v>48</v>
      </c>
      <c r="C22" s="94" t="s">
        <v>147</v>
      </c>
      <c r="D22" s="94" t="s">
        <v>164</v>
      </c>
      <c r="E22" s="94">
        <v>2</v>
      </c>
      <c r="F22" s="95">
        <v>42989</v>
      </c>
      <c r="G22" s="94" t="s">
        <v>165</v>
      </c>
      <c r="H22" s="94">
        <v>4082104112</v>
      </c>
      <c r="I22" s="94" t="s">
        <v>166</v>
      </c>
      <c r="J22" s="95">
        <v>45537</v>
      </c>
      <c r="K22" s="94" t="s">
        <v>167</v>
      </c>
      <c r="L22" s="94">
        <v>15</v>
      </c>
      <c r="M22" s="94"/>
      <c r="N22" s="96" t="s">
        <v>40</v>
      </c>
      <c r="O22" s="9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98"/>
      <c r="AV22" s="98"/>
    </row>
    <row r="23" spans="1:48" ht="15" customHeight="1" x14ac:dyDescent="0.2">
      <c r="A23" s="93">
        <v>18</v>
      </c>
      <c r="B23" s="88" t="s">
        <v>48</v>
      </c>
      <c r="C23" s="94" t="s">
        <v>168</v>
      </c>
      <c r="D23" s="94" t="s">
        <v>169</v>
      </c>
      <c r="E23" s="94">
        <v>1</v>
      </c>
      <c r="F23" s="95" t="s">
        <v>170</v>
      </c>
      <c r="G23" s="94" t="s">
        <v>171</v>
      </c>
      <c r="H23" s="94">
        <v>6282247551</v>
      </c>
      <c r="I23" s="94" t="s">
        <v>172</v>
      </c>
      <c r="J23" s="95" t="s">
        <v>173</v>
      </c>
      <c r="K23" s="94" t="s">
        <v>167</v>
      </c>
      <c r="L23" s="94">
        <v>6</v>
      </c>
      <c r="M23" s="94"/>
      <c r="N23" s="96" t="s">
        <v>40</v>
      </c>
      <c r="O23" s="9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98"/>
      <c r="AV23" s="98"/>
    </row>
    <row r="24" spans="1:48" ht="15" customHeight="1" x14ac:dyDescent="0.2">
      <c r="A24" s="93">
        <v>19</v>
      </c>
      <c r="B24" s="88" t="s">
        <v>88</v>
      </c>
      <c r="C24" s="94" t="s">
        <v>168</v>
      </c>
      <c r="D24" s="94" t="s">
        <v>169</v>
      </c>
      <c r="E24" s="94">
        <v>1</v>
      </c>
      <c r="F24" s="95" t="s">
        <v>170</v>
      </c>
      <c r="G24" s="94" t="s">
        <v>171</v>
      </c>
      <c r="H24" s="94">
        <v>6282247551</v>
      </c>
      <c r="I24" s="94" t="s">
        <v>172</v>
      </c>
      <c r="J24" s="95" t="s">
        <v>173</v>
      </c>
      <c r="K24" s="94" t="s">
        <v>160</v>
      </c>
      <c r="L24" s="94">
        <v>20</v>
      </c>
      <c r="M24" s="94" t="s">
        <v>174</v>
      </c>
      <c r="N24" s="96" t="s">
        <v>40</v>
      </c>
      <c r="O24" s="9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98"/>
      <c r="AV24" s="98"/>
    </row>
    <row r="25" spans="1:48" ht="15" customHeight="1" x14ac:dyDescent="0.2">
      <c r="A25" s="93">
        <v>20</v>
      </c>
      <c r="B25" s="88" t="s">
        <v>48</v>
      </c>
      <c r="C25" s="94" t="s">
        <v>175</v>
      </c>
      <c r="D25" s="94" t="s">
        <v>176</v>
      </c>
      <c r="E25" s="94">
        <v>4</v>
      </c>
      <c r="F25" s="95" t="s">
        <v>177</v>
      </c>
      <c r="G25" s="94" t="s">
        <v>178</v>
      </c>
      <c r="H25" s="94">
        <v>3415296214</v>
      </c>
      <c r="I25" s="94" t="s">
        <v>179</v>
      </c>
      <c r="J25" s="95" t="s">
        <v>180</v>
      </c>
      <c r="K25" s="94" t="s">
        <v>181</v>
      </c>
      <c r="L25" s="94">
        <v>66</v>
      </c>
      <c r="M25" s="94"/>
      <c r="N25" s="96" t="s">
        <v>40</v>
      </c>
      <c r="O25" s="9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98"/>
      <c r="AV25" s="98"/>
    </row>
    <row r="26" spans="1:48" ht="15" customHeight="1" x14ac:dyDescent="0.2">
      <c r="A26" s="93">
        <v>21</v>
      </c>
      <c r="B26" s="88" t="s">
        <v>88</v>
      </c>
      <c r="C26" s="94" t="s">
        <v>175</v>
      </c>
      <c r="D26" s="94" t="s">
        <v>176</v>
      </c>
      <c r="E26" s="94">
        <v>4</v>
      </c>
      <c r="F26" s="95" t="s">
        <v>177</v>
      </c>
      <c r="G26" s="94" t="s">
        <v>178</v>
      </c>
      <c r="H26" s="94">
        <v>3415296214</v>
      </c>
      <c r="I26" s="94" t="s">
        <v>179</v>
      </c>
      <c r="J26" s="95" t="s">
        <v>180</v>
      </c>
      <c r="K26" s="94" t="s">
        <v>182</v>
      </c>
      <c r="L26" s="94">
        <v>6</v>
      </c>
      <c r="M26" s="94"/>
      <c r="N26" s="96" t="s">
        <v>40</v>
      </c>
      <c r="O26" s="9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98"/>
      <c r="AV26" s="98"/>
    </row>
    <row r="27" spans="1:48" ht="15" customHeight="1" x14ac:dyDescent="0.2">
      <c r="A27" s="93">
        <v>22</v>
      </c>
      <c r="B27" s="88" t="s">
        <v>48</v>
      </c>
      <c r="C27" s="94" t="s">
        <v>183</v>
      </c>
      <c r="D27" s="94" t="s">
        <v>184</v>
      </c>
      <c r="E27" s="94">
        <v>1</v>
      </c>
      <c r="F27" s="95">
        <v>43107</v>
      </c>
      <c r="G27" s="94" t="s">
        <v>185</v>
      </c>
      <c r="H27" s="94">
        <v>6692516113</v>
      </c>
      <c r="I27" s="94" t="s">
        <v>186</v>
      </c>
      <c r="J27" s="95">
        <v>45566</v>
      </c>
      <c r="K27" s="94" t="s">
        <v>187</v>
      </c>
      <c r="L27" s="94">
        <v>16</v>
      </c>
      <c r="M27" s="94"/>
      <c r="N27" s="96" t="s">
        <v>40</v>
      </c>
      <c r="O27" s="9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98"/>
      <c r="AV27" s="98"/>
    </row>
    <row r="28" spans="1:48" ht="15" customHeight="1" x14ac:dyDescent="0.2">
      <c r="A28" s="93">
        <v>23</v>
      </c>
      <c r="B28" s="88" t="s">
        <v>48</v>
      </c>
      <c r="C28" s="94" t="s">
        <v>188</v>
      </c>
      <c r="D28" s="94" t="s">
        <v>189</v>
      </c>
      <c r="E28" s="94">
        <v>4</v>
      </c>
      <c r="F28" s="95" t="s">
        <v>190</v>
      </c>
      <c r="G28" s="94" t="s">
        <v>191</v>
      </c>
      <c r="H28" s="94">
        <v>5102602020</v>
      </c>
      <c r="I28" s="94" t="s">
        <v>192</v>
      </c>
      <c r="J28" s="95" t="s">
        <v>193</v>
      </c>
      <c r="K28" s="94" t="s">
        <v>194</v>
      </c>
      <c r="L28" s="94">
        <v>36</v>
      </c>
      <c r="M28" s="94"/>
      <c r="N28" s="96" t="s">
        <v>40</v>
      </c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98"/>
      <c r="AV28" s="98"/>
    </row>
    <row r="29" spans="1:48" ht="15" customHeight="1" x14ac:dyDescent="0.2">
      <c r="A29" s="93">
        <v>24</v>
      </c>
      <c r="B29" s="88" t="s">
        <v>88</v>
      </c>
      <c r="C29" s="94" t="s">
        <v>188</v>
      </c>
      <c r="D29" s="94" t="s">
        <v>189</v>
      </c>
      <c r="E29" s="94">
        <v>4</v>
      </c>
      <c r="F29" s="95" t="s">
        <v>190</v>
      </c>
      <c r="G29" s="94" t="s">
        <v>191</v>
      </c>
      <c r="H29" s="94">
        <v>5102602020</v>
      </c>
      <c r="I29" s="94" t="s">
        <v>192</v>
      </c>
      <c r="J29" s="95" t="s">
        <v>193</v>
      </c>
      <c r="K29" s="94" t="s">
        <v>109</v>
      </c>
      <c r="L29" s="94">
        <v>46</v>
      </c>
      <c r="M29" s="94"/>
      <c r="N29" s="96" t="s">
        <v>40</v>
      </c>
      <c r="O29" s="9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98"/>
      <c r="AV29" s="98"/>
    </row>
    <row r="30" spans="1:48" ht="15" customHeight="1" x14ac:dyDescent="0.2">
      <c r="A30" s="93">
        <v>25</v>
      </c>
      <c r="B30" s="104" t="s">
        <v>48</v>
      </c>
      <c r="C30" s="94" t="s">
        <v>195</v>
      </c>
      <c r="D30" s="94" t="s">
        <v>196</v>
      </c>
      <c r="E30" s="94" t="s">
        <v>154</v>
      </c>
      <c r="F30" s="95">
        <v>43556</v>
      </c>
      <c r="G30" s="94" t="s">
        <v>197</v>
      </c>
      <c r="H30" s="94">
        <v>2147624191</v>
      </c>
      <c r="I30" s="94" t="s">
        <v>198</v>
      </c>
      <c r="J30" s="95">
        <v>45740</v>
      </c>
      <c r="K30" s="94" t="s">
        <v>199</v>
      </c>
      <c r="L30" s="94">
        <v>71</v>
      </c>
      <c r="M30" s="99"/>
      <c r="N30" s="96" t="s">
        <v>40</v>
      </c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98"/>
      <c r="AV30" s="98"/>
    </row>
    <row r="31" spans="1:48" ht="15" customHeight="1" x14ac:dyDescent="0.2">
      <c r="A31" s="93">
        <v>26</v>
      </c>
      <c r="B31" s="104" t="s">
        <v>88</v>
      </c>
      <c r="C31" s="94" t="s">
        <v>200</v>
      </c>
      <c r="D31" s="94" t="s">
        <v>196</v>
      </c>
      <c r="E31" s="94" t="s">
        <v>154</v>
      </c>
      <c r="F31" s="95">
        <v>43556</v>
      </c>
      <c r="G31" s="94" t="s">
        <v>197</v>
      </c>
      <c r="H31" s="94">
        <v>2147624191</v>
      </c>
      <c r="I31" s="94" t="s">
        <v>198</v>
      </c>
      <c r="J31" s="95">
        <v>45740</v>
      </c>
      <c r="K31" s="94" t="s">
        <v>201</v>
      </c>
      <c r="L31" s="94">
        <v>41</v>
      </c>
      <c r="M31" s="99"/>
      <c r="N31" s="96" t="s">
        <v>40</v>
      </c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98"/>
      <c r="AV31" s="98"/>
    </row>
    <row r="32" spans="1:48" ht="15" customHeight="1" x14ac:dyDescent="0.2">
      <c r="A32" s="93">
        <v>27</v>
      </c>
      <c r="B32" s="88" t="s">
        <v>48</v>
      </c>
      <c r="C32" s="94" t="s">
        <v>202</v>
      </c>
      <c r="D32" s="94" t="s">
        <v>203</v>
      </c>
      <c r="E32" s="94">
        <v>6</v>
      </c>
      <c r="F32" s="95">
        <v>41275</v>
      </c>
      <c r="G32" s="94" t="s">
        <v>204</v>
      </c>
      <c r="H32" s="94">
        <v>4085120113</v>
      </c>
      <c r="I32" s="94" t="s">
        <v>205</v>
      </c>
      <c r="J32" s="95">
        <v>45689</v>
      </c>
      <c r="K32" s="94" t="s">
        <v>194</v>
      </c>
      <c r="L32" s="94">
        <v>16</v>
      </c>
      <c r="M32" s="94"/>
      <c r="N32" s="96" t="s">
        <v>40</v>
      </c>
      <c r="O32" s="9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98"/>
      <c r="AV32" s="98"/>
    </row>
    <row r="33" spans="1:48" ht="15" customHeight="1" x14ac:dyDescent="0.2">
      <c r="A33" s="93">
        <v>28</v>
      </c>
      <c r="B33" s="88" t="s">
        <v>48</v>
      </c>
      <c r="C33" s="94" t="s">
        <v>206</v>
      </c>
      <c r="D33" s="94" t="s">
        <v>207</v>
      </c>
      <c r="E33" s="94">
        <v>4</v>
      </c>
      <c r="F33" s="95">
        <v>42277</v>
      </c>
      <c r="G33" s="94" t="s">
        <v>208</v>
      </c>
      <c r="H33" s="94">
        <v>3472777326</v>
      </c>
      <c r="I33" s="94" t="s">
        <v>209</v>
      </c>
      <c r="J33" s="95">
        <v>45536</v>
      </c>
      <c r="K33" s="94" t="s">
        <v>181</v>
      </c>
      <c r="L33" s="94">
        <v>103</v>
      </c>
      <c r="M33" s="94"/>
      <c r="N33" s="96" t="s">
        <v>40</v>
      </c>
      <c r="O33" s="9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98"/>
      <c r="AV33" s="98"/>
    </row>
    <row r="34" spans="1:48" ht="15" customHeight="1" x14ac:dyDescent="0.2">
      <c r="A34" s="93">
        <v>29</v>
      </c>
      <c r="B34" s="88" t="s">
        <v>88</v>
      </c>
      <c r="C34" s="94" t="s">
        <v>206</v>
      </c>
      <c r="D34" s="94" t="s">
        <v>207</v>
      </c>
      <c r="E34" s="94">
        <v>4</v>
      </c>
      <c r="F34" s="95">
        <v>42277</v>
      </c>
      <c r="G34" s="94" t="s">
        <v>208</v>
      </c>
      <c r="H34" s="94">
        <v>3472777326</v>
      </c>
      <c r="I34" s="94" t="s">
        <v>209</v>
      </c>
      <c r="J34" s="95">
        <v>45536</v>
      </c>
      <c r="K34" s="94" t="s">
        <v>109</v>
      </c>
      <c r="L34" s="94">
        <v>35</v>
      </c>
      <c r="M34" s="94"/>
      <c r="N34" s="96" t="s">
        <v>40</v>
      </c>
      <c r="O34" s="9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98"/>
      <c r="AV34" s="98"/>
    </row>
    <row r="35" spans="1:48" ht="15" customHeight="1" x14ac:dyDescent="0.2">
      <c r="A35" s="93">
        <v>30</v>
      </c>
      <c r="B35" s="88" t="s">
        <v>48</v>
      </c>
      <c r="C35" s="94" t="s">
        <v>206</v>
      </c>
      <c r="D35" s="94" t="s">
        <v>210</v>
      </c>
      <c r="E35" s="94">
        <v>1</v>
      </c>
      <c r="F35" s="95">
        <v>43431</v>
      </c>
      <c r="G35" s="94" t="s">
        <v>211</v>
      </c>
      <c r="H35" s="94">
        <v>3472777326</v>
      </c>
      <c r="I35" s="94" t="s">
        <v>209</v>
      </c>
      <c r="J35" s="95">
        <v>45536</v>
      </c>
      <c r="K35" s="94" t="s">
        <v>137</v>
      </c>
      <c r="L35" s="94">
        <v>5</v>
      </c>
      <c r="M35" s="94"/>
      <c r="N35" s="96" t="s">
        <v>40</v>
      </c>
      <c r="O35" s="9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98"/>
      <c r="AV35" s="98"/>
    </row>
    <row r="36" spans="1:48" ht="15" customHeight="1" x14ac:dyDescent="0.2">
      <c r="A36" s="93">
        <v>31</v>
      </c>
      <c r="B36" s="88" t="s">
        <v>88</v>
      </c>
      <c r="C36" s="94" t="s">
        <v>206</v>
      </c>
      <c r="D36" s="94" t="s">
        <v>210</v>
      </c>
      <c r="E36" s="94">
        <v>1</v>
      </c>
      <c r="F36" s="95">
        <v>43431</v>
      </c>
      <c r="G36" s="94" t="s">
        <v>211</v>
      </c>
      <c r="H36" s="94">
        <v>3472777326</v>
      </c>
      <c r="I36" s="94" t="s">
        <v>209</v>
      </c>
      <c r="J36" s="95">
        <v>45536</v>
      </c>
      <c r="K36" s="94" t="s">
        <v>152</v>
      </c>
      <c r="L36" s="94">
        <v>5</v>
      </c>
      <c r="M36" s="94"/>
      <c r="N36" s="96" t="s">
        <v>40</v>
      </c>
      <c r="O36" s="9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98"/>
      <c r="AV36" s="98"/>
    </row>
    <row r="37" spans="1:48" ht="15" customHeight="1" x14ac:dyDescent="0.2">
      <c r="A37" s="93">
        <v>32</v>
      </c>
      <c r="B37" s="88" t="s">
        <v>48</v>
      </c>
      <c r="C37" s="94" t="s">
        <v>212</v>
      </c>
      <c r="D37" s="94" t="s">
        <v>213</v>
      </c>
      <c r="E37" s="94" t="s">
        <v>214</v>
      </c>
      <c r="F37" s="95" t="s">
        <v>215</v>
      </c>
      <c r="G37" s="94" t="s">
        <v>216</v>
      </c>
      <c r="H37" s="94">
        <v>6176765481</v>
      </c>
      <c r="I37" s="94" t="s">
        <v>217</v>
      </c>
      <c r="J37" s="95">
        <v>45689</v>
      </c>
      <c r="K37" s="94" t="s">
        <v>146</v>
      </c>
      <c r="L37" s="94">
        <v>45</v>
      </c>
      <c r="M37" s="94"/>
      <c r="N37" s="96" t="s">
        <v>40</v>
      </c>
      <c r="O37" s="9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98"/>
      <c r="AV37" s="98"/>
    </row>
    <row r="38" spans="1:48" ht="15" customHeight="1" x14ac:dyDescent="0.2">
      <c r="A38" s="93">
        <v>33</v>
      </c>
      <c r="B38" s="88" t="s">
        <v>88</v>
      </c>
      <c r="C38" s="94" t="s">
        <v>212</v>
      </c>
      <c r="D38" s="94" t="s">
        <v>213</v>
      </c>
      <c r="E38" s="94" t="s">
        <v>214</v>
      </c>
      <c r="F38" s="95" t="s">
        <v>215</v>
      </c>
      <c r="G38" s="94" t="s">
        <v>216</v>
      </c>
      <c r="H38" s="94">
        <v>6176765481</v>
      </c>
      <c r="I38" s="94" t="s">
        <v>217</v>
      </c>
      <c r="J38" s="95">
        <v>45689</v>
      </c>
      <c r="K38" s="94" t="s">
        <v>218</v>
      </c>
      <c r="L38" s="94">
        <v>101</v>
      </c>
      <c r="M38" s="94"/>
      <c r="N38" s="96" t="s">
        <v>40</v>
      </c>
      <c r="O38" s="9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98"/>
      <c r="AV38" s="98"/>
    </row>
    <row r="39" spans="1:48" ht="15" customHeight="1" x14ac:dyDescent="0.2">
      <c r="A39" s="93">
        <v>34</v>
      </c>
      <c r="B39" s="88" t="s">
        <v>48</v>
      </c>
      <c r="C39" s="94" t="s">
        <v>219</v>
      </c>
      <c r="D39" s="94" t="s">
        <v>220</v>
      </c>
      <c r="E39" s="94">
        <v>2</v>
      </c>
      <c r="F39" s="95">
        <v>42045</v>
      </c>
      <c r="G39" s="94" t="s">
        <v>221</v>
      </c>
      <c r="H39" s="94">
        <v>6692138834</v>
      </c>
      <c r="I39" s="94" t="s">
        <v>222</v>
      </c>
      <c r="J39" s="95">
        <v>45293</v>
      </c>
      <c r="K39" s="94" t="s">
        <v>223</v>
      </c>
      <c r="L39" s="94">
        <v>96</v>
      </c>
      <c r="M39" s="94"/>
      <c r="N39" s="96" t="s">
        <v>40</v>
      </c>
      <c r="O39" s="9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98"/>
      <c r="AV39" s="98"/>
    </row>
    <row r="40" spans="1:48" ht="15" customHeight="1" x14ac:dyDescent="0.2">
      <c r="A40" s="93">
        <v>35</v>
      </c>
      <c r="B40" s="88" t="s">
        <v>88</v>
      </c>
      <c r="C40" s="94" t="s">
        <v>219</v>
      </c>
      <c r="D40" s="94" t="s">
        <v>220</v>
      </c>
      <c r="E40" s="94">
        <v>2</v>
      </c>
      <c r="F40" s="95">
        <v>42045</v>
      </c>
      <c r="G40" s="94" t="s">
        <v>221</v>
      </c>
      <c r="H40" s="94">
        <v>6692138834</v>
      </c>
      <c r="I40" s="94" t="s">
        <v>222</v>
      </c>
      <c r="J40" s="95">
        <v>45293</v>
      </c>
      <c r="K40" s="94" t="s">
        <v>224</v>
      </c>
      <c r="L40" s="94">
        <v>86</v>
      </c>
      <c r="M40" s="94" t="s">
        <v>225</v>
      </c>
      <c r="N40" s="96" t="s">
        <v>40</v>
      </c>
      <c r="O40" s="9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98"/>
      <c r="AV40" s="98"/>
    </row>
    <row r="41" spans="1:48" ht="15" customHeight="1" x14ac:dyDescent="0.2">
      <c r="A41" s="93">
        <v>36</v>
      </c>
      <c r="B41" s="88" t="s">
        <v>88</v>
      </c>
      <c r="C41" s="94" t="s">
        <v>226</v>
      </c>
      <c r="D41" s="94" t="s">
        <v>227</v>
      </c>
      <c r="E41" s="94">
        <v>1</v>
      </c>
      <c r="F41" s="95">
        <v>43329</v>
      </c>
      <c r="G41" s="94" t="s">
        <v>228</v>
      </c>
      <c r="H41" s="94">
        <v>6692438102</v>
      </c>
      <c r="I41" s="94" t="s">
        <v>229</v>
      </c>
      <c r="J41" s="95">
        <v>45536</v>
      </c>
      <c r="K41" s="94" t="s">
        <v>130</v>
      </c>
      <c r="L41" s="94">
        <v>21</v>
      </c>
      <c r="M41" s="94"/>
      <c r="N41" s="96" t="s">
        <v>40</v>
      </c>
      <c r="O41" s="9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98"/>
      <c r="AV41" s="98"/>
    </row>
    <row r="42" spans="1:48" ht="15" customHeight="1" x14ac:dyDescent="0.2">
      <c r="A42" s="93">
        <v>37</v>
      </c>
      <c r="B42" s="88" t="s">
        <v>48</v>
      </c>
      <c r="C42" s="94" t="s">
        <v>226</v>
      </c>
      <c r="D42" s="94" t="s">
        <v>227</v>
      </c>
      <c r="E42" s="94">
        <v>1</v>
      </c>
      <c r="F42" s="95">
        <v>43329</v>
      </c>
      <c r="G42" s="94" t="s">
        <v>228</v>
      </c>
      <c r="H42" s="94">
        <v>6692438102</v>
      </c>
      <c r="I42" s="94" t="s">
        <v>230</v>
      </c>
      <c r="J42" s="95">
        <v>45536</v>
      </c>
      <c r="K42" s="94" t="s">
        <v>159</v>
      </c>
      <c r="L42" s="94">
        <v>6</v>
      </c>
      <c r="M42" s="94"/>
      <c r="N42" s="96" t="s">
        <v>40</v>
      </c>
      <c r="O42" s="9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98"/>
      <c r="AV42" s="98"/>
    </row>
    <row r="43" spans="1:48" ht="15" customHeight="1" x14ac:dyDescent="0.2">
      <c r="A43" s="93">
        <v>38</v>
      </c>
      <c r="B43" s="88" t="s">
        <v>48</v>
      </c>
      <c r="C43" s="94" t="s">
        <v>231</v>
      </c>
      <c r="D43" s="94" t="s">
        <v>232</v>
      </c>
      <c r="E43" s="94">
        <v>5</v>
      </c>
      <c r="F43" s="95" t="s">
        <v>233</v>
      </c>
      <c r="G43" s="94" t="s">
        <v>234</v>
      </c>
      <c r="H43" s="94">
        <v>4083389401</v>
      </c>
      <c r="I43" s="94" t="s">
        <v>235</v>
      </c>
      <c r="J43" s="95" t="s">
        <v>236</v>
      </c>
      <c r="K43" s="94" t="s">
        <v>110</v>
      </c>
      <c r="L43" s="94">
        <v>71</v>
      </c>
      <c r="M43" s="94"/>
      <c r="N43" s="96" t="s">
        <v>40</v>
      </c>
      <c r="O43" s="9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98"/>
      <c r="AV43" s="98"/>
    </row>
    <row r="44" spans="1:48" ht="15" customHeight="1" x14ac:dyDescent="0.2">
      <c r="A44" s="93">
        <v>39</v>
      </c>
      <c r="B44" s="88" t="s">
        <v>88</v>
      </c>
      <c r="C44" s="94" t="s">
        <v>231</v>
      </c>
      <c r="D44" s="94" t="s">
        <v>232</v>
      </c>
      <c r="E44" s="94">
        <v>5</v>
      </c>
      <c r="F44" s="95" t="s">
        <v>237</v>
      </c>
      <c r="G44" s="94" t="s">
        <v>238</v>
      </c>
      <c r="H44" s="94">
        <v>4083389401</v>
      </c>
      <c r="I44" s="94" t="s">
        <v>235</v>
      </c>
      <c r="J44" s="95" t="s">
        <v>236</v>
      </c>
      <c r="K44" s="94" t="s">
        <v>109</v>
      </c>
      <c r="L44" s="94">
        <v>71</v>
      </c>
      <c r="M44" s="94"/>
      <c r="N44" s="96" t="s">
        <v>40</v>
      </c>
      <c r="O44" s="9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98"/>
      <c r="AV44" s="98"/>
    </row>
    <row r="45" spans="1:48" ht="15" customHeight="1" x14ac:dyDescent="0.2">
      <c r="A45" s="93">
        <v>40</v>
      </c>
      <c r="B45" s="88" t="s">
        <v>48</v>
      </c>
      <c r="C45" s="94" t="s">
        <v>239</v>
      </c>
      <c r="D45" s="94" t="s">
        <v>240</v>
      </c>
      <c r="E45" s="94">
        <v>3</v>
      </c>
      <c r="F45" s="95">
        <v>42342</v>
      </c>
      <c r="G45" s="94" t="s">
        <v>241</v>
      </c>
      <c r="H45" s="94">
        <v>4084214334</v>
      </c>
      <c r="I45" s="94" t="s">
        <v>242</v>
      </c>
      <c r="J45" s="95">
        <v>45536</v>
      </c>
      <c r="K45" s="94" t="s">
        <v>110</v>
      </c>
      <c r="L45" s="94">
        <v>86</v>
      </c>
      <c r="M45" s="94"/>
      <c r="N45" s="96" t="s">
        <v>40</v>
      </c>
      <c r="O45" s="9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98"/>
      <c r="AV45" s="98"/>
    </row>
    <row r="46" spans="1:48" ht="15" customHeight="1" x14ac:dyDescent="0.2">
      <c r="A46" s="93">
        <v>41</v>
      </c>
      <c r="B46" s="88" t="s">
        <v>88</v>
      </c>
      <c r="C46" s="94" t="s">
        <v>239</v>
      </c>
      <c r="D46" s="94" t="s">
        <v>240</v>
      </c>
      <c r="E46" s="94">
        <v>3</v>
      </c>
      <c r="F46" s="95">
        <v>42342</v>
      </c>
      <c r="G46" s="94" t="s">
        <v>241</v>
      </c>
      <c r="H46" s="94">
        <v>4084214334</v>
      </c>
      <c r="I46" s="94" t="s">
        <v>242</v>
      </c>
      <c r="J46" s="95">
        <v>45536</v>
      </c>
      <c r="K46" s="94" t="s">
        <v>243</v>
      </c>
      <c r="L46" s="94">
        <v>101</v>
      </c>
      <c r="M46" s="94"/>
      <c r="N46" s="96" t="s">
        <v>40</v>
      </c>
      <c r="O46" s="9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98"/>
      <c r="AV46" s="98"/>
    </row>
    <row r="47" spans="1:48" ht="15" customHeight="1" x14ac:dyDescent="0.2">
      <c r="A47" s="93">
        <v>42</v>
      </c>
      <c r="B47" s="88" t="s">
        <v>48</v>
      </c>
      <c r="C47" s="94" t="s">
        <v>244</v>
      </c>
      <c r="D47" s="94" t="s">
        <v>245</v>
      </c>
      <c r="E47" s="94" t="s">
        <v>246</v>
      </c>
      <c r="F47" s="95">
        <v>43120</v>
      </c>
      <c r="G47" s="94" t="s">
        <v>247</v>
      </c>
      <c r="H47" s="94">
        <v>4158287529</v>
      </c>
      <c r="I47" s="94" t="s">
        <v>248</v>
      </c>
      <c r="J47" s="95">
        <v>45299</v>
      </c>
      <c r="K47" s="94" t="s">
        <v>167</v>
      </c>
      <c r="L47" s="94">
        <v>61</v>
      </c>
      <c r="M47" s="94"/>
      <c r="N47" s="96" t="s">
        <v>40</v>
      </c>
      <c r="O47" s="9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98"/>
      <c r="AV47" s="98"/>
    </row>
    <row r="48" spans="1:48" ht="15" customHeight="1" x14ac:dyDescent="0.2">
      <c r="A48" s="93">
        <v>43</v>
      </c>
      <c r="B48" s="88" t="s">
        <v>88</v>
      </c>
      <c r="C48" s="94" t="s">
        <v>244</v>
      </c>
      <c r="D48" s="94" t="s">
        <v>245</v>
      </c>
      <c r="E48" s="94" t="s">
        <v>246</v>
      </c>
      <c r="F48" s="95">
        <v>43120</v>
      </c>
      <c r="G48" s="94" t="s">
        <v>247</v>
      </c>
      <c r="H48" s="94">
        <v>4158287529</v>
      </c>
      <c r="I48" s="94" t="s">
        <v>248</v>
      </c>
      <c r="J48" s="95">
        <v>45299</v>
      </c>
      <c r="K48" s="94" t="s">
        <v>160</v>
      </c>
      <c r="L48" s="94">
        <v>48</v>
      </c>
      <c r="M48" s="94" t="s">
        <v>225</v>
      </c>
      <c r="N48" s="96" t="s">
        <v>40</v>
      </c>
      <c r="O48" s="9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98"/>
      <c r="AV48" s="98"/>
    </row>
    <row r="49" spans="1:48" ht="15" customHeight="1" x14ac:dyDescent="0.2">
      <c r="A49" s="93">
        <v>44</v>
      </c>
      <c r="B49" s="88" t="s">
        <v>48</v>
      </c>
      <c r="C49" s="94" t="s">
        <v>249</v>
      </c>
      <c r="D49" s="94" t="s">
        <v>250</v>
      </c>
      <c r="E49" s="94">
        <v>1</v>
      </c>
      <c r="F49" s="95" t="s">
        <v>251</v>
      </c>
      <c r="G49" s="94" t="s">
        <v>252</v>
      </c>
      <c r="H49" s="94">
        <v>5104566566</v>
      </c>
      <c r="I49" s="94" t="s">
        <v>253</v>
      </c>
      <c r="J49" s="95" t="s">
        <v>254</v>
      </c>
      <c r="K49" s="94" t="s">
        <v>187</v>
      </c>
      <c r="L49" s="94">
        <v>11</v>
      </c>
      <c r="M49" s="94"/>
      <c r="N49" s="96" t="s">
        <v>40</v>
      </c>
      <c r="O49" s="9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98"/>
      <c r="AV49" s="98"/>
    </row>
    <row r="50" spans="1:48" ht="15" customHeight="1" x14ac:dyDescent="0.2">
      <c r="A50" s="93">
        <v>45</v>
      </c>
      <c r="B50" s="88" t="s">
        <v>88</v>
      </c>
      <c r="C50" s="94" t="s">
        <v>249</v>
      </c>
      <c r="D50" s="94" t="s">
        <v>250</v>
      </c>
      <c r="E50" s="94">
        <v>1</v>
      </c>
      <c r="F50" s="95" t="s">
        <v>251</v>
      </c>
      <c r="G50" s="94" t="s">
        <v>252</v>
      </c>
      <c r="H50" s="94">
        <v>5104566566</v>
      </c>
      <c r="I50" s="94" t="s">
        <v>253</v>
      </c>
      <c r="J50" s="95" t="s">
        <v>254</v>
      </c>
      <c r="K50" s="94" t="s">
        <v>152</v>
      </c>
      <c r="L50" s="94">
        <v>106</v>
      </c>
      <c r="M50" s="94"/>
      <c r="N50" s="96" t="s">
        <v>40</v>
      </c>
      <c r="O50" s="9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98"/>
      <c r="AV50" s="98"/>
    </row>
    <row r="51" spans="1:48" ht="15" customHeight="1" x14ac:dyDescent="0.2">
      <c r="A51" s="93">
        <v>46</v>
      </c>
      <c r="B51" s="93" t="s">
        <v>48</v>
      </c>
      <c r="C51" s="99" t="s">
        <v>255</v>
      </c>
      <c r="D51" s="99" t="s">
        <v>256</v>
      </c>
      <c r="E51" s="99">
        <v>2</v>
      </c>
      <c r="F51" s="100">
        <v>43144</v>
      </c>
      <c r="G51" s="101" t="s">
        <v>257</v>
      </c>
      <c r="H51" s="101">
        <v>5102535893</v>
      </c>
      <c r="I51" s="101" t="s">
        <v>258</v>
      </c>
      <c r="J51" s="100">
        <v>45742</v>
      </c>
      <c r="K51" s="94" t="s">
        <v>143</v>
      </c>
      <c r="L51" s="94">
        <v>96</v>
      </c>
      <c r="M51" s="94" t="s">
        <v>144</v>
      </c>
      <c r="N51" s="96" t="s">
        <v>40</v>
      </c>
      <c r="O51" s="102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98"/>
      <c r="AV51" s="98"/>
    </row>
    <row r="52" spans="1:48" ht="15" customHeight="1" x14ac:dyDescent="0.2">
      <c r="A52" s="93">
        <v>47</v>
      </c>
      <c r="B52" s="105" t="s">
        <v>88</v>
      </c>
      <c r="C52" s="99" t="s">
        <v>255</v>
      </c>
      <c r="D52" s="99" t="s">
        <v>256</v>
      </c>
      <c r="E52" s="99">
        <v>2</v>
      </c>
      <c r="F52" s="100">
        <v>43144</v>
      </c>
      <c r="G52" s="101" t="s">
        <v>257</v>
      </c>
      <c r="H52" s="101">
        <v>5102535893</v>
      </c>
      <c r="I52" s="101" t="s">
        <v>258</v>
      </c>
      <c r="J52" s="100">
        <v>45742</v>
      </c>
      <c r="K52" s="94" t="s">
        <v>130</v>
      </c>
      <c r="L52" s="94">
        <v>66</v>
      </c>
      <c r="M52" s="94" t="s">
        <v>259</v>
      </c>
      <c r="N52" s="96" t="s">
        <v>40</v>
      </c>
      <c r="O52" s="102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98"/>
      <c r="AV52" s="98"/>
    </row>
    <row r="53" spans="1:48" ht="15" customHeight="1" x14ac:dyDescent="0.2">
      <c r="A53" s="93">
        <v>48</v>
      </c>
      <c r="B53" s="88" t="s">
        <v>48</v>
      </c>
      <c r="C53" s="94" t="s">
        <v>106</v>
      </c>
      <c r="D53" s="94" t="s">
        <v>260</v>
      </c>
      <c r="E53" s="94">
        <v>2</v>
      </c>
      <c r="F53" s="95" t="s">
        <v>261</v>
      </c>
      <c r="G53" s="94" t="s">
        <v>262</v>
      </c>
      <c r="H53" s="94">
        <v>5102989555</v>
      </c>
      <c r="I53" s="94" t="s">
        <v>263</v>
      </c>
      <c r="J53" s="95" t="s">
        <v>264</v>
      </c>
      <c r="K53" s="94" t="s">
        <v>265</v>
      </c>
      <c r="L53" s="94">
        <v>41</v>
      </c>
      <c r="M53" s="94"/>
      <c r="N53" s="96" t="s">
        <v>40</v>
      </c>
      <c r="O53" s="9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98"/>
      <c r="AV53" s="98"/>
    </row>
    <row r="54" spans="1:48" ht="15" customHeight="1" x14ac:dyDescent="0.2">
      <c r="A54" s="93">
        <v>49</v>
      </c>
      <c r="B54" s="88" t="s">
        <v>88</v>
      </c>
      <c r="C54" s="94" t="s">
        <v>106</v>
      </c>
      <c r="D54" s="94" t="s">
        <v>260</v>
      </c>
      <c r="E54" s="94">
        <v>2</v>
      </c>
      <c r="F54" s="95" t="s">
        <v>266</v>
      </c>
      <c r="G54" s="94" t="s">
        <v>267</v>
      </c>
      <c r="H54" s="94">
        <v>5102989555</v>
      </c>
      <c r="I54" s="94" t="s">
        <v>263</v>
      </c>
      <c r="J54" s="95" t="s">
        <v>264</v>
      </c>
      <c r="K54" s="94" t="s">
        <v>160</v>
      </c>
      <c r="L54" s="94">
        <v>71</v>
      </c>
      <c r="M54" s="94"/>
      <c r="N54" s="96" t="s">
        <v>40</v>
      </c>
      <c r="O54" s="9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98"/>
      <c r="AV54" s="98"/>
    </row>
    <row r="55" spans="1:48" ht="15" customHeight="1" x14ac:dyDescent="0.2">
      <c r="A55" s="93">
        <v>50</v>
      </c>
      <c r="B55" s="88" t="s">
        <v>48</v>
      </c>
      <c r="C55" s="94" t="s">
        <v>268</v>
      </c>
      <c r="D55" s="94" t="s">
        <v>269</v>
      </c>
      <c r="E55" s="94">
        <v>1</v>
      </c>
      <c r="F55" s="95">
        <v>43194</v>
      </c>
      <c r="G55" s="94" t="s">
        <v>270</v>
      </c>
      <c r="H55" s="94">
        <v>4155426994</v>
      </c>
      <c r="I55" s="94" t="s">
        <v>271</v>
      </c>
      <c r="J55" s="95">
        <v>45689</v>
      </c>
      <c r="K55" s="94" t="s">
        <v>187</v>
      </c>
      <c r="L55" s="94">
        <v>31</v>
      </c>
      <c r="M55" s="94"/>
      <c r="N55" s="96" t="s">
        <v>40</v>
      </c>
      <c r="O55" s="97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98"/>
      <c r="AV55" s="98"/>
    </row>
    <row r="56" spans="1:48" ht="15" customHeight="1" x14ac:dyDescent="0.2">
      <c r="A56" s="93">
        <v>51</v>
      </c>
      <c r="B56" s="88" t="s">
        <v>88</v>
      </c>
      <c r="C56" s="94" t="s">
        <v>268</v>
      </c>
      <c r="D56" s="94" t="s">
        <v>269</v>
      </c>
      <c r="E56" s="94">
        <v>1</v>
      </c>
      <c r="F56" s="95">
        <v>43194</v>
      </c>
      <c r="G56" s="94" t="s">
        <v>270</v>
      </c>
      <c r="H56" s="94">
        <v>4155426994</v>
      </c>
      <c r="I56" s="94" t="s">
        <v>271</v>
      </c>
      <c r="J56" s="95">
        <v>45689</v>
      </c>
      <c r="K56" s="94" t="s">
        <v>201</v>
      </c>
      <c r="L56" s="94">
        <v>6</v>
      </c>
      <c r="M56" s="94"/>
      <c r="N56" s="96" t="s">
        <v>40</v>
      </c>
      <c r="O56" s="9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98"/>
      <c r="AV56" s="98"/>
    </row>
    <row r="57" spans="1:48" ht="15" customHeight="1" x14ac:dyDescent="0.2">
      <c r="A57" s="93">
        <v>52</v>
      </c>
      <c r="B57" s="88" t="s">
        <v>48</v>
      </c>
      <c r="C57" s="94" t="s">
        <v>272</v>
      </c>
      <c r="D57" s="94" t="s">
        <v>273</v>
      </c>
      <c r="E57" s="94" t="s">
        <v>154</v>
      </c>
      <c r="F57" s="95" t="s">
        <v>274</v>
      </c>
      <c r="G57" s="94" t="s">
        <v>275</v>
      </c>
      <c r="H57" s="94">
        <v>3233374665</v>
      </c>
      <c r="I57" s="94" t="s">
        <v>276</v>
      </c>
      <c r="J57" s="95">
        <v>45522</v>
      </c>
      <c r="K57" s="94" t="s">
        <v>277</v>
      </c>
      <c r="L57" s="94">
        <v>71</v>
      </c>
      <c r="M57" s="94"/>
      <c r="N57" s="96" t="s">
        <v>40</v>
      </c>
      <c r="O57" s="9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98"/>
      <c r="AV57" s="98"/>
    </row>
    <row r="58" spans="1:48" ht="15" customHeight="1" x14ac:dyDescent="0.2">
      <c r="A58" s="93">
        <v>53</v>
      </c>
      <c r="B58" s="88" t="s">
        <v>48</v>
      </c>
      <c r="C58" s="94" t="s">
        <v>272</v>
      </c>
      <c r="D58" s="94" t="s">
        <v>278</v>
      </c>
      <c r="E58" s="94">
        <v>1</v>
      </c>
      <c r="F58" s="95" t="s">
        <v>279</v>
      </c>
      <c r="G58" s="94" t="s">
        <v>275</v>
      </c>
      <c r="H58" s="94">
        <v>3233374665</v>
      </c>
      <c r="I58" s="94" t="s">
        <v>276</v>
      </c>
      <c r="J58" s="95">
        <v>45522</v>
      </c>
      <c r="K58" s="94" t="s">
        <v>159</v>
      </c>
      <c r="L58" s="94">
        <v>106</v>
      </c>
      <c r="M58" s="94"/>
      <c r="N58" s="96" t="s">
        <v>40</v>
      </c>
      <c r="O58" s="97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98"/>
      <c r="AV58" s="98"/>
    </row>
    <row r="59" spans="1:48" ht="15" customHeight="1" x14ac:dyDescent="0.2">
      <c r="A59" s="93">
        <v>54</v>
      </c>
      <c r="B59" s="88" t="s">
        <v>48</v>
      </c>
      <c r="C59" s="94" t="s">
        <v>280</v>
      </c>
      <c r="D59" s="94" t="s">
        <v>281</v>
      </c>
      <c r="E59" s="94" t="s">
        <v>154</v>
      </c>
      <c r="F59" s="95" t="s">
        <v>282</v>
      </c>
      <c r="G59" s="94" t="s">
        <v>283</v>
      </c>
      <c r="H59" s="94">
        <v>2016651117</v>
      </c>
      <c r="I59" s="94" t="s">
        <v>284</v>
      </c>
      <c r="J59" s="95" t="s">
        <v>285</v>
      </c>
      <c r="K59" s="94" t="s">
        <v>187</v>
      </c>
      <c r="L59" s="94">
        <v>108</v>
      </c>
      <c r="M59" s="94"/>
      <c r="N59" s="96" t="s">
        <v>40</v>
      </c>
      <c r="O59" s="97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98"/>
      <c r="AV59" s="98"/>
    </row>
    <row r="60" spans="1:48" ht="15" customHeight="1" x14ac:dyDescent="0.2">
      <c r="A60" s="93">
        <v>55</v>
      </c>
      <c r="B60" s="88" t="s">
        <v>88</v>
      </c>
      <c r="C60" s="94" t="s">
        <v>280</v>
      </c>
      <c r="D60" s="94" t="s">
        <v>281</v>
      </c>
      <c r="E60" s="94" t="s">
        <v>154</v>
      </c>
      <c r="F60" s="95" t="s">
        <v>286</v>
      </c>
      <c r="G60" s="94" t="s">
        <v>287</v>
      </c>
      <c r="H60" s="94">
        <v>2016651117</v>
      </c>
      <c r="I60" s="94" t="s">
        <v>284</v>
      </c>
      <c r="J60" s="95">
        <v>45673</v>
      </c>
      <c r="K60" s="94" t="s">
        <v>152</v>
      </c>
      <c r="L60" s="94">
        <v>58</v>
      </c>
      <c r="M60" s="94" t="s">
        <v>259</v>
      </c>
      <c r="N60" s="96" t="s">
        <v>40</v>
      </c>
      <c r="O60" s="9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98"/>
      <c r="AV60" s="98"/>
    </row>
    <row r="61" spans="1:48" ht="15" customHeight="1" x14ac:dyDescent="0.2">
      <c r="A61" s="93">
        <v>56</v>
      </c>
      <c r="B61" s="88" t="s">
        <v>48</v>
      </c>
      <c r="C61" s="94" t="s">
        <v>288</v>
      </c>
      <c r="D61" s="94" t="s">
        <v>289</v>
      </c>
      <c r="E61" s="94">
        <v>4</v>
      </c>
      <c r="F61" s="95">
        <v>41866</v>
      </c>
      <c r="G61" s="94" t="s">
        <v>290</v>
      </c>
      <c r="H61" s="94">
        <v>4085696688</v>
      </c>
      <c r="I61" s="94" t="s">
        <v>291</v>
      </c>
      <c r="J61" s="95">
        <v>45154</v>
      </c>
      <c r="K61" s="94" t="s">
        <v>194</v>
      </c>
      <c r="L61" s="94">
        <v>11</v>
      </c>
      <c r="M61" s="94"/>
      <c r="N61" s="96" t="s">
        <v>40</v>
      </c>
      <c r="O61" s="97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98"/>
      <c r="AV61" s="98"/>
    </row>
    <row r="62" spans="1:48" ht="15" customHeight="1" x14ac:dyDescent="0.2">
      <c r="A62" s="93">
        <v>57</v>
      </c>
      <c r="B62" s="88" t="s">
        <v>88</v>
      </c>
      <c r="C62" s="94" t="s">
        <v>288</v>
      </c>
      <c r="D62" s="94" t="s">
        <v>289</v>
      </c>
      <c r="E62" s="94">
        <v>4</v>
      </c>
      <c r="F62" s="95">
        <v>41866</v>
      </c>
      <c r="G62" s="94" t="s">
        <v>290</v>
      </c>
      <c r="H62" s="94">
        <v>4085696688</v>
      </c>
      <c r="I62" s="94" t="s">
        <v>291</v>
      </c>
      <c r="J62" s="95">
        <v>45154</v>
      </c>
      <c r="K62" s="94" t="s">
        <v>109</v>
      </c>
      <c r="L62" s="94">
        <v>21</v>
      </c>
      <c r="M62" s="94"/>
      <c r="N62" s="96" t="s">
        <v>40</v>
      </c>
      <c r="O62" s="9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98"/>
      <c r="AV62" s="98"/>
    </row>
    <row r="63" spans="1:48" ht="15" customHeight="1" x14ac:dyDescent="0.2">
      <c r="A63" s="93">
        <v>58</v>
      </c>
      <c r="B63" s="88" t="s">
        <v>48</v>
      </c>
      <c r="C63" s="94" t="s">
        <v>292</v>
      </c>
      <c r="D63" s="94" t="s">
        <v>293</v>
      </c>
      <c r="E63" s="94">
        <v>3</v>
      </c>
      <c r="F63" s="95" t="s">
        <v>294</v>
      </c>
      <c r="G63" s="94" t="s">
        <v>295</v>
      </c>
      <c r="H63" s="94">
        <v>5103336666</v>
      </c>
      <c r="I63" s="94" t="s">
        <v>296</v>
      </c>
      <c r="J63" s="95" t="s">
        <v>193</v>
      </c>
      <c r="K63" s="94" t="s">
        <v>181</v>
      </c>
      <c r="L63" s="94">
        <v>86</v>
      </c>
      <c r="M63" s="94"/>
      <c r="N63" s="96" t="s">
        <v>40</v>
      </c>
      <c r="O63" s="97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98"/>
      <c r="AV63" s="98"/>
    </row>
    <row r="64" spans="1:48" ht="15" customHeight="1" x14ac:dyDescent="0.2">
      <c r="A64" s="93">
        <v>59</v>
      </c>
      <c r="B64" s="88" t="s">
        <v>48</v>
      </c>
      <c r="C64" s="94" t="s">
        <v>292</v>
      </c>
      <c r="D64" s="94" t="s">
        <v>297</v>
      </c>
      <c r="E64" s="94" t="s">
        <v>154</v>
      </c>
      <c r="F64" s="95">
        <v>42846</v>
      </c>
      <c r="G64" s="94" t="s">
        <v>298</v>
      </c>
      <c r="H64" s="94">
        <v>5102075030</v>
      </c>
      <c r="I64" s="94" t="s">
        <v>299</v>
      </c>
      <c r="J64" s="95">
        <v>45110</v>
      </c>
      <c r="K64" s="94" t="s">
        <v>300</v>
      </c>
      <c r="L64" s="94">
        <v>61</v>
      </c>
      <c r="M64" s="94"/>
      <c r="N64" s="96" t="s">
        <v>40</v>
      </c>
      <c r="O64" s="97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98"/>
      <c r="AV64" s="98"/>
    </row>
    <row r="65" spans="1:48" ht="15" customHeight="1" x14ac:dyDescent="0.2">
      <c r="A65" s="93">
        <v>60</v>
      </c>
      <c r="B65" s="88" t="s">
        <v>88</v>
      </c>
      <c r="C65" s="94" t="s">
        <v>292</v>
      </c>
      <c r="D65" s="94" t="s">
        <v>297</v>
      </c>
      <c r="E65" s="94" t="s">
        <v>154</v>
      </c>
      <c r="F65" s="95">
        <v>42846</v>
      </c>
      <c r="G65" s="94" t="s">
        <v>298</v>
      </c>
      <c r="H65" s="94">
        <v>5102075030</v>
      </c>
      <c r="I65" s="94" t="s">
        <v>299</v>
      </c>
      <c r="J65" s="95">
        <v>45110</v>
      </c>
      <c r="K65" s="94" t="s">
        <v>243</v>
      </c>
      <c r="L65" s="94">
        <v>41</v>
      </c>
      <c r="M65" s="94"/>
      <c r="N65" s="96" t="s">
        <v>40</v>
      </c>
      <c r="O65" s="9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98"/>
      <c r="AV65" s="98"/>
    </row>
    <row r="66" spans="1:48" ht="15" customHeight="1" x14ac:dyDescent="0.2">
      <c r="A66" s="93">
        <v>61</v>
      </c>
      <c r="B66" s="88" t="s">
        <v>48</v>
      </c>
      <c r="C66" s="94" t="s">
        <v>288</v>
      </c>
      <c r="D66" s="94" t="s">
        <v>301</v>
      </c>
      <c r="E66" s="94" t="s">
        <v>154</v>
      </c>
      <c r="F66" s="95">
        <v>43798</v>
      </c>
      <c r="G66" s="94" t="s">
        <v>302</v>
      </c>
      <c r="H66" s="94">
        <v>5102075030</v>
      </c>
      <c r="I66" s="94" t="s">
        <v>299</v>
      </c>
      <c r="J66" s="95">
        <v>45537</v>
      </c>
      <c r="K66" s="94" t="s">
        <v>143</v>
      </c>
      <c r="L66" s="94">
        <v>65</v>
      </c>
      <c r="M66" s="94"/>
      <c r="N66" s="96" t="s">
        <v>40</v>
      </c>
      <c r="O66" s="9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98"/>
      <c r="AV66" s="98"/>
    </row>
    <row r="67" spans="1:48" ht="15" customHeight="1" x14ac:dyDescent="0.2">
      <c r="A67" s="93">
        <v>62</v>
      </c>
      <c r="B67" s="88" t="s">
        <v>48</v>
      </c>
      <c r="C67" s="94" t="s">
        <v>292</v>
      </c>
      <c r="D67" s="94" t="s">
        <v>303</v>
      </c>
      <c r="E67" s="94">
        <v>2</v>
      </c>
      <c r="F67" s="95">
        <v>42025</v>
      </c>
      <c r="G67" s="94" t="s">
        <v>298</v>
      </c>
      <c r="H67" s="94">
        <v>5102075030</v>
      </c>
      <c r="I67" s="94" t="s">
        <v>299</v>
      </c>
      <c r="J67" s="95">
        <v>45110</v>
      </c>
      <c r="K67" s="94" t="s">
        <v>304</v>
      </c>
      <c r="L67" s="94">
        <v>61</v>
      </c>
      <c r="M67" s="94"/>
      <c r="N67" s="96" t="s">
        <v>40</v>
      </c>
      <c r="O67" s="9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98"/>
      <c r="AV67" s="98"/>
    </row>
    <row r="68" spans="1:48" ht="15" customHeight="1" x14ac:dyDescent="0.2">
      <c r="A68" s="93">
        <v>63</v>
      </c>
      <c r="B68" s="88" t="s">
        <v>88</v>
      </c>
      <c r="C68" s="94" t="s">
        <v>292</v>
      </c>
      <c r="D68" s="94" t="s">
        <v>303</v>
      </c>
      <c r="E68" s="94">
        <v>2</v>
      </c>
      <c r="F68" s="95">
        <v>42025</v>
      </c>
      <c r="G68" s="94" t="s">
        <v>298</v>
      </c>
      <c r="H68" s="94">
        <v>5102075030</v>
      </c>
      <c r="I68" s="94" t="s">
        <v>299</v>
      </c>
      <c r="J68" s="95">
        <v>45110</v>
      </c>
      <c r="K68" s="94" t="s">
        <v>305</v>
      </c>
      <c r="L68" s="94">
        <v>71</v>
      </c>
      <c r="M68" s="94"/>
      <c r="N68" s="96" t="s">
        <v>40</v>
      </c>
      <c r="O68" s="9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98"/>
      <c r="AV68" s="98"/>
    </row>
    <row r="69" spans="1:48" ht="15" customHeight="1" x14ac:dyDescent="0.2">
      <c r="A69" s="93">
        <v>64</v>
      </c>
      <c r="B69" s="88" t="s">
        <v>48</v>
      </c>
      <c r="C69" s="94" t="s">
        <v>306</v>
      </c>
      <c r="D69" s="94" t="s">
        <v>307</v>
      </c>
      <c r="E69" s="94" t="s">
        <v>154</v>
      </c>
      <c r="F69" s="95" t="s">
        <v>308</v>
      </c>
      <c r="G69" s="94" t="s">
        <v>309</v>
      </c>
      <c r="H69" s="94">
        <v>4083936870</v>
      </c>
      <c r="I69" s="94" t="s">
        <v>310</v>
      </c>
      <c r="J69" s="95" t="s">
        <v>311</v>
      </c>
      <c r="K69" s="94" t="s">
        <v>137</v>
      </c>
      <c r="L69" s="94">
        <v>1</v>
      </c>
      <c r="M69" s="94"/>
      <c r="N69" s="96" t="s">
        <v>40</v>
      </c>
      <c r="O69" s="9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98"/>
      <c r="AV69" s="98"/>
    </row>
    <row r="70" spans="1:48" ht="15" customHeight="1" x14ac:dyDescent="0.2">
      <c r="A70" s="93">
        <v>65</v>
      </c>
      <c r="B70" s="88" t="s">
        <v>88</v>
      </c>
      <c r="C70" s="94" t="s">
        <v>306</v>
      </c>
      <c r="D70" s="94" t="s">
        <v>307</v>
      </c>
      <c r="E70" s="94" t="s">
        <v>154</v>
      </c>
      <c r="F70" s="95" t="s">
        <v>308</v>
      </c>
      <c r="G70" s="94" t="s">
        <v>309</v>
      </c>
      <c r="H70" s="94">
        <v>4083936870</v>
      </c>
      <c r="I70" s="94" t="s">
        <v>310</v>
      </c>
      <c r="J70" s="95" t="s">
        <v>311</v>
      </c>
      <c r="K70" s="94" t="s">
        <v>218</v>
      </c>
      <c r="L70" s="94">
        <v>76</v>
      </c>
      <c r="M70" s="94"/>
      <c r="N70" s="96" t="s">
        <v>40</v>
      </c>
      <c r="O70" s="9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98"/>
      <c r="AV70" s="98"/>
    </row>
    <row r="71" spans="1:48" ht="15" customHeight="1" x14ac:dyDescent="0.2">
      <c r="A71" s="93">
        <v>66</v>
      </c>
      <c r="B71" s="104" t="s">
        <v>48</v>
      </c>
      <c r="C71" s="94" t="s">
        <v>312</v>
      </c>
      <c r="D71" s="94" t="s">
        <v>313</v>
      </c>
      <c r="E71" s="106" t="s">
        <v>154</v>
      </c>
      <c r="F71" s="107">
        <v>43487</v>
      </c>
      <c r="G71" s="101" t="s">
        <v>314</v>
      </c>
      <c r="H71" s="101">
        <v>5107532567</v>
      </c>
      <c r="I71" s="101" t="s">
        <v>315</v>
      </c>
      <c r="J71" s="107">
        <v>45732</v>
      </c>
      <c r="K71" s="94" t="s">
        <v>277</v>
      </c>
      <c r="L71" s="94">
        <v>41</v>
      </c>
      <c r="M71" s="94" t="s">
        <v>144</v>
      </c>
      <c r="N71" s="96" t="s">
        <v>40</v>
      </c>
      <c r="O71" s="10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</row>
    <row r="72" spans="1:48" ht="15" customHeight="1" x14ac:dyDescent="0.2">
      <c r="A72" s="93">
        <v>67</v>
      </c>
      <c r="B72" s="88" t="s">
        <v>48</v>
      </c>
      <c r="C72" s="94" t="s">
        <v>316</v>
      </c>
      <c r="D72" s="94" t="s">
        <v>317</v>
      </c>
      <c r="E72" s="94" t="s">
        <v>154</v>
      </c>
      <c r="F72" s="95" t="s">
        <v>318</v>
      </c>
      <c r="G72" s="94" t="s">
        <v>319</v>
      </c>
      <c r="H72" s="94">
        <v>4086054758</v>
      </c>
      <c r="I72" s="94" t="s">
        <v>320</v>
      </c>
      <c r="J72" s="95" t="s">
        <v>321</v>
      </c>
      <c r="K72" s="94" t="s">
        <v>167</v>
      </c>
      <c r="L72" s="94">
        <v>66</v>
      </c>
      <c r="M72" s="94"/>
      <c r="N72" s="96" t="s">
        <v>40</v>
      </c>
      <c r="O72" s="9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98"/>
      <c r="AV72" s="98"/>
    </row>
    <row r="73" spans="1:48" ht="15" customHeight="1" x14ac:dyDescent="0.2">
      <c r="A73" s="93">
        <v>68</v>
      </c>
      <c r="B73" s="109" t="s">
        <v>48</v>
      </c>
      <c r="C73" s="99" t="s">
        <v>316</v>
      </c>
      <c r="D73" s="99" t="s">
        <v>317</v>
      </c>
      <c r="E73" s="99" t="s">
        <v>154</v>
      </c>
      <c r="F73" s="100" t="s">
        <v>318</v>
      </c>
      <c r="G73" s="99" t="s">
        <v>319</v>
      </c>
      <c r="H73" s="99">
        <v>4086054758</v>
      </c>
      <c r="I73" s="99" t="s">
        <v>320</v>
      </c>
      <c r="J73" s="100" t="s">
        <v>264</v>
      </c>
      <c r="K73" s="94" t="s">
        <v>152</v>
      </c>
      <c r="L73" s="94">
        <v>96</v>
      </c>
      <c r="M73" s="380" t="s">
        <v>322</v>
      </c>
      <c r="N73" s="96" t="s">
        <v>40</v>
      </c>
      <c r="O73" s="10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8" ht="15" customHeight="1" x14ac:dyDescent="0.2">
      <c r="A74" s="93">
        <v>69</v>
      </c>
      <c r="B74" s="88" t="s">
        <v>48</v>
      </c>
      <c r="C74" s="94" t="s">
        <v>323</v>
      </c>
      <c r="D74" s="94" t="s">
        <v>324</v>
      </c>
      <c r="E74" s="94">
        <v>1</v>
      </c>
      <c r="F74" s="95">
        <v>42695</v>
      </c>
      <c r="G74" s="94" t="s">
        <v>325</v>
      </c>
      <c r="H74" s="94">
        <v>5103147991</v>
      </c>
      <c r="I74" s="94" t="s">
        <v>326</v>
      </c>
      <c r="J74" s="95">
        <v>45523</v>
      </c>
      <c r="K74" s="94" t="s">
        <v>128</v>
      </c>
      <c r="L74" s="94">
        <v>71</v>
      </c>
      <c r="M74" s="94"/>
      <c r="N74" s="96" t="s">
        <v>40</v>
      </c>
      <c r="O74" s="9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98"/>
      <c r="AV74" s="98"/>
    </row>
    <row r="75" spans="1:48" ht="15" customHeight="1" x14ac:dyDescent="0.2">
      <c r="A75" s="93">
        <v>70</v>
      </c>
      <c r="B75" s="88" t="s">
        <v>88</v>
      </c>
      <c r="C75" s="94" t="s">
        <v>323</v>
      </c>
      <c r="D75" s="94" t="s">
        <v>324</v>
      </c>
      <c r="E75" s="94">
        <v>1</v>
      </c>
      <c r="F75" s="95">
        <v>42695</v>
      </c>
      <c r="G75" s="94" t="s">
        <v>325</v>
      </c>
      <c r="H75" s="94">
        <v>5103147991</v>
      </c>
      <c r="I75" s="94" t="s">
        <v>326</v>
      </c>
      <c r="J75" s="95">
        <v>45523</v>
      </c>
      <c r="K75" s="94" t="s">
        <v>160</v>
      </c>
      <c r="L75" s="94">
        <v>105</v>
      </c>
      <c r="M75" s="94"/>
      <c r="N75" s="96" t="s">
        <v>40</v>
      </c>
      <c r="O75" s="9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98"/>
      <c r="AV75" s="98"/>
    </row>
    <row r="76" spans="1:48" ht="15" customHeight="1" x14ac:dyDescent="0.2">
      <c r="A76" s="93">
        <v>71</v>
      </c>
      <c r="B76" s="88" t="s">
        <v>88</v>
      </c>
      <c r="C76" s="94" t="s">
        <v>323</v>
      </c>
      <c r="D76" s="94" t="s">
        <v>327</v>
      </c>
      <c r="E76" s="94">
        <v>1</v>
      </c>
      <c r="F76" s="95">
        <v>42695</v>
      </c>
      <c r="G76" s="94" t="s">
        <v>325</v>
      </c>
      <c r="H76" s="94">
        <v>5103147991</v>
      </c>
      <c r="I76" s="94" t="s">
        <v>326</v>
      </c>
      <c r="J76" s="95">
        <v>45523</v>
      </c>
      <c r="K76" s="94" t="s">
        <v>160</v>
      </c>
      <c r="L76" s="94">
        <v>8</v>
      </c>
      <c r="M76" s="94"/>
      <c r="N76" s="96" t="s">
        <v>40</v>
      </c>
      <c r="O76" s="9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98"/>
      <c r="AV76" s="98"/>
    </row>
    <row r="77" spans="1:48" ht="15" customHeight="1" x14ac:dyDescent="0.2">
      <c r="A77" s="93">
        <v>72</v>
      </c>
      <c r="B77" s="88" t="s">
        <v>48</v>
      </c>
      <c r="C77" s="94" t="s">
        <v>323</v>
      </c>
      <c r="D77" s="94" t="s">
        <v>327</v>
      </c>
      <c r="E77" s="94">
        <v>1</v>
      </c>
      <c r="F77" s="95">
        <v>42695</v>
      </c>
      <c r="G77" s="94" t="s">
        <v>325</v>
      </c>
      <c r="H77" s="94">
        <v>5103147991</v>
      </c>
      <c r="I77" s="94" t="s">
        <v>326</v>
      </c>
      <c r="J77" s="95">
        <v>45523</v>
      </c>
      <c r="K77" s="94" t="s">
        <v>128</v>
      </c>
      <c r="L77" s="94">
        <v>41</v>
      </c>
      <c r="M77" s="94"/>
      <c r="N77" s="96" t="s">
        <v>40</v>
      </c>
      <c r="O77" s="9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98"/>
      <c r="AV77" s="98"/>
    </row>
    <row r="78" spans="1:48" ht="15" customHeight="1" x14ac:dyDescent="0.2">
      <c r="A78" s="93">
        <v>73</v>
      </c>
      <c r="B78" s="88" t="s">
        <v>48</v>
      </c>
      <c r="C78" s="94" t="s">
        <v>328</v>
      </c>
      <c r="D78" s="94" t="s">
        <v>119</v>
      </c>
      <c r="E78" s="94" t="s">
        <v>154</v>
      </c>
      <c r="F78" s="95">
        <v>43274</v>
      </c>
      <c r="G78" s="94" t="s">
        <v>329</v>
      </c>
      <c r="H78" s="94">
        <v>2544004292</v>
      </c>
      <c r="I78" s="94" t="s">
        <v>330</v>
      </c>
      <c r="J78" s="95">
        <v>45503</v>
      </c>
      <c r="K78" s="94" t="s">
        <v>167</v>
      </c>
      <c r="L78" s="94">
        <v>86</v>
      </c>
      <c r="M78" s="94"/>
      <c r="N78" s="96" t="s">
        <v>40</v>
      </c>
      <c r="O78" s="9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98"/>
      <c r="AV78" s="98"/>
    </row>
    <row r="79" spans="1:48" ht="15" customHeight="1" x14ac:dyDescent="0.2">
      <c r="A79" s="93">
        <v>74</v>
      </c>
      <c r="B79" s="88" t="s">
        <v>88</v>
      </c>
      <c r="C79" s="94" t="s">
        <v>328</v>
      </c>
      <c r="D79" s="94" t="s">
        <v>119</v>
      </c>
      <c r="E79" s="94" t="s">
        <v>154</v>
      </c>
      <c r="F79" s="95">
        <v>43274</v>
      </c>
      <c r="G79" s="94" t="s">
        <v>329</v>
      </c>
      <c r="H79" s="94">
        <v>2544004292</v>
      </c>
      <c r="I79" s="94" t="s">
        <v>330</v>
      </c>
      <c r="J79" s="95">
        <v>45627</v>
      </c>
      <c r="K79" s="94" t="s">
        <v>160</v>
      </c>
      <c r="L79" s="94">
        <v>16</v>
      </c>
      <c r="M79" s="94"/>
      <c r="N79" s="96" t="s">
        <v>40</v>
      </c>
      <c r="O79" s="9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98"/>
      <c r="AV79" s="98"/>
    </row>
    <row r="80" spans="1:48" ht="15" customHeight="1" x14ac:dyDescent="0.2">
      <c r="A80" s="93">
        <v>75</v>
      </c>
      <c r="B80" s="88" t="s">
        <v>88</v>
      </c>
      <c r="C80" s="94" t="s">
        <v>331</v>
      </c>
      <c r="D80" s="94" t="s">
        <v>332</v>
      </c>
      <c r="E80" s="94" t="s">
        <v>214</v>
      </c>
      <c r="F80" s="95" t="s">
        <v>333</v>
      </c>
      <c r="G80" s="94" t="s">
        <v>334</v>
      </c>
      <c r="H80" s="94">
        <v>7063088178</v>
      </c>
      <c r="I80" s="94" t="s">
        <v>335</v>
      </c>
      <c r="J80" s="95" t="s">
        <v>123</v>
      </c>
      <c r="K80" s="94" t="s">
        <v>201</v>
      </c>
      <c r="L80" s="94">
        <v>58</v>
      </c>
      <c r="M80" s="94"/>
      <c r="N80" s="96" t="s">
        <v>40</v>
      </c>
      <c r="O80" s="9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98"/>
      <c r="AV80" s="98"/>
    </row>
    <row r="81" spans="1:48" ht="15" customHeight="1" x14ac:dyDescent="0.2">
      <c r="A81" s="93">
        <v>76</v>
      </c>
      <c r="B81" s="88" t="s">
        <v>48</v>
      </c>
      <c r="C81" s="94" t="s">
        <v>331</v>
      </c>
      <c r="D81" s="94" t="s">
        <v>332</v>
      </c>
      <c r="E81" s="94" t="s">
        <v>214</v>
      </c>
      <c r="F81" s="95" t="s">
        <v>333</v>
      </c>
      <c r="G81" s="94" t="s">
        <v>334</v>
      </c>
      <c r="H81" s="94">
        <v>7063088178</v>
      </c>
      <c r="I81" s="94" t="s">
        <v>335</v>
      </c>
      <c r="J81" s="95" t="s">
        <v>123</v>
      </c>
      <c r="K81" s="94" t="s">
        <v>143</v>
      </c>
      <c r="L81" s="94">
        <v>76</v>
      </c>
      <c r="M81" s="94"/>
      <c r="N81" s="96" t="s">
        <v>40</v>
      </c>
      <c r="O81" s="9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98"/>
      <c r="AV81" s="98"/>
    </row>
    <row r="82" spans="1:48" ht="15" customHeight="1" x14ac:dyDescent="0.2">
      <c r="A82" s="93">
        <v>77</v>
      </c>
      <c r="B82" s="88" t="s">
        <v>48</v>
      </c>
      <c r="C82" s="94" t="s">
        <v>331</v>
      </c>
      <c r="D82" s="94" t="s">
        <v>336</v>
      </c>
      <c r="E82" s="94">
        <v>1</v>
      </c>
      <c r="F82" s="95" t="s">
        <v>337</v>
      </c>
      <c r="G82" s="94" t="s">
        <v>338</v>
      </c>
      <c r="H82" s="94">
        <v>4088390577</v>
      </c>
      <c r="I82" s="94" t="s">
        <v>339</v>
      </c>
      <c r="J82" s="95" t="s">
        <v>340</v>
      </c>
      <c r="K82" s="94" t="s">
        <v>137</v>
      </c>
      <c r="L82" s="94">
        <v>81</v>
      </c>
      <c r="M82" s="94"/>
      <c r="N82" s="96" t="s">
        <v>40</v>
      </c>
      <c r="O82" s="9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98"/>
      <c r="AV82" s="98"/>
    </row>
    <row r="83" spans="1:48" ht="15" customHeight="1" x14ac:dyDescent="0.2">
      <c r="A83" s="93">
        <v>78</v>
      </c>
      <c r="B83" s="88" t="s">
        <v>88</v>
      </c>
      <c r="C83" s="94" t="s">
        <v>331</v>
      </c>
      <c r="D83" s="94" t="s">
        <v>336</v>
      </c>
      <c r="E83" s="94">
        <v>1</v>
      </c>
      <c r="F83" s="95" t="s">
        <v>337</v>
      </c>
      <c r="G83" s="94" t="s">
        <v>338</v>
      </c>
      <c r="H83" s="94">
        <v>4088390577</v>
      </c>
      <c r="I83" s="94" t="s">
        <v>339</v>
      </c>
      <c r="J83" s="95" t="s">
        <v>340</v>
      </c>
      <c r="K83" s="94" t="s">
        <v>138</v>
      </c>
      <c r="L83" s="94">
        <v>51</v>
      </c>
      <c r="M83" s="94"/>
      <c r="N83" s="96" t="s">
        <v>40</v>
      </c>
      <c r="O83" s="9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98"/>
      <c r="AV83" s="98"/>
    </row>
    <row r="84" spans="1:48" ht="15" customHeight="1" x14ac:dyDescent="0.2">
      <c r="A84" s="93">
        <v>79</v>
      </c>
      <c r="B84" s="88" t="s">
        <v>48</v>
      </c>
      <c r="C84" s="94" t="s">
        <v>341</v>
      </c>
      <c r="D84" s="94" t="s">
        <v>342</v>
      </c>
      <c r="E84" s="94">
        <v>2</v>
      </c>
      <c r="F84" s="95">
        <v>42736</v>
      </c>
      <c r="G84" s="94" t="s">
        <v>343</v>
      </c>
      <c r="H84" s="94">
        <v>4088070200</v>
      </c>
      <c r="I84" s="94" t="s">
        <v>344</v>
      </c>
      <c r="J84" s="95">
        <v>45323</v>
      </c>
      <c r="K84" s="94" t="s">
        <v>265</v>
      </c>
      <c r="L84" s="94">
        <v>82</v>
      </c>
      <c r="M84" s="94"/>
      <c r="N84" s="96" t="s">
        <v>40</v>
      </c>
      <c r="O84" s="9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98"/>
      <c r="AV84" s="98"/>
    </row>
    <row r="85" spans="1:48" ht="15" customHeight="1" x14ac:dyDescent="0.2">
      <c r="A85" s="93">
        <v>80</v>
      </c>
      <c r="B85" s="88" t="s">
        <v>88</v>
      </c>
      <c r="C85" s="94" t="s">
        <v>341</v>
      </c>
      <c r="D85" s="94" t="s">
        <v>342</v>
      </c>
      <c r="E85" s="94">
        <v>2</v>
      </c>
      <c r="F85" s="95">
        <v>42736</v>
      </c>
      <c r="G85" s="94" t="s">
        <v>343</v>
      </c>
      <c r="H85" s="94">
        <v>4088070200</v>
      </c>
      <c r="I85" s="94" t="s">
        <v>344</v>
      </c>
      <c r="J85" s="95">
        <v>45525</v>
      </c>
      <c r="K85" s="94" t="s">
        <v>160</v>
      </c>
      <c r="L85" s="94">
        <v>41</v>
      </c>
      <c r="M85" s="94"/>
      <c r="N85" s="96" t="s">
        <v>40</v>
      </c>
      <c r="O85" s="9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98"/>
      <c r="AV85" s="98"/>
    </row>
    <row r="86" spans="1:48" ht="15" customHeight="1" x14ac:dyDescent="0.2">
      <c r="A86" s="93">
        <v>81</v>
      </c>
      <c r="B86" s="88" t="s">
        <v>48</v>
      </c>
      <c r="C86" s="94" t="s">
        <v>345</v>
      </c>
      <c r="D86" s="94" t="s">
        <v>346</v>
      </c>
      <c r="E86" s="94">
        <v>4</v>
      </c>
      <c r="F86" s="95" t="s">
        <v>347</v>
      </c>
      <c r="G86" s="94" t="s">
        <v>348</v>
      </c>
      <c r="H86" s="94">
        <v>2066055380</v>
      </c>
      <c r="I86" s="94" t="s">
        <v>349</v>
      </c>
      <c r="J86" s="95" t="s">
        <v>350</v>
      </c>
      <c r="K86" s="94" t="s">
        <v>181</v>
      </c>
      <c r="L86" s="94">
        <v>71</v>
      </c>
      <c r="M86" s="94"/>
      <c r="N86" s="96" t="s">
        <v>40</v>
      </c>
      <c r="O86" s="9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98"/>
      <c r="AV86" s="98"/>
    </row>
    <row r="87" spans="1:48" ht="15" customHeight="1" x14ac:dyDescent="0.2">
      <c r="A87" s="93">
        <v>82</v>
      </c>
      <c r="B87" s="88" t="s">
        <v>88</v>
      </c>
      <c r="C87" s="94" t="s">
        <v>345</v>
      </c>
      <c r="D87" s="94" t="s">
        <v>346</v>
      </c>
      <c r="E87" s="94">
        <v>4</v>
      </c>
      <c r="F87" s="95" t="s">
        <v>351</v>
      </c>
      <c r="G87" s="94" t="s">
        <v>352</v>
      </c>
      <c r="H87" s="94">
        <v>2066055380</v>
      </c>
      <c r="I87" s="94" t="s">
        <v>349</v>
      </c>
      <c r="J87" s="95" t="s">
        <v>350</v>
      </c>
      <c r="K87" s="94" t="s">
        <v>182</v>
      </c>
      <c r="L87" s="94">
        <v>41</v>
      </c>
      <c r="M87" s="94"/>
      <c r="N87" s="96" t="s">
        <v>40</v>
      </c>
      <c r="O87" s="9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98"/>
      <c r="AV87" s="98"/>
    </row>
    <row r="88" spans="1:48" ht="15" customHeight="1" x14ac:dyDescent="0.2">
      <c r="A88" s="93">
        <v>83</v>
      </c>
      <c r="B88" s="93" t="s">
        <v>48</v>
      </c>
      <c r="C88" s="99" t="s">
        <v>353</v>
      </c>
      <c r="D88" s="99" t="s">
        <v>354</v>
      </c>
      <c r="E88" s="99" t="s">
        <v>154</v>
      </c>
      <c r="F88" s="100">
        <v>43649</v>
      </c>
      <c r="G88" s="101" t="s">
        <v>355</v>
      </c>
      <c r="H88" s="101">
        <v>4082181523</v>
      </c>
      <c r="I88" s="101" t="s">
        <v>356</v>
      </c>
      <c r="J88" s="95">
        <v>45733</v>
      </c>
      <c r="K88" s="94" t="s">
        <v>357</v>
      </c>
      <c r="L88" s="94">
        <v>36</v>
      </c>
      <c r="M88" s="94" t="s">
        <v>144</v>
      </c>
      <c r="N88" s="96" t="s">
        <v>40</v>
      </c>
      <c r="O88" s="102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98"/>
      <c r="AV88" s="98"/>
    </row>
    <row r="89" spans="1:48" ht="15" customHeight="1" x14ac:dyDescent="0.2">
      <c r="A89" s="93">
        <v>84</v>
      </c>
      <c r="B89" s="105" t="s">
        <v>88</v>
      </c>
      <c r="C89" s="99" t="s">
        <v>353</v>
      </c>
      <c r="D89" s="99" t="s">
        <v>354</v>
      </c>
      <c r="E89" s="99" t="s">
        <v>154</v>
      </c>
      <c r="F89" s="100">
        <v>43649</v>
      </c>
      <c r="G89" s="101" t="s">
        <v>355</v>
      </c>
      <c r="H89" s="101">
        <v>4082181523</v>
      </c>
      <c r="I89" s="101" t="s">
        <v>356</v>
      </c>
      <c r="J89" s="95">
        <v>45733</v>
      </c>
      <c r="K89" s="94" t="s">
        <v>358</v>
      </c>
      <c r="L89" s="94">
        <v>91</v>
      </c>
      <c r="M89" s="94" t="s">
        <v>259</v>
      </c>
      <c r="N89" s="96" t="s">
        <v>40</v>
      </c>
      <c r="O89" s="102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98"/>
      <c r="AV89" s="98"/>
    </row>
    <row r="90" spans="1:48" ht="15" customHeight="1" x14ac:dyDescent="0.2">
      <c r="A90" s="93">
        <v>85</v>
      </c>
      <c r="B90" s="88" t="s">
        <v>48</v>
      </c>
      <c r="C90" s="94" t="s">
        <v>359</v>
      </c>
      <c r="D90" s="94" t="s">
        <v>360</v>
      </c>
      <c r="E90" s="94" t="s">
        <v>154</v>
      </c>
      <c r="F90" s="95">
        <v>42867</v>
      </c>
      <c r="G90" s="94" t="s">
        <v>361</v>
      </c>
      <c r="H90" s="94">
        <v>4086432868</v>
      </c>
      <c r="I90" s="94" t="s">
        <v>362</v>
      </c>
      <c r="J90" s="95" t="s">
        <v>158</v>
      </c>
      <c r="K90" s="94" t="s">
        <v>181</v>
      </c>
      <c r="L90" s="94">
        <v>51</v>
      </c>
      <c r="M90" s="94"/>
      <c r="N90" s="96" t="s">
        <v>40</v>
      </c>
      <c r="O90" s="9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98"/>
      <c r="AV90" s="98"/>
    </row>
    <row r="91" spans="1:48" ht="15" customHeight="1" x14ac:dyDescent="0.2">
      <c r="A91" s="93">
        <v>86</v>
      </c>
      <c r="B91" s="88" t="s">
        <v>88</v>
      </c>
      <c r="C91" s="94" t="s">
        <v>359</v>
      </c>
      <c r="D91" s="94" t="s">
        <v>360</v>
      </c>
      <c r="E91" s="94" t="s">
        <v>154</v>
      </c>
      <c r="F91" s="95">
        <v>42867</v>
      </c>
      <c r="G91" s="94" t="s">
        <v>361</v>
      </c>
      <c r="H91" s="94">
        <v>4086432868</v>
      </c>
      <c r="I91" s="94" t="s">
        <v>362</v>
      </c>
      <c r="J91" s="95" t="s">
        <v>158</v>
      </c>
      <c r="K91" s="94" t="s">
        <v>124</v>
      </c>
      <c r="L91" s="94">
        <v>73</v>
      </c>
      <c r="M91" s="94"/>
      <c r="N91" s="96" t="s">
        <v>40</v>
      </c>
      <c r="O91" s="9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98"/>
      <c r="AV91" s="98"/>
    </row>
    <row r="92" spans="1:48" ht="15" customHeight="1" x14ac:dyDescent="0.2">
      <c r="A92" s="93">
        <v>87</v>
      </c>
      <c r="B92" s="88" t="s">
        <v>48</v>
      </c>
      <c r="C92" s="94" t="s">
        <v>363</v>
      </c>
      <c r="D92" s="94" t="s">
        <v>303</v>
      </c>
      <c r="E92" s="94">
        <v>3</v>
      </c>
      <c r="F92" s="95">
        <v>42514</v>
      </c>
      <c r="G92" s="94" t="s">
        <v>364</v>
      </c>
      <c r="H92" s="94">
        <v>4703493407</v>
      </c>
      <c r="I92" s="94" t="s">
        <v>365</v>
      </c>
      <c r="J92" s="95">
        <v>45695</v>
      </c>
      <c r="K92" s="94" t="s">
        <v>143</v>
      </c>
      <c r="L92" s="94">
        <v>76</v>
      </c>
      <c r="M92" s="94"/>
      <c r="N92" s="96" t="s">
        <v>40</v>
      </c>
      <c r="O92" s="9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98"/>
      <c r="AV92" s="98"/>
    </row>
    <row r="93" spans="1:48" ht="15" customHeight="1" x14ac:dyDescent="0.2">
      <c r="A93" s="93">
        <v>88</v>
      </c>
      <c r="B93" s="88" t="s">
        <v>48</v>
      </c>
      <c r="C93" s="94" t="s">
        <v>366</v>
      </c>
      <c r="D93" s="94" t="s">
        <v>367</v>
      </c>
      <c r="E93" s="94">
        <v>6</v>
      </c>
      <c r="F93" s="95">
        <v>41061</v>
      </c>
      <c r="G93" s="94" t="s">
        <v>368</v>
      </c>
      <c r="H93" s="94">
        <v>4088139160</v>
      </c>
      <c r="I93" s="94" t="s">
        <v>369</v>
      </c>
      <c r="J93" s="95">
        <v>45156</v>
      </c>
      <c r="K93" s="94" t="s">
        <v>124</v>
      </c>
      <c r="L93" s="94">
        <v>71</v>
      </c>
      <c r="M93" s="94"/>
      <c r="N93" s="96" t="s">
        <v>40</v>
      </c>
      <c r="O93" s="9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98"/>
      <c r="AV93" s="98"/>
    </row>
    <row r="94" spans="1:48" ht="15" customHeight="1" x14ac:dyDescent="0.2">
      <c r="A94" s="93">
        <v>89</v>
      </c>
      <c r="B94" s="88" t="s">
        <v>88</v>
      </c>
      <c r="C94" s="94" t="s">
        <v>366</v>
      </c>
      <c r="D94" s="94" t="s">
        <v>367</v>
      </c>
      <c r="E94" s="94">
        <v>6</v>
      </c>
      <c r="F94" s="95">
        <v>41061</v>
      </c>
      <c r="G94" s="94" t="s">
        <v>368</v>
      </c>
      <c r="H94" s="94">
        <v>4088139160</v>
      </c>
      <c r="I94" s="94" t="s">
        <v>369</v>
      </c>
      <c r="J94" s="95">
        <v>45156</v>
      </c>
      <c r="K94" s="94" t="s">
        <v>370</v>
      </c>
      <c r="L94" s="94">
        <v>15</v>
      </c>
      <c r="M94" s="94"/>
      <c r="N94" s="96" t="s">
        <v>40</v>
      </c>
      <c r="O94" s="9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98"/>
      <c r="AV94" s="98"/>
    </row>
    <row r="95" spans="1:48" ht="15" customHeight="1" x14ac:dyDescent="0.2">
      <c r="A95" s="93">
        <v>90</v>
      </c>
      <c r="B95" s="88" t="s">
        <v>48</v>
      </c>
      <c r="C95" s="94" t="s">
        <v>371</v>
      </c>
      <c r="D95" s="94" t="s">
        <v>372</v>
      </c>
      <c r="E95" s="94">
        <v>2</v>
      </c>
      <c r="F95" s="95">
        <v>42348</v>
      </c>
      <c r="G95" s="94" t="s">
        <v>373</v>
      </c>
      <c r="H95" s="94">
        <v>4157228574</v>
      </c>
      <c r="I95" s="94" t="s">
        <v>374</v>
      </c>
      <c r="J95" s="95" t="s">
        <v>375</v>
      </c>
      <c r="K95" s="94" t="s">
        <v>181</v>
      </c>
      <c r="L95" s="94">
        <v>101</v>
      </c>
      <c r="M95" s="94" t="s">
        <v>64</v>
      </c>
      <c r="N95" s="96" t="s">
        <v>40</v>
      </c>
      <c r="O95" s="9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98"/>
      <c r="AV95" s="98"/>
    </row>
    <row r="96" spans="1:48" ht="15" customHeight="1" x14ac:dyDescent="0.2">
      <c r="A96" s="93">
        <v>91</v>
      </c>
      <c r="B96" s="88" t="s">
        <v>88</v>
      </c>
      <c r="C96" s="94" t="s">
        <v>371</v>
      </c>
      <c r="D96" s="94" t="s">
        <v>372</v>
      </c>
      <c r="E96" s="94">
        <v>2</v>
      </c>
      <c r="F96" s="95">
        <v>42348</v>
      </c>
      <c r="G96" s="94" t="s">
        <v>373</v>
      </c>
      <c r="H96" s="94">
        <v>4157228574</v>
      </c>
      <c r="I96" s="94" t="s">
        <v>374</v>
      </c>
      <c r="J96" s="95" t="s">
        <v>375</v>
      </c>
      <c r="K96" s="94" t="s">
        <v>109</v>
      </c>
      <c r="L96" s="94">
        <v>6</v>
      </c>
      <c r="M96" s="94"/>
      <c r="N96" s="96" t="s">
        <v>40</v>
      </c>
      <c r="O96" s="9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98"/>
      <c r="AV96" s="98"/>
    </row>
    <row r="97" spans="1:48" ht="15" customHeight="1" x14ac:dyDescent="0.2">
      <c r="A97" s="93">
        <v>92</v>
      </c>
      <c r="B97" s="88" t="s">
        <v>48</v>
      </c>
      <c r="C97" s="94" t="s">
        <v>371</v>
      </c>
      <c r="D97" s="94" t="s">
        <v>376</v>
      </c>
      <c r="E97" s="94">
        <v>1</v>
      </c>
      <c r="F97" s="95">
        <v>42086</v>
      </c>
      <c r="G97" s="94" t="s">
        <v>377</v>
      </c>
      <c r="H97" s="94">
        <v>5109848496</v>
      </c>
      <c r="I97" s="94" t="s">
        <v>378</v>
      </c>
      <c r="J97" s="95">
        <v>45536</v>
      </c>
      <c r="K97" s="94" t="s">
        <v>379</v>
      </c>
      <c r="L97" s="94">
        <v>31</v>
      </c>
      <c r="M97" s="94"/>
      <c r="N97" s="96" t="s">
        <v>40</v>
      </c>
      <c r="O97" s="9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98"/>
      <c r="AV97" s="98"/>
    </row>
    <row r="98" spans="1:48" ht="15" customHeight="1" x14ac:dyDescent="0.2">
      <c r="A98" s="93">
        <v>93</v>
      </c>
      <c r="B98" s="88" t="s">
        <v>88</v>
      </c>
      <c r="C98" s="94" t="s">
        <v>371</v>
      </c>
      <c r="D98" s="94" t="s">
        <v>376</v>
      </c>
      <c r="E98" s="94">
        <v>1</v>
      </c>
      <c r="F98" s="95">
        <v>42086</v>
      </c>
      <c r="G98" s="94" t="s">
        <v>377</v>
      </c>
      <c r="H98" s="94">
        <v>5109848496</v>
      </c>
      <c r="I98" s="94" t="s">
        <v>378</v>
      </c>
      <c r="J98" s="95">
        <v>45536</v>
      </c>
      <c r="K98" s="94" t="s">
        <v>224</v>
      </c>
      <c r="L98" s="94">
        <v>31</v>
      </c>
      <c r="M98" s="94"/>
      <c r="N98" s="96" t="s">
        <v>40</v>
      </c>
      <c r="O98" s="9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98"/>
      <c r="AV98" s="98"/>
    </row>
    <row r="99" spans="1:48" ht="15" customHeight="1" x14ac:dyDescent="0.2">
      <c r="A99" s="93">
        <v>94</v>
      </c>
      <c r="B99" s="88" t="s">
        <v>48</v>
      </c>
      <c r="C99" s="94" t="s">
        <v>380</v>
      </c>
      <c r="D99" s="94" t="s">
        <v>381</v>
      </c>
      <c r="E99" s="94">
        <v>2</v>
      </c>
      <c r="F99" s="95" t="s">
        <v>382</v>
      </c>
      <c r="G99" s="94" t="s">
        <v>383</v>
      </c>
      <c r="H99" s="94">
        <v>3473220327</v>
      </c>
      <c r="I99" s="94" t="s">
        <v>384</v>
      </c>
      <c r="J99" s="95" t="s">
        <v>385</v>
      </c>
      <c r="K99" s="94" t="s">
        <v>159</v>
      </c>
      <c r="L99" s="94">
        <v>16</v>
      </c>
      <c r="M99" s="94" t="s">
        <v>386</v>
      </c>
      <c r="N99" s="96" t="s">
        <v>40</v>
      </c>
      <c r="O99" s="9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98"/>
      <c r="AV99" s="98"/>
    </row>
    <row r="100" spans="1:48" ht="15" customHeight="1" x14ac:dyDescent="0.2">
      <c r="A100" s="93">
        <v>95</v>
      </c>
      <c r="B100" s="88" t="s">
        <v>88</v>
      </c>
      <c r="C100" s="94" t="s">
        <v>380</v>
      </c>
      <c r="D100" s="94" t="s">
        <v>381</v>
      </c>
      <c r="E100" s="94">
        <v>2</v>
      </c>
      <c r="F100" s="95" t="s">
        <v>382</v>
      </c>
      <c r="G100" s="94" t="s">
        <v>383</v>
      </c>
      <c r="H100" s="94">
        <v>3473220327</v>
      </c>
      <c r="I100" s="94" t="s">
        <v>384</v>
      </c>
      <c r="J100" s="95" t="s">
        <v>385</v>
      </c>
      <c r="K100" s="94" t="s">
        <v>152</v>
      </c>
      <c r="L100" s="94" t="s">
        <v>387</v>
      </c>
      <c r="M100" s="94" t="s">
        <v>386</v>
      </c>
      <c r="N100" s="96" t="s">
        <v>40</v>
      </c>
      <c r="O100" s="9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98"/>
      <c r="AV100" s="98"/>
    </row>
    <row r="101" spans="1:48" ht="15" customHeight="1" x14ac:dyDescent="0.2">
      <c r="A101" s="93">
        <v>96</v>
      </c>
      <c r="B101" s="88" t="s">
        <v>88</v>
      </c>
      <c r="C101" s="94" t="s">
        <v>388</v>
      </c>
      <c r="D101" s="94" t="s">
        <v>389</v>
      </c>
      <c r="E101" s="94" t="s">
        <v>246</v>
      </c>
      <c r="F101" s="95">
        <v>44245</v>
      </c>
      <c r="G101" s="94" t="s">
        <v>390</v>
      </c>
      <c r="H101" s="94">
        <v>6503056008</v>
      </c>
      <c r="I101" s="94" t="s">
        <v>391</v>
      </c>
      <c r="J101" s="95">
        <v>45658</v>
      </c>
      <c r="K101" s="94" t="s">
        <v>392</v>
      </c>
      <c r="L101" s="94">
        <v>81</v>
      </c>
      <c r="M101" s="94" t="s">
        <v>144</v>
      </c>
      <c r="N101" s="96" t="s">
        <v>40</v>
      </c>
      <c r="O101" s="9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98"/>
      <c r="AV101" s="98"/>
    </row>
    <row r="102" spans="1:48" ht="15" customHeight="1" x14ac:dyDescent="0.2">
      <c r="A102" s="93">
        <v>97</v>
      </c>
      <c r="B102" s="104" t="s">
        <v>48</v>
      </c>
      <c r="C102" s="94" t="s">
        <v>393</v>
      </c>
      <c r="D102" s="94" t="s">
        <v>394</v>
      </c>
      <c r="E102" s="94">
        <v>1</v>
      </c>
      <c r="F102" s="95" t="s">
        <v>395</v>
      </c>
      <c r="G102" s="94" t="s">
        <v>396</v>
      </c>
      <c r="H102" s="94">
        <v>4052306385</v>
      </c>
      <c r="I102" s="94" t="s">
        <v>397</v>
      </c>
      <c r="J102" s="95">
        <v>410985</v>
      </c>
      <c r="K102" s="94" t="s">
        <v>143</v>
      </c>
      <c r="L102" s="94">
        <v>76</v>
      </c>
      <c r="M102" s="95">
        <v>45536</v>
      </c>
      <c r="N102" s="96" t="s">
        <v>40</v>
      </c>
      <c r="O102" s="102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98"/>
      <c r="AV102" s="98"/>
    </row>
    <row r="103" spans="1:48" ht="15" customHeight="1" x14ac:dyDescent="0.2">
      <c r="A103" s="93">
        <v>98</v>
      </c>
      <c r="B103" s="104" t="s">
        <v>48</v>
      </c>
      <c r="C103" s="94" t="s">
        <v>398</v>
      </c>
      <c r="D103" s="94" t="s">
        <v>399</v>
      </c>
      <c r="E103" s="94">
        <v>1</v>
      </c>
      <c r="F103" s="95" t="s">
        <v>395</v>
      </c>
      <c r="G103" s="94" t="s">
        <v>396</v>
      </c>
      <c r="H103" s="94">
        <v>4052306385</v>
      </c>
      <c r="I103" s="94" t="s">
        <v>397</v>
      </c>
      <c r="J103" s="95">
        <v>410985</v>
      </c>
      <c r="K103" s="94" t="s">
        <v>143</v>
      </c>
      <c r="L103" s="94">
        <v>46</v>
      </c>
      <c r="M103" s="95">
        <v>45536</v>
      </c>
      <c r="N103" s="96" t="s">
        <v>40</v>
      </c>
      <c r="O103" s="102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98"/>
      <c r="AV103" s="98"/>
    </row>
    <row r="104" spans="1:48" s="385" customFormat="1" ht="15" customHeight="1" x14ac:dyDescent="0.2">
      <c r="A104" s="378">
        <v>99</v>
      </c>
      <c r="B104" s="379" t="s">
        <v>48</v>
      </c>
      <c r="C104" s="380" t="s">
        <v>400</v>
      </c>
      <c r="D104" s="380" t="s">
        <v>401</v>
      </c>
      <c r="E104" s="380">
        <v>5</v>
      </c>
      <c r="F104" s="381">
        <v>41774</v>
      </c>
      <c r="G104" s="380" t="s">
        <v>402</v>
      </c>
      <c r="H104" s="380" t="s">
        <v>403</v>
      </c>
      <c r="I104" s="380" t="s">
        <v>404</v>
      </c>
      <c r="J104" s="381">
        <v>45588</v>
      </c>
      <c r="K104" s="380" t="s">
        <v>223</v>
      </c>
      <c r="L104" s="380" t="s">
        <v>405</v>
      </c>
      <c r="M104" s="380" t="s">
        <v>406</v>
      </c>
      <c r="N104" s="382" t="s">
        <v>34</v>
      </c>
      <c r="O104" s="386">
        <v>45748</v>
      </c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  <c r="AC104" s="383"/>
      <c r="AD104" s="383"/>
      <c r="AE104" s="383"/>
      <c r="AF104" s="383"/>
      <c r="AG104" s="383"/>
      <c r="AH104" s="383"/>
      <c r="AI104" s="383"/>
      <c r="AJ104" s="383"/>
      <c r="AK104" s="383"/>
      <c r="AL104" s="383"/>
      <c r="AM104" s="383"/>
      <c r="AN104" s="383"/>
      <c r="AO104" s="383"/>
      <c r="AP104" s="383"/>
      <c r="AQ104" s="383"/>
      <c r="AR104" s="383"/>
      <c r="AS104" s="383"/>
      <c r="AT104" s="383"/>
      <c r="AU104" s="384"/>
      <c r="AV104" s="384"/>
    </row>
    <row r="105" spans="1:48" ht="15" customHeight="1" x14ac:dyDescent="0.2">
      <c r="A105" s="93">
        <v>100</v>
      </c>
      <c r="B105" s="104" t="s">
        <v>88</v>
      </c>
      <c r="C105" s="94" t="s">
        <v>400</v>
      </c>
      <c r="D105" s="94" t="s">
        <v>401</v>
      </c>
      <c r="E105" s="94">
        <v>5</v>
      </c>
      <c r="F105" s="95">
        <v>41774</v>
      </c>
      <c r="G105" s="94" t="s">
        <v>402</v>
      </c>
      <c r="H105" s="94" t="s">
        <v>403</v>
      </c>
      <c r="I105" s="94" t="s">
        <v>404</v>
      </c>
      <c r="J105" s="95">
        <v>45740</v>
      </c>
      <c r="K105" s="94" t="s">
        <v>243</v>
      </c>
      <c r="L105" s="94">
        <v>96</v>
      </c>
      <c r="M105" s="95"/>
      <c r="N105" s="96" t="s">
        <v>40</v>
      </c>
      <c r="O105" s="102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98"/>
      <c r="AV105" s="98"/>
    </row>
    <row r="106" spans="1:48" ht="15" customHeight="1" x14ac:dyDescent="0.2">
      <c r="A106" s="93">
        <v>101</v>
      </c>
      <c r="B106" s="88" t="s">
        <v>48</v>
      </c>
      <c r="C106" s="94" t="s">
        <v>400</v>
      </c>
      <c r="D106" s="94" t="s">
        <v>407</v>
      </c>
      <c r="E106" s="94">
        <v>5</v>
      </c>
      <c r="F106" s="95">
        <v>41349</v>
      </c>
      <c r="G106" s="94" t="s">
        <v>408</v>
      </c>
      <c r="H106" s="94" t="s">
        <v>409</v>
      </c>
      <c r="I106" s="94" t="s">
        <v>410</v>
      </c>
      <c r="J106" s="95">
        <v>45103</v>
      </c>
      <c r="K106" s="94" t="s">
        <v>379</v>
      </c>
      <c r="L106" s="94">
        <v>66</v>
      </c>
      <c r="M106" s="94"/>
      <c r="N106" s="96" t="s">
        <v>40</v>
      </c>
      <c r="O106" s="9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98"/>
      <c r="AV106" s="98"/>
    </row>
    <row r="107" spans="1:48" ht="15" customHeight="1" x14ac:dyDescent="0.2">
      <c r="A107" s="93">
        <v>102</v>
      </c>
      <c r="B107" s="88" t="s">
        <v>88</v>
      </c>
      <c r="C107" s="94" t="s">
        <v>400</v>
      </c>
      <c r="D107" s="94" t="s">
        <v>407</v>
      </c>
      <c r="E107" s="94">
        <v>5</v>
      </c>
      <c r="F107" s="95">
        <v>41349</v>
      </c>
      <c r="G107" s="94" t="s">
        <v>408</v>
      </c>
      <c r="H107" s="94" t="s">
        <v>409</v>
      </c>
      <c r="I107" s="94" t="s">
        <v>410</v>
      </c>
      <c r="J107" s="95">
        <v>45103</v>
      </c>
      <c r="K107" s="94" t="s">
        <v>243</v>
      </c>
      <c r="L107" s="94">
        <v>16</v>
      </c>
      <c r="M107" s="94"/>
      <c r="N107" s="96" t="s">
        <v>40</v>
      </c>
      <c r="O107" s="9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98"/>
      <c r="AV107" s="98"/>
    </row>
    <row r="108" spans="1:48" ht="15" customHeight="1" x14ac:dyDescent="0.2">
      <c r="A108" s="93">
        <v>103</v>
      </c>
      <c r="B108" s="88" t="s">
        <v>48</v>
      </c>
      <c r="C108" s="94" t="s">
        <v>400</v>
      </c>
      <c r="D108" s="94" t="s">
        <v>411</v>
      </c>
      <c r="E108" s="94">
        <v>4</v>
      </c>
      <c r="F108" s="95" t="s">
        <v>347</v>
      </c>
      <c r="G108" s="94" t="s">
        <v>412</v>
      </c>
      <c r="H108" s="94">
        <v>6266790497</v>
      </c>
      <c r="I108" s="94" t="s">
        <v>413</v>
      </c>
      <c r="J108" s="95" t="s">
        <v>414</v>
      </c>
      <c r="K108" s="94" t="s">
        <v>304</v>
      </c>
      <c r="L108" s="94">
        <v>46</v>
      </c>
      <c r="M108" s="94" t="s">
        <v>386</v>
      </c>
      <c r="N108" s="96" t="s">
        <v>40</v>
      </c>
      <c r="O108" s="9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98"/>
      <c r="AV108" s="98"/>
    </row>
    <row r="109" spans="1:48" ht="15" customHeight="1" x14ac:dyDescent="0.2">
      <c r="A109" s="93">
        <v>104</v>
      </c>
      <c r="B109" s="88" t="s">
        <v>88</v>
      </c>
      <c r="C109" s="94" t="s">
        <v>400</v>
      </c>
      <c r="D109" s="94" t="s">
        <v>411</v>
      </c>
      <c r="E109" s="94">
        <v>4</v>
      </c>
      <c r="F109" s="95" t="s">
        <v>347</v>
      </c>
      <c r="G109" s="94" t="s">
        <v>412</v>
      </c>
      <c r="H109" s="94">
        <v>6266790497</v>
      </c>
      <c r="I109" s="94" t="s">
        <v>413</v>
      </c>
      <c r="J109" s="95" t="s">
        <v>414</v>
      </c>
      <c r="K109" s="94" t="s">
        <v>224</v>
      </c>
      <c r="L109" s="94">
        <v>95</v>
      </c>
      <c r="M109" s="94" t="s">
        <v>386</v>
      </c>
      <c r="N109" s="96" t="s">
        <v>40</v>
      </c>
      <c r="O109" s="9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98"/>
      <c r="AV109" s="98"/>
    </row>
    <row r="110" spans="1:48" ht="15" customHeight="1" x14ac:dyDescent="0.2">
      <c r="A110" s="93">
        <v>105</v>
      </c>
      <c r="B110" s="88" t="s">
        <v>48</v>
      </c>
      <c r="C110" s="94" t="s">
        <v>400</v>
      </c>
      <c r="D110" s="94" t="s">
        <v>119</v>
      </c>
      <c r="E110" s="94" t="s">
        <v>154</v>
      </c>
      <c r="F110" s="95">
        <v>42707</v>
      </c>
      <c r="G110" s="94" t="s">
        <v>415</v>
      </c>
      <c r="H110" s="94">
        <v>5108969910</v>
      </c>
      <c r="I110" s="94" t="s">
        <v>416</v>
      </c>
      <c r="J110" s="95">
        <v>44805</v>
      </c>
      <c r="K110" s="94" t="s">
        <v>128</v>
      </c>
      <c r="L110" s="94">
        <v>88</v>
      </c>
      <c r="M110" s="94"/>
      <c r="N110" s="96" t="s">
        <v>40</v>
      </c>
      <c r="O110" s="9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98"/>
      <c r="AV110" s="98"/>
    </row>
    <row r="111" spans="1:48" ht="15" customHeight="1" x14ac:dyDescent="0.2">
      <c r="A111" s="93">
        <v>106</v>
      </c>
      <c r="B111" s="88" t="s">
        <v>88</v>
      </c>
      <c r="C111" s="94" t="s">
        <v>400</v>
      </c>
      <c r="D111" s="94" t="s">
        <v>119</v>
      </c>
      <c r="E111" s="94" t="s">
        <v>154</v>
      </c>
      <c r="F111" s="95">
        <v>42707</v>
      </c>
      <c r="G111" s="94" t="s">
        <v>415</v>
      </c>
      <c r="H111" s="94">
        <v>5108969910</v>
      </c>
      <c r="I111" s="94" t="s">
        <v>416</v>
      </c>
      <c r="J111" s="95">
        <v>44805</v>
      </c>
      <c r="K111" s="94" t="s">
        <v>160</v>
      </c>
      <c r="L111" s="94">
        <v>81</v>
      </c>
      <c r="M111" s="94"/>
      <c r="N111" s="96" t="s">
        <v>40</v>
      </c>
      <c r="O111" s="9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98"/>
      <c r="AV111" s="98"/>
    </row>
    <row r="112" spans="1:48" ht="15" customHeight="1" x14ac:dyDescent="0.2">
      <c r="A112" s="93">
        <v>107</v>
      </c>
      <c r="B112" s="88" t="s">
        <v>48</v>
      </c>
      <c r="C112" s="94" t="s">
        <v>400</v>
      </c>
      <c r="D112" s="94" t="s">
        <v>417</v>
      </c>
      <c r="E112" s="94">
        <v>2</v>
      </c>
      <c r="F112" s="95" t="s">
        <v>418</v>
      </c>
      <c r="G112" s="94" t="s">
        <v>412</v>
      </c>
      <c r="H112" s="94">
        <v>6266790497</v>
      </c>
      <c r="I112" s="94" t="s">
        <v>413</v>
      </c>
      <c r="J112" s="95" t="s">
        <v>414</v>
      </c>
      <c r="K112" s="94" t="s">
        <v>110</v>
      </c>
      <c r="L112" s="94">
        <v>91</v>
      </c>
      <c r="M112" s="94" t="s">
        <v>386</v>
      </c>
      <c r="N112" s="96" t="s">
        <v>40</v>
      </c>
      <c r="O112" s="9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98"/>
      <c r="AV112" s="98"/>
    </row>
    <row r="113" spans="1:48" ht="15" customHeight="1" x14ac:dyDescent="0.2">
      <c r="A113" s="93">
        <v>108</v>
      </c>
      <c r="B113" s="88" t="s">
        <v>88</v>
      </c>
      <c r="C113" s="94" t="s">
        <v>400</v>
      </c>
      <c r="D113" s="94" t="s">
        <v>417</v>
      </c>
      <c r="E113" s="94">
        <v>2</v>
      </c>
      <c r="F113" s="95" t="s">
        <v>418</v>
      </c>
      <c r="G113" s="94" t="s">
        <v>412</v>
      </c>
      <c r="H113" s="94">
        <v>6266790497</v>
      </c>
      <c r="I113" s="94" t="s">
        <v>413</v>
      </c>
      <c r="J113" s="95" t="s">
        <v>414</v>
      </c>
      <c r="K113" s="94" t="s">
        <v>109</v>
      </c>
      <c r="L113" s="94">
        <v>41</v>
      </c>
      <c r="M113" s="94" t="s">
        <v>386</v>
      </c>
      <c r="N113" s="96" t="s">
        <v>40</v>
      </c>
      <c r="O113" s="9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98"/>
      <c r="AV113" s="98"/>
    </row>
    <row r="114" spans="1:48" ht="15" customHeight="1" x14ac:dyDescent="0.2">
      <c r="A114" s="93">
        <v>109</v>
      </c>
      <c r="B114" s="88" t="s">
        <v>48</v>
      </c>
      <c r="C114" s="94" t="s">
        <v>419</v>
      </c>
      <c r="D114" s="94" t="s">
        <v>119</v>
      </c>
      <c r="E114" s="94">
        <v>2</v>
      </c>
      <c r="F114" s="95" t="s">
        <v>420</v>
      </c>
      <c r="G114" s="94" t="s">
        <v>421</v>
      </c>
      <c r="H114" s="94">
        <v>4087591928</v>
      </c>
      <c r="I114" s="94" t="s">
        <v>422</v>
      </c>
      <c r="J114" s="95" t="s">
        <v>340</v>
      </c>
      <c r="K114" s="94" t="s">
        <v>265</v>
      </c>
      <c r="L114" s="94">
        <v>106</v>
      </c>
      <c r="M114" s="94"/>
      <c r="N114" s="96" t="s">
        <v>40</v>
      </c>
      <c r="O114" s="9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98"/>
      <c r="AV114" s="98"/>
    </row>
    <row r="115" spans="1:48" ht="15" customHeight="1" x14ac:dyDescent="0.2">
      <c r="A115" s="93">
        <v>110</v>
      </c>
      <c r="B115" s="88" t="s">
        <v>88</v>
      </c>
      <c r="C115" s="94" t="s">
        <v>419</v>
      </c>
      <c r="D115" s="94" t="s">
        <v>119</v>
      </c>
      <c r="E115" s="94">
        <v>2</v>
      </c>
      <c r="F115" s="95" t="s">
        <v>420</v>
      </c>
      <c r="G115" s="94" t="s">
        <v>421</v>
      </c>
      <c r="H115" s="94">
        <v>4087591928</v>
      </c>
      <c r="I115" s="94" t="s">
        <v>422</v>
      </c>
      <c r="J115" s="95" t="s">
        <v>340</v>
      </c>
      <c r="K115" s="94" t="s">
        <v>160</v>
      </c>
      <c r="L115" s="94">
        <v>106</v>
      </c>
      <c r="M115" s="94"/>
      <c r="N115" s="96" t="s">
        <v>40</v>
      </c>
      <c r="O115" s="9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98"/>
      <c r="AV115" s="98"/>
    </row>
    <row r="116" spans="1:48" ht="15" customHeight="1" x14ac:dyDescent="0.2">
      <c r="A116" s="93">
        <v>111</v>
      </c>
      <c r="B116" s="88" t="s">
        <v>48</v>
      </c>
      <c r="C116" s="94" t="s">
        <v>419</v>
      </c>
      <c r="D116" s="94" t="s">
        <v>423</v>
      </c>
      <c r="E116" s="94">
        <v>4</v>
      </c>
      <c r="F116" s="95" t="s">
        <v>424</v>
      </c>
      <c r="G116" s="94" t="s">
        <v>421</v>
      </c>
      <c r="H116" s="94">
        <v>4087591928</v>
      </c>
      <c r="I116" s="94" t="s">
        <v>422</v>
      </c>
      <c r="J116" s="95" t="s">
        <v>340</v>
      </c>
      <c r="K116" s="94" t="s">
        <v>181</v>
      </c>
      <c r="L116" s="94">
        <v>101</v>
      </c>
      <c r="M116" s="94"/>
      <c r="N116" s="96" t="s">
        <v>40</v>
      </c>
      <c r="O116" s="9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98"/>
      <c r="AV116" s="98"/>
    </row>
    <row r="117" spans="1:48" ht="15" customHeight="1" x14ac:dyDescent="0.2">
      <c r="A117" s="93">
        <v>112</v>
      </c>
      <c r="B117" s="88" t="s">
        <v>88</v>
      </c>
      <c r="C117" s="94" t="s">
        <v>419</v>
      </c>
      <c r="D117" s="94" t="s">
        <v>423</v>
      </c>
      <c r="E117" s="94">
        <v>4</v>
      </c>
      <c r="F117" s="95" t="s">
        <v>424</v>
      </c>
      <c r="G117" s="94" t="s">
        <v>421</v>
      </c>
      <c r="H117" s="94">
        <v>4087591928</v>
      </c>
      <c r="I117" s="94" t="s">
        <v>422</v>
      </c>
      <c r="J117" s="95" t="s">
        <v>340</v>
      </c>
      <c r="K117" s="94" t="s">
        <v>243</v>
      </c>
      <c r="L117" s="94">
        <v>21</v>
      </c>
      <c r="M117" s="94"/>
      <c r="N117" s="96" t="s">
        <v>40</v>
      </c>
      <c r="O117" s="9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98"/>
      <c r="AV117" s="98"/>
    </row>
    <row r="118" spans="1:48" ht="15" customHeight="1" x14ac:dyDescent="0.2">
      <c r="A118" s="93">
        <v>113</v>
      </c>
      <c r="B118" s="88" t="s">
        <v>48</v>
      </c>
      <c r="C118" s="94" t="s">
        <v>425</v>
      </c>
      <c r="D118" s="94" t="s">
        <v>426</v>
      </c>
      <c r="E118" s="94">
        <v>2</v>
      </c>
      <c r="F118" s="95" t="s">
        <v>427</v>
      </c>
      <c r="G118" s="94" t="s">
        <v>428</v>
      </c>
      <c r="H118" s="94">
        <v>4085108805</v>
      </c>
      <c r="I118" s="94" t="s">
        <v>429</v>
      </c>
      <c r="J118" s="95" t="s">
        <v>385</v>
      </c>
      <c r="K118" s="94" t="s">
        <v>265</v>
      </c>
      <c r="L118" s="94">
        <v>46</v>
      </c>
      <c r="M118" s="94"/>
      <c r="N118" s="96" t="s">
        <v>40</v>
      </c>
      <c r="O118" s="9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98"/>
      <c r="AV118" s="98"/>
    </row>
    <row r="119" spans="1:48" ht="15" customHeight="1" x14ac:dyDescent="0.2">
      <c r="A119" s="93">
        <v>114</v>
      </c>
      <c r="B119" s="88" t="s">
        <v>88</v>
      </c>
      <c r="C119" s="94" t="s">
        <v>425</v>
      </c>
      <c r="D119" s="94" t="s">
        <v>426</v>
      </c>
      <c r="E119" s="94">
        <v>2</v>
      </c>
      <c r="F119" s="95" t="s">
        <v>427</v>
      </c>
      <c r="G119" s="94" t="s">
        <v>428</v>
      </c>
      <c r="H119" s="94">
        <v>4085108805</v>
      </c>
      <c r="I119" s="94" t="s">
        <v>429</v>
      </c>
      <c r="J119" s="95" t="s">
        <v>385</v>
      </c>
      <c r="K119" s="94" t="s">
        <v>109</v>
      </c>
      <c r="L119" s="94">
        <v>6</v>
      </c>
      <c r="M119" s="94"/>
      <c r="N119" s="96" t="s">
        <v>40</v>
      </c>
      <c r="O119" s="9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98"/>
      <c r="AV119" s="98"/>
    </row>
    <row r="120" spans="1:48" ht="15" customHeight="1" x14ac:dyDescent="0.2">
      <c r="A120" s="93">
        <v>115</v>
      </c>
      <c r="B120" s="88" t="s">
        <v>48</v>
      </c>
      <c r="C120" s="94" t="s">
        <v>425</v>
      </c>
      <c r="D120" s="94" t="s">
        <v>430</v>
      </c>
      <c r="E120" s="94">
        <v>4</v>
      </c>
      <c r="F120" s="95" t="s">
        <v>431</v>
      </c>
      <c r="G120" s="94" t="s">
        <v>428</v>
      </c>
      <c r="H120" s="94">
        <v>4085108805</v>
      </c>
      <c r="I120" s="94" t="s">
        <v>429</v>
      </c>
      <c r="J120" s="95" t="s">
        <v>385</v>
      </c>
      <c r="K120" s="94" t="s">
        <v>223</v>
      </c>
      <c r="L120" s="94">
        <v>107</v>
      </c>
      <c r="M120" s="94"/>
      <c r="N120" s="96" t="s">
        <v>40</v>
      </c>
      <c r="O120" s="9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98"/>
      <c r="AV120" s="98"/>
    </row>
    <row r="121" spans="1:48" ht="15" customHeight="1" x14ac:dyDescent="0.2">
      <c r="A121" s="93">
        <v>116</v>
      </c>
      <c r="B121" s="88" t="s">
        <v>88</v>
      </c>
      <c r="C121" s="94" t="s">
        <v>425</v>
      </c>
      <c r="D121" s="94" t="s">
        <v>430</v>
      </c>
      <c r="E121" s="94">
        <v>4</v>
      </c>
      <c r="F121" s="95" t="s">
        <v>431</v>
      </c>
      <c r="G121" s="110" t="s">
        <v>428</v>
      </c>
      <c r="H121" s="110">
        <v>4085108805</v>
      </c>
      <c r="I121" s="111" t="s">
        <v>429</v>
      </c>
      <c r="J121" s="95" t="s">
        <v>385</v>
      </c>
      <c r="K121" s="94" t="s">
        <v>432</v>
      </c>
      <c r="L121" s="94">
        <v>26</v>
      </c>
      <c r="M121" s="94"/>
      <c r="N121" s="96" t="s">
        <v>40</v>
      </c>
      <c r="O121" s="9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98"/>
      <c r="AV121" s="98"/>
    </row>
    <row r="122" spans="1:48" ht="15" customHeight="1" x14ac:dyDescent="0.2">
      <c r="A122" s="93">
        <v>117</v>
      </c>
      <c r="B122" s="88" t="s">
        <v>48</v>
      </c>
      <c r="C122" s="94" t="s">
        <v>433</v>
      </c>
      <c r="D122" s="94" t="s">
        <v>434</v>
      </c>
      <c r="E122" s="94">
        <v>2</v>
      </c>
      <c r="F122" s="95">
        <v>42905</v>
      </c>
      <c r="G122" s="110" t="s">
        <v>435</v>
      </c>
      <c r="H122" s="110">
        <v>5303647578</v>
      </c>
      <c r="I122" s="111" t="s">
        <v>436</v>
      </c>
      <c r="J122" s="95">
        <v>45717</v>
      </c>
      <c r="K122" s="94" t="s">
        <v>159</v>
      </c>
      <c r="L122" s="94" t="s">
        <v>437</v>
      </c>
      <c r="M122" s="94"/>
      <c r="N122" s="96" t="s">
        <v>40</v>
      </c>
      <c r="O122" s="9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98"/>
      <c r="AV122" s="98"/>
    </row>
    <row r="123" spans="1:48" ht="15" customHeight="1" x14ac:dyDescent="0.2">
      <c r="A123" s="93">
        <v>118</v>
      </c>
      <c r="B123" s="88" t="s">
        <v>48</v>
      </c>
      <c r="C123" s="94" t="s">
        <v>438</v>
      </c>
      <c r="D123" s="94" t="s">
        <v>439</v>
      </c>
      <c r="E123" s="94">
        <v>4</v>
      </c>
      <c r="F123" s="95" t="s">
        <v>440</v>
      </c>
      <c r="G123" s="112" t="s">
        <v>441</v>
      </c>
      <c r="H123" s="94">
        <v>4085076346</v>
      </c>
      <c r="I123" s="113" t="s">
        <v>442</v>
      </c>
      <c r="J123" s="95" t="s">
        <v>158</v>
      </c>
      <c r="K123" s="94" t="s">
        <v>124</v>
      </c>
      <c r="L123" s="94">
        <v>36</v>
      </c>
      <c r="M123" s="94"/>
      <c r="N123" s="96" t="s">
        <v>40</v>
      </c>
      <c r="O123" s="9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98"/>
      <c r="AV123" s="98"/>
    </row>
    <row r="124" spans="1:48" ht="15" customHeight="1" x14ac:dyDescent="0.2">
      <c r="A124" s="93">
        <v>119</v>
      </c>
      <c r="B124" s="88" t="s">
        <v>88</v>
      </c>
      <c r="C124" s="94" t="s">
        <v>438</v>
      </c>
      <c r="D124" s="94" t="s">
        <v>439</v>
      </c>
      <c r="E124" s="94">
        <v>4</v>
      </c>
      <c r="F124" s="95" t="s">
        <v>443</v>
      </c>
      <c r="G124" s="114" t="s">
        <v>444</v>
      </c>
      <c r="H124" s="94">
        <v>4085076346</v>
      </c>
      <c r="I124" s="113" t="s">
        <v>442</v>
      </c>
      <c r="J124" s="95">
        <v>45566</v>
      </c>
      <c r="K124" s="94" t="s">
        <v>370</v>
      </c>
      <c r="L124" s="94">
        <v>31</v>
      </c>
      <c r="M124" s="94"/>
      <c r="N124" s="96" t="s">
        <v>40</v>
      </c>
      <c r="O124" s="9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98"/>
      <c r="AV124" s="98"/>
    </row>
    <row r="125" spans="1:48" ht="15" customHeight="1" x14ac:dyDescent="0.2">
      <c r="A125" s="93">
        <v>120</v>
      </c>
      <c r="B125" s="88" t="s">
        <v>48</v>
      </c>
      <c r="C125" s="94" t="s">
        <v>438</v>
      </c>
      <c r="D125" s="94" t="s">
        <v>445</v>
      </c>
      <c r="E125" s="94">
        <v>4</v>
      </c>
      <c r="F125" s="95" t="s">
        <v>440</v>
      </c>
      <c r="G125" s="114" t="s">
        <v>441</v>
      </c>
      <c r="H125" s="94">
        <v>4085076346</v>
      </c>
      <c r="I125" s="113" t="s">
        <v>442</v>
      </c>
      <c r="J125" s="95">
        <v>45520</v>
      </c>
      <c r="K125" s="94" t="s">
        <v>124</v>
      </c>
      <c r="L125" s="94">
        <v>41</v>
      </c>
      <c r="M125" s="94"/>
      <c r="N125" s="96" t="s">
        <v>40</v>
      </c>
      <c r="O125" s="9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98"/>
      <c r="AV125" s="98"/>
    </row>
    <row r="126" spans="1:48" ht="15" customHeight="1" x14ac:dyDescent="0.2">
      <c r="A126" s="93">
        <v>121</v>
      </c>
      <c r="B126" s="88" t="s">
        <v>88</v>
      </c>
      <c r="C126" s="94" t="s">
        <v>438</v>
      </c>
      <c r="D126" s="94" t="s">
        <v>445</v>
      </c>
      <c r="E126" s="94">
        <v>4</v>
      </c>
      <c r="F126" s="95" t="s">
        <v>443</v>
      </c>
      <c r="G126" s="114" t="s">
        <v>444</v>
      </c>
      <c r="H126" s="94">
        <v>4085076346</v>
      </c>
      <c r="I126" s="113" t="s">
        <v>442</v>
      </c>
      <c r="J126" s="95">
        <v>45566</v>
      </c>
      <c r="K126" s="94" t="s">
        <v>305</v>
      </c>
      <c r="L126" s="94">
        <v>31</v>
      </c>
      <c r="M126" s="94"/>
      <c r="N126" s="96" t="s">
        <v>40</v>
      </c>
      <c r="O126" s="9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98"/>
      <c r="AV126" s="98"/>
    </row>
    <row r="127" spans="1:48" ht="15" customHeight="1" x14ac:dyDescent="0.2">
      <c r="A127" s="93">
        <v>122</v>
      </c>
      <c r="B127" s="88" t="s">
        <v>48</v>
      </c>
      <c r="C127" s="94" t="s">
        <v>446</v>
      </c>
      <c r="D127" s="94" t="s">
        <v>447</v>
      </c>
      <c r="E127" s="94">
        <v>1</v>
      </c>
      <c r="F127" s="95">
        <v>42976</v>
      </c>
      <c r="G127" s="114" t="s">
        <v>448</v>
      </c>
      <c r="H127" s="94">
        <v>5105579050</v>
      </c>
      <c r="I127" s="113" t="s">
        <v>449</v>
      </c>
      <c r="J127" s="95">
        <v>45174</v>
      </c>
      <c r="K127" s="94" t="s">
        <v>159</v>
      </c>
      <c r="L127" s="94">
        <v>85</v>
      </c>
      <c r="M127" s="94"/>
      <c r="N127" s="96" t="s">
        <v>40</v>
      </c>
      <c r="O127" s="9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98"/>
      <c r="AV127" s="98"/>
    </row>
    <row r="128" spans="1:48" ht="15" customHeight="1" x14ac:dyDescent="0.2">
      <c r="A128" s="93">
        <v>123</v>
      </c>
      <c r="B128" s="88" t="s">
        <v>88</v>
      </c>
      <c r="C128" s="94" t="s">
        <v>446</v>
      </c>
      <c r="D128" s="94" t="s">
        <v>447</v>
      </c>
      <c r="E128" s="94">
        <v>1</v>
      </c>
      <c r="F128" s="95">
        <v>42976</v>
      </c>
      <c r="G128" s="94" t="s">
        <v>448</v>
      </c>
      <c r="H128" s="94">
        <v>5105579050</v>
      </c>
      <c r="I128" s="94" t="s">
        <v>449</v>
      </c>
      <c r="J128" s="95">
        <v>45174</v>
      </c>
      <c r="K128" s="94" t="s">
        <v>182</v>
      </c>
      <c r="L128" s="94">
        <v>11</v>
      </c>
      <c r="M128" s="94"/>
      <c r="N128" s="96" t="s">
        <v>40</v>
      </c>
      <c r="O128" s="9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98"/>
      <c r="AV128" s="98"/>
    </row>
    <row r="129" spans="1:48" ht="15" customHeight="1" x14ac:dyDescent="0.2">
      <c r="A129" s="93">
        <v>124</v>
      </c>
      <c r="B129" s="88" t="s">
        <v>48</v>
      </c>
      <c r="C129" s="94" t="s">
        <v>450</v>
      </c>
      <c r="D129" s="94" t="s">
        <v>407</v>
      </c>
      <c r="E129" s="94">
        <v>4</v>
      </c>
      <c r="F129" s="95" t="s">
        <v>451</v>
      </c>
      <c r="G129" s="114" t="s">
        <v>452</v>
      </c>
      <c r="H129" s="94">
        <v>3104608958</v>
      </c>
      <c r="I129" s="113" t="s">
        <v>453</v>
      </c>
      <c r="J129" s="95" t="s">
        <v>340</v>
      </c>
      <c r="K129" s="94" t="s">
        <v>379</v>
      </c>
      <c r="L129" s="94">
        <v>21</v>
      </c>
      <c r="M129" s="94"/>
      <c r="N129" s="96" t="s">
        <v>40</v>
      </c>
      <c r="O129" s="9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98"/>
      <c r="AV129" s="98"/>
    </row>
    <row r="130" spans="1:48" ht="15" customHeight="1" x14ac:dyDescent="0.2">
      <c r="A130" s="93">
        <v>125</v>
      </c>
      <c r="B130" s="88" t="s">
        <v>88</v>
      </c>
      <c r="C130" s="94" t="s">
        <v>450</v>
      </c>
      <c r="D130" s="94" t="s">
        <v>407</v>
      </c>
      <c r="E130" s="94">
        <v>4</v>
      </c>
      <c r="F130" s="95" t="s">
        <v>451</v>
      </c>
      <c r="G130" s="94" t="s">
        <v>452</v>
      </c>
      <c r="H130" s="94">
        <v>3104608958</v>
      </c>
      <c r="I130" s="94" t="s">
        <v>453</v>
      </c>
      <c r="J130" s="95" t="s">
        <v>340</v>
      </c>
      <c r="K130" s="94" t="s">
        <v>109</v>
      </c>
      <c r="L130" s="94">
        <v>56</v>
      </c>
      <c r="M130" s="94"/>
      <c r="N130" s="96" t="s">
        <v>40</v>
      </c>
      <c r="O130" s="97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98"/>
      <c r="AV130" s="98"/>
    </row>
    <row r="131" spans="1:48" ht="15" customHeight="1" x14ac:dyDescent="0.2">
      <c r="A131" s="93">
        <v>126</v>
      </c>
      <c r="B131" s="88" t="s">
        <v>48</v>
      </c>
      <c r="C131" s="94" t="s">
        <v>450</v>
      </c>
      <c r="D131" s="94" t="s">
        <v>454</v>
      </c>
      <c r="E131" s="94">
        <v>6</v>
      </c>
      <c r="F131" s="95" t="s">
        <v>455</v>
      </c>
      <c r="G131" s="94" t="s">
        <v>456</v>
      </c>
      <c r="H131" s="94">
        <v>5107714715</v>
      </c>
      <c r="I131" s="94" t="s">
        <v>457</v>
      </c>
      <c r="J131" s="95" t="s">
        <v>236</v>
      </c>
      <c r="K131" s="94" t="s">
        <v>223</v>
      </c>
      <c r="L131" s="94">
        <v>31</v>
      </c>
      <c r="M131" s="94"/>
      <c r="N131" s="96" t="s">
        <v>40</v>
      </c>
      <c r="O131" s="97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98"/>
      <c r="AV131" s="98"/>
    </row>
    <row r="132" spans="1:48" ht="15" customHeight="1" x14ac:dyDescent="0.2">
      <c r="A132" s="93">
        <v>127</v>
      </c>
      <c r="B132" s="115" t="s">
        <v>48</v>
      </c>
      <c r="C132" s="116" t="s">
        <v>425</v>
      </c>
      <c r="D132" s="116" t="s">
        <v>458</v>
      </c>
      <c r="E132" s="115">
        <v>1</v>
      </c>
      <c r="F132" s="117">
        <v>43335</v>
      </c>
      <c r="G132" s="118" t="s">
        <v>459</v>
      </c>
      <c r="H132" s="119">
        <v>5105574675</v>
      </c>
      <c r="I132" s="120" t="s">
        <v>460</v>
      </c>
      <c r="J132" s="117">
        <v>45766</v>
      </c>
      <c r="K132" s="116" t="s">
        <v>146</v>
      </c>
      <c r="L132" s="116">
        <v>8</v>
      </c>
      <c r="M132" s="121"/>
      <c r="N132" s="122" t="s">
        <v>82</v>
      </c>
      <c r="O132" s="117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4"/>
      <c r="AV132" s="124"/>
    </row>
    <row r="133" spans="1:48" ht="15" customHeight="1" x14ac:dyDescent="0.2">
      <c r="A133" s="93">
        <v>128</v>
      </c>
      <c r="B133" s="115" t="s">
        <v>48</v>
      </c>
      <c r="C133" s="116" t="s">
        <v>425</v>
      </c>
      <c r="D133" s="116" t="s">
        <v>426</v>
      </c>
      <c r="E133" s="115">
        <v>3</v>
      </c>
      <c r="F133" s="117">
        <v>42620</v>
      </c>
      <c r="G133" s="125" t="s">
        <v>461</v>
      </c>
      <c r="H133" s="126">
        <v>5105574675</v>
      </c>
      <c r="I133" s="120" t="s">
        <v>460</v>
      </c>
      <c r="J133" s="117">
        <v>45766</v>
      </c>
      <c r="K133" s="116" t="s">
        <v>146</v>
      </c>
      <c r="L133" s="116">
        <v>1</v>
      </c>
      <c r="M133" s="121"/>
      <c r="N133" s="122" t="s">
        <v>82</v>
      </c>
      <c r="O133" s="117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4"/>
      <c r="AV133" s="124"/>
    </row>
    <row r="134" spans="1:48" ht="15" customHeight="1" x14ac:dyDescent="0.2">
      <c r="A134" s="93">
        <v>129</v>
      </c>
      <c r="B134" s="115" t="s">
        <v>88</v>
      </c>
      <c r="C134" s="116" t="s">
        <v>462</v>
      </c>
      <c r="D134" s="116" t="s">
        <v>239</v>
      </c>
      <c r="E134" s="115">
        <v>9</v>
      </c>
      <c r="F134" s="117">
        <v>40647</v>
      </c>
      <c r="G134" s="116" t="s">
        <v>463</v>
      </c>
      <c r="H134" s="127">
        <v>4084214334</v>
      </c>
      <c r="I134" s="128" t="s">
        <v>242</v>
      </c>
      <c r="J134" s="117">
        <v>45763</v>
      </c>
      <c r="K134" s="116" t="s">
        <v>464</v>
      </c>
      <c r="L134" s="116">
        <v>36</v>
      </c>
      <c r="M134" s="121"/>
      <c r="N134" s="122" t="s">
        <v>82</v>
      </c>
      <c r="O134" s="117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4"/>
      <c r="AV134" s="124"/>
    </row>
    <row r="135" spans="1:48" ht="15" customHeight="1" x14ac:dyDescent="0.2">
      <c r="A135" s="93">
        <v>130</v>
      </c>
      <c r="B135" s="104"/>
      <c r="C135" s="97"/>
      <c r="D135" s="97"/>
      <c r="E135" s="104"/>
      <c r="F135" s="102"/>
      <c r="G135" s="97"/>
      <c r="H135" s="129"/>
      <c r="I135" s="97"/>
      <c r="J135" s="102"/>
      <c r="K135" s="97"/>
      <c r="L135" s="97"/>
      <c r="M135" s="95"/>
      <c r="N135" s="96" t="s">
        <v>82</v>
      </c>
      <c r="O135" s="102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98"/>
      <c r="AV135" s="98"/>
    </row>
    <row r="136" spans="1:48" ht="15" customHeight="1" x14ac:dyDescent="0.2">
      <c r="A136" s="93">
        <v>131</v>
      </c>
      <c r="B136" s="104"/>
      <c r="C136" s="97"/>
      <c r="D136" s="97"/>
      <c r="E136" s="104"/>
      <c r="F136" s="102"/>
      <c r="G136" s="97"/>
      <c r="H136" s="129"/>
      <c r="I136" s="97"/>
      <c r="J136" s="102"/>
      <c r="K136" s="97"/>
      <c r="L136" s="97"/>
      <c r="M136" s="95"/>
      <c r="N136" s="96" t="s">
        <v>82</v>
      </c>
      <c r="O136" s="102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98"/>
      <c r="AV136" s="98"/>
    </row>
    <row r="137" spans="1:48" ht="15" customHeight="1" x14ac:dyDescent="0.2">
      <c r="A137" s="93">
        <v>132</v>
      </c>
      <c r="B137" s="104"/>
      <c r="C137" s="97"/>
      <c r="D137" s="97"/>
      <c r="E137" s="104"/>
      <c r="F137" s="102"/>
      <c r="G137" s="97"/>
      <c r="H137" s="129"/>
      <c r="I137" s="97"/>
      <c r="J137" s="102"/>
      <c r="K137" s="97"/>
      <c r="L137" s="97"/>
      <c r="M137" s="95"/>
      <c r="N137" s="96" t="s">
        <v>82</v>
      </c>
      <c r="O137" s="102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98"/>
      <c r="AV137" s="98"/>
    </row>
    <row r="138" spans="1:48" ht="15" customHeight="1" x14ac:dyDescent="0.2">
      <c r="A138" s="93">
        <v>133</v>
      </c>
      <c r="B138" s="104"/>
      <c r="C138" s="97"/>
      <c r="D138" s="97"/>
      <c r="E138" s="104"/>
      <c r="F138" s="102"/>
      <c r="G138" s="97"/>
      <c r="H138" s="129"/>
      <c r="I138" s="97"/>
      <c r="J138" s="102"/>
      <c r="K138" s="97"/>
      <c r="L138" s="97"/>
      <c r="M138" s="95"/>
      <c r="N138" s="96" t="s">
        <v>82</v>
      </c>
      <c r="O138" s="102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98"/>
      <c r="AV138" s="98"/>
    </row>
    <row r="139" spans="1:48" ht="15" customHeight="1" x14ac:dyDescent="0.2">
      <c r="A139" s="93">
        <v>134</v>
      </c>
      <c r="B139" s="104"/>
      <c r="C139" s="97"/>
      <c r="D139" s="97"/>
      <c r="E139" s="104"/>
      <c r="F139" s="102"/>
      <c r="G139" s="97"/>
      <c r="H139" s="129"/>
      <c r="I139" s="97"/>
      <c r="J139" s="102"/>
      <c r="K139" s="97"/>
      <c r="L139" s="97"/>
      <c r="M139" s="95"/>
      <c r="N139" s="96" t="s">
        <v>82</v>
      </c>
      <c r="O139" s="102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98"/>
      <c r="AV139" s="98"/>
    </row>
    <row r="140" spans="1:48" ht="15" customHeight="1" x14ac:dyDescent="0.2">
      <c r="A140" s="93">
        <v>135</v>
      </c>
      <c r="B140" s="104"/>
      <c r="C140" s="97"/>
      <c r="D140" s="97"/>
      <c r="E140" s="104"/>
      <c r="F140" s="102"/>
      <c r="G140" s="97"/>
      <c r="H140" s="129"/>
      <c r="I140" s="97"/>
      <c r="J140" s="102"/>
      <c r="K140" s="97"/>
      <c r="L140" s="97"/>
      <c r="M140" s="95"/>
      <c r="N140" s="96" t="s">
        <v>82</v>
      </c>
      <c r="O140" s="102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98"/>
      <c r="AV140" s="98"/>
    </row>
    <row r="141" spans="1:48" ht="15" customHeight="1" x14ac:dyDescent="0.2">
      <c r="A141" s="93">
        <v>136</v>
      </c>
      <c r="B141" s="104"/>
      <c r="C141" s="97"/>
      <c r="D141" s="97"/>
      <c r="E141" s="104"/>
      <c r="F141" s="102"/>
      <c r="G141" s="97"/>
      <c r="H141" s="129"/>
      <c r="I141" s="97"/>
      <c r="J141" s="102"/>
      <c r="K141" s="97"/>
      <c r="L141" s="97"/>
      <c r="M141" s="95"/>
      <c r="N141" s="96" t="s">
        <v>82</v>
      </c>
      <c r="O141" s="102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98"/>
      <c r="AV141" s="98"/>
    </row>
    <row r="142" spans="1:48" ht="15" customHeight="1" x14ac:dyDescent="0.2">
      <c r="A142" s="93">
        <v>139</v>
      </c>
      <c r="B142" s="104"/>
      <c r="C142" s="97"/>
      <c r="D142" s="97"/>
      <c r="E142" s="104"/>
      <c r="F142" s="102"/>
      <c r="G142" s="97"/>
      <c r="H142" s="129"/>
      <c r="I142" s="97"/>
      <c r="J142" s="102"/>
      <c r="K142" s="97"/>
      <c r="L142" s="97"/>
      <c r="M142" s="95"/>
      <c r="N142" s="96" t="s">
        <v>82</v>
      </c>
      <c r="O142" s="102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98"/>
      <c r="AV142" s="98"/>
    </row>
    <row r="143" spans="1:48" ht="15" customHeight="1" x14ac:dyDescent="0.2">
      <c r="A143" s="93">
        <v>140</v>
      </c>
      <c r="B143" s="104"/>
      <c r="C143" s="97"/>
      <c r="D143" s="97"/>
      <c r="E143" s="104"/>
      <c r="F143" s="102"/>
      <c r="G143" s="97"/>
      <c r="H143" s="129"/>
      <c r="I143" s="97"/>
      <c r="J143" s="102"/>
      <c r="K143" s="97"/>
      <c r="L143" s="97"/>
      <c r="M143" s="95"/>
      <c r="N143" s="96" t="s">
        <v>82</v>
      </c>
      <c r="O143" s="102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98"/>
      <c r="AV143" s="98"/>
    </row>
    <row r="144" spans="1:48" ht="15" customHeight="1" x14ac:dyDescent="0.2">
      <c r="A144" s="93">
        <v>141</v>
      </c>
      <c r="B144" s="104"/>
      <c r="C144" s="97"/>
      <c r="D144" s="97"/>
      <c r="E144" s="104"/>
      <c r="F144" s="102"/>
      <c r="G144" s="97"/>
      <c r="H144" s="129"/>
      <c r="I144" s="97"/>
      <c r="J144" s="102"/>
      <c r="K144" s="97"/>
      <c r="L144" s="97"/>
      <c r="M144" s="95"/>
      <c r="N144" s="96" t="s">
        <v>82</v>
      </c>
      <c r="O144" s="102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98"/>
      <c r="AV144" s="98"/>
    </row>
    <row r="145" spans="1:48" ht="15" customHeight="1" x14ac:dyDescent="0.2">
      <c r="A145" s="93">
        <v>142</v>
      </c>
      <c r="B145" s="104"/>
      <c r="C145" s="97"/>
      <c r="D145" s="97"/>
      <c r="E145" s="104"/>
      <c r="F145" s="102"/>
      <c r="G145" s="97"/>
      <c r="H145" s="129"/>
      <c r="I145" s="97"/>
      <c r="J145" s="102"/>
      <c r="K145" s="97"/>
      <c r="L145" s="97"/>
      <c r="M145" s="95"/>
      <c r="N145" s="96" t="s">
        <v>82</v>
      </c>
      <c r="O145" s="102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98"/>
      <c r="AV145" s="98"/>
    </row>
    <row r="146" spans="1:48" ht="17.25" customHeight="1" x14ac:dyDescent="0.2">
      <c r="A146" s="93">
        <v>143</v>
      </c>
      <c r="B146" s="88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4"/>
      <c r="N146" s="96" t="s">
        <v>82</v>
      </c>
      <c r="O146" s="97"/>
      <c r="P146" s="130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98"/>
      <c r="AT146" s="98"/>
      <c r="AU146" s="2"/>
      <c r="AV146" s="2"/>
    </row>
    <row r="147" spans="1:48" ht="17.25" customHeight="1" x14ac:dyDescent="0.2">
      <c r="A147" s="93">
        <v>144</v>
      </c>
      <c r="B147" s="88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4"/>
      <c r="N147" s="96" t="s">
        <v>82</v>
      </c>
      <c r="O147" s="97"/>
      <c r="P147" s="130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98"/>
      <c r="AT147" s="98"/>
      <c r="AU147" s="2"/>
      <c r="AV147" s="2"/>
    </row>
    <row r="148" spans="1:48" ht="17.25" customHeight="1" x14ac:dyDescent="0.2">
      <c r="A148" s="93">
        <v>145</v>
      </c>
      <c r="B148" s="88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4"/>
      <c r="N148" s="96" t="s">
        <v>82</v>
      </c>
      <c r="O148" s="97"/>
      <c r="P148" s="130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98"/>
      <c r="AT148" s="98"/>
      <c r="AU148" s="2"/>
      <c r="AV148" s="2"/>
    </row>
    <row r="149" spans="1:48" ht="17.25" customHeight="1" x14ac:dyDescent="0.2">
      <c r="A149" s="93">
        <v>146</v>
      </c>
      <c r="B149" s="96"/>
      <c r="C149" s="94"/>
      <c r="D149" s="94"/>
      <c r="E149" s="104"/>
      <c r="F149" s="95"/>
      <c r="G149" s="97"/>
      <c r="H149" s="94"/>
      <c r="I149" s="97"/>
      <c r="J149" s="95"/>
      <c r="K149" s="97"/>
      <c r="L149" s="97"/>
      <c r="M149" s="94"/>
      <c r="N149" s="96" t="s">
        <v>82</v>
      </c>
      <c r="O149" s="10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  <c r="AJ149" s="132"/>
      <c r="AK149" s="132"/>
      <c r="AL149" s="132"/>
      <c r="AM149" s="132"/>
      <c r="AN149" s="132"/>
      <c r="AO149" s="132"/>
      <c r="AP149" s="132"/>
      <c r="AQ149" s="132"/>
      <c r="AR149" s="132"/>
      <c r="AS149" s="132"/>
      <c r="AT149" s="132"/>
    </row>
    <row r="150" spans="1:48" ht="17.25" customHeight="1" x14ac:dyDescent="0.2">
      <c r="A150" s="93">
        <v>147</v>
      </c>
      <c r="B150" s="96"/>
      <c r="C150" s="94"/>
      <c r="D150" s="94"/>
      <c r="E150" s="104"/>
      <c r="F150" s="95"/>
      <c r="G150" s="97"/>
      <c r="H150" s="94"/>
      <c r="I150" s="97"/>
      <c r="J150" s="95"/>
      <c r="K150" s="97"/>
      <c r="L150" s="97"/>
      <c r="M150" s="94"/>
      <c r="N150" s="96" t="s">
        <v>82</v>
      </c>
      <c r="O150" s="10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  <c r="AJ150" s="132"/>
      <c r="AK150" s="132"/>
      <c r="AL150" s="132"/>
      <c r="AM150" s="132"/>
      <c r="AN150" s="132"/>
      <c r="AO150" s="132"/>
      <c r="AP150" s="132"/>
      <c r="AQ150" s="132"/>
      <c r="AR150" s="132"/>
      <c r="AS150" s="132"/>
      <c r="AT150" s="132"/>
    </row>
    <row r="151" spans="1:48" ht="17.25" customHeight="1" x14ac:dyDescent="0.2">
      <c r="A151" s="93">
        <v>148</v>
      </c>
      <c r="B151" s="96"/>
      <c r="C151" s="94"/>
      <c r="D151" s="94"/>
      <c r="E151" s="104"/>
      <c r="F151" s="95"/>
      <c r="G151" s="97"/>
      <c r="H151" s="94"/>
      <c r="I151" s="97"/>
      <c r="J151" s="95"/>
      <c r="K151" s="97"/>
      <c r="L151" s="97"/>
      <c r="M151" s="94"/>
      <c r="N151" s="96" t="s">
        <v>82</v>
      </c>
      <c r="O151" s="10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  <c r="AQ151" s="132"/>
      <c r="AR151" s="132"/>
      <c r="AS151" s="132"/>
      <c r="AT151" s="132"/>
    </row>
    <row r="152" spans="1:48" ht="17.25" customHeight="1" x14ac:dyDescent="0.2">
      <c r="A152" s="93">
        <v>149</v>
      </c>
      <c r="B152" s="96"/>
      <c r="C152" s="94"/>
      <c r="D152" s="94"/>
      <c r="E152" s="104"/>
      <c r="F152" s="95"/>
      <c r="G152" s="97"/>
      <c r="H152" s="94"/>
      <c r="I152" s="97"/>
      <c r="J152" s="95"/>
      <c r="K152" s="97"/>
      <c r="L152" s="97"/>
      <c r="M152" s="94"/>
      <c r="N152" s="96" t="s">
        <v>82</v>
      </c>
      <c r="O152" s="10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  <c r="AJ152" s="132"/>
      <c r="AK152" s="132"/>
      <c r="AL152" s="132"/>
      <c r="AM152" s="132"/>
      <c r="AN152" s="132"/>
      <c r="AO152" s="132"/>
      <c r="AP152" s="132"/>
      <c r="AQ152" s="132"/>
      <c r="AR152" s="132"/>
      <c r="AS152" s="132"/>
      <c r="AT152" s="132"/>
    </row>
    <row r="153" spans="1:48" ht="17.25" customHeight="1" x14ac:dyDescent="0.2">
      <c r="A153" s="93">
        <v>150</v>
      </c>
      <c r="B153" s="96"/>
      <c r="C153" s="99"/>
      <c r="D153" s="99"/>
      <c r="E153" s="93"/>
      <c r="F153" s="100"/>
      <c r="G153" s="133"/>
      <c r="H153" s="99"/>
      <c r="I153" s="133"/>
      <c r="J153" s="99"/>
      <c r="K153" s="133"/>
      <c r="L153" s="133"/>
      <c r="M153" s="99"/>
      <c r="N153" s="96" t="s">
        <v>82</v>
      </c>
      <c r="O153" s="134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</row>
    <row r="154" spans="1:48" ht="17.25" customHeight="1" x14ac:dyDescent="0.2">
      <c r="A154" s="136"/>
      <c r="B154" s="137"/>
      <c r="C154" s="138"/>
      <c r="D154" s="138"/>
      <c r="E154" s="139"/>
      <c r="F154" s="138"/>
      <c r="G154" s="136"/>
      <c r="H154" s="138"/>
      <c r="I154" s="136"/>
      <c r="J154" s="138"/>
      <c r="K154" s="136"/>
      <c r="L154" s="136"/>
      <c r="M154" s="138"/>
      <c r="N154" s="137"/>
      <c r="O154" s="140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</row>
    <row r="155" spans="1:48" ht="17.25" customHeight="1" x14ac:dyDescent="0.2">
      <c r="A155" s="136"/>
      <c r="B155" s="137"/>
      <c r="C155" s="138"/>
      <c r="D155" s="138"/>
      <c r="E155" s="139"/>
      <c r="F155" s="138"/>
      <c r="G155" s="136"/>
      <c r="H155" s="138"/>
      <c r="I155" s="136"/>
      <c r="J155" s="138"/>
      <c r="K155" s="136"/>
      <c r="L155" s="136"/>
      <c r="M155" s="138"/>
      <c r="N155" s="137"/>
      <c r="O155" s="140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</row>
    <row r="156" spans="1:48" ht="17.25" customHeight="1" x14ac:dyDescent="0.2">
      <c r="A156" s="141" t="s">
        <v>465</v>
      </c>
      <c r="B156" s="7"/>
      <c r="C156" s="142"/>
      <c r="D156" s="142"/>
      <c r="E156" s="7"/>
      <c r="F156" s="143"/>
      <c r="G156" s="143"/>
      <c r="H156" s="143"/>
      <c r="I156" s="144"/>
      <c r="J156" s="143"/>
      <c r="K156" s="143"/>
      <c r="L156" s="143"/>
      <c r="M156" s="143"/>
      <c r="N156" s="7"/>
      <c r="O156" s="14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8" ht="21" hidden="1" customHeight="1" x14ac:dyDescent="0.2">
      <c r="A157" s="146">
        <v>1</v>
      </c>
      <c r="B157" s="147" t="s">
        <v>48</v>
      </c>
      <c r="C157" s="148" t="s">
        <v>466</v>
      </c>
      <c r="D157" s="148" t="s">
        <v>467</v>
      </c>
      <c r="E157" s="149">
        <v>5</v>
      </c>
      <c r="F157" s="150">
        <v>41297</v>
      </c>
      <c r="G157" s="151" t="s">
        <v>468</v>
      </c>
      <c r="H157" s="148">
        <v>5108288339</v>
      </c>
      <c r="I157" s="151" t="s">
        <v>469</v>
      </c>
      <c r="J157" s="150">
        <v>45082</v>
      </c>
      <c r="K157" s="151"/>
      <c r="L157" s="151"/>
      <c r="M157" s="148"/>
      <c r="N157" s="147" t="s">
        <v>34</v>
      </c>
      <c r="O157" s="152">
        <v>45108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8" ht="21" hidden="1" customHeight="1" x14ac:dyDescent="0.2">
      <c r="A158" s="153">
        <v>2</v>
      </c>
      <c r="B158" s="154" t="s">
        <v>88</v>
      </c>
      <c r="C158" s="155" t="s">
        <v>466</v>
      </c>
      <c r="D158" s="155" t="s">
        <v>467</v>
      </c>
      <c r="E158" s="156">
        <v>5</v>
      </c>
      <c r="F158" s="157">
        <v>41297</v>
      </c>
      <c r="G158" s="158" t="s">
        <v>468</v>
      </c>
      <c r="H158" s="155">
        <v>5108288339</v>
      </c>
      <c r="I158" s="158" t="s">
        <v>469</v>
      </c>
      <c r="J158" s="157">
        <v>45082</v>
      </c>
      <c r="K158" s="158"/>
      <c r="L158" s="158"/>
      <c r="M158" s="155" t="s">
        <v>225</v>
      </c>
      <c r="N158" s="154" t="s">
        <v>34</v>
      </c>
      <c r="O158" s="152">
        <v>45108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8" ht="21" hidden="1" customHeight="1" x14ac:dyDescent="0.2">
      <c r="A159" s="159">
        <v>3</v>
      </c>
      <c r="B159" s="160" t="s">
        <v>48</v>
      </c>
      <c r="C159" s="161" t="s">
        <v>359</v>
      </c>
      <c r="D159" s="161" t="s">
        <v>360</v>
      </c>
      <c r="E159" s="162" t="s">
        <v>154</v>
      </c>
      <c r="F159" s="163">
        <v>42867</v>
      </c>
      <c r="G159" s="164" t="s">
        <v>361</v>
      </c>
      <c r="H159" s="161">
        <v>4086432868</v>
      </c>
      <c r="I159" s="164" t="s">
        <v>362</v>
      </c>
      <c r="J159" s="163">
        <v>44835</v>
      </c>
      <c r="K159" s="164"/>
      <c r="L159" s="164"/>
      <c r="M159" s="161" t="s">
        <v>470</v>
      </c>
      <c r="N159" s="160" t="s">
        <v>34</v>
      </c>
      <c r="O159" s="165">
        <v>45108</v>
      </c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</row>
    <row r="160" spans="1:48" ht="21" hidden="1" customHeight="1" x14ac:dyDescent="0.2">
      <c r="A160" s="159">
        <v>4</v>
      </c>
      <c r="B160" s="160"/>
      <c r="C160" s="161" t="s">
        <v>359</v>
      </c>
      <c r="D160" s="161" t="s">
        <v>360</v>
      </c>
      <c r="E160" s="162" t="s">
        <v>154</v>
      </c>
      <c r="F160" s="163">
        <v>42867</v>
      </c>
      <c r="G160" s="164" t="s">
        <v>361</v>
      </c>
      <c r="H160" s="161">
        <v>4086432868</v>
      </c>
      <c r="I160" s="164" t="s">
        <v>362</v>
      </c>
      <c r="J160" s="163">
        <v>44958</v>
      </c>
      <c r="K160" s="164"/>
      <c r="L160" s="164"/>
      <c r="M160" s="161" t="s">
        <v>470</v>
      </c>
      <c r="N160" s="160" t="s">
        <v>34</v>
      </c>
      <c r="O160" s="165">
        <v>45108</v>
      </c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</row>
    <row r="161" spans="1:46" ht="17.25" hidden="1" customHeight="1" x14ac:dyDescent="0.2">
      <c r="A161" s="167">
        <v>1</v>
      </c>
      <c r="B161" s="168" t="s">
        <v>48</v>
      </c>
      <c r="C161" s="169" t="s">
        <v>139</v>
      </c>
      <c r="D161" s="169" t="s">
        <v>471</v>
      </c>
      <c r="E161" s="167">
        <v>4</v>
      </c>
      <c r="F161" s="170">
        <v>41337</v>
      </c>
      <c r="G161" s="171" t="s">
        <v>472</v>
      </c>
      <c r="H161" s="169">
        <v>5103585536</v>
      </c>
      <c r="I161" s="171" t="s">
        <v>473</v>
      </c>
      <c r="J161" s="170">
        <v>44844</v>
      </c>
      <c r="K161" s="171"/>
      <c r="L161" s="171"/>
      <c r="M161" s="169"/>
      <c r="N161" s="168" t="s">
        <v>34</v>
      </c>
      <c r="O161" s="172">
        <v>45139</v>
      </c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</row>
    <row r="162" spans="1:46" ht="17.25" hidden="1" customHeight="1" x14ac:dyDescent="0.2">
      <c r="A162" s="167">
        <v>2</v>
      </c>
      <c r="B162" s="168" t="s">
        <v>48</v>
      </c>
      <c r="C162" s="169" t="s">
        <v>474</v>
      </c>
      <c r="D162" s="169" t="s">
        <v>475</v>
      </c>
      <c r="E162" s="167">
        <v>1</v>
      </c>
      <c r="F162" s="170">
        <v>43061</v>
      </c>
      <c r="G162" s="171" t="s">
        <v>476</v>
      </c>
      <c r="H162" s="169">
        <v>4152449059</v>
      </c>
      <c r="I162" s="171" t="s">
        <v>477</v>
      </c>
      <c r="J162" s="170">
        <v>45082</v>
      </c>
      <c r="K162" s="171"/>
      <c r="L162" s="171"/>
      <c r="M162" s="169"/>
      <c r="N162" s="168" t="s">
        <v>34</v>
      </c>
      <c r="O162" s="172">
        <v>45139</v>
      </c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</row>
    <row r="163" spans="1:46" ht="17.25" hidden="1" customHeight="1" x14ac:dyDescent="0.2">
      <c r="A163" s="167">
        <v>3</v>
      </c>
      <c r="B163" s="168" t="s">
        <v>88</v>
      </c>
      <c r="C163" s="169" t="s">
        <v>474</v>
      </c>
      <c r="D163" s="169" t="s">
        <v>475</v>
      </c>
      <c r="E163" s="167">
        <v>1</v>
      </c>
      <c r="F163" s="170">
        <v>43061</v>
      </c>
      <c r="G163" s="171" t="s">
        <v>476</v>
      </c>
      <c r="H163" s="169">
        <v>4152449059</v>
      </c>
      <c r="I163" s="171" t="s">
        <v>477</v>
      </c>
      <c r="J163" s="170">
        <v>45082</v>
      </c>
      <c r="K163" s="171"/>
      <c r="L163" s="171"/>
      <c r="M163" s="169" t="s">
        <v>225</v>
      </c>
      <c r="N163" s="168" t="s">
        <v>34</v>
      </c>
      <c r="O163" s="172">
        <v>45139</v>
      </c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</row>
    <row r="164" spans="1:46" ht="15" hidden="1" customHeight="1" x14ac:dyDescent="0.2">
      <c r="A164" s="173">
        <v>4</v>
      </c>
      <c r="B164" s="174" t="s">
        <v>48</v>
      </c>
      <c r="C164" s="175" t="s">
        <v>272</v>
      </c>
      <c r="D164" s="175" t="s">
        <v>478</v>
      </c>
      <c r="E164" s="173">
        <v>3</v>
      </c>
      <c r="F164" s="176">
        <v>41924</v>
      </c>
      <c r="G164" s="177" t="s">
        <v>479</v>
      </c>
      <c r="H164" s="175">
        <v>5102921648</v>
      </c>
      <c r="I164" s="177" t="s">
        <v>480</v>
      </c>
      <c r="J164" s="176">
        <v>45093</v>
      </c>
      <c r="K164" s="177"/>
      <c r="L164" s="177"/>
      <c r="M164" s="175"/>
      <c r="N164" s="174" t="s">
        <v>34</v>
      </c>
      <c r="O164" s="178">
        <v>45139</v>
      </c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</row>
    <row r="165" spans="1:46" ht="17.25" hidden="1" customHeight="1" x14ac:dyDescent="0.2">
      <c r="A165" s="167">
        <v>5</v>
      </c>
      <c r="B165" s="168" t="s">
        <v>48</v>
      </c>
      <c r="C165" s="169" t="s">
        <v>481</v>
      </c>
      <c r="D165" s="179" t="s">
        <v>482</v>
      </c>
      <c r="E165" s="167">
        <v>5</v>
      </c>
      <c r="F165" s="180">
        <v>40972</v>
      </c>
      <c r="G165" s="181" t="s">
        <v>483</v>
      </c>
      <c r="H165" s="179">
        <v>5105098418</v>
      </c>
      <c r="I165" s="181" t="s">
        <v>484</v>
      </c>
      <c r="J165" s="170">
        <v>45110</v>
      </c>
      <c r="K165" s="171"/>
      <c r="L165" s="171"/>
      <c r="M165" s="169"/>
      <c r="N165" s="168" t="s">
        <v>34</v>
      </c>
      <c r="O165" s="172">
        <v>45139</v>
      </c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</row>
    <row r="166" spans="1:46" ht="17.25" hidden="1" customHeight="1" x14ac:dyDescent="0.2">
      <c r="A166" s="167">
        <v>6</v>
      </c>
      <c r="B166" s="168" t="s">
        <v>88</v>
      </c>
      <c r="C166" s="169" t="s">
        <v>481</v>
      </c>
      <c r="D166" s="179" t="s">
        <v>482</v>
      </c>
      <c r="E166" s="167">
        <v>5</v>
      </c>
      <c r="F166" s="180">
        <v>40972</v>
      </c>
      <c r="G166" s="181" t="s">
        <v>483</v>
      </c>
      <c r="H166" s="179">
        <v>5105098418</v>
      </c>
      <c r="I166" s="181" t="s">
        <v>484</v>
      </c>
      <c r="J166" s="170">
        <v>45110</v>
      </c>
      <c r="K166" s="171"/>
      <c r="L166" s="171"/>
      <c r="M166" s="169" t="s">
        <v>225</v>
      </c>
      <c r="N166" s="168" t="s">
        <v>34</v>
      </c>
      <c r="O166" s="172">
        <v>45139</v>
      </c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2"/>
      <c r="AK166" s="182"/>
      <c r="AL166" s="182"/>
      <c r="AM166" s="182"/>
      <c r="AN166" s="182"/>
      <c r="AO166" s="182"/>
      <c r="AP166" s="182"/>
      <c r="AQ166" s="182"/>
      <c r="AR166" s="182"/>
      <c r="AS166" s="182"/>
      <c r="AT166" s="182"/>
    </row>
    <row r="167" spans="1:46" ht="17.25" hidden="1" customHeight="1" x14ac:dyDescent="0.2">
      <c r="A167" s="167">
        <v>7</v>
      </c>
      <c r="B167" s="168" t="s">
        <v>48</v>
      </c>
      <c r="C167" s="179" t="s">
        <v>481</v>
      </c>
      <c r="D167" s="179" t="s">
        <v>119</v>
      </c>
      <c r="E167" s="167">
        <v>7</v>
      </c>
      <c r="F167" s="170">
        <v>40193</v>
      </c>
      <c r="G167" s="181" t="s">
        <v>483</v>
      </c>
      <c r="H167" s="179">
        <v>5105098418</v>
      </c>
      <c r="I167" s="181" t="s">
        <v>484</v>
      </c>
      <c r="J167" s="170">
        <v>45110</v>
      </c>
      <c r="K167" s="171"/>
      <c r="L167" s="171"/>
      <c r="M167" s="169"/>
      <c r="N167" s="168" t="s">
        <v>34</v>
      </c>
      <c r="O167" s="172">
        <v>45139</v>
      </c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2"/>
      <c r="AK167" s="182"/>
      <c r="AL167" s="182"/>
      <c r="AM167" s="182"/>
      <c r="AN167" s="182"/>
      <c r="AO167" s="182"/>
      <c r="AP167" s="182"/>
      <c r="AQ167" s="182"/>
      <c r="AR167" s="182"/>
      <c r="AS167" s="182"/>
      <c r="AT167" s="182"/>
    </row>
    <row r="168" spans="1:46" ht="17.25" hidden="1" customHeight="1" x14ac:dyDescent="0.2">
      <c r="A168" s="167">
        <v>8</v>
      </c>
      <c r="B168" s="168" t="s">
        <v>88</v>
      </c>
      <c r="C168" s="179" t="s">
        <v>481</v>
      </c>
      <c r="D168" s="179" t="s">
        <v>119</v>
      </c>
      <c r="E168" s="167">
        <v>7</v>
      </c>
      <c r="F168" s="170">
        <v>40193</v>
      </c>
      <c r="G168" s="181" t="s">
        <v>483</v>
      </c>
      <c r="H168" s="179">
        <v>5105098418</v>
      </c>
      <c r="I168" s="181" t="s">
        <v>484</v>
      </c>
      <c r="J168" s="170">
        <v>45110</v>
      </c>
      <c r="K168" s="171"/>
      <c r="L168" s="171"/>
      <c r="M168" s="169" t="s">
        <v>225</v>
      </c>
      <c r="N168" s="168" t="s">
        <v>34</v>
      </c>
      <c r="O168" s="172">
        <v>45139</v>
      </c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135"/>
    </row>
    <row r="169" spans="1:46" ht="17.25" hidden="1" customHeight="1" x14ac:dyDescent="0.2">
      <c r="A169" s="173">
        <v>9</v>
      </c>
      <c r="B169" s="174" t="s">
        <v>48</v>
      </c>
      <c r="C169" s="175" t="s">
        <v>371</v>
      </c>
      <c r="D169" s="175" t="s">
        <v>376</v>
      </c>
      <c r="E169" s="173">
        <v>1</v>
      </c>
      <c r="F169" s="176">
        <v>42086</v>
      </c>
      <c r="G169" s="177" t="s">
        <v>377</v>
      </c>
      <c r="H169" s="175">
        <v>5109848496</v>
      </c>
      <c r="I169" s="177" t="s">
        <v>378</v>
      </c>
      <c r="J169" s="176">
        <v>44812</v>
      </c>
      <c r="K169" s="177"/>
      <c r="L169" s="177"/>
      <c r="M169" s="175" t="s">
        <v>485</v>
      </c>
      <c r="N169" s="174" t="s">
        <v>34</v>
      </c>
      <c r="O169" s="178">
        <v>45139</v>
      </c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  <c r="AS169" s="166"/>
      <c r="AT169" s="166"/>
    </row>
    <row r="170" spans="1:46" ht="17.25" hidden="1" customHeight="1" x14ac:dyDescent="0.2">
      <c r="A170" s="173">
        <v>10</v>
      </c>
      <c r="B170" s="174" t="s">
        <v>88</v>
      </c>
      <c r="C170" s="175" t="s">
        <v>371</v>
      </c>
      <c r="D170" s="175" t="s">
        <v>376</v>
      </c>
      <c r="E170" s="173">
        <v>1</v>
      </c>
      <c r="F170" s="176">
        <v>42086</v>
      </c>
      <c r="G170" s="177" t="s">
        <v>377</v>
      </c>
      <c r="H170" s="175">
        <v>5109848496</v>
      </c>
      <c r="I170" s="177" t="s">
        <v>378</v>
      </c>
      <c r="J170" s="176">
        <v>44812</v>
      </c>
      <c r="K170" s="177"/>
      <c r="L170" s="177"/>
      <c r="M170" s="175" t="s">
        <v>485</v>
      </c>
      <c r="N170" s="174" t="s">
        <v>34</v>
      </c>
      <c r="O170" s="178">
        <v>45139</v>
      </c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  <c r="AS170" s="166"/>
      <c r="AT170" s="166"/>
    </row>
    <row r="171" spans="1:46" ht="17.25" hidden="1" customHeight="1" x14ac:dyDescent="0.2">
      <c r="A171" s="167">
        <v>11</v>
      </c>
      <c r="B171" s="168" t="s">
        <v>48</v>
      </c>
      <c r="C171" s="169" t="s">
        <v>486</v>
      </c>
      <c r="D171" s="169" t="s">
        <v>342</v>
      </c>
      <c r="E171" s="167">
        <v>7</v>
      </c>
      <c r="F171" s="170">
        <v>40635</v>
      </c>
      <c r="G171" s="171" t="s">
        <v>487</v>
      </c>
      <c r="H171" s="169">
        <v>7605507063</v>
      </c>
      <c r="I171" s="171" t="s">
        <v>488</v>
      </c>
      <c r="J171" s="170">
        <v>45082</v>
      </c>
      <c r="K171" s="171"/>
      <c r="L171" s="171"/>
      <c r="M171" s="169" t="s">
        <v>489</v>
      </c>
      <c r="N171" s="168" t="s">
        <v>34</v>
      </c>
      <c r="O171" s="172">
        <v>45139</v>
      </c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</row>
    <row r="172" spans="1:46" ht="17.25" hidden="1" customHeight="1" x14ac:dyDescent="0.2">
      <c r="A172" s="167">
        <v>12</v>
      </c>
      <c r="B172" s="168" t="s">
        <v>88</v>
      </c>
      <c r="C172" s="169" t="s">
        <v>486</v>
      </c>
      <c r="D172" s="169" t="s">
        <v>342</v>
      </c>
      <c r="E172" s="167">
        <v>7</v>
      </c>
      <c r="F172" s="170">
        <v>40635</v>
      </c>
      <c r="G172" s="171" t="s">
        <v>487</v>
      </c>
      <c r="H172" s="169">
        <v>7605507063</v>
      </c>
      <c r="I172" s="171" t="s">
        <v>488</v>
      </c>
      <c r="J172" s="170">
        <v>45082</v>
      </c>
      <c r="K172" s="171"/>
      <c r="L172" s="171"/>
      <c r="M172" s="169" t="s">
        <v>489</v>
      </c>
      <c r="N172" s="168" t="s">
        <v>34</v>
      </c>
      <c r="O172" s="172">
        <v>45139</v>
      </c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</row>
    <row r="173" spans="1:46" ht="17.25" hidden="1" customHeight="1" x14ac:dyDescent="0.2">
      <c r="A173" s="167">
        <v>13</v>
      </c>
      <c r="B173" s="168" t="s">
        <v>48</v>
      </c>
      <c r="C173" s="169" t="s">
        <v>486</v>
      </c>
      <c r="D173" s="169" t="s">
        <v>490</v>
      </c>
      <c r="E173" s="167">
        <v>2</v>
      </c>
      <c r="F173" s="170">
        <v>42425</v>
      </c>
      <c r="G173" s="171" t="s">
        <v>487</v>
      </c>
      <c r="H173" s="169">
        <v>7605507063</v>
      </c>
      <c r="I173" s="171" t="s">
        <v>488</v>
      </c>
      <c r="J173" s="170">
        <v>45082</v>
      </c>
      <c r="K173" s="171"/>
      <c r="L173" s="171"/>
      <c r="M173" s="169" t="s">
        <v>489</v>
      </c>
      <c r="N173" s="168" t="s">
        <v>34</v>
      </c>
      <c r="O173" s="172">
        <v>45139</v>
      </c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</row>
    <row r="174" spans="1:46" ht="17.25" hidden="1" customHeight="1" x14ac:dyDescent="0.2">
      <c r="A174" s="167">
        <v>14</v>
      </c>
      <c r="B174" s="168" t="s">
        <v>88</v>
      </c>
      <c r="C174" s="169" t="s">
        <v>486</v>
      </c>
      <c r="D174" s="169" t="s">
        <v>490</v>
      </c>
      <c r="E174" s="167">
        <v>2</v>
      </c>
      <c r="F174" s="170">
        <v>42425</v>
      </c>
      <c r="G174" s="171" t="s">
        <v>487</v>
      </c>
      <c r="H174" s="169">
        <v>7605507063</v>
      </c>
      <c r="I174" s="171" t="s">
        <v>488</v>
      </c>
      <c r="J174" s="170">
        <v>45082</v>
      </c>
      <c r="K174" s="171"/>
      <c r="L174" s="171"/>
      <c r="M174" s="169" t="s">
        <v>489</v>
      </c>
      <c r="N174" s="168" t="s">
        <v>34</v>
      </c>
      <c r="O174" s="172">
        <v>45139</v>
      </c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</row>
    <row r="175" spans="1:46" ht="17.25" hidden="1" customHeight="1" x14ac:dyDescent="0.2">
      <c r="A175" s="167">
        <v>15</v>
      </c>
      <c r="B175" s="168" t="s">
        <v>48</v>
      </c>
      <c r="C175" s="169" t="s">
        <v>433</v>
      </c>
      <c r="D175" s="169" t="s">
        <v>434</v>
      </c>
      <c r="E175" s="167">
        <v>1</v>
      </c>
      <c r="F175" s="170">
        <v>42905</v>
      </c>
      <c r="G175" s="171" t="s">
        <v>435</v>
      </c>
      <c r="H175" s="169">
        <v>5303647578</v>
      </c>
      <c r="I175" s="171" t="s">
        <v>436</v>
      </c>
      <c r="J175" s="170">
        <v>45078</v>
      </c>
      <c r="K175" s="171"/>
      <c r="L175" s="171"/>
      <c r="M175" s="169" t="s">
        <v>491</v>
      </c>
      <c r="N175" s="168" t="s">
        <v>34</v>
      </c>
      <c r="O175" s="172">
        <v>45139</v>
      </c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</row>
    <row r="176" spans="1:46" ht="17.25" hidden="1" customHeight="1" x14ac:dyDescent="0.2">
      <c r="A176" s="167">
        <v>16</v>
      </c>
      <c r="B176" s="168" t="s">
        <v>88</v>
      </c>
      <c r="C176" s="169" t="s">
        <v>433</v>
      </c>
      <c r="D176" s="169" t="s">
        <v>434</v>
      </c>
      <c r="E176" s="167">
        <v>1</v>
      </c>
      <c r="F176" s="170">
        <v>42905</v>
      </c>
      <c r="G176" s="171" t="s">
        <v>435</v>
      </c>
      <c r="H176" s="169">
        <v>5303647578</v>
      </c>
      <c r="I176" s="171" t="s">
        <v>436</v>
      </c>
      <c r="J176" s="170">
        <v>45078</v>
      </c>
      <c r="K176" s="171"/>
      <c r="L176" s="171"/>
      <c r="M176" s="169" t="s">
        <v>491</v>
      </c>
      <c r="N176" s="168" t="s">
        <v>34</v>
      </c>
      <c r="O176" s="172">
        <v>45139</v>
      </c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</row>
    <row r="177" spans="1:46" ht="17.25" hidden="1" customHeight="1" x14ac:dyDescent="0.2">
      <c r="A177" s="167">
        <v>17</v>
      </c>
      <c r="B177" s="168" t="s">
        <v>48</v>
      </c>
      <c r="C177" s="169" t="s">
        <v>492</v>
      </c>
      <c r="D177" s="169" t="s">
        <v>493</v>
      </c>
      <c r="E177" s="167">
        <v>3</v>
      </c>
      <c r="F177" s="170">
        <v>41816</v>
      </c>
      <c r="G177" s="171" t="s">
        <v>494</v>
      </c>
      <c r="H177" s="169">
        <v>6692518555</v>
      </c>
      <c r="I177" s="171" t="s">
        <v>495</v>
      </c>
      <c r="J177" s="170">
        <v>45078</v>
      </c>
      <c r="K177" s="171"/>
      <c r="L177" s="171"/>
      <c r="M177" s="169" t="s">
        <v>496</v>
      </c>
      <c r="N177" s="168" t="s">
        <v>34</v>
      </c>
      <c r="O177" s="172">
        <v>45139</v>
      </c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</row>
    <row r="178" spans="1:46" ht="17.25" hidden="1" customHeight="1" x14ac:dyDescent="0.2">
      <c r="A178" s="167">
        <v>18</v>
      </c>
      <c r="B178" s="168" t="s">
        <v>88</v>
      </c>
      <c r="C178" s="169" t="s">
        <v>492</v>
      </c>
      <c r="D178" s="169" t="s">
        <v>493</v>
      </c>
      <c r="E178" s="167">
        <v>3</v>
      </c>
      <c r="F178" s="170">
        <v>41816</v>
      </c>
      <c r="G178" s="171" t="s">
        <v>494</v>
      </c>
      <c r="H178" s="169">
        <v>6692518555</v>
      </c>
      <c r="I178" s="171" t="s">
        <v>495</v>
      </c>
      <c r="J178" s="170">
        <v>45078</v>
      </c>
      <c r="K178" s="171"/>
      <c r="L178" s="171"/>
      <c r="M178" s="169" t="s">
        <v>496</v>
      </c>
      <c r="N178" s="168" t="s">
        <v>34</v>
      </c>
      <c r="O178" s="172">
        <v>45139</v>
      </c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</row>
    <row r="179" spans="1:46" ht="17.25" hidden="1" customHeight="1" x14ac:dyDescent="0.2">
      <c r="A179" s="167">
        <v>19</v>
      </c>
      <c r="B179" s="168" t="s">
        <v>48</v>
      </c>
      <c r="C179" s="169" t="s">
        <v>497</v>
      </c>
      <c r="D179" s="169" t="s">
        <v>498</v>
      </c>
      <c r="E179" s="167">
        <v>7</v>
      </c>
      <c r="F179" s="170">
        <v>40806</v>
      </c>
      <c r="G179" s="171" t="s">
        <v>494</v>
      </c>
      <c r="H179" s="169">
        <v>6692518555</v>
      </c>
      <c r="I179" s="171" t="s">
        <v>495</v>
      </c>
      <c r="J179" s="170">
        <v>45078</v>
      </c>
      <c r="K179" s="171"/>
      <c r="L179" s="171"/>
      <c r="M179" s="169" t="s">
        <v>496</v>
      </c>
      <c r="N179" s="168" t="s">
        <v>34</v>
      </c>
      <c r="O179" s="172">
        <v>45139</v>
      </c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</row>
    <row r="180" spans="1:46" ht="17.25" hidden="1" customHeight="1" x14ac:dyDescent="0.2">
      <c r="A180" s="167">
        <v>20</v>
      </c>
      <c r="B180" s="168" t="s">
        <v>88</v>
      </c>
      <c r="C180" s="169" t="s">
        <v>497</v>
      </c>
      <c r="D180" s="169" t="s">
        <v>498</v>
      </c>
      <c r="E180" s="167">
        <v>7</v>
      </c>
      <c r="F180" s="170">
        <v>40806</v>
      </c>
      <c r="G180" s="171" t="s">
        <v>494</v>
      </c>
      <c r="H180" s="169">
        <v>6692518555</v>
      </c>
      <c r="I180" s="171" t="s">
        <v>495</v>
      </c>
      <c r="J180" s="170">
        <v>45078</v>
      </c>
      <c r="K180" s="171"/>
      <c r="L180" s="171"/>
      <c r="M180" s="169" t="s">
        <v>496</v>
      </c>
      <c r="N180" s="168" t="s">
        <v>34</v>
      </c>
      <c r="O180" s="172">
        <v>45139</v>
      </c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</row>
    <row r="181" spans="1:46" ht="17.25" hidden="1" customHeight="1" x14ac:dyDescent="0.2">
      <c r="A181" s="173">
        <v>21</v>
      </c>
      <c r="B181" s="174" t="s">
        <v>88</v>
      </c>
      <c r="C181" s="175" t="s">
        <v>446</v>
      </c>
      <c r="D181" s="175" t="s">
        <v>499</v>
      </c>
      <c r="E181" s="173">
        <v>1</v>
      </c>
      <c r="F181" s="176">
        <v>42483</v>
      </c>
      <c r="G181" s="177" t="s">
        <v>500</v>
      </c>
      <c r="H181" s="175">
        <v>6692460021</v>
      </c>
      <c r="I181" s="177" t="s">
        <v>501</v>
      </c>
      <c r="J181" s="176">
        <v>45084</v>
      </c>
      <c r="K181" s="177"/>
      <c r="L181" s="177"/>
      <c r="M181" s="175" t="s">
        <v>502</v>
      </c>
      <c r="N181" s="174" t="s">
        <v>34</v>
      </c>
      <c r="O181" s="178">
        <v>45139</v>
      </c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  <c r="AK181" s="166"/>
      <c r="AL181" s="166"/>
      <c r="AM181" s="166"/>
      <c r="AN181" s="166"/>
      <c r="AO181" s="166"/>
      <c r="AP181" s="166"/>
      <c r="AQ181" s="166"/>
      <c r="AR181" s="166"/>
      <c r="AS181" s="166"/>
      <c r="AT181" s="166"/>
    </row>
    <row r="182" spans="1:46" ht="17.25" hidden="1" customHeight="1" x14ac:dyDescent="0.2">
      <c r="A182" s="183">
        <v>1</v>
      </c>
      <c r="B182" s="184" t="s">
        <v>88</v>
      </c>
      <c r="C182" s="185" t="s">
        <v>503</v>
      </c>
      <c r="D182" s="185" t="s">
        <v>504</v>
      </c>
      <c r="E182" s="186">
        <v>6</v>
      </c>
      <c r="F182" s="187">
        <v>41034</v>
      </c>
      <c r="G182" s="188" t="s">
        <v>505</v>
      </c>
      <c r="H182" s="185">
        <v>5108161486</v>
      </c>
      <c r="I182" s="188" t="s">
        <v>506</v>
      </c>
      <c r="J182" s="187">
        <v>45139</v>
      </c>
      <c r="K182" s="188"/>
      <c r="L182" s="188"/>
      <c r="M182" s="185" t="s">
        <v>507</v>
      </c>
      <c r="N182" s="184" t="s">
        <v>34</v>
      </c>
      <c r="O182" s="189">
        <v>45170</v>
      </c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</row>
    <row r="183" spans="1:46" ht="17.25" hidden="1" customHeight="1" x14ac:dyDescent="0.2">
      <c r="A183" s="183">
        <v>2</v>
      </c>
      <c r="B183" s="184" t="s">
        <v>48</v>
      </c>
      <c r="C183" s="191" t="s">
        <v>508</v>
      </c>
      <c r="D183" s="191" t="s">
        <v>509</v>
      </c>
      <c r="E183" s="183" t="s">
        <v>154</v>
      </c>
      <c r="F183" s="192">
        <v>42776</v>
      </c>
      <c r="G183" s="193" t="s">
        <v>510</v>
      </c>
      <c r="H183" s="191">
        <v>6692385152</v>
      </c>
      <c r="I183" s="193" t="s">
        <v>511</v>
      </c>
      <c r="J183" s="192">
        <v>45093</v>
      </c>
      <c r="K183" s="193"/>
      <c r="L183" s="193"/>
      <c r="M183" s="191" t="s">
        <v>512</v>
      </c>
      <c r="N183" s="184" t="s">
        <v>34</v>
      </c>
      <c r="O183" s="189">
        <v>45170</v>
      </c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</row>
    <row r="184" spans="1:46" ht="17.25" hidden="1" customHeight="1" x14ac:dyDescent="0.2">
      <c r="A184" s="183">
        <v>3</v>
      </c>
      <c r="B184" s="184" t="s">
        <v>88</v>
      </c>
      <c r="C184" s="194" t="s">
        <v>508</v>
      </c>
      <c r="D184" s="194" t="s">
        <v>509</v>
      </c>
      <c r="E184" s="183" t="s">
        <v>154</v>
      </c>
      <c r="F184" s="192">
        <v>42776</v>
      </c>
      <c r="G184" s="193" t="s">
        <v>510</v>
      </c>
      <c r="H184" s="191">
        <v>6692385152</v>
      </c>
      <c r="I184" s="193" t="s">
        <v>511</v>
      </c>
      <c r="J184" s="192">
        <v>45124</v>
      </c>
      <c r="K184" s="193"/>
      <c r="L184" s="193"/>
      <c r="M184" s="191" t="s">
        <v>512</v>
      </c>
      <c r="N184" s="184" t="s">
        <v>34</v>
      </c>
      <c r="O184" s="189">
        <v>45170</v>
      </c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</row>
    <row r="185" spans="1:46" ht="17.25" hidden="1" customHeight="1" x14ac:dyDescent="0.2">
      <c r="A185" s="195">
        <v>1</v>
      </c>
      <c r="B185" s="196" t="s">
        <v>48</v>
      </c>
      <c r="C185" s="197" t="s">
        <v>513</v>
      </c>
      <c r="D185" s="197" t="s">
        <v>514</v>
      </c>
      <c r="E185" s="198" t="s">
        <v>246</v>
      </c>
      <c r="F185" s="199">
        <v>43461</v>
      </c>
      <c r="G185" s="200" t="s">
        <v>515</v>
      </c>
      <c r="H185" s="197">
        <v>4086803486</v>
      </c>
      <c r="I185" s="200" t="s">
        <v>516</v>
      </c>
      <c r="J185" s="199">
        <v>45174</v>
      </c>
      <c r="K185" s="200"/>
      <c r="L185" s="200"/>
      <c r="M185" s="197" t="s">
        <v>517</v>
      </c>
      <c r="N185" s="201" t="s">
        <v>34</v>
      </c>
      <c r="O185" s="202">
        <v>45231</v>
      </c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</row>
    <row r="186" spans="1:46" ht="17.25" hidden="1" customHeight="1" x14ac:dyDescent="0.2">
      <c r="A186" s="195">
        <v>1</v>
      </c>
      <c r="B186" s="204" t="s">
        <v>48</v>
      </c>
      <c r="C186" s="205" t="s">
        <v>272</v>
      </c>
      <c r="D186" s="205" t="s">
        <v>478</v>
      </c>
      <c r="E186" s="195">
        <v>3</v>
      </c>
      <c r="F186" s="206">
        <v>41924</v>
      </c>
      <c r="G186" s="207" t="s">
        <v>518</v>
      </c>
      <c r="H186" s="207">
        <v>5102921648</v>
      </c>
      <c r="I186" s="207" t="s">
        <v>519</v>
      </c>
      <c r="J186" s="206">
        <v>45246</v>
      </c>
      <c r="K186" s="208"/>
      <c r="L186" s="208"/>
      <c r="M186" s="205" t="s">
        <v>520</v>
      </c>
      <c r="N186" s="204" t="s">
        <v>34</v>
      </c>
      <c r="O186" s="209">
        <v>45261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 x14ac:dyDescent="0.2">
      <c r="A187" s="195">
        <v>2</v>
      </c>
      <c r="B187" s="204" t="s">
        <v>88</v>
      </c>
      <c r="C187" s="205" t="s">
        <v>272</v>
      </c>
      <c r="D187" s="205" t="s">
        <v>478</v>
      </c>
      <c r="E187" s="195">
        <v>3</v>
      </c>
      <c r="F187" s="206">
        <v>41924</v>
      </c>
      <c r="G187" s="207" t="s">
        <v>518</v>
      </c>
      <c r="H187" s="207">
        <v>5102921648</v>
      </c>
      <c r="I187" s="207" t="s">
        <v>519</v>
      </c>
      <c r="J187" s="206">
        <v>45246</v>
      </c>
      <c r="K187" s="208"/>
      <c r="L187" s="208"/>
      <c r="M187" s="205" t="s">
        <v>520</v>
      </c>
      <c r="N187" s="204" t="s">
        <v>34</v>
      </c>
      <c r="O187" s="209">
        <v>45261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 x14ac:dyDescent="0.2">
      <c r="A188" s="195">
        <v>3</v>
      </c>
      <c r="B188" s="204" t="s">
        <v>48</v>
      </c>
      <c r="C188" s="205" t="s">
        <v>400</v>
      </c>
      <c r="D188" s="205" t="s">
        <v>521</v>
      </c>
      <c r="E188" s="195">
        <v>2</v>
      </c>
      <c r="F188" s="206">
        <v>42588</v>
      </c>
      <c r="G188" s="208" t="s">
        <v>522</v>
      </c>
      <c r="H188" s="205">
        <v>6692068365</v>
      </c>
      <c r="I188" s="208" t="s">
        <v>523</v>
      </c>
      <c r="J188" s="206">
        <v>45170</v>
      </c>
      <c r="K188" s="208"/>
      <c r="L188" s="208"/>
      <c r="M188" s="205" t="s">
        <v>524</v>
      </c>
      <c r="N188" s="204" t="s">
        <v>34</v>
      </c>
      <c r="O188" s="209">
        <v>45261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 x14ac:dyDescent="0.2">
      <c r="A189" s="195">
        <v>4</v>
      </c>
      <c r="B189" s="204" t="s">
        <v>48</v>
      </c>
      <c r="C189" s="210" t="s">
        <v>525</v>
      </c>
      <c r="D189" s="210" t="s">
        <v>526</v>
      </c>
      <c r="E189" s="195">
        <v>1</v>
      </c>
      <c r="F189" s="206">
        <v>42388</v>
      </c>
      <c r="G189" s="208" t="s">
        <v>527</v>
      </c>
      <c r="H189" s="205">
        <v>4087977701</v>
      </c>
      <c r="I189" s="208" t="s">
        <v>528</v>
      </c>
      <c r="J189" s="206">
        <v>45033</v>
      </c>
      <c r="K189" s="208"/>
      <c r="L189" s="208"/>
      <c r="M189" s="205" t="s">
        <v>529</v>
      </c>
      <c r="N189" s="204" t="s">
        <v>34</v>
      </c>
      <c r="O189" s="209">
        <v>45261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 x14ac:dyDescent="0.2">
      <c r="A190" s="195">
        <v>5</v>
      </c>
      <c r="B190" s="204" t="s">
        <v>88</v>
      </c>
      <c r="C190" s="211" t="s">
        <v>530</v>
      </c>
      <c r="D190" s="211" t="s">
        <v>426</v>
      </c>
      <c r="E190" s="212">
        <v>1</v>
      </c>
      <c r="F190" s="213">
        <v>42947</v>
      </c>
      <c r="G190" s="207" t="s">
        <v>531</v>
      </c>
      <c r="H190" s="211">
        <v>4085108805</v>
      </c>
      <c r="I190" s="207" t="s">
        <v>429</v>
      </c>
      <c r="J190" s="213">
        <v>45246</v>
      </c>
      <c r="K190" s="207"/>
      <c r="L190" s="207"/>
      <c r="M190" s="211" t="s">
        <v>532</v>
      </c>
      <c r="N190" s="204" t="s">
        <v>34</v>
      </c>
      <c r="O190" s="214">
        <v>45261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 x14ac:dyDescent="0.2">
      <c r="A191" s="195">
        <v>6</v>
      </c>
      <c r="B191" s="204" t="s">
        <v>48</v>
      </c>
      <c r="C191" s="205" t="s">
        <v>400</v>
      </c>
      <c r="D191" s="205" t="s">
        <v>533</v>
      </c>
      <c r="E191" s="195" t="s">
        <v>154</v>
      </c>
      <c r="F191" s="206">
        <v>43151</v>
      </c>
      <c r="G191" s="208" t="s">
        <v>522</v>
      </c>
      <c r="H191" s="205">
        <v>6692068365</v>
      </c>
      <c r="I191" s="208" t="s">
        <v>523</v>
      </c>
      <c r="J191" s="206">
        <v>45170</v>
      </c>
      <c r="K191" s="208"/>
      <c r="L191" s="208"/>
      <c r="M191" s="205" t="s">
        <v>524</v>
      </c>
      <c r="N191" s="204" t="s">
        <v>34</v>
      </c>
      <c r="O191" s="209">
        <v>45261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 x14ac:dyDescent="0.2">
      <c r="A192" s="195">
        <v>7</v>
      </c>
      <c r="B192" s="204" t="s">
        <v>88</v>
      </c>
      <c r="C192" s="210" t="s">
        <v>525</v>
      </c>
      <c r="D192" s="210" t="s">
        <v>534</v>
      </c>
      <c r="E192" s="195">
        <v>5</v>
      </c>
      <c r="F192" s="206">
        <v>40961</v>
      </c>
      <c r="G192" s="208" t="s">
        <v>535</v>
      </c>
      <c r="H192" s="205">
        <v>4087977701</v>
      </c>
      <c r="I192" s="208" t="s">
        <v>528</v>
      </c>
      <c r="J192" s="206">
        <v>44791</v>
      </c>
      <c r="K192" s="208"/>
      <c r="L192" s="208"/>
      <c r="M192" s="205" t="s">
        <v>536</v>
      </c>
      <c r="N192" s="204" t="s">
        <v>34</v>
      </c>
      <c r="O192" s="209">
        <v>45261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 x14ac:dyDescent="0.2">
      <c r="A193" s="215">
        <v>1</v>
      </c>
      <c r="B193" s="201" t="s">
        <v>48</v>
      </c>
      <c r="C193" s="197" t="s">
        <v>537</v>
      </c>
      <c r="D193" s="197" t="s">
        <v>538</v>
      </c>
      <c r="E193" s="198">
        <v>3</v>
      </c>
      <c r="F193" s="199">
        <v>42236</v>
      </c>
      <c r="G193" s="200" t="s">
        <v>539</v>
      </c>
      <c r="H193" s="197" t="s">
        <v>540</v>
      </c>
      <c r="I193" s="200" t="s">
        <v>541</v>
      </c>
      <c r="J193" s="199">
        <v>45174</v>
      </c>
      <c r="K193" s="200"/>
      <c r="L193" s="200"/>
      <c r="M193" s="197"/>
      <c r="N193" s="201" t="s">
        <v>34</v>
      </c>
      <c r="O193" s="202">
        <v>45292</v>
      </c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</row>
    <row r="194" spans="1:46" ht="17.25" hidden="1" customHeight="1" x14ac:dyDescent="0.2">
      <c r="A194" s="215">
        <v>2</v>
      </c>
      <c r="B194" s="201" t="s">
        <v>88</v>
      </c>
      <c r="C194" s="197" t="s">
        <v>537</v>
      </c>
      <c r="D194" s="197" t="s">
        <v>538</v>
      </c>
      <c r="E194" s="198">
        <v>3</v>
      </c>
      <c r="F194" s="199">
        <v>42236</v>
      </c>
      <c r="G194" s="200" t="s">
        <v>539</v>
      </c>
      <c r="H194" s="197" t="s">
        <v>540</v>
      </c>
      <c r="I194" s="200" t="s">
        <v>541</v>
      </c>
      <c r="J194" s="199">
        <v>45174</v>
      </c>
      <c r="K194" s="200"/>
      <c r="L194" s="200"/>
      <c r="M194" s="197"/>
      <c r="N194" s="201" t="s">
        <v>34</v>
      </c>
      <c r="O194" s="202">
        <v>45292</v>
      </c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</row>
    <row r="195" spans="1:46" ht="17.25" hidden="1" customHeight="1" x14ac:dyDescent="0.2">
      <c r="A195" s="216">
        <v>3</v>
      </c>
      <c r="B195" s="201" t="s">
        <v>88</v>
      </c>
      <c r="C195" s="217" t="s">
        <v>542</v>
      </c>
      <c r="D195" s="217" t="s">
        <v>543</v>
      </c>
      <c r="E195" s="215">
        <v>6</v>
      </c>
      <c r="F195" s="218">
        <v>41034</v>
      </c>
      <c r="G195" s="219" t="s">
        <v>544</v>
      </c>
      <c r="H195" s="217">
        <v>5108161486</v>
      </c>
      <c r="I195" s="220" t="s">
        <v>506</v>
      </c>
      <c r="J195" s="218">
        <v>45093</v>
      </c>
      <c r="K195" s="219"/>
      <c r="L195" s="219"/>
      <c r="M195" s="217" t="s">
        <v>545</v>
      </c>
      <c r="N195" s="201" t="s">
        <v>34</v>
      </c>
      <c r="O195" s="202">
        <v>45292</v>
      </c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</row>
    <row r="196" spans="1:46" ht="17.25" hidden="1" customHeight="1" x14ac:dyDescent="0.2">
      <c r="A196" s="215">
        <v>4</v>
      </c>
      <c r="B196" s="201" t="s">
        <v>48</v>
      </c>
      <c r="C196" s="217" t="s">
        <v>288</v>
      </c>
      <c r="D196" s="217" t="s">
        <v>546</v>
      </c>
      <c r="E196" s="215">
        <v>7</v>
      </c>
      <c r="F196" s="218">
        <v>40552</v>
      </c>
      <c r="G196" s="219" t="s">
        <v>547</v>
      </c>
      <c r="H196" s="217">
        <v>5108221710</v>
      </c>
      <c r="I196" s="219" t="s">
        <v>548</v>
      </c>
      <c r="J196" s="218">
        <v>45233</v>
      </c>
      <c r="K196" s="219"/>
      <c r="L196" s="219"/>
      <c r="M196" s="217"/>
      <c r="N196" s="201" t="s">
        <v>34</v>
      </c>
      <c r="O196" s="202">
        <v>45292</v>
      </c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</row>
    <row r="197" spans="1:46" ht="17.25" hidden="1" customHeight="1" x14ac:dyDescent="0.2">
      <c r="A197" s="215">
        <v>5</v>
      </c>
      <c r="B197" s="201" t="s">
        <v>48</v>
      </c>
      <c r="C197" s="197" t="s">
        <v>400</v>
      </c>
      <c r="D197" s="197" t="s">
        <v>499</v>
      </c>
      <c r="E197" s="198">
        <v>1</v>
      </c>
      <c r="F197" s="199">
        <v>42483</v>
      </c>
      <c r="G197" s="200" t="s">
        <v>500</v>
      </c>
      <c r="H197" s="197">
        <v>6692460021</v>
      </c>
      <c r="I197" s="200" t="s">
        <v>501</v>
      </c>
      <c r="J197" s="199">
        <v>45247</v>
      </c>
      <c r="K197" s="200"/>
      <c r="L197" s="200"/>
      <c r="M197" s="197" t="s">
        <v>549</v>
      </c>
      <c r="N197" s="201" t="s">
        <v>34</v>
      </c>
      <c r="O197" s="202">
        <v>45292</v>
      </c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</row>
    <row r="198" spans="1:46" ht="15" hidden="1" customHeight="1" x14ac:dyDescent="0.2">
      <c r="A198" s="221">
        <v>6</v>
      </c>
      <c r="B198" s="222" t="s">
        <v>48</v>
      </c>
      <c r="C198" s="223" t="s">
        <v>438</v>
      </c>
      <c r="D198" s="223" t="s">
        <v>550</v>
      </c>
      <c r="E198" s="221" t="s">
        <v>154</v>
      </c>
      <c r="F198" s="224">
        <v>42409</v>
      </c>
      <c r="G198" s="225" t="s">
        <v>551</v>
      </c>
      <c r="H198" s="226">
        <v>4088292099</v>
      </c>
      <c r="I198" s="225" t="s">
        <v>552</v>
      </c>
      <c r="J198" s="224">
        <v>44645</v>
      </c>
      <c r="K198" s="225"/>
      <c r="L198" s="225"/>
      <c r="M198" s="226" t="s">
        <v>553</v>
      </c>
      <c r="N198" s="222" t="s">
        <v>34</v>
      </c>
      <c r="O198" s="202">
        <v>45292</v>
      </c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  <c r="AB198" s="227"/>
      <c r="AC198" s="227"/>
      <c r="AD198" s="227"/>
      <c r="AE198" s="227"/>
      <c r="AF198" s="227"/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  <c r="AT198" s="227"/>
    </row>
    <row r="199" spans="1:46" ht="17.25" hidden="1" customHeight="1" x14ac:dyDescent="0.2">
      <c r="A199" s="221">
        <v>7</v>
      </c>
      <c r="B199" s="222" t="s">
        <v>88</v>
      </c>
      <c r="C199" s="223" t="s">
        <v>438</v>
      </c>
      <c r="D199" s="223" t="s">
        <v>550</v>
      </c>
      <c r="E199" s="221" t="s">
        <v>154</v>
      </c>
      <c r="F199" s="224">
        <v>42409</v>
      </c>
      <c r="G199" s="225" t="s">
        <v>551</v>
      </c>
      <c r="H199" s="226">
        <v>4088292099</v>
      </c>
      <c r="I199" s="225" t="s">
        <v>552</v>
      </c>
      <c r="J199" s="224">
        <v>44866</v>
      </c>
      <c r="K199" s="225"/>
      <c r="L199" s="225"/>
      <c r="M199" s="226" t="s">
        <v>553</v>
      </c>
      <c r="N199" s="222" t="s">
        <v>34</v>
      </c>
      <c r="O199" s="202">
        <v>45292</v>
      </c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  <c r="AT199" s="227"/>
    </row>
    <row r="200" spans="1:46" ht="17.25" hidden="1" customHeight="1" x14ac:dyDescent="0.2">
      <c r="A200" s="215">
        <v>8</v>
      </c>
      <c r="B200" s="201" t="s">
        <v>48</v>
      </c>
      <c r="C200" s="217" t="s">
        <v>450</v>
      </c>
      <c r="D200" s="217" t="s">
        <v>407</v>
      </c>
      <c r="E200" s="215">
        <v>3</v>
      </c>
      <c r="F200" s="218">
        <v>42099</v>
      </c>
      <c r="G200" s="219" t="s">
        <v>554</v>
      </c>
      <c r="H200" s="217">
        <v>3104608958</v>
      </c>
      <c r="I200" s="219" t="s">
        <v>453</v>
      </c>
      <c r="J200" s="218">
        <v>45200</v>
      </c>
      <c r="K200" s="219"/>
      <c r="L200" s="219"/>
      <c r="M200" s="217"/>
      <c r="N200" s="201" t="s">
        <v>34</v>
      </c>
      <c r="O200" s="202">
        <v>45292</v>
      </c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</row>
    <row r="201" spans="1:46" ht="17.25" hidden="1" customHeight="1" x14ac:dyDescent="0.2">
      <c r="A201" s="215">
        <v>9</v>
      </c>
      <c r="B201" s="201" t="s">
        <v>88</v>
      </c>
      <c r="C201" s="217" t="s">
        <v>450</v>
      </c>
      <c r="D201" s="217" t="s">
        <v>407</v>
      </c>
      <c r="E201" s="215">
        <v>3</v>
      </c>
      <c r="F201" s="218">
        <v>42099</v>
      </c>
      <c r="G201" s="219" t="s">
        <v>554</v>
      </c>
      <c r="H201" s="217">
        <v>3104608958</v>
      </c>
      <c r="I201" s="219" t="s">
        <v>453</v>
      </c>
      <c r="J201" s="218">
        <v>45200</v>
      </c>
      <c r="K201" s="219"/>
      <c r="L201" s="219"/>
      <c r="M201" s="217"/>
      <c r="N201" s="201" t="s">
        <v>34</v>
      </c>
      <c r="O201" s="202">
        <v>45292</v>
      </c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</row>
    <row r="202" spans="1:46" ht="17.25" hidden="1" customHeight="1" x14ac:dyDescent="0.2">
      <c r="A202" s="195">
        <v>1</v>
      </c>
      <c r="B202" s="204" t="s">
        <v>88</v>
      </c>
      <c r="C202" s="211" t="s">
        <v>555</v>
      </c>
      <c r="D202" s="211" t="s">
        <v>556</v>
      </c>
      <c r="E202" s="212">
        <v>1</v>
      </c>
      <c r="F202" s="213">
        <v>42894</v>
      </c>
      <c r="G202" s="207" t="s">
        <v>557</v>
      </c>
      <c r="H202" s="211">
        <v>6503358676</v>
      </c>
      <c r="I202" s="207" t="s">
        <v>558</v>
      </c>
      <c r="J202" s="213">
        <v>45159</v>
      </c>
      <c r="K202" s="207"/>
      <c r="L202" s="207"/>
      <c r="M202" s="211" t="s">
        <v>559</v>
      </c>
      <c r="N202" s="204" t="s">
        <v>34</v>
      </c>
      <c r="O202" s="214">
        <v>45352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 x14ac:dyDescent="0.2">
      <c r="A203" s="195">
        <v>2</v>
      </c>
      <c r="B203" s="204" t="s">
        <v>48</v>
      </c>
      <c r="C203" s="210" t="s">
        <v>363</v>
      </c>
      <c r="D203" s="210" t="s">
        <v>560</v>
      </c>
      <c r="E203" s="195">
        <v>4</v>
      </c>
      <c r="F203" s="206">
        <v>41300</v>
      </c>
      <c r="G203" s="228" t="s">
        <v>561</v>
      </c>
      <c r="H203" s="210" t="s">
        <v>562</v>
      </c>
      <c r="I203" s="228" t="s">
        <v>563</v>
      </c>
      <c r="J203" s="206">
        <v>45110</v>
      </c>
      <c r="K203" s="208"/>
      <c r="L203" s="208"/>
      <c r="M203" s="205"/>
      <c r="N203" s="204" t="s">
        <v>34</v>
      </c>
      <c r="O203" s="214">
        <v>45352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 x14ac:dyDescent="0.2">
      <c r="A204" s="195">
        <v>3</v>
      </c>
      <c r="B204" s="204" t="s">
        <v>88</v>
      </c>
      <c r="C204" s="210" t="s">
        <v>363</v>
      </c>
      <c r="D204" s="210" t="s">
        <v>560</v>
      </c>
      <c r="E204" s="195">
        <v>4</v>
      </c>
      <c r="F204" s="206">
        <v>41301</v>
      </c>
      <c r="G204" s="228" t="s">
        <v>564</v>
      </c>
      <c r="H204" s="210" t="s">
        <v>565</v>
      </c>
      <c r="I204" s="228" t="s">
        <v>563</v>
      </c>
      <c r="J204" s="206">
        <v>45110</v>
      </c>
      <c r="K204" s="208"/>
      <c r="L204" s="208"/>
      <c r="M204" s="205"/>
      <c r="N204" s="204" t="s">
        <v>34</v>
      </c>
      <c r="O204" s="214">
        <v>45352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 x14ac:dyDescent="0.2">
      <c r="A205" s="229">
        <v>1</v>
      </c>
      <c r="B205" s="230" t="s">
        <v>48</v>
      </c>
      <c r="C205" s="231" t="s">
        <v>566</v>
      </c>
      <c r="D205" s="231" t="s">
        <v>567</v>
      </c>
      <c r="E205" s="232">
        <v>5</v>
      </c>
      <c r="F205" s="233">
        <v>41253</v>
      </c>
      <c r="G205" s="234" t="s">
        <v>568</v>
      </c>
      <c r="H205" s="231">
        <v>4153956788</v>
      </c>
      <c r="I205" s="234" t="s">
        <v>569</v>
      </c>
      <c r="J205" s="233">
        <v>45180</v>
      </c>
      <c r="K205" s="234"/>
      <c r="L205" s="234"/>
      <c r="M205" s="231" t="s">
        <v>570</v>
      </c>
      <c r="N205" s="235" t="s">
        <v>34</v>
      </c>
      <c r="O205" s="236">
        <v>45383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7.25" hidden="1" customHeight="1" x14ac:dyDescent="0.2">
      <c r="A206" s="229">
        <v>2</v>
      </c>
      <c r="B206" s="230" t="s">
        <v>88</v>
      </c>
      <c r="C206" s="231" t="s">
        <v>566</v>
      </c>
      <c r="D206" s="231" t="s">
        <v>567</v>
      </c>
      <c r="E206" s="232">
        <v>5</v>
      </c>
      <c r="F206" s="233">
        <v>41253</v>
      </c>
      <c r="G206" s="234" t="s">
        <v>568</v>
      </c>
      <c r="H206" s="231">
        <v>4153956788</v>
      </c>
      <c r="I206" s="234" t="s">
        <v>569</v>
      </c>
      <c r="J206" s="233">
        <v>45180</v>
      </c>
      <c r="K206" s="234"/>
      <c r="L206" s="234"/>
      <c r="M206" s="231" t="s">
        <v>570</v>
      </c>
      <c r="N206" s="235" t="s">
        <v>34</v>
      </c>
      <c r="O206" s="236">
        <v>45383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 x14ac:dyDescent="0.2">
      <c r="A207" s="229">
        <v>3</v>
      </c>
      <c r="B207" s="235" t="s">
        <v>48</v>
      </c>
      <c r="C207" s="237" t="s">
        <v>571</v>
      </c>
      <c r="D207" s="237" t="s">
        <v>572</v>
      </c>
      <c r="E207" s="229" t="s">
        <v>246</v>
      </c>
      <c r="F207" s="238">
        <v>43521</v>
      </c>
      <c r="G207" s="239" t="s">
        <v>573</v>
      </c>
      <c r="H207" s="237">
        <v>5107505202</v>
      </c>
      <c r="I207" s="239" t="s">
        <v>574</v>
      </c>
      <c r="J207" s="238">
        <v>45317</v>
      </c>
      <c r="K207" s="239"/>
      <c r="L207" s="239"/>
      <c r="M207" s="237"/>
      <c r="N207" s="235" t="s">
        <v>34</v>
      </c>
      <c r="O207" s="236">
        <v>45383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2">
      <c r="A208" s="229">
        <v>4</v>
      </c>
      <c r="B208" s="235" t="s">
        <v>88</v>
      </c>
      <c r="C208" s="237" t="s">
        <v>571</v>
      </c>
      <c r="D208" s="237" t="s">
        <v>572</v>
      </c>
      <c r="E208" s="229" t="s">
        <v>246</v>
      </c>
      <c r="F208" s="238">
        <v>43521</v>
      </c>
      <c r="G208" s="239" t="s">
        <v>573</v>
      </c>
      <c r="H208" s="237">
        <v>5107505202</v>
      </c>
      <c r="I208" s="239" t="s">
        <v>574</v>
      </c>
      <c r="J208" s="238">
        <v>45317</v>
      </c>
      <c r="K208" s="239"/>
      <c r="L208" s="239"/>
      <c r="M208" s="237" t="s">
        <v>225</v>
      </c>
      <c r="N208" s="235" t="s">
        <v>34</v>
      </c>
      <c r="O208" s="236">
        <v>45383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2">
      <c r="A209" s="229">
        <v>5</v>
      </c>
      <c r="B209" s="235" t="s">
        <v>48</v>
      </c>
      <c r="C209" s="237" t="s">
        <v>575</v>
      </c>
      <c r="D209" s="237" t="s">
        <v>576</v>
      </c>
      <c r="E209" s="229">
        <v>5</v>
      </c>
      <c r="F209" s="238">
        <v>41451</v>
      </c>
      <c r="G209" s="234" t="s">
        <v>577</v>
      </c>
      <c r="H209" s="234">
        <v>5106820365</v>
      </c>
      <c r="I209" s="234" t="s">
        <v>578</v>
      </c>
      <c r="J209" s="238">
        <v>45078</v>
      </c>
      <c r="K209" s="239"/>
      <c r="L209" s="239"/>
      <c r="M209" s="237" t="s">
        <v>579</v>
      </c>
      <c r="N209" s="235" t="s">
        <v>34</v>
      </c>
      <c r="O209" s="236">
        <v>45383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 x14ac:dyDescent="0.2">
      <c r="A210" s="229">
        <v>6</v>
      </c>
      <c r="B210" s="235" t="s">
        <v>88</v>
      </c>
      <c r="C210" s="237" t="s">
        <v>575</v>
      </c>
      <c r="D210" s="237" t="s">
        <v>576</v>
      </c>
      <c r="E210" s="229">
        <v>5</v>
      </c>
      <c r="F210" s="238">
        <v>41451</v>
      </c>
      <c r="G210" s="234" t="s">
        <v>577</v>
      </c>
      <c r="H210" s="234">
        <v>5106820365</v>
      </c>
      <c r="I210" s="234" t="s">
        <v>578</v>
      </c>
      <c r="J210" s="238">
        <v>45096</v>
      </c>
      <c r="K210" s="239"/>
      <c r="L210" s="239"/>
      <c r="M210" s="237" t="s">
        <v>579</v>
      </c>
      <c r="N210" s="235" t="s">
        <v>34</v>
      </c>
      <c r="O210" s="236">
        <v>45383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 x14ac:dyDescent="0.2">
      <c r="A211" s="229">
        <v>7</v>
      </c>
      <c r="B211" s="230" t="s">
        <v>48</v>
      </c>
      <c r="C211" s="231" t="s">
        <v>566</v>
      </c>
      <c r="D211" s="231" t="s">
        <v>580</v>
      </c>
      <c r="E211" s="232">
        <v>4</v>
      </c>
      <c r="F211" s="233">
        <v>41875</v>
      </c>
      <c r="G211" s="234" t="s">
        <v>568</v>
      </c>
      <c r="H211" s="231">
        <v>4153956788</v>
      </c>
      <c r="I211" s="234" t="s">
        <v>569</v>
      </c>
      <c r="J211" s="233">
        <v>45180</v>
      </c>
      <c r="K211" s="234"/>
      <c r="L211" s="234"/>
      <c r="M211" s="231" t="s">
        <v>570</v>
      </c>
      <c r="N211" s="235" t="s">
        <v>34</v>
      </c>
      <c r="O211" s="236">
        <v>45383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 x14ac:dyDescent="0.2">
      <c r="A212" s="229">
        <v>8</v>
      </c>
      <c r="B212" s="230" t="s">
        <v>88</v>
      </c>
      <c r="C212" s="231" t="s">
        <v>566</v>
      </c>
      <c r="D212" s="231" t="s">
        <v>580</v>
      </c>
      <c r="E212" s="232">
        <v>4</v>
      </c>
      <c r="F212" s="233">
        <v>41875</v>
      </c>
      <c r="G212" s="234" t="s">
        <v>568</v>
      </c>
      <c r="H212" s="231">
        <v>4153956788</v>
      </c>
      <c r="I212" s="234" t="s">
        <v>569</v>
      </c>
      <c r="J212" s="233">
        <v>45180</v>
      </c>
      <c r="K212" s="234"/>
      <c r="L212" s="234"/>
      <c r="M212" s="231" t="s">
        <v>570</v>
      </c>
      <c r="N212" s="235" t="s">
        <v>34</v>
      </c>
      <c r="O212" s="236">
        <v>45383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 x14ac:dyDescent="0.2">
      <c r="A213" s="229">
        <v>9</v>
      </c>
      <c r="B213" s="230" t="s">
        <v>48</v>
      </c>
      <c r="C213" s="231" t="s">
        <v>581</v>
      </c>
      <c r="D213" s="231" t="s">
        <v>582</v>
      </c>
      <c r="E213" s="232" t="s">
        <v>154</v>
      </c>
      <c r="F213" s="233">
        <v>43214</v>
      </c>
      <c r="G213" s="234" t="s">
        <v>583</v>
      </c>
      <c r="H213" s="231">
        <v>5103885720</v>
      </c>
      <c r="I213" s="234" t="s">
        <v>584</v>
      </c>
      <c r="J213" s="233">
        <v>45178</v>
      </c>
      <c r="K213" s="234"/>
      <c r="L213" s="234"/>
      <c r="M213" s="231"/>
      <c r="N213" s="235" t="s">
        <v>34</v>
      </c>
      <c r="O213" s="236">
        <v>45383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 x14ac:dyDescent="0.2">
      <c r="A214" s="229">
        <v>10</v>
      </c>
      <c r="B214" s="230" t="s">
        <v>48</v>
      </c>
      <c r="C214" s="231" t="s">
        <v>581</v>
      </c>
      <c r="D214" s="231" t="s">
        <v>585</v>
      </c>
      <c r="E214" s="232">
        <v>2</v>
      </c>
      <c r="F214" s="233">
        <v>42626</v>
      </c>
      <c r="G214" s="234" t="s">
        <v>583</v>
      </c>
      <c r="H214" s="231">
        <v>5103885720</v>
      </c>
      <c r="I214" s="234" t="s">
        <v>584</v>
      </c>
      <c r="J214" s="233">
        <v>45178</v>
      </c>
      <c r="K214" s="234"/>
      <c r="L214" s="234"/>
      <c r="M214" s="231"/>
      <c r="N214" s="235" t="s">
        <v>34</v>
      </c>
      <c r="O214" s="236">
        <v>45383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 x14ac:dyDescent="0.2">
      <c r="A215" s="195">
        <v>1</v>
      </c>
      <c r="B215" s="240" t="s">
        <v>48</v>
      </c>
      <c r="C215" s="211" t="s">
        <v>586</v>
      </c>
      <c r="D215" s="211" t="s">
        <v>587</v>
      </c>
      <c r="E215" s="212" t="s">
        <v>246</v>
      </c>
      <c r="F215" s="213">
        <v>43630</v>
      </c>
      <c r="G215" s="207" t="s">
        <v>588</v>
      </c>
      <c r="H215" s="211">
        <v>5109444628</v>
      </c>
      <c r="I215" s="207" t="s">
        <v>589</v>
      </c>
      <c r="J215" s="213">
        <v>45170</v>
      </c>
      <c r="K215" s="207"/>
      <c r="L215" s="207"/>
      <c r="M215" s="211" t="s">
        <v>590</v>
      </c>
      <c r="N215" s="204" t="s">
        <v>34</v>
      </c>
      <c r="O215" s="214">
        <v>45413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7.25" hidden="1" customHeight="1" x14ac:dyDescent="0.2">
      <c r="A216" s="195">
        <v>2</v>
      </c>
      <c r="B216" s="204" t="s">
        <v>48</v>
      </c>
      <c r="C216" s="205" t="s">
        <v>288</v>
      </c>
      <c r="D216" s="205" t="s">
        <v>471</v>
      </c>
      <c r="E216" s="195" t="s">
        <v>154</v>
      </c>
      <c r="F216" s="206">
        <v>42943</v>
      </c>
      <c r="G216" s="208" t="s">
        <v>591</v>
      </c>
      <c r="H216" s="205">
        <v>5103035129</v>
      </c>
      <c r="I216" s="241" t="s">
        <v>592</v>
      </c>
      <c r="J216" s="206">
        <v>44728</v>
      </c>
      <c r="K216" s="208"/>
      <c r="L216" s="208"/>
      <c r="M216" s="205" t="s">
        <v>593</v>
      </c>
      <c r="N216" s="204" t="s">
        <v>34</v>
      </c>
      <c r="O216" s="214">
        <v>45413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7.25" hidden="1" customHeight="1" x14ac:dyDescent="0.2">
      <c r="A217" s="195">
        <v>3</v>
      </c>
      <c r="B217" s="204" t="s">
        <v>88</v>
      </c>
      <c r="C217" s="205" t="s">
        <v>288</v>
      </c>
      <c r="D217" s="205" t="s">
        <v>471</v>
      </c>
      <c r="E217" s="195" t="s">
        <v>154</v>
      </c>
      <c r="F217" s="206">
        <v>42943</v>
      </c>
      <c r="G217" s="208" t="s">
        <v>591</v>
      </c>
      <c r="H217" s="205">
        <v>5103035129</v>
      </c>
      <c r="I217" s="241" t="s">
        <v>592</v>
      </c>
      <c r="J217" s="206">
        <v>44728</v>
      </c>
      <c r="K217" s="208"/>
      <c r="L217" s="208"/>
      <c r="M217" s="205" t="s">
        <v>593</v>
      </c>
      <c r="N217" s="204" t="s">
        <v>34</v>
      </c>
      <c r="O217" s="214">
        <v>45413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7.25" hidden="1" customHeight="1" x14ac:dyDescent="0.2">
      <c r="A218" s="173">
        <v>4</v>
      </c>
      <c r="B218" s="242" t="s">
        <v>48</v>
      </c>
      <c r="C218" s="243" t="s">
        <v>328</v>
      </c>
      <c r="D218" s="243" t="s">
        <v>119</v>
      </c>
      <c r="E218" s="244" t="s">
        <v>154</v>
      </c>
      <c r="F218" s="245">
        <v>43274</v>
      </c>
      <c r="G218" s="246" t="s">
        <v>329</v>
      </c>
      <c r="H218" s="243">
        <v>2544004292</v>
      </c>
      <c r="I218" s="246" t="s">
        <v>330</v>
      </c>
      <c r="J218" s="245">
        <v>45185</v>
      </c>
      <c r="K218" s="246"/>
      <c r="L218" s="246"/>
      <c r="M218" s="243" t="s">
        <v>594</v>
      </c>
      <c r="N218" s="174" t="s">
        <v>34</v>
      </c>
      <c r="O218" s="247">
        <v>45413</v>
      </c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  <c r="AS218" s="166"/>
      <c r="AT218" s="166"/>
    </row>
    <row r="219" spans="1:46" ht="17.25" hidden="1" customHeight="1" x14ac:dyDescent="0.2">
      <c r="A219" s="195">
        <v>5</v>
      </c>
      <c r="B219" s="204" t="s">
        <v>48</v>
      </c>
      <c r="C219" s="205" t="s">
        <v>595</v>
      </c>
      <c r="D219" s="205" t="s">
        <v>596</v>
      </c>
      <c r="E219" s="195">
        <v>3</v>
      </c>
      <c r="F219" s="206">
        <v>42182</v>
      </c>
      <c r="G219" s="208" t="s">
        <v>597</v>
      </c>
      <c r="H219" s="205">
        <v>4085948203</v>
      </c>
      <c r="I219" s="208" t="s">
        <v>598</v>
      </c>
      <c r="J219" s="206">
        <v>45215</v>
      </c>
      <c r="K219" s="208"/>
      <c r="L219" s="208"/>
      <c r="M219" s="205"/>
      <c r="N219" s="204" t="s">
        <v>34</v>
      </c>
      <c r="O219" s="214">
        <v>45413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7.25" hidden="1" customHeight="1" x14ac:dyDescent="0.2">
      <c r="A220" s="195">
        <v>6</v>
      </c>
      <c r="B220" s="204" t="s">
        <v>48</v>
      </c>
      <c r="C220" s="205" t="s">
        <v>599</v>
      </c>
      <c r="D220" s="205" t="s">
        <v>600</v>
      </c>
      <c r="E220" s="195">
        <v>6</v>
      </c>
      <c r="F220" s="206">
        <v>41089</v>
      </c>
      <c r="G220" s="207" t="s">
        <v>601</v>
      </c>
      <c r="H220" s="207">
        <v>4085819618</v>
      </c>
      <c r="I220" s="207" t="s">
        <v>602</v>
      </c>
      <c r="J220" s="206">
        <v>45329</v>
      </c>
      <c r="K220" s="208"/>
      <c r="L220" s="208"/>
      <c r="M220" s="205"/>
      <c r="N220" s="204" t="s">
        <v>34</v>
      </c>
      <c r="O220" s="214">
        <v>45413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7.25" hidden="1" customHeight="1" x14ac:dyDescent="0.2">
      <c r="A221" s="195">
        <v>7</v>
      </c>
      <c r="B221" s="204" t="s">
        <v>88</v>
      </c>
      <c r="C221" s="205" t="s">
        <v>599</v>
      </c>
      <c r="D221" s="205" t="s">
        <v>600</v>
      </c>
      <c r="E221" s="195">
        <v>6</v>
      </c>
      <c r="F221" s="206">
        <v>41089</v>
      </c>
      <c r="G221" s="207" t="s">
        <v>601</v>
      </c>
      <c r="H221" s="207">
        <v>4085819618</v>
      </c>
      <c r="I221" s="207" t="s">
        <v>602</v>
      </c>
      <c r="J221" s="206">
        <v>45329</v>
      </c>
      <c r="K221" s="208"/>
      <c r="L221" s="208"/>
      <c r="M221" s="205"/>
      <c r="N221" s="204" t="s">
        <v>34</v>
      </c>
      <c r="O221" s="214">
        <v>45413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7.25" hidden="1" customHeight="1" x14ac:dyDescent="0.2">
      <c r="A222" s="195">
        <v>8</v>
      </c>
      <c r="B222" s="204" t="s">
        <v>48</v>
      </c>
      <c r="C222" s="211" t="s">
        <v>400</v>
      </c>
      <c r="D222" s="211" t="s">
        <v>603</v>
      </c>
      <c r="E222" s="212">
        <v>2</v>
      </c>
      <c r="F222" s="213">
        <v>42516</v>
      </c>
      <c r="G222" s="207" t="s">
        <v>604</v>
      </c>
      <c r="H222" s="211">
        <v>6318770767</v>
      </c>
      <c r="I222" s="207" t="s">
        <v>605</v>
      </c>
      <c r="J222" s="213">
        <v>45156</v>
      </c>
      <c r="K222" s="207"/>
      <c r="L222" s="207"/>
      <c r="M222" s="211" t="s">
        <v>593</v>
      </c>
      <c r="N222" s="204" t="s">
        <v>34</v>
      </c>
      <c r="O222" s="214">
        <v>45413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7.25" hidden="1" customHeight="1" x14ac:dyDescent="0.2">
      <c r="A223" s="195">
        <v>9</v>
      </c>
      <c r="B223" s="204" t="s">
        <v>88</v>
      </c>
      <c r="C223" s="205" t="s">
        <v>400</v>
      </c>
      <c r="D223" s="205" t="s">
        <v>603</v>
      </c>
      <c r="E223" s="195">
        <v>2</v>
      </c>
      <c r="F223" s="206">
        <v>42516</v>
      </c>
      <c r="G223" s="208" t="s">
        <v>604</v>
      </c>
      <c r="H223" s="205">
        <v>6318770767</v>
      </c>
      <c r="I223" s="208" t="s">
        <v>605</v>
      </c>
      <c r="J223" s="206">
        <v>410535</v>
      </c>
      <c r="K223" s="207"/>
      <c r="L223" s="207"/>
      <c r="M223" s="211" t="s">
        <v>593</v>
      </c>
      <c r="N223" s="204" t="s">
        <v>34</v>
      </c>
      <c r="O223" s="214">
        <v>45413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 x14ac:dyDescent="0.2">
      <c r="A224" s="173">
        <v>10</v>
      </c>
      <c r="B224" s="174" t="s">
        <v>88</v>
      </c>
      <c r="C224" s="243" t="s">
        <v>606</v>
      </c>
      <c r="D224" s="243" t="s">
        <v>607</v>
      </c>
      <c r="E224" s="244">
        <v>3</v>
      </c>
      <c r="F224" s="245">
        <v>42124</v>
      </c>
      <c r="G224" s="246" t="s">
        <v>608</v>
      </c>
      <c r="H224" s="243">
        <v>4085076346</v>
      </c>
      <c r="I224" s="246" t="s">
        <v>442</v>
      </c>
      <c r="J224" s="245">
        <v>45159</v>
      </c>
      <c r="K224" s="246"/>
      <c r="L224" s="246"/>
      <c r="M224" s="243"/>
      <c r="N224" s="174" t="s">
        <v>34</v>
      </c>
      <c r="O224" s="247">
        <v>45413</v>
      </c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  <c r="AS224" s="166"/>
      <c r="AT224" s="166"/>
    </row>
    <row r="225" spans="1:46" ht="17.25" hidden="1" customHeight="1" x14ac:dyDescent="0.2">
      <c r="A225" s="173">
        <v>11</v>
      </c>
      <c r="B225" s="174" t="s">
        <v>88</v>
      </c>
      <c r="C225" s="243" t="s">
        <v>606</v>
      </c>
      <c r="D225" s="243" t="s">
        <v>609</v>
      </c>
      <c r="E225" s="244">
        <v>3</v>
      </c>
      <c r="F225" s="245">
        <v>42124</v>
      </c>
      <c r="G225" s="246" t="s">
        <v>608</v>
      </c>
      <c r="H225" s="243">
        <v>4085076346</v>
      </c>
      <c r="I225" s="246" t="s">
        <v>442</v>
      </c>
      <c r="J225" s="245">
        <v>45159</v>
      </c>
      <c r="K225" s="246"/>
      <c r="L225" s="246"/>
      <c r="M225" s="243"/>
      <c r="N225" s="174" t="s">
        <v>34</v>
      </c>
      <c r="O225" s="247">
        <v>45413</v>
      </c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  <c r="AK225" s="166"/>
      <c r="AL225" s="166"/>
      <c r="AM225" s="166"/>
      <c r="AN225" s="166"/>
      <c r="AO225" s="166"/>
      <c r="AP225" s="166"/>
      <c r="AQ225" s="166"/>
      <c r="AR225" s="166"/>
      <c r="AS225" s="166"/>
      <c r="AT225" s="166"/>
    </row>
    <row r="226" spans="1:46" ht="17.25" hidden="1" customHeight="1" x14ac:dyDescent="0.2">
      <c r="A226" s="195">
        <v>12</v>
      </c>
      <c r="B226" s="204" t="s">
        <v>48</v>
      </c>
      <c r="C226" s="205" t="s">
        <v>610</v>
      </c>
      <c r="D226" s="205" t="s">
        <v>372</v>
      </c>
      <c r="E226" s="195" t="s">
        <v>214</v>
      </c>
      <c r="F226" s="206">
        <v>42940</v>
      </c>
      <c r="G226" s="208" t="s">
        <v>611</v>
      </c>
      <c r="H226" s="205">
        <v>5105090555</v>
      </c>
      <c r="I226" s="208" t="s">
        <v>612</v>
      </c>
      <c r="J226" s="206">
        <v>44723</v>
      </c>
      <c r="K226" s="208"/>
      <c r="L226" s="208"/>
      <c r="M226" s="205" t="s">
        <v>613</v>
      </c>
      <c r="N226" s="204" t="s">
        <v>34</v>
      </c>
      <c r="O226" s="214">
        <v>45413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 x14ac:dyDescent="0.2">
      <c r="A227" s="195">
        <v>13</v>
      </c>
      <c r="B227" s="204" t="s">
        <v>88</v>
      </c>
      <c r="C227" s="205" t="s">
        <v>610</v>
      </c>
      <c r="D227" s="205" t="s">
        <v>372</v>
      </c>
      <c r="E227" s="195" t="s">
        <v>214</v>
      </c>
      <c r="F227" s="206">
        <v>42940</v>
      </c>
      <c r="G227" s="208" t="s">
        <v>611</v>
      </c>
      <c r="H227" s="205">
        <v>5105090555</v>
      </c>
      <c r="I227" s="208" t="s">
        <v>612</v>
      </c>
      <c r="J227" s="206">
        <v>44723</v>
      </c>
      <c r="K227" s="208"/>
      <c r="L227" s="208"/>
      <c r="M227" s="205" t="s">
        <v>613</v>
      </c>
      <c r="N227" s="204" t="s">
        <v>34</v>
      </c>
      <c r="O227" s="214">
        <v>45413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7.25" hidden="1" customHeight="1" x14ac:dyDescent="0.2">
      <c r="A228" s="195">
        <v>14</v>
      </c>
      <c r="B228" s="204" t="s">
        <v>48</v>
      </c>
      <c r="C228" s="205" t="s">
        <v>610</v>
      </c>
      <c r="D228" s="205" t="s">
        <v>614</v>
      </c>
      <c r="E228" s="195">
        <v>5</v>
      </c>
      <c r="F228" s="206">
        <v>40745</v>
      </c>
      <c r="G228" s="208" t="s">
        <v>615</v>
      </c>
      <c r="H228" s="205">
        <v>5105090555</v>
      </c>
      <c r="I228" s="208" t="s">
        <v>612</v>
      </c>
      <c r="J228" s="205" t="s">
        <v>616</v>
      </c>
      <c r="K228" s="208"/>
      <c r="L228" s="208"/>
      <c r="M228" s="205" t="s">
        <v>613</v>
      </c>
      <c r="N228" s="204" t="s">
        <v>34</v>
      </c>
      <c r="O228" s="214">
        <v>45413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7.25" hidden="1" customHeight="1" x14ac:dyDescent="0.2">
      <c r="A229" s="195">
        <v>15</v>
      </c>
      <c r="B229" s="204" t="s">
        <v>88</v>
      </c>
      <c r="C229" s="205" t="s">
        <v>610</v>
      </c>
      <c r="D229" s="205" t="s">
        <v>614</v>
      </c>
      <c r="E229" s="195">
        <v>5</v>
      </c>
      <c r="F229" s="206">
        <v>40745</v>
      </c>
      <c r="G229" s="208" t="s">
        <v>615</v>
      </c>
      <c r="H229" s="205">
        <v>5105090555</v>
      </c>
      <c r="I229" s="208" t="s">
        <v>612</v>
      </c>
      <c r="J229" s="205" t="s">
        <v>616</v>
      </c>
      <c r="K229" s="208"/>
      <c r="L229" s="208"/>
      <c r="M229" s="205" t="s">
        <v>613</v>
      </c>
      <c r="N229" s="204" t="s">
        <v>34</v>
      </c>
      <c r="O229" s="214">
        <v>45413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7.25" hidden="1" customHeight="1" x14ac:dyDescent="0.2">
      <c r="A230" s="183">
        <v>1</v>
      </c>
      <c r="B230" s="184" t="s">
        <v>48</v>
      </c>
      <c r="C230" s="191" t="s">
        <v>617</v>
      </c>
      <c r="D230" s="191" t="s">
        <v>618</v>
      </c>
      <c r="E230" s="183">
        <v>2</v>
      </c>
      <c r="F230" s="192">
        <v>42279</v>
      </c>
      <c r="G230" s="193" t="s">
        <v>619</v>
      </c>
      <c r="H230" s="191">
        <v>4256334423</v>
      </c>
      <c r="I230" s="193" t="s">
        <v>620</v>
      </c>
      <c r="J230" s="192">
        <v>45231</v>
      </c>
      <c r="K230" s="193"/>
      <c r="L230" s="193"/>
      <c r="M230" s="191" t="s">
        <v>621</v>
      </c>
      <c r="N230" s="184" t="s">
        <v>34</v>
      </c>
      <c r="O230" s="189">
        <v>45444</v>
      </c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0"/>
      <c r="AR230" s="190"/>
      <c r="AS230" s="190"/>
      <c r="AT230" s="190"/>
    </row>
    <row r="231" spans="1:46" ht="17.25" hidden="1" customHeight="1" x14ac:dyDescent="0.2">
      <c r="A231" s="183">
        <v>2</v>
      </c>
      <c r="B231" s="184" t="s">
        <v>48</v>
      </c>
      <c r="C231" s="185" t="s">
        <v>555</v>
      </c>
      <c r="D231" s="185" t="s">
        <v>622</v>
      </c>
      <c r="E231" s="186">
        <v>2</v>
      </c>
      <c r="F231" s="187">
        <v>42301</v>
      </c>
      <c r="G231" s="188" t="s">
        <v>557</v>
      </c>
      <c r="H231" s="185">
        <v>6503358676</v>
      </c>
      <c r="I231" s="188" t="s">
        <v>558</v>
      </c>
      <c r="J231" s="187">
        <v>45159</v>
      </c>
      <c r="K231" s="188"/>
      <c r="L231" s="188"/>
      <c r="M231" s="185"/>
      <c r="N231" s="184" t="s">
        <v>34</v>
      </c>
      <c r="O231" s="189">
        <v>45444</v>
      </c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0"/>
      <c r="AR231" s="190"/>
      <c r="AS231" s="190"/>
      <c r="AT231" s="190"/>
    </row>
    <row r="232" spans="1:46" ht="17.25" hidden="1" customHeight="1" x14ac:dyDescent="0.2">
      <c r="A232" s="183">
        <v>3</v>
      </c>
      <c r="B232" s="184" t="s">
        <v>88</v>
      </c>
      <c r="C232" s="185" t="s">
        <v>555</v>
      </c>
      <c r="D232" s="185" t="s">
        <v>622</v>
      </c>
      <c r="E232" s="186">
        <v>2</v>
      </c>
      <c r="F232" s="187">
        <v>42301</v>
      </c>
      <c r="G232" s="188" t="s">
        <v>557</v>
      </c>
      <c r="H232" s="185">
        <v>6503358676</v>
      </c>
      <c r="I232" s="188" t="s">
        <v>558</v>
      </c>
      <c r="J232" s="187">
        <v>45159</v>
      </c>
      <c r="K232" s="188"/>
      <c r="L232" s="188"/>
      <c r="M232" s="185"/>
      <c r="N232" s="184" t="s">
        <v>34</v>
      </c>
      <c r="O232" s="189">
        <v>45444</v>
      </c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0"/>
      <c r="AR232" s="190"/>
      <c r="AS232" s="190"/>
      <c r="AT232" s="190"/>
    </row>
    <row r="233" spans="1:46" ht="17.25" hidden="1" customHeight="1" x14ac:dyDescent="0.2">
      <c r="A233" s="173">
        <v>4</v>
      </c>
      <c r="B233" s="242" t="s">
        <v>48</v>
      </c>
      <c r="C233" s="243" t="s">
        <v>371</v>
      </c>
      <c r="D233" s="243" t="s">
        <v>372</v>
      </c>
      <c r="E233" s="244">
        <v>2</v>
      </c>
      <c r="F233" s="245">
        <v>42348</v>
      </c>
      <c r="G233" s="246" t="s">
        <v>373</v>
      </c>
      <c r="H233" s="243">
        <v>4157228574</v>
      </c>
      <c r="I233" s="246" t="s">
        <v>374</v>
      </c>
      <c r="J233" s="245">
        <v>45170</v>
      </c>
      <c r="K233" s="246"/>
      <c r="L233" s="246"/>
      <c r="M233" s="243" t="s">
        <v>623</v>
      </c>
      <c r="N233" s="174" t="s">
        <v>34</v>
      </c>
      <c r="O233" s="178">
        <v>45444</v>
      </c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  <c r="AJ233" s="166"/>
      <c r="AK233" s="166"/>
      <c r="AL233" s="166"/>
      <c r="AM233" s="166"/>
      <c r="AN233" s="166"/>
      <c r="AO233" s="166"/>
      <c r="AP233" s="166"/>
      <c r="AQ233" s="166"/>
      <c r="AR233" s="166"/>
      <c r="AS233" s="166"/>
      <c r="AT233" s="166"/>
    </row>
    <row r="234" spans="1:46" ht="17.25" hidden="1" customHeight="1" x14ac:dyDescent="0.2">
      <c r="A234" s="173">
        <v>5</v>
      </c>
      <c r="B234" s="242" t="s">
        <v>88</v>
      </c>
      <c r="C234" s="243" t="s">
        <v>371</v>
      </c>
      <c r="D234" s="243" t="s">
        <v>372</v>
      </c>
      <c r="E234" s="244">
        <v>2</v>
      </c>
      <c r="F234" s="245">
        <v>42348</v>
      </c>
      <c r="G234" s="246" t="s">
        <v>373</v>
      </c>
      <c r="H234" s="243">
        <v>4157228574</v>
      </c>
      <c r="I234" s="246" t="s">
        <v>374</v>
      </c>
      <c r="J234" s="245">
        <v>45170</v>
      </c>
      <c r="K234" s="246"/>
      <c r="L234" s="246"/>
      <c r="M234" s="243" t="s">
        <v>623</v>
      </c>
      <c r="N234" s="174" t="s">
        <v>34</v>
      </c>
      <c r="O234" s="178">
        <v>45444</v>
      </c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  <c r="AK234" s="166"/>
      <c r="AL234" s="166"/>
      <c r="AM234" s="166"/>
      <c r="AN234" s="166"/>
      <c r="AO234" s="166"/>
      <c r="AP234" s="166"/>
      <c r="AQ234" s="166"/>
      <c r="AR234" s="166"/>
      <c r="AS234" s="166"/>
      <c r="AT234" s="166"/>
    </row>
    <row r="235" spans="1:46" ht="17.25" hidden="1" customHeight="1" x14ac:dyDescent="0.2">
      <c r="A235" s="183">
        <v>6</v>
      </c>
      <c r="B235" s="184" t="s">
        <v>48</v>
      </c>
      <c r="C235" s="185" t="s">
        <v>624</v>
      </c>
      <c r="D235" s="185" t="s">
        <v>372</v>
      </c>
      <c r="E235" s="186">
        <v>4</v>
      </c>
      <c r="F235" s="187">
        <v>41745</v>
      </c>
      <c r="G235" s="188" t="s">
        <v>625</v>
      </c>
      <c r="H235" s="185">
        <v>5102828122</v>
      </c>
      <c r="I235" s="188" t="s">
        <v>626</v>
      </c>
      <c r="J235" s="187">
        <v>45159</v>
      </c>
      <c r="K235" s="188"/>
      <c r="L235" s="188"/>
      <c r="M235" s="185"/>
      <c r="N235" s="184" t="s">
        <v>34</v>
      </c>
      <c r="O235" s="189">
        <v>45444</v>
      </c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0"/>
      <c r="AR235" s="190"/>
      <c r="AS235" s="190"/>
      <c r="AT235" s="190"/>
    </row>
    <row r="236" spans="1:46" ht="17.25" hidden="1" customHeight="1" x14ac:dyDescent="0.2">
      <c r="A236" s="183">
        <v>7</v>
      </c>
      <c r="B236" s="184" t="s">
        <v>88</v>
      </c>
      <c r="C236" s="185" t="s">
        <v>624</v>
      </c>
      <c r="D236" s="185" t="s">
        <v>627</v>
      </c>
      <c r="E236" s="186">
        <v>4</v>
      </c>
      <c r="F236" s="187">
        <v>41745</v>
      </c>
      <c r="G236" s="188" t="s">
        <v>625</v>
      </c>
      <c r="H236" s="185">
        <v>5102828122</v>
      </c>
      <c r="I236" s="188" t="s">
        <v>626</v>
      </c>
      <c r="J236" s="187">
        <v>45159</v>
      </c>
      <c r="K236" s="188"/>
      <c r="L236" s="188"/>
      <c r="M236" s="185"/>
      <c r="N236" s="184" t="s">
        <v>34</v>
      </c>
      <c r="O236" s="189">
        <v>45444</v>
      </c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0"/>
      <c r="AR236" s="190"/>
      <c r="AS236" s="190"/>
      <c r="AT236" s="190"/>
    </row>
    <row r="237" spans="1:46" ht="17.25" hidden="1" customHeight="1" x14ac:dyDescent="0.2">
      <c r="A237" s="173">
        <v>8</v>
      </c>
      <c r="B237" s="174" t="s">
        <v>48</v>
      </c>
      <c r="C237" s="175" t="s">
        <v>188</v>
      </c>
      <c r="D237" s="175" t="s">
        <v>189</v>
      </c>
      <c r="E237" s="173">
        <v>1</v>
      </c>
      <c r="F237" s="176">
        <v>41922</v>
      </c>
      <c r="G237" s="177" t="s">
        <v>628</v>
      </c>
      <c r="H237" s="175" t="s">
        <v>629</v>
      </c>
      <c r="I237" s="177" t="s">
        <v>192</v>
      </c>
      <c r="J237" s="176">
        <v>44795</v>
      </c>
      <c r="K237" s="177"/>
      <c r="L237" s="177"/>
      <c r="M237" s="175" t="s">
        <v>630</v>
      </c>
      <c r="N237" s="174" t="s">
        <v>34</v>
      </c>
      <c r="O237" s="178">
        <v>45444</v>
      </c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/>
      <c r="AL237" s="166"/>
      <c r="AM237" s="166"/>
      <c r="AN237" s="166"/>
      <c r="AO237" s="166"/>
      <c r="AP237" s="166"/>
      <c r="AQ237" s="166"/>
      <c r="AR237" s="166"/>
      <c r="AS237" s="166"/>
      <c r="AT237" s="166"/>
    </row>
    <row r="238" spans="1:46" ht="17.25" hidden="1" customHeight="1" x14ac:dyDescent="0.2">
      <c r="A238" s="173">
        <v>9</v>
      </c>
      <c r="B238" s="174" t="s">
        <v>88</v>
      </c>
      <c r="C238" s="175" t="s">
        <v>188</v>
      </c>
      <c r="D238" s="175" t="s">
        <v>189</v>
      </c>
      <c r="E238" s="173">
        <v>1</v>
      </c>
      <c r="F238" s="176">
        <v>41922</v>
      </c>
      <c r="G238" s="177" t="s">
        <v>628</v>
      </c>
      <c r="H238" s="175" t="s">
        <v>629</v>
      </c>
      <c r="I238" s="177" t="s">
        <v>192</v>
      </c>
      <c r="J238" s="176">
        <v>44795</v>
      </c>
      <c r="K238" s="177"/>
      <c r="L238" s="177"/>
      <c r="M238" s="175" t="s">
        <v>630</v>
      </c>
      <c r="N238" s="174" t="s">
        <v>34</v>
      </c>
      <c r="O238" s="178">
        <v>45444</v>
      </c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  <c r="AS238" s="166"/>
      <c r="AT238" s="166"/>
    </row>
    <row r="239" spans="1:46" ht="17.25" hidden="1" customHeight="1" x14ac:dyDescent="0.2">
      <c r="A239" s="183">
        <v>10</v>
      </c>
      <c r="B239" s="184" t="s">
        <v>88</v>
      </c>
      <c r="C239" s="185" t="s">
        <v>371</v>
      </c>
      <c r="D239" s="185" t="s">
        <v>631</v>
      </c>
      <c r="E239" s="186">
        <v>1</v>
      </c>
      <c r="F239" s="187">
        <v>42962</v>
      </c>
      <c r="G239" s="188" t="s">
        <v>632</v>
      </c>
      <c r="H239" s="185">
        <v>4087189860</v>
      </c>
      <c r="I239" s="188" t="s">
        <v>633</v>
      </c>
      <c r="J239" s="187">
        <v>45156</v>
      </c>
      <c r="K239" s="188"/>
      <c r="L239" s="188"/>
      <c r="M239" s="185"/>
      <c r="N239" s="184" t="s">
        <v>34</v>
      </c>
      <c r="O239" s="189">
        <v>45444</v>
      </c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0"/>
      <c r="AR239" s="190"/>
      <c r="AS239" s="190"/>
      <c r="AT239" s="190"/>
    </row>
    <row r="240" spans="1:46" ht="17.25" hidden="1" customHeight="1" x14ac:dyDescent="0.2">
      <c r="A240" s="183">
        <v>11</v>
      </c>
      <c r="B240" s="184" t="s">
        <v>48</v>
      </c>
      <c r="C240" s="185" t="s">
        <v>634</v>
      </c>
      <c r="D240" s="185" t="s">
        <v>631</v>
      </c>
      <c r="E240" s="186">
        <v>1</v>
      </c>
      <c r="F240" s="187">
        <v>42962</v>
      </c>
      <c r="G240" s="188" t="s">
        <v>632</v>
      </c>
      <c r="H240" s="185">
        <v>4087189860</v>
      </c>
      <c r="I240" s="188" t="s">
        <v>633</v>
      </c>
      <c r="J240" s="187">
        <v>45156</v>
      </c>
      <c r="K240" s="188"/>
      <c r="L240" s="188"/>
      <c r="M240" s="185"/>
      <c r="N240" s="184" t="s">
        <v>34</v>
      </c>
      <c r="O240" s="189">
        <v>45444</v>
      </c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0"/>
      <c r="AR240" s="190"/>
      <c r="AS240" s="190"/>
      <c r="AT240" s="190"/>
    </row>
    <row r="241" spans="1:46" ht="17.25" hidden="1" customHeight="1" x14ac:dyDescent="0.2">
      <c r="A241" s="183">
        <v>12</v>
      </c>
      <c r="B241" s="184" t="s">
        <v>48</v>
      </c>
      <c r="C241" s="185" t="s">
        <v>635</v>
      </c>
      <c r="D241" s="185" t="s">
        <v>631</v>
      </c>
      <c r="E241" s="186">
        <v>1</v>
      </c>
      <c r="F241" s="187">
        <v>44927</v>
      </c>
      <c r="G241" s="188" t="s">
        <v>636</v>
      </c>
      <c r="H241" s="185">
        <v>5108813622</v>
      </c>
      <c r="I241" s="188" t="s">
        <v>637</v>
      </c>
      <c r="J241" s="187">
        <v>45154</v>
      </c>
      <c r="K241" s="188"/>
      <c r="L241" s="188"/>
      <c r="M241" s="185"/>
      <c r="N241" s="184" t="s">
        <v>34</v>
      </c>
      <c r="O241" s="189">
        <v>45444</v>
      </c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0"/>
    </row>
    <row r="242" spans="1:46" ht="17.25" hidden="1" customHeight="1" x14ac:dyDescent="0.2">
      <c r="A242" s="183">
        <v>13</v>
      </c>
      <c r="B242" s="184" t="s">
        <v>88</v>
      </c>
      <c r="C242" s="185" t="s">
        <v>635</v>
      </c>
      <c r="D242" s="185" t="s">
        <v>631</v>
      </c>
      <c r="E242" s="186">
        <v>1</v>
      </c>
      <c r="F242" s="187">
        <v>44927</v>
      </c>
      <c r="G242" s="188" t="s">
        <v>636</v>
      </c>
      <c r="H242" s="185">
        <v>5108813622</v>
      </c>
      <c r="I242" s="188" t="s">
        <v>637</v>
      </c>
      <c r="J242" s="187">
        <v>45154</v>
      </c>
      <c r="K242" s="188"/>
      <c r="L242" s="188"/>
      <c r="M242" s="185"/>
      <c r="N242" s="184" t="s">
        <v>34</v>
      </c>
      <c r="O242" s="189">
        <v>45444</v>
      </c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0"/>
      <c r="AR242" s="190"/>
      <c r="AS242" s="190"/>
      <c r="AT242" s="190"/>
    </row>
    <row r="243" spans="1:46" ht="17.25" hidden="1" customHeight="1" x14ac:dyDescent="0.2">
      <c r="A243" s="183">
        <v>14</v>
      </c>
      <c r="B243" s="184" t="s">
        <v>48</v>
      </c>
      <c r="C243" s="185" t="s">
        <v>638</v>
      </c>
      <c r="D243" s="185" t="s">
        <v>639</v>
      </c>
      <c r="E243" s="186">
        <v>3</v>
      </c>
      <c r="F243" s="187">
        <v>42125</v>
      </c>
      <c r="G243" s="188" t="s">
        <v>640</v>
      </c>
      <c r="H243" s="185">
        <v>5105795250</v>
      </c>
      <c r="I243" s="188" t="s">
        <v>641</v>
      </c>
      <c r="J243" s="187">
        <v>45156</v>
      </c>
      <c r="K243" s="188"/>
      <c r="L243" s="188"/>
      <c r="M243" s="185"/>
      <c r="N243" s="184" t="s">
        <v>34</v>
      </c>
      <c r="O243" s="189">
        <v>45444</v>
      </c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</row>
    <row r="244" spans="1:46" ht="17.25" hidden="1" customHeight="1" x14ac:dyDescent="0.2">
      <c r="A244" s="183">
        <v>15</v>
      </c>
      <c r="B244" s="184" t="s">
        <v>88</v>
      </c>
      <c r="C244" s="185" t="s">
        <v>638</v>
      </c>
      <c r="D244" s="185" t="s">
        <v>639</v>
      </c>
      <c r="E244" s="186">
        <v>3</v>
      </c>
      <c r="F244" s="187">
        <v>42125</v>
      </c>
      <c r="G244" s="188" t="s">
        <v>640</v>
      </c>
      <c r="H244" s="185">
        <v>5105795250</v>
      </c>
      <c r="I244" s="188" t="s">
        <v>641</v>
      </c>
      <c r="J244" s="187">
        <v>45156</v>
      </c>
      <c r="K244" s="188"/>
      <c r="L244" s="188"/>
      <c r="M244" s="185"/>
      <c r="N244" s="184" t="s">
        <v>34</v>
      </c>
      <c r="O244" s="189">
        <v>45444</v>
      </c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0"/>
      <c r="AR244" s="190"/>
      <c r="AS244" s="190"/>
      <c r="AT244" s="190"/>
    </row>
    <row r="245" spans="1:46" ht="17.25" hidden="1" customHeight="1" x14ac:dyDescent="0.2">
      <c r="A245" s="183">
        <v>16</v>
      </c>
      <c r="B245" s="184" t="s">
        <v>48</v>
      </c>
      <c r="C245" s="191" t="s">
        <v>642</v>
      </c>
      <c r="D245" s="191" t="s">
        <v>643</v>
      </c>
      <c r="E245" s="183">
        <v>3</v>
      </c>
      <c r="F245" s="192">
        <v>42162</v>
      </c>
      <c r="G245" s="193" t="s">
        <v>644</v>
      </c>
      <c r="H245" s="191">
        <v>4087992378</v>
      </c>
      <c r="I245" s="193" t="s">
        <v>645</v>
      </c>
      <c r="J245" s="192">
        <v>45383</v>
      </c>
      <c r="K245" s="193"/>
      <c r="L245" s="193"/>
      <c r="M245" s="191"/>
      <c r="N245" s="184" t="s">
        <v>34</v>
      </c>
      <c r="O245" s="189">
        <v>45444</v>
      </c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0"/>
      <c r="AR245" s="190"/>
      <c r="AS245" s="190"/>
      <c r="AT245" s="190"/>
    </row>
    <row r="246" spans="1:46" ht="17.25" hidden="1" customHeight="1" x14ac:dyDescent="0.2">
      <c r="A246" s="183">
        <v>17</v>
      </c>
      <c r="B246" s="184" t="s">
        <v>88</v>
      </c>
      <c r="C246" s="191" t="s">
        <v>642</v>
      </c>
      <c r="D246" s="191" t="s">
        <v>643</v>
      </c>
      <c r="E246" s="183">
        <v>3</v>
      </c>
      <c r="F246" s="192">
        <v>42162</v>
      </c>
      <c r="G246" s="193" t="s">
        <v>644</v>
      </c>
      <c r="H246" s="191">
        <v>4087992378</v>
      </c>
      <c r="I246" s="193" t="s">
        <v>645</v>
      </c>
      <c r="J246" s="192">
        <v>45383</v>
      </c>
      <c r="K246" s="193"/>
      <c r="L246" s="193"/>
      <c r="M246" s="191"/>
      <c r="N246" s="184" t="s">
        <v>34</v>
      </c>
      <c r="O246" s="189">
        <v>45444</v>
      </c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0"/>
      <c r="AR246" s="190"/>
      <c r="AS246" s="190"/>
      <c r="AT246" s="190"/>
    </row>
    <row r="247" spans="1:46" ht="17.25" hidden="1" customHeight="1" x14ac:dyDescent="0.2">
      <c r="A247" s="183">
        <v>18</v>
      </c>
      <c r="B247" s="184" t="s">
        <v>48</v>
      </c>
      <c r="C247" s="185" t="s">
        <v>646</v>
      </c>
      <c r="D247" s="185" t="s">
        <v>647</v>
      </c>
      <c r="E247" s="186" t="s">
        <v>154</v>
      </c>
      <c r="F247" s="187">
        <v>43210</v>
      </c>
      <c r="G247" s="188" t="s">
        <v>648</v>
      </c>
      <c r="H247" s="185">
        <v>4089133406</v>
      </c>
      <c r="I247" s="188" t="s">
        <v>649</v>
      </c>
      <c r="J247" s="187">
        <v>45154</v>
      </c>
      <c r="K247" s="188"/>
      <c r="L247" s="188"/>
      <c r="M247" s="185"/>
      <c r="N247" s="184" t="s">
        <v>34</v>
      </c>
      <c r="O247" s="189">
        <v>45444</v>
      </c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0"/>
      <c r="AR247" s="190"/>
      <c r="AS247" s="190"/>
      <c r="AT247" s="190"/>
    </row>
    <row r="248" spans="1:46" ht="17.25" hidden="1" customHeight="1" x14ac:dyDescent="0.2">
      <c r="A248" s="183">
        <v>19</v>
      </c>
      <c r="B248" s="184" t="s">
        <v>88</v>
      </c>
      <c r="C248" s="185" t="s">
        <v>646</v>
      </c>
      <c r="D248" s="185" t="s">
        <v>647</v>
      </c>
      <c r="E248" s="186" t="s">
        <v>154</v>
      </c>
      <c r="F248" s="187">
        <v>43210</v>
      </c>
      <c r="G248" s="188" t="s">
        <v>648</v>
      </c>
      <c r="H248" s="185">
        <v>4089133406</v>
      </c>
      <c r="I248" s="188" t="s">
        <v>649</v>
      </c>
      <c r="J248" s="187">
        <v>45154</v>
      </c>
      <c r="K248" s="188"/>
      <c r="L248" s="188"/>
      <c r="M248" s="185"/>
      <c r="N248" s="184" t="s">
        <v>34</v>
      </c>
      <c r="O248" s="189">
        <v>45444</v>
      </c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0"/>
      <c r="AR248" s="190"/>
      <c r="AS248" s="190"/>
      <c r="AT248" s="190"/>
    </row>
    <row r="249" spans="1:46" ht="17.25" hidden="1" customHeight="1" x14ac:dyDescent="0.2">
      <c r="A249" s="183">
        <v>20</v>
      </c>
      <c r="B249" s="184" t="s">
        <v>48</v>
      </c>
      <c r="C249" s="185" t="s">
        <v>650</v>
      </c>
      <c r="D249" s="185" t="s">
        <v>651</v>
      </c>
      <c r="E249" s="186">
        <v>1</v>
      </c>
      <c r="F249" s="187">
        <v>42828</v>
      </c>
      <c r="G249" s="188" t="s">
        <v>652</v>
      </c>
      <c r="H249" s="185">
        <v>5109196544</v>
      </c>
      <c r="I249" s="188" t="s">
        <v>653</v>
      </c>
      <c r="J249" s="187">
        <v>45159</v>
      </c>
      <c r="K249" s="188"/>
      <c r="L249" s="188"/>
      <c r="M249" s="185"/>
      <c r="N249" s="184" t="s">
        <v>34</v>
      </c>
      <c r="O249" s="189">
        <v>45444</v>
      </c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0"/>
      <c r="AR249" s="190"/>
      <c r="AS249" s="190"/>
      <c r="AT249" s="190"/>
    </row>
    <row r="250" spans="1:46" ht="17.25" hidden="1" customHeight="1" x14ac:dyDescent="0.2">
      <c r="A250" s="183">
        <v>21</v>
      </c>
      <c r="B250" s="184" t="s">
        <v>88</v>
      </c>
      <c r="C250" s="185" t="s">
        <v>654</v>
      </c>
      <c r="D250" s="185" t="s">
        <v>651</v>
      </c>
      <c r="E250" s="186">
        <v>1</v>
      </c>
      <c r="F250" s="187">
        <v>42828</v>
      </c>
      <c r="G250" s="188" t="s">
        <v>652</v>
      </c>
      <c r="H250" s="185">
        <v>5109196544</v>
      </c>
      <c r="I250" s="188" t="s">
        <v>653</v>
      </c>
      <c r="J250" s="187">
        <v>45159</v>
      </c>
      <c r="K250" s="188"/>
      <c r="L250" s="188"/>
      <c r="M250" s="185"/>
      <c r="N250" s="184" t="s">
        <v>34</v>
      </c>
      <c r="O250" s="189">
        <v>45444</v>
      </c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0"/>
      <c r="AR250" s="190"/>
      <c r="AS250" s="190"/>
      <c r="AT250" s="190"/>
    </row>
    <row r="251" spans="1:46" ht="17.25" hidden="1" customHeight="1" x14ac:dyDescent="0.2">
      <c r="A251" s="173">
        <v>22</v>
      </c>
      <c r="B251" s="174" t="s">
        <v>48</v>
      </c>
      <c r="C251" s="175" t="s">
        <v>606</v>
      </c>
      <c r="D251" s="175" t="s">
        <v>607</v>
      </c>
      <c r="E251" s="173">
        <v>3</v>
      </c>
      <c r="F251" s="176">
        <v>42124</v>
      </c>
      <c r="G251" s="177" t="s">
        <v>608</v>
      </c>
      <c r="H251" s="175">
        <v>4085076346</v>
      </c>
      <c r="I251" s="177" t="s">
        <v>442</v>
      </c>
      <c r="J251" s="176">
        <v>45293</v>
      </c>
      <c r="K251" s="246"/>
      <c r="L251" s="246"/>
      <c r="M251" s="243" t="s">
        <v>630</v>
      </c>
      <c r="N251" s="174" t="s">
        <v>34</v>
      </c>
      <c r="O251" s="178">
        <v>45444</v>
      </c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  <c r="AJ251" s="166"/>
      <c r="AK251" s="166"/>
      <c r="AL251" s="166"/>
      <c r="AM251" s="166"/>
      <c r="AN251" s="166"/>
      <c r="AO251" s="166"/>
      <c r="AP251" s="166"/>
      <c r="AQ251" s="166"/>
      <c r="AR251" s="166"/>
      <c r="AS251" s="166"/>
      <c r="AT251" s="166"/>
    </row>
    <row r="252" spans="1:46" ht="16.5" hidden="1" customHeight="1" x14ac:dyDescent="0.2">
      <c r="A252" s="183">
        <v>23</v>
      </c>
      <c r="B252" s="184" t="s">
        <v>48</v>
      </c>
      <c r="C252" s="185" t="s">
        <v>655</v>
      </c>
      <c r="D252" s="185" t="s">
        <v>656</v>
      </c>
      <c r="E252" s="186">
        <v>2</v>
      </c>
      <c r="F252" s="187">
        <v>42534</v>
      </c>
      <c r="G252" s="188" t="s">
        <v>657</v>
      </c>
      <c r="H252" s="185">
        <v>6188035803</v>
      </c>
      <c r="I252" s="188" t="s">
        <v>658</v>
      </c>
      <c r="J252" s="187">
        <v>45161</v>
      </c>
      <c r="K252" s="188"/>
      <c r="L252" s="188"/>
      <c r="M252" s="185"/>
      <c r="N252" s="184" t="s">
        <v>34</v>
      </c>
      <c r="O252" s="189">
        <v>45444</v>
      </c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  <c r="AC252" s="190"/>
      <c r="AD252" s="190"/>
      <c r="AE252" s="190"/>
      <c r="AF252" s="190"/>
      <c r="AG252" s="190"/>
      <c r="AH252" s="190"/>
      <c r="AI252" s="190"/>
      <c r="AJ252" s="190"/>
      <c r="AK252" s="190"/>
      <c r="AL252" s="190"/>
      <c r="AM252" s="190"/>
      <c r="AN252" s="190"/>
      <c r="AO252" s="190"/>
      <c r="AP252" s="190"/>
      <c r="AQ252" s="190"/>
      <c r="AR252" s="190"/>
      <c r="AS252" s="190"/>
      <c r="AT252" s="190"/>
    </row>
    <row r="253" spans="1:46" ht="17.25" hidden="1" customHeight="1" x14ac:dyDescent="0.2">
      <c r="A253" s="183">
        <v>24</v>
      </c>
      <c r="B253" s="184" t="s">
        <v>88</v>
      </c>
      <c r="C253" s="185" t="s">
        <v>655</v>
      </c>
      <c r="D253" s="185" t="s">
        <v>656</v>
      </c>
      <c r="E253" s="186">
        <v>2</v>
      </c>
      <c r="F253" s="187">
        <v>42534</v>
      </c>
      <c r="G253" s="188" t="s">
        <v>657</v>
      </c>
      <c r="H253" s="185">
        <v>6188035803</v>
      </c>
      <c r="I253" s="188" t="s">
        <v>658</v>
      </c>
      <c r="J253" s="187">
        <v>45161</v>
      </c>
      <c r="K253" s="188"/>
      <c r="L253" s="188"/>
      <c r="M253" s="185"/>
      <c r="N253" s="184" t="s">
        <v>34</v>
      </c>
      <c r="O253" s="189">
        <v>45444</v>
      </c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  <c r="AD253" s="190"/>
      <c r="AE253" s="190"/>
      <c r="AF253" s="190"/>
      <c r="AG253" s="190"/>
      <c r="AH253" s="190"/>
      <c r="AI253" s="190"/>
      <c r="AJ253" s="190"/>
      <c r="AK253" s="190"/>
      <c r="AL253" s="190"/>
      <c r="AM253" s="190"/>
      <c r="AN253" s="190"/>
      <c r="AO253" s="190"/>
      <c r="AP253" s="190"/>
      <c r="AQ253" s="190"/>
      <c r="AR253" s="190"/>
      <c r="AS253" s="190"/>
      <c r="AT253" s="190"/>
    </row>
    <row r="254" spans="1:46" ht="17.25" hidden="1" customHeight="1" x14ac:dyDescent="0.2">
      <c r="A254" s="183">
        <v>25</v>
      </c>
      <c r="B254" s="184" t="s">
        <v>88</v>
      </c>
      <c r="C254" s="191" t="s">
        <v>659</v>
      </c>
      <c r="D254" s="191" t="s">
        <v>660</v>
      </c>
      <c r="E254" s="183">
        <v>5</v>
      </c>
      <c r="F254" s="192">
        <v>41363</v>
      </c>
      <c r="G254" s="188" t="s">
        <v>661</v>
      </c>
      <c r="H254" s="188">
        <v>4082064921</v>
      </c>
      <c r="I254" s="188" t="s">
        <v>662</v>
      </c>
      <c r="J254" s="192">
        <v>45352</v>
      </c>
      <c r="K254" s="193"/>
      <c r="L254" s="193"/>
      <c r="M254" s="191"/>
      <c r="N254" s="184" t="s">
        <v>34</v>
      </c>
      <c r="O254" s="189">
        <v>45444</v>
      </c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  <c r="AD254" s="190"/>
      <c r="AE254" s="190"/>
      <c r="AF254" s="190"/>
      <c r="AG254" s="190"/>
      <c r="AH254" s="190"/>
      <c r="AI254" s="190"/>
      <c r="AJ254" s="190"/>
      <c r="AK254" s="190"/>
      <c r="AL254" s="190"/>
      <c r="AM254" s="190"/>
      <c r="AN254" s="190"/>
      <c r="AO254" s="190"/>
      <c r="AP254" s="190"/>
      <c r="AQ254" s="190"/>
      <c r="AR254" s="190"/>
      <c r="AS254" s="190"/>
      <c r="AT254" s="190"/>
    </row>
    <row r="255" spans="1:46" ht="17.25" hidden="1" customHeight="1" x14ac:dyDescent="0.2">
      <c r="A255" s="183">
        <v>26</v>
      </c>
      <c r="B255" s="184" t="s">
        <v>48</v>
      </c>
      <c r="C255" s="185" t="s">
        <v>663</v>
      </c>
      <c r="D255" s="185" t="s">
        <v>664</v>
      </c>
      <c r="E255" s="186">
        <v>1</v>
      </c>
      <c r="F255" s="187">
        <v>42820</v>
      </c>
      <c r="G255" s="188" t="s">
        <v>665</v>
      </c>
      <c r="H255" s="185">
        <v>6692526762</v>
      </c>
      <c r="I255" s="188" t="s">
        <v>666</v>
      </c>
      <c r="J255" s="187">
        <v>45159</v>
      </c>
      <c r="K255" s="188"/>
      <c r="L255" s="188"/>
      <c r="M255" s="185"/>
      <c r="N255" s="184" t="s">
        <v>34</v>
      </c>
      <c r="O255" s="189">
        <v>45444</v>
      </c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  <c r="AC255" s="190"/>
      <c r="AD255" s="190"/>
      <c r="AE255" s="190"/>
      <c r="AF255" s="190"/>
      <c r="AG255" s="190"/>
      <c r="AH255" s="190"/>
      <c r="AI255" s="190"/>
      <c r="AJ255" s="190"/>
      <c r="AK255" s="190"/>
      <c r="AL255" s="190"/>
      <c r="AM255" s="190"/>
      <c r="AN255" s="190"/>
      <c r="AO255" s="190"/>
      <c r="AP255" s="190"/>
      <c r="AQ255" s="190"/>
      <c r="AR255" s="190"/>
      <c r="AS255" s="190"/>
      <c r="AT255" s="190"/>
    </row>
    <row r="256" spans="1:46" ht="17.25" hidden="1" customHeight="1" x14ac:dyDescent="0.2">
      <c r="A256" s="183">
        <v>27</v>
      </c>
      <c r="B256" s="184" t="s">
        <v>88</v>
      </c>
      <c r="C256" s="185" t="s">
        <v>663</v>
      </c>
      <c r="D256" s="185" t="s">
        <v>664</v>
      </c>
      <c r="E256" s="186">
        <v>1</v>
      </c>
      <c r="F256" s="187">
        <v>42820</v>
      </c>
      <c r="G256" s="188" t="s">
        <v>665</v>
      </c>
      <c r="H256" s="185">
        <v>6692526762</v>
      </c>
      <c r="I256" s="188" t="s">
        <v>666</v>
      </c>
      <c r="J256" s="187">
        <v>45159</v>
      </c>
      <c r="K256" s="188"/>
      <c r="L256" s="188"/>
      <c r="M256" s="185"/>
      <c r="N256" s="184" t="s">
        <v>34</v>
      </c>
      <c r="O256" s="189">
        <v>45444</v>
      </c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  <c r="AC256" s="190"/>
      <c r="AD256" s="190"/>
      <c r="AE256" s="190"/>
      <c r="AF256" s="190"/>
      <c r="AG256" s="190"/>
      <c r="AH256" s="190"/>
      <c r="AI256" s="190"/>
      <c r="AJ256" s="190"/>
      <c r="AK256" s="190"/>
      <c r="AL256" s="190"/>
      <c r="AM256" s="190"/>
      <c r="AN256" s="190"/>
      <c r="AO256" s="190"/>
      <c r="AP256" s="190"/>
      <c r="AQ256" s="190"/>
      <c r="AR256" s="190"/>
      <c r="AS256" s="190"/>
      <c r="AT256" s="190"/>
    </row>
    <row r="257" spans="1:46" ht="17.25" hidden="1" customHeight="1" x14ac:dyDescent="0.2">
      <c r="A257" s="173">
        <v>28</v>
      </c>
      <c r="B257" s="174" t="s">
        <v>88</v>
      </c>
      <c r="C257" s="243" t="s">
        <v>419</v>
      </c>
      <c r="D257" s="243" t="s">
        <v>119</v>
      </c>
      <c r="E257" s="244">
        <v>1</v>
      </c>
      <c r="F257" s="245">
        <v>42822</v>
      </c>
      <c r="G257" s="246" t="s">
        <v>667</v>
      </c>
      <c r="H257" s="243">
        <v>4087591928</v>
      </c>
      <c r="I257" s="246" t="s">
        <v>422</v>
      </c>
      <c r="J257" s="245">
        <v>45246</v>
      </c>
      <c r="K257" s="246"/>
      <c r="L257" s="246"/>
      <c r="M257" s="243" t="s">
        <v>668</v>
      </c>
      <c r="N257" s="174" t="s">
        <v>34</v>
      </c>
      <c r="O257" s="178">
        <v>45444</v>
      </c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/>
      <c r="AL257" s="166"/>
      <c r="AM257" s="166"/>
      <c r="AN257" s="166"/>
      <c r="AO257" s="166"/>
      <c r="AP257" s="166"/>
      <c r="AQ257" s="166"/>
      <c r="AR257" s="166"/>
      <c r="AS257" s="166"/>
      <c r="AT257" s="166"/>
    </row>
    <row r="258" spans="1:46" ht="17.25" hidden="1" customHeight="1" x14ac:dyDescent="0.2">
      <c r="A258" s="183">
        <v>29</v>
      </c>
      <c r="B258" s="184" t="s">
        <v>48</v>
      </c>
      <c r="C258" s="191" t="s">
        <v>288</v>
      </c>
      <c r="D258" s="191" t="s">
        <v>293</v>
      </c>
      <c r="E258" s="183">
        <v>2</v>
      </c>
      <c r="F258" s="192">
        <v>42511</v>
      </c>
      <c r="G258" s="193" t="s">
        <v>669</v>
      </c>
      <c r="H258" s="191">
        <v>5103336666</v>
      </c>
      <c r="I258" s="193" t="s">
        <v>296</v>
      </c>
      <c r="J258" s="191" t="s">
        <v>670</v>
      </c>
      <c r="K258" s="193"/>
      <c r="L258" s="193"/>
      <c r="M258" s="191" t="s">
        <v>630</v>
      </c>
      <c r="N258" s="184" t="s">
        <v>34</v>
      </c>
      <c r="O258" s="189">
        <v>45444</v>
      </c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  <c r="AD258" s="190"/>
      <c r="AE258" s="190"/>
      <c r="AF258" s="190"/>
      <c r="AG258" s="190"/>
      <c r="AH258" s="190"/>
      <c r="AI258" s="190"/>
      <c r="AJ258" s="190"/>
      <c r="AK258" s="190"/>
      <c r="AL258" s="190"/>
      <c r="AM258" s="190"/>
      <c r="AN258" s="190"/>
      <c r="AO258" s="190"/>
      <c r="AP258" s="190"/>
      <c r="AQ258" s="190"/>
      <c r="AR258" s="190"/>
      <c r="AS258" s="190"/>
      <c r="AT258" s="190"/>
    </row>
    <row r="259" spans="1:46" ht="17.25" hidden="1" customHeight="1" x14ac:dyDescent="0.2">
      <c r="A259" s="183">
        <v>30</v>
      </c>
      <c r="B259" s="184" t="s">
        <v>48</v>
      </c>
      <c r="C259" s="191" t="s">
        <v>525</v>
      </c>
      <c r="D259" s="191" t="s">
        <v>526</v>
      </c>
      <c r="E259" s="183">
        <v>2</v>
      </c>
      <c r="F259" s="192">
        <v>42388</v>
      </c>
      <c r="G259" s="188" t="s">
        <v>671</v>
      </c>
      <c r="H259" s="188">
        <v>4087977701</v>
      </c>
      <c r="I259" s="188" t="s">
        <v>528</v>
      </c>
      <c r="J259" s="192">
        <v>45323</v>
      </c>
      <c r="K259" s="193"/>
      <c r="L259" s="193"/>
      <c r="M259" s="191" t="s">
        <v>672</v>
      </c>
      <c r="N259" s="184" t="s">
        <v>34</v>
      </c>
      <c r="O259" s="189">
        <v>45444</v>
      </c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  <c r="AG259" s="190"/>
      <c r="AH259" s="190"/>
      <c r="AI259" s="190"/>
      <c r="AJ259" s="190"/>
      <c r="AK259" s="190"/>
      <c r="AL259" s="190"/>
      <c r="AM259" s="190"/>
      <c r="AN259" s="190"/>
      <c r="AO259" s="190"/>
      <c r="AP259" s="190"/>
      <c r="AQ259" s="190"/>
      <c r="AR259" s="190"/>
      <c r="AS259" s="190"/>
      <c r="AT259" s="190"/>
    </row>
    <row r="260" spans="1:46" ht="17.25" hidden="1" customHeight="1" x14ac:dyDescent="0.2">
      <c r="A260" s="183">
        <v>31</v>
      </c>
      <c r="B260" s="248" t="s">
        <v>48</v>
      </c>
      <c r="C260" s="185" t="s">
        <v>147</v>
      </c>
      <c r="D260" s="185" t="s">
        <v>673</v>
      </c>
      <c r="E260" s="186">
        <v>5</v>
      </c>
      <c r="F260" s="187">
        <v>41514</v>
      </c>
      <c r="G260" s="188" t="s">
        <v>674</v>
      </c>
      <c r="H260" s="185">
        <v>5107883613</v>
      </c>
      <c r="I260" s="188" t="s">
        <v>675</v>
      </c>
      <c r="J260" s="187">
        <v>45189</v>
      </c>
      <c r="K260" s="188"/>
      <c r="L260" s="188"/>
      <c r="M260" s="185"/>
      <c r="N260" s="184" t="s">
        <v>34</v>
      </c>
      <c r="O260" s="189">
        <v>45444</v>
      </c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  <c r="AG260" s="190"/>
      <c r="AH260" s="190"/>
      <c r="AI260" s="190"/>
      <c r="AJ260" s="190"/>
      <c r="AK260" s="190"/>
      <c r="AL260" s="190"/>
      <c r="AM260" s="190"/>
      <c r="AN260" s="190"/>
      <c r="AO260" s="190"/>
      <c r="AP260" s="190"/>
      <c r="AQ260" s="190"/>
      <c r="AR260" s="190"/>
      <c r="AS260" s="190"/>
      <c r="AT260" s="190"/>
    </row>
    <row r="261" spans="1:46" ht="17.25" hidden="1" customHeight="1" x14ac:dyDescent="0.2">
      <c r="A261" s="183">
        <v>32</v>
      </c>
      <c r="B261" s="248" t="s">
        <v>88</v>
      </c>
      <c r="C261" s="185" t="s">
        <v>147</v>
      </c>
      <c r="D261" s="185" t="s">
        <v>673</v>
      </c>
      <c r="E261" s="186">
        <v>5</v>
      </c>
      <c r="F261" s="187">
        <v>41514</v>
      </c>
      <c r="G261" s="188" t="s">
        <v>674</v>
      </c>
      <c r="H261" s="185">
        <v>5107883613</v>
      </c>
      <c r="I261" s="188" t="s">
        <v>675</v>
      </c>
      <c r="J261" s="187">
        <v>45189</v>
      </c>
      <c r="K261" s="188"/>
      <c r="L261" s="188"/>
      <c r="M261" s="185"/>
      <c r="N261" s="184" t="s">
        <v>34</v>
      </c>
      <c r="O261" s="189">
        <v>45444</v>
      </c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  <c r="AG261" s="190"/>
      <c r="AH261" s="190"/>
      <c r="AI261" s="190"/>
      <c r="AJ261" s="190"/>
      <c r="AK261" s="190"/>
      <c r="AL261" s="190"/>
      <c r="AM261" s="190"/>
      <c r="AN261" s="190"/>
      <c r="AO261" s="190"/>
      <c r="AP261" s="190"/>
      <c r="AQ261" s="190"/>
      <c r="AR261" s="190"/>
      <c r="AS261" s="190"/>
      <c r="AT261" s="190"/>
    </row>
    <row r="262" spans="1:46" ht="17.25" hidden="1" customHeight="1" x14ac:dyDescent="0.2">
      <c r="A262" s="183">
        <v>33</v>
      </c>
      <c r="B262" s="184" t="s">
        <v>48</v>
      </c>
      <c r="C262" s="185" t="s">
        <v>676</v>
      </c>
      <c r="D262" s="185" t="s">
        <v>677</v>
      </c>
      <c r="E262" s="186">
        <v>4</v>
      </c>
      <c r="F262" s="187">
        <v>41619</v>
      </c>
      <c r="G262" s="188" t="s">
        <v>678</v>
      </c>
      <c r="H262" s="185">
        <v>6264658590</v>
      </c>
      <c r="I262" s="188" t="s">
        <v>679</v>
      </c>
      <c r="J262" s="187">
        <v>45154</v>
      </c>
      <c r="K262" s="188"/>
      <c r="L262" s="188"/>
      <c r="M262" s="185"/>
      <c r="N262" s="184" t="s">
        <v>34</v>
      </c>
      <c r="O262" s="189">
        <v>45444</v>
      </c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  <c r="AG262" s="190"/>
      <c r="AH262" s="190"/>
      <c r="AI262" s="190"/>
      <c r="AJ262" s="190"/>
      <c r="AK262" s="190"/>
      <c r="AL262" s="190"/>
      <c r="AM262" s="190"/>
      <c r="AN262" s="190"/>
      <c r="AO262" s="190"/>
      <c r="AP262" s="190"/>
      <c r="AQ262" s="190"/>
      <c r="AR262" s="190"/>
      <c r="AS262" s="190"/>
      <c r="AT262" s="190"/>
    </row>
    <row r="263" spans="1:46" ht="17.25" hidden="1" customHeight="1" x14ac:dyDescent="0.2">
      <c r="A263" s="183">
        <v>34</v>
      </c>
      <c r="B263" s="184" t="s">
        <v>88</v>
      </c>
      <c r="C263" s="185" t="s">
        <v>676</v>
      </c>
      <c r="D263" s="185" t="s">
        <v>677</v>
      </c>
      <c r="E263" s="186">
        <v>4</v>
      </c>
      <c r="F263" s="187">
        <v>41619</v>
      </c>
      <c r="G263" s="188" t="s">
        <v>678</v>
      </c>
      <c r="H263" s="185">
        <v>6264658590</v>
      </c>
      <c r="I263" s="188" t="s">
        <v>679</v>
      </c>
      <c r="J263" s="187">
        <v>45154</v>
      </c>
      <c r="K263" s="188"/>
      <c r="L263" s="188"/>
      <c r="M263" s="185"/>
      <c r="N263" s="184" t="s">
        <v>34</v>
      </c>
      <c r="O263" s="189">
        <v>45444</v>
      </c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  <c r="AG263" s="190"/>
      <c r="AH263" s="190"/>
      <c r="AI263" s="190"/>
      <c r="AJ263" s="190"/>
      <c r="AK263" s="190"/>
      <c r="AL263" s="190"/>
      <c r="AM263" s="190"/>
      <c r="AN263" s="190"/>
      <c r="AO263" s="190"/>
      <c r="AP263" s="190"/>
      <c r="AQ263" s="190"/>
      <c r="AR263" s="190"/>
      <c r="AS263" s="190"/>
      <c r="AT263" s="190"/>
    </row>
    <row r="264" spans="1:46" ht="17.25" hidden="1" customHeight="1" x14ac:dyDescent="0.2">
      <c r="A264" s="173">
        <v>35</v>
      </c>
      <c r="B264" s="174" t="s">
        <v>48</v>
      </c>
      <c r="C264" s="243" t="s">
        <v>400</v>
      </c>
      <c r="D264" s="243" t="s">
        <v>680</v>
      </c>
      <c r="E264" s="244">
        <v>1</v>
      </c>
      <c r="F264" s="245">
        <v>42122</v>
      </c>
      <c r="G264" s="246" t="s">
        <v>681</v>
      </c>
      <c r="H264" s="243" t="s">
        <v>682</v>
      </c>
      <c r="I264" s="246" t="s">
        <v>683</v>
      </c>
      <c r="J264" s="245">
        <v>45154</v>
      </c>
      <c r="K264" s="246"/>
      <c r="L264" s="246"/>
      <c r="M264" s="243" t="s">
        <v>630</v>
      </c>
      <c r="N264" s="174" t="s">
        <v>34</v>
      </c>
      <c r="O264" s="178">
        <v>45444</v>
      </c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  <c r="AK264" s="166"/>
      <c r="AL264" s="166"/>
      <c r="AM264" s="166"/>
      <c r="AN264" s="166"/>
      <c r="AO264" s="166"/>
      <c r="AP264" s="166"/>
      <c r="AQ264" s="166"/>
      <c r="AR264" s="166"/>
      <c r="AS264" s="166"/>
      <c r="AT264" s="166"/>
    </row>
    <row r="265" spans="1:46" ht="17.25" hidden="1" customHeight="1" x14ac:dyDescent="0.2">
      <c r="A265" s="173">
        <v>36</v>
      </c>
      <c r="B265" s="174" t="s">
        <v>88</v>
      </c>
      <c r="C265" s="243" t="s">
        <v>400</v>
      </c>
      <c r="D265" s="243" t="s">
        <v>680</v>
      </c>
      <c r="E265" s="244">
        <v>1</v>
      </c>
      <c r="F265" s="245">
        <v>42122</v>
      </c>
      <c r="G265" s="246" t="s">
        <v>681</v>
      </c>
      <c r="H265" s="243" t="s">
        <v>682</v>
      </c>
      <c r="I265" s="246" t="s">
        <v>683</v>
      </c>
      <c r="J265" s="245">
        <v>45154</v>
      </c>
      <c r="K265" s="246"/>
      <c r="L265" s="246"/>
      <c r="M265" s="243" t="s">
        <v>630</v>
      </c>
      <c r="N265" s="174" t="s">
        <v>34</v>
      </c>
      <c r="O265" s="178">
        <v>45444</v>
      </c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  <c r="AS265" s="166"/>
      <c r="AT265" s="166"/>
    </row>
    <row r="266" spans="1:46" ht="17.25" hidden="1" customHeight="1" x14ac:dyDescent="0.2">
      <c r="A266" s="183">
        <v>37</v>
      </c>
      <c r="B266" s="184" t="s">
        <v>48</v>
      </c>
      <c r="C266" s="185" t="s">
        <v>624</v>
      </c>
      <c r="D266" s="185" t="s">
        <v>367</v>
      </c>
      <c r="E266" s="186">
        <v>1</v>
      </c>
      <c r="F266" s="187">
        <v>42954</v>
      </c>
      <c r="G266" s="188" t="s">
        <v>684</v>
      </c>
      <c r="H266" s="185">
        <v>5105656975</v>
      </c>
      <c r="I266" s="188" t="s">
        <v>685</v>
      </c>
      <c r="J266" s="187">
        <v>45159</v>
      </c>
      <c r="K266" s="188"/>
      <c r="L266" s="188"/>
      <c r="M266" s="185" t="s">
        <v>630</v>
      </c>
      <c r="N266" s="184" t="s">
        <v>34</v>
      </c>
      <c r="O266" s="189">
        <v>45444</v>
      </c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  <c r="AG266" s="190"/>
      <c r="AH266" s="190"/>
      <c r="AI266" s="190"/>
      <c r="AJ266" s="190"/>
      <c r="AK266" s="190"/>
      <c r="AL266" s="190"/>
      <c r="AM266" s="190"/>
      <c r="AN266" s="190"/>
      <c r="AO266" s="190"/>
      <c r="AP266" s="190"/>
      <c r="AQ266" s="190"/>
      <c r="AR266" s="190"/>
      <c r="AS266" s="190"/>
      <c r="AT266" s="190"/>
    </row>
    <row r="267" spans="1:46" ht="17.25" hidden="1" customHeight="1" x14ac:dyDescent="0.2">
      <c r="A267" s="183">
        <v>38</v>
      </c>
      <c r="B267" s="184" t="s">
        <v>88</v>
      </c>
      <c r="C267" s="185" t="s">
        <v>624</v>
      </c>
      <c r="D267" s="185" t="s">
        <v>367</v>
      </c>
      <c r="E267" s="186">
        <v>1</v>
      </c>
      <c r="F267" s="187">
        <v>42954</v>
      </c>
      <c r="G267" s="188" t="s">
        <v>684</v>
      </c>
      <c r="H267" s="185">
        <v>5105656975</v>
      </c>
      <c r="I267" s="188" t="s">
        <v>685</v>
      </c>
      <c r="J267" s="187">
        <v>45159</v>
      </c>
      <c r="K267" s="188"/>
      <c r="L267" s="188"/>
      <c r="M267" s="185" t="s">
        <v>630</v>
      </c>
      <c r="N267" s="184" t="s">
        <v>34</v>
      </c>
      <c r="O267" s="189">
        <v>45444</v>
      </c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  <c r="AD267" s="190"/>
      <c r="AE267" s="190"/>
      <c r="AF267" s="190"/>
      <c r="AG267" s="190"/>
      <c r="AH267" s="190"/>
      <c r="AI267" s="190"/>
      <c r="AJ267" s="190"/>
      <c r="AK267" s="190"/>
      <c r="AL267" s="190"/>
      <c r="AM267" s="190"/>
      <c r="AN267" s="190"/>
      <c r="AO267" s="190"/>
      <c r="AP267" s="190"/>
      <c r="AQ267" s="190"/>
      <c r="AR267" s="190"/>
      <c r="AS267" s="190"/>
      <c r="AT267" s="190"/>
    </row>
    <row r="268" spans="1:46" ht="17.25" hidden="1" customHeight="1" x14ac:dyDescent="0.2">
      <c r="A268" s="183">
        <v>39</v>
      </c>
      <c r="B268" s="184" t="s">
        <v>48</v>
      </c>
      <c r="C268" s="185" t="s">
        <v>646</v>
      </c>
      <c r="D268" s="185" t="s">
        <v>686</v>
      </c>
      <c r="E268" s="186">
        <v>1</v>
      </c>
      <c r="F268" s="187">
        <v>42810</v>
      </c>
      <c r="G268" s="188" t="s">
        <v>687</v>
      </c>
      <c r="H268" s="185">
        <v>5103742897</v>
      </c>
      <c r="I268" s="188" t="s">
        <v>688</v>
      </c>
      <c r="J268" s="187">
        <v>45154</v>
      </c>
      <c r="K268" s="188"/>
      <c r="L268" s="188"/>
      <c r="M268" s="185"/>
      <c r="N268" s="184" t="s">
        <v>34</v>
      </c>
      <c r="O268" s="189">
        <v>45444</v>
      </c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  <c r="AG268" s="190"/>
      <c r="AH268" s="190"/>
      <c r="AI268" s="190"/>
      <c r="AJ268" s="190"/>
      <c r="AK268" s="190"/>
      <c r="AL268" s="190"/>
      <c r="AM268" s="190"/>
      <c r="AN268" s="190"/>
      <c r="AO268" s="190"/>
      <c r="AP268" s="190"/>
      <c r="AQ268" s="190"/>
      <c r="AR268" s="190"/>
      <c r="AS268" s="190"/>
      <c r="AT268" s="190"/>
    </row>
    <row r="269" spans="1:46" ht="17.25" hidden="1" customHeight="1" x14ac:dyDescent="0.2">
      <c r="A269" s="183">
        <v>40</v>
      </c>
      <c r="B269" s="184" t="s">
        <v>88</v>
      </c>
      <c r="C269" s="191" t="s">
        <v>646</v>
      </c>
      <c r="D269" s="191" t="s">
        <v>686</v>
      </c>
      <c r="E269" s="183">
        <v>1</v>
      </c>
      <c r="F269" s="192">
        <v>42810</v>
      </c>
      <c r="G269" s="193" t="s">
        <v>687</v>
      </c>
      <c r="H269" s="191">
        <v>5103742897</v>
      </c>
      <c r="I269" s="193" t="s">
        <v>688</v>
      </c>
      <c r="J269" s="192">
        <v>45293</v>
      </c>
      <c r="K269" s="193"/>
      <c r="L269" s="193"/>
      <c r="M269" s="191"/>
      <c r="N269" s="184" t="s">
        <v>34</v>
      </c>
      <c r="O269" s="189">
        <v>45444</v>
      </c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  <c r="AG269" s="190"/>
      <c r="AH269" s="190"/>
      <c r="AI269" s="190"/>
      <c r="AJ269" s="190"/>
      <c r="AK269" s="190"/>
      <c r="AL269" s="190"/>
      <c r="AM269" s="190"/>
      <c r="AN269" s="190"/>
      <c r="AO269" s="190"/>
      <c r="AP269" s="190"/>
      <c r="AQ269" s="190"/>
      <c r="AR269" s="190"/>
      <c r="AS269" s="190"/>
      <c r="AT269" s="190"/>
    </row>
    <row r="270" spans="1:46" ht="17.25" hidden="1" customHeight="1" x14ac:dyDescent="0.2">
      <c r="A270" s="183">
        <v>41</v>
      </c>
      <c r="B270" s="184" t="s">
        <v>88</v>
      </c>
      <c r="C270" s="185" t="s">
        <v>689</v>
      </c>
      <c r="D270" s="185" t="s">
        <v>690</v>
      </c>
      <c r="E270" s="186">
        <v>7</v>
      </c>
      <c r="F270" s="187">
        <v>40748</v>
      </c>
      <c r="G270" s="188" t="s">
        <v>691</v>
      </c>
      <c r="H270" s="185" t="s">
        <v>692</v>
      </c>
      <c r="I270" s="188" t="s">
        <v>693</v>
      </c>
      <c r="J270" s="187">
        <v>45154</v>
      </c>
      <c r="K270" s="188"/>
      <c r="L270" s="188"/>
      <c r="M270" s="185"/>
      <c r="N270" s="184" t="s">
        <v>34</v>
      </c>
      <c r="O270" s="189">
        <v>45444</v>
      </c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  <c r="AG270" s="190"/>
      <c r="AH270" s="190"/>
      <c r="AI270" s="190"/>
      <c r="AJ270" s="190"/>
      <c r="AK270" s="190"/>
      <c r="AL270" s="190"/>
      <c r="AM270" s="190"/>
      <c r="AN270" s="190"/>
      <c r="AO270" s="190"/>
      <c r="AP270" s="190"/>
      <c r="AQ270" s="190"/>
      <c r="AR270" s="190"/>
      <c r="AS270" s="190"/>
      <c r="AT270" s="190"/>
    </row>
    <row r="271" spans="1:46" ht="17.25" hidden="1" customHeight="1" x14ac:dyDescent="0.2">
      <c r="A271" s="183">
        <v>42</v>
      </c>
      <c r="B271" s="184" t="s">
        <v>48</v>
      </c>
      <c r="C271" s="185" t="s">
        <v>689</v>
      </c>
      <c r="D271" s="185" t="s">
        <v>694</v>
      </c>
      <c r="E271" s="186">
        <v>7</v>
      </c>
      <c r="F271" s="187">
        <v>40748</v>
      </c>
      <c r="G271" s="188" t="s">
        <v>691</v>
      </c>
      <c r="H271" s="185" t="s">
        <v>692</v>
      </c>
      <c r="I271" s="188" t="s">
        <v>693</v>
      </c>
      <c r="J271" s="187">
        <v>45154</v>
      </c>
      <c r="K271" s="188"/>
      <c r="L271" s="188"/>
      <c r="M271" s="185"/>
      <c r="N271" s="184" t="s">
        <v>34</v>
      </c>
      <c r="O271" s="189">
        <v>45444</v>
      </c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  <c r="AG271" s="190"/>
      <c r="AH271" s="190"/>
      <c r="AI271" s="190"/>
      <c r="AJ271" s="190"/>
      <c r="AK271" s="190"/>
      <c r="AL271" s="190"/>
      <c r="AM271" s="190"/>
      <c r="AN271" s="190"/>
      <c r="AO271" s="190"/>
      <c r="AP271" s="190"/>
      <c r="AQ271" s="190"/>
      <c r="AR271" s="190"/>
      <c r="AS271" s="190"/>
      <c r="AT271" s="190"/>
    </row>
    <row r="272" spans="1:46" ht="17.25" hidden="1" customHeight="1" x14ac:dyDescent="0.2">
      <c r="A272" s="183">
        <v>43</v>
      </c>
      <c r="B272" s="184" t="s">
        <v>48</v>
      </c>
      <c r="C272" s="185" t="s">
        <v>676</v>
      </c>
      <c r="D272" s="185" t="s">
        <v>695</v>
      </c>
      <c r="E272" s="186">
        <v>7</v>
      </c>
      <c r="F272" s="187">
        <v>40732</v>
      </c>
      <c r="G272" s="188" t="s">
        <v>678</v>
      </c>
      <c r="H272" s="191">
        <v>6264658590</v>
      </c>
      <c r="I272" s="188" t="s">
        <v>679</v>
      </c>
      <c r="J272" s="187">
        <v>45154</v>
      </c>
      <c r="K272" s="188"/>
      <c r="L272" s="188"/>
      <c r="M272" s="185"/>
      <c r="N272" s="184" t="s">
        <v>34</v>
      </c>
      <c r="O272" s="189">
        <v>45444</v>
      </c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  <c r="AD272" s="190"/>
      <c r="AE272" s="190"/>
      <c r="AF272" s="190"/>
      <c r="AG272" s="190"/>
      <c r="AH272" s="190"/>
      <c r="AI272" s="190"/>
      <c r="AJ272" s="190"/>
      <c r="AK272" s="190"/>
      <c r="AL272" s="190"/>
      <c r="AM272" s="190"/>
      <c r="AN272" s="190"/>
      <c r="AO272" s="190"/>
      <c r="AP272" s="190"/>
      <c r="AQ272" s="190"/>
      <c r="AR272" s="190"/>
      <c r="AS272" s="190"/>
      <c r="AT272" s="190"/>
    </row>
    <row r="273" spans="1:46" ht="17.25" hidden="1" customHeight="1" x14ac:dyDescent="0.2">
      <c r="A273" s="183">
        <v>44</v>
      </c>
      <c r="B273" s="184" t="s">
        <v>88</v>
      </c>
      <c r="C273" s="185" t="s">
        <v>676</v>
      </c>
      <c r="D273" s="185" t="s">
        <v>695</v>
      </c>
      <c r="E273" s="186">
        <v>7</v>
      </c>
      <c r="F273" s="187">
        <v>40732</v>
      </c>
      <c r="G273" s="188" t="s">
        <v>678</v>
      </c>
      <c r="H273" s="191">
        <v>6264658590</v>
      </c>
      <c r="I273" s="188" t="s">
        <v>679</v>
      </c>
      <c r="J273" s="187">
        <v>45154</v>
      </c>
      <c r="K273" s="188"/>
      <c r="L273" s="188"/>
      <c r="M273" s="185"/>
      <c r="N273" s="184" t="s">
        <v>34</v>
      </c>
      <c r="O273" s="189">
        <v>45444</v>
      </c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  <c r="AD273" s="190"/>
      <c r="AE273" s="190"/>
      <c r="AF273" s="190"/>
      <c r="AG273" s="190"/>
      <c r="AH273" s="190"/>
      <c r="AI273" s="190"/>
      <c r="AJ273" s="190"/>
      <c r="AK273" s="190"/>
      <c r="AL273" s="190"/>
      <c r="AM273" s="190"/>
      <c r="AN273" s="190"/>
      <c r="AO273" s="190"/>
      <c r="AP273" s="190"/>
      <c r="AQ273" s="190"/>
      <c r="AR273" s="190"/>
      <c r="AS273" s="190"/>
      <c r="AT273" s="190"/>
    </row>
    <row r="274" spans="1:46" ht="17.25" hidden="1" customHeight="1" x14ac:dyDescent="0.2">
      <c r="A274" s="173">
        <v>45</v>
      </c>
      <c r="B274" s="174" t="s">
        <v>48</v>
      </c>
      <c r="C274" s="243" t="s">
        <v>530</v>
      </c>
      <c r="D274" s="243" t="s">
        <v>426</v>
      </c>
      <c r="E274" s="244">
        <v>1</v>
      </c>
      <c r="F274" s="245">
        <v>42947</v>
      </c>
      <c r="G274" s="246" t="s">
        <v>531</v>
      </c>
      <c r="H274" s="243">
        <v>4085108805</v>
      </c>
      <c r="I274" s="246" t="s">
        <v>429</v>
      </c>
      <c r="J274" s="245">
        <v>45160</v>
      </c>
      <c r="K274" s="246"/>
      <c r="L274" s="246"/>
      <c r="M274" s="243" t="s">
        <v>630</v>
      </c>
      <c r="N274" s="174" t="s">
        <v>34</v>
      </c>
      <c r="O274" s="178">
        <v>45444</v>
      </c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  <c r="AP274" s="166"/>
      <c r="AQ274" s="166"/>
      <c r="AR274" s="166"/>
      <c r="AS274" s="166"/>
      <c r="AT274" s="166"/>
    </row>
    <row r="275" spans="1:46" ht="17.25" hidden="1" customHeight="1" x14ac:dyDescent="0.2">
      <c r="A275" s="173">
        <v>46</v>
      </c>
      <c r="B275" s="174" t="s">
        <v>88</v>
      </c>
      <c r="C275" s="243" t="s">
        <v>530</v>
      </c>
      <c r="D275" s="243" t="s">
        <v>426</v>
      </c>
      <c r="E275" s="244">
        <v>1</v>
      </c>
      <c r="F275" s="245">
        <v>42947</v>
      </c>
      <c r="G275" s="246" t="s">
        <v>531</v>
      </c>
      <c r="H275" s="243">
        <v>4085108805</v>
      </c>
      <c r="I275" s="246" t="s">
        <v>429</v>
      </c>
      <c r="J275" s="245">
        <v>45383</v>
      </c>
      <c r="K275" s="246"/>
      <c r="L275" s="246"/>
      <c r="M275" s="243" t="s">
        <v>630</v>
      </c>
      <c r="N275" s="174" t="s">
        <v>34</v>
      </c>
      <c r="O275" s="178">
        <v>45444</v>
      </c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  <c r="AS275" s="166"/>
      <c r="AT275" s="166"/>
    </row>
    <row r="276" spans="1:46" ht="17.25" hidden="1" customHeight="1" x14ac:dyDescent="0.2">
      <c r="A276" s="183">
        <v>47</v>
      </c>
      <c r="B276" s="184" t="s">
        <v>48</v>
      </c>
      <c r="C276" s="191" t="s">
        <v>400</v>
      </c>
      <c r="D276" s="191" t="s">
        <v>462</v>
      </c>
      <c r="E276" s="183" t="s">
        <v>154</v>
      </c>
      <c r="F276" s="192">
        <v>42902</v>
      </c>
      <c r="G276" s="193" t="s">
        <v>696</v>
      </c>
      <c r="H276" s="191">
        <v>4352252200</v>
      </c>
      <c r="I276" s="193" t="s">
        <v>697</v>
      </c>
      <c r="J276" s="192">
        <v>44835</v>
      </c>
      <c r="K276" s="188"/>
      <c r="L276" s="188"/>
      <c r="M276" s="185" t="s">
        <v>630</v>
      </c>
      <c r="N276" s="184" t="s">
        <v>34</v>
      </c>
      <c r="O276" s="189">
        <v>45444</v>
      </c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  <c r="AC276" s="190"/>
      <c r="AD276" s="190"/>
      <c r="AE276" s="190"/>
      <c r="AF276" s="190"/>
      <c r="AG276" s="190"/>
      <c r="AH276" s="190"/>
      <c r="AI276" s="190"/>
      <c r="AJ276" s="190"/>
      <c r="AK276" s="190"/>
      <c r="AL276" s="190"/>
      <c r="AM276" s="190"/>
      <c r="AN276" s="190"/>
      <c r="AO276" s="190"/>
      <c r="AP276" s="190"/>
      <c r="AQ276" s="190"/>
      <c r="AR276" s="190"/>
      <c r="AS276" s="190"/>
      <c r="AT276" s="190"/>
    </row>
    <row r="277" spans="1:46" ht="17.25" hidden="1" customHeight="1" x14ac:dyDescent="0.2">
      <c r="A277" s="183">
        <v>48</v>
      </c>
      <c r="B277" s="184" t="s">
        <v>88</v>
      </c>
      <c r="C277" s="191" t="s">
        <v>400</v>
      </c>
      <c r="D277" s="191" t="s">
        <v>462</v>
      </c>
      <c r="E277" s="183" t="s">
        <v>154</v>
      </c>
      <c r="F277" s="192">
        <v>42902</v>
      </c>
      <c r="G277" s="193" t="s">
        <v>696</v>
      </c>
      <c r="H277" s="191">
        <v>4352252200</v>
      </c>
      <c r="I277" s="193" t="s">
        <v>697</v>
      </c>
      <c r="J277" s="192">
        <v>45078</v>
      </c>
      <c r="K277" s="188"/>
      <c r="L277" s="188"/>
      <c r="M277" s="185" t="s">
        <v>630</v>
      </c>
      <c r="N277" s="184" t="s">
        <v>34</v>
      </c>
      <c r="O277" s="189">
        <v>45444</v>
      </c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  <c r="AC277" s="190"/>
      <c r="AD277" s="190"/>
      <c r="AE277" s="190"/>
      <c r="AF277" s="190"/>
      <c r="AG277" s="190"/>
      <c r="AH277" s="190"/>
      <c r="AI277" s="190"/>
      <c r="AJ277" s="190"/>
      <c r="AK277" s="190"/>
      <c r="AL277" s="190"/>
      <c r="AM277" s="190"/>
      <c r="AN277" s="190"/>
      <c r="AO277" s="190"/>
      <c r="AP277" s="190"/>
      <c r="AQ277" s="190"/>
      <c r="AR277" s="190"/>
      <c r="AS277" s="190"/>
      <c r="AT277" s="190"/>
    </row>
    <row r="278" spans="1:46" ht="17.25" hidden="1" customHeight="1" x14ac:dyDescent="0.2">
      <c r="A278" s="183">
        <v>49</v>
      </c>
      <c r="B278" s="184" t="s">
        <v>48</v>
      </c>
      <c r="C278" s="191" t="s">
        <v>272</v>
      </c>
      <c r="D278" s="191" t="s">
        <v>698</v>
      </c>
      <c r="E278" s="183">
        <v>4</v>
      </c>
      <c r="F278" s="192">
        <v>40736</v>
      </c>
      <c r="G278" s="193" t="s">
        <v>699</v>
      </c>
      <c r="H278" s="191">
        <v>4083321491</v>
      </c>
      <c r="I278" s="193" t="s">
        <v>700</v>
      </c>
      <c r="J278" s="192">
        <v>44004</v>
      </c>
      <c r="K278" s="193"/>
      <c r="L278" s="193"/>
      <c r="M278" s="191"/>
      <c r="N278" s="184" t="s">
        <v>34</v>
      </c>
      <c r="O278" s="189">
        <v>45444</v>
      </c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  <c r="AD278" s="190"/>
      <c r="AE278" s="190"/>
      <c r="AF278" s="190"/>
      <c r="AG278" s="190"/>
      <c r="AH278" s="190"/>
      <c r="AI278" s="190"/>
      <c r="AJ278" s="190"/>
      <c r="AK278" s="190"/>
      <c r="AL278" s="190"/>
      <c r="AM278" s="190"/>
      <c r="AN278" s="190"/>
      <c r="AO278" s="190"/>
      <c r="AP278" s="190"/>
      <c r="AQ278" s="190"/>
      <c r="AR278" s="190"/>
      <c r="AS278" s="190"/>
      <c r="AT278" s="190"/>
    </row>
    <row r="279" spans="1:46" ht="17.25" hidden="1" customHeight="1" x14ac:dyDescent="0.2">
      <c r="A279" s="183">
        <v>50</v>
      </c>
      <c r="B279" s="184" t="s">
        <v>88</v>
      </c>
      <c r="C279" s="191" t="s">
        <v>272</v>
      </c>
      <c r="D279" s="191" t="s">
        <v>698</v>
      </c>
      <c r="E279" s="183">
        <v>4</v>
      </c>
      <c r="F279" s="192">
        <v>40736</v>
      </c>
      <c r="G279" s="193" t="s">
        <v>699</v>
      </c>
      <c r="H279" s="191">
        <v>4083321491</v>
      </c>
      <c r="I279" s="193" t="s">
        <v>700</v>
      </c>
      <c r="J279" s="192">
        <v>44004</v>
      </c>
      <c r="K279" s="193"/>
      <c r="L279" s="193"/>
      <c r="M279" s="191"/>
      <c r="N279" s="184" t="s">
        <v>34</v>
      </c>
      <c r="O279" s="189">
        <v>45444</v>
      </c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  <c r="AC279" s="190"/>
      <c r="AD279" s="190"/>
      <c r="AE279" s="190"/>
      <c r="AF279" s="190"/>
      <c r="AG279" s="190"/>
      <c r="AH279" s="190"/>
      <c r="AI279" s="190"/>
      <c r="AJ279" s="190"/>
      <c r="AK279" s="190"/>
      <c r="AL279" s="190"/>
      <c r="AM279" s="190"/>
      <c r="AN279" s="190"/>
      <c r="AO279" s="190"/>
      <c r="AP279" s="190"/>
      <c r="AQ279" s="190"/>
      <c r="AR279" s="190"/>
      <c r="AS279" s="190"/>
      <c r="AT279" s="190"/>
    </row>
    <row r="280" spans="1:46" ht="17.25" hidden="1" customHeight="1" x14ac:dyDescent="0.2">
      <c r="A280" s="183">
        <v>51</v>
      </c>
      <c r="B280" s="248" t="s">
        <v>48</v>
      </c>
      <c r="C280" s="185" t="s">
        <v>239</v>
      </c>
      <c r="D280" s="185" t="s">
        <v>240</v>
      </c>
      <c r="E280" s="186">
        <v>2</v>
      </c>
      <c r="F280" s="187">
        <v>42342</v>
      </c>
      <c r="G280" s="188" t="s">
        <v>701</v>
      </c>
      <c r="H280" s="185">
        <v>4084214334</v>
      </c>
      <c r="I280" s="188" t="s">
        <v>242</v>
      </c>
      <c r="J280" s="187">
        <v>45170</v>
      </c>
      <c r="K280" s="188"/>
      <c r="L280" s="188"/>
      <c r="M280" s="185" t="s">
        <v>702</v>
      </c>
      <c r="N280" s="184" t="s">
        <v>34</v>
      </c>
      <c r="O280" s="189">
        <v>45444</v>
      </c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  <c r="AE280" s="190"/>
      <c r="AF280" s="190"/>
      <c r="AG280" s="190"/>
      <c r="AH280" s="190"/>
      <c r="AI280" s="190"/>
      <c r="AJ280" s="190"/>
      <c r="AK280" s="190"/>
      <c r="AL280" s="190"/>
      <c r="AM280" s="190"/>
      <c r="AN280" s="190"/>
      <c r="AO280" s="190"/>
      <c r="AP280" s="190"/>
      <c r="AQ280" s="190"/>
      <c r="AR280" s="190"/>
      <c r="AS280" s="190"/>
      <c r="AT280" s="190"/>
    </row>
    <row r="281" spans="1:46" ht="17.25" hidden="1" customHeight="1" x14ac:dyDescent="0.2">
      <c r="A281" s="183">
        <v>52</v>
      </c>
      <c r="B281" s="248" t="s">
        <v>88</v>
      </c>
      <c r="C281" s="185" t="s">
        <v>239</v>
      </c>
      <c r="D281" s="185" t="s">
        <v>240</v>
      </c>
      <c r="E281" s="186">
        <v>2</v>
      </c>
      <c r="F281" s="187">
        <v>42342</v>
      </c>
      <c r="G281" s="188" t="s">
        <v>701</v>
      </c>
      <c r="H281" s="185">
        <v>4084214334</v>
      </c>
      <c r="I281" s="188" t="s">
        <v>242</v>
      </c>
      <c r="J281" s="187">
        <v>45170</v>
      </c>
      <c r="K281" s="188"/>
      <c r="L281" s="188"/>
      <c r="M281" s="185" t="s">
        <v>702</v>
      </c>
      <c r="N281" s="184" t="s">
        <v>34</v>
      </c>
      <c r="O281" s="189">
        <v>45444</v>
      </c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  <c r="AD281" s="190"/>
      <c r="AE281" s="190"/>
      <c r="AF281" s="190"/>
      <c r="AG281" s="190"/>
      <c r="AH281" s="190"/>
      <c r="AI281" s="190"/>
      <c r="AJ281" s="190"/>
      <c r="AK281" s="190"/>
      <c r="AL281" s="190"/>
      <c r="AM281" s="190"/>
      <c r="AN281" s="190"/>
      <c r="AO281" s="190"/>
      <c r="AP281" s="190"/>
      <c r="AQ281" s="190"/>
      <c r="AR281" s="190"/>
      <c r="AS281" s="190"/>
      <c r="AT281" s="190"/>
    </row>
    <row r="282" spans="1:46" ht="17.25" hidden="1" customHeight="1" x14ac:dyDescent="0.2">
      <c r="A282" s="173">
        <v>53</v>
      </c>
      <c r="B282" s="174" t="s">
        <v>48</v>
      </c>
      <c r="C282" s="175" t="s">
        <v>703</v>
      </c>
      <c r="D282" s="175" t="s">
        <v>704</v>
      </c>
      <c r="E282" s="173">
        <v>1</v>
      </c>
      <c r="F282" s="176">
        <v>42177</v>
      </c>
      <c r="G282" s="246" t="s">
        <v>705</v>
      </c>
      <c r="H282" s="246">
        <v>4436532199</v>
      </c>
      <c r="I282" s="246" t="s">
        <v>706</v>
      </c>
      <c r="J282" s="176">
        <v>45154</v>
      </c>
      <c r="K282" s="177"/>
      <c r="L282" s="177"/>
      <c r="M282" s="175" t="s">
        <v>630</v>
      </c>
      <c r="N282" s="174" t="s">
        <v>34</v>
      </c>
      <c r="O282" s="178">
        <v>45444</v>
      </c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  <c r="AS282" s="166"/>
      <c r="AT282" s="166"/>
    </row>
    <row r="283" spans="1:46" ht="17.25" hidden="1" customHeight="1" x14ac:dyDescent="0.2">
      <c r="A283" s="173">
        <v>54</v>
      </c>
      <c r="B283" s="174" t="s">
        <v>88</v>
      </c>
      <c r="C283" s="175" t="s">
        <v>703</v>
      </c>
      <c r="D283" s="175" t="s">
        <v>704</v>
      </c>
      <c r="E283" s="173">
        <v>1</v>
      </c>
      <c r="F283" s="176">
        <v>42177</v>
      </c>
      <c r="G283" s="246" t="s">
        <v>705</v>
      </c>
      <c r="H283" s="246">
        <v>4436532199</v>
      </c>
      <c r="I283" s="246" t="s">
        <v>706</v>
      </c>
      <c r="J283" s="176">
        <v>45154</v>
      </c>
      <c r="K283" s="177"/>
      <c r="L283" s="177"/>
      <c r="M283" s="175" t="s">
        <v>630</v>
      </c>
      <c r="N283" s="174" t="s">
        <v>34</v>
      </c>
      <c r="O283" s="178">
        <v>45444</v>
      </c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/>
      <c r="AM283" s="166"/>
      <c r="AN283" s="166"/>
      <c r="AO283" s="166"/>
      <c r="AP283" s="166"/>
      <c r="AQ283" s="166"/>
      <c r="AR283" s="166"/>
      <c r="AS283" s="166"/>
      <c r="AT283" s="166"/>
    </row>
    <row r="284" spans="1:46" ht="17.25" hidden="1" customHeight="1" x14ac:dyDescent="0.2">
      <c r="A284" s="183">
        <v>55</v>
      </c>
      <c r="B284" s="184" t="s">
        <v>48</v>
      </c>
      <c r="C284" s="191" t="s">
        <v>400</v>
      </c>
      <c r="D284" s="191" t="s">
        <v>580</v>
      </c>
      <c r="E284" s="183" t="s">
        <v>154</v>
      </c>
      <c r="F284" s="192">
        <v>42902</v>
      </c>
      <c r="G284" s="193" t="s">
        <v>696</v>
      </c>
      <c r="H284" s="191">
        <v>4352252200</v>
      </c>
      <c r="I284" s="193" t="s">
        <v>697</v>
      </c>
      <c r="J284" s="192">
        <v>44835</v>
      </c>
      <c r="K284" s="193"/>
      <c r="L284" s="193"/>
      <c r="M284" s="191"/>
      <c r="N284" s="184" t="s">
        <v>34</v>
      </c>
      <c r="O284" s="189">
        <v>45444</v>
      </c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  <c r="AD284" s="190"/>
      <c r="AE284" s="190"/>
      <c r="AF284" s="190"/>
      <c r="AG284" s="190"/>
      <c r="AH284" s="190"/>
      <c r="AI284" s="190"/>
      <c r="AJ284" s="190"/>
      <c r="AK284" s="190"/>
      <c r="AL284" s="190"/>
      <c r="AM284" s="190"/>
      <c r="AN284" s="190"/>
      <c r="AO284" s="190"/>
      <c r="AP284" s="190"/>
      <c r="AQ284" s="190"/>
      <c r="AR284" s="190"/>
      <c r="AS284" s="190"/>
      <c r="AT284" s="190"/>
    </row>
    <row r="285" spans="1:46" ht="17.25" hidden="1" customHeight="1" x14ac:dyDescent="0.2">
      <c r="A285" s="183">
        <v>56</v>
      </c>
      <c r="B285" s="184" t="s">
        <v>88</v>
      </c>
      <c r="C285" s="191" t="s">
        <v>400</v>
      </c>
      <c r="D285" s="191" t="s">
        <v>580</v>
      </c>
      <c r="E285" s="183" t="s">
        <v>154</v>
      </c>
      <c r="F285" s="192">
        <v>42902</v>
      </c>
      <c r="G285" s="193" t="s">
        <v>696</v>
      </c>
      <c r="H285" s="191">
        <v>4352252200</v>
      </c>
      <c r="I285" s="193" t="s">
        <v>697</v>
      </c>
      <c r="J285" s="192">
        <v>45078</v>
      </c>
      <c r="K285" s="193"/>
      <c r="L285" s="193"/>
      <c r="M285" s="191"/>
      <c r="N285" s="184" t="s">
        <v>34</v>
      </c>
      <c r="O285" s="189">
        <v>45444</v>
      </c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  <c r="AD285" s="190"/>
      <c r="AE285" s="190"/>
      <c r="AF285" s="190"/>
      <c r="AG285" s="190"/>
      <c r="AH285" s="190"/>
      <c r="AI285" s="190"/>
      <c r="AJ285" s="190"/>
      <c r="AK285" s="190"/>
      <c r="AL285" s="190"/>
      <c r="AM285" s="190"/>
      <c r="AN285" s="190"/>
      <c r="AO285" s="190"/>
      <c r="AP285" s="190"/>
      <c r="AQ285" s="190"/>
      <c r="AR285" s="190"/>
      <c r="AS285" s="190"/>
      <c r="AT285" s="190"/>
    </row>
    <row r="286" spans="1:46" ht="17.25" hidden="1" customHeight="1" x14ac:dyDescent="0.2">
      <c r="A286" s="183">
        <v>57</v>
      </c>
      <c r="B286" s="184" t="s">
        <v>48</v>
      </c>
      <c r="C286" s="191" t="s">
        <v>363</v>
      </c>
      <c r="D286" s="191" t="s">
        <v>707</v>
      </c>
      <c r="E286" s="183">
        <v>1</v>
      </c>
      <c r="F286" s="192">
        <v>42568</v>
      </c>
      <c r="G286" s="188" t="s">
        <v>561</v>
      </c>
      <c r="H286" s="188" t="s">
        <v>562</v>
      </c>
      <c r="I286" s="188" t="s">
        <v>563</v>
      </c>
      <c r="J286" s="192">
        <v>45110</v>
      </c>
      <c r="K286" s="193"/>
      <c r="L286" s="193"/>
      <c r="M286" s="191"/>
      <c r="N286" s="184" t="s">
        <v>34</v>
      </c>
      <c r="O286" s="189">
        <v>45444</v>
      </c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  <c r="AC286" s="190"/>
      <c r="AD286" s="190"/>
      <c r="AE286" s="190"/>
      <c r="AF286" s="190"/>
      <c r="AG286" s="190"/>
      <c r="AH286" s="190"/>
      <c r="AI286" s="190"/>
      <c r="AJ286" s="190"/>
      <c r="AK286" s="190"/>
      <c r="AL286" s="190"/>
      <c r="AM286" s="190"/>
      <c r="AN286" s="190"/>
      <c r="AO286" s="190"/>
      <c r="AP286" s="190"/>
      <c r="AQ286" s="190"/>
      <c r="AR286" s="190"/>
      <c r="AS286" s="190"/>
      <c r="AT286" s="190"/>
    </row>
    <row r="287" spans="1:46" ht="17.25" hidden="1" customHeight="1" x14ac:dyDescent="0.2">
      <c r="A287" s="183">
        <v>58</v>
      </c>
      <c r="B287" s="184" t="s">
        <v>88</v>
      </c>
      <c r="C287" s="191" t="s">
        <v>363</v>
      </c>
      <c r="D287" s="191" t="s">
        <v>707</v>
      </c>
      <c r="E287" s="183">
        <v>1</v>
      </c>
      <c r="F287" s="192">
        <v>42568</v>
      </c>
      <c r="G287" s="188" t="s">
        <v>564</v>
      </c>
      <c r="H287" s="188" t="s">
        <v>565</v>
      </c>
      <c r="I287" s="188" t="s">
        <v>563</v>
      </c>
      <c r="J287" s="192">
        <v>45110</v>
      </c>
      <c r="K287" s="193"/>
      <c r="L287" s="193"/>
      <c r="M287" s="191"/>
      <c r="N287" s="184" t="s">
        <v>34</v>
      </c>
      <c r="O287" s="189">
        <v>45444</v>
      </c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  <c r="AC287" s="190"/>
      <c r="AD287" s="190"/>
      <c r="AE287" s="190"/>
      <c r="AF287" s="190"/>
      <c r="AG287" s="190"/>
      <c r="AH287" s="190"/>
      <c r="AI287" s="190"/>
      <c r="AJ287" s="190"/>
      <c r="AK287" s="190"/>
      <c r="AL287" s="190"/>
      <c r="AM287" s="190"/>
      <c r="AN287" s="190"/>
      <c r="AO287" s="190"/>
      <c r="AP287" s="190"/>
      <c r="AQ287" s="190"/>
      <c r="AR287" s="190"/>
      <c r="AS287" s="190"/>
      <c r="AT287" s="190"/>
    </row>
    <row r="288" spans="1:46" ht="17.25" hidden="1" customHeight="1" x14ac:dyDescent="0.2">
      <c r="A288" s="173">
        <v>59</v>
      </c>
      <c r="B288" s="174" t="s">
        <v>48</v>
      </c>
      <c r="C288" s="175" t="s">
        <v>606</v>
      </c>
      <c r="D288" s="175" t="s">
        <v>609</v>
      </c>
      <c r="E288" s="173">
        <v>3</v>
      </c>
      <c r="F288" s="176">
        <v>42124</v>
      </c>
      <c r="G288" s="177" t="s">
        <v>608</v>
      </c>
      <c r="H288" s="175">
        <v>4085076346</v>
      </c>
      <c r="I288" s="177" t="s">
        <v>442</v>
      </c>
      <c r="J288" s="176">
        <v>45293</v>
      </c>
      <c r="K288" s="246"/>
      <c r="L288" s="246"/>
      <c r="M288" s="243" t="s">
        <v>630</v>
      </c>
      <c r="N288" s="174" t="s">
        <v>34</v>
      </c>
      <c r="O288" s="178">
        <v>45444</v>
      </c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/>
      <c r="AQ288" s="166"/>
      <c r="AR288" s="166"/>
      <c r="AS288" s="166"/>
      <c r="AT288" s="166"/>
    </row>
    <row r="289" spans="1:46" ht="17.25" hidden="1" customHeight="1" x14ac:dyDescent="0.2">
      <c r="A289" s="183">
        <v>60</v>
      </c>
      <c r="B289" s="184" t="s">
        <v>48</v>
      </c>
      <c r="C289" s="185" t="s">
        <v>555</v>
      </c>
      <c r="D289" s="185" t="s">
        <v>556</v>
      </c>
      <c r="E289" s="186">
        <v>1</v>
      </c>
      <c r="F289" s="187">
        <v>42894</v>
      </c>
      <c r="G289" s="188" t="s">
        <v>557</v>
      </c>
      <c r="H289" s="185">
        <v>6503358676</v>
      </c>
      <c r="I289" s="188" t="s">
        <v>558</v>
      </c>
      <c r="J289" s="187">
        <v>45159</v>
      </c>
      <c r="K289" s="188"/>
      <c r="L289" s="188"/>
      <c r="M289" s="185"/>
      <c r="N289" s="184" t="s">
        <v>34</v>
      </c>
      <c r="O289" s="189">
        <v>45444</v>
      </c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  <c r="AG289" s="190"/>
      <c r="AH289" s="190"/>
      <c r="AI289" s="190"/>
      <c r="AJ289" s="190"/>
      <c r="AK289" s="190"/>
      <c r="AL289" s="190"/>
      <c r="AM289" s="190"/>
      <c r="AN289" s="190"/>
      <c r="AO289" s="190"/>
      <c r="AP289" s="190"/>
      <c r="AQ289" s="190"/>
      <c r="AR289" s="190"/>
      <c r="AS289" s="190"/>
      <c r="AT289" s="190"/>
    </row>
    <row r="290" spans="1:46" ht="17.25" hidden="1" customHeight="1" x14ac:dyDescent="0.2">
      <c r="A290" s="183">
        <v>61</v>
      </c>
      <c r="B290" s="184" t="s">
        <v>48</v>
      </c>
      <c r="C290" s="191" t="s">
        <v>708</v>
      </c>
      <c r="D290" s="191" t="s">
        <v>709</v>
      </c>
      <c r="E290" s="183">
        <v>4</v>
      </c>
      <c r="F290" s="192">
        <v>41881</v>
      </c>
      <c r="G290" s="188" t="s">
        <v>710</v>
      </c>
      <c r="H290" s="188">
        <v>5103587899</v>
      </c>
      <c r="I290" s="188" t="s">
        <v>711</v>
      </c>
      <c r="J290" s="192">
        <v>45159</v>
      </c>
      <c r="K290" s="193"/>
      <c r="L290" s="193"/>
      <c r="M290" s="191"/>
      <c r="N290" s="184" t="s">
        <v>34</v>
      </c>
      <c r="O290" s="189">
        <v>45444</v>
      </c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  <c r="AG290" s="190"/>
      <c r="AH290" s="190"/>
      <c r="AI290" s="190"/>
      <c r="AJ290" s="190"/>
      <c r="AK290" s="190"/>
      <c r="AL290" s="190"/>
      <c r="AM290" s="190"/>
      <c r="AN290" s="190"/>
      <c r="AO290" s="190"/>
      <c r="AP290" s="190"/>
      <c r="AQ290" s="190"/>
      <c r="AR290" s="190"/>
      <c r="AS290" s="190"/>
      <c r="AT290" s="190"/>
    </row>
    <row r="291" spans="1:46" ht="17.25" hidden="1" customHeight="1" x14ac:dyDescent="0.2">
      <c r="A291" s="183">
        <v>62</v>
      </c>
      <c r="B291" s="184" t="s">
        <v>88</v>
      </c>
      <c r="C291" s="185" t="s">
        <v>708</v>
      </c>
      <c r="D291" s="185" t="s">
        <v>709</v>
      </c>
      <c r="E291" s="186">
        <v>4</v>
      </c>
      <c r="F291" s="187">
        <v>41881</v>
      </c>
      <c r="G291" s="188" t="s">
        <v>710</v>
      </c>
      <c r="H291" s="185">
        <v>5103587899</v>
      </c>
      <c r="I291" s="188" t="s">
        <v>711</v>
      </c>
      <c r="J291" s="187">
        <v>45159</v>
      </c>
      <c r="K291" s="188"/>
      <c r="L291" s="188"/>
      <c r="M291" s="185"/>
      <c r="N291" s="184" t="s">
        <v>34</v>
      </c>
      <c r="O291" s="189">
        <v>45444</v>
      </c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  <c r="AC291" s="190"/>
      <c r="AD291" s="190"/>
      <c r="AE291" s="190"/>
      <c r="AF291" s="190"/>
      <c r="AG291" s="190"/>
      <c r="AH291" s="190"/>
      <c r="AI291" s="190"/>
      <c r="AJ291" s="190"/>
      <c r="AK291" s="190"/>
      <c r="AL291" s="190"/>
      <c r="AM291" s="190"/>
      <c r="AN291" s="190"/>
      <c r="AO291" s="190"/>
      <c r="AP291" s="190"/>
      <c r="AQ291" s="190"/>
      <c r="AR291" s="190"/>
      <c r="AS291" s="190"/>
      <c r="AT291" s="190"/>
    </row>
    <row r="292" spans="1:46" ht="17.25" hidden="1" customHeight="1" x14ac:dyDescent="0.2">
      <c r="A292" s="183">
        <v>63</v>
      </c>
      <c r="B292" s="184" t="s">
        <v>48</v>
      </c>
      <c r="C292" s="191" t="s">
        <v>659</v>
      </c>
      <c r="D292" s="191" t="s">
        <v>712</v>
      </c>
      <c r="E292" s="183">
        <v>1</v>
      </c>
      <c r="F292" s="192">
        <v>42637</v>
      </c>
      <c r="G292" s="188" t="s">
        <v>661</v>
      </c>
      <c r="H292" s="188">
        <v>4082064921</v>
      </c>
      <c r="I292" s="188" t="s">
        <v>662</v>
      </c>
      <c r="J292" s="192">
        <v>45352</v>
      </c>
      <c r="K292" s="193"/>
      <c r="L292" s="193"/>
      <c r="M292" s="191"/>
      <c r="N292" s="184" t="s">
        <v>34</v>
      </c>
      <c r="O292" s="189">
        <v>45444</v>
      </c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  <c r="AC292" s="190"/>
      <c r="AD292" s="190"/>
      <c r="AE292" s="190"/>
      <c r="AF292" s="190"/>
      <c r="AG292" s="190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0"/>
      <c r="AR292" s="190"/>
      <c r="AS292" s="190"/>
      <c r="AT292" s="190"/>
    </row>
    <row r="293" spans="1:46" ht="17.25" hidden="1" customHeight="1" x14ac:dyDescent="0.2">
      <c r="A293" s="183">
        <v>64</v>
      </c>
      <c r="B293" s="184" t="s">
        <v>88</v>
      </c>
      <c r="C293" s="185" t="s">
        <v>400</v>
      </c>
      <c r="D293" s="185" t="s">
        <v>499</v>
      </c>
      <c r="E293" s="186">
        <v>1</v>
      </c>
      <c r="F293" s="187">
        <v>42483</v>
      </c>
      <c r="G293" s="188" t="s">
        <v>500</v>
      </c>
      <c r="H293" s="185">
        <v>6692460021</v>
      </c>
      <c r="I293" s="188" t="s">
        <v>501</v>
      </c>
      <c r="J293" s="187">
        <v>45174</v>
      </c>
      <c r="K293" s="188"/>
      <c r="L293" s="188"/>
      <c r="M293" s="185"/>
      <c r="N293" s="184" t="s">
        <v>34</v>
      </c>
      <c r="O293" s="189">
        <v>45444</v>
      </c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  <c r="AD293" s="190"/>
      <c r="AE293" s="190"/>
      <c r="AF293" s="190"/>
      <c r="AG293" s="190"/>
      <c r="AH293" s="190"/>
      <c r="AI293" s="190"/>
      <c r="AJ293" s="190"/>
      <c r="AK293" s="190"/>
      <c r="AL293" s="190"/>
      <c r="AM293" s="190"/>
      <c r="AN293" s="190"/>
      <c r="AO293" s="190"/>
      <c r="AP293" s="190"/>
      <c r="AQ293" s="190"/>
      <c r="AR293" s="190"/>
      <c r="AS293" s="190"/>
      <c r="AT293" s="190"/>
    </row>
    <row r="294" spans="1:46" ht="17.25" hidden="1" customHeight="1" x14ac:dyDescent="0.2">
      <c r="A294" s="173">
        <v>65</v>
      </c>
      <c r="B294" s="174" t="s">
        <v>48</v>
      </c>
      <c r="C294" s="243" t="s">
        <v>530</v>
      </c>
      <c r="D294" s="243" t="s">
        <v>713</v>
      </c>
      <c r="E294" s="244">
        <v>3</v>
      </c>
      <c r="F294" s="245">
        <v>42077</v>
      </c>
      <c r="G294" s="246" t="s">
        <v>531</v>
      </c>
      <c r="H294" s="243">
        <v>4085108805</v>
      </c>
      <c r="I294" s="246" t="s">
        <v>429</v>
      </c>
      <c r="J294" s="245">
        <v>45160</v>
      </c>
      <c r="K294" s="246"/>
      <c r="L294" s="246"/>
      <c r="M294" s="243" t="s">
        <v>630</v>
      </c>
      <c r="N294" s="174" t="s">
        <v>34</v>
      </c>
      <c r="O294" s="178">
        <v>45444</v>
      </c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/>
      <c r="AQ294" s="166"/>
      <c r="AR294" s="166"/>
      <c r="AS294" s="166"/>
      <c r="AT294" s="166"/>
    </row>
    <row r="295" spans="1:46" ht="17.25" hidden="1" customHeight="1" x14ac:dyDescent="0.2">
      <c r="A295" s="173">
        <v>66</v>
      </c>
      <c r="B295" s="174" t="s">
        <v>88</v>
      </c>
      <c r="C295" s="243" t="s">
        <v>530</v>
      </c>
      <c r="D295" s="243" t="s">
        <v>713</v>
      </c>
      <c r="E295" s="244">
        <v>3</v>
      </c>
      <c r="F295" s="245">
        <v>42077</v>
      </c>
      <c r="G295" s="246" t="s">
        <v>531</v>
      </c>
      <c r="H295" s="243">
        <v>4085108805</v>
      </c>
      <c r="I295" s="246" t="s">
        <v>429</v>
      </c>
      <c r="J295" s="245">
        <v>45160</v>
      </c>
      <c r="K295" s="246"/>
      <c r="L295" s="246"/>
      <c r="M295" s="243" t="s">
        <v>630</v>
      </c>
      <c r="N295" s="174" t="s">
        <v>34</v>
      </c>
      <c r="O295" s="178">
        <v>45444</v>
      </c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  <c r="AS295" s="166"/>
      <c r="AT295" s="166"/>
    </row>
    <row r="296" spans="1:46" ht="17.25" hidden="1" customHeight="1" x14ac:dyDescent="0.2">
      <c r="A296" s="183">
        <v>67</v>
      </c>
      <c r="B296" s="184" t="s">
        <v>48</v>
      </c>
      <c r="C296" s="185" t="s">
        <v>635</v>
      </c>
      <c r="D296" s="185" t="s">
        <v>714</v>
      </c>
      <c r="E296" s="186">
        <v>6</v>
      </c>
      <c r="F296" s="187">
        <v>41153</v>
      </c>
      <c r="G296" s="188" t="s">
        <v>636</v>
      </c>
      <c r="H296" s="185">
        <v>5108813622</v>
      </c>
      <c r="I296" s="188" t="s">
        <v>637</v>
      </c>
      <c r="J296" s="187">
        <v>45154</v>
      </c>
      <c r="K296" s="188"/>
      <c r="L296" s="188"/>
      <c r="M296" s="185"/>
      <c r="N296" s="184" t="s">
        <v>34</v>
      </c>
      <c r="O296" s="189">
        <v>45444</v>
      </c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  <c r="AC296" s="190"/>
      <c r="AD296" s="190"/>
      <c r="AE296" s="190"/>
      <c r="AF296" s="190"/>
      <c r="AG296" s="190"/>
      <c r="AH296" s="190"/>
      <c r="AI296" s="190"/>
      <c r="AJ296" s="190"/>
      <c r="AK296" s="190"/>
      <c r="AL296" s="190"/>
      <c r="AM296" s="190"/>
      <c r="AN296" s="190"/>
      <c r="AO296" s="190"/>
      <c r="AP296" s="190"/>
      <c r="AQ296" s="190"/>
      <c r="AR296" s="190"/>
      <c r="AS296" s="190"/>
      <c r="AT296" s="190"/>
    </row>
    <row r="297" spans="1:46" ht="17.25" hidden="1" customHeight="1" x14ac:dyDescent="0.2">
      <c r="A297" s="183">
        <v>68</v>
      </c>
      <c r="B297" s="184" t="s">
        <v>88</v>
      </c>
      <c r="C297" s="185" t="s">
        <v>635</v>
      </c>
      <c r="D297" s="185" t="s">
        <v>714</v>
      </c>
      <c r="E297" s="186">
        <v>6</v>
      </c>
      <c r="F297" s="187">
        <v>41153</v>
      </c>
      <c r="G297" s="188" t="s">
        <v>636</v>
      </c>
      <c r="H297" s="185">
        <v>5108813622</v>
      </c>
      <c r="I297" s="188" t="s">
        <v>637</v>
      </c>
      <c r="J297" s="187">
        <v>45154</v>
      </c>
      <c r="K297" s="188"/>
      <c r="L297" s="188"/>
      <c r="M297" s="185"/>
      <c r="N297" s="184" t="s">
        <v>34</v>
      </c>
      <c r="O297" s="189">
        <v>45444</v>
      </c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  <c r="AC297" s="190"/>
      <c r="AD297" s="190"/>
      <c r="AE297" s="190"/>
      <c r="AF297" s="190"/>
      <c r="AG297" s="190"/>
      <c r="AH297" s="190"/>
      <c r="AI297" s="190"/>
      <c r="AJ297" s="190"/>
      <c r="AK297" s="190"/>
      <c r="AL297" s="190"/>
      <c r="AM297" s="190"/>
      <c r="AN297" s="190"/>
      <c r="AO297" s="190"/>
      <c r="AP297" s="190"/>
      <c r="AQ297" s="190"/>
      <c r="AR297" s="190"/>
      <c r="AS297" s="190"/>
      <c r="AT297" s="190"/>
    </row>
    <row r="298" spans="1:46" ht="17.25" hidden="1" customHeight="1" x14ac:dyDescent="0.2">
      <c r="A298" s="173">
        <v>69</v>
      </c>
      <c r="B298" s="174" t="s">
        <v>88</v>
      </c>
      <c r="C298" s="243" t="s">
        <v>419</v>
      </c>
      <c r="D298" s="243" t="s">
        <v>423</v>
      </c>
      <c r="E298" s="244">
        <v>3</v>
      </c>
      <c r="F298" s="245">
        <v>42122</v>
      </c>
      <c r="G298" s="246" t="s">
        <v>667</v>
      </c>
      <c r="H298" s="243">
        <v>4087591928</v>
      </c>
      <c r="I298" s="246" t="s">
        <v>422</v>
      </c>
      <c r="J298" s="245">
        <v>45246</v>
      </c>
      <c r="K298" s="246"/>
      <c r="L298" s="246"/>
      <c r="M298" s="243" t="s">
        <v>668</v>
      </c>
      <c r="N298" s="174" t="s">
        <v>34</v>
      </c>
      <c r="O298" s="178">
        <v>45444</v>
      </c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  <c r="AS298" s="166"/>
      <c r="AT298" s="166"/>
    </row>
    <row r="299" spans="1:46" ht="17.25" hidden="1" customHeight="1" x14ac:dyDescent="0.2">
      <c r="A299" s="183">
        <v>70</v>
      </c>
      <c r="B299" s="184" t="s">
        <v>88</v>
      </c>
      <c r="C299" s="191" t="s">
        <v>525</v>
      </c>
      <c r="D299" s="191" t="s">
        <v>534</v>
      </c>
      <c r="E299" s="183">
        <v>6</v>
      </c>
      <c r="F299" s="192">
        <v>40961</v>
      </c>
      <c r="G299" s="188" t="s">
        <v>671</v>
      </c>
      <c r="H299" s="188">
        <v>4087977701</v>
      </c>
      <c r="I299" s="188" t="s">
        <v>528</v>
      </c>
      <c r="J299" s="192">
        <v>45323</v>
      </c>
      <c r="K299" s="193"/>
      <c r="L299" s="193"/>
      <c r="M299" s="191" t="s">
        <v>672</v>
      </c>
      <c r="N299" s="184" t="s">
        <v>34</v>
      </c>
      <c r="O299" s="189">
        <v>45444</v>
      </c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  <c r="AC299" s="190"/>
      <c r="AD299" s="190"/>
      <c r="AE299" s="190"/>
      <c r="AF299" s="190"/>
      <c r="AG299" s="190"/>
      <c r="AH299" s="190"/>
      <c r="AI299" s="190"/>
      <c r="AJ299" s="190"/>
      <c r="AK299" s="190"/>
      <c r="AL299" s="190"/>
      <c r="AM299" s="190"/>
      <c r="AN299" s="190"/>
      <c r="AO299" s="190"/>
      <c r="AP299" s="190"/>
      <c r="AQ299" s="190"/>
      <c r="AR299" s="190"/>
      <c r="AS299" s="190"/>
      <c r="AT299" s="190"/>
    </row>
    <row r="300" spans="1:46" ht="17.25" hidden="1" customHeight="1" x14ac:dyDescent="0.2">
      <c r="A300" s="195">
        <v>1</v>
      </c>
      <c r="B300" s="204" t="s">
        <v>48</v>
      </c>
      <c r="C300" s="210" t="s">
        <v>450</v>
      </c>
      <c r="D300" s="210" t="s">
        <v>715</v>
      </c>
      <c r="E300" s="195">
        <v>3</v>
      </c>
      <c r="F300" s="206">
        <v>42387</v>
      </c>
      <c r="G300" s="208" t="s">
        <v>716</v>
      </c>
      <c r="H300" s="205">
        <v>9258603355</v>
      </c>
      <c r="I300" s="208" t="s">
        <v>717</v>
      </c>
      <c r="J300" s="206">
        <v>45231</v>
      </c>
      <c r="K300" s="208"/>
      <c r="L300" s="208"/>
      <c r="M300" s="205" t="s">
        <v>718</v>
      </c>
      <c r="N300" s="204" t="s">
        <v>34</v>
      </c>
      <c r="O300" s="214">
        <v>45474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7.25" hidden="1" customHeight="1" x14ac:dyDescent="0.2">
      <c r="A301" s="195">
        <v>2</v>
      </c>
      <c r="B301" s="204" t="s">
        <v>88</v>
      </c>
      <c r="C301" s="210" t="s">
        <v>450</v>
      </c>
      <c r="D301" s="210" t="s">
        <v>715</v>
      </c>
      <c r="E301" s="195">
        <v>3</v>
      </c>
      <c r="F301" s="206">
        <v>42387</v>
      </c>
      <c r="G301" s="208" t="s">
        <v>716</v>
      </c>
      <c r="H301" s="205">
        <v>9258603355</v>
      </c>
      <c r="I301" s="208" t="s">
        <v>717</v>
      </c>
      <c r="J301" s="206">
        <v>45231</v>
      </c>
      <c r="K301" s="208"/>
      <c r="L301" s="208"/>
      <c r="M301" s="205" t="s">
        <v>718</v>
      </c>
      <c r="N301" s="204" t="s">
        <v>34</v>
      </c>
      <c r="O301" s="214">
        <v>45474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ht="17.25" hidden="1" customHeight="1" x14ac:dyDescent="0.2">
      <c r="A302" s="195">
        <v>3</v>
      </c>
      <c r="B302" s="204" t="s">
        <v>48</v>
      </c>
      <c r="C302" s="211" t="s">
        <v>719</v>
      </c>
      <c r="D302" s="211" t="s">
        <v>720</v>
      </c>
      <c r="E302" s="212">
        <v>2</v>
      </c>
      <c r="F302" s="213">
        <v>42521</v>
      </c>
      <c r="G302" s="207" t="s">
        <v>721</v>
      </c>
      <c r="H302" s="211">
        <v>4089311977</v>
      </c>
      <c r="I302" s="207" t="s">
        <v>722</v>
      </c>
      <c r="J302" s="213">
        <v>45161</v>
      </c>
      <c r="K302" s="207"/>
      <c r="L302" s="207"/>
      <c r="M302" s="211" t="s">
        <v>723</v>
      </c>
      <c r="N302" s="204" t="s">
        <v>34</v>
      </c>
      <c r="O302" s="214">
        <v>45474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ht="17.25" hidden="1" customHeight="1" x14ac:dyDescent="0.2">
      <c r="A303" s="195">
        <v>4</v>
      </c>
      <c r="B303" s="204" t="s">
        <v>88</v>
      </c>
      <c r="C303" s="211" t="s">
        <v>719</v>
      </c>
      <c r="D303" s="211" t="s">
        <v>720</v>
      </c>
      <c r="E303" s="212">
        <v>2</v>
      </c>
      <c r="F303" s="213">
        <v>42521</v>
      </c>
      <c r="G303" s="207" t="s">
        <v>721</v>
      </c>
      <c r="H303" s="211">
        <v>4089311977</v>
      </c>
      <c r="I303" s="207" t="s">
        <v>722</v>
      </c>
      <c r="J303" s="213">
        <v>45161</v>
      </c>
      <c r="K303" s="207"/>
      <c r="L303" s="207"/>
      <c r="M303" s="211" t="s">
        <v>723</v>
      </c>
      <c r="N303" s="204" t="s">
        <v>34</v>
      </c>
      <c r="O303" s="214">
        <v>45474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hidden="1" customHeight="1" x14ac:dyDescent="0.2">
      <c r="A304" s="195">
        <v>5</v>
      </c>
      <c r="B304" s="204" t="s">
        <v>48</v>
      </c>
      <c r="C304" s="211" t="s">
        <v>724</v>
      </c>
      <c r="D304" s="211" t="s">
        <v>725</v>
      </c>
      <c r="E304" s="212">
        <v>1</v>
      </c>
      <c r="F304" s="213" t="s">
        <v>726</v>
      </c>
      <c r="G304" s="207" t="s">
        <v>727</v>
      </c>
      <c r="H304" s="211">
        <v>5105654841</v>
      </c>
      <c r="I304" s="207" t="s">
        <v>728</v>
      </c>
      <c r="J304" s="213" t="s">
        <v>321</v>
      </c>
      <c r="K304" s="207"/>
      <c r="L304" s="207"/>
      <c r="M304" s="211"/>
      <c r="N304" s="204" t="s">
        <v>34</v>
      </c>
      <c r="O304" s="214">
        <v>45474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7.25" hidden="1" customHeight="1" x14ac:dyDescent="0.2">
      <c r="A305" s="195">
        <v>6</v>
      </c>
      <c r="B305" s="204" t="s">
        <v>88</v>
      </c>
      <c r="C305" s="211" t="s">
        <v>724</v>
      </c>
      <c r="D305" s="211" t="s">
        <v>725</v>
      </c>
      <c r="E305" s="212">
        <v>1</v>
      </c>
      <c r="F305" s="213" t="s">
        <v>726</v>
      </c>
      <c r="G305" s="207" t="s">
        <v>727</v>
      </c>
      <c r="H305" s="211">
        <v>5105654841</v>
      </c>
      <c r="I305" s="207" t="s">
        <v>728</v>
      </c>
      <c r="J305" s="213" t="s">
        <v>321</v>
      </c>
      <c r="K305" s="207"/>
      <c r="L305" s="207"/>
      <c r="M305" s="211"/>
      <c r="N305" s="204" t="s">
        <v>34</v>
      </c>
      <c r="O305" s="214">
        <v>45474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7.25" hidden="1" customHeight="1" x14ac:dyDescent="0.2">
      <c r="A306" s="249">
        <v>7</v>
      </c>
      <c r="B306" s="250" t="s">
        <v>48</v>
      </c>
      <c r="C306" s="251" t="s">
        <v>508</v>
      </c>
      <c r="D306" s="251" t="s">
        <v>729</v>
      </c>
      <c r="E306" s="249">
        <v>2</v>
      </c>
      <c r="F306" s="252">
        <v>42933</v>
      </c>
      <c r="G306" s="253" t="s">
        <v>730</v>
      </c>
      <c r="H306" s="253">
        <v>4083986905</v>
      </c>
      <c r="I306" s="253" t="s">
        <v>731</v>
      </c>
      <c r="J306" s="252">
        <v>45323</v>
      </c>
      <c r="K306" s="254"/>
      <c r="L306" s="254"/>
      <c r="M306" s="251" t="s">
        <v>732</v>
      </c>
      <c r="N306" s="250" t="s">
        <v>34</v>
      </c>
      <c r="O306" s="255">
        <v>45474</v>
      </c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56"/>
      <c r="AD306" s="256"/>
      <c r="AE306" s="256"/>
      <c r="AF306" s="256"/>
      <c r="AG306" s="256"/>
      <c r="AH306" s="256"/>
      <c r="AI306" s="256"/>
      <c r="AJ306" s="256"/>
      <c r="AK306" s="256"/>
      <c r="AL306" s="256"/>
      <c r="AM306" s="256"/>
      <c r="AN306" s="256"/>
      <c r="AO306" s="256"/>
      <c r="AP306" s="256"/>
      <c r="AQ306" s="256"/>
      <c r="AR306" s="256"/>
      <c r="AS306" s="256"/>
      <c r="AT306" s="256"/>
    </row>
    <row r="307" spans="1:46" ht="17.25" hidden="1" customHeight="1" x14ac:dyDescent="0.2">
      <c r="A307" s="249">
        <v>8</v>
      </c>
      <c r="B307" s="250" t="s">
        <v>88</v>
      </c>
      <c r="C307" s="251" t="s">
        <v>508</v>
      </c>
      <c r="D307" s="251" t="s">
        <v>729</v>
      </c>
      <c r="E307" s="249">
        <v>2</v>
      </c>
      <c r="F307" s="252">
        <v>42933</v>
      </c>
      <c r="G307" s="253" t="s">
        <v>730</v>
      </c>
      <c r="H307" s="253">
        <v>4083986905</v>
      </c>
      <c r="I307" s="253" t="s">
        <v>731</v>
      </c>
      <c r="J307" s="252">
        <v>45323</v>
      </c>
      <c r="K307" s="254"/>
      <c r="L307" s="254"/>
      <c r="M307" s="251" t="s">
        <v>732</v>
      </c>
      <c r="N307" s="250" t="s">
        <v>34</v>
      </c>
      <c r="O307" s="255">
        <v>45474</v>
      </c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56"/>
      <c r="AD307" s="256"/>
      <c r="AE307" s="256"/>
      <c r="AF307" s="256"/>
      <c r="AG307" s="256"/>
      <c r="AH307" s="256"/>
      <c r="AI307" s="256"/>
      <c r="AJ307" s="256"/>
      <c r="AK307" s="256"/>
      <c r="AL307" s="256"/>
      <c r="AM307" s="256"/>
      <c r="AN307" s="256"/>
      <c r="AO307" s="256"/>
      <c r="AP307" s="256"/>
      <c r="AQ307" s="256"/>
      <c r="AR307" s="256"/>
      <c r="AS307" s="256"/>
      <c r="AT307" s="256"/>
    </row>
    <row r="308" spans="1:46" ht="17.25" hidden="1" customHeight="1" x14ac:dyDescent="0.2">
      <c r="A308" s="249">
        <v>9</v>
      </c>
      <c r="B308" s="250" t="s">
        <v>48</v>
      </c>
      <c r="C308" s="251" t="s">
        <v>359</v>
      </c>
      <c r="D308" s="251" t="s">
        <v>360</v>
      </c>
      <c r="E308" s="249" t="s">
        <v>154</v>
      </c>
      <c r="F308" s="252">
        <v>42867</v>
      </c>
      <c r="G308" s="253" t="s">
        <v>361</v>
      </c>
      <c r="H308" s="253">
        <v>4086432868</v>
      </c>
      <c r="I308" s="253" t="s">
        <v>362</v>
      </c>
      <c r="J308" s="252">
        <v>45154</v>
      </c>
      <c r="K308" s="254"/>
      <c r="L308" s="254"/>
      <c r="M308" s="251" t="s">
        <v>733</v>
      </c>
      <c r="N308" s="250" t="s">
        <v>34</v>
      </c>
      <c r="O308" s="255">
        <v>45474</v>
      </c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56"/>
      <c r="AD308" s="256"/>
      <c r="AE308" s="256"/>
      <c r="AF308" s="256"/>
      <c r="AG308" s="256"/>
      <c r="AH308" s="256"/>
      <c r="AI308" s="256"/>
      <c r="AJ308" s="256"/>
      <c r="AK308" s="256"/>
      <c r="AL308" s="256"/>
      <c r="AM308" s="256"/>
      <c r="AN308" s="256"/>
      <c r="AO308" s="256"/>
      <c r="AP308" s="256"/>
      <c r="AQ308" s="256"/>
      <c r="AR308" s="256"/>
      <c r="AS308" s="256"/>
      <c r="AT308" s="256"/>
    </row>
    <row r="309" spans="1:46" ht="17.25" hidden="1" customHeight="1" x14ac:dyDescent="0.2">
      <c r="A309" s="249">
        <v>10</v>
      </c>
      <c r="B309" s="250" t="s">
        <v>88</v>
      </c>
      <c r="C309" s="251" t="s">
        <v>359</v>
      </c>
      <c r="D309" s="251" t="s">
        <v>360</v>
      </c>
      <c r="E309" s="249" t="s">
        <v>154</v>
      </c>
      <c r="F309" s="252">
        <v>42867</v>
      </c>
      <c r="G309" s="253" t="s">
        <v>361</v>
      </c>
      <c r="H309" s="253">
        <v>4086432868</v>
      </c>
      <c r="I309" s="253" t="s">
        <v>362</v>
      </c>
      <c r="J309" s="252">
        <v>45154</v>
      </c>
      <c r="K309" s="254"/>
      <c r="L309" s="254"/>
      <c r="M309" s="251" t="s">
        <v>732</v>
      </c>
      <c r="N309" s="250" t="s">
        <v>34</v>
      </c>
      <c r="O309" s="255">
        <v>45474</v>
      </c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56"/>
      <c r="AD309" s="256"/>
      <c r="AE309" s="256"/>
      <c r="AF309" s="256"/>
      <c r="AG309" s="256"/>
      <c r="AH309" s="256"/>
      <c r="AI309" s="256"/>
      <c r="AJ309" s="256"/>
      <c r="AK309" s="256"/>
      <c r="AL309" s="256"/>
      <c r="AM309" s="256"/>
      <c r="AN309" s="256"/>
      <c r="AO309" s="256"/>
      <c r="AP309" s="256"/>
      <c r="AQ309" s="256"/>
      <c r="AR309" s="256"/>
      <c r="AS309" s="256"/>
      <c r="AT309" s="256"/>
    </row>
    <row r="310" spans="1:46" ht="17.25" hidden="1" customHeight="1" x14ac:dyDescent="0.2">
      <c r="A310" s="195">
        <v>11</v>
      </c>
      <c r="B310" s="204" t="s">
        <v>48</v>
      </c>
      <c r="C310" s="210" t="s">
        <v>446</v>
      </c>
      <c r="D310" s="210" t="s">
        <v>734</v>
      </c>
      <c r="E310" s="195">
        <v>5</v>
      </c>
      <c r="F310" s="206">
        <v>41298</v>
      </c>
      <c r="G310" s="208" t="s">
        <v>735</v>
      </c>
      <c r="H310" s="205">
        <v>7138395988</v>
      </c>
      <c r="I310" s="208" t="s">
        <v>736</v>
      </c>
      <c r="J310" s="206">
        <v>45124</v>
      </c>
      <c r="K310" s="208"/>
      <c r="L310" s="208"/>
      <c r="M310" s="205" t="s">
        <v>737</v>
      </c>
      <c r="N310" s="204" t="s">
        <v>34</v>
      </c>
      <c r="O310" s="214">
        <v>45474</v>
      </c>
      <c r="P310" s="25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  <c r="AK310" s="207"/>
      <c r="AL310" s="207"/>
      <c r="AM310" s="207"/>
      <c r="AN310" s="207"/>
      <c r="AO310" s="207"/>
      <c r="AP310" s="207"/>
      <c r="AQ310" s="207"/>
      <c r="AR310" s="207"/>
      <c r="AS310" s="207"/>
      <c r="AT310" s="207"/>
    </row>
    <row r="311" spans="1:46" ht="17.25" hidden="1" customHeight="1" x14ac:dyDescent="0.2">
      <c r="A311" s="195">
        <v>12</v>
      </c>
      <c r="B311" s="204" t="s">
        <v>88</v>
      </c>
      <c r="C311" s="210" t="s">
        <v>446</v>
      </c>
      <c r="D311" s="210" t="s">
        <v>734</v>
      </c>
      <c r="E311" s="195">
        <v>5</v>
      </c>
      <c r="F311" s="206">
        <v>41298</v>
      </c>
      <c r="G311" s="208" t="s">
        <v>735</v>
      </c>
      <c r="H311" s="205">
        <v>7138395988</v>
      </c>
      <c r="I311" s="208" t="s">
        <v>736</v>
      </c>
      <c r="J311" s="206">
        <v>45124</v>
      </c>
      <c r="K311" s="208"/>
      <c r="L311" s="208"/>
      <c r="M311" s="205" t="s">
        <v>737</v>
      </c>
      <c r="N311" s="204" t="s">
        <v>34</v>
      </c>
      <c r="O311" s="214">
        <v>45474</v>
      </c>
      <c r="P311" s="25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7"/>
      <c r="AH311" s="207"/>
      <c r="AI311" s="207"/>
      <c r="AJ311" s="207"/>
      <c r="AK311" s="207"/>
      <c r="AL311" s="207"/>
      <c r="AM311" s="207"/>
      <c r="AN311" s="207"/>
      <c r="AO311" s="207"/>
      <c r="AP311" s="207"/>
      <c r="AQ311" s="207"/>
      <c r="AR311" s="207"/>
      <c r="AS311" s="207"/>
      <c r="AT311" s="207"/>
    </row>
    <row r="312" spans="1:46" ht="17.25" hidden="1" customHeight="1" x14ac:dyDescent="0.2">
      <c r="A312" s="258">
        <v>1</v>
      </c>
      <c r="B312" s="259" t="s">
        <v>48</v>
      </c>
      <c r="C312" s="260" t="s">
        <v>168</v>
      </c>
      <c r="D312" s="260" t="s">
        <v>738</v>
      </c>
      <c r="E312" s="261">
        <v>5</v>
      </c>
      <c r="F312" s="262" t="s">
        <v>739</v>
      </c>
      <c r="G312" s="263" t="s">
        <v>740</v>
      </c>
      <c r="H312" s="260">
        <v>6506053215</v>
      </c>
      <c r="I312" s="263" t="s">
        <v>741</v>
      </c>
      <c r="J312" s="262" t="s">
        <v>742</v>
      </c>
      <c r="K312" s="263"/>
      <c r="L312" s="263"/>
      <c r="M312" s="260"/>
      <c r="N312" s="259" t="s">
        <v>34</v>
      </c>
      <c r="O312" s="264">
        <v>45505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ht="17.25" hidden="1" customHeight="1" x14ac:dyDescent="0.2">
      <c r="A313" s="258">
        <v>2</v>
      </c>
      <c r="B313" s="259" t="s">
        <v>88</v>
      </c>
      <c r="C313" s="260" t="s">
        <v>168</v>
      </c>
      <c r="D313" s="260" t="s">
        <v>738</v>
      </c>
      <c r="E313" s="261">
        <v>5</v>
      </c>
      <c r="F313" s="262" t="s">
        <v>739</v>
      </c>
      <c r="G313" s="263" t="s">
        <v>740</v>
      </c>
      <c r="H313" s="260">
        <v>6506053215</v>
      </c>
      <c r="I313" s="263" t="s">
        <v>741</v>
      </c>
      <c r="J313" s="262" t="s">
        <v>742</v>
      </c>
      <c r="K313" s="263"/>
      <c r="L313" s="263"/>
      <c r="M313" s="260" t="s">
        <v>174</v>
      </c>
      <c r="N313" s="259" t="s">
        <v>34</v>
      </c>
      <c r="O313" s="264">
        <v>45505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ht="17.25" hidden="1" customHeight="1" x14ac:dyDescent="0.2">
      <c r="A314" s="258">
        <v>3</v>
      </c>
      <c r="B314" s="259" t="s">
        <v>48</v>
      </c>
      <c r="C314" s="260" t="s">
        <v>743</v>
      </c>
      <c r="D314" s="260" t="s">
        <v>744</v>
      </c>
      <c r="E314" s="261">
        <v>6</v>
      </c>
      <c r="F314" s="262" t="s">
        <v>745</v>
      </c>
      <c r="G314" s="263" t="s">
        <v>746</v>
      </c>
      <c r="H314" s="260" t="s">
        <v>747</v>
      </c>
      <c r="I314" s="263" t="s">
        <v>748</v>
      </c>
      <c r="J314" s="262" t="s">
        <v>749</v>
      </c>
      <c r="K314" s="263"/>
      <c r="L314" s="263"/>
      <c r="M314" s="260" t="s">
        <v>750</v>
      </c>
      <c r="N314" s="259" t="s">
        <v>34</v>
      </c>
      <c r="O314" s="264">
        <v>45505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ht="17.25" hidden="1" customHeight="1" x14ac:dyDescent="0.2">
      <c r="A315" s="258">
        <v>4</v>
      </c>
      <c r="B315" s="259" t="s">
        <v>88</v>
      </c>
      <c r="C315" s="260" t="s">
        <v>743</v>
      </c>
      <c r="D315" s="260" t="s">
        <v>744</v>
      </c>
      <c r="E315" s="261">
        <v>6</v>
      </c>
      <c r="F315" s="262" t="s">
        <v>745</v>
      </c>
      <c r="G315" s="263" t="s">
        <v>746</v>
      </c>
      <c r="H315" s="260" t="s">
        <v>747</v>
      </c>
      <c r="I315" s="263" t="s">
        <v>748</v>
      </c>
      <c r="J315" s="262" t="s">
        <v>749</v>
      </c>
      <c r="K315" s="263"/>
      <c r="L315" s="263"/>
      <c r="M315" s="260" t="s">
        <v>750</v>
      </c>
      <c r="N315" s="259" t="s">
        <v>34</v>
      </c>
      <c r="O315" s="264">
        <v>45505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ht="17.25" hidden="1" customHeight="1" x14ac:dyDescent="0.2">
      <c r="A316" s="258">
        <v>5</v>
      </c>
      <c r="B316" s="259" t="s">
        <v>48</v>
      </c>
      <c r="C316" s="260" t="s">
        <v>743</v>
      </c>
      <c r="D316" s="260" t="s">
        <v>751</v>
      </c>
      <c r="E316" s="261">
        <v>9</v>
      </c>
      <c r="F316" s="262" t="s">
        <v>752</v>
      </c>
      <c r="G316" s="263" t="s">
        <v>746</v>
      </c>
      <c r="H316" s="260" t="s">
        <v>747</v>
      </c>
      <c r="I316" s="263" t="s">
        <v>748</v>
      </c>
      <c r="J316" s="262" t="s">
        <v>749</v>
      </c>
      <c r="K316" s="263"/>
      <c r="L316" s="263"/>
      <c r="M316" s="260" t="s">
        <v>750</v>
      </c>
      <c r="N316" s="259" t="s">
        <v>34</v>
      </c>
      <c r="O316" s="264">
        <v>45505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ht="17.25" hidden="1" customHeight="1" x14ac:dyDescent="0.2">
      <c r="A317" s="258">
        <v>6</v>
      </c>
      <c r="B317" s="259" t="s">
        <v>88</v>
      </c>
      <c r="C317" s="260" t="s">
        <v>743</v>
      </c>
      <c r="D317" s="260" t="s">
        <v>751</v>
      </c>
      <c r="E317" s="261">
        <v>9</v>
      </c>
      <c r="F317" s="262" t="s">
        <v>752</v>
      </c>
      <c r="G317" s="263" t="s">
        <v>746</v>
      </c>
      <c r="H317" s="260" t="s">
        <v>747</v>
      </c>
      <c r="I317" s="263" t="s">
        <v>748</v>
      </c>
      <c r="J317" s="262" t="s">
        <v>749</v>
      </c>
      <c r="K317" s="263"/>
      <c r="L317" s="263"/>
      <c r="M317" s="260" t="s">
        <v>750</v>
      </c>
      <c r="N317" s="259" t="s">
        <v>34</v>
      </c>
      <c r="O317" s="264">
        <v>45505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ht="17.25" hidden="1" customHeight="1" x14ac:dyDescent="0.2">
      <c r="A318" s="258">
        <v>7</v>
      </c>
      <c r="B318" s="259" t="s">
        <v>48</v>
      </c>
      <c r="C318" s="260" t="s">
        <v>753</v>
      </c>
      <c r="D318" s="260" t="s">
        <v>754</v>
      </c>
      <c r="E318" s="261">
        <v>1</v>
      </c>
      <c r="F318" s="262" t="s">
        <v>755</v>
      </c>
      <c r="G318" s="263" t="s">
        <v>756</v>
      </c>
      <c r="H318" s="260" t="s">
        <v>757</v>
      </c>
      <c r="I318" s="263" t="s">
        <v>758</v>
      </c>
      <c r="J318" s="262" t="s">
        <v>759</v>
      </c>
      <c r="K318" s="263"/>
      <c r="L318" s="263"/>
      <c r="M318" s="260" t="s">
        <v>489</v>
      </c>
      <c r="N318" s="259" t="s">
        <v>34</v>
      </c>
      <c r="O318" s="264">
        <v>45505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ht="17.25" hidden="1" customHeight="1" x14ac:dyDescent="0.2">
      <c r="A319" s="258">
        <v>8</v>
      </c>
      <c r="B319" s="259" t="s">
        <v>88</v>
      </c>
      <c r="C319" s="260" t="s">
        <v>753</v>
      </c>
      <c r="D319" s="260" t="s">
        <v>754</v>
      </c>
      <c r="E319" s="261">
        <v>1</v>
      </c>
      <c r="F319" s="262" t="s">
        <v>755</v>
      </c>
      <c r="G319" s="263" t="s">
        <v>756</v>
      </c>
      <c r="H319" s="260" t="s">
        <v>757</v>
      </c>
      <c r="I319" s="263" t="s">
        <v>758</v>
      </c>
      <c r="J319" s="262" t="s">
        <v>759</v>
      </c>
      <c r="K319" s="263"/>
      <c r="L319" s="263"/>
      <c r="M319" s="260" t="s">
        <v>489</v>
      </c>
      <c r="N319" s="259" t="s">
        <v>34</v>
      </c>
      <c r="O319" s="264">
        <v>45505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ht="17.25" hidden="1" customHeight="1" x14ac:dyDescent="0.2">
      <c r="A320" s="258">
        <v>9</v>
      </c>
      <c r="B320" s="259" t="s">
        <v>48</v>
      </c>
      <c r="C320" s="260" t="s">
        <v>371</v>
      </c>
      <c r="D320" s="260" t="s">
        <v>376</v>
      </c>
      <c r="E320" s="261">
        <v>1</v>
      </c>
      <c r="F320" s="262">
        <v>42086</v>
      </c>
      <c r="G320" s="263" t="s">
        <v>377</v>
      </c>
      <c r="H320" s="260">
        <v>5109848496</v>
      </c>
      <c r="I320" s="263" t="s">
        <v>378</v>
      </c>
      <c r="J320" s="262">
        <v>45174</v>
      </c>
      <c r="K320" s="263"/>
      <c r="L320" s="263"/>
      <c r="M320" s="260" t="s">
        <v>760</v>
      </c>
      <c r="N320" s="259" t="s">
        <v>34</v>
      </c>
      <c r="O320" s="264">
        <v>45505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ht="17.25" hidden="1" customHeight="1" x14ac:dyDescent="0.2">
      <c r="A321" s="258">
        <v>10</v>
      </c>
      <c r="B321" s="259" t="s">
        <v>88</v>
      </c>
      <c r="C321" s="260" t="s">
        <v>371</v>
      </c>
      <c r="D321" s="260" t="s">
        <v>376</v>
      </c>
      <c r="E321" s="261">
        <v>1</v>
      </c>
      <c r="F321" s="262">
        <v>42086</v>
      </c>
      <c r="G321" s="263" t="s">
        <v>377</v>
      </c>
      <c r="H321" s="260">
        <v>5109848496</v>
      </c>
      <c r="I321" s="263" t="s">
        <v>378</v>
      </c>
      <c r="J321" s="262">
        <v>45174</v>
      </c>
      <c r="K321" s="263"/>
      <c r="L321" s="263"/>
      <c r="M321" s="260" t="s">
        <v>760</v>
      </c>
      <c r="N321" s="259" t="s">
        <v>34</v>
      </c>
      <c r="O321" s="264">
        <v>45505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7.25" hidden="1" customHeight="1" x14ac:dyDescent="0.2">
      <c r="A322" s="258">
        <v>11</v>
      </c>
      <c r="B322" s="259" t="s">
        <v>48</v>
      </c>
      <c r="C322" s="260" t="s">
        <v>761</v>
      </c>
      <c r="D322" s="260" t="s">
        <v>762</v>
      </c>
      <c r="E322" s="261">
        <v>5</v>
      </c>
      <c r="F322" s="262" t="s">
        <v>763</v>
      </c>
      <c r="G322" s="263" t="s">
        <v>764</v>
      </c>
      <c r="H322" s="260">
        <v>5105098478</v>
      </c>
      <c r="I322" s="263" t="s">
        <v>765</v>
      </c>
      <c r="J322" s="262" t="s">
        <v>766</v>
      </c>
      <c r="K322" s="263"/>
      <c r="L322" s="263"/>
      <c r="M322" s="260"/>
      <c r="N322" s="259" t="s">
        <v>34</v>
      </c>
      <c r="O322" s="264">
        <v>45505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7.25" hidden="1" customHeight="1" x14ac:dyDescent="0.2">
      <c r="A323" s="258">
        <v>12</v>
      </c>
      <c r="B323" s="259" t="s">
        <v>88</v>
      </c>
      <c r="C323" s="260" t="s">
        <v>761</v>
      </c>
      <c r="D323" s="260" t="s">
        <v>762</v>
      </c>
      <c r="E323" s="261">
        <v>5</v>
      </c>
      <c r="F323" s="262" t="s">
        <v>763</v>
      </c>
      <c r="G323" s="263" t="s">
        <v>764</v>
      </c>
      <c r="H323" s="260">
        <v>5105098478</v>
      </c>
      <c r="I323" s="263" t="s">
        <v>765</v>
      </c>
      <c r="J323" s="262" t="s">
        <v>766</v>
      </c>
      <c r="K323" s="263"/>
      <c r="L323" s="263"/>
      <c r="M323" s="260" t="s">
        <v>174</v>
      </c>
      <c r="N323" s="259" t="s">
        <v>34</v>
      </c>
      <c r="O323" s="264">
        <v>45505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5" hidden="1" customHeight="1" x14ac:dyDescent="0.2">
      <c r="A324" s="265">
        <v>1</v>
      </c>
      <c r="B324" s="266" t="s">
        <v>48</v>
      </c>
      <c r="C324" s="267" t="s">
        <v>767</v>
      </c>
      <c r="D324" s="267" t="s">
        <v>768</v>
      </c>
      <c r="E324" s="268" t="s">
        <v>769</v>
      </c>
      <c r="F324" s="269" t="s">
        <v>770</v>
      </c>
      <c r="G324" s="270" t="s">
        <v>771</v>
      </c>
      <c r="H324" s="271">
        <v>4158287529</v>
      </c>
      <c r="I324" s="270" t="s">
        <v>248</v>
      </c>
      <c r="J324" s="269" t="s">
        <v>772</v>
      </c>
      <c r="K324" s="270"/>
      <c r="L324" s="270"/>
      <c r="M324" s="267"/>
      <c r="N324" s="266" t="s">
        <v>34</v>
      </c>
      <c r="O324" s="272">
        <v>45536</v>
      </c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</row>
    <row r="325" spans="1:46" ht="15" hidden="1" customHeight="1" x14ac:dyDescent="0.2">
      <c r="A325" s="265">
        <v>2</v>
      </c>
      <c r="B325" s="266" t="s">
        <v>88</v>
      </c>
      <c r="C325" s="267" t="s">
        <v>767</v>
      </c>
      <c r="D325" s="267" t="s">
        <v>768</v>
      </c>
      <c r="E325" s="268" t="s">
        <v>769</v>
      </c>
      <c r="F325" s="269" t="s">
        <v>770</v>
      </c>
      <c r="G325" s="270" t="s">
        <v>771</v>
      </c>
      <c r="H325" s="271">
        <v>4158287529</v>
      </c>
      <c r="I325" s="270" t="s">
        <v>248</v>
      </c>
      <c r="J325" s="269" t="s">
        <v>772</v>
      </c>
      <c r="K325" s="270"/>
      <c r="L325" s="270"/>
      <c r="M325" s="267" t="s">
        <v>174</v>
      </c>
      <c r="N325" s="266" t="s">
        <v>34</v>
      </c>
      <c r="O325" s="272">
        <v>45536</v>
      </c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</row>
    <row r="326" spans="1:46" ht="15" hidden="1" customHeight="1" x14ac:dyDescent="0.2">
      <c r="A326" s="265">
        <v>3</v>
      </c>
      <c r="B326" s="266" t="s">
        <v>48</v>
      </c>
      <c r="C326" s="274" t="s">
        <v>773</v>
      </c>
      <c r="D326" s="274" t="s">
        <v>774</v>
      </c>
      <c r="E326" s="265">
        <v>5</v>
      </c>
      <c r="F326" s="275">
        <v>41572</v>
      </c>
      <c r="G326" s="276" t="s">
        <v>775</v>
      </c>
      <c r="H326" s="277">
        <v>6503838201</v>
      </c>
      <c r="I326" s="276" t="s">
        <v>776</v>
      </c>
      <c r="J326" s="275">
        <v>45232</v>
      </c>
      <c r="K326" s="276"/>
      <c r="L326" s="276"/>
      <c r="M326" s="274" t="s">
        <v>777</v>
      </c>
      <c r="N326" s="266" t="s">
        <v>34</v>
      </c>
      <c r="O326" s="272">
        <v>45536</v>
      </c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</row>
    <row r="327" spans="1:46" ht="15" hidden="1" customHeight="1" x14ac:dyDescent="0.2">
      <c r="A327" s="265">
        <v>4</v>
      </c>
      <c r="B327" s="266" t="s">
        <v>48</v>
      </c>
      <c r="C327" s="267" t="s">
        <v>778</v>
      </c>
      <c r="D327" s="267" t="s">
        <v>779</v>
      </c>
      <c r="E327" s="268">
        <v>4</v>
      </c>
      <c r="F327" s="269" t="s">
        <v>780</v>
      </c>
      <c r="G327" s="270" t="s">
        <v>781</v>
      </c>
      <c r="H327" s="271">
        <v>6028204006</v>
      </c>
      <c r="I327" s="270" t="s">
        <v>782</v>
      </c>
      <c r="J327" s="269" t="s">
        <v>783</v>
      </c>
      <c r="K327" s="270"/>
      <c r="L327" s="270"/>
      <c r="M327" s="267"/>
      <c r="N327" s="266" t="s">
        <v>34</v>
      </c>
      <c r="O327" s="272">
        <v>45536</v>
      </c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</row>
    <row r="328" spans="1:46" ht="15" hidden="1" customHeight="1" x14ac:dyDescent="0.2">
      <c r="A328" s="265">
        <v>5</v>
      </c>
      <c r="B328" s="266" t="s">
        <v>88</v>
      </c>
      <c r="C328" s="267" t="s">
        <v>778</v>
      </c>
      <c r="D328" s="267" t="s">
        <v>779</v>
      </c>
      <c r="E328" s="268">
        <v>4</v>
      </c>
      <c r="F328" s="269" t="s">
        <v>780</v>
      </c>
      <c r="G328" s="270" t="s">
        <v>781</v>
      </c>
      <c r="H328" s="271">
        <v>6028204006</v>
      </c>
      <c r="I328" s="270" t="s">
        <v>782</v>
      </c>
      <c r="J328" s="269" t="s">
        <v>783</v>
      </c>
      <c r="K328" s="270"/>
      <c r="L328" s="270"/>
      <c r="M328" s="267" t="s">
        <v>174</v>
      </c>
      <c r="N328" s="266" t="s">
        <v>34</v>
      </c>
      <c r="O328" s="272">
        <v>45536</v>
      </c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  <c r="AK328" s="278"/>
      <c r="AL328" s="278"/>
      <c r="AM328" s="278"/>
      <c r="AN328" s="278"/>
      <c r="AO328" s="278"/>
      <c r="AP328" s="278"/>
      <c r="AQ328" s="278"/>
      <c r="AR328" s="278"/>
      <c r="AS328" s="278"/>
      <c r="AT328" s="278"/>
    </row>
    <row r="329" spans="1:46" ht="15" hidden="1" customHeight="1" x14ac:dyDescent="0.2">
      <c r="A329" s="265">
        <v>6</v>
      </c>
      <c r="B329" s="266" t="s">
        <v>48</v>
      </c>
      <c r="C329" s="267" t="s">
        <v>393</v>
      </c>
      <c r="D329" s="267" t="s">
        <v>394</v>
      </c>
      <c r="E329" s="268" t="s">
        <v>154</v>
      </c>
      <c r="F329" s="269" t="s">
        <v>395</v>
      </c>
      <c r="G329" s="270" t="s">
        <v>396</v>
      </c>
      <c r="H329" s="271">
        <v>4052306385</v>
      </c>
      <c r="I329" s="270" t="s">
        <v>397</v>
      </c>
      <c r="J329" s="269" t="s">
        <v>285</v>
      </c>
      <c r="K329" s="270"/>
      <c r="L329" s="270"/>
      <c r="M329" s="267"/>
      <c r="N329" s="266" t="s">
        <v>34</v>
      </c>
      <c r="O329" s="272">
        <v>45536</v>
      </c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</row>
    <row r="330" spans="1:46" ht="15" hidden="1" customHeight="1" x14ac:dyDescent="0.2">
      <c r="A330" s="265">
        <v>7</v>
      </c>
      <c r="B330" s="266" t="s">
        <v>48</v>
      </c>
      <c r="C330" s="267" t="s">
        <v>398</v>
      </c>
      <c r="D330" s="267" t="s">
        <v>399</v>
      </c>
      <c r="E330" s="268" t="s">
        <v>154</v>
      </c>
      <c r="F330" s="269" t="s">
        <v>395</v>
      </c>
      <c r="G330" s="270" t="s">
        <v>396</v>
      </c>
      <c r="H330" s="271">
        <v>4052306385</v>
      </c>
      <c r="I330" s="270" t="s">
        <v>397</v>
      </c>
      <c r="J330" s="269" t="s">
        <v>285</v>
      </c>
      <c r="K330" s="270"/>
      <c r="L330" s="270"/>
      <c r="M330" s="267"/>
      <c r="N330" s="266" t="s">
        <v>34</v>
      </c>
      <c r="O330" s="272">
        <v>45536</v>
      </c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  <c r="AK330" s="278"/>
      <c r="AL330" s="278"/>
      <c r="AM330" s="278"/>
      <c r="AN330" s="278"/>
      <c r="AO330" s="278"/>
      <c r="AP330" s="278"/>
      <c r="AQ330" s="278"/>
      <c r="AR330" s="278"/>
      <c r="AS330" s="278"/>
      <c r="AT330" s="278"/>
    </row>
    <row r="331" spans="1:46" ht="15" hidden="1" customHeight="1" x14ac:dyDescent="0.2">
      <c r="A331" s="265">
        <v>8</v>
      </c>
      <c r="B331" s="279" t="s">
        <v>48</v>
      </c>
      <c r="C331" s="280" t="s">
        <v>784</v>
      </c>
      <c r="D331" s="280" t="s">
        <v>785</v>
      </c>
      <c r="E331" s="281" t="s">
        <v>154</v>
      </c>
      <c r="F331" s="282" t="s">
        <v>786</v>
      </c>
      <c r="G331" s="283" t="s">
        <v>787</v>
      </c>
      <c r="H331" s="284">
        <v>6692158549</v>
      </c>
      <c r="I331" s="283" t="s">
        <v>788</v>
      </c>
      <c r="J331" s="282" t="s">
        <v>285</v>
      </c>
      <c r="K331" s="283"/>
      <c r="L331" s="283"/>
      <c r="M331" s="280"/>
      <c r="N331" s="279" t="s">
        <v>34</v>
      </c>
      <c r="O331" s="285">
        <v>45536</v>
      </c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</row>
    <row r="332" spans="1:46" ht="17.25" hidden="1" customHeight="1" x14ac:dyDescent="0.2">
      <c r="A332" s="265">
        <v>9</v>
      </c>
      <c r="B332" s="286" t="s">
        <v>48</v>
      </c>
      <c r="C332" s="287" t="s">
        <v>292</v>
      </c>
      <c r="D332" s="287" t="s">
        <v>789</v>
      </c>
      <c r="E332" s="288">
        <v>4</v>
      </c>
      <c r="F332" s="289">
        <v>41496</v>
      </c>
      <c r="G332" s="290" t="s">
        <v>790</v>
      </c>
      <c r="H332" s="291">
        <v>4156099128</v>
      </c>
      <c r="I332" s="290" t="s">
        <v>791</v>
      </c>
      <c r="J332" s="289">
        <v>45082</v>
      </c>
      <c r="K332" s="290"/>
      <c r="L332" s="290"/>
      <c r="M332" s="287"/>
      <c r="N332" s="279" t="s">
        <v>34</v>
      </c>
      <c r="O332" s="285">
        <v>45536</v>
      </c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</row>
    <row r="333" spans="1:46" ht="17.25" hidden="1" customHeight="1" x14ac:dyDescent="0.2">
      <c r="A333" s="265">
        <v>10</v>
      </c>
      <c r="B333" s="286" t="s">
        <v>88</v>
      </c>
      <c r="C333" s="287" t="s">
        <v>292</v>
      </c>
      <c r="D333" s="287" t="s">
        <v>789</v>
      </c>
      <c r="E333" s="288">
        <v>4</v>
      </c>
      <c r="F333" s="289">
        <v>41496</v>
      </c>
      <c r="G333" s="290" t="s">
        <v>790</v>
      </c>
      <c r="H333" s="291">
        <v>4156099128</v>
      </c>
      <c r="I333" s="290" t="s">
        <v>791</v>
      </c>
      <c r="J333" s="289">
        <v>45082</v>
      </c>
      <c r="K333" s="290"/>
      <c r="L333" s="290"/>
      <c r="M333" s="287"/>
      <c r="N333" s="279" t="s">
        <v>34</v>
      </c>
      <c r="O333" s="285">
        <v>45536</v>
      </c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03"/>
      <c r="AQ333" s="203"/>
      <c r="AR333" s="203"/>
      <c r="AS333" s="203"/>
      <c r="AT333" s="203"/>
    </row>
    <row r="334" spans="1:46" ht="17.25" hidden="1" customHeight="1" x14ac:dyDescent="0.2">
      <c r="A334" s="265">
        <v>11</v>
      </c>
      <c r="B334" s="286" t="s">
        <v>48</v>
      </c>
      <c r="C334" s="287" t="s">
        <v>292</v>
      </c>
      <c r="D334" s="287" t="s">
        <v>792</v>
      </c>
      <c r="E334" s="288">
        <v>1</v>
      </c>
      <c r="F334" s="289">
        <v>42757</v>
      </c>
      <c r="G334" s="290" t="s">
        <v>790</v>
      </c>
      <c r="H334" s="291">
        <v>4156099128</v>
      </c>
      <c r="I334" s="290" t="s">
        <v>791</v>
      </c>
      <c r="J334" s="289">
        <v>45082</v>
      </c>
      <c r="K334" s="290"/>
      <c r="L334" s="290"/>
      <c r="M334" s="287"/>
      <c r="N334" s="279" t="s">
        <v>34</v>
      </c>
      <c r="O334" s="285">
        <v>45536</v>
      </c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</row>
    <row r="335" spans="1:46" ht="17.25" hidden="1" customHeight="1" x14ac:dyDescent="0.2">
      <c r="A335" s="265">
        <v>12</v>
      </c>
      <c r="B335" s="286" t="s">
        <v>88</v>
      </c>
      <c r="C335" s="287" t="s">
        <v>292</v>
      </c>
      <c r="D335" s="287" t="s">
        <v>792</v>
      </c>
      <c r="E335" s="288">
        <v>1</v>
      </c>
      <c r="F335" s="289">
        <v>42757</v>
      </c>
      <c r="G335" s="290" t="s">
        <v>790</v>
      </c>
      <c r="H335" s="291">
        <v>4156099128</v>
      </c>
      <c r="I335" s="290" t="s">
        <v>791</v>
      </c>
      <c r="J335" s="289">
        <v>45082</v>
      </c>
      <c r="K335" s="290"/>
      <c r="L335" s="290"/>
      <c r="M335" s="287"/>
      <c r="N335" s="279" t="s">
        <v>34</v>
      </c>
      <c r="O335" s="285">
        <v>45536</v>
      </c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  <c r="AP335" s="203"/>
      <c r="AQ335" s="203"/>
      <c r="AR335" s="203"/>
      <c r="AS335" s="203"/>
      <c r="AT335" s="203"/>
    </row>
    <row r="336" spans="1:46" ht="17.25" hidden="1" customHeight="1" x14ac:dyDescent="0.2">
      <c r="A336" s="265">
        <v>13</v>
      </c>
      <c r="B336" s="293" t="s">
        <v>48</v>
      </c>
      <c r="C336" s="294" t="s">
        <v>793</v>
      </c>
      <c r="D336" s="294" t="s">
        <v>794</v>
      </c>
      <c r="E336" s="293">
        <v>4</v>
      </c>
      <c r="F336" s="294" t="s">
        <v>795</v>
      </c>
      <c r="G336" s="294" t="s">
        <v>796</v>
      </c>
      <c r="H336" s="294">
        <v>5103144836</v>
      </c>
      <c r="I336" s="295" t="s">
        <v>797</v>
      </c>
      <c r="J336" s="294" t="s">
        <v>798</v>
      </c>
      <c r="K336" s="294"/>
      <c r="L336" s="294"/>
      <c r="M336" s="294" t="s">
        <v>799</v>
      </c>
      <c r="N336" s="279" t="s">
        <v>34</v>
      </c>
      <c r="O336" s="285">
        <v>45536</v>
      </c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  <c r="AD336" s="296"/>
      <c r="AE336" s="296"/>
      <c r="AF336" s="296"/>
      <c r="AG336" s="296"/>
      <c r="AH336" s="296"/>
      <c r="AI336" s="296"/>
      <c r="AJ336" s="296"/>
      <c r="AK336" s="296"/>
      <c r="AL336" s="296"/>
      <c r="AM336" s="296"/>
      <c r="AN336" s="296"/>
      <c r="AO336" s="296"/>
      <c r="AP336" s="296"/>
      <c r="AQ336" s="296"/>
      <c r="AR336" s="296"/>
      <c r="AS336" s="296"/>
      <c r="AT336" s="296"/>
    </row>
    <row r="337" spans="1:48" ht="17.25" hidden="1" customHeight="1" x14ac:dyDescent="0.2">
      <c r="A337" s="265">
        <v>14</v>
      </c>
      <c r="B337" s="293" t="s">
        <v>88</v>
      </c>
      <c r="C337" s="294" t="s">
        <v>793</v>
      </c>
      <c r="D337" s="294" t="s">
        <v>794</v>
      </c>
      <c r="E337" s="293">
        <v>4</v>
      </c>
      <c r="F337" s="294" t="s">
        <v>795</v>
      </c>
      <c r="G337" s="294" t="s">
        <v>796</v>
      </c>
      <c r="H337" s="294">
        <v>5103144836</v>
      </c>
      <c r="I337" s="295" t="s">
        <v>797</v>
      </c>
      <c r="J337" s="294" t="s">
        <v>798</v>
      </c>
      <c r="K337" s="294"/>
      <c r="L337" s="294"/>
      <c r="M337" s="294"/>
      <c r="N337" s="279" t="s">
        <v>34</v>
      </c>
      <c r="O337" s="285">
        <v>45536</v>
      </c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  <c r="AD337" s="296"/>
      <c r="AE337" s="296"/>
      <c r="AF337" s="296"/>
      <c r="AG337" s="296"/>
      <c r="AH337" s="296"/>
      <c r="AI337" s="296"/>
      <c r="AJ337" s="296"/>
      <c r="AK337" s="296"/>
      <c r="AL337" s="296"/>
      <c r="AM337" s="296"/>
      <c r="AN337" s="296"/>
      <c r="AO337" s="296"/>
      <c r="AP337" s="296"/>
      <c r="AQ337" s="296"/>
      <c r="AR337" s="296"/>
      <c r="AS337" s="296"/>
      <c r="AT337" s="296"/>
    </row>
    <row r="338" spans="1:48" ht="17.25" hidden="1" customHeight="1" x14ac:dyDescent="0.2">
      <c r="A338" s="265">
        <v>15</v>
      </c>
      <c r="B338" s="286" t="s">
        <v>48</v>
      </c>
      <c r="C338" s="290" t="s">
        <v>800</v>
      </c>
      <c r="D338" s="290" t="s">
        <v>801</v>
      </c>
      <c r="E338" s="288">
        <v>4</v>
      </c>
      <c r="F338" s="290" t="s">
        <v>802</v>
      </c>
      <c r="G338" s="290" t="s">
        <v>803</v>
      </c>
      <c r="H338" s="291">
        <v>4436532199</v>
      </c>
      <c r="I338" s="290" t="s">
        <v>706</v>
      </c>
      <c r="J338" s="290" t="s">
        <v>158</v>
      </c>
      <c r="K338" s="297"/>
      <c r="L338" s="297"/>
      <c r="M338" s="298" t="s">
        <v>804</v>
      </c>
      <c r="N338" s="279" t="s">
        <v>34</v>
      </c>
      <c r="O338" s="285">
        <v>45536</v>
      </c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  <c r="AA338" s="299"/>
      <c r="AB338" s="299"/>
      <c r="AC338" s="299"/>
      <c r="AD338" s="299"/>
      <c r="AE338" s="299"/>
      <c r="AF338" s="299"/>
      <c r="AG338" s="299"/>
      <c r="AH338" s="299"/>
      <c r="AI338" s="299"/>
      <c r="AJ338" s="299"/>
      <c r="AK338" s="299"/>
      <c r="AL338" s="299"/>
      <c r="AM338" s="299"/>
      <c r="AN338" s="299"/>
      <c r="AO338" s="299"/>
      <c r="AP338" s="299"/>
      <c r="AQ338" s="299"/>
      <c r="AR338" s="299"/>
      <c r="AS338" s="299"/>
      <c r="AT338" s="299"/>
    </row>
    <row r="339" spans="1:48" ht="17.25" hidden="1" customHeight="1" x14ac:dyDescent="0.2">
      <c r="A339" s="265">
        <v>16</v>
      </c>
      <c r="B339" s="286" t="s">
        <v>88</v>
      </c>
      <c r="C339" s="290" t="s">
        <v>800</v>
      </c>
      <c r="D339" s="290" t="s">
        <v>801</v>
      </c>
      <c r="E339" s="288">
        <v>4</v>
      </c>
      <c r="F339" s="290" t="s">
        <v>802</v>
      </c>
      <c r="G339" s="290" t="s">
        <v>803</v>
      </c>
      <c r="H339" s="291">
        <v>4436532199</v>
      </c>
      <c r="I339" s="290" t="s">
        <v>706</v>
      </c>
      <c r="J339" s="290" t="s">
        <v>158</v>
      </c>
      <c r="K339" s="297"/>
      <c r="L339" s="297"/>
      <c r="M339" s="298" t="s">
        <v>804</v>
      </c>
      <c r="N339" s="279" t="s">
        <v>34</v>
      </c>
      <c r="O339" s="285">
        <v>45536</v>
      </c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  <c r="AA339" s="299"/>
      <c r="AB339" s="299"/>
      <c r="AC339" s="299"/>
      <c r="AD339" s="299"/>
      <c r="AE339" s="299"/>
      <c r="AF339" s="299"/>
      <c r="AG339" s="299"/>
      <c r="AH339" s="299"/>
      <c r="AI339" s="299"/>
      <c r="AJ339" s="299"/>
      <c r="AK339" s="299"/>
      <c r="AL339" s="299"/>
      <c r="AM339" s="299"/>
      <c r="AN339" s="299"/>
      <c r="AO339" s="299"/>
      <c r="AP339" s="299"/>
      <c r="AQ339" s="299"/>
      <c r="AR339" s="299"/>
      <c r="AS339" s="299"/>
      <c r="AT339" s="299"/>
    </row>
    <row r="340" spans="1:48" ht="15" hidden="1" customHeight="1" x14ac:dyDescent="0.2">
      <c r="A340" s="300">
        <v>1</v>
      </c>
      <c r="B340" s="301" t="s">
        <v>48</v>
      </c>
      <c r="C340" s="302" t="s">
        <v>793</v>
      </c>
      <c r="D340" s="302" t="s">
        <v>794</v>
      </c>
      <c r="E340" s="303">
        <v>4</v>
      </c>
      <c r="F340" s="304">
        <v>42071</v>
      </c>
      <c r="G340" s="302" t="s">
        <v>796</v>
      </c>
      <c r="H340" s="305">
        <v>5103144836</v>
      </c>
      <c r="I340" s="302" t="s">
        <v>797</v>
      </c>
      <c r="J340" s="304">
        <v>45530</v>
      </c>
      <c r="K340" s="302"/>
      <c r="L340" s="302"/>
      <c r="M340" s="306" t="s">
        <v>799</v>
      </c>
      <c r="N340" s="303" t="s">
        <v>34</v>
      </c>
      <c r="O340" s="285">
        <v>45566</v>
      </c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  <c r="AE340" s="307"/>
      <c r="AF340" s="307"/>
      <c r="AG340" s="307"/>
      <c r="AH340" s="307"/>
      <c r="AI340" s="307"/>
      <c r="AJ340" s="307"/>
      <c r="AK340" s="307"/>
      <c r="AL340" s="307"/>
      <c r="AM340" s="307"/>
      <c r="AN340" s="307"/>
      <c r="AO340" s="307"/>
      <c r="AP340" s="307"/>
      <c r="AQ340" s="307"/>
      <c r="AR340" s="307"/>
      <c r="AS340" s="299"/>
      <c r="AT340" s="299"/>
    </row>
    <row r="341" spans="1:48" ht="15" hidden="1" customHeight="1" x14ac:dyDescent="0.2">
      <c r="A341" s="300">
        <v>2</v>
      </c>
      <c r="B341" s="301" t="s">
        <v>88</v>
      </c>
      <c r="C341" s="302" t="s">
        <v>793</v>
      </c>
      <c r="D341" s="302" t="s">
        <v>794</v>
      </c>
      <c r="E341" s="303">
        <v>4</v>
      </c>
      <c r="F341" s="304">
        <v>42071</v>
      </c>
      <c r="G341" s="302" t="s">
        <v>796</v>
      </c>
      <c r="H341" s="305">
        <v>5103144836</v>
      </c>
      <c r="I341" s="302" t="s">
        <v>797</v>
      </c>
      <c r="J341" s="304">
        <v>45530</v>
      </c>
      <c r="K341" s="302"/>
      <c r="L341" s="302"/>
      <c r="M341" s="306"/>
      <c r="N341" s="303" t="s">
        <v>34</v>
      </c>
      <c r="O341" s="285">
        <v>45566</v>
      </c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  <c r="AE341" s="307"/>
      <c r="AF341" s="307"/>
      <c r="AG341" s="307"/>
      <c r="AH341" s="307"/>
      <c r="AI341" s="307"/>
      <c r="AJ341" s="307"/>
      <c r="AK341" s="307"/>
      <c r="AL341" s="307"/>
      <c r="AM341" s="307"/>
      <c r="AN341" s="307"/>
      <c r="AO341" s="307"/>
      <c r="AP341" s="307"/>
      <c r="AQ341" s="307"/>
      <c r="AR341" s="307"/>
      <c r="AS341" s="299"/>
      <c r="AT341" s="299"/>
    </row>
    <row r="342" spans="1:48" ht="16" hidden="1" x14ac:dyDescent="0.2">
      <c r="A342" s="300">
        <v>3</v>
      </c>
      <c r="B342" s="301" t="s">
        <v>48</v>
      </c>
      <c r="C342" s="302" t="s">
        <v>800</v>
      </c>
      <c r="D342" s="302" t="s">
        <v>801</v>
      </c>
      <c r="E342" s="303">
        <v>4</v>
      </c>
      <c r="F342" s="304">
        <v>42177</v>
      </c>
      <c r="G342" s="302" t="s">
        <v>803</v>
      </c>
      <c r="H342" s="305">
        <v>4436532199</v>
      </c>
      <c r="I342" s="302" t="s">
        <v>706</v>
      </c>
      <c r="J342" s="304">
        <v>45520</v>
      </c>
      <c r="K342" s="302"/>
      <c r="L342" s="302"/>
      <c r="M342" s="306" t="s">
        <v>805</v>
      </c>
      <c r="N342" s="303" t="s">
        <v>34</v>
      </c>
      <c r="O342" s="285">
        <v>45566</v>
      </c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  <c r="AE342" s="307"/>
      <c r="AF342" s="307"/>
      <c r="AG342" s="307"/>
      <c r="AH342" s="307"/>
      <c r="AI342" s="307"/>
      <c r="AJ342" s="307"/>
      <c r="AK342" s="307"/>
      <c r="AL342" s="307"/>
      <c r="AM342" s="307"/>
      <c r="AN342" s="307"/>
      <c r="AO342" s="307"/>
      <c r="AP342" s="307"/>
      <c r="AQ342" s="307"/>
      <c r="AR342" s="307"/>
      <c r="AS342" s="203"/>
      <c r="AT342" s="203"/>
    </row>
    <row r="343" spans="1:48" ht="15" hidden="1" customHeight="1" x14ac:dyDescent="0.2">
      <c r="A343" s="300">
        <v>4</v>
      </c>
      <c r="B343" s="301" t="s">
        <v>88</v>
      </c>
      <c r="C343" s="302" t="s">
        <v>800</v>
      </c>
      <c r="D343" s="302" t="s">
        <v>801</v>
      </c>
      <c r="E343" s="303">
        <v>4</v>
      </c>
      <c r="F343" s="304">
        <v>42177</v>
      </c>
      <c r="G343" s="302" t="s">
        <v>803</v>
      </c>
      <c r="H343" s="305">
        <v>4436532199</v>
      </c>
      <c r="I343" s="302" t="s">
        <v>706</v>
      </c>
      <c r="J343" s="304">
        <v>45520</v>
      </c>
      <c r="K343" s="302"/>
      <c r="L343" s="302"/>
      <c r="M343" s="306" t="s">
        <v>805</v>
      </c>
      <c r="N343" s="303" t="s">
        <v>34</v>
      </c>
      <c r="O343" s="285">
        <v>45566</v>
      </c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  <c r="AE343" s="307"/>
      <c r="AF343" s="307"/>
      <c r="AG343" s="307"/>
      <c r="AH343" s="307"/>
      <c r="AI343" s="307"/>
      <c r="AJ343" s="307"/>
      <c r="AK343" s="307"/>
      <c r="AL343" s="307"/>
      <c r="AM343" s="307"/>
      <c r="AN343" s="307"/>
      <c r="AO343" s="307"/>
      <c r="AP343" s="307"/>
      <c r="AQ343" s="307"/>
      <c r="AR343" s="307"/>
      <c r="AS343" s="203"/>
      <c r="AT343" s="203"/>
    </row>
    <row r="344" spans="1:48" ht="15" hidden="1" customHeight="1" x14ac:dyDescent="0.2">
      <c r="A344" s="93">
        <v>1</v>
      </c>
      <c r="B344" s="308" t="s">
        <v>48</v>
      </c>
      <c r="C344" s="309" t="s">
        <v>743</v>
      </c>
      <c r="D344" s="309" t="s">
        <v>744</v>
      </c>
      <c r="E344" s="82">
        <v>6</v>
      </c>
      <c r="F344" s="310">
        <v>40840</v>
      </c>
      <c r="G344" s="311" t="s">
        <v>746</v>
      </c>
      <c r="H344" s="312" t="s">
        <v>747</v>
      </c>
      <c r="I344" s="311" t="s">
        <v>748</v>
      </c>
      <c r="J344" s="310">
        <v>45536</v>
      </c>
      <c r="K344" s="311"/>
      <c r="L344" s="311"/>
      <c r="M344" s="309" t="s">
        <v>806</v>
      </c>
      <c r="N344" s="308" t="s">
        <v>34</v>
      </c>
      <c r="O344" s="313">
        <v>45597</v>
      </c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  <c r="AA344" s="314"/>
      <c r="AB344" s="314"/>
      <c r="AC344" s="314"/>
      <c r="AD344" s="314"/>
      <c r="AE344" s="314"/>
      <c r="AF344" s="314"/>
      <c r="AG344" s="314"/>
      <c r="AH344" s="314"/>
      <c r="AI344" s="314"/>
      <c r="AJ344" s="314"/>
      <c r="AK344" s="314"/>
      <c r="AL344" s="314"/>
      <c r="AM344" s="314"/>
      <c r="AN344" s="314"/>
      <c r="AO344" s="314"/>
      <c r="AP344" s="314"/>
      <c r="AQ344" s="314"/>
      <c r="AR344" s="314"/>
      <c r="AS344" s="314"/>
      <c r="AT344" s="314"/>
      <c r="AU344" s="2"/>
      <c r="AV344" s="2"/>
    </row>
    <row r="345" spans="1:48" ht="15" hidden="1" customHeight="1" x14ac:dyDescent="0.2">
      <c r="A345" s="93">
        <v>2</v>
      </c>
      <c r="B345" s="308" t="s">
        <v>88</v>
      </c>
      <c r="C345" s="309" t="s">
        <v>743</v>
      </c>
      <c r="D345" s="309" t="s">
        <v>751</v>
      </c>
      <c r="E345" s="82">
        <v>9</v>
      </c>
      <c r="F345" s="310">
        <v>39818</v>
      </c>
      <c r="G345" s="311" t="s">
        <v>746</v>
      </c>
      <c r="H345" s="312" t="s">
        <v>747</v>
      </c>
      <c r="I345" s="311" t="s">
        <v>748</v>
      </c>
      <c r="J345" s="310">
        <v>45536</v>
      </c>
      <c r="K345" s="311"/>
      <c r="L345" s="311"/>
      <c r="M345" s="309" t="s">
        <v>806</v>
      </c>
      <c r="N345" s="308" t="s">
        <v>34</v>
      </c>
      <c r="O345" s="313">
        <v>45597</v>
      </c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  <c r="AA345" s="314"/>
      <c r="AB345" s="314"/>
      <c r="AC345" s="314"/>
      <c r="AD345" s="314"/>
      <c r="AE345" s="314"/>
      <c r="AF345" s="314"/>
      <c r="AG345" s="314"/>
      <c r="AH345" s="314"/>
      <c r="AI345" s="314"/>
      <c r="AJ345" s="314"/>
      <c r="AK345" s="314"/>
      <c r="AL345" s="314"/>
      <c r="AM345" s="314"/>
      <c r="AN345" s="314"/>
      <c r="AO345" s="314"/>
      <c r="AP345" s="314"/>
      <c r="AQ345" s="314"/>
      <c r="AR345" s="314"/>
      <c r="AS345" s="314"/>
      <c r="AT345" s="314"/>
      <c r="AU345" s="2"/>
      <c r="AV345" s="2"/>
    </row>
    <row r="346" spans="1:48" ht="15" hidden="1" customHeight="1" x14ac:dyDescent="0.2">
      <c r="A346" s="93">
        <v>3</v>
      </c>
      <c r="B346" s="315" t="s">
        <v>48</v>
      </c>
      <c r="C346" s="309" t="s">
        <v>292</v>
      </c>
      <c r="D346" s="309" t="s">
        <v>789</v>
      </c>
      <c r="E346" s="82">
        <v>4</v>
      </c>
      <c r="F346" s="310">
        <v>41496</v>
      </c>
      <c r="G346" s="311" t="s">
        <v>790</v>
      </c>
      <c r="H346" s="312">
        <v>4156099128</v>
      </c>
      <c r="I346" s="311" t="s">
        <v>791</v>
      </c>
      <c r="J346" s="310">
        <v>45082</v>
      </c>
      <c r="K346" s="311"/>
      <c r="L346" s="311"/>
      <c r="M346" s="309" t="s">
        <v>807</v>
      </c>
      <c r="N346" s="82" t="s">
        <v>34</v>
      </c>
      <c r="O346" s="313">
        <v>45597</v>
      </c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  <c r="AA346" s="314"/>
      <c r="AB346" s="314"/>
      <c r="AC346" s="314"/>
      <c r="AD346" s="314"/>
      <c r="AE346" s="314"/>
      <c r="AF346" s="314"/>
      <c r="AG346" s="314"/>
      <c r="AH346" s="314"/>
      <c r="AI346" s="314"/>
      <c r="AJ346" s="314"/>
      <c r="AK346" s="314"/>
      <c r="AL346" s="314"/>
      <c r="AM346" s="314"/>
      <c r="AN346" s="314"/>
      <c r="AO346" s="314"/>
      <c r="AP346" s="314"/>
      <c r="AQ346" s="314"/>
      <c r="AR346" s="314"/>
      <c r="AS346" s="314"/>
      <c r="AT346" s="314"/>
      <c r="AU346" s="2"/>
      <c r="AV346" s="2"/>
    </row>
    <row r="347" spans="1:48" ht="15" hidden="1" customHeight="1" x14ac:dyDescent="0.2">
      <c r="A347" s="93">
        <v>4</v>
      </c>
      <c r="B347" s="315" t="s">
        <v>88</v>
      </c>
      <c r="C347" s="309" t="s">
        <v>292</v>
      </c>
      <c r="D347" s="309" t="s">
        <v>789</v>
      </c>
      <c r="E347" s="82">
        <v>4</v>
      </c>
      <c r="F347" s="310">
        <v>41496</v>
      </c>
      <c r="G347" s="311" t="s">
        <v>790</v>
      </c>
      <c r="H347" s="312">
        <v>4156099128</v>
      </c>
      <c r="I347" s="311" t="s">
        <v>791</v>
      </c>
      <c r="J347" s="310">
        <v>45082</v>
      </c>
      <c r="K347" s="311"/>
      <c r="L347" s="311"/>
      <c r="M347" s="309" t="s">
        <v>807</v>
      </c>
      <c r="N347" s="82" t="s">
        <v>34</v>
      </c>
      <c r="O347" s="313">
        <v>45597</v>
      </c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  <c r="AA347" s="314"/>
      <c r="AB347" s="314"/>
      <c r="AC347" s="314"/>
      <c r="AD347" s="314"/>
      <c r="AE347" s="314"/>
      <c r="AF347" s="314"/>
      <c r="AG347" s="314"/>
      <c r="AH347" s="314"/>
      <c r="AI347" s="314"/>
      <c r="AJ347" s="314"/>
      <c r="AK347" s="314"/>
      <c r="AL347" s="314"/>
      <c r="AM347" s="314"/>
      <c r="AN347" s="314"/>
      <c r="AO347" s="314"/>
      <c r="AP347" s="314"/>
      <c r="AQ347" s="314"/>
      <c r="AR347" s="314"/>
      <c r="AS347" s="314"/>
      <c r="AT347" s="314"/>
      <c r="AU347" s="2"/>
      <c r="AV347" s="2"/>
    </row>
    <row r="348" spans="1:48" ht="15" hidden="1" customHeight="1" x14ac:dyDescent="0.2">
      <c r="A348" s="93">
        <v>5</v>
      </c>
      <c r="B348" s="315" t="s">
        <v>48</v>
      </c>
      <c r="C348" s="309" t="s">
        <v>292</v>
      </c>
      <c r="D348" s="309" t="s">
        <v>792</v>
      </c>
      <c r="E348" s="82">
        <v>1</v>
      </c>
      <c r="F348" s="310">
        <v>42757</v>
      </c>
      <c r="G348" s="311" t="s">
        <v>790</v>
      </c>
      <c r="H348" s="312">
        <v>4156099128</v>
      </c>
      <c r="I348" s="311" t="s">
        <v>791</v>
      </c>
      <c r="J348" s="310">
        <v>45082</v>
      </c>
      <c r="K348" s="311"/>
      <c r="L348" s="311"/>
      <c r="M348" s="309"/>
      <c r="N348" s="82" t="s">
        <v>34</v>
      </c>
      <c r="O348" s="313">
        <v>45597</v>
      </c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  <c r="AA348" s="314"/>
      <c r="AB348" s="314"/>
      <c r="AC348" s="314"/>
      <c r="AD348" s="314"/>
      <c r="AE348" s="314"/>
      <c r="AF348" s="314"/>
      <c r="AG348" s="314"/>
      <c r="AH348" s="314"/>
      <c r="AI348" s="314"/>
      <c r="AJ348" s="314"/>
      <c r="AK348" s="314"/>
      <c r="AL348" s="314"/>
      <c r="AM348" s="314"/>
      <c r="AN348" s="314"/>
      <c r="AO348" s="314"/>
      <c r="AP348" s="314"/>
      <c r="AQ348" s="314"/>
      <c r="AR348" s="314"/>
      <c r="AS348" s="314"/>
      <c r="AT348" s="314"/>
      <c r="AU348" s="2"/>
      <c r="AV348" s="2"/>
    </row>
    <row r="349" spans="1:48" ht="15" hidden="1" customHeight="1" x14ac:dyDescent="0.2">
      <c r="A349" s="93">
        <v>6</v>
      </c>
      <c r="B349" s="315" t="s">
        <v>88</v>
      </c>
      <c r="C349" s="309" t="s">
        <v>292</v>
      </c>
      <c r="D349" s="309" t="s">
        <v>792</v>
      </c>
      <c r="E349" s="82">
        <v>1</v>
      </c>
      <c r="F349" s="310">
        <v>42757</v>
      </c>
      <c r="G349" s="311" t="s">
        <v>790</v>
      </c>
      <c r="H349" s="312">
        <v>4156099128</v>
      </c>
      <c r="I349" s="311" t="s">
        <v>791</v>
      </c>
      <c r="J349" s="310">
        <v>45082</v>
      </c>
      <c r="K349" s="311"/>
      <c r="L349" s="311"/>
      <c r="M349" s="309"/>
      <c r="N349" s="82" t="s">
        <v>34</v>
      </c>
      <c r="O349" s="313">
        <v>45597</v>
      </c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  <c r="AA349" s="314"/>
      <c r="AB349" s="314"/>
      <c r="AC349" s="314"/>
      <c r="AD349" s="314"/>
      <c r="AE349" s="314"/>
      <c r="AF349" s="314"/>
      <c r="AG349" s="314"/>
      <c r="AH349" s="314"/>
      <c r="AI349" s="314"/>
      <c r="AJ349" s="314"/>
      <c r="AK349" s="314"/>
      <c r="AL349" s="314"/>
      <c r="AM349" s="314"/>
      <c r="AN349" s="314"/>
      <c r="AO349" s="314"/>
      <c r="AP349" s="314"/>
      <c r="AQ349" s="314"/>
      <c r="AR349" s="314"/>
      <c r="AS349" s="314"/>
      <c r="AT349" s="314"/>
      <c r="AU349" s="2"/>
      <c r="AV349" s="2"/>
    </row>
    <row r="350" spans="1:48" ht="15" hidden="1" customHeight="1" x14ac:dyDescent="0.2">
      <c r="A350" s="93">
        <v>7</v>
      </c>
      <c r="B350" s="308" t="s">
        <v>48</v>
      </c>
      <c r="C350" s="316" t="s">
        <v>508</v>
      </c>
      <c r="D350" s="316" t="s">
        <v>729</v>
      </c>
      <c r="E350" s="317">
        <v>2</v>
      </c>
      <c r="F350" s="318">
        <v>42933</v>
      </c>
      <c r="G350" s="311" t="s">
        <v>730</v>
      </c>
      <c r="H350" s="312">
        <v>4083986905</v>
      </c>
      <c r="I350" s="311" t="s">
        <v>731</v>
      </c>
      <c r="J350" s="319" t="s">
        <v>158</v>
      </c>
      <c r="K350" s="319"/>
      <c r="L350" s="319"/>
      <c r="M350" s="316" t="s">
        <v>808</v>
      </c>
      <c r="N350" s="308" t="s">
        <v>34</v>
      </c>
      <c r="O350" s="313">
        <v>45597</v>
      </c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  <c r="AA350" s="314"/>
      <c r="AB350" s="314"/>
      <c r="AC350" s="314"/>
      <c r="AD350" s="314"/>
      <c r="AE350" s="314"/>
      <c r="AF350" s="314"/>
      <c r="AG350" s="314"/>
      <c r="AH350" s="314"/>
      <c r="AI350" s="314"/>
      <c r="AJ350" s="314"/>
      <c r="AK350" s="314"/>
      <c r="AL350" s="314"/>
      <c r="AM350" s="314"/>
      <c r="AN350" s="314"/>
      <c r="AO350" s="314"/>
      <c r="AP350" s="314"/>
      <c r="AQ350" s="314"/>
      <c r="AR350" s="314"/>
      <c r="AS350" s="314"/>
      <c r="AT350" s="314"/>
      <c r="AU350" s="2"/>
      <c r="AV350" s="2"/>
    </row>
    <row r="351" spans="1:48" ht="15" hidden="1" customHeight="1" x14ac:dyDescent="0.2">
      <c r="A351" s="320">
        <v>8</v>
      </c>
      <c r="B351" s="321" t="s">
        <v>88</v>
      </c>
      <c r="C351" s="322" t="s">
        <v>508</v>
      </c>
      <c r="D351" s="322" t="s">
        <v>729</v>
      </c>
      <c r="E351" s="323">
        <v>2</v>
      </c>
      <c r="F351" s="324">
        <v>42933</v>
      </c>
      <c r="G351" s="325" t="s">
        <v>730</v>
      </c>
      <c r="H351" s="326">
        <v>4083986905</v>
      </c>
      <c r="I351" s="325" t="s">
        <v>731</v>
      </c>
      <c r="J351" s="327" t="s">
        <v>158</v>
      </c>
      <c r="K351" s="327"/>
      <c r="L351" s="327"/>
      <c r="M351" s="322"/>
      <c r="N351" s="321" t="s">
        <v>34</v>
      </c>
      <c r="O351" s="328">
        <v>45597</v>
      </c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  <c r="AA351" s="314"/>
      <c r="AB351" s="314"/>
      <c r="AC351" s="314"/>
      <c r="AD351" s="314"/>
      <c r="AE351" s="314"/>
      <c r="AF351" s="314"/>
      <c r="AG351" s="314"/>
      <c r="AH351" s="314"/>
      <c r="AI351" s="314"/>
      <c r="AJ351" s="314"/>
      <c r="AK351" s="314"/>
      <c r="AL351" s="314"/>
      <c r="AM351" s="314"/>
      <c r="AN351" s="314"/>
      <c r="AO351" s="314"/>
      <c r="AP351" s="314"/>
      <c r="AQ351" s="314"/>
      <c r="AR351" s="314"/>
      <c r="AS351" s="314"/>
      <c r="AT351" s="314"/>
      <c r="AU351" s="2"/>
      <c r="AV351" s="2"/>
    </row>
    <row r="352" spans="1:48" ht="15" hidden="1" customHeight="1" x14ac:dyDescent="0.2">
      <c r="A352" s="93">
        <v>1</v>
      </c>
      <c r="B352" s="329" t="s">
        <v>48</v>
      </c>
      <c r="C352" s="330" t="s">
        <v>809</v>
      </c>
      <c r="D352" s="330" t="s">
        <v>810</v>
      </c>
      <c r="E352" s="331">
        <v>2</v>
      </c>
      <c r="F352" s="330">
        <v>42157</v>
      </c>
      <c r="G352" s="330" t="s">
        <v>811</v>
      </c>
      <c r="H352" s="332">
        <v>5857522132</v>
      </c>
      <c r="I352" s="330" t="s">
        <v>812</v>
      </c>
      <c r="J352" s="333">
        <v>45299</v>
      </c>
      <c r="K352" s="334"/>
      <c r="L352" s="334"/>
      <c r="M352" s="335" t="s">
        <v>813</v>
      </c>
      <c r="N352" s="329" t="s">
        <v>34</v>
      </c>
      <c r="O352" s="336">
        <v>45627</v>
      </c>
      <c r="P352" s="337"/>
      <c r="Q352" s="337"/>
      <c r="R352" s="337"/>
      <c r="S352" s="337"/>
      <c r="T352" s="337"/>
      <c r="U352" s="337"/>
      <c r="V352" s="337"/>
      <c r="W352" s="337"/>
      <c r="X352" s="337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337"/>
      <c r="AJ352" s="337"/>
      <c r="AK352" s="337"/>
      <c r="AL352" s="337"/>
      <c r="AM352" s="337"/>
      <c r="AN352" s="337"/>
      <c r="AO352" s="337"/>
      <c r="AP352" s="337"/>
      <c r="AQ352" s="337"/>
      <c r="AR352" s="337"/>
      <c r="AS352" s="337"/>
      <c r="AT352" s="337"/>
      <c r="AU352" s="337"/>
      <c r="AV352" s="337"/>
    </row>
    <row r="353" spans="1:48" ht="15" hidden="1" customHeight="1" x14ac:dyDescent="0.2">
      <c r="A353" s="93">
        <v>2</v>
      </c>
      <c r="B353" s="338" t="s">
        <v>88</v>
      </c>
      <c r="C353" s="334" t="s">
        <v>809</v>
      </c>
      <c r="D353" s="334" t="s">
        <v>810</v>
      </c>
      <c r="E353" s="339">
        <v>2</v>
      </c>
      <c r="F353" s="340">
        <v>42157</v>
      </c>
      <c r="G353" s="334" t="s">
        <v>811</v>
      </c>
      <c r="H353" s="334">
        <v>5857522132</v>
      </c>
      <c r="I353" s="334" t="s">
        <v>812</v>
      </c>
      <c r="J353" s="341">
        <v>45299</v>
      </c>
      <c r="K353" s="334"/>
      <c r="L353" s="334"/>
      <c r="M353" s="335" t="s">
        <v>813</v>
      </c>
      <c r="N353" s="329" t="s">
        <v>34</v>
      </c>
      <c r="O353" s="336">
        <v>45627</v>
      </c>
      <c r="P353" s="337"/>
      <c r="Q353" s="337"/>
      <c r="R353" s="337"/>
      <c r="S353" s="337"/>
      <c r="T353" s="337"/>
      <c r="U353" s="337"/>
      <c r="V353" s="337"/>
      <c r="W353" s="337"/>
      <c r="X353" s="337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337"/>
      <c r="AJ353" s="337"/>
      <c r="AK353" s="337"/>
      <c r="AL353" s="337"/>
      <c r="AM353" s="337"/>
      <c r="AN353" s="337"/>
      <c r="AO353" s="337"/>
      <c r="AP353" s="337"/>
      <c r="AQ353" s="337"/>
      <c r="AR353" s="337"/>
      <c r="AS353" s="337"/>
      <c r="AT353" s="337"/>
      <c r="AU353" s="337"/>
      <c r="AV353" s="337"/>
    </row>
    <row r="354" spans="1:48" ht="15" hidden="1" customHeight="1" x14ac:dyDescent="0.2">
      <c r="A354" s="93">
        <v>3</v>
      </c>
      <c r="B354" s="329" t="s">
        <v>48</v>
      </c>
      <c r="C354" s="335" t="s">
        <v>513</v>
      </c>
      <c r="D354" s="335" t="s">
        <v>514</v>
      </c>
      <c r="E354" s="339" t="s">
        <v>246</v>
      </c>
      <c r="F354" s="340">
        <v>43461</v>
      </c>
      <c r="G354" s="335" t="s">
        <v>515</v>
      </c>
      <c r="H354" s="342">
        <v>4086803486</v>
      </c>
      <c r="I354" s="334" t="s">
        <v>516</v>
      </c>
      <c r="J354" s="341">
        <v>45323</v>
      </c>
      <c r="K354" s="334"/>
      <c r="L354" s="334"/>
      <c r="M354" s="335" t="s">
        <v>814</v>
      </c>
      <c r="N354" s="329" t="s">
        <v>34</v>
      </c>
      <c r="O354" s="336">
        <v>45627</v>
      </c>
      <c r="P354" s="337"/>
      <c r="Q354" s="337"/>
      <c r="R354" s="337"/>
      <c r="S354" s="337"/>
      <c r="T354" s="337"/>
      <c r="U354" s="337"/>
      <c r="V354" s="337"/>
      <c r="W354" s="337"/>
      <c r="X354" s="337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337"/>
      <c r="AJ354" s="337"/>
      <c r="AK354" s="337"/>
      <c r="AL354" s="337"/>
      <c r="AM354" s="337"/>
      <c r="AN354" s="337"/>
      <c r="AO354" s="337"/>
      <c r="AP354" s="337"/>
      <c r="AQ354" s="337"/>
      <c r="AR354" s="337"/>
      <c r="AS354" s="337"/>
      <c r="AT354" s="337"/>
      <c r="AU354" s="337"/>
      <c r="AV354" s="337"/>
    </row>
    <row r="355" spans="1:48" ht="15" hidden="1" customHeight="1" x14ac:dyDescent="0.2">
      <c r="A355" s="93">
        <v>4</v>
      </c>
      <c r="B355" s="329" t="s">
        <v>88</v>
      </c>
      <c r="C355" s="330" t="s">
        <v>513</v>
      </c>
      <c r="D355" s="330" t="s">
        <v>514</v>
      </c>
      <c r="E355" s="331" t="s">
        <v>246</v>
      </c>
      <c r="F355" s="343">
        <v>43461</v>
      </c>
      <c r="G355" s="330" t="s">
        <v>515</v>
      </c>
      <c r="H355" s="332">
        <v>4086803486</v>
      </c>
      <c r="I355" s="330" t="s">
        <v>516</v>
      </c>
      <c r="J355" s="333">
        <v>45352</v>
      </c>
      <c r="K355" s="334"/>
      <c r="L355" s="334"/>
      <c r="M355" s="335" t="s">
        <v>814</v>
      </c>
      <c r="N355" s="329" t="s">
        <v>34</v>
      </c>
      <c r="O355" s="336">
        <v>45627</v>
      </c>
      <c r="P355" s="337"/>
      <c r="Q355" s="337"/>
      <c r="R355" s="337"/>
      <c r="S355" s="337"/>
      <c r="T355" s="337"/>
      <c r="U355" s="337"/>
      <c r="V355" s="337"/>
      <c r="W355" s="337"/>
      <c r="X355" s="337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337"/>
      <c r="AJ355" s="337"/>
      <c r="AK355" s="337"/>
      <c r="AL355" s="337"/>
      <c r="AM355" s="337"/>
      <c r="AN355" s="337"/>
      <c r="AO355" s="337"/>
      <c r="AP355" s="337"/>
      <c r="AQ355" s="337"/>
      <c r="AR355" s="337"/>
      <c r="AS355" s="337"/>
      <c r="AT355" s="337"/>
      <c r="AU355" s="337"/>
      <c r="AV355" s="337"/>
    </row>
    <row r="356" spans="1:48" ht="15" hidden="1" customHeight="1" x14ac:dyDescent="0.2">
      <c r="A356" s="317">
        <v>1</v>
      </c>
      <c r="B356" s="315" t="s">
        <v>48</v>
      </c>
      <c r="C356" s="311" t="s">
        <v>118</v>
      </c>
      <c r="D356" s="311" t="s">
        <v>125</v>
      </c>
      <c r="E356" s="82">
        <v>1</v>
      </c>
      <c r="F356" s="310">
        <v>43199</v>
      </c>
      <c r="G356" s="311" t="s">
        <v>126</v>
      </c>
      <c r="H356" s="311">
        <v>6503046747</v>
      </c>
      <c r="I356" s="311" t="s">
        <v>127</v>
      </c>
      <c r="J356" s="344">
        <v>45572</v>
      </c>
      <c r="K356" s="311"/>
      <c r="L356" s="311"/>
      <c r="M356" s="309" t="s">
        <v>815</v>
      </c>
      <c r="N356" s="308" t="s">
        <v>34</v>
      </c>
      <c r="O356" s="313">
        <v>45658</v>
      </c>
      <c r="P356" s="345"/>
      <c r="Q356" s="345"/>
      <c r="R356" s="345"/>
      <c r="S356" s="345"/>
      <c r="T356" s="345"/>
      <c r="U356" s="345"/>
      <c r="V356" s="345"/>
      <c r="W356" s="345"/>
      <c r="X356" s="345"/>
      <c r="Y356" s="345"/>
      <c r="Z356" s="345"/>
      <c r="AA356" s="345"/>
      <c r="AB356" s="345"/>
      <c r="AC356" s="345"/>
      <c r="AD356" s="345"/>
      <c r="AE356" s="345"/>
      <c r="AF356" s="345"/>
      <c r="AG356" s="345"/>
      <c r="AH356" s="345"/>
      <c r="AI356" s="345"/>
      <c r="AJ356" s="345"/>
      <c r="AK356" s="345"/>
      <c r="AL356" s="345"/>
      <c r="AM356" s="345"/>
      <c r="AN356" s="345"/>
      <c r="AO356" s="345"/>
      <c r="AP356" s="345"/>
      <c r="AQ356" s="345"/>
      <c r="AR356" s="345"/>
      <c r="AS356" s="345"/>
      <c r="AT356" s="345"/>
      <c r="AU356" s="345"/>
      <c r="AV356" s="345"/>
    </row>
    <row r="357" spans="1:48" ht="15" hidden="1" customHeight="1" x14ac:dyDescent="0.2">
      <c r="A357" s="93">
        <v>2</v>
      </c>
      <c r="B357" s="346" t="s">
        <v>48</v>
      </c>
      <c r="C357" s="347" t="s">
        <v>542</v>
      </c>
      <c r="D357" s="347" t="s">
        <v>543</v>
      </c>
      <c r="E357" s="348">
        <v>6</v>
      </c>
      <c r="F357" s="349">
        <v>41034</v>
      </c>
      <c r="G357" s="350" t="s">
        <v>544</v>
      </c>
      <c r="H357" s="351">
        <v>5108161486</v>
      </c>
      <c r="I357" s="352" t="s">
        <v>506</v>
      </c>
      <c r="J357" s="353">
        <v>45293</v>
      </c>
      <c r="K357" s="350"/>
      <c r="L357" s="350"/>
      <c r="M357" s="347" t="s">
        <v>520</v>
      </c>
      <c r="N357" s="346" t="s">
        <v>34</v>
      </c>
      <c r="O357" s="313">
        <v>45658</v>
      </c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  <c r="AB357" s="354"/>
      <c r="AC357" s="354"/>
      <c r="AD357" s="354"/>
      <c r="AE357" s="354"/>
      <c r="AF357" s="354"/>
      <c r="AG357" s="354"/>
      <c r="AH357" s="354"/>
      <c r="AI357" s="354"/>
      <c r="AJ357" s="354"/>
      <c r="AK357" s="354"/>
      <c r="AL357" s="354"/>
      <c r="AM357" s="354"/>
      <c r="AN357" s="354"/>
      <c r="AO357" s="354"/>
      <c r="AP357" s="354"/>
      <c r="AQ357" s="354"/>
      <c r="AR357" s="354"/>
      <c r="AS357" s="354"/>
      <c r="AT357" s="354"/>
      <c r="AU357" s="299"/>
      <c r="AV357" s="299"/>
    </row>
    <row r="358" spans="1:48" ht="15" hidden="1" customHeight="1" x14ac:dyDescent="0.2">
      <c r="A358" s="93">
        <v>3</v>
      </c>
      <c r="B358" s="346" t="s">
        <v>48</v>
      </c>
      <c r="C358" s="355" t="s">
        <v>359</v>
      </c>
      <c r="D358" s="355" t="s">
        <v>816</v>
      </c>
      <c r="E358" s="356">
        <v>1</v>
      </c>
      <c r="F358" s="357">
        <v>42977</v>
      </c>
      <c r="G358" s="355" t="s">
        <v>817</v>
      </c>
      <c r="H358" s="358">
        <v>8173712065</v>
      </c>
      <c r="I358" s="355" t="s">
        <v>818</v>
      </c>
      <c r="J358" s="359">
        <v>45174</v>
      </c>
      <c r="K358" s="350"/>
      <c r="L358" s="350"/>
      <c r="M358" s="347"/>
      <c r="N358" s="346" t="s">
        <v>34</v>
      </c>
      <c r="O358" s="313">
        <v>45658</v>
      </c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  <c r="AD358" s="296"/>
      <c r="AE358" s="296"/>
      <c r="AF358" s="296"/>
      <c r="AG358" s="296"/>
      <c r="AH358" s="296"/>
      <c r="AI358" s="296"/>
      <c r="AJ358" s="296"/>
      <c r="AK358" s="296"/>
      <c r="AL358" s="296"/>
      <c r="AM358" s="296"/>
      <c r="AN358" s="296"/>
      <c r="AO358" s="296"/>
      <c r="AP358" s="296"/>
      <c r="AQ358" s="296"/>
      <c r="AR358" s="296"/>
      <c r="AS358" s="296"/>
      <c r="AT358" s="296"/>
      <c r="AU358" s="296"/>
      <c r="AV358" s="296"/>
    </row>
    <row r="359" spans="1:48" ht="15" customHeight="1" x14ac:dyDescent="0.2">
      <c r="A359" s="360">
        <v>1</v>
      </c>
      <c r="B359" s="361" t="s">
        <v>48</v>
      </c>
      <c r="C359" s="362" t="s">
        <v>195</v>
      </c>
      <c r="D359" s="362" t="s">
        <v>196</v>
      </c>
      <c r="E359" s="363" t="s">
        <v>154</v>
      </c>
      <c r="F359" s="364">
        <v>43556</v>
      </c>
      <c r="G359" s="362" t="s">
        <v>197</v>
      </c>
      <c r="H359" s="362">
        <v>2147624191</v>
      </c>
      <c r="I359" s="362" t="s">
        <v>198</v>
      </c>
      <c r="J359" s="365">
        <v>45585</v>
      </c>
      <c r="K359" s="362" t="s">
        <v>146</v>
      </c>
      <c r="L359" s="362" t="s">
        <v>819</v>
      </c>
      <c r="M359" s="366" t="s">
        <v>820</v>
      </c>
      <c r="N359" s="367" t="s">
        <v>34</v>
      </c>
      <c r="O359" s="368">
        <v>45689</v>
      </c>
      <c r="P359" s="369"/>
      <c r="Q359" s="369"/>
      <c r="R359" s="369"/>
      <c r="S359" s="369"/>
      <c r="T359" s="369"/>
      <c r="U359" s="369"/>
      <c r="V359" s="369"/>
      <c r="W359" s="369"/>
      <c r="X359" s="369"/>
      <c r="Y359" s="369"/>
      <c r="Z359" s="369"/>
      <c r="AA359" s="369"/>
      <c r="AB359" s="369"/>
      <c r="AC359" s="369"/>
      <c r="AD359" s="369"/>
      <c r="AE359" s="369"/>
      <c r="AF359" s="369"/>
      <c r="AG359" s="369"/>
      <c r="AH359" s="369"/>
      <c r="AI359" s="369"/>
      <c r="AJ359" s="369"/>
      <c r="AK359" s="369"/>
      <c r="AL359" s="369"/>
      <c r="AM359" s="369"/>
      <c r="AN359" s="369"/>
      <c r="AO359" s="369"/>
      <c r="AP359" s="369"/>
      <c r="AQ359" s="369"/>
      <c r="AR359" s="369"/>
      <c r="AS359" s="369"/>
      <c r="AT359" s="369"/>
      <c r="AU359" s="369"/>
      <c r="AV359" s="369"/>
    </row>
    <row r="360" spans="1:48" ht="15" customHeight="1" x14ac:dyDescent="0.2">
      <c r="A360" s="360">
        <v>2</v>
      </c>
      <c r="B360" s="361" t="s">
        <v>88</v>
      </c>
      <c r="C360" s="362" t="s">
        <v>200</v>
      </c>
      <c r="D360" s="362" t="s">
        <v>196</v>
      </c>
      <c r="E360" s="363" t="s">
        <v>154</v>
      </c>
      <c r="F360" s="364">
        <v>43556</v>
      </c>
      <c r="G360" s="362" t="s">
        <v>197</v>
      </c>
      <c r="H360" s="362">
        <v>2147624191</v>
      </c>
      <c r="I360" s="362" t="s">
        <v>198</v>
      </c>
      <c r="J360" s="365">
        <v>45585</v>
      </c>
      <c r="K360" s="362" t="s">
        <v>138</v>
      </c>
      <c r="L360" s="362" t="s">
        <v>821</v>
      </c>
      <c r="M360" s="366" t="s">
        <v>820</v>
      </c>
      <c r="N360" s="367" t="s">
        <v>34</v>
      </c>
      <c r="O360" s="368">
        <v>45689</v>
      </c>
      <c r="P360" s="369"/>
      <c r="Q360" s="369"/>
      <c r="R360" s="369"/>
      <c r="S360" s="369"/>
      <c r="T360" s="369"/>
      <c r="U360" s="369"/>
      <c r="V360" s="369"/>
      <c r="W360" s="369"/>
      <c r="X360" s="369"/>
      <c r="Y360" s="369"/>
      <c r="Z360" s="369"/>
      <c r="AA360" s="369"/>
      <c r="AB360" s="369"/>
      <c r="AC360" s="369"/>
      <c r="AD360" s="369"/>
      <c r="AE360" s="369"/>
      <c r="AF360" s="369"/>
      <c r="AG360" s="369"/>
      <c r="AH360" s="369"/>
      <c r="AI360" s="369"/>
      <c r="AJ360" s="369"/>
      <c r="AK360" s="369"/>
      <c r="AL360" s="369"/>
      <c r="AM360" s="369"/>
      <c r="AN360" s="369"/>
      <c r="AO360" s="369"/>
      <c r="AP360" s="369"/>
      <c r="AQ360" s="369"/>
      <c r="AR360" s="369"/>
      <c r="AS360" s="369"/>
      <c r="AT360" s="369"/>
      <c r="AU360" s="370"/>
      <c r="AV360" s="370"/>
    </row>
    <row r="361" spans="1:48" ht="15" customHeight="1" x14ac:dyDescent="0.2">
      <c r="A361" s="93">
        <v>3</v>
      </c>
      <c r="B361" s="96" t="s">
        <v>48</v>
      </c>
      <c r="C361" s="94" t="s">
        <v>400</v>
      </c>
      <c r="D361" s="94" t="s">
        <v>680</v>
      </c>
      <c r="E361" s="104">
        <v>4</v>
      </c>
      <c r="F361" s="95" t="s">
        <v>424</v>
      </c>
      <c r="G361" s="94" t="s">
        <v>822</v>
      </c>
      <c r="H361" s="129">
        <v>7324916636</v>
      </c>
      <c r="I361" s="97" t="s">
        <v>823</v>
      </c>
      <c r="J361" s="371" t="s">
        <v>158</v>
      </c>
      <c r="K361" s="97" t="s">
        <v>379</v>
      </c>
      <c r="L361" s="97" t="s">
        <v>824</v>
      </c>
      <c r="M361" s="94" t="s">
        <v>825</v>
      </c>
      <c r="N361" s="96" t="s">
        <v>34</v>
      </c>
      <c r="O361" s="336">
        <v>45689</v>
      </c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2"/>
      <c r="AV361" s="2"/>
    </row>
    <row r="362" spans="1:48" ht="15" customHeight="1" x14ac:dyDescent="0.2">
      <c r="A362" s="93">
        <v>4</v>
      </c>
      <c r="B362" s="96" t="s">
        <v>88</v>
      </c>
      <c r="C362" s="133" t="s">
        <v>400</v>
      </c>
      <c r="D362" s="133" t="s">
        <v>680</v>
      </c>
      <c r="E362" s="93">
        <v>4</v>
      </c>
      <c r="F362" s="134" t="s">
        <v>424</v>
      </c>
      <c r="G362" s="133" t="s">
        <v>822</v>
      </c>
      <c r="H362" s="372">
        <v>7324916636</v>
      </c>
      <c r="I362" s="133" t="s">
        <v>823</v>
      </c>
      <c r="J362" s="373" t="s">
        <v>158</v>
      </c>
      <c r="K362" s="97" t="s">
        <v>160</v>
      </c>
      <c r="L362" s="97" t="s">
        <v>826</v>
      </c>
      <c r="M362" s="94" t="s">
        <v>825</v>
      </c>
      <c r="N362" s="96" t="s">
        <v>34</v>
      </c>
      <c r="O362" s="336">
        <v>45689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 ht="17.25" customHeight="1" x14ac:dyDescent="0.2">
      <c r="A363" s="83"/>
      <c r="B363" s="11"/>
      <c r="C363" s="79"/>
      <c r="D363" s="79"/>
      <c r="E363" s="11"/>
      <c r="F363" s="79"/>
      <c r="G363" s="79"/>
      <c r="H363" s="79"/>
      <c r="I363" s="32"/>
      <c r="J363" s="79"/>
      <c r="K363" s="79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8" ht="17.25" customHeight="1" x14ac:dyDescent="0.2">
      <c r="A364" s="83"/>
      <c r="B364" s="11"/>
      <c r="C364" s="79"/>
      <c r="D364" s="79"/>
      <c r="E364" s="11"/>
      <c r="F364" s="79"/>
      <c r="G364" s="79"/>
      <c r="H364" s="79"/>
      <c r="I364" s="32"/>
      <c r="J364" s="79"/>
      <c r="K364" s="79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8" ht="17.25" customHeight="1" x14ac:dyDescent="0.2">
      <c r="A365" s="83"/>
      <c r="B365" s="11"/>
      <c r="C365" s="79"/>
      <c r="D365" s="79"/>
      <c r="E365" s="11"/>
      <c r="F365" s="79"/>
      <c r="G365" s="79"/>
      <c r="H365" s="79"/>
      <c r="I365" s="32"/>
      <c r="J365" s="79"/>
      <c r="K365" s="79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8" ht="17.25" customHeight="1" x14ac:dyDescent="0.2">
      <c r="A366" s="83"/>
      <c r="B366" s="11"/>
      <c r="C366" s="79"/>
      <c r="D366" s="79"/>
      <c r="E366" s="11"/>
      <c r="F366" s="79"/>
      <c r="G366" s="79"/>
      <c r="H366" s="79"/>
      <c r="I366" s="32"/>
      <c r="J366" s="79"/>
      <c r="K366" s="79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8" ht="17.25" customHeight="1" x14ac:dyDescent="0.2">
      <c r="A367" s="83"/>
      <c r="B367" s="11"/>
      <c r="C367" s="79"/>
      <c r="D367" s="79"/>
      <c r="E367" s="11"/>
      <c r="F367" s="79"/>
      <c r="G367" s="79"/>
      <c r="H367" s="79"/>
      <c r="I367" s="32"/>
      <c r="J367" s="79"/>
      <c r="K367" s="79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8" ht="17.25" customHeight="1" x14ac:dyDescent="0.2">
      <c r="A368" s="83"/>
      <c r="B368" s="11"/>
      <c r="C368" s="79"/>
      <c r="D368" s="79"/>
      <c r="E368" s="11"/>
      <c r="F368" s="79"/>
      <c r="G368" s="79"/>
      <c r="H368" s="79"/>
      <c r="I368" s="32"/>
      <c r="J368" s="79"/>
      <c r="K368" s="79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2">
      <c r="A369" s="83"/>
      <c r="B369" s="11"/>
      <c r="C369" s="79"/>
      <c r="D369" s="79"/>
      <c r="E369" s="11"/>
      <c r="F369" s="79"/>
      <c r="G369" s="79"/>
      <c r="H369" s="79"/>
      <c r="I369" s="32"/>
      <c r="J369" s="79"/>
      <c r="K369" s="79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2">
      <c r="A370" s="83"/>
      <c r="B370" s="11"/>
      <c r="C370" s="79"/>
      <c r="D370" s="79"/>
      <c r="E370" s="11"/>
      <c r="F370" s="79"/>
      <c r="G370" s="79"/>
      <c r="H370" s="79"/>
      <c r="I370" s="32"/>
      <c r="J370" s="79"/>
      <c r="K370" s="79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2">
      <c r="A371" s="83"/>
      <c r="B371" s="11"/>
      <c r="C371" s="79"/>
      <c r="D371" s="79"/>
      <c r="E371" s="11"/>
      <c r="F371" s="79"/>
      <c r="G371" s="79"/>
      <c r="H371" s="79"/>
      <c r="I371" s="32"/>
      <c r="J371" s="79"/>
      <c r="K371" s="79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2">
      <c r="A372" s="83"/>
      <c r="B372" s="11"/>
      <c r="C372" s="79"/>
      <c r="D372" s="79"/>
      <c r="E372" s="11"/>
      <c r="F372" s="79"/>
      <c r="G372" s="79"/>
      <c r="H372" s="79"/>
      <c r="I372" s="32"/>
      <c r="J372" s="79"/>
      <c r="K372" s="79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2">
      <c r="A373" s="83"/>
      <c r="B373" s="11"/>
      <c r="C373" s="79"/>
      <c r="D373" s="79"/>
      <c r="E373" s="11"/>
      <c r="F373" s="79"/>
      <c r="G373" s="79"/>
      <c r="H373" s="79"/>
      <c r="I373" s="32"/>
      <c r="J373" s="79"/>
      <c r="K373" s="79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2">
      <c r="A374" s="83"/>
      <c r="B374" s="11"/>
      <c r="C374" s="79"/>
      <c r="D374" s="79"/>
      <c r="E374" s="11"/>
      <c r="F374" s="79"/>
      <c r="G374" s="79"/>
      <c r="H374" s="79"/>
      <c r="I374" s="32"/>
      <c r="J374" s="79"/>
      <c r="K374" s="79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2">
      <c r="A375" s="83"/>
      <c r="B375" s="11"/>
      <c r="C375" s="79"/>
      <c r="D375" s="79"/>
      <c r="E375" s="11"/>
      <c r="F375" s="79"/>
      <c r="G375" s="79"/>
      <c r="H375" s="79"/>
      <c r="I375" s="32"/>
      <c r="J375" s="79"/>
      <c r="K375" s="79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2">
      <c r="A376" s="83"/>
      <c r="B376" s="11"/>
      <c r="C376" s="79"/>
      <c r="D376" s="79"/>
      <c r="E376" s="11"/>
      <c r="F376" s="79"/>
      <c r="G376" s="79"/>
      <c r="H376" s="79"/>
      <c r="I376" s="32"/>
      <c r="J376" s="79"/>
      <c r="K376" s="79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2">
      <c r="A377" s="83"/>
      <c r="B377" s="11"/>
      <c r="C377" s="79"/>
      <c r="D377" s="79"/>
      <c r="E377" s="11"/>
      <c r="F377" s="79"/>
      <c r="G377" s="79"/>
      <c r="H377" s="79"/>
      <c r="I377" s="32"/>
      <c r="J377" s="79"/>
      <c r="K377" s="79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2">
      <c r="A378" s="83"/>
      <c r="B378" s="11"/>
      <c r="C378" s="79"/>
      <c r="D378" s="79"/>
      <c r="E378" s="11"/>
      <c r="F378" s="79"/>
      <c r="G378" s="79"/>
      <c r="H378" s="79"/>
      <c r="I378" s="32"/>
      <c r="J378" s="79"/>
      <c r="K378" s="79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2">
      <c r="A379" s="83"/>
      <c r="B379" s="11"/>
      <c r="C379" s="79"/>
      <c r="D379" s="79"/>
      <c r="E379" s="11"/>
      <c r="F379" s="79"/>
      <c r="G379" s="79"/>
      <c r="H379" s="79"/>
      <c r="I379" s="32"/>
      <c r="J379" s="79"/>
      <c r="K379" s="79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2">
      <c r="A380" s="83"/>
      <c r="B380" s="11"/>
      <c r="C380" s="79"/>
      <c r="D380" s="79"/>
      <c r="E380" s="11"/>
      <c r="F380" s="79"/>
      <c r="G380" s="79"/>
      <c r="H380" s="79"/>
      <c r="I380" s="32"/>
      <c r="J380" s="79"/>
      <c r="K380" s="79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2">
      <c r="A381" s="83"/>
      <c r="B381" s="11"/>
      <c r="C381" s="79"/>
      <c r="D381" s="79"/>
      <c r="E381" s="11"/>
      <c r="F381" s="79"/>
      <c r="G381" s="79"/>
      <c r="H381" s="79"/>
      <c r="I381" s="32"/>
      <c r="J381" s="79"/>
      <c r="K381" s="79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2">
      <c r="A382" s="83"/>
      <c r="B382" s="11"/>
      <c r="C382" s="79"/>
      <c r="D382" s="79"/>
      <c r="E382" s="11"/>
      <c r="F382" s="79"/>
      <c r="G382" s="79"/>
      <c r="H382" s="79"/>
      <c r="I382" s="32"/>
      <c r="J382" s="79"/>
      <c r="K382" s="79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2">
      <c r="A383" s="83"/>
      <c r="B383" s="11"/>
      <c r="C383" s="79"/>
      <c r="D383" s="79"/>
      <c r="E383" s="11"/>
      <c r="F383" s="79"/>
      <c r="G383" s="79"/>
      <c r="H383" s="79"/>
      <c r="I383" s="32"/>
      <c r="J383" s="79"/>
      <c r="K383" s="79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2">
      <c r="A384" s="83"/>
      <c r="B384" s="11"/>
      <c r="C384" s="79"/>
      <c r="D384" s="79"/>
      <c r="E384" s="11"/>
      <c r="F384" s="79"/>
      <c r="G384" s="79"/>
      <c r="H384" s="79"/>
      <c r="I384" s="32"/>
      <c r="J384" s="79"/>
      <c r="K384" s="79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2">
      <c r="A385" s="83"/>
      <c r="B385" s="11"/>
      <c r="C385" s="79"/>
      <c r="D385" s="79"/>
      <c r="E385" s="11"/>
      <c r="F385" s="79"/>
      <c r="G385" s="79"/>
      <c r="H385" s="79"/>
      <c r="I385" s="32"/>
      <c r="J385" s="79"/>
      <c r="K385" s="79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2">
      <c r="A386" s="83"/>
      <c r="B386" s="11"/>
      <c r="C386" s="79"/>
      <c r="D386" s="79"/>
      <c r="E386" s="11"/>
      <c r="F386" s="79"/>
      <c r="G386" s="79"/>
      <c r="H386" s="79"/>
      <c r="I386" s="32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2">
      <c r="A387" s="83"/>
      <c r="B387" s="11"/>
      <c r="C387" s="79"/>
      <c r="D387" s="79"/>
      <c r="E387" s="11"/>
      <c r="F387" s="79"/>
      <c r="G387" s="79"/>
      <c r="H387" s="79"/>
      <c r="I387" s="32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2">
      <c r="A388" s="83"/>
      <c r="B388" s="11"/>
      <c r="C388" s="79"/>
      <c r="D388" s="79"/>
      <c r="E388" s="11"/>
      <c r="F388" s="79"/>
      <c r="G388" s="79"/>
      <c r="H388" s="79"/>
      <c r="I388" s="32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2">
      <c r="A389" s="83"/>
      <c r="B389" s="11"/>
      <c r="C389" s="79"/>
      <c r="D389" s="79"/>
      <c r="E389" s="11"/>
      <c r="F389" s="79"/>
      <c r="G389" s="79"/>
      <c r="H389" s="79"/>
      <c r="I389" s="32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2">
      <c r="A390" s="83"/>
      <c r="B390" s="11"/>
      <c r="C390" s="79"/>
      <c r="D390" s="79"/>
      <c r="E390" s="11"/>
      <c r="F390" s="79"/>
      <c r="G390" s="79"/>
      <c r="H390" s="79"/>
      <c r="I390" s="32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2">
      <c r="A391" s="83"/>
      <c r="B391" s="11"/>
      <c r="C391" s="79"/>
      <c r="D391" s="79"/>
      <c r="E391" s="11"/>
      <c r="F391" s="79"/>
      <c r="G391" s="79"/>
      <c r="H391" s="79"/>
      <c r="I391" s="32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2">
      <c r="A392" s="83"/>
      <c r="B392" s="11"/>
      <c r="C392" s="79"/>
      <c r="D392" s="79"/>
      <c r="E392" s="11"/>
      <c r="F392" s="79"/>
      <c r="G392" s="79"/>
      <c r="H392" s="79"/>
      <c r="I392" s="32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2">
      <c r="A393" s="83"/>
      <c r="B393" s="11"/>
      <c r="C393" s="79"/>
      <c r="D393" s="79"/>
      <c r="E393" s="11"/>
      <c r="F393" s="79"/>
      <c r="G393" s="79"/>
      <c r="H393" s="79"/>
      <c r="I393" s="32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2">
      <c r="A394" s="83"/>
      <c r="B394" s="11"/>
      <c r="C394" s="79"/>
      <c r="D394" s="79"/>
      <c r="E394" s="11"/>
      <c r="F394" s="79"/>
      <c r="G394" s="79"/>
      <c r="H394" s="79"/>
      <c r="I394" s="32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2">
      <c r="A395" s="83"/>
      <c r="B395" s="11"/>
      <c r="C395" s="79"/>
      <c r="D395" s="79"/>
      <c r="E395" s="11"/>
      <c r="F395" s="79"/>
      <c r="G395" s="79"/>
      <c r="H395" s="79"/>
      <c r="I395" s="32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2">
      <c r="A396" s="83"/>
      <c r="B396" s="11"/>
      <c r="C396" s="79"/>
      <c r="D396" s="79"/>
      <c r="E396" s="11"/>
      <c r="F396" s="79"/>
      <c r="G396" s="79"/>
      <c r="H396" s="79"/>
      <c r="I396" s="32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2">
      <c r="A397" s="83"/>
      <c r="B397" s="11"/>
      <c r="C397" s="79"/>
      <c r="D397" s="79"/>
      <c r="E397" s="11"/>
      <c r="F397" s="79"/>
      <c r="G397" s="79"/>
      <c r="H397" s="79"/>
      <c r="I397" s="32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2">
      <c r="A398" s="83"/>
      <c r="B398" s="11"/>
      <c r="C398" s="79"/>
      <c r="D398" s="79"/>
      <c r="E398" s="11"/>
      <c r="F398" s="79"/>
      <c r="G398" s="79"/>
      <c r="H398" s="79"/>
      <c r="I398" s="32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2">
      <c r="A399" s="83"/>
      <c r="B399" s="11"/>
      <c r="C399" s="79"/>
      <c r="D399" s="79"/>
      <c r="E399" s="11"/>
      <c r="F399" s="79"/>
      <c r="G399" s="79"/>
      <c r="H399" s="79"/>
      <c r="I399" s="32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2">
      <c r="A400" s="83"/>
      <c r="B400" s="11"/>
      <c r="C400" s="79"/>
      <c r="D400" s="79"/>
      <c r="E400" s="11"/>
      <c r="F400" s="79"/>
      <c r="G400" s="79"/>
      <c r="H400" s="79"/>
      <c r="I400" s="32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2">
      <c r="A401" s="83"/>
      <c r="B401" s="11"/>
      <c r="C401" s="79"/>
      <c r="D401" s="79"/>
      <c r="E401" s="11"/>
      <c r="F401" s="79"/>
      <c r="G401" s="79"/>
      <c r="H401" s="79"/>
      <c r="I401" s="32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2">
      <c r="A402" s="83"/>
      <c r="B402" s="11"/>
      <c r="C402" s="79"/>
      <c r="D402" s="79"/>
      <c r="E402" s="11"/>
      <c r="F402" s="79"/>
      <c r="G402" s="79"/>
      <c r="H402" s="79"/>
      <c r="I402" s="32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2">
      <c r="A403" s="83"/>
      <c r="B403" s="11"/>
      <c r="C403" s="79"/>
      <c r="D403" s="79"/>
      <c r="E403" s="11"/>
      <c r="F403" s="79"/>
      <c r="G403" s="79"/>
      <c r="H403" s="79"/>
      <c r="I403" s="32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2">
      <c r="A404" s="83"/>
      <c r="B404" s="11"/>
      <c r="C404" s="79"/>
      <c r="D404" s="79"/>
      <c r="E404" s="11"/>
      <c r="F404" s="79"/>
      <c r="G404" s="79"/>
      <c r="H404" s="79"/>
      <c r="I404" s="32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2">
      <c r="A405" s="83"/>
      <c r="B405" s="11"/>
      <c r="C405" s="79"/>
      <c r="D405" s="79"/>
      <c r="E405" s="11"/>
      <c r="F405" s="79"/>
      <c r="G405" s="79"/>
      <c r="H405" s="79"/>
      <c r="I405" s="32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2">
      <c r="A406" s="83"/>
      <c r="B406" s="11"/>
      <c r="C406" s="79"/>
      <c r="D406" s="79"/>
      <c r="E406" s="11"/>
      <c r="F406" s="79"/>
      <c r="G406" s="79"/>
      <c r="H406" s="79"/>
      <c r="I406" s="32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2">
      <c r="A407" s="83"/>
      <c r="B407" s="11"/>
      <c r="C407" s="79"/>
      <c r="D407" s="79"/>
      <c r="E407" s="11"/>
      <c r="F407" s="79"/>
      <c r="G407" s="79"/>
      <c r="H407" s="79"/>
      <c r="I407" s="32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2">
      <c r="A408" s="83"/>
      <c r="B408" s="11"/>
      <c r="C408" s="79"/>
      <c r="D408" s="79"/>
      <c r="E408" s="11"/>
      <c r="F408" s="79"/>
      <c r="G408" s="79"/>
      <c r="H408" s="79"/>
      <c r="I408" s="32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2">
      <c r="A409" s="83"/>
      <c r="B409" s="11"/>
      <c r="C409" s="79"/>
      <c r="D409" s="79"/>
      <c r="E409" s="11"/>
      <c r="F409" s="79"/>
      <c r="G409" s="79"/>
      <c r="H409" s="79"/>
      <c r="I409" s="32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2">
      <c r="A410" s="83"/>
      <c r="B410" s="11"/>
      <c r="C410" s="79"/>
      <c r="D410" s="79"/>
      <c r="E410" s="11"/>
      <c r="F410" s="79"/>
      <c r="G410" s="79"/>
      <c r="H410" s="79"/>
      <c r="I410" s="32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2">
      <c r="A411" s="83"/>
      <c r="B411" s="11"/>
      <c r="C411" s="79"/>
      <c r="D411" s="79"/>
      <c r="E411" s="11"/>
      <c r="F411" s="79"/>
      <c r="G411" s="79"/>
      <c r="H411" s="79"/>
      <c r="I411" s="32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2">
      <c r="A412" s="83"/>
      <c r="B412" s="11"/>
      <c r="C412" s="79"/>
      <c r="D412" s="79"/>
      <c r="E412" s="11"/>
      <c r="F412" s="79"/>
      <c r="G412" s="79"/>
      <c r="H412" s="79"/>
      <c r="I412" s="32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2">
      <c r="A413" s="83"/>
      <c r="B413" s="11"/>
      <c r="C413" s="79"/>
      <c r="D413" s="79"/>
      <c r="E413" s="11"/>
      <c r="F413" s="79"/>
      <c r="G413" s="79"/>
      <c r="H413" s="79"/>
      <c r="I413" s="32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2">
      <c r="A414" s="83"/>
      <c r="B414" s="11"/>
      <c r="C414" s="79"/>
      <c r="D414" s="79"/>
      <c r="E414" s="11"/>
      <c r="F414" s="79"/>
      <c r="G414" s="79"/>
      <c r="H414" s="79"/>
      <c r="I414" s="32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2">
      <c r="A415" s="83"/>
      <c r="B415" s="11"/>
      <c r="C415" s="79"/>
      <c r="D415" s="79"/>
      <c r="E415" s="11"/>
      <c r="F415" s="79"/>
      <c r="G415" s="79"/>
      <c r="H415" s="79"/>
      <c r="I415" s="32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2">
      <c r="A416" s="83"/>
      <c r="B416" s="11"/>
      <c r="C416" s="79"/>
      <c r="D416" s="79"/>
      <c r="E416" s="11"/>
      <c r="F416" s="79"/>
      <c r="G416" s="79"/>
      <c r="H416" s="79"/>
      <c r="I416" s="32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2">
      <c r="A417" s="83"/>
      <c r="B417" s="11"/>
      <c r="C417" s="79"/>
      <c r="D417" s="79"/>
      <c r="E417" s="11"/>
      <c r="F417" s="79"/>
      <c r="G417" s="79"/>
      <c r="H417" s="79"/>
      <c r="I417" s="32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2">
      <c r="A418" s="83"/>
      <c r="B418" s="11"/>
      <c r="C418" s="79"/>
      <c r="D418" s="79"/>
      <c r="E418" s="11"/>
      <c r="F418" s="79"/>
      <c r="G418" s="79"/>
      <c r="H418" s="79"/>
      <c r="I418" s="32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2">
      <c r="A419" s="83"/>
      <c r="B419" s="11"/>
      <c r="C419" s="79"/>
      <c r="D419" s="79"/>
      <c r="E419" s="11"/>
      <c r="F419" s="79"/>
      <c r="G419" s="79"/>
      <c r="H419" s="79"/>
      <c r="I419" s="32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2">
      <c r="A420" s="83"/>
      <c r="B420" s="11"/>
      <c r="C420" s="79"/>
      <c r="D420" s="79"/>
      <c r="E420" s="11"/>
      <c r="F420" s="79"/>
      <c r="G420" s="79"/>
      <c r="H420" s="79"/>
      <c r="I420" s="32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2">
      <c r="A421" s="83"/>
      <c r="B421" s="11"/>
      <c r="C421" s="79"/>
      <c r="D421" s="79"/>
      <c r="E421" s="11"/>
      <c r="F421" s="79"/>
      <c r="G421" s="79"/>
      <c r="H421" s="79"/>
      <c r="I421" s="32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2">
      <c r="A422" s="83"/>
      <c r="B422" s="11"/>
      <c r="C422" s="79"/>
      <c r="D422" s="79"/>
      <c r="E422" s="11"/>
      <c r="F422" s="79"/>
      <c r="G422" s="79"/>
      <c r="H422" s="79"/>
      <c r="I422" s="32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2">
      <c r="A423" s="83"/>
      <c r="B423" s="11"/>
      <c r="C423" s="79"/>
      <c r="D423" s="79"/>
      <c r="E423" s="11"/>
      <c r="F423" s="79"/>
      <c r="G423" s="79"/>
      <c r="H423" s="79"/>
      <c r="I423" s="32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2">
      <c r="A424" s="83"/>
      <c r="B424" s="11"/>
      <c r="C424" s="79"/>
      <c r="D424" s="79"/>
      <c r="E424" s="11"/>
      <c r="F424" s="79"/>
      <c r="G424" s="79"/>
      <c r="H424" s="79"/>
      <c r="I424" s="32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2">
      <c r="A425" s="83"/>
      <c r="B425" s="11"/>
      <c r="C425" s="79"/>
      <c r="D425" s="79"/>
      <c r="E425" s="11"/>
      <c r="F425" s="79"/>
      <c r="G425" s="79"/>
      <c r="H425" s="79"/>
      <c r="I425" s="32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2">
      <c r="A426" s="83"/>
      <c r="B426" s="11"/>
      <c r="C426" s="79"/>
      <c r="D426" s="79"/>
      <c r="E426" s="11"/>
      <c r="F426" s="79"/>
      <c r="G426" s="79"/>
      <c r="H426" s="79"/>
      <c r="I426" s="32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2">
      <c r="A427" s="83"/>
      <c r="B427" s="11"/>
      <c r="C427" s="79"/>
      <c r="D427" s="79"/>
      <c r="E427" s="11"/>
      <c r="F427" s="79"/>
      <c r="G427" s="79"/>
      <c r="H427" s="79"/>
      <c r="I427" s="32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2">
      <c r="A428" s="83"/>
      <c r="B428" s="11"/>
      <c r="C428" s="79"/>
      <c r="D428" s="79"/>
      <c r="E428" s="11"/>
      <c r="F428" s="79"/>
      <c r="G428" s="79"/>
      <c r="H428" s="79"/>
      <c r="I428" s="32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2">
      <c r="A429" s="83"/>
      <c r="B429" s="11"/>
      <c r="C429" s="79"/>
      <c r="D429" s="79"/>
      <c r="E429" s="11"/>
      <c r="F429" s="79"/>
      <c r="G429" s="79"/>
      <c r="H429" s="79"/>
      <c r="I429" s="32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2">
      <c r="A430" s="83"/>
      <c r="B430" s="11"/>
      <c r="C430" s="79"/>
      <c r="D430" s="79"/>
      <c r="E430" s="11"/>
      <c r="F430" s="79"/>
      <c r="G430" s="79"/>
      <c r="H430" s="79"/>
      <c r="I430" s="32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2">
      <c r="A431" s="83"/>
      <c r="B431" s="11"/>
      <c r="C431" s="79"/>
      <c r="D431" s="79"/>
      <c r="E431" s="11"/>
      <c r="F431" s="79"/>
      <c r="G431" s="79"/>
      <c r="H431" s="79"/>
      <c r="I431" s="32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2">
      <c r="A432" s="83"/>
      <c r="B432" s="11"/>
      <c r="C432" s="79"/>
      <c r="D432" s="79"/>
      <c r="E432" s="11"/>
      <c r="F432" s="79"/>
      <c r="G432" s="79"/>
      <c r="H432" s="79"/>
      <c r="I432" s="32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2">
      <c r="A433" s="83"/>
      <c r="B433" s="11"/>
      <c r="C433" s="79"/>
      <c r="D433" s="79"/>
      <c r="E433" s="11"/>
      <c r="F433" s="79"/>
      <c r="G433" s="79"/>
      <c r="H433" s="79"/>
      <c r="I433" s="32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2">
      <c r="A434" s="83"/>
      <c r="B434" s="11"/>
      <c r="C434" s="79"/>
      <c r="D434" s="79"/>
      <c r="E434" s="11"/>
      <c r="F434" s="79"/>
      <c r="G434" s="79"/>
      <c r="H434" s="79"/>
      <c r="I434" s="32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2">
      <c r="A435" s="83"/>
      <c r="B435" s="11"/>
      <c r="C435" s="79"/>
      <c r="D435" s="79"/>
      <c r="E435" s="11"/>
      <c r="F435" s="79"/>
      <c r="G435" s="79"/>
      <c r="H435" s="79"/>
      <c r="I435" s="32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2">
      <c r="A436" s="83"/>
      <c r="B436" s="11"/>
      <c r="C436" s="79"/>
      <c r="D436" s="79"/>
      <c r="E436" s="11"/>
      <c r="F436" s="79"/>
      <c r="G436" s="79"/>
      <c r="H436" s="79"/>
      <c r="I436" s="32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2">
      <c r="A437" s="83"/>
      <c r="B437" s="11"/>
      <c r="C437" s="79"/>
      <c r="D437" s="79"/>
      <c r="E437" s="11"/>
      <c r="F437" s="79"/>
      <c r="G437" s="79"/>
      <c r="H437" s="79"/>
      <c r="I437" s="32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2">
      <c r="A438" s="83"/>
      <c r="B438" s="11"/>
      <c r="C438" s="79"/>
      <c r="D438" s="79"/>
      <c r="E438" s="11"/>
      <c r="F438" s="79"/>
      <c r="G438" s="79"/>
      <c r="H438" s="79"/>
      <c r="I438" s="32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2">
      <c r="A439" s="83"/>
      <c r="B439" s="11"/>
      <c r="C439" s="79"/>
      <c r="D439" s="79"/>
      <c r="E439" s="11"/>
      <c r="F439" s="79"/>
      <c r="G439" s="79"/>
      <c r="H439" s="79"/>
      <c r="I439" s="32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2">
      <c r="A440" s="83"/>
      <c r="B440" s="11"/>
      <c r="C440" s="79"/>
      <c r="D440" s="79"/>
      <c r="E440" s="11"/>
      <c r="F440" s="79"/>
      <c r="G440" s="79"/>
      <c r="H440" s="79"/>
      <c r="I440" s="32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2">
      <c r="A441" s="83"/>
      <c r="B441" s="11"/>
      <c r="C441" s="79"/>
      <c r="D441" s="79"/>
      <c r="E441" s="11"/>
      <c r="F441" s="79"/>
      <c r="G441" s="79"/>
      <c r="H441" s="79"/>
      <c r="I441" s="32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2">
      <c r="A442" s="83"/>
      <c r="B442" s="11"/>
      <c r="C442" s="79"/>
      <c r="D442" s="79"/>
      <c r="E442" s="11"/>
      <c r="F442" s="79"/>
      <c r="G442" s="79"/>
      <c r="H442" s="79"/>
      <c r="I442" s="32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2">
      <c r="A443" s="83"/>
      <c r="B443" s="11"/>
      <c r="C443" s="79"/>
      <c r="D443" s="79"/>
      <c r="E443" s="11"/>
      <c r="F443" s="79"/>
      <c r="G443" s="79"/>
      <c r="H443" s="79"/>
      <c r="I443" s="32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2">
      <c r="A444" s="83"/>
      <c r="B444" s="11"/>
      <c r="C444" s="79"/>
      <c r="D444" s="79"/>
      <c r="E444" s="11"/>
      <c r="F444" s="79"/>
      <c r="G444" s="79"/>
      <c r="H444" s="79"/>
      <c r="I444" s="32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2">
      <c r="A445" s="83"/>
      <c r="B445" s="11"/>
      <c r="C445" s="79"/>
      <c r="D445" s="79"/>
      <c r="E445" s="11"/>
      <c r="F445" s="79"/>
      <c r="G445" s="79"/>
      <c r="H445" s="79"/>
      <c r="I445" s="32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2">
      <c r="A446" s="83"/>
      <c r="B446" s="11"/>
      <c r="C446" s="79"/>
      <c r="D446" s="79"/>
      <c r="E446" s="11"/>
      <c r="F446" s="79"/>
      <c r="G446" s="79"/>
      <c r="H446" s="79"/>
      <c r="I446" s="32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2">
      <c r="A447" s="83"/>
      <c r="B447" s="11"/>
      <c r="C447" s="79"/>
      <c r="D447" s="79"/>
      <c r="E447" s="11"/>
      <c r="F447" s="79"/>
      <c r="G447" s="79"/>
      <c r="H447" s="79"/>
      <c r="I447" s="32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2">
      <c r="A448" s="83"/>
      <c r="B448" s="11"/>
      <c r="C448" s="79"/>
      <c r="D448" s="79"/>
      <c r="E448" s="11"/>
      <c r="F448" s="79"/>
      <c r="G448" s="79"/>
      <c r="H448" s="79"/>
      <c r="I448" s="32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2">
      <c r="A449" s="83"/>
      <c r="B449" s="11"/>
      <c r="C449" s="79"/>
      <c r="D449" s="79"/>
      <c r="E449" s="11"/>
      <c r="F449" s="79"/>
      <c r="G449" s="79"/>
      <c r="H449" s="79"/>
      <c r="I449" s="32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2">
      <c r="A450" s="83"/>
      <c r="B450" s="11"/>
      <c r="C450" s="79"/>
      <c r="D450" s="79"/>
      <c r="E450" s="11"/>
      <c r="F450" s="79"/>
      <c r="G450" s="79"/>
      <c r="H450" s="79"/>
      <c r="I450" s="32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2">
      <c r="A451" s="83"/>
      <c r="B451" s="11"/>
      <c r="C451" s="79"/>
      <c r="D451" s="79"/>
      <c r="E451" s="11"/>
      <c r="F451" s="79"/>
      <c r="G451" s="79"/>
      <c r="H451" s="79"/>
      <c r="I451" s="32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2">
      <c r="A452" s="83"/>
      <c r="B452" s="11"/>
      <c r="C452" s="79"/>
      <c r="D452" s="79"/>
      <c r="E452" s="11"/>
      <c r="F452" s="79"/>
      <c r="G452" s="79"/>
      <c r="H452" s="79"/>
      <c r="I452" s="32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2">
      <c r="A453" s="83"/>
      <c r="B453" s="11"/>
      <c r="C453" s="79"/>
      <c r="D453" s="79"/>
      <c r="E453" s="11"/>
      <c r="F453" s="79"/>
      <c r="G453" s="79"/>
      <c r="H453" s="79"/>
      <c r="I453" s="32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2">
      <c r="A454" s="83"/>
      <c r="B454" s="11"/>
      <c r="C454" s="79"/>
      <c r="D454" s="79"/>
      <c r="E454" s="11"/>
      <c r="F454" s="79"/>
      <c r="G454" s="79"/>
      <c r="H454" s="79"/>
      <c r="I454" s="32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2">
      <c r="A455" s="83"/>
      <c r="B455" s="11"/>
      <c r="C455" s="79"/>
      <c r="D455" s="79"/>
      <c r="E455" s="11"/>
      <c r="F455" s="79"/>
      <c r="G455" s="79"/>
      <c r="H455" s="79"/>
      <c r="I455" s="32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2">
      <c r="A456" s="83"/>
      <c r="B456" s="11"/>
      <c r="C456" s="79"/>
      <c r="D456" s="79"/>
      <c r="E456" s="11"/>
      <c r="F456" s="79"/>
      <c r="G456" s="79"/>
      <c r="H456" s="79"/>
      <c r="I456" s="32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2">
      <c r="A457" s="83"/>
      <c r="B457" s="11"/>
      <c r="C457" s="79"/>
      <c r="D457" s="79"/>
      <c r="E457" s="11"/>
      <c r="F457" s="79"/>
      <c r="G457" s="79"/>
      <c r="H457" s="79"/>
      <c r="I457" s="32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2">
      <c r="A458" s="83"/>
      <c r="B458" s="11"/>
      <c r="C458" s="79"/>
      <c r="D458" s="79"/>
      <c r="E458" s="11"/>
      <c r="F458" s="79"/>
      <c r="G458" s="79"/>
      <c r="H458" s="79"/>
      <c r="I458" s="32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2">
      <c r="A459" s="83"/>
      <c r="B459" s="11"/>
      <c r="C459" s="79"/>
      <c r="D459" s="79"/>
      <c r="E459" s="11"/>
      <c r="F459" s="79"/>
      <c r="G459" s="79"/>
      <c r="H459" s="79"/>
      <c r="I459" s="32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2">
      <c r="A460" s="83"/>
      <c r="B460" s="11"/>
      <c r="C460" s="79"/>
      <c r="D460" s="79"/>
      <c r="E460" s="11"/>
      <c r="F460" s="79"/>
      <c r="G460" s="79"/>
      <c r="H460" s="79"/>
      <c r="I460" s="32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2">
      <c r="A461" s="83"/>
      <c r="B461" s="11"/>
      <c r="C461" s="79"/>
      <c r="D461" s="79"/>
      <c r="E461" s="11"/>
      <c r="F461" s="79"/>
      <c r="G461" s="79"/>
      <c r="H461" s="79"/>
      <c r="I461" s="32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2">
      <c r="A462" s="83"/>
      <c r="B462" s="11"/>
      <c r="C462" s="79"/>
      <c r="D462" s="79"/>
      <c r="E462" s="11"/>
      <c r="F462" s="79"/>
      <c r="G462" s="79"/>
      <c r="H462" s="79"/>
      <c r="I462" s="32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2">
      <c r="A463" s="83"/>
      <c r="B463" s="11"/>
      <c r="C463" s="79"/>
      <c r="D463" s="79"/>
      <c r="E463" s="11"/>
      <c r="F463" s="79"/>
      <c r="G463" s="79"/>
      <c r="H463" s="79"/>
      <c r="I463" s="32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2">
      <c r="A464" s="83"/>
      <c r="B464" s="11"/>
      <c r="C464" s="79"/>
      <c r="D464" s="79"/>
      <c r="E464" s="11"/>
      <c r="F464" s="79"/>
      <c r="G464" s="79"/>
      <c r="H464" s="79"/>
      <c r="I464" s="32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2">
      <c r="A465" s="83"/>
      <c r="B465" s="11"/>
      <c r="C465" s="79"/>
      <c r="D465" s="79"/>
      <c r="E465" s="11"/>
      <c r="F465" s="79"/>
      <c r="G465" s="79"/>
      <c r="H465" s="79"/>
      <c r="I465" s="32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2">
      <c r="A466" s="83"/>
      <c r="B466" s="11"/>
      <c r="C466" s="79"/>
      <c r="D466" s="79"/>
      <c r="E466" s="11"/>
      <c r="F466" s="79"/>
      <c r="G466" s="79"/>
      <c r="H466" s="79"/>
      <c r="I466" s="32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2">
      <c r="A467" s="83"/>
      <c r="B467" s="11"/>
      <c r="C467" s="79"/>
      <c r="D467" s="79"/>
      <c r="E467" s="11"/>
      <c r="F467" s="79"/>
      <c r="G467" s="79"/>
      <c r="H467" s="79"/>
      <c r="I467" s="32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2">
      <c r="A468" s="83"/>
      <c r="B468" s="11"/>
      <c r="C468" s="79"/>
      <c r="D468" s="79"/>
      <c r="E468" s="11"/>
      <c r="F468" s="79"/>
      <c r="G468" s="79"/>
      <c r="H468" s="79"/>
      <c r="I468" s="32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2">
      <c r="A469" s="83"/>
      <c r="B469" s="11"/>
      <c r="C469" s="79"/>
      <c r="D469" s="79"/>
      <c r="E469" s="11"/>
      <c r="F469" s="79"/>
      <c r="G469" s="79"/>
      <c r="H469" s="79"/>
      <c r="I469" s="32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2">
      <c r="A470" s="83"/>
      <c r="B470" s="11"/>
      <c r="C470" s="79"/>
      <c r="D470" s="79"/>
      <c r="E470" s="11"/>
      <c r="F470" s="79"/>
      <c r="G470" s="79"/>
      <c r="H470" s="79"/>
      <c r="I470" s="32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2">
      <c r="A471" s="83"/>
      <c r="B471" s="11"/>
      <c r="C471" s="79"/>
      <c r="D471" s="79"/>
      <c r="E471" s="11"/>
      <c r="F471" s="79"/>
      <c r="G471" s="79"/>
      <c r="H471" s="79"/>
      <c r="I471" s="32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2">
      <c r="A472" s="83"/>
      <c r="B472" s="11"/>
      <c r="C472" s="79"/>
      <c r="D472" s="79"/>
      <c r="E472" s="11"/>
      <c r="F472" s="79"/>
      <c r="G472" s="79"/>
      <c r="H472" s="79"/>
      <c r="I472" s="32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2">
      <c r="A473" s="83"/>
      <c r="B473" s="11"/>
      <c r="C473" s="79"/>
      <c r="D473" s="79"/>
      <c r="E473" s="11"/>
      <c r="F473" s="79"/>
      <c r="G473" s="79"/>
      <c r="H473" s="79"/>
      <c r="I473" s="32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2">
      <c r="A474" s="83"/>
      <c r="B474" s="11"/>
      <c r="C474" s="79"/>
      <c r="D474" s="79"/>
      <c r="E474" s="11"/>
      <c r="F474" s="79"/>
      <c r="G474" s="79"/>
      <c r="H474" s="79"/>
      <c r="I474" s="32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2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2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2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2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2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2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2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2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2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2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2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2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2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2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2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2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2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2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2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2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2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2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2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2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2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2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2">
      <c r="A501" s="83"/>
      <c r="B501" s="11"/>
      <c r="C501" s="79"/>
      <c r="D501" s="79"/>
      <c r="E501" s="11"/>
      <c r="F501" s="79"/>
      <c r="G501" s="79"/>
      <c r="H501" s="79"/>
      <c r="I501" s="32"/>
      <c r="J501" s="79"/>
      <c r="K501" s="79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2">
      <c r="A502" s="83"/>
      <c r="B502" s="11"/>
      <c r="C502" s="79"/>
      <c r="D502" s="79"/>
      <c r="E502" s="11"/>
      <c r="F502" s="79"/>
      <c r="G502" s="79"/>
      <c r="H502" s="79"/>
      <c r="I502" s="32"/>
      <c r="J502" s="79"/>
      <c r="K502" s="79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2">
      <c r="A503" s="83"/>
      <c r="B503" s="11"/>
      <c r="C503" s="79"/>
      <c r="D503" s="79"/>
      <c r="E503" s="11"/>
      <c r="F503" s="79"/>
      <c r="G503" s="79"/>
      <c r="H503" s="79"/>
      <c r="I503" s="32"/>
      <c r="J503" s="79"/>
      <c r="K503" s="79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2">
      <c r="A504" s="83"/>
      <c r="B504" s="11"/>
      <c r="C504" s="79"/>
      <c r="D504" s="79"/>
      <c r="E504" s="11"/>
      <c r="F504" s="79"/>
      <c r="G504" s="79"/>
      <c r="H504" s="79"/>
      <c r="I504" s="32"/>
      <c r="J504" s="79"/>
      <c r="K504" s="79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2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2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2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2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2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.75" customHeight="1" x14ac:dyDescent="0.2">
      <c r="B510" s="374"/>
      <c r="E510" s="375"/>
      <c r="N510" s="374"/>
    </row>
    <row r="511" spans="1:46" ht="15.75" customHeight="1" x14ac:dyDescent="0.2">
      <c r="B511" s="374"/>
      <c r="E511" s="375"/>
      <c r="N511" s="374"/>
    </row>
    <row r="512" spans="1:46" ht="15.75" customHeight="1" x14ac:dyDescent="0.2">
      <c r="B512" s="374"/>
      <c r="E512" s="375"/>
      <c r="N512" s="374"/>
    </row>
    <row r="513" spans="2:14" ht="15.75" customHeight="1" x14ac:dyDescent="0.2">
      <c r="B513" s="374"/>
      <c r="E513" s="375"/>
      <c r="N513" s="374"/>
    </row>
    <row r="514" spans="2:14" ht="15.75" customHeight="1" x14ac:dyDescent="0.2">
      <c r="B514" s="374"/>
      <c r="E514" s="375"/>
      <c r="N514" s="374"/>
    </row>
    <row r="515" spans="2:14" ht="15.75" customHeight="1" x14ac:dyDescent="0.2">
      <c r="B515" s="374"/>
      <c r="E515" s="375"/>
      <c r="N515" s="374"/>
    </row>
    <row r="516" spans="2:14" ht="15.75" customHeight="1" x14ac:dyDescent="0.2">
      <c r="B516" s="374"/>
      <c r="E516" s="375"/>
      <c r="N516" s="374"/>
    </row>
    <row r="517" spans="2:14" ht="15.75" customHeight="1" x14ac:dyDescent="0.2">
      <c r="B517" s="374"/>
      <c r="E517" s="375"/>
      <c r="N517" s="374"/>
    </row>
    <row r="518" spans="2:14" ht="15.75" customHeight="1" x14ac:dyDescent="0.2">
      <c r="B518" s="374"/>
      <c r="E518" s="375"/>
      <c r="N518" s="374"/>
    </row>
    <row r="519" spans="2:14" ht="15.75" customHeight="1" x14ac:dyDescent="0.2">
      <c r="B519" s="374"/>
      <c r="E519" s="375"/>
      <c r="N519" s="374"/>
    </row>
    <row r="520" spans="2:14" ht="15.75" customHeight="1" x14ac:dyDescent="0.2">
      <c r="B520" s="374"/>
      <c r="E520" s="375"/>
      <c r="N520" s="374"/>
    </row>
    <row r="521" spans="2:14" ht="15.75" customHeight="1" x14ac:dyDescent="0.2">
      <c r="B521" s="374"/>
      <c r="E521" s="375"/>
      <c r="N521" s="374"/>
    </row>
    <row r="522" spans="2:14" ht="15.75" customHeight="1" x14ac:dyDescent="0.2">
      <c r="B522" s="374"/>
      <c r="E522" s="375"/>
      <c r="N522" s="374"/>
    </row>
    <row r="523" spans="2:14" ht="15.75" customHeight="1" x14ac:dyDescent="0.2">
      <c r="B523" s="374"/>
      <c r="E523" s="375"/>
      <c r="N523" s="374"/>
    </row>
    <row r="524" spans="2:14" ht="15.75" customHeight="1" x14ac:dyDescent="0.2">
      <c r="B524" s="374"/>
      <c r="E524" s="375"/>
      <c r="N524" s="374"/>
    </row>
    <row r="525" spans="2:14" ht="15.75" customHeight="1" x14ac:dyDescent="0.2">
      <c r="B525" s="374"/>
      <c r="E525" s="375"/>
      <c r="N525" s="374"/>
    </row>
    <row r="526" spans="2:14" ht="15.75" customHeight="1" x14ac:dyDescent="0.2">
      <c r="B526" s="374"/>
      <c r="E526" s="375"/>
      <c r="N526" s="374"/>
    </row>
    <row r="527" spans="2:14" ht="15.75" customHeight="1" x14ac:dyDescent="0.2">
      <c r="B527" s="374"/>
      <c r="E527" s="375"/>
      <c r="N527" s="374"/>
    </row>
    <row r="528" spans="2:14" ht="15.75" customHeight="1" x14ac:dyDescent="0.2">
      <c r="B528" s="374"/>
      <c r="E528" s="375"/>
      <c r="N528" s="374"/>
    </row>
    <row r="529" spans="2:14" ht="15.75" customHeight="1" x14ac:dyDescent="0.2">
      <c r="B529" s="374"/>
      <c r="E529" s="375"/>
      <c r="N529" s="374"/>
    </row>
    <row r="530" spans="2:14" ht="15.75" customHeight="1" x14ac:dyDescent="0.2">
      <c r="B530" s="374"/>
      <c r="E530" s="375"/>
      <c r="N530" s="374"/>
    </row>
    <row r="531" spans="2:14" ht="15.75" customHeight="1" x14ac:dyDescent="0.2">
      <c r="B531" s="374"/>
      <c r="E531" s="375"/>
      <c r="N531" s="374"/>
    </row>
    <row r="532" spans="2:14" ht="15.75" customHeight="1" x14ac:dyDescent="0.2">
      <c r="B532" s="374"/>
      <c r="E532" s="375"/>
      <c r="N532" s="374"/>
    </row>
    <row r="533" spans="2:14" ht="15.75" customHeight="1" x14ac:dyDescent="0.2">
      <c r="B533" s="374"/>
      <c r="E533" s="375"/>
      <c r="N533" s="374"/>
    </row>
    <row r="534" spans="2:14" ht="15.75" customHeight="1" x14ac:dyDescent="0.2">
      <c r="B534" s="374"/>
      <c r="E534" s="375"/>
      <c r="N534" s="374"/>
    </row>
    <row r="535" spans="2:14" ht="15.75" customHeight="1" x14ac:dyDescent="0.2">
      <c r="B535" s="374"/>
      <c r="E535" s="375"/>
      <c r="N535" s="374"/>
    </row>
    <row r="536" spans="2:14" ht="15.75" customHeight="1" x14ac:dyDescent="0.2">
      <c r="B536" s="374"/>
      <c r="E536" s="375"/>
      <c r="N536" s="374"/>
    </row>
    <row r="537" spans="2:14" ht="15.75" customHeight="1" x14ac:dyDescent="0.2">
      <c r="B537" s="374"/>
      <c r="E537" s="375"/>
      <c r="N537" s="374"/>
    </row>
    <row r="538" spans="2:14" ht="15.75" customHeight="1" x14ac:dyDescent="0.2">
      <c r="B538" s="374"/>
      <c r="E538" s="375"/>
      <c r="N538" s="374"/>
    </row>
    <row r="539" spans="2:14" ht="15.75" customHeight="1" x14ac:dyDescent="0.2">
      <c r="B539" s="374"/>
      <c r="E539" s="375"/>
      <c r="N539" s="374"/>
    </row>
    <row r="540" spans="2:14" ht="15.75" customHeight="1" x14ac:dyDescent="0.2">
      <c r="B540" s="374"/>
      <c r="E540" s="375"/>
      <c r="N540" s="374"/>
    </row>
    <row r="541" spans="2:14" ht="15.75" customHeight="1" x14ac:dyDescent="0.2">
      <c r="B541" s="374"/>
      <c r="E541" s="375"/>
      <c r="N541" s="374"/>
    </row>
    <row r="542" spans="2:14" ht="15.75" customHeight="1" x14ac:dyDescent="0.2">
      <c r="B542" s="374"/>
      <c r="E542" s="375"/>
      <c r="N542" s="374"/>
    </row>
    <row r="543" spans="2:14" ht="15.75" customHeight="1" x14ac:dyDescent="0.2">
      <c r="B543" s="374"/>
      <c r="E543" s="375"/>
      <c r="N543" s="374"/>
    </row>
    <row r="544" spans="2:14" ht="15.75" customHeight="1" x14ac:dyDescent="0.2">
      <c r="B544" s="374"/>
      <c r="E544" s="375"/>
      <c r="N544" s="374"/>
    </row>
    <row r="545" spans="2:14" ht="15.75" customHeight="1" x14ac:dyDescent="0.2">
      <c r="B545" s="374"/>
      <c r="E545" s="375"/>
      <c r="N545" s="374"/>
    </row>
    <row r="546" spans="2:14" ht="15.75" customHeight="1" x14ac:dyDescent="0.2">
      <c r="B546" s="374"/>
      <c r="E546" s="375"/>
      <c r="N546" s="374"/>
    </row>
    <row r="547" spans="2:14" ht="15.75" customHeight="1" x14ac:dyDescent="0.2">
      <c r="B547" s="374"/>
      <c r="E547" s="375"/>
      <c r="N547" s="374"/>
    </row>
    <row r="548" spans="2:14" ht="15.75" customHeight="1" x14ac:dyDescent="0.2">
      <c r="B548" s="374"/>
      <c r="E548" s="375"/>
      <c r="N548" s="374"/>
    </row>
    <row r="549" spans="2:14" ht="15.75" customHeight="1" x14ac:dyDescent="0.2">
      <c r="B549" s="374"/>
      <c r="E549" s="375"/>
      <c r="N549" s="374"/>
    </row>
    <row r="550" spans="2:14" ht="15.75" customHeight="1" x14ac:dyDescent="0.2">
      <c r="B550" s="374"/>
      <c r="E550" s="375"/>
      <c r="N550" s="374"/>
    </row>
    <row r="551" spans="2:14" ht="15.75" customHeight="1" x14ac:dyDescent="0.2">
      <c r="B551" s="374"/>
      <c r="E551" s="375"/>
      <c r="N551" s="374"/>
    </row>
    <row r="552" spans="2:14" ht="15.75" customHeight="1" x14ac:dyDescent="0.2">
      <c r="B552" s="374"/>
      <c r="E552" s="375"/>
      <c r="N552" s="374"/>
    </row>
    <row r="553" spans="2:14" ht="15.75" customHeight="1" x14ac:dyDescent="0.2">
      <c r="B553" s="374"/>
      <c r="E553" s="375"/>
      <c r="N553" s="374"/>
    </row>
    <row r="554" spans="2:14" ht="15.75" customHeight="1" x14ac:dyDescent="0.2">
      <c r="B554" s="374"/>
      <c r="E554" s="375"/>
      <c r="N554" s="374"/>
    </row>
    <row r="555" spans="2:14" ht="15.75" customHeight="1" x14ac:dyDescent="0.2">
      <c r="B555" s="374"/>
      <c r="E555" s="375"/>
      <c r="N555" s="374"/>
    </row>
    <row r="556" spans="2:14" ht="15.75" customHeight="1" x14ac:dyDescent="0.2">
      <c r="B556" s="374"/>
      <c r="E556" s="375"/>
      <c r="N556" s="374"/>
    </row>
    <row r="557" spans="2:14" ht="15.75" customHeight="1" x14ac:dyDescent="0.2">
      <c r="B557" s="374"/>
      <c r="E557" s="375"/>
      <c r="N557" s="374"/>
    </row>
    <row r="558" spans="2:14" ht="15.75" customHeight="1" x14ac:dyDescent="0.2">
      <c r="B558" s="374"/>
      <c r="E558" s="375"/>
      <c r="N558" s="374"/>
    </row>
    <row r="559" spans="2:14" ht="15.75" customHeight="1" x14ac:dyDescent="0.2">
      <c r="B559" s="374"/>
      <c r="E559" s="375"/>
      <c r="N559" s="374"/>
    </row>
    <row r="560" spans="2:14" ht="15.75" customHeight="1" x14ac:dyDescent="0.2">
      <c r="B560" s="374"/>
      <c r="E560" s="375"/>
      <c r="N560" s="374"/>
    </row>
    <row r="561" spans="2:14" ht="15.75" customHeight="1" x14ac:dyDescent="0.2">
      <c r="B561" s="374"/>
      <c r="E561" s="375"/>
      <c r="N561" s="374"/>
    </row>
    <row r="562" spans="2:14" ht="15.75" customHeight="1" x14ac:dyDescent="0.2">
      <c r="B562" s="374"/>
      <c r="E562" s="375"/>
      <c r="N562" s="374"/>
    </row>
    <row r="563" spans="2:14" ht="15.75" customHeight="1" x14ac:dyDescent="0.2">
      <c r="B563" s="374"/>
      <c r="E563" s="375"/>
      <c r="N563" s="374"/>
    </row>
    <row r="564" spans="2:14" ht="15.75" customHeight="1" x14ac:dyDescent="0.2">
      <c r="B564" s="374"/>
      <c r="E564" s="375"/>
      <c r="N564" s="374"/>
    </row>
    <row r="565" spans="2:14" ht="15.75" customHeight="1" x14ac:dyDescent="0.2">
      <c r="B565" s="374"/>
      <c r="E565" s="375"/>
      <c r="N565" s="374"/>
    </row>
    <row r="566" spans="2:14" ht="15.75" customHeight="1" x14ac:dyDescent="0.2">
      <c r="B566" s="374"/>
      <c r="E566" s="375"/>
      <c r="N566" s="374"/>
    </row>
    <row r="567" spans="2:14" ht="15.75" customHeight="1" x14ac:dyDescent="0.2">
      <c r="B567" s="374"/>
      <c r="E567" s="375"/>
      <c r="N567" s="374"/>
    </row>
    <row r="568" spans="2:14" ht="15.75" customHeight="1" x14ac:dyDescent="0.2">
      <c r="B568" s="374"/>
      <c r="E568" s="375"/>
      <c r="N568" s="374"/>
    </row>
    <row r="569" spans="2:14" ht="15.75" customHeight="1" x14ac:dyDescent="0.2">
      <c r="B569" s="374"/>
      <c r="E569" s="375"/>
      <c r="N569" s="374"/>
    </row>
    <row r="570" spans="2:14" ht="15.75" customHeight="1" x14ac:dyDescent="0.2">
      <c r="B570" s="374"/>
      <c r="E570" s="375"/>
      <c r="N570" s="374"/>
    </row>
    <row r="571" spans="2:14" ht="15.75" customHeight="1" x14ac:dyDescent="0.2">
      <c r="B571" s="374"/>
      <c r="E571" s="375"/>
      <c r="N571" s="374"/>
    </row>
    <row r="572" spans="2:14" ht="15.75" customHeight="1" x14ac:dyDescent="0.2">
      <c r="B572" s="374"/>
      <c r="E572" s="375"/>
      <c r="N572" s="374"/>
    </row>
    <row r="573" spans="2:14" ht="15.75" customHeight="1" x14ac:dyDescent="0.2">
      <c r="B573" s="374"/>
      <c r="E573" s="375"/>
      <c r="N573" s="374"/>
    </row>
    <row r="574" spans="2:14" ht="15.75" customHeight="1" x14ac:dyDescent="0.2">
      <c r="B574" s="374"/>
      <c r="E574" s="375"/>
      <c r="N574" s="374"/>
    </row>
    <row r="575" spans="2:14" ht="15.75" customHeight="1" x14ac:dyDescent="0.2">
      <c r="B575" s="374"/>
      <c r="E575" s="375"/>
      <c r="N575" s="374"/>
    </row>
    <row r="576" spans="2:14" ht="15.75" customHeight="1" x14ac:dyDescent="0.2">
      <c r="B576" s="374"/>
      <c r="E576" s="375"/>
      <c r="N576" s="374"/>
    </row>
    <row r="577" spans="2:14" ht="15.75" customHeight="1" x14ac:dyDescent="0.2">
      <c r="B577" s="374"/>
      <c r="E577" s="375"/>
      <c r="N577" s="374"/>
    </row>
    <row r="578" spans="2:14" ht="15.75" customHeight="1" x14ac:dyDescent="0.2">
      <c r="B578" s="374"/>
      <c r="E578" s="375"/>
      <c r="N578" s="374"/>
    </row>
    <row r="579" spans="2:14" ht="15.75" customHeight="1" x14ac:dyDescent="0.2">
      <c r="B579" s="374"/>
      <c r="E579" s="375"/>
      <c r="N579" s="374"/>
    </row>
    <row r="580" spans="2:14" ht="15.75" customHeight="1" x14ac:dyDescent="0.2">
      <c r="B580" s="374"/>
      <c r="E580" s="375"/>
      <c r="N580" s="374"/>
    </row>
    <row r="581" spans="2:14" ht="15.75" customHeight="1" x14ac:dyDescent="0.2">
      <c r="B581" s="374"/>
      <c r="E581" s="375"/>
      <c r="N581" s="374"/>
    </row>
    <row r="582" spans="2:14" ht="15.75" customHeight="1" x14ac:dyDescent="0.2">
      <c r="B582" s="374"/>
      <c r="E582" s="375"/>
      <c r="N582" s="374"/>
    </row>
    <row r="583" spans="2:14" ht="15.75" customHeight="1" x14ac:dyDescent="0.2">
      <c r="B583" s="374"/>
      <c r="E583" s="375"/>
      <c r="N583" s="374"/>
    </row>
    <row r="584" spans="2:14" ht="15.75" customHeight="1" x14ac:dyDescent="0.2">
      <c r="B584" s="374"/>
      <c r="E584" s="375"/>
      <c r="N584" s="374"/>
    </row>
    <row r="585" spans="2:14" ht="15.75" customHeight="1" x14ac:dyDescent="0.2">
      <c r="B585" s="374"/>
      <c r="E585" s="375"/>
      <c r="N585" s="374"/>
    </row>
    <row r="586" spans="2:14" ht="15.75" customHeight="1" x14ac:dyDescent="0.2">
      <c r="B586" s="374"/>
      <c r="E586" s="375"/>
      <c r="N586" s="374"/>
    </row>
    <row r="587" spans="2:14" ht="15.75" customHeight="1" x14ac:dyDescent="0.2">
      <c r="B587" s="374"/>
      <c r="E587" s="375"/>
      <c r="N587" s="374"/>
    </row>
    <row r="588" spans="2:14" ht="15.75" customHeight="1" x14ac:dyDescent="0.2">
      <c r="B588" s="374"/>
      <c r="E588" s="375"/>
      <c r="N588" s="374"/>
    </row>
    <row r="589" spans="2:14" ht="15.75" customHeight="1" x14ac:dyDescent="0.2">
      <c r="B589" s="374"/>
      <c r="E589" s="375"/>
      <c r="N589" s="374"/>
    </row>
    <row r="590" spans="2:14" ht="15.75" customHeight="1" x14ac:dyDescent="0.2">
      <c r="B590" s="374"/>
      <c r="E590" s="375"/>
      <c r="N590" s="374"/>
    </row>
    <row r="591" spans="2:14" ht="15.75" customHeight="1" x14ac:dyDescent="0.2">
      <c r="B591" s="374"/>
      <c r="E591" s="375"/>
      <c r="N591" s="374"/>
    </row>
    <row r="592" spans="2:14" ht="15.75" customHeight="1" x14ac:dyDescent="0.2">
      <c r="B592" s="374"/>
      <c r="E592" s="375"/>
      <c r="N592" s="374"/>
    </row>
    <row r="593" spans="2:14" ht="15.75" customHeight="1" x14ac:dyDescent="0.2">
      <c r="B593" s="374"/>
      <c r="E593" s="375"/>
      <c r="N593" s="374"/>
    </row>
    <row r="594" spans="2:14" ht="15.75" customHeight="1" x14ac:dyDescent="0.2">
      <c r="B594" s="374"/>
      <c r="E594" s="375"/>
      <c r="N594" s="374"/>
    </row>
    <row r="595" spans="2:14" ht="15.75" customHeight="1" x14ac:dyDescent="0.2">
      <c r="B595" s="374"/>
      <c r="E595" s="375"/>
      <c r="N595" s="374"/>
    </row>
    <row r="596" spans="2:14" ht="15.75" customHeight="1" x14ac:dyDescent="0.2">
      <c r="B596" s="374"/>
      <c r="E596" s="375"/>
      <c r="N596" s="374"/>
    </row>
    <row r="597" spans="2:14" ht="15.75" customHeight="1" x14ac:dyDescent="0.2">
      <c r="B597" s="374"/>
      <c r="E597" s="375"/>
      <c r="N597" s="374"/>
    </row>
    <row r="598" spans="2:14" ht="15.75" customHeight="1" x14ac:dyDescent="0.2">
      <c r="B598" s="374"/>
      <c r="E598" s="375"/>
      <c r="N598" s="374"/>
    </row>
    <row r="599" spans="2:14" ht="15.75" customHeight="1" x14ac:dyDescent="0.2">
      <c r="B599" s="374"/>
      <c r="E599" s="375"/>
      <c r="N599" s="374"/>
    </row>
    <row r="600" spans="2:14" ht="15.75" customHeight="1" x14ac:dyDescent="0.2">
      <c r="B600" s="374"/>
      <c r="E600" s="375"/>
      <c r="N600" s="374"/>
    </row>
    <row r="601" spans="2:14" ht="15.75" customHeight="1" x14ac:dyDescent="0.2">
      <c r="B601" s="374"/>
      <c r="E601" s="375"/>
      <c r="N601" s="374"/>
    </row>
    <row r="602" spans="2:14" ht="15.75" customHeight="1" x14ac:dyDescent="0.2">
      <c r="B602" s="374"/>
      <c r="E602" s="375"/>
      <c r="N602" s="374"/>
    </row>
    <row r="603" spans="2:14" ht="15.75" customHeight="1" x14ac:dyDescent="0.2">
      <c r="B603" s="374"/>
      <c r="E603" s="375"/>
      <c r="N603" s="374"/>
    </row>
    <row r="604" spans="2:14" ht="15.75" customHeight="1" x14ac:dyDescent="0.2">
      <c r="B604" s="374"/>
      <c r="E604" s="375"/>
      <c r="N604" s="374"/>
    </row>
    <row r="605" spans="2:14" ht="15.75" customHeight="1" x14ac:dyDescent="0.2">
      <c r="B605" s="374"/>
      <c r="E605" s="375"/>
      <c r="N605" s="374"/>
    </row>
    <row r="606" spans="2:14" ht="15.75" customHeight="1" x14ac:dyDescent="0.2">
      <c r="B606" s="374"/>
      <c r="E606" s="375"/>
      <c r="N606" s="374"/>
    </row>
    <row r="607" spans="2:14" ht="15.75" customHeight="1" x14ac:dyDescent="0.2">
      <c r="B607" s="374"/>
      <c r="E607" s="375"/>
      <c r="N607" s="374"/>
    </row>
    <row r="608" spans="2:14" ht="15.75" customHeight="1" x14ac:dyDescent="0.2">
      <c r="B608" s="374"/>
      <c r="E608" s="375"/>
      <c r="N608" s="374"/>
    </row>
    <row r="609" spans="2:14" ht="15.75" customHeight="1" x14ac:dyDescent="0.2">
      <c r="B609" s="374"/>
      <c r="E609" s="375"/>
      <c r="N609" s="374"/>
    </row>
    <row r="610" spans="2:14" ht="15.75" customHeight="1" x14ac:dyDescent="0.2">
      <c r="B610" s="374"/>
      <c r="E610" s="375"/>
      <c r="N610" s="374"/>
    </row>
    <row r="611" spans="2:14" ht="15.75" customHeight="1" x14ac:dyDescent="0.2">
      <c r="B611" s="374"/>
      <c r="E611" s="375"/>
      <c r="N611" s="374"/>
    </row>
    <row r="612" spans="2:14" ht="15.75" customHeight="1" x14ac:dyDescent="0.2">
      <c r="B612" s="374"/>
      <c r="E612" s="375"/>
      <c r="N612" s="374"/>
    </row>
    <row r="613" spans="2:14" ht="15.75" customHeight="1" x14ac:dyDescent="0.2">
      <c r="B613" s="374"/>
      <c r="E613" s="375"/>
      <c r="N613" s="374"/>
    </row>
    <row r="614" spans="2:14" ht="15.75" customHeight="1" x14ac:dyDescent="0.2">
      <c r="B614" s="374"/>
      <c r="E614" s="375"/>
      <c r="N614" s="374"/>
    </row>
    <row r="615" spans="2:14" ht="15.75" customHeight="1" x14ac:dyDescent="0.2">
      <c r="B615" s="374"/>
      <c r="E615" s="375"/>
      <c r="N615" s="374"/>
    </row>
    <row r="616" spans="2:14" ht="15.75" customHeight="1" x14ac:dyDescent="0.2">
      <c r="B616" s="374"/>
      <c r="E616" s="375"/>
      <c r="N616" s="374"/>
    </row>
    <row r="617" spans="2:14" ht="15.75" customHeight="1" x14ac:dyDescent="0.2">
      <c r="B617" s="374"/>
      <c r="E617" s="375"/>
      <c r="N617" s="374"/>
    </row>
    <row r="618" spans="2:14" ht="15.75" customHeight="1" x14ac:dyDescent="0.2">
      <c r="B618" s="374"/>
      <c r="E618" s="375"/>
      <c r="N618" s="374"/>
    </row>
    <row r="619" spans="2:14" ht="15.75" customHeight="1" x14ac:dyDescent="0.2">
      <c r="B619" s="374"/>
      <c r="E619" s="375"/>
      <c r="N619" s="374"/>
    </row>
    <row r="620" spans="2:14" ht="15.75" customHeight="1" x14ac:dyDescent="0.2">
      <c r="B620" s="374"/>
      <c r="E620" s="375"/>
      <c r="N620" s="374"/>
    </row>
    <row r="621" spans="2:14" ht="15.75" customHeight="1" x14ac:dyDescent="0.2">
      <c r="B621" s="374"/>
      <c r="E621" s="375"/>
      <c r="N621" s="374"/>
    </row>
    <row r="622" spans="2:14" ht="15.75" customHeight="1" x14ac:dyDescent="0.2">
      <c r="B622" s="374"/>
      <c r="E622" s="375"/>
      <c r="N622" s="374"/>
    </row>
    <row r="623" spans="2:14" ht="15.75" customHeight="1" x14ac:dyDescent="0.2">
      <c r="B623" s="374"/>
      <c r="E623" s="375"/>
      <c r="N623" s="374"/>
    </row>
    <row r="624" spans="2:14" ht="15.75" customHeight="1" x14ac:dyDescent="0.2">
      <c r="B624" s="374"/>
      <c r="E624" s="375"/>
      <c r="N624" s="374"/>
    </row>
    <row r="625" spans="2:14" ht="15.75" customHeight="1" x14ac:dyDescent="0.2">
      <c r="B625" s="374"/>
      <c r="E625" s="375"/>
      <c r="N625" s="374"/>
    </row>
    <row r="626" spans="2:14" ht="15.75" customHeight="1" x14ac:dyDescent="0.2">
      <c r="B626" s="374"/>
      <c r="E626" s="375"/>
      <c r="N626" s="374"/>
    </row>
    <row r="627" spans="2:14" ht="15.75" customHeight="1" x14ac:dyDescent="0.2">
      <c r="B627" s="374"/>
      <c r="E627" s="375"/>
      <c r="N627" s="374"/>
    </row>
    <row r="628" spans="2:14" ht="15.75" customHeight="1" x14ac:dyDescent="0.2">
      <c r="B628" s="374"/>
      <c r="E628" s="375"/>
      <c r="N628" s="374"/>
    </row>
    <row r="629" spans="2:14" ht="15.75" customHeight="1" x14ac:dyDescent="0.2">
      <c r="B629" s="374"/>
      <c r="E629" s="375"/>
      <c r="N629" s="374"/>
    </row>
    <row r="630" spans="2:14" ht="15.75" customHeight="1" x14ac:dyDescent="0.2">
      <c r="B630" s="374"/>
      <c r="E630" s="375"/>
      <c r="N630" s="374"/>
    </row>
    <row r="631" spans="2:14" ht="15.75" customHeight="1" x14ac:dyDescent="0.2">
      <c r="B631" s="374"/>
      <c r="E631" s="375"/>
      <c r="N631" s="374"/>
    </row>
    <row r="632" spans="2:14" ht="15.75" customHeight="1" x14ac:dyDescent="0.2">
      <c r="B632" s="374"/>
      <c r="E632" s="375"/>
      <c r="N632" s="374"/>
    </row>
    <row r="633" spans="2:14" ht="15.75" customHeight="1" x14ac:dyDescent="0.2">
      <c r="B633" s="374"/>
      <c r="E633" s="375"/>
      <c r="N633" s="374"/>
    </row>
    <row r="634" spans="2:14" ht="15.75" customHeight="1" x14ac:dyDescent="0.2">
      <c r="B634" s="374"/>
      <c r="E634" s="375"/>
      <c r="N634" s="374"/>
    </row>
    <row r="635" spans="2:14" ht="15.75" customHeight="1" x14ac:dyDescent="0.2">
      <c r="B635" s="374"/>
      <c r="E635" s="375"/>
      <c r="N635" s="374"/>
    </row>
    <row r="636" spans="2:14" ht="15.75" customHeight="1" x14ac:dyDescent="0.2">
      <c r="B636" s="374"/>
      <c r="E636" s="375"/>
      <c r="N636" s="374"/>
    </row>
    <row r="637" spans="2:14" ht="15.75" customHeight="1" x14ac:dyDescent="0.2">
      <c r="B637" s="374"/>
      <c r="E637" s="375"/>
      <c r="N637" s="374"/>
    </row>
    <row r="638" spans="2:14" ht="15.75" customHeight="1" x14ac:dyDescent="0.2">
      <c r="B638" s="374"/>
      <c r="E638" s="375"/>
      <c r="N638" s="374"/>
    </row>
    <row r="639" spans="2:14" ht="15.75" customHeight="1" x14ac:dyDescent="0.2">
      <c r="B639" s="374"/>
      <c r="E639" s="375"/>
      <c r="N639" s="374"/>
    </row>
    <row r="640" spans="2:14" ht="15.75" customHeight="1" x14ac:dyDescent="0.2">
      <c r="B640" s="374"/>
      <c r="E640" s="375"/>
      <c r="N640" s="374"/>
    </row>
    <row r="641" spans="2:14" ht="15.75" customHeight="1" x14ac:dyDescent="0.2">
      <c r="B641" s="374"/>
      <c r="E641" s="375"/>
      <c r="N641" s="374"/>
    </row>
    <row r="642" spans="2:14" ht="15.75" customHeight="1" x14ac:dyDescent="0.2">
      <c r="B642" s="374"/>
      <c r="E642" s="375"/>
      <c r="N642" s="374"/>
    </row>
    <row r="643" spans="2:14" ht="15.75" customHeight="1" x14ac:dyDescent="0.2">
      <c r="B643" s="374"/>
      <c r="E643" s="375"/>
      <c r="N643" s="374"/>
    </row>
    <row r="644" spans="2:14" ht="15.75" customHeight="1" x14ac:dyDescent="0.2">
      <c r="B644" s="374"/>
      <c r="E644" s="375"/>
      <c r="N644" s="374"/>
    </row>
    <row r="645" spans="2:14" ht="15.75" customHeight="1" x14ac:dyDescent="0.2">
      <c r="B645" s="374"/>
      <c r="E645" s="375"/>
      <c r="N645" s="374"/>
    </row>
    <row r="646" spans="2:14" ht="15.75" customHeight="1" x14ac:dyDescent="0.2">
      <c r="B646" s="374"/>
      <c r="E646" s="375"/>
      <c r="N646" s="374"/>
    </row>
    <row r="647" spans="2:14" ht="15.75" customHeight="1" x14ac:dyDescent="0.2">
      <c r="B647" s="374"/>
      <c r="E647" s="375"/>
      <c r="N647" s="374"/>
    </row>
    <row r="648" spans="2:14" ht="15.75" customHeight="1" x14ac:dyDescent="0.2">
      <c r="B648" s="374"/>
      <c r="E648" s="375"/>
      <c r="N648" s="374"/>
    </row>
    <row r="649" spans="2:14" ht="15.75" customHeight="1" x14ac:dyDescent="0.2">
      <c r="B649" s="374"/>
      <c r="E649" s="375"/>
      <c r="N649" s="374"/>
    </row>
    <row r="650" spans="2:14" ht="15.75" customHeight="1" x14ac:dyDescent="0.2">
      <c r="B650" s="374"/>
      <c r="E650" s="375"/>
      <c r="N650" s="374"/>
    </row>
    <row r="651" spans="2:14" ht="15.75" customHeight="1" x14ac:dyDescent="0.2">
      <c r="B651" s="374"/>
      <c r="E651" s="375"/>
      <c r="N651" s="374"/>
    </row>
    <row r="652" spans="2:14" ht="15.75" customHeight="1" x14ac:dyDescent="0.2">
      <c r="B652" s="374"/>
      <c r="E652" s="375"/>
      <c r="N652" s="374"/>
    </row>
    <row r="653" spans="2:14" ht="15.75" customHeight="1" x14ac:dyDescent="0.2">
      <c r="B653" s="374"/>
      <c r="E653" s="375"/>
      <c r="N653" s="374"/>
    </row>
    <row r="654" spans="2:14" ht="15.75" customHeight="1" x14ac:dyDescent="0.2">
      <c r="B654" s="374"/>
      <c r="E654" s="375"/>
      <c r="N654" s="374"/>
    </row>
    <row r="655" spans="2:14" ht="15.75" customHeight="1" x14ac:dyDescent="0.2">
      <c r="B655" s="374"/>
      <c r="E655" s="375"/>
      <c r="N655" s="374"/>
    </row>
    <row r="656" spans="2:14" ht="15.75" customHeight="1" x14ac:dyDescent="0.2">
      <c r="B656" s="374"/>
      <c r="E656" s="375"/>
      <c r="N656" s="374"/>
    </row>
    <row r="657" spans="2:14" ht="15.75" customHeight="1" x14ac:dyDescent="0.2">
      <c r="B657" s="374"/>
      <c r="E657" s="375"/>
      <c r="N657" s="374"/>
    </row>
    <row r="658" spans="2:14" ht="15.75" customHeight="1" x14ac:dyDescent="0.2">
      <c r="B658" s="374"/>
      <c r="E658" s="375"/>
      <c r="N658" s="374"/>
    </row>
    <row r="659" spans="2:14" ht="15.75" customHeight="1" x14ac:dyDescent="0.2">
      <c r="B659" s="374"/>
      <c r="E659" s="375"/>
      <c r="N659" s="374"/>
    </row>
    <row r="660" spans="2:14" ht="15.75" customHeight="1" x14ac:dyDescent="0.2">
      <c r="B660" s="374"/>
      <c r="E660" s="375"/>
      <c r="N660" s="374"/>
    </row>
    <row r="661" spans="2:14" ht="15.75" customHeight="1" x14ac:dyDescent="0.2">
      <c r="B661" s="374"/>
      <c r="E661" s="375"/>
      <c r="N661" s="374"/>
    </row>
    <row r="662" spans="2:14" ht="15.75" customHeight="1" x14ac:dyDescent="0.2">
      <c r="B662" s="374"/>
      <c r="E662" s="375"/>
      <c r="N662" s="374"/>
    </row>
    <row r="663" spans="2:14" ht="15.75" customHeight="1" x14ac:dyDescent="0.2">
      <c r="B663" s="374"/>
      <c r="E663" s="375"/>
      <c r="N663" s="374"/>
    </row>
    <row r="664" spans="2:14" ht="15.75" customHeight="1" x14ac:dyDescent="0.2">
      <c r="B664" s="374"/>
      <c r="E664" s="375"/>
      <c r="N664" s="374"/>
    </row>
    <row r="665" spans="2:14" ht="15.75" customHeight="1" x14ac:dyDescent="0.2">
      <c r="B665" s="374"/>
      <c r="E665" s="375"/>
      <c r="N665" s="374"/>
    </row>
    <row r="666" spans="2:14" ht="15.75" customHeight="1" x14ac:dyDescent="0.2">
      <c r="B666" s="374"/>
      <c r="E666" s="375"/>
      <c r="N666" s="374"/>
    </row>
    <row r="667" spans="2:14" ht="15.75" customHeight="1" x14ac:dyDescent="0.2">
      <c r="B667" s="374"/>
      <c r="E667" s="375"/>
      <c r="N667" s="374"/>
    </row>
    <row r="668" spans="2:14" ht="15.75" customHeight="1" x14ac:dyDescent="0.2">
      <c r="B668" s="374"/>
      <c r="E668" s="375"/>
      <c r="N668" s="374"/>
    </row>
    <row r="669" spans="2:14" ht="15.75" customHeight="1" x14ac:dyDescent="0.2">
      <c r="B669" s="374"/>
      <c r="E669" s="375"/>
      <c r="N669" s="374"/>
    </row>
    <row r="670" spans="2:14" ht="15.75" customHeight="1" x14ac:dyDescent="0.2">
      <c r="B670" s="374"/>
      <c r="E670" s="375"/>
      <c r="N670" s="374"/>
    </row>
    <row r="671" spans="2:14" ht="15.75" customHeight="1" x14ac:dyDescent="0.2">
      <c r="B671" s="374"/>
      <c r="E671" s="375"/>
      <c r="N671" s="374"/>
    </row>
    <row r="672" spans="2:14" ht="15.75" customHeight="1" x14ac:dyDescent="0.2">
      <c r="B672" s="374"/>
      <c r="E672" s="375"/>
      <c r="N672" s="374"/>
    </row>
    <row r="673" spans="2:14" ht="15.75" customHeight="1" x14ac:dyDescent="0.2">
      <c r="B673" s="374"/>
      <c r="E673" s="375"/>
      <c r="N673" s="374"/>
    </row>
    <row r="674" spans="2:14" ht="15.75" customHeight="1" x14ac:dyDescent="0.2">
      <c r="B674" s="374"/>
      <c r="E674" s="375"/>
      <c r="N674" s="374"/>
    </row>
    <row r="675" spans="2:14" ht="15.75" customHeight="1" x14ac:dyDescent="0.2">
      <c r="B675" s="374"/>
      <c r="E675" s="375"/>
      <c r="N675" s="374"/>
    </row>
    <row r="676" spans="2:14" ht="15.75" customHeight="1" x14ac:dyDescent="0.2">
      <c r="B676" s="374"/>
      <c r="E676" s="375"/>
      <c r="N676" s="374"/>
    </row>
    <row r="677" spans="2:14" ht="15.75" customHeight="1" x14ac:dyDescent="0.2">
      <c r="B677" s="374"/>
      <c r="E677" s="375"/>
      <c r="N677" s="374"/>
    </row>
    <row r="678" spans="2:14" ht="15.75" customHeight="1" x14ac:dyDescent="0.2">
      <c r="B678" s="374"/>
      <c r="E678" s="375"/>
      <c r="N678" s="374"/>
    </row>
    <row r="679" spans="2:14" ht="15.75" customHeight="1" x14ac:dyDescent="0.2">
      <c r="B679" s="374"/>
      <c r="E679" s="375"/>
      <c r="N679" s="374"/>
    </row>
    <row r="680" spans="2:14" ht="15.75" customHeight="1" x14ac:dyDescent="0.2">
      <c r="B680" s="374"/>
      <c r="E680" s="375"/>
      <c r="N680" s="374"/>
    </row>
    <row r="681" spans="2:14" ht="15.75" customHeight="1" x14ac:dyDescent="0.2">
      <c r="B681" s="374"/>
      <c r="E681" s="375"/>
      <c r="N681" s="374"/>
    </row>
    <row r="682" spans="2:14" ht="15.75" customHeight="1" x14ac:dyDescent="0.2">
      <c r="B682" s="374"/>
      <c r="E682" s="375"/>
      <c r="N682" s="374"/>
    </row>
    <row r="683" spans="2:14" ht="15.75" customHeight="1" x14ac:dyDescent="0.2">
      <c r="B683" s="374"/>
      <c r="E683" s="375"/>
      <c r="N683" s="374"/>
    </row>
    <row r="684" spans="2:14" ht="15.75" customHeight="1" x14ac:dyDescent="0.2">
      <c r="B684" s="374"/>
      <c r="E684" s="375"/>
      <c r="N684" s="374"/>
    </row>
    <row r="685" spans="2:14" ht="15.75" customHeight="1" x14ac:dyDescent="0.2">
      <c r="B685" s="374"/>
      <c r="E685" s="375"/>
      <c r="N685" s="374"/>
    </row>
    <row r="686" spans="2:14" ht="15.75" customHeight="1" x14ac:dyDescent="0.2">
      <c r="B686" s="374"/>
      <c r="E686" s="375"/>
      <c r="N686" s="374"/>
    </row>
    <row r="687" spans="2:14" ht="15.75" customHeight="1" x14ac:dyDescent="0.2">
      <c r="B687" s="374"/>
      <c r="E687" s="375"/>
      <c r="N687" s="374"/>
    </row>
    <row r="688" spans="2:14" ht="15.75" customHeight="1" x14ac:dyDescent="0.2">
      <c r="B688" s="374"/>
      <c r="E688" s="375"/>
      <c r="N688" s="374"/>
    </row>
    <row r="689" spans="2:14" ht="15.75" customHeight="1" x14ac:dyDescent="0.2">
      <c r="B689" s="374"/>
      <c r="E689" s="375"/>
      <c r="N689" s="374"/>
    </row>
    <row r="690" spans="2:14" ht="15.75" customHeight="1" x14ac:dyDescent="0.2">
      <c r="B690" s="374"/>
      <c r="E690" s="375"/>
      <c r="N690" s="374"/>
    </row>
    <row r="691" spans="2:14" ht="15.75" customHeight="1" x14ac:dyDescent="0.2">
      <c r="B691" s="374"/>
      <c r="E691" s="375"/>
      <c r="N691" s="374"/>
    </row>
    <row r="692" spans="2:14" ht="15.75" customHeight="1" x14ac:dyDescent="0.2">
      <c r="B692" s="374"/>
      <c r="E692" s="375"/>
      <c r="N692" s="374"/>
    </row>
    <row r="693" spans="2:14" ht="15.75" customHeight="1" x14ac:dyDescent="0.2">
      <c r="B693" s="374"/>
      <c r="E693" s="375"/>
      <c r="N693" s="374"/>
    </row>
    <row r="694" spans="2:14" ht="15.75" customHeight="1" x14ac:dyDescent="0.2">
      <c r="B694" s="374"/>
      <c r="E694" s="375"/>
      <c r="N694" s="374"/>
    </row>
    <row r="695" spans="2:14" ht="15.75" customHeight="1" x14ac:dyDescent="0.2">
      <c r="B695" s="374"/>
      <c r="E695" s="375"/>
      <c r="N695" s="374"/>
    </row>
    <row r="696" spans="2:14" ht="15.75" customHeight="1" x14ac:dyDescent="0.2">
      <c r="B696" s="374"/>
      <c r="E696" s="375"/>
      <c r="N696" s="374"/>
    </row>
    <row r="697" spans="2:14" ht="15.75" customHeight="1" x14ac:dyDescent="0.2">
      <c r="B697" s="374"/>
      <c r="E697" s="375"/>
      <c r="N697" s="374"/>
    </row>
    <row r="698" spans="2:14" ht="15.75" customHeight="1" x14ac:dyDescent="0.2">
      <c r="B698" s="374"/>
      <c r="E698" s="375"/>
      <c r="N698" s="374"/>
    </row>
    <row r="699" spans="2:14" ht="15.75" customHeight="1" x14ac:dyDescent="0.2">
      <c r="B699" s="374"/>
      <c r="E699" s="375"/>
      <c r="N699" s="374"/>
    </row>
    <row r="700" spans="2:14" ht="15.75" customHeight="1" x14ac:dyDescent="0.2">
      <c r="B700" s="374"/>
      <c r="E700" s="375"/>
      <c r="N700" s="374"/>
    </row>
    <row r="701" spans="2:14" ht="15.75" customHeight="1" x14ac:dyDescent="0.2">
      <c r="B701" s="374"/>
      <c r="E701" s="375"/>
      <c r="N701" s="374"/>
    </row>
    <row r="702" spans="2:14" ht="15.75" customHeight="1" x14ac:dyDescent="0.2">
      <c r="B702" s="374"/>
      <c r="E702" s="375"/>
      <c r="N702" s="374"/>
    </row>
    <row r="703" spans="2:14" ht="15.75" customHeight="1" x14ac:dyDescent="0.2">
      <c r="B703" s="374"/>
      <c r="E703" s="375"/>
      <c r="N703" s="374"/>
    </row>
    <row r="704" spans="2:14" ht="15.75" customHeight="1" x14ac:dyDescent="0.2">
      <c r="B704" s="374"/>
      <c r="E704" s="375"/>
      <c r="N704" s="374"/>
    </row>
    <row r="705" spans="2:14" ht="15.75" customHeight="1" x14ac:dyDescent="0.2">
      <c r="B705" s="374"/>
      <c r="E705" s="375"/>
      <c r="N705" s="374"/>
    </row>
    <row r="706" spans="2:14" ht="15.75" customHeight="1" x14ac:dyDescent="0.2">
      <c r="B706" s="374"/>
      <c r="E706" s="375"/>
      <c r="N706" s="374"/>
    </row>
    <row r="707" spans="2:14" ht="15.75" customHeight="1" x14ac:dyDescent="0.2">
      <c r="B707" s="374"/>
      <c r="E707" s="375"/>
      <c r="N707" s="374"/>
    </row>
    <row r="708" spans="2:14" ht="15.75" customHeight="1" x14ac:dyDescent="0.2">
      <c r="B708" s="374"/>
      <c r="E708" s="375"/>
      <c r="N708" s="374"/>
    </row>
    <row r="709" spans="2:14" ht="15.75" customHeight="1" x14ac:dyDescent="0.2">
      <c r="B709" s="374"/>
      <c r="E709" s="375"/>
      <c r="N709" s="374"/>
    </row>
    <row r="710" spans="2:14" ht="15.75" customHeight="1" x14ac:dyDescent="0.2">
      <c r="B710" s="374"/>
      <c r="E710" s="375"/>
      <c r="N710" s="374"/>
    </row>
    <row r="711" spans="2:14" ht="15.75" customHeight="1" x14ac:dyDescent="0.2">
      <c r="B711" s="374"/>
      <c r="E711" s="375"/>
      <c r="N711" s="374"/>
    </row>
    <row r="712" spans="2:14" ht="15.75" customHeight="1" x14ac:dyDescent="0.2">
      <c r="B712" s="374"/>
      <c r="E712" s="375"/>
      <c r="N712" s="374"/>
    </row>
    <row r="713" spans="2:14" ht="15.75" customHeight="1" x14ac:dyDescent="0.2">
      <c r="B713" s="374"/>
      <c r="E713" s="375"/>
      <c r="N713" s="374"/>
    </row>
    <row r="714" spans="2:14" ht="15.75" customHeight="1" x14ac:dyDescent="0.2">
      <c r="B714" s="374"/>
      <c r="E714" s="375"/>
      <c r="N714" s="374"/>
    </row>
    <row r="715" spans="2:14" ht="15.75" customHeight="1" x14ac:dyDescent="0.2">
      <c r="B715" s="374"/>
      <c r="E715" s="375"/>
      <c r="N715" s="374"/>
    </row>
    <row r="716" spans="2:14" ht="15.75" customHeight="1" x14ac:dyDescent="0.2">
      <c r="B716" s="374"/>
      <c r="E716" s="375"/>
      <c r="N716" s="374"/>
    </row>
    <row r="717" spans="2:14" ht="15.75" customHeight="1" x14ac:dyDescent="0.2">
      <c r="B717" s="374"/>
      <c r="E717" s="375"/>
      <c r="N717" s="374"/>
    </row>
    <row r="718" spans="2:14" ht="15.75" customHeight="1" x14ac:dyDescent="0.2">
      <c r="B718" s="374"/>
      <c r="E718" s="375"/>
      <c r="N718" s="374"/>
    </row>
    <row r="719" spans="2:14" ht="15.75" customHeight="1" x14ac:dyDescent="0.2">
      <c r="B719" s="374"/>
      <c r="E719" s="375"/>
      <c r="N719" s="374"/>
    </row>
    <row r="720" spans="2:14" ht="15.75" customHeight="1" x14ac:dyDescent="0.2">
      <c r="B720" s="374"/>
      <c r="E720" s="375"/>
      <c r="N720" s="374"/>
    </row>
    <row r="721" spans="2:14" ht="15.75" customHeight="1" x14ac:dyDescent="0.2">
      <c r="B721" s="374"/>
      <c r="E721" s="375"/>
      <c r="N721" s="374"/>
    </row>
    <row r="722" spans="2:14" ht="15.75" customHeight="1" x14ac:dyDescent="0.2">
      <c r="B722" s="374"/>
      <c r="E722" s="375"/>
      <c r="N722" s="374"/>
    </row>
    <row r="723" spans="2:14" ht="15.75" customHeight="1" x14ac:dyDescent="0.2">
      <c r="B723" s="374"/>
      <c r="E723" s="375"/>
      <c r="N723" s="374"/>
    </row>
    <row r="724" spans="2:14" ht="15.75" customHeight="1" x14ac:dyDescent="0.2">
      <c r="B724" s="374"/>
      <c r="E724" s="375"/>
      <c r="N724" s="374"/>
    </row>
    <row r="725" spans="2:14" ht="15.75" customHeight="1" x14ac:dyDescent="0.2">
      <c r="B725" s="374"/>
      <c r="E725" s="375"/>
      <c r="N725" s="374"/>
    </row>
    <row r="726" spans="2:14" ht="15.75" customHeight="1" x14ac:dyDescent="0.2">
      <c r="B726" s="374"/>
      <c r="E726" s="375"/>
      <c r="N726" s="374"/>
    </row>
    <row r="727" spans="2:14" ht="15.75" customHeight="1" x14ac:dyDescent="0.2">
      <c r="B727" s="374"/>
      <c r="E727" s="375"/>
      <c r="N727" s="374"/>
    </row>
    <row r="728" spans="2:14" ht="15.75" customHeight="1" x14ac:dyDescent="0.2">
      <c r="B728" s="374"/>
      <c r="E728" s="375"/>
      <c r="N728" s="374"/>
    </row>
    <row r="729" spans="2:14" ht="15.75" customHeight="1" x14ac:dyDescent="0.2">
      <c r="B729" s="374"/>
      <c r="E729" s="375"/>
      <c r="N729" s="374"/>
    </row>
    <row r="730" spans="2:14" ht="15.75" customHeight="1" x14ac:dyDescent="0.2">
      <c r="B730" s="374"/>
      <c r="E730" s="375"/>
      <c r="N730" s="374"/>
    </row>
    <row r="731" spans="2:14" ht="15.75" customHeight="1" x14ac:dyDescent="0.2">
      <c r="B731" s="374"/>
      <c r="E731" s="375"/>
      <c r="N731" s="374"/>
    </row>
    <row r="732" spans="2:14" ht="15.75" customHeight="1" x14ac:dyDescent="0.2">
      <c r="B732" s="374"/>
      <c r="E732" s="375"/>
      <c r="N732" s="374"/>
    </row>
    <row r="733" spans="2:14" ht="15.75" customHeight="1" x14ac:dyDescent="0.2">
      <c r="B733" s="374"/>
      <c r="E733" s="375"/>
      <c r="N733" s="374"/>
    </row>
    <row r="734" spans="2:14" ht="15.75" customHeight="1" x14ac:dyDescent="0.2">
      <c r="B734" s="374"/>
      <c r="E734" s="375"/>
      <c r="N734" s="374"/>
    </row>
    <row r="735" spans="2:14" ht="15.75" customHeight="1" x14ac:dyDescent="0.2">
      <c r="B735" s="374"/>
      <c r="E735" s="375"/>
      <c r="N735" s="374"/>
    </row>
    <row r="736" spans="2:14" ht="15.75" customHeight="1" x14ac:dyDescent="0.2">
      <c r="B736" s="374"/>
      <c r="E736" s="375"/>
      <c r="N736" s="374"/>
    </row>
    <row r="737" spans="2:14" ht="15.75" customHeight="1" x14ac:dyDescent="0.2">
      <c r="B737" s="374"/>
      <c r="E737" s="375"/>
      <c r="N737" s="374"/>
    </row>
    <row r="738" spans="2:14" ht="15.75" customHeight="1" x14ac:dyDescent="0.2">
      <c r="B738" s="374"/>
      <c r="E738" s="375"/>
      <c r="N738" s="374"/>
    </row>
    <row r="739" spans="2:14" ht="15.75" customHeight="1" x14ac:dyDescent="0.2">
      <c r="B739" s="374"/>
      <c r="E739" s="375"/>
      <c r="N739" s="374"/>
    </row>
    <row r="740" spans="2:14" ht="15.75" customHeight="1" x14ac:dyDescent="0.2">
      <c r="B740" s="374"/>
      <c r="E740" s="375"/>
      <c r="N740" s="374"/>
    </row>
    <row r="741" spans="2:14" ht="15.75" customHeight="1" x14ac:dyDescent="0.2">
      <c r="B741" s="374"/>
      <c r="E741" s="375"/>
      <c r="N741" s="374"/>
    </row>
    <row r="742" spans="2:14" ht="15.75" customHeight="1" x14ac:dyDescent="0.2">
      <c r="B742" s="374"/>
      <c r="E742" s="375"/>
      <c r="N742" s="374"/>
    </row>
    <row r="743" spans="2:14" ht="15.75" customHeight="1" x14ac:dyDescent="0.2">
      <c r="B743" s="374"/>
      <c r="E743" s="375"/>
      <c r="N743" s="374"/>
    </row>
    <row r="744" spans="2:14" ht="15.75" customHeight="1" x14ac:dyDescent="0.2">
      <c r="B744" s="374"/>
      <c r="E744" s="375"/>
      <c r="N744" s="374"/>
    </row>
    <row r="745" spans="2:14" ht="15.75" customHeight="1" x14ac:dyDescent="0.2">
      <c r="B745" s="374"/>
      <c r="E745" s="375"/>
      <c r="N745" s="374"/>
    </row>
    <row r="746" spans="2:14" ht="15.75" customHeight="1" x14ac:dyDescent="0.2">
      <c r="B746" s="374"/>
      <c r="E746" s="375"/>
      <c r="N746" s="374"/>
    </row>
    <row r="747" spans="2:14" ht="15.75" customHeight="1" x14ac:dyDescent="0.2">
      <c r="B747" s="374"/>
      <c r="E747" s="375"/>
      <c r="N747" s="374"/>
    </row>
    <row r="748" spans="2:14" ht="15.75" customHeight="1" x14ac:dyDescent="0.2">
      <c r="B748" s="374"/>
      <c r="E748" s="375"/>
      <c r="N748" s="374"/>
    </row>
    <row r="749" spans="2:14" ht="15.75" customHeight="1" x14ac:dyDescent="0.2">
      <c r="B749" s="374"/>
      <c r="E749" s="375"/>
      <c r="N749" s="374"/>
    </row>
    <row r="750" spans="2:14" ht="15.75" customHeight="1" x14ac:dyDescent="0.2">
      <c r="B750" s="374"/>
      <c r="E750" s="375"/>
      <c r="N750" s="374"/>
    </row>
    <row r="751" spans="2:14" ht="15.75" customHeight="1" x14ac:dyDescent="0.2">
      <c r="B751" s="374"/>
      <c r="E751" s="375"/>
      <c r="N751" s="374"/>
    </row>
    <row r="752" spans="2:14" ht="15.75" customHeight="1" x14ac:dyDescent="0.2">
      <c r="B752" s="374"/>
      <c r="E752" s="375"/>
      <c r="N752" s="374"/>
    </row>
    <row r="753" spans="2:14" ht="15.75" customHeight="1" x14ac:dyDescent="0.2">
      <c r="B753" s="374"/>
      <c r="E753" s="375"/>
      <c r="N753" s="374"/>
    </row>
    <row r="754" spans="2:14" ht="15.75" customHeight="1" x14ac:dyDescent="0.2">
      <c r="B754" s="374"/>
      <c r="E754" s="375"/>
      <c r="N754" s="374"/>
    </row>
    <row r="755" spans="2:14" ht="15.75" customHeight="1" x14ac:dyDescent="0.2">
      <c r="B755" s="374"/>
      <c r="E755" s="375"/>
      <c r="N755" s="374"/>
    </row>
    <row r="756" spans="2:14" ht="15.75" customHeight="1" x14ac:dyDescent="0.2">
      <c r="B756" s="374"/>
      <c r="E756" s="375"/>
      <c r="N756" s="374"/>
    </row>
    <row r="757" spans="2:14" ht="15.75" customHeight="1" x14ac:dyDescent="0.2">
      <c r="B757" s="374"/>
      <c r="E757" s="375"/>
      <c r="N757" s="374"/>
    </row>
    <row r="758" spans="2:14" ht="15.75" customHeight="1" x14ac:dyDescent="0.2">
      <c r="B758" s="374"/>
      <c r="E758" s="375"/>
      <c r="N758" s="374"/>
    </row>
    <row r="759" spans="2:14" ht="15.75" customHeight="1" x14ac:dyDescent="0.2">
      <c r="B759" s="374"/>
      <c r="E759" s="375"/>
      <c r="N759" s="374"/>
    </row>
    <row r="760" spans="2:14" ht="15.75" customHeight="1" x14ac:dyDescent="0.2">
      <c r="B760" s="374"/>
      <c r="E760" s="375"/>
      <c r="N760" s="374"/>
    </row>
    <row r="761" spans="2:14" ht="15.75" customHeight="1" x14ac:dyDescent="0.2">
      <c r="B761" s="374"/>
      <c r="E761" s="375"/>
      <c r="N761" s="374"/>
    </row>
    <row r="762" spans="2:14" ht="15.75" customHeight="1" x14ac:dyDescent="0.2">
      <c r="B762" s="374"/>
      <c r="E762" s="375"/>
      <c r="N762" s="374"/>
    </row>
    <row r="763" spans="2:14" ht="15.75" customHeight="1" x14ac:dyDescent="0.2">
      <c r="B763" s="374"/>
      <c r="E763" s="375"/>
      <c r="N763" s="374"/>
    </row>
    <row r="764" spans="2:14" ht="15.75" customHeight="1" x14ac:dyDescent="0.2">
      <c r="B764" s="374"/>
      <c r="E764" s="375"/>
      <c r="N764" s="374"/>
    </row>
    <row r="765" spans="2:14" ht="15.75" customHeight="1" x14ac:dyDescent="0.2">
      <c r="B765" s="374"/>
      <c r="E765" s="375"/>
      <c r="N765" s="374"/>
    </row>
    <row r="766" spans="2:14" ht="15.75" customHeight="1" x14ac:dyDescent="0.2">
      <c r="B766" s="374"/>
      <c r="E766" s="375"/>
      <c r="N766" s="374"/>
    </row>
    <row r="767" spans="2:14" ht="15.75" customHeight="1" x14ac:dyDescent="0.2">
      <c r="B767" s="374"/>
      <c r="E767" s="375"/>
      <c r="N767" s="374"/>
    </row>
    <row r="768" spans="2:14" ht="15.75" customHeight="1" x14ac:dyDescent="0.2">
      <c r="B768" s="374"/>
      <c r="E768" s="375"/>
      <c r="N768" s="374"/>
    </row>
    <row r="769" spans="2:14" ht="15.75" customHeight="1" x14ac:dyDescent="0.2">
      <c r="B769" s="374"/>
      <c r="E769" s="375"/>
      <c r="N769" s="374"/>
    </row>
    <row r="770" spans="2:14" ht="15.75" customHeight="1" x14ac:dyDescent="0.2">
      <c r="B770" s="374"/>
      <c r="E770" s="375"/>
      <c r="N770" s="374"/>
    </row>
    <row r="771" spans="2:14" ht="15.75" customHeight="1" x14ac:dyDescent="0.2">
      <c r="B771" s="374"/>
      <c r="E771" s="375"/>
      <c r="N771" s="374"/>
    </row>
    <row r="772" spans="2:14" ht="15.75" customHeight="1" x14ac:dyDescent="0.2">
      <c r="B772" s="374"/>
      <c r="E772" s="375"/>
      <c r="N772" s="374"/>
    </row>
    <row r="773" spans="2:14" ht="15.75" customHeight="1" x14ac:dyDescent="0.2">
      <c r="B773" s="374"/>
      <c r="E773" s="375"/>
      <c r="N773" s="374"/>
    </row>
    <row r="774" spans="2:14" ht="15.75" customHeight="1" x14ac:dyDescent="0.2">
      <c r="B774" s="374"/>
      <c r="E774" s="375"/>
      <c r="N774" s="374"/>
    </row>
    <row r="775" spans="2:14" ht="15.75" customHeight="1" x14ac:dyDescent="0.2">
      <c r="B775" s="374"/>
      <c r="E775" s="375"/>
      <c r="N775" s="374"/>
    </row>
    <row r="776" spans="2:14" ht="15.75" customHeight="1" x14ac:dyDescent="0.2">
      <c r="B776" s="374"/>
      <c r="E776" s="375"/>
      <c r="N776" s="374"/>
    </row>
    <row r="777" spans="2:14" ht="15.75" customHeight="1" x14ac:dyDescent="0.2">
      <c r="B777" s="374"/>
      <c r="E777" s="375"/>
      <c r="N777" s="374"/>
    </row>
    <row r="778" spans="2:14" ht="15.75" customHeight="1" x14ac:dyDescent="0.2">
      <c r="B778" s="374"/>
      <c r="E778" s="375"/>
      <c r="N778" s="374"/>
    </row>
    <row r="779" spans="2:14" ht="15.75" customHeight="1" x14ac:dyDescent="0.2">
      <c r="B779" s="374"/>
      <c r="E779" s="375"/>
      <c r="N779" s="374"/>
    </row>
    <row r="780" spans="2:14" ht="15.75" customHeight="1" x14ac:dyDescent="0.2">
      <c r="B780" s="374"/>
      <c r="E780" s="375"/>
      <c r="N780" s="374"/>
    </row>
    <row r="781" spans="2:14" ht="15.75" customHeight="1" x14ac:dyDescent="0.2">
      <c r="B781" s="374"/>
      <c r="E781" s="375"/>
      <c r="N781" s="374"/>
    </row>
    <row r="782" spans="2:14" ht="15.75" customHeight="1" x14ac:dyDescent="0.2">
      <c r="B782" s="374"/>
      <c r="E782" s="375"/>
      <c r="N782" s="374"/>
    </row>
    <row r="783" spans="2:14" ht="15.75" customHeight="1" x14ac:dyDescent="0.2">
      <c r="B783" s="374"/>
      <c r="E783" s="375"/>
      <c r="N783" s="374"/>
    </row>
    <row r="784" spans="2:14" ht="15.75" customHeight="1" x14ac:dyDescent="0.2">
      <c r="B784" s="374"/>
      <c r="E784" s="375"/>
      <c r="N784" s="374"/>
    </row>
    <row r="785" spans="2:14" ht="15.75" customHeight="1" x14ac:dyDescent="0.2">
      <c r="B785" s="374"/>
      <c r="E785" s="375"/>
      <c r="N785" s="374"/>
    </row>
    <row r="786" spans="2:14" ht="15.75" customHeight="1" x14ac:dyDescent="0.2">
      <c r="B786" s="374"/>
      <c r="E786" s="375"/>
      <c r="N786" s="374"/>
    </row>
    <row r="787" spans="2:14" ht="15.75" customHeight="1" x14ac:dyDescent="0.2">
      <c r="B787" s="374"/>
      <c r="E787" s="375"/>
      <c r="N787" s="374"/>
    </row>
    <row r="788" spans="2:14" ht="15.75" customHeight="1" x14ac:dyDescent="0.2">
      <c r="B788" s="374"/>
      <c r="E788" s="375"/>
      <c r="N788" s="374"/>
    </row>
    <row r="789" spans="2:14" ht="15.75" customHeight="1" x14ac:dyDescent="0.2">
      <c r="B789" s="374"/>
      <c r="E789" s="375"/>
      <c r="N789" s="374"/>
    </row>
    <row r="790" spans="2:14" ht="15.75" customHeight="1" x14ac:dyDescent="0.2">
      <c r="B790" s="374"/>
      <c r="E790" s="375"/>
      <c r="N790" s="374"/>
    </row>
    <row r="791" spans="2:14" ht="15.75" customHeight="1" x14ac:dyDescent="0.2">
      <c r="B791" s="374"/>
      <c r="E791" s="375"/>
      <c r="N791" s="374"/>
    </row>
    <row r="792" spans="2:14" ht="15.75" customHeight="1" x14ac:dyDescent="0.2">
      <c r="B792" s="374"/>
      <c r="E792" s="375"/>
      <c r="N792" s="374"/>
    </row>
    <row r="793" spans="2:14" ht="15.75" customHeight="1" x14ac:dyDescent="0.2">
      <c r="B793" s="374"/>
      <c r="E793" s="375"/>
      <c r="N793" s="374"/>
    </row>
    <row r="794" spans="2:14" ht="15.75" customHeight="1" x14ac:dyDescent="0.2">
      <c r="B794" s="374"/>
      <c r="E794" s="375"/>
      <c r="N794" s="374"/>
    </row>
    <row r="795" spans="2:14" ht="15.75" customHeight="1" x14ac:dyDescent="0.2">
      <c r="B795" s="374"/>
      <c r="E795" s="375"/>
      <c r="N795" s="374"/>
    </row>
    <row r="796" spans="2:14" ht="15.75" customHeight="1" x14ac:dyDescent="0.2">
      <c r="B796" s="374"/>
      <c r="E796" s="375"/>
      <c r="N796" s="374"/>
    </row>
    <row r="797" spans="2:14" ht="15.75" customHeight="1" x14ac:dyDescent="0.2">
      <c r="B797" s="374"/>
      <c r="E797" s="375"/>
      <c r="N797" s="374"/>
    </row>
    <row r="798" spans="2:14" ht="15.75" customHeight="1" x14ac:dyDescent="0.2">
      <c r="B798" s="374"/>
      <c r="E798" s="375"/>
      <c r="N798" s="374"/>
    </row>
    <row r="799" spans="2:14" ht="15.75" customHeight="1" x14ac:dyDescent="0.2">
      <c r="B799" s="374"/>
      <c r="E799" s="375"/>
      <c r="N799" s="374"/>
    </row>
    <row r="800" spans="2:14" ht="15.75" customHeight="1" x14ac:dyDescent="0.2">
      <c r="B800" s="374"/>
      <c r="E800" s="375"/>
      <c r="N800" s="374"/>
    </row>
    <row r="801" spans="2:14" ht="15.75" customHeight="1" x14ac:dyDescent="0.2">
      <c r="B801" s="374"/>
      <c r="E801" s="375"/>
      <c r="N801" s="374"/>
    </row>
    <row r="802" spans="2:14" ht="15.75" customHeight="1" x14ac:dyDescent="0.2">
      <c r="B802" s="374"/>
      <c r="E802" s="375"/>
      <c r="N802" s="374"/>
    </row>
    <row r="803" spans="2:14" ht="15.75" customHeight="1" x14ac:dyDescent="0.2">
      <c r="B803" s="374"/>
      <c r="E803" s="375"/>
      <c r="N803" s="374"/>
    </row>
    <row r="804" spans="2:14" ht="15.75" customHeight="1" x14ac:dyDescent="0.2">
      <c r="B804" s="374"/>
      <c r="E804" s="375"/>
      <c r="N804" s="374"/>
    </row>
    <row r="805" spans="2:14" ht="15.75" customHeight="1" x14ac:dyDescent="0.2">
      <c r="B805" s="374"/>
      <c r="E805" s="375"/>
      <c r="N805" s="374"/>
    </row>
    <row r="806" spans="2:14" ht="15.75" customHeight="1" x14ac:dyDescent="0.2">
      <c r="B806" s="374"/>
      <c r="E806" s="375"/>
      <c r="N806" s="374"/>
    </row>
    <row r="807" spans="2:14" ht="15.75" customHeight="1" x14ac:dyDescent="0.2">
      <c r="B807" s="374"/>
      <c r="E807" s="375"/>
      <c r="N807" s="374"/>
    </row>
    <row r="808" spans="2:14" ht="15.75" customHeight="1" x14ac:dyDescent="0.2">
      <c r="B808" s="374"/>
      <c r="E808" s="375"/>
      <c r="N808" s="374"/>
    </row>
    <row r="809" spans="2:14" ht="15.75" customHeight="1" x14ac:dyDescent="0.2">
      <c r="B809" s="374"/>
      <c r="E809" s="375"/>
      <c r="N809" s="374"/>
    </row>
    <row r="810" spans="2:14" ht="15.75" customHeight="1" x14ac:dyDescent="0.2">
      <c r="B810" s="374"/>
      <c r="E810" s="375"/>
      <c r="N810" s="374"/>
    </row>
    <row r="811" spans="2:14" ht="15.75" customHeight="1" x14ac:dyDescent="0.2">
      <c r="B811" s="374"/>
      <c r="E811" s="375"/>
      <c r="N811" s="374"/>
    </row>
    <row r="812" spans="2:14" ht="15.75" customHeight="1" x14ac:dyDescent="0.2">
      <c r="B812" s="374"/>
      <c r="E812" s="375"/>
      <c r="N812" s="374"/>
    </row>
    <row r="813" spans="2:14" ht="15.75" customHeight="1" x14ac:dyDescent="0.2">
      <c r="B813" s="374"/>
      <c r="E813" s="375"/>
      <c r="N813" s="374"/>
    </row>
    <row r="814" spans="2:14" ht="15.75" customHeight="1" x14ac:dyDescent="0.2">
      <c r="B814" s="374"/>
      <c r="E814" s="375"/>
      <c r="N814" s="374"/>
    </row>
    <row r="815" spans="2:14" ht="15.75" customHeight="1" x14ac:dyDescent="0.2">
      <c r="B815" s="374"/>
      <c r="E815" s="375"/>
      <c r="N815" s="374"/>
    </row>
    <row r="816" spans="2:14" ht="15.75" customHeight="1" x14ac:dyDescent="0.2">
      <c r="B816" s="374"/>
      <c r="E816" s="375"/>
      <c r="N816" s="374"/>
    </row>
    <row r="817" spans="2:14" ht="15.75" customHeight="1" x14ac:dyDescent="0.2">
      <c r="B817" s="374"/>
      <c r="E817" s="375"/>
      <c r="N817" s="374"/>
    </row>
    <row r="818" spans="2:14" ht="15.75" customHeight="1" x14ac:dyDescent="0.2">
      <c r="B818" s="374"/>
      <c r="E818" s="375"/>
      <c r="N818" s="374"/>
    </row>
    <row r="819" spans="2:14" ht="15.75" customHeight="1" x14ac:dyDescent="0.2">
      <c r="B819" s="374"/>
      <c r="E819" s="375"/>
      <c r="N819" s="374"/>
    </row>
    <row r="820" spans="2:14" ht="15.75" customHeight="1" x14ac:dyDescent="0.2">
      <c r="B820" s="374"/>
      <c r="E820" s="375"/>
      <c r="N820" s="374"/>
    </row>
    <row r="821" spans="2:14" ht="15.75" customHeight="1" x14ac:dyDescent="0.2">
      <c r="B821" s="374"/>
      <c r="E821" s="375"/>
      <c r="N821" s="374"/>
    </row>
    <row r="822" spans="2:14" ht="15.75" customHeight="1" x14ac:dyDescent="0.2">
      <c r="B822" s="374"/>
      <c r="E822" s="375"/>
      <c r="N822" s="374"/>
    </row>
    <row r="823" spans="2:14" ht="15.75" customHeight="1" x14ac:dyDescent="0.2">
      <c r="B823" s="374"/>
      <c r="E823" s="375"/>
      <c r="N823" s="374"/>
    </row>
    <row r="824" spans="2:14" ht="15.75" customHeight="1" x14ac:dyDescent="0.2">
      <c r="B824" s="374"/>
      <c r="E824" s="375"/>
      <c r="N824" s="374"/>
    </row>
    <row r="825" spans="2:14" ht="15.75" customHeight="1" x14ac:dyDescent="0.2">
      <c r="B825" s="374"/>
      <c r="E825" s="375"/>
      <c r="N825" s="374"/>
    </row>
    <row r="826" spans="2:14" ht="15.75" customHeight="1" x14ac:dyDescent="0.2">
      <c r="B826" s="374"/>
      <c r="E826" s="375"/>
      <c r="N826" s="374"/>
    </row>
    <row r="827" spans="2:14" ht="15.75" customHeight="1" x14ac:dyDescent="0.2">
      <c r="B827" s="374"/>
      <c r="E827" s="375"/>
      <c r="N827" s="374"/>
    </row>
    <row r="828" spans="2:14" ht="15.75" customHeight="1" x14ac:dyDescent="0.2">
      <c r="B828" s="374"/>
      <c r="E828" s="375"/>
      <c r="N828" s="374"/>
    </row>
    <row r="829" spans="2:14" ht="15.75" customHeight="1" x14ac:dyDescent="0.2">
      <c r="B829" s="374"/>
      <c r="E829" s="375"/>
      <c r="N829" s="374"/>
    </row>
    <row r="830" spans="2:14" ht="15.75" customHeight="1" x14ac:dyDescent="0.2">
      <c r="B830" s="374"/>
      <c r="E830" s="375"/>
      <c r="N830" s="374"/>
    </row>
    <row r="831" spans="2:14" ht="15.75" customHeight="1" x14ac:dyDescent="0.2">
      <c r="B831" s="374"/>
      <c r="E831" s="375"/>
      <c r="N831" s="374"/>
    </row>
    <row r="832" spans="2:14" ht="15.75" customHeight="1" x14ac:dyDescent="0.2">
      <c r="B832" s="374"/>
      <c r="E832" s="375"/>
      <c r="N832" s="374"/>
    </row>
    <row r="833" spans="2:14" ht="15.75" customHeight="1" x14ac:dyDescent="0.2">
      <c r="B833" s="374"/>
      <c r="E833" s="375"/>
      <c r="N833" s="374"/>
    </row>
    <row r="834" spans="2:14" ht="15.75" customHeight="1" x14ac:dyDescent="0.2">
      <c r="B834" s="374"/>
      <c r="E834" s="375"/>
      <c r="N834" s="374"/>
    </row>
    <row r="835" spans="2:14" ht="15.75" customHeight="1" x14ac:dyDescent="0.2">
      <c r="B835" s="374"/>
      <c r="E835" s="375"/>
      <c r="N835" s="374"/>
    </row>
    <row r="836" spans="2:14" ht="15.75" customHeight="1" x14ac:dyDescent="0.2">
      <c r="B836" s="374"/>
      <c r="E836" s="375"/>
      <c r="N836" s="374"/>
    </row>
    <row r="837" spans="2:14" ht="15.75" customHeight="1" x14ac:dyDescent="0.2">
      <c r="B837" s="374"/>
      <c r="E837" s="375"/>
      <c r="N837" s="374"/>
    </row>
    <row r="838" spans="2:14" ht="15.75" customHeight="1" x14ac:dyDescent="0.2">
      <c r="B838" s="374"/>
      <c r="E838" s="375"/>
      <c r="N838" s="374"/>
    </row>
    <row r="839" spans="2:14" ht="15.75" customHeight="1" x14ac:dyDescent="0.2">
      <c r="B839" s="374"/>
      <c r="E839" s="375"/>
      <c r="N839" s="374"/>
    </row>
    <row r="840" spans="2:14" ht="15.75" customHeight="1" x14ac:dyDescent="0.2">
      <c r="B840" s="374"/>
      <c r="E840" s="375"/>
      <c r="N840" s="374"/>
    </row>
    <row r="841" spans="2:14" ht="15.75" customHeight="1" x14ac:dyDescent="0.2">
      <c r="B841" s="374"/>
      <c r="E841" s="375"/>
      <c r="N841" s="374"/>
    </row>
    <row r="842" spans="2:14" ht="15.75" customHeight="1" x14ac:dyDescent="0.2">
      <c r="B842" s="374"/>
      <c r="E842" s="375"/>
      <c r="N842" s="374"/>
    </row>
    <row r="843" spans="2:14" ht="15.75" customHeight="1" x14ac:dyDescent="0.2">
      <c r="B843" s="374"/>
      <c r="E843" s="375"/>
      <c r="N843" s="374"/>
    </row>
    <row r="844" spans="2:14" ht="15.75" customHeight="1" x14ac:dyDescent="0.2">
      <c r="B844" s="374"/>
      <c r="E844" s="375"/>
      <c r="N844" s="374"/>
    </row>
    <row r="845" spans="2:14" ht="15.75" customHeight="1" x14ac:dyDescent="0.2">
      <c r="B845" s="374"/>
      <c r="E845" s="375"/>
      <c r="N845" s="374"/>
    </row>
    <row r="846" spans="2:14" ht="15.75" customHeight="1" x14ac:dyDescent="0.2">
      <c r="B846" s="374"/>
      <c r="E846" s="375"/>
      <c r="N846" s="374"/>
    </row>
    <row r="847" spans="2:14" ht="15.75" customHeight="1" x14ac:dyDescent="0.2">
      <c r="B847" s="374"/>
      <c r="E847" s="375"/>
      <c r="N847" s="374"/>
    </row>
    <row r="848" spans="2:14" ht="15.75" customHeight="1" x14ac:dyDescent="0.2">
      <c r="B848" s="374"/>
      <c r="E848" s="375"/>
      <c r="N848" s="374"/>
    </row>
    <row r="849" spans="2:14" ht="15.75" customHeight="1" x14ac:dyDescent="0.2">
      <c r="B849" s="374"/>
      <c r="E849" s="375"/>
      <c r="N849" s="374"/>
    </row>
    <row r="850" spans="2:14" ht="15.75" customHeight="1" x14ac:dyDescent="0.2">
      <c r="B850" s="374"/>
      <c r="E850" s="375"/>
      <c r="N850" s="374"/>
    </row>
    <row r="851" spans="2:14" ht="15.75" customHeight="1" x14ac:dyDescent="0.2">
      <c r="B851" s="374"/>
      <c r="E851" s="375"/>
      <c r="N851" s="374"/>
    </row>
    <row r="852" spans="2:14" ht="15.75" customHeight="1" x14ac:dyDescent="0.2">
      <c r="B852" s="374"/>
      <c r="E852" s="375"/>
      <c r="N852" s="374"/>
    </row>
    <row r="853" spans="2:14" ht="15.75" customHeight="1" x14ac:dyDescent="0.2">
      <c r="B853" s="374"/>
      <c r="E853" s="375"/>
      <c r="N853" s="374"/>
    </row>
    <row r="854" spans="2:14" ht="15.75" customHeight="1" x14ac:dyDescent="0.2">
      <c r="B854" s="374"/>
      <c r="E854" s="375"/>
      <c r="N854" s="374"/>
    </row>
    <row r="855" spans="2:14" ht="15.75" customHeight="1" x14ac:dyDescent="0.2">
      <c r="B855" s="374"/>
      <c r="E855" s="375"/>
      <c r="N855" s="374"/>
    </row>
    <row r="856" spans="2:14" ht="15.75" customHeight="1" x14ac:dyDescent="0.2">
      <c r="B856" s="374"/>
      <c r="E856" s="375"/>
      <c r="N856" s="374"/>
    </row>
    <row r="857" spans="2:14" ht="15.75" customHeight="1" x14ac:dyDescent="0.2">
      <c r="B857" s="374"/>
      <c r="E857" s="375"/>
      <c r="N857" s="374"/>
    </row>
    <row r="858" spans="2:14" ht="15.75" customHeight="1" x14ac:dyDescent="0.2">
      <c r="B858" s="374"/>
      <c r="E858" s="375"/>
      <c r="N858" s="374"/>
    </row>
    <row r="859" spans="2:14" ht="15.75" customHeight="1" x14ac:dyDescent="0.2">
      <c r="B859" s="374"/>
      <c r="E859" s="375"/>
      <c r="N859" s="374"/>
    </row>
    <row r="860" spans="2:14" ht="15.75" customHeight="1" x14ac:dyDescent="0.2">
      <c r="B860" s="374"/>
      <c r="E860" s="375"/>
      <c r="N860" s="374"/>
    </row>
    <row r="861" spans="2:14" ht="15.75" customHeight="1" x14ac:dyDescent="0.2">
      <c r="B861" s="374"/>
      <c r="E861" s="375"/>
      <c r="N861" s="374"/>
    </row>
    <row r="862" spans="2:14" ht="15.75" customHeight="1" x14ac:dyDescent="0.2">
      <c r="B862" s="374"/>
      <c r="E862" s="375"/>
      <c r="N862" s="374"/>
    </row>
    <row r="863" spans="2:14" ht="15.75" customHeight="1" x14ac:dyDescent="0.2">
      <c r="B863" s="374"/>
      <c r="E863" s="375"/>
      <c r="N863" s="374"/>
    </row>
    <row r="864" spans="2:14" ht="15.75" customHeight="1" x14ac:dyDescent="0.2">
      <c r="B864" s="374"/>
      <c r="E864" s="375"/>
      <c r="N864" s="374"/>
    </row>
    <row r="865" spans="2:14" ht="15.75" customHeight="1" x14ac:dyDescent="0.2">
      <c r="B865" s="374"/>
      <c r="E865" s="375"/>
      <c r="N865" s="374"/>
    </row>
    <row r="866" spans="2:14" ht="15.75" customHeight="1" x14ac:dyDescent="0.2">
      <c r="B866" s="374"/>
      <c r="E866" s="375"/>
      <c r="N866" s="374"/>
    </row>
    <row r="867" spans="2:14" ht="15.75" customHeight="1" x14ac:dyDescent="0.2">
      <c r="B867" s="374"/>
      <c r="E867" s="375"/>
      <c r="N867" s="374"/>
    </row>
    <row r="868" spans="2:14" ht="15.75" customHeight="1" x14ac:dyDescent="0.2">
      <c r="B868" s="374"/>
      <c r="E868" s="375"/>
      <c r="N868" s="374"/>
    </row>
    <row r="869" spans="2:14" ht="15.75" customHeight="1" x14ac:dyDescent="0.2">
      <c r="B869" s="374"/>
      <c r="E869" s="375"/>
      <c r="N869" s="374"/>
    </row>
    <row r="870" spans="2:14" ht="15.75" customHeight="1" x14ac:dyDescent="0.2">
      <c r="B870" s="374"/>
      <c r="E870" s="375"/>
      <c r="N870" s="374"/>
    </row>
    <row r="871" spans="2:14" ht="15.75" customHeight="1" x14ac:dyDescent="0.2">
      <c r="B871" s="374"/>
      <c r="E871" s="375"/>
      <c r="N871" s="374"/>
    </row>
    <row r="872" spans="2:14" ht="15.75" customHeight="1" x14ac:dyDescent="0.2">
      <c r="B872" s="374"/>
      <c r="E872" s="375"/>
      <c r="N872" s="374"/>
    </row>
    <row r="873" spans="2:14" ht="15.75" customHeight="1" x14ac:dyDescent="0.2">
      <c r="B873" s="374"/>
      <c r="E873" s="375"/>
      <c r="N873" s="374"/>
    </row>
    <row r="874" spans="2:14" ht="15.75" customHeight="1" x14ac:dyDescent="0.2">
      <c r="B874" s="374"/>
      <c r="E874" s="375"/>
      <c r="N874" s="374"/>
    </row>
    <row r="875" spans="2:14" ht="15.75" customHeight="1" x14ac:dyDescent="0.2">
      <c r="B875" s="374"/>
      <c r="E875" s="375"/>
      <c r="N875" s="374"/>
    </row>
    <row r="876" spans="2:14" ht="15.75" customHeight="1" x14ac:dyDescent="0.2">
      <c r="B876" s="374"/>
      <c r="E876" s="375"/>
      <c r="N876" s="374"/>
    </row>
    <row r="877" spans="2:14" ht="15.75" customHeight="1" x14ac:dyDescent="0.2">
      <c r="B877" s="374"/>
      <c r="E877" s="375"/>
      <c r="N877" s="374"/>
    </row>
    <row r="878" spans="2:14" ht="15.75" customHeight="1" x14ac:dyDescent="0.2">
      <c r="B878" s="374"/>
      <c r="E878" s="375"/>
      <c r="N878" s="374"/>
    </row>
    <row r="879" spans="2:14" ht="15.75" customHeight="1" x14ac:dyDescent="0.2">
      <c r="B879" s="374"/>
      <c r="E879" s="375"/>
      <c r="N879" s="374"/>
    </row>
    <row r="880" spans="2:14" ht="15.75" customHeight="1" x14ac:dyDescent="0.2">
      <c r="B880" s="374"/>
      <c r="E880" s="375"/>
      <c r="N880" s="374"/>
    </row>
    <row r="881" spans="2:14" ht="15.75" customHeight="1" x14ac:dyDescent="0.2">
      <c r="B881" s="374"/>
      <c r="E881" s="375"/>
      <c r="N881" s="374"/>
    </row>
    <row r="882" spans="2:14" ht="15.75" customHeight="1" x14ac:dyDescent="0.2">
      <c r="B882" s="374"/>
      <c r="E882" s="375"/>
      <c r="N882" s="374"/>
    </row>
    <row r="883" spans="2:14" ht="15.75" customHeight="1" x14ac:dyDescent="0.2">
      <c r="B883" s="374"/>
      <c r="E883" s="375"/>
      <c r="N883" s="374"/>
    </row>
    <row r="884" spans="2:14" ht="15.75" customHeight="1" x14ac:dyDescent="0.2">
      <c r="B884" s="374"/>
      <c r="E884" s="375"/>
      <c r="N884" s="374"/>
    </row>
    <row r="885" spans="2:14" ht="15.75" customHeight="1" x14ac:dyDescent="0.2">
      <c r="B885" s="374"/>
      <c r="E885" s="375"/>
      <c r="N885" s="374"/>
    </row>
    <row r="886" spans="2:14" ht="15.75" customHeight="1" x14ac:dyDescent="0.2">
      <c r="B886" s="374"/>
      <c r="E886" s="375"/>
      <c r="N886" s="374"/>
    </row>
    <row r="887" spans="2:14" ht="15.75" customHeight="1" x14ac:dyDescent="0.2">
      <c r="B887" s="374"/>
      <c r="E887" s="375"/>
      <c r="N887" s="374"/>
    </row>
    <row r="888" spans="2:14" ht="15.75" customHeight="1" x14ac:dyDescent="0.2">
      <c r="B888" s="374"/>
      <c r="E888" s="375"/>
      <c r="N888" s="374"/>
    </row>
    <row r="889" spans="2:14" ht="15.75" customHeight="1" x14ac:dyDescent="0.2">
      <c r="B889" s="374"/>
      <c r="E889" s="375"/>
      <c r="N889" s="374"/>
    </row>
    <row r="890" spans="2:14" ht="15.75" customHeight="1" x14ac:dyDescent="0.2">
      <c r="B890" s="374"/>
      <c r="E890" s="375"/>
      <c r="N890" s="374"/>
    </row>
    <row r="891" spans="2:14" ht="15.75" customHeight="1" x14ac:dyDescent="0.2">
      <c r="B891" s="374"/>
      <c r="E891" s="375"/>
      <c r="N891" s="374"/>
    </row>
    <row r="892" spans="2:14" ht="15.75" customHeight="1" x14ac:dyDescent="0.2">
      <c r="B892" s="374"/>
      <c r="E892" s="375"/>
      <c r="N892" s="374"/>
    </row>
    <row r="893" spans="2:14" ht="15.75" customHeight="1" x14ac:dyDescent="0.2">
      <c r="B893" s="374"/>
      <c r="E893" s="375"/>
      <c r="N893" s="374"/>
    </row>
    <row r="894" spans="2:14" ht="15.75" customHeight="1" x14ac:dyDescent="0.2">
      <c r="B894" s="374"/>
      <c r="E894" s="375"/>
      <c r="N894" s="374"/>
    </row>
    <row r="895" spans="2:14" ht="15.75" customHeight="1" x14ac:dyDescent="0.2">
      <c r="B895" s="374"/>
      <c r="E895" s="375"/>
      <c r="N895" s="374"/>
    </row>
    <row r="896" spans="2:14" ht="15.75" customHeight="1" x14ac:dyDescent="0.2">
      <c r="B896" s="374"/>
      <c r="E896" s="375"/>
      <c r="N896" s="374"/>
    </row>
    <row r="897" spans="2:14" ht="15.75" customHeight="1" x14ac:dyDescent="0.2">
      <c r="B897" s="374"/>
      <c r="E897" s="375"/>
      <c r="N897" s="374"/>
    </row>
    <row r="898" spans="2:14" ht="15.75" customHeight="1" x14ac:dyDescent="0.2">
      <c r="B898" s="374"/>
      <c r="E898" s="375"/>
      <c r="N898" s="374"/>
    </row>
    <row r="899" spans="2:14" ht="15.75" customHeight="1" x14ac:dyDescent="0.2">
      <c r="B899" s="374"/>
      <c r="E899" s="375"/>
      <c r="N899" s="374"/>
    </row>
    <row r="900" spans="2:14" ht="15.75" customHeight="1" x14ac:dyDescent="0.2">
      <c r="B900" s="374"/>
      <c r="E900" s="375"/>
      <c r="N900" s="374"/>
    </row>
    <row r="901" spans="2:14" ht="15.75" customHeight="1" x14ac:dyDescent="0.2">
      <c r="B901" s="374"/>
      <c r="E901" s="375"/>
      <c r="N901" s="374"/>
    </row>
    <row r="902" spans="2:14" ht="15.75" customHeight="1" x14ac:dyDescent="0.2">
      <c r="B902" s="374"/>
      <c r="E902" s="375"/>
      <c r="N902" s="374"/>
    </row>
    <row r="903" spans="2:14" ht="15.75" customHeight="1" x14ac:dyDescent="0.2">
      <c r="B903" s="374"/>
      <c r="E903" s="375"/>
      <c r="N903" s="374"/>
    </row>
    <row r="904" spans="2:14" ht="15.75" customHeight="1" x14ac:dyDescent="0.2">
      <c r="B904" s="374"/>
      <c r="E904" s="375"/>
      <c r="N904" s="374"/>
    </row>
    <row r="905" spans="2:14" ht="15.75" customHeight="1" x14ac:dyDescent="0.2">
      <c r="B905" s="374"/>
      <c r="E905" s="375"/>
      <c r="N905" s="374"/>
    </row>
    <row r="906" spans="2:14" ht="15.75" customHeight="1" x14ac:dyDescent="0.2">
      <c r="B906" s="374"/>
      <c r="E906" s="375"/>
      <c r="N906" s="374"/>
    </row>
    <row r="907" spans="2:14" ht="15.75" customHeight="1" x14ac:dyDescent="0.2">
      <c r="B907" s="374"/>
      <c r="E907" s="375"/>
      <c r="N907" s="374"/>
    </row>
    <row r="908" spans="2:14" ht="15.75" customHeight="1" x14ac:dyDescent="0.2">
      <c r="B908" s="374"/>
      <c r="E908" s="375"/>
      <c r="N908" s="374"/>
    </row>
    <row r="909" spans="2:14" ht="15.75" customHeight="1" x14ac:dyDescent="0.2">
      <c r="B909" s="374"/>
      <c r="E909" s="375"/>
      <c r="N909" s="374"/>
    </row>
    <row r="910" spans="2:14" ht="15.75" customHeight="1" x14ac:dyDescent="0.2">
      <c r="B910" s="374"/>
      <c r="E910" s="375"/>
      <c r="N910" s="374"/>
    </row>
    <row r="911" spans="2:14" ht="15.75" customHeight="1" x14ac:dyDescent="0.2">
      <c r="B911" s="374"/>
      <c r="E911" s="375"/>
      <c r="N911" s="374"/>
    </row>
    <row r="912" spans="2:14" ht="15.75" customHeight="1" x14ac:dyDescent="0.2">
      <c r="B912" s="374"/>
      <c r="E912" s="375"/>
      <c r="N912" s="374"/>
    </row>
    <row r="913" spans="2:14" ht="15.75" customHeight="1" x14ac:dyDescent="0.2">
      <c r="B913" s="374"/>
      <c r="E913" s="375"/>
      <c r="N913" s="374"/>
    </row>
    <row r="914" spans="2:14" ht="15.75" customHeight="1" x14ac:dyDescent="0.2">
      <c r="B914" s="374"/>
      <c r="E914" s="375"/>
      <c r="N914" s="374"/>
    </row>
    <row r="915" spans="2:14" ht="15.75" customHeight="1" x14ac:dyDescent="0.2">
      <c r="B915" s="374"/>
      <c r="E915" s="375"/>
      <c r="N915" s="374"/>
    </row>
    <row r="916" spans="2:14" ht="15.75" customHeight="1" x14ac:dyDescent="0.2">
      <c r="B916" s="374"/>
      <c r="E916" s="375"/>
      <c r="N916" s="374"/>
    </row>
    <row r="917" spans="2:14" ht="15.75" customHeight="1" x14ac:dyDescent="0.2">
      <c r="B917" s="374"/>
      <c r="E917" s="375"/>
      <c r="N917" s="374"/>
    </row>
    <row r="918" spans="2:14" ht="15.75" customHeight="1" x14ac:dyDescent="0.2">
      <c r="B918" s="374"/>
      <c r="E918" s="375"/>
      <c r="N918" s="374"/>
    </row>
    <row r="919" spans="2:14" ht="15.75" customHeight="1" x14ac:dyDescent="0.2">
      <c r="B919" s="374"/>
      <c r="E919" s="375"/>
      <c r="N919" s="374"/>
    </row>
    <row r="920" spans="2:14" ht="15.75" customHeight="1" x14ac:dyDescent="0.2">
      <c r="B920" s="374"/>
      <c r="E920" s="375"/>
      <c r="N920" s="374"/>
    </row>
    <row r="921" spans="2:14" ht="15.75" customHeight="1" x14ac:dyDescent="0.2">
      <c r="B921" s="374"/>
      <c r="E921" s="375"/>
      <c r="N921" s="374"/>
    </row>
    <row r="922" spans="2:14" ht="15.75" customHeight="1" x14ac:dyDescent="0.2">
      <c r="B922" s="374"/>
      <c r="E922" s="375"/>
      <c r="N922" s="374"/>
    </row>
    <row r="923" spans="2:14" ht="15.75" customHeight="1" x14ac:dyDescent="0.2">
      <c r="B923" s="374"/>
      <c r="E923" s="375"/>
      <c r="N923" s="374"/>
    </row>
    <row r="924" spans="2:14" ht="15.75" customHeight="1" x14ac:dyDescent="0.2">
      <c r="B924" s="374"/>
      <c r="E924" s="375"/>
      <c r="N924" s="374"/>
    </row>
    <row r="925" spans="2:14" ht="15.75" customHeight="1" x14ac:dyDescent="0.2">
      <c r="B925" s="374"/>
      <c r="E925" s="375"/>
      <c r="N925" s="374"/>
    </row>
    <row r="926" spans="2:14" ht="15.75" customHeight="1" x14ac:dyDescent="0.2">
      <c r="B926" s="374"/>
      <c r="E926" s="375"/>
      <c r="N926" s="374"/>
    </row>
    <row r="927" spans="2:14" ht="15.75" customHeight="1" x14ac:dyDescent="0.2">
      <c r="B927" s="374"/>
      <c r="E927" s="375"/>
      <c r="N927" s="374"/>
    </row>
    <row r="928" spans="2:14" ht="15.75" customHeight="1" x14ac:dyDescent="0.2">
      <c r="B928" s="374"/>
      <c r="E928" s="375"/>
      <c r="N928" s="374"/>
    </row>
    <row r="929" spans="2:14" ht="15.75" customHeight="1" x14ac:dyDescent="0.2">
      <c r="B929" s="374"/>
      <c r="E929" s="375"/>
      <c r="N929" s="374"/>
    </row>
    <row r="930" spans="2:14" ht="15.75" customHeight="1" x14ac:dyDescent="0.2">
      <c r="B930" s="374"/>
      <c r="E930" s="375"/>
      <c r="N930" s="374"/>
    </row>
    <row r="931" spans="2:14" ht="15.75" customHeight="1" x14ac:dyDescent="0.2">
      <c r="B931" s="374"/>
      <c r="E931" s="375"/>
      <c r="N931" s="374"/>
    </row>
    <row r="932" spans="2:14" ht="15.75" customHeight="1" x14ac:dyDescent="0.2">
      <c r="B932" s="374"/>
      <c r="E932" s="375"/>
      <c r="N932" s="374"/>
    </row>
    <row r="933" spans="2:14" ht="15.75" customHeight="1" x14ac:dyDescent="0.2">
      <c r="B933" s="374"/>
      <c r="E933" s="375"/>
      <c r="N933" s="374"/>
    </row>
    <row r="934" spans="2:14" ht="15.75" customHeight="1" x14ac:dyDescent="0.2">
      <c r="B934" s="374"/>
      <c r="E934" s="375"/>
      <c r="N934" s="374"/>
    </row>
    <row r="935" spans="2:14" ht="15.75" customHeight="1" x14ac:dyDescent="0.2">
      <c r="B935" s="374"/>
      <c r="E935" s="375"/>
      <c r="N935" s="374"/>
    </row>
    <row r="936" spans="2:14" ht="15.75" customHeight="1" x14ac:dyDescent="0.2">
      <c r="B936" s="374"/>
      <c r="E936" s="375"/>
      <c r="N936" s="374"/>
    </row>
    <row r="937" spans="2:14" ht="15.75" customHeight="1" x14ac:dyDescent="0.2">
      <c r="B937" s="374"/>
      <c r="E937" s="375"/>
      <c r="N937" s="374"/>
    </row>
    <row r="938" spans="2:14" ht="15.75" customHeight="1" x14ac:dyDescent="0.2">
      <c r="B938" s="374"/>
      <c r="E938" s="375"/>
      <c r="N938" s="374"/>
    </row>
    <row r="939" spans="2:14" ht="15.75" customHeight="1" x14ac:dyDescent="0.2">
      <c r="B939" s="374"/>
      <c r="E939" s="375"/>
      <c r="N939" s="374"/>
    </row>
    <row r="940" spans="2:14" ht="15.75" customHeight="1" x14ac:dyDescent="0.2">
      <c r="B940" s="374"/>
      <c r="E940" s="375"/>
      <c r="N940" s="374"/>
    </row>
    <row r="941" spans="2:14" ht="15.75" customHeight="1" x14ac:dyDescent="0.2">
      <c r="B941" s="374"/>
      <c r="E941" s="375"/>
      <c r="N941" s="374"/>
    </row>
    <row r="942" spans="2:14" ht="15.75" customHeight="1" x14ac:dyDescent="0.2">
      <c r="B942" s="374"/>
      <c r="E942" s="375"/>
      <c r="N942" s="374"/>
    </row>
    <row r="943" spans="2:14" ht="15.75" customHeight="1" x14ac:dyDescent="0.2">
      <c r="B943" s="374"/>
      <c r="E943" s="375"/>
      <c r="N943" s="374"/>
    </row>
    <row r="944" spans="2:14" ht="15.75" customHeight="1" x14ac:dyDescent="0.2">
      <c r="B944" s="374"/>
      <c r="E944" s="375"/>
      <c r="N944" s="374"/>
    </row>
    <row r="945" spans="2:14" ht="15.75" customHeight="1" x14ac:dyDescent="0.2">
      <c r="B945" s="374"/>
      <c r="E945" s="375"/>
      <c r="N945" s="374"/>
    </row>
    <row r="946" spans="2:14" ht="15.75" customHeight="1" x14ac:dyDescent="0.2">
      <c r="B946" s="374"/>
      <c r="E946" s="375"/>
      <c r="N946" s="374"/>
    </row>
    <row r="947" spans="2:14" ht="15.75" customHeight="1" x14ac:dyDescent="0.2">
      <c r="B947" s="374"/>
      <c r="E947" s="375"/>
      <c r="N947" s="374"/>
    </row>
    <row r="948" spans="2:14" ht="15.75" customHeight="1" x14ac:dyDescent="0.2">
      <c r="B948" s="374"/>
      <c r="E948" s="375"/>
      <c r="N948" s="374"/>
    </row>
    <row r="949" spans="2:14" ht="15.75" customHeight="1" x14ac:dyDescent="0.2">
      <c r="B949" s="374"/>
      <c r="E949" s="375"/>
      <c r="N949" s="374"/>
    </row>
    <row r="950" spans="2:14" ht="15.75" customHeight="1" x14ac:dyDescent="0.2">
      <c r="B950" s="374"/>
      <c r="E950" s="375"/>
      <c r="N950" s="374"/>
    </row>
    <row r="951" spans="2:14" ht="15.75" customHeight="1" x14ac:dyDescent="0.2">
      <c r="B951" s="374"/>
      <c r="E951" s="375"/>
      <c r="N951" s="374"/>
    </row>
    <row r="952" spans="2:14" ht="15.75" customHeight="1" x14ac:dyDescent="0.2">
      <c r="B952" s="374"/>
      <c r="E952" s="375"/>
      <c r="N952" s="374"/>
    </row>
    <row r="953" spans="2:14" ht="15.75" customHeight="1" x14ac:dyDescent="0.2">
      <c r="B953" s="374"/>
      <c r="E953" s="375"/>
      <c r="N953" s="374"/>
    </row>
    <row r="954" spans="2:14" ht="15.75" customHeight="1" x14ac:dyDescent="0.2">
      <c r="B954" s="374"/>
      <c r="E954" s="375"/>
      <c r="N954" s="374"/>
    </row>
    <row r="955" spans="2:14" ht="15.75" customHeight="1" x14ac:dyDescent="0.2">
      <c r="B955" s="374"/>
      <c r="E955" s="375"/>
      <c r="N955" s="374"/>
    </row>
    <row r="956" spans="2:14" ht="15.75" customHeight="1" x14ac:dyDescent="0.2">
      <c r="B956" s="374"/>
      <c r="E956" s="375"/>
      <c r="N956" s="374"/>
    </row>
    <row r="957" spans="2:14" ht="15.75" customHeight="1" x14ac:dyDescent="0.2">
      <c r="B957" s="374"/>
      <c r="E957" s="375"/>
      <c r="N957" s="374"/>
    </row>
    <row r="958" spans="2:14" ht="15.75" customHeight="1" x14ac:dyDescent="0.2">
      <c r="B958" s="374"/>
      <c r="E958" s="375"/>
      <c r="N958" s="374"/>
    </row>
    <row r="959" spans="2:14" ht="15.75" customHeight="1" x14ac:dyDescent="0.2">
      <c r="B959" s="374"/>
      <c r="E959" s="375"/>
      <c r="N959" s="374"/>
    </row>
    <row r="960" spans="2:14" ht="15.75" customHeight="1" x14ac:dyDescent="0.2">
      <c r="B960" s="374"/>
      <c r="E960" s="375"/>
      <c r="N960" s="374"/>
    </row>
    <row r="961" spans="2:14" ht="15.75" customHeight="1" x14ac:dyDescent="0.2">
      <c r="B961" s="374"/>
      <c r="E961" s="375"/>
      <c r="N961" s="374"/>
    </row>
    <row r="962" spans="2:14" ht="15.75" customHeight="1" x14ac:dyDescent="0.2">
      <c r="B962" s="374"/>
      <c r="E962" s="375"/>
      <c r="N962" s="374"/>
    </row>
    <row r="963" spans="2:14" ht="15.75" customHeight="1" x14ac:dyDescent="0.2">
      <c r="B963" s="374"/>
      <c r="E963" s="375"/>
      <c r="N963" s="374"/>
    </row>
    <row r="964" spans="2:14" ht="15.75" customHeight="1" x14ac:dyDescent="0.2">
      <c r="B964" s="374"/>
      <c r="E964" s="375"/>
      <c r="N964" s="374"/>
    </row>
    <row r="965" spans="2:14" ht="15.75" customHeight="1" x14ac:dyDescent="0.2">
      <c r="B965" s="374"/>
      <c r="E965" s="375"/>
      <c r="N965" s="374"/>
    </row>
    <row r="966" spans="2:14" ht="15.75" customHeight="1" x14ac:dyDescent="0.2">
      <c r="B966" s="374"/>
      <c r="E966" s="375"/>
      <c r="N966" s="374"/>
    </row>
    <row r="967" spans="2:14" ht="15.75" customHeight="1" x14ac:dyDescent="0.2">
      <c r="B967" s="374"/>
      <c r="E967" s="375"/>
      <c r="N967" s="374"/>
    </row>
    <row r="968" spans="2:14" ht="15.75" customHeight="1" x14ac:dyDescent="0.2">
      <c r="B968" s="374"/>
      <c r="E968" s="375"/>
      <c r="N968" s="374"/>
    </row>
    <row r="969" spans="2:14" ht="15.75" customHeight="1" x14ac:dyDescent="0.2">
      <c r="B969" s="374"/>
      <c r="E969" s="375"/>
      <c r="N969" s="374"/>
    </row>
    <row r="970" spans="2:14" ht="15.75" customHeight="1" x14ac:dyDescent="0.2">
      <c r="B970" s="374"/>
      <c r="E970" s="375"/>
      <c r="N970" s="374"/>
    </row>
    <row r="971" spans="2:14" ht="15.75" customHeight="1" x14ac:dyDescent="0.2">
      <c r="B971" s="374"/>
      <c r="E971" s="375"/>
      <c r="N971" s="374"/>
    </row>
    <row r="972" spans="2:14" ht="15.75" customHeight="1" x14ac:dyDescent="0.2">
      <c r="B972" s="374"/>
      <c r="E972" s="375"/>
      <c r="N972" s="374"/>
    </row>
    <row r="973" spans="2:14" ht="15.75" customHeight="1" x14ac:dyDescent="0.2">
      <c r="B973" s="374"/>
      <c r="E973" s="375"/>
      <c r="N973" s="374"/>
    </row>
    <row r="974" spans="2:14" ht="15.75" customHeight="1" x14ac:dyDescent="0.2">
      <c r="B974" s="374"/>
      <c r="E974" s="375"/>
      <c r="N974" s="374"/>
    </row>
    <row r="975" spans="2:14" ht="15.75" customHeight="1" x14ac:dyDescent="0.2">
      <c r="B975" s="374"/>
      <c r="E975" s="375"/>
      <c r="N975" s="374"/>
    </row>
    <row r="976" spans="2:14" ht="15.75" customHeight="1" x14ac:dyDescent="0.2">
      <c r="B976" s="374"/>
      <c r="E976" s="375"/>
      <c r="N976" s="374"/>
    </row>
    <row r="977" spans="2:14" ht="15.75" customHeight="1" x14ac:dyDescent="0.2">
      <c r="B977" s="374"/>
      <c r="E977" s="375"/>
      <c r="N977" s="374"/>
    </row>
    <row r="978" spans="2:14" ht="15.75" customHeight="1" x14ac:dyDescent="0.2">
      <c r="B978" s="374"/>
      <c r="E978" s="375"/>
      <c r="N978" s="374"/>
    </row>
    <row r="979" spans="2:14" ht="15.75" customHeight="1" x14ac:dyDescent="0.2">
      <c r="B979" s="374"/>
      <c r="E979" s="375"/>
      <c r="N979" s="374"/>
    </row>
    <row r="980" spans="2:14" ht="15.75" customHeight="1" x14ac:dyDescent="0.2">
      <c r="B980" s="374"/>
      <c r="E980" s="375"/>
      <c r="N980" s="374"/>
    </row>
    <row r="981" spans="2:14" ht="15.75" customHeight="1" x14ac:dyDescent="0.2">
      <c r="B981" s="374"/>
      <c r="E981" s="375"/>
      <c r="N981" s="374"/>
    </row>
    <row r="982" spans="2:14" ht="15.75" customHeight="1" x14ac:dyDescent="0.2">
      <c r="B982" s="374"/>
      <c r="E982" s="375"/>
      <c r="N982" s="374"/>
    </row>
    <row r="983" spans="2:14" ht="15.75" customHeight="1" x14ac:dyDescent="0.2">
      <c r="B983" s="374"/>
      <c r="E983" s="375"/>
      <c r="N983" s="374"/>
    </row>
    <row r="984" spans="2:14" ht="15.75" customHeight="1" x14ac:dyDescent="0.2">
      <c r="B984" s="374"/>
      <c r="E984" s="375"/>
      <c r="N984" s="374"/>
    </row>
    <row r="985" spans="2:14" ht="15.75" customHeight="1" x14ac:dyDescent="0.2">
      <c r="B985" s="374"/>
      <c r="E985" s="375"/>
      <c r="N985" s="374"/>
    </row>
    <row r="986" spans="2:14" ht="15.75" customHeight="1" x14ac:dyDescent="0.2">
      <c r="B986" s="374"/>
      <c r="E986" s="375"/>
      <c r="N986" s="374"/>
    </row>
    <row r="987" spans="2:14" ht="15.75" customHeight="1" x14ac:dyDescent="0.2">
      <c r="B987" s="374"/>
      <c r="E987" s="375"/>
      <c r="N987" s="374"/>
    </row>
    <row r="988" spans="2:14" ht="15.75" customHeight="1" x14ac:dyDescent="0.2">
      <c r="B988" s="374"/>
      <c r="E988" s="375"/>
      <c r="N988" s="374"/>
    </row>
    <row r="989" spans="2:14" ht="15.75" customHeight="1" x14ac:dyDescent="0.2">
      <c r="B989" s="374"/>
      <c r="E989" s="375"/>
      <c r="N989" s="374"/>
    </row>
    <row r="990" spans="2:14" ht="15.75" customHeight="1" x14ac:dyDescent="0.2">
      <c r="B990" s="374"/>
      <c r="E990" s="375"/>
      <c r="N990" s="374"/>
    </row>
    <row r="991" spans="2:14" ht="15.75" customHeight="1" x14ac:dyDescent="0.2">
      <c r="B991" s="374"/>
      <c r="E991" s="375"/>
      <c r="N991" s="374"/>
    </row>
    <row r="992" spans="2:14" ht="15.75" customHeight="1" x14ac:dyDescent="0.2">
      <c r="B992" s="374"/>
      <c r="E992" s="375"/>
      <c r="N992" s="374"/>
    </row>
    <row r="993" spans="2:14" ht="15.75" customHeight="1" x14ac:dyDescent="0.2">
      <c r="B993" s="374"/>
      <c r="E993" s="375"/>
      <c r="N993" s="374"/>
    </row>
    <row r="994" spans="2:14" ht="15.75" customHeight="1" x14ac:dyDescent="0.2">
      <c r="B994" s="374"/>
      <c r="E994" s="375"/>
      <c r="N994" s="374"/>
    </row>
    <row r="995" spans="2:14" ht="15.75" customHeight="1" x14ac:dyDescent="0.2">
      <c r="B995" s="374"/>
      <c r="E995" s="375"/>
      <c r="N995" s="374"/>
    </row>
    <row r="996" spans="2:14" ht="15.75" customHeight="1" x14ac:dyDescent="0.2">
      <c r="B996" s="374"/>
      <c r="E996" s="375"/>
      <c r="N996" s="374"/>
    </row>
    <row r="997" spans="2:14" ht="15.75" customHeight="1" x14ac:dyDescent="0.2">
      <c r="B997" s="374"/>
      <c r="E997" s="375"/>
      <c r="N997" s="374"/>
    </row>
    <row r="998" spans="2:14" ht="15.75" customHeight="1" x14ac:dyDescent="0.2">
      <c r="B998" s="374"/>
      <c r="E998" s="375"/>
      <c r="N998" s="374"/>
    </row>
    <row r="999" spans="2:14" ht="15.75" customHeight="1" x14ac:dyDescent="0.2">
      <c r="B999" s="374"/>
      <c r="E999" s="375"/>
      <c r="N999" s="374"/>
    </row>
    <row r="1000" spans="2:14" ht="15.75" customHeight="1" x14ac:dyDescent="0.2">
      <c r="B1000" s="374"/>
      <c r="E1000" s="375"/>
      <c r="N1000" s="374"/>
    </row>
    <row r="1001" spans="2:14" ht="15.75" customHeight="1" x14ac:dyDescent="0.2">
      <c r="B1001" s="374"/>
      <c r="E1001" s="375"/>
      <c r="N1001" s="374"/>
    </row>
    <row r="1002" spans="2:14" ht="15.75" customHeight="1" x14ac:dyDescent="0.2">
      <c r="B1002" s="374"/>
      <c r="E1002" s="375"/>
      <c r="N1002" s="374"/>
    </row>
    <row r="1003" spans="2:14" ht="15.75" customHeight="1" x14ac:dyDescent="0.2">
      <c r="B1003" s="374"/>
      <c r="E1003" s="375"/>
      <c r="N1003" s="374"/>
    </row>
    <row r="1004" spans="2:14" ht="15.75" customHeight="1" x14ac:dyDescent="0.2">
      <c r="B1004" s="374"/>
      <c r="E1004" s="375"/>
      <c r="N1004" s="374"/>
    </row>
  </sheetData>
  <hyperlinks>
    <hyperlink ref="I195" r:id="rId1" xr:uid="{00000000-0004-0000-0100-000000000000}"/>
    <hyperlink ref="I216" r:id="rId2" xr:uid="{00000000-0004-0000-0100-000001000000}"/>
    <hyperlink ref="I217" r:id="rId3" xr:uid="{00000000-0004-0000-0100-000002000000}"/>
    <hyperlink ref="I357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2025-05-24T02:58:17Z</dcterms:modified>
</cp:coreProperties>
</file>