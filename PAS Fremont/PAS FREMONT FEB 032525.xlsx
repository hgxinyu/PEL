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DD7EFD96-2074-4268-9F6B-4C65B335F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2" r:id="rId1"/>
    <sheet name="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xzGN+83ytTEILfpF0Tssrgy2AA8qkCcYB5kjmciwqE="/>
    </ext>
  </extLst>
</workbook>
</file>

<file path=xl/calcChain.xml><?xml version="1.0" encoding="utf-8"?>
<calcChain xmlns="http://schemas.openxmlformats.org/spreadsheetml/2006/main">
  <c r="C44" i="2" l="1"/>
  <c r="C50" i="2" s="1"/>
  <c r="C43" i="2"/>
  <c r="C49" i="2" s="1"/>
  <c r="L42" i="2"/>
  <c r="C54" i="2" s="1"/>
  <c r="D13" i="2" s="1"/>
  <c r="E13" i="2" s="1"/>
  <c r="I42" i="2"/>
  <c r="C52" i="2" s="1"/>
  <c r="L41" i="2"/>
  <c r="C53" i="2" s="1"/>
  <c r="D12" i="2" s="1"/>
  <c r="E12" i="2" s="1"/>
  <c r="I41" i="2"/>
  <c r="C51" i="2" s="1"/>
  <c r="A31" i="2"/>
  <c r="A30" i="2"/>
  <c r="A29" i="2"/>
  <c r="A28" i="2"/>
  <c r="A27" i="2"/>
  <c r="A26" i="2"/>
  <c r="E25" i="2"/>
  <c r="A25" i="2"/>
  <c r="E24" i="2"/>
  <c r="A24" i="2"/>
  <c r="E23" i="2"/>
  <c r="A23" i="2"/>
  <c r="E22" i="2"/>
  <c r="A22" i="2"/>
  <c r="E21" i="2"/>
  <c r="A21" i="2"/>
  <c r="E20" i="2"/>
  <c r="A20" i="2"/>
  <c r="E19" i="2"/>
  <c r="A19" i="2"/>
  <c r="E18" i="2"/>
  <c r="A18" i="2"/>
  <c r="C17" i="2"/>
  <c r="A17" i="2"/>
  <c r="C16" i="2"/>
  <c r="A16" i="2"/>
  <c r="E15" i="2"/>
  <c r="D15" i="2"/>
  <c r="C15" i="2"/>
  <c r="A15" i="2"/>
  <c r="D14" i="2"/>
  <c r="C14" i="2"/>
  <c r="E14" i="2" s="1"/>
  <c r="A14" i="2"/>
  <c r="A13" i="2"/>
  <c r="A12" i="2"/>
  <c r="D11" i="2"/>
  <c r="E11" i="2" s="1"/>
  <c r="A11" i="2"/>
  <c r="A10" i="2"/>
  <c r="A9" i="2"/>
  <c r="X3" i="1"/>
  <c r="W3" i="1"/>
  <c r="V3" i="1"/>
  <c r="U3" i="1"/>
  <c r="T3" i="1"/>
  <c r="AC3" i="1" s="1"/>
  <c r="S3" i="1"/>
  <c r="AA3" i="1" s="1"/>
  <c r="C3" i="1"/>
  <c r="X2" i="1"/>
  <c r="X4" i="1" s="1"/>
  <c r="W2" i="1"/>
  <c r="W4" i="1" s="1"/>
  <c r="V2" i="1"/>
  <c r="V4" i="1" s="1"/>
  <c r="U2" i="1"/>
  <c r="U4" i="1" s="1"/>
  <c r="T2" i="1"/>
  <c r="AC2" i="1" s="1"/>
  <c r="S2" i="1"/>
  <c r="AA2" i="1" s="1"/>
  <c r="AA4" i="1" s="1"/>
  <c r="N2" i="1"/>
  <c r="C2" i="1"/>
  <c r="N1" i="1"/>
  <c r="C55" i="2" l="1"/>
  <c r="D9" i="2" s="1"/>
  <c r="C56" i="2"/>
  <c r="S4" i="1"/>
  <c r="Y2" i="1"/>
  <c r="T4" i="1"/>
  <c r="D16" i="2"/>
  <c r="E16" i="2" s="1"/>
  <c r="Z2" i="1"/>
  <c r="D17" i="2"/>
  <c r="E17" i="2" s="1"/>
  <c r="D44" i="2"/>
  <c r="Y3" i="1"/>
  <c r="Z3" i="1"/>
  <c r="E26" i="2" l="1"/>
  <c r="E31" i="2" s="1"/>
  <c r="Z4" i="1"/>
  <c r="Y4" i="1"/>
  <c r="D56" i="2"/>
  <c r="D10" i="2"/>
  <c r="T5" i="1" l="1"/>
</calcChain>
</file>

<file path=xl/sharedStrings.xml><?xml version="1.0" encoding="utf-8"?>
<sst xmlns="http://schemas.openxmlformats.org/spreadsheetml/2006/main" count="2676" uniqueCount="843">
  <si>
    <t>eo</t>
  </si>
  <si>
    <t>PEL Learning Center, Fremont</t>
  </si>
  <si>
    <t>Report S</t>
  </si>
  <si>
    <t>C</t>
  </si>
  <si>
    <t>N</t>
  </si>
  <si>
    <t>A</t>
  </si>
  <si>
    <t>F</t>
  </si>
  <si>
    <t>R</t>
  </si>
  <si>
    <t>IT</t>
  </si>
  <si>
    <t>Start</t>
  </si>
  <si>
    <t>END</t>
  </si>
  <si>
    <t>CK</t>
  </si>
  <si>
    <t>M</t>
  </si>
  <si>
    <t>Center No.: LW2</t>
  </si>
  <si>
    <t>E</t>
  </si>
  <si>
    <t>T</t>
  </si>
  <si>
    <t>No.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</si>
  <si>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</si>
  <si>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</si>
  <si>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</si>
  <si>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</si>
  <si>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</si>
  <si>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</si>
  <si>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</si>
  <si>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</si>
  <si>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</si>
  <si>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Mar. WKS Lv</t>
  </si>
  <si>
    <t>Mar. WKS #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</si>
  <si>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</si>
  <si>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</si>
  <si>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</si>
  <si>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</si>
  <si>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</si>
  <si>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</si>
  <si>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</si>
  <si>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</si>
  <si>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</si>
  <si>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MM1</t>
  </si>
  <si>
    <t>81P</t>
  </si>
  <si>
    <t>Cai</t>
  </si>
  <si>
    <t>Ethan</t>
  </si>
  <si>
    <t>10/16/2013</t>
  </si>
  <si>
    <t>136 Gamma Grass terFremontCA94539</t>
  </si>
  <si>
    <t>zoelulu9898@gmail.com</t>
  </si>
  <si>
    <t>7/22/2024</t>
  </si>
  <si>
    <t>MG9</t>
  </si>
  <si>
    <t xml:space="preserve">EG7 </t>
  </si>
  <si>
    <t>41P</t>
  </si>
  <si>
    <t>Yiyao</t>
  </si>
  <si>
    <t>8930 Wave Cove Way</t>
  </si>
  <si>
    <t>caijie0620@gmail.com</t>
  </si>
  <si>
    <t>EG3</t>
  </si>
  <si>
    <t>21P</t>
  </si>
  <si>
    <t>8931 Wave Cove Way</t>
  </si>
  <si>
    <t>MG5</t>
  </si>
  <si>
    <t>A. Test</t>
  </si>
  <si>
    <t xml:space="preserve">correct to math </t>
  </si>
  <si>
    <t>Chandra</t>
  </si>
  <si>
    <t>Vivaan</t>
  </si>
  <si>
    <t>6/23/2017</t>
  </si>
  <si>
    <t>3465 Inspiration Way #205</t>
  </si>
  <si>
    <t>vishsan06@gmail.com</t>
  </si>
  <si>
    <t>12/10/2024</t>
  </si>
  <si>
    <t>EK3</t>
  </si>
  <si>
    <t>56P</t>
  </si>
  <si>
    <t>MG2</t>
  </si>
  <si>
    <t>96s</t>
  </si>
  <si>
    <t>Chen</t>
  </si>
  <si>
    <t>Charlene</t>
  </si>
  <si>
    <t>46 Eagle Green, Fremont, CA</t>
  </si>
  <si>
    <t>bettyguan1990@gmail.com</t>
  </si>
  <si>
    <t>EG1</t>
  </si>
  <si>
    <t>26P</t>
  </si>
  <si>
    <t>MG4</t>
  </si>
  <si>
    <t>71P</t>
  </si>
  <si>
    <t>Kaylee</t>
  </si>
  <si>
    <t>K</t>
  </si>
  <si>
    <t>11/25/2017</t>
  </si>
  <si>
    <t>473 Craycroft DrFremontCA94539</t>
  </si>
  <si>
    <t>victor_chen82@yahoo.com</t>
  </si>
  <si>
    <t>8/16/2024</t>
  </si>
  <si>
    <t>EG2B</t>
  </si>
  <si>
    <t>MG7</t>
  </si>
  <si>
    <t>88P</t>
  </si>
  <si>
    <t>Kyna</t>
  </si>
  <si>
    <t>49119 Rose Ter Fremont Ca 94539</t>
  </si>
  <si>
    <t>gcychen@outlook.com</t>
  </si>
  <si>
    <t>EK1</t>
  </si>
  <si>
    <t>46P</t>
  </si>
  <si>
    <t xml:space="preserve">New Student </t>
  </si>
  <si>
    <t>Shelley</t>
  </si>
  <si>
    <t>1499 Piedmont Rd, San Jose, CA</t>
  </si>
  <si>
    <t>rannie_chen@hotmail.com</t>
  </si>
  <si>
    <t>EG1B</t>
  </si>
  <si>
    <t>CHENG</t>
  </si>
  <si>
    <t>PHOEBE</t>
  </si>
  <si>
    <t>6/2/2017</t>
  </si>
  <si>
    <t>46710 crawford St</t>
  </si>
  <si>
    <t>nancyw0602@gmail.com</t>
  </si>
  <si>
    <t>06/1/2024</t>
  </si>
  <si>
    <t>EG2</t>
  </si>
  <si>
    <t>75P</t>
  </si>
  <si>
    <t>2nd subject</t>
  </si>
  <si>
    <t>Cho</t>
  </si>
  <si>
    <t>Eaint Khun(Hazel)</t>
  </si>
  <si>
    <t>5/17/2015</t>
  </si>
  <si>
    <t>49002 Cinnamon Fern Common</t>
  </si>
  <si>
    <t>hsumon.tarm@gmail.com</t>
  </si>
  <si>
    <t>12/9/2024</t>
  </si>
  <si>
    <t>EG5</t>
  </si>
  <si>
    <t>1P</t>
  </si>
  <si>
    <t>MG8</t>
  </si>
  <si>
    <t>91P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</si>
  <si>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</si>
  <si>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</si>
  <si>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</si>
  <si>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</si>
  <si>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</si>
  <si>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</si>
  <si>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</si>
  <si>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</si>
  <si>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</si>
  <si>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8/21/2024</t>
  </si>
  <si>
    <t>EG6</t>
  </si>
  <si>
    <t>101P</t>
  </si>
  <si>
    <t>MG10</t>
  </si>
  <si>
    <t>Coodnapur</t>
  </si>
  <si>
    <t>Samarth</t>
  </si>
  <si>
    <t>47631 Gridley court</t>
  </si>
  <si>
    <t>rashmihholla@gmail.com</t>
  </si>
  <si>
    <t>78P</t>
  </si>
  <si>
    <t>absent in Feb.  back in late march</t>
  </si>
  <si>
    <t>Coondapur</t>
  </si>
  <si>
    <t>Du</t>
  </si>
  <si>
    <t>Jeffrey</t>
  </si>
  <si>
    <t>2190 Cuesta Dr, Milpitas CA</t>
  </si>
  <si>
    <t>tingnaxu1120@gmail.com</t>
  </si>
  <si>
    <t>99p</t>
  </si>
  <si>
    <t>50p</t>
  </si>
  <si>
    <t>Terina</t>
  </si>
  <si>
    <t>2190 Cuesta Dr, Milpitas, CA, 95035</t>
  </si>
  <si>
    <t>EK4</t>
  </si>
  <si>
    <t>110p</t>
  </si>
  <si>
    <t>Fan</t>
  </si>
  <si>
    <t>Angela</t>
  </si>
  <si>
    <t>295 Fusteria Ct., Fremont, CA</t>
  </si>
  <si>
    <t>fwentao@gmail.com</t>
  </si>
  <si>
    <t>EM1</t>
  </si>
  <si>
    <t>6P</t>
  </si>
  <si>
    <t>2nd</t>
  </si>
  <si>
    <t>Golla</t>
  </si>
  <si>
    <t>Kanishk</t>
  </si>
  <si>
    <t>48943 Air fern common</t>
  </si>
  <si>
    <t xml:space="preserve">harish.golla@gmail.com
</t>
  </si>
  <si>
    <t>MG6</t>
  </si>
  <si>
    <t>106P</t>
  </si>
  <si>
    <t>harish.golla@gmail.com</t>
  </si>
  <si>
    <t>Hang</t>
  </si>
  <si>
    <t>Kate</t>
  </si>
  <si>
    <t>9/1/2014</t>
  </si>
  <si>
    <t>310 Stocker Ct，Fremont</t>
  </si>
  <si>
    <t>leeliantan@gmail.com</t>
  </si>
  <si>
    <t>11/16/2024</t>
  </si>
  <si>
    <t>EG7</t>
  </si>
  <si>
    <t>36P</t>
  </si>
  <si>
    <t>9/2/2014</t>
  </si>
  <si>
    <t>311 Stocker Ct，Fremont</t>
  </si>
  <si>
    <t>Held</t>
  </si>
  <si>
    <t>Michael</t>
  </si>
  <si>
    <t>Warm Spring, Fremont,CA</t>
  </si>
  <si>
    <t>Zhuxi@hotmail.com</t>
  </si>
  <si>
    <t>EG8</t>
  </si>
  <si>
    <t>9P</t>
  </si>
  <si>
    <t>MG11</t>
  </si>
  <si>
    <t>Hsieh</t>
  </si>
  <si>
    <t>Lawrence</t>
  </si>
  <si>
    <t>PK</t>
  </si>
  <si>
    <t>50 ESMERELDA FALLS TERRACE, Fremont, CA</t>
  </si>
  <si>
    <t>songjinglan@hotmail.com</t>
  </si>
  <si>
    <t>11P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</si>
  <si>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</si>
  <si>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</si>
  <si>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</si>
  <si>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</si>
  <si>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</si>
  <si>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</si>
  <si>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Karthik</t>
  </si>
  <si>
    <t>Krish</t>
  </si>
  <si>
    <t>4/17/2017</t>
  </si>
  <si>
    <t>3715 broadcast common，Fremont</t>
  </si>
  <si>
    <t>suchitra.pv@gmail.com</t>
  </si>
  <si>
    <t>11/1/2024</t>
  </si>
  <si>
    <t>EG4</t>
  </si>
  <si>
    <t>4/18/2017</t>
  </si>
  <si>
    <t>3716 broadcast common，Fremont</t>
  </si>
  <si>
    <t>Li</t>
  </si>
  <si>
    <t>Eli</t>
  </si>
  <si>
    <t>7/3/2020</t>
  </si>
  <si>
    <t>5431 shattuck aveFremontCA94555</t>
  </si>
  <si>
    <t>yoyomaidongxi@gmail.com</t>
  </si>
  <si>
    <t>53P</t>
  </si>
  <si>
    <t>Ian</t>
  </si>
  <si>
    <t>12/5/2017</t>
  </si>
  <si>
    <t>LIN</t>
  </si>
  <si>
    <t>YUENING</t>
  </si>
  <si>
    <t>6/24/2018</t>
  </si>
  <si>
    <t>44908 Wisdom rd</t>
  </si>
  <si>
    <t>flora.qu@compass.com</t>
  </si>
  <si>
    <t>06/05/2024</t>
  </si>
  <si>
    <t>105P</t>
  </si>
  <si>
    <t>6/24/2019</t>
  </si>
  <si>
    <t>44909 Wisdom rd</t>
  </si>
  <si>
    <t>2nd Subject</t>
  </si>
  <si>
    <t>Liu</t>
  </si>
  <si>
    <t xml:space="preserve">Alysia </t>
  </si>
  <si>
    <t>47074 Palo Amarillo Dr, , Fremont, CA</t>
  </si>
  <si>
    <t>danlirealty@gmail.com</t>
  </si>
  <si>
    <t>76P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</si>
  <si>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</si>
  <si>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</si>
  <si>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</si>
  <si>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</si>
  <si>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</si>
  <si>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</si>
  <si>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</si>
  <si>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</si>
  <si>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66P</t>
  </si>
  <si>
    <t>Jasper</t>
  </si>
  <si>
    <t>455 Tonopah Drive, Fremont, CA</t>
  </si>
  <si>
    <t>EK5</t>
  </si>
  <si>
    <t>58P</t>
  </si>
  <si>
    <t>Jeremy</t>
  </si>
  <si>
    <t>EM2</t>
  </si>
  <si>
    <t>MH2</t>
  </si>
  <si>
    <t>Mekala</t>
  </si>
  <si>
    <t>Prahan</t>
  </si>
  <si>
    <t>7/16/2019</t>
  </si>
  <si>
    <t>285 hackamore cmnfremontCA94539</t>
  </si>
  <si>
    <t>prashanthreddykm@gmail.com</t>
  </si>
  <si>
    <t>8/23/2024</t>
  </si>
  <si>
    <t>NERUKAR</t>
  </si>
  <si>
    <t>MEERA</t>
  </si>
  <si>
    <t>4/16/2018</t>
  </si>
  <si>
    <t>48432 Silva Pomar Ter</t>
  </si>
  <si>
    <t>ameyavnerurkar@gmail.com</t>
  </si>
  <si>
    <t>06/18/2024</t>
  </si>
  <si>
    <t>86P</t>
  </si>
  <si>
    <t>typo: M</t>
  </si>
  <si>
    <t>NGUYEN</t>
  </si>
  <si>
    <t>RICKY</t>
  </si>
  <si>
    <t>434 Curtner Dr, milpitas</t>
  </si>
  <si>
    <t>bichngocqn84@yahoo.com</t>
  </si>
  <si>
    <t>95P</t>
  </si>
  <si>
    <t>RUBY</t>
  </si>
  <si>
    <t>51P</t>
  </si>
  <si>
    <t>Niu</t>
  </si>
  <si>
    <t>3871 Vanguard Cmn 1001, Fremont, CA, 94538</t>
  </si>
  <si>
    <t>nkniuchao@gmail.com</t>
  </si>
  <si>
    <t>Patil</t>
  </si>
  <si>
    <t>Anvika</t>
  </si>
  <si>
    <t>k</t>
  </si>
  <si>
    <t>4/1/2019</t>
  </si>
  <si>
    <t>3511 Vision Cmn Unit 1004FremontCA94538</t>
  </si>
  <si>
    <t>jeetenpatil@gmail.com</t>
  </si>
  <si>
    <t>45P</t>
  </si>
  <si>
    <t>Krishank</t>
  </si>
  <si>
    <t>4/5/2018</t>
  </si>
  <si>
    <t>375 Starlite WayFremontCA94539</t>
  </si>
  <si>
    <t>vaishali.khatale@gmail.com</t>
  </si>
  <si>
    <t>8/20/2024</t>
  </si>
  <si>
    <t>108P</t>
  </si>
  <si>
    <t>MG3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</si>
  <si>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</si>
  <si>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</si>
  <si>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</si>
  <si>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</si>
  <si>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</si>
  <si>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</si>
  <si>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</si>
  <si>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</si>
  <si>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</si>
  <si>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</si>
  <si>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5/2/2015</t>
  </si>
  <si>
    <t>748 Choctaw Dr，Fremont</t>
  </si>
  <si>
    <t>Singh</t>
  </si>
  <si>
    <t>Shivansh</t>
  </si>
  <si>
    <t>30 Washington Square</t>
  </si>
  <si>
    <t>aks.bitsg@gmail.com</t>
  </si>
  <si>
    <t xml:space="preserve">Tan </t>
  </si>
  <si>
    <t xml:space="preserve">Jayden </t>
  </si>
  <si>
    <t>48404 Ursa Dr, , Fremont, CA</t>
  </si>
  <si>
    <t>mingao168@yahoo.com</t>
  </si>
  <si>
    <t>EG10</t>
  </si>
  <si>
    <t>65P</t>
  </si>
  <si>
    <t>MM3</t>
  </si>
  <si>
    <t>Tang</t>
  </si>
  <si>
    <t>Aiden</t>
  </si>
  <si>
    <t>44642 Gabrielino Way, Fremont, CA, 94539</t>
  </si>
  <si>
    <t>etang@pacbell.net</t>
  </si>
  <si>
    <t>8/30/2024</t>
  </si>
  <si>
    <t>31P</t>
  </si>
  <si>
    <t xml:space="preserve"> </t>
  </si>
  <si>
    <t>61P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</si>
  <si>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</si>
  <si>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</si>
  <si>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</si>
  <si>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</si>
  <si>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</si>
  <si>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</si>
  <si>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</si>
  <si>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</si>
  <si>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</si>
  <si>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16P</t>
  </si>
  <si>
    <t>from Milpitas</t>
  </si>
  <si>
    <t>Virani</t>
  </si>
  <si>
    <t>Ezar</t>
  </si>
  <si>
    <t>48867 Sauvignon Ct Fremont CA  94539</t>
  </si>
  <si>
    <t>sonia.12t@gmail.com</t>
  </si>
  <si>
    <t>MK1</t>
  </si>
  <si>
    <t>Wang</t>
  </si>
  <si>
    <t>Andy</t>
  </si>
  <si>
    <t>39953 Cedar Blvd unit 221, Newark</t>
  </si>
  <si>
    <t>510-896-9021</t>
  </si>
  <si>
    <t>Cyberlei23@gmail.com</t>
  </si>
  <si>
    <t>Chloe</t>
  </si>
  <si>
    <t>5630 central pkwy</t>
  </si>
  <si>
    <t>469 268 9535</t>
  </si>
  <si>
    <t>wenwen179505@gmail.com</t>
  </si>
  <si>
    <t>EG9</t>
  </si>
  <si>
    <t>80p</t>
  </si>
  <si>
    <t>Eric</t>
  </si>
  <si>
    <t>251 Bunch Grass TerFremontCA94539</t>
  </si>
  <si>
    <t>mail.liang.wang@gmail.com</t>
  </si>
  <si>
    <t>8/1/2024</t>
  </si>
  <si>
    <t>1326 Nelson Way</t>
  </si>
  <si>
    <t>lianzhigu5@gmail.com</t>
  </si>
  <si>
    <t>35P</t>
  </si>
  <si>
    <t>Jason</t>
  </si>
  <si>
    <t>4/28/2015</t>
  </si>
  <si>
    <t>350 Phantom Falls CMNFremontCA94539</t>
  </si>
  <si>
    <t>haimingw24@gmail.com</t>
  </si>
  <si>
    <t>changed school</t>
  </si>
  <si>
    <t>Vera</t>
  </si>
  <si>
    <t>1/1/2017</t>
  </si>
  <si>
    <t>100p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</si>
  <si>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</si>
  <si>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</si>
  <si>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</si>
  <si>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</si>
  <si>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</si>
  <si>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</si>
  <si>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</si>
  <si>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</si>
  <si>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</si>
  <si>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</si>
  <si>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</si>
  <si>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</si>
  <si>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MH3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</si>
  <si>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</si>
  <si>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</si>
  <si>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</si>
  <si>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</si>
  <si>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</si>
  <si>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</si>
  <si>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</si>
  <si>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MM2</t>
  </si>
  <si>
    <t>Patrick</t>
  </si>
  <si>
    <t>MH1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</si>
  <si>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</si>
  <si>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</si>
  <si>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</si>
  <si>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</si>
  <si>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</si>
  <si>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</si>
  <si>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</si>
  <si>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</si>
  <si>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</si>
  <si>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</si>
  <si>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</si>
  <si>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</si>
  <si>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Su</t>
  </si>
  <si>
    <t>736 Maya Ct. Fremont, CA 94539</t>
  </si>
  <si>
    <t>jinghuazhao950@gmail.com</t>
  </si>
  <si>
    <t>LeBeuf</t>
  </si>
  <si>
    <t>Liam</t>
  </si>
  <si>
    <t>47500 Kinner Falls Cmn, Fremont, CA 94539</t>
  </si>
  <si>
    <t>hulanb@icloud.com</t>
  </si>
  <si>
    <t>96P</t>
  </si>
  <si>
    <t xml:space="preserve"> Vengalam</t>
  </si>
  <si>
    <t>753 Nodaway Ave</t>
  </si>
  <si>
    <t>njayanthi@gmail.com</t>
  </si>
  <si>
    <t>Dang</t>
  </si>
  <si>
    <t>Deion</t>
  </si>
  <si>
    <t>40989 Pajaro Dr</t>
  </si>
  <si>
    <t>bkmlxx@yahoo.com</t>
  </si>
  <si>
    <t>Dutia</t>
  </si>
  <si>
    <t>Manay</t>
  </si>
  <si>
    <t>12/26/2018</t>
  </si>
  <si>
    <t>3848 Advancement Ter, Unit 1000</t>
  </si>
  <si>
    <t>Jinal.jani@gmail.com</t>
  </si>
  <si>
    <t>EK2</t>
  </si>
  <si>
    <t xml:space="preserve">absent for Jan. back in Feb. </t>
  </si>
  <si>
    <t>&lt;15</t>
  </si>
  <si>
    <t>&gt;15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</si>
  <si>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</si>
  <si>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</si>
  <si>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</si>
  <si>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</si>
  <si>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</si>
  <si>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</si>
  <si>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</si>
  <si>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</si>
  <si>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</si>
  <si>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</si>
  <si>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</si>
  <si>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</si>
  <si>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</si>
  <si>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</si>
  <si>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</si>
  <si>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</si>
  <si>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</si>
  <si>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</si>
  <si>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</si>
  <si>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</si>
  <si>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</si>
  <si>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</si>
  <si>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</si>
  <si>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</si>
  <si>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</si>
  <si>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</si>
  <si>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</si>
  <si>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</si>
  <si>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</si>
  <si>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</si>
  <si>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</si>
  <si>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</si>
  <si>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</si>
  <si>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</si>
  <si>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</si>
  <si>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</si>
  <si>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</si>
  <si>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</si>
  <si>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</si>
  <si>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</si>
  <si>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</si>
  <si>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</si>
  <si>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</si>
  <si>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</si>
  <si>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</si>
  <si>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</si>
  <si>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</si>
  <si>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</si>
  <si>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</si>
  <si>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</si>
  <si>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</si>
  <si>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</si>
  <si>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</si>
  <si>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</si>
  <si>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</si>
  <si>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</si>
  <si>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</si>
  <si>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</si>
  <si>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</si>
  <si>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</si>
  <si>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</si>
  <si>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</si>
  <si>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</si>
  <si>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</si>
  <si>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</si>
  <si>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</si>
  <si>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</si>
  <si>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</si>
  <si>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</si>
  <si>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</si>
  <si>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</si>
  <si>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</si>
  <si>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</si>
  <si>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</si>
  <si>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</si>
  <si>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</si>
  <si>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</si>
  <si>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</si>
  <si>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</si>
  <si>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</si>
  <si>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</si>
  <si>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</si>
  <si>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</si>
  <si>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</si>
  <si>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</si>
  <si>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</si>
  <si>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</si>
  <si>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</si>
  <si>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</si>
  <si>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</si>
  <si>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</si>
  <si>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</si>
  <si>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</si>
  <si>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</si>
  <si>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</si>
  <si>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</si>
  <si>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</si>
  <si>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</si>
  <si>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</si>
  <si>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</si>
  <si>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</si>
  <si>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</si>
  <si>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</si>
  <si>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</si>
  <si>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</si>
  <si>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</si>
  <si>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</si>
  <si>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</si>
  <si>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</si>
  <si>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</si>
  <si>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</si>
  <si>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</si>
  <si>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</si>
  <si>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</si>
  <si>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</si>
  <si>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</si>
  <si>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</si>
  <si>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</si>
  <si>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</si>
  <si>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</si>
  <si>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</si>
  <si>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</si>
  <si>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</si>
  <si>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</si>
  <si>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</si>
  <si>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</si>
  <si>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</si>
  <si>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</si>
  <si>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</si>
  <si>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</si>
  <si>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</si>
  <si>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</si>
  <si>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</si>
  <si>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</si>
  <si>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</si>
  <si>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</si>
  <si>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</si>
  <si>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</si>
  <si>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</si>
  <si>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</si>
  <si>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</si>
  <si>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</si>
  <si>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</si>
  <si>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</si>
  <si>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</si>
  <si>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</si>
  <si>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</si>
  <si>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</si>
  <si>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</si>
  <si>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</si>
  <si>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</si>
  <si>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</si>
  <si>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</si>
  <si>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</si>
  <si>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</si>
  <si>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</si>
  <si>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</si>
  <si>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</si>
  <si>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</si>
  <si>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</si>
  <si>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</si>
  <si>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</si>
  <si>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</si>
  <si>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</si>
  <si>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</si>
  <si>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</si>
  <si>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</si>
  <si>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</si>
  <si>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</si>
  <si>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</si>
  <si>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</si>
  <si>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</si>
  <si>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</si>
  <si>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</si>
  <si>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</si>
  <si>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</si>
  <si>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</si>
  <si>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</si>
  <si>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</si>
  <si>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</si>
  <si>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</si>
  <si>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</si>
  <si>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</si>
  <si>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</si>
  <si>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</si>
  <si>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</si>
  <si>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</si>
  <si>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</si>
  <si>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</si>
  <si>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</si>
  <si>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</si>
  <si>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</si>
  <si>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</si>
  <si>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</si>
  <si>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</si>
  <si>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</si>
  <si>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</si>
  <si>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</si>
  <si>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</si>
  <si>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</si>
  <si>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</si>
  <si>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</si>
  <si>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</si>
  <si>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</si>
  <si>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</si>
  <si>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</si>
  <si>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</si>
  <si>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</si>
  <si>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</si>
  <si>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</si>
  <si>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</si>
  <si>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</si>
  <si>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</si>
  <si>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</si>
  <si>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</si>
  <si>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</si>
  <si>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</si>
  <si>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</si>
  <si>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</si>
  <si>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</si>
  <si>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</si>
  <si>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</si>
  <si>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</si>
  <si>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</si>
  <si>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</si>
  <si>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</si>
  <si>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</si>
  <si>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</si>
  <si>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</si>
  <si>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</si>
  <si>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</si>
  <si>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</si>
  <si>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</si>
  <si>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</si>
  <si>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</si>
  <si>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</si>
  <si>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</si>
  <si>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</si>
  <si>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</si>
  <si>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</si>
  <si>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</si>
  <si>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</si>
  <si>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</si>
  <si>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</si>
  <si>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</si>
  <si>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</si>
  <si>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</si>
  <si>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</si>
  <si>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</si>
  <si>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</si>
  <si>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</si>
  <si>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</si>
  <si>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</si>
  <si>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</si>
  <si>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</si>
  <si>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</si>
  <si>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</si>
  <si>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</si>
  <si>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</si>
  <si>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</si>
  <si>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</si>
  <si>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</si>
  <si>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</si>
  <si>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</si>
  <si>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</si>
  <si>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</si>
  <si>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</si>
  <si>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</si>
  <si>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</si>
  <si>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</si>
  <si>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</si>
  <si>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</si>
  <si>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</si>
  <si>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</si>
  <si>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</si>
  <si>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</si>
  <si>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</si>
  <si>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</si>
  <si>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</si>
  <si>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</si>
  <si>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</si>
  <si>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</si>
  <si>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</si>
  <si>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</si>
  <si>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</si>
  <si>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</si>
  <si>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</si>
  <si>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</si>
  <si>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</si>
  <si>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</si>
  <si>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</si>
  <si>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</si>
  <si>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</si>
  <si>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</si>
  <si>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</si>
  <si>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</si>
  <si>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</si>
  <si>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</si>
  <si>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</si>
  <si>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</si>
  <si>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</si>
  <si>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</si>
  <si>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</si>
  <si>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</si>
  <si>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</si>
  <si>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</si>
  <si>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</si>
  <si>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</si>
  <si>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</si>
  <si>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</si>
  <si>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</si>
  <si>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</si>
  <si>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</si>
  <si>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</si>
  <si>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</si>
  <si>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</si>
  <si>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</si>
  <si>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</si>
  <si>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</si>
  <si>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</si>
  <si>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</si>
  <si>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</si>
  <si>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</si>
  <si>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</si>
  <si>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</si>
  <si>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</si>
  <si>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</si>
  <si>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</si>
  <si>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</si>
  <si>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</si>
  <si>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</si>
  <si>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</si>
  <si>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</si>
  <si>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</si>
  <si>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</si>
  <si>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</si>
  <si>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</si>
  <si>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</si>
  <si>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</si>
  <si>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</si>
  <si>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</si>
  <si>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</si>
  <si>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</si>
  <si>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</si>
  <si>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</si>
  <si>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</si>
  <si>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</si>
  <si>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</si>
  <si>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</si>
  <si>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</si>
  <si>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</si>
  <si>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</si>
  <si>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</si>
  <si>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</si>
  <si>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</si>
  <si>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</si>
  <si>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</si>
  <si>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</si>
  <si>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</si>
  <si>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</si>
  <si>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</si>
  <si>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</si>
  <si>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</si>
  <si>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>Atharva</t>
  </si>
  <si>
    <t>4269 Delaware Dr, Fremont, CA, 94538</t>
  </si>
  <si>
    <t>kameshwar2004@gmail.com</t>
  </si>
  <si>
    <t>Report P</t>
  </si>
  <si>
    <t>Due by: 3/1/25</t>
  </si>
  <si>
    <t>Late charge applies after the 10th.</t>
  </si>
  <si>
    <t>Bill To: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</si>
  <si>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</si>
  <si>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</si>
  <si>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</si>
  <si>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</si>
  <si>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</si>
  <si>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</si>
  <si>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</si>
  <si>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</si>
  <si>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</si>
  <si>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</si>
  <si>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</si>
  <si>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</si>
  <si>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</si>
  <si>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</si>
  <si>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</si>
  <si>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</si>
  <si>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</si>
  <si>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</si>
  <si>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</si>
  <si>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</si>
  <si>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</si>
  <si>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</si>
  <si>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</si>
  <si>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</si>
  <si>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3/10/25)</t>
  </si>
  <si>
    <t>Student Statistics (No Subsidy)</t>
  </si>
  <si>
    <t>Student Statistics (Tuition Subsidy)</t>
  </si>
  <si>
    <t>Student Statistics (Instructor's Children)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</si>
  <si>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</si>
  <si>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</si>
  <si>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</si>
  <si>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</si>
  <si>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</si>
  <si>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</si>
  <si>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</si>
  <si>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</si>
  <si>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</si>
  <si>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</si>
  <si>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</si>
  <si>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</si>
  <si>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No. Math Student - new (16th &amp; after)</t>
  </si>
  <si>
    <t>&lt;-- Newly enrolled Math students (&gt;16th) here</t>
  </si>
  <si>
    <t>No. Math Student - new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</si>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</sst>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"/>
    <numFmt numFmtId="165" formatCode="_(* #,##0_);_(* \(#,##0\);_(* &quot;-&quot;??_);_(@_)"/>
  </numFmts>
  <fonts count="29" x14ac:knownFonts="1">
    <font>
      <sz val="11"/>
      <color theme="1"/>
      <name val="Calibri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9C0006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6100"/>
      <name val="Century Gothic"/>
      <family val="2"/>
    </font>
    <font>
      <sz val="12"/>
      <color rgb="FF333333"/>
      <name val="Century Gothic"/>
      <family val="2"/>
    </font>
    <font>
      <sz val="12"/>
      <color rgb="FF000000"/>
      <name val="Century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entury Gothic"/>
      <family val="2"/>
    </font>
    <font>
      <sz val="11"/>
      <color rgb="FF0061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u/>
      <sz val="12"/>
      <color theme="1"/>
      <name val="Century Gothic"/>
      <family val="2"/>
    </font>
    <font>
      <b/>
      <sz val="20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DED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0" fontId="4" fillId="0" borderId="0" xfId="0" applyFont="1"/>
    <xf numFmtId="0" fontId="2" fillId="4" borderId="2" xfId="0" applyFont="1" applyFill="1" applyBorder="1"/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2" xfId="0" applyFont="1" applyFill="1" applyBorder="1"/>
    <xf numFmtId="0" fontId="5" fillId="5" borderId="2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14" fontId="6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4" fillId="0" borderId="0" xfId="0" applyFont="1" applyAlignment="1">
      <alignment wrapText="1"/>
    </xf>
    <xf numFmtId="0" fontId="8" fillId="0" borderId="0" xfId="0" applyFont="1"/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14" fontId="8" fillId="5" borderId="1" xfId="0" applyNumberFormat="1" applyFont="1" applyFill="1" applyBorder="1" applyAlignment="1">
      <alignment horizontal="left"/>
    </xf>
    <xf numFmtId="0" fontId="7" fillId="5" borderId="1" xfId="0" applyFont="1" applyFill="1" applyBorder="1"/>
    <xf numFmtId="14" fontId="8" fillId="6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14" fontId="8" fillId="5" borderId="1" xfId="0" applyNumberFormat="1" applyFont="1" applyFill="1" applyBorder="1"/>
    <xf numFmtId="0" fontId="8" fillId="5" borderId="2" xfId="0" applyFont="1" applyFill="1" applyBorder="1"/>
    <xf numFmtId="0" fontId="9" fillId="5" borderId="2" xfId="0" applyFont="1" applyFill="1" applyBorder="1"/>
    <xf numFmtId="0" fontId="3" fillId="2" borderId="2" xfId="0" applyFont="1" applyFill="1" applyBorder="1"/>
    <xf numFmtId="0" fontId="2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0" xfId="0" applyFont="1" applyFill="1"/>
    <xf numFmtId="0" fontId="10" fillId="7" borderId="0" xfId="0" applyFont="1" applyFill="1"/>
    <xf numFmtId="14" fontId="2" fillId="0" borderId="1" xfId="0" applyNumberFormat="1" applyFont="1" applyBorder="1" applyAlignment="1">
      <alignment wrapText="1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14" fontId="1" fillId="5" borderId="1" xfId="0" applyNumberFormat="1" applyFont="1" applyFill="1" applyBorder="1"/>
    <xf numFmtId="0" fontId="11" fillId="5" borderId="2" xfId="0" applyFont="1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6" fillId="0" borderId="1" xfId="0" applyFont="1" applyBorder="1" applyAlignment="1">
      <alignment horizontal="right" wrapText="1"/>
    </xf>
    <xf numFmtId="0" fontId="6" fillId="0" borderId="1" xfId="0" applyFont="1" applyBorder="1"/>
    <xf numFmtId="14" fontId="6" fillId="0" borderId="1" xfId="0" applyNumberFormat="1" applyFont="1" applyBorder="1"/>
    <xf numFmtId="0" fontId="12" fillId="0" borderId="0" xfId="0" applyFont="1"/>
    <xf numFmtId="14" fontId="8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right"/>
    </xf>
    <xf numFmtId="14" fontId="2" fillId="7" borderId="1" xfId="0" applyNumberFormat="1" applyFont="1" applyFill="1" applyBorder="1"/>
    <xf numFmtId="0" fontId="8" fillId="7" borderId="0" xfId="0" applyFont="1" applyFill="1"/>
    <xf numFmtId="0" fontId="2" fillId="7" borderId="1" xfId="0" applyFont="1" applyFill="1" applyBorder="1" applyAlignment="1">
      <alignment wrapText="1"/>
    </xf>
    <xf numFmtId="14" fontId="2" fillId="7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horizontal="right" wrapText="1"/>
    </xf>
    <xf numFmtId="14" fontId="2" fillId="7" borderId="1" xfId="0" applyNumberFormat="1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left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right"/>
    </xf>
    <xf numFmtId="14" fontId="2" fillId="9" borderId="1" xfId="0" applyNumberFormat="1" applyFont="1" applyFill="1" applyBorder="1" applyAlignment="1">
      <alignment horizontal="center"/>
    </xf>
    <xf numFmtId="14" fontId="2" fillId="9" borderId="1" xfId="0" applyNumberFormat="1" applyFont="1" applyFill="1" applyBorder="1"/>
    <xf numFmtId="0" fontId="8" fillId="9" borderId="0" xfId="0" applyFont="1" applyFill="1"/>
    <xf numFmtId="0" fontId="10" fillId="9" borderId="0" xfId="0" applyFont="1" applyFill="1"/>
    <xf numFmtId="0" fontId="2" fillId="9" borderId="1" xfId="0" applyFont="1" applyFill="1" applyBorder="1" applyAlignment="1">
      <alignment wrapText="1"/>
    </xf>
    <xf numFmtId="14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2" fillId="9" borderId="1" xfId="0" applyNumberFormat="1" applyFont="1" applyFill="1" applyBorder="1" applyAlignment="1">
      <alignment horizontal="center" wrapText="1"/>
    </xf>
    <xf numFmtId="0" fontId="1" fillId="9" borderId="1" xfId="0" applyFont="1" applyFill="1" applyBorder="1"/>
    <xf numFmtId="0" fontId="2" fillId="9" borderId="0" xfId="0" applyFont="1" applyFill="1"/>
    <xf numFmtId="0" fontId="1" fillId="9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wrapText="1"/>
    </xf>
    <xf numFmtId="14" fontId="1" fillId="9" borderId="1" xfId="0" applyNumberFormat="1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4" fontId="1" fillId="9" borderId="1" xfId="0" applyNumberFormat="1" applyFont="1" applyFill="1" applyBorder="1" applyAlignment="1">
      <alignment horizontal="center" wrapText="1"/>
    </xf>
    <xf numFmtId="14" fontId="1" fillId="9" borderId="1" xfId="0" applyNumberFormat="1" applyFont="1" applyFill="1" applyBorder="1"/>
    <xf numFmtId="0" fontId="1" fillId="9" borderId="0" xfId="0" applyFont="1" applyFill="1"/>
    <xf numFmtId="0" fontId="13" fillId="9" borderId="0" xfId="0" applyFont="1" applyFill="1"/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left"/>
    </xf>
    <xf numFmtId="14" fontId="1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left"/>
    </xf>
    <xf numFmtId="14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164" fontId="14" fillId="10" borderId="1" xfId="0" applyNumberFormat="1" applyFont="1" applyFill="1" applyBorder="1"/>
    <xf numFmtId="0" fontId="2" fillId="10" borderId="2" xfId="0" applyFont="1" applyFill="1" applyBorder="1"/>
    <xf numFmtId="0" fontId="4" fillId="10" borderId="2" xfId="0" applyFont="1" applyFill="1" applyBorder="1"/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right"/>
    </xf>
    <xf numFmtId="0" fontId="8" fillId="10" borderId="2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12" fillId="11" borderId="2" xfId="0" applyFont="1" applyFill="1" applyBorder="1"/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15" fillId="11" borderId="2" xfId="0" applyFont="1" applyFill="1" applyBorder="1"/>
    <xf numFmtId="0" fontId="2" fillId="11" borderId="2" xfId="0" applyFont="1" applyFill="1" applyBorder="1"/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center"/>
    </xf>
    <xf numFmtId="14" fontId="2" fillId="11" borderId="2" xfId="0" applyNumberFormat="1" applyFont="1" applyFill="1" applyBorder="1"/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7" borderId="8" xfId="0" applyFont="1" applyFill="1" applyBorder="1" applyAlignment="1">
      <alignment horizont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left" wrapText="1"/>
    </xf>
    <xf numFmtId="0" fontId="15" fillId="7" borderId="9" xfId="0" applyFont="1" applyFill="1" applyBorder="1" applyAlignment="1">
      <alignment horizontal="center" wrapText="1"/>
    </xf>
    <xf numFmtId="14" fontId="15" fillId="7" borderId="9" xfId="0" applyNumberFormat="1" applyFont="1" applyFill="1" applyBorder="1" applyAlignment="1">
      <alignment horizontal="left" wrapText="1"/>
    </xf>
    <xf numFmtId="0" fontId="15" fillId="7" borderId="9" xfId="0" applyFont="1" applyFill="1" applyBorder="1" applyAlignment="1">
      <alignment wrapText="1"/>
    </xf>
    <xf numFmtId="14" fontId="15" fillId="7" borderId="9" xfId="0" applyNumberFormat="1" applyFont="1" applyFill="1" applyBorder="1" applyAlignment="1">
      <alignment wrapText="1"/>
    </xf>
    <xf numFmtId="0" fontId="15" fillId="7" borderId="10" xfId="0" applyFont="1" applyFill="1" applyBorder="1" applyAlignment="1">
      <alignment horizont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left" wrapText="1"/>
    </xf>
    <xf numFmtId="0" fontId="15" fillId="7" borderId="11" xfId="0" applyFont="1" applyFill="1" applyBorder="1" applyAlignment="1">
      <alignment horizontal="center" wrapText="1"/>
    </xf>
    <xf numFmtId="14" fontId="15" fillId="7" borderId="11" xfId="0" applyNumberFormat="1" applyFont="1" applyFill="1" applyBorder="1" applyAlignment="1">
      <alignment horizontal="left" wrapText="1"/>
    </xf>
    <xf numFmtId="0" fontId="15" fillId="7" borderId="11" xfId="0" applyFont="1" applyFill="1" applyBorder="1" applyAlignment="1">
      <alignment wrapText="1"/>
    </xf>
    <xf numFmtId="0" fontId="15" fillId="12" borderId="10" xfId="0" applyFont="1" applyFill="1" applyBorder="1" applyAlignment="1">
      <alignment horizontal="center" wrapText="1"/>
    </xf>
    <xf numFmtId="0" fontId="15" fillId="12" borderId="1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left" wrapText="1"/>
    </xf>
    <xf numFmtId="0" fontId="15" fillId="12" borderId="11" xfId="0" applyFont="1" applyFill="1" applyBorder="1" applyAlignment="1">
      <alignment horizontal="center" wrapText="1"/>
    </xf>
    <xf numFmtId="14" fontId="15" fillId="12" borderId="11" xfId="0" applyNumberFormat="1" applyFont="1" applyFill="1" applyBorder="1" applyAlignment="1">
      <alignment horizontal="left" wrapText="1"/>
    </xf>
    <xf numFmtId="0" fontId="15" fillId="12" borderId="11" xfId="0" applyFont="1" applyFill="1" applyBorder="1" applyAlignment="1">
      <alignment wrapText="1"/>
    </xf>
    <xf numFmtId="14" fontId="15" fillId="12" borderId="9" xfId="0" applyNumberFormat="1" applyFont="1" applyFill="1" applyBorder="1" applyAlignment="1">
      <alignment wrapText="1"/>
    </xf>
    <xf numFmtId="0" fontId="15" fillId="12" borderId="2" xfId="0" applyFont="1" applyFill="1" applyBorder="1"/>
    <xf numFmtId="0" fontId="15" fillId="11" borderId="1" xfId="0" applyFont="1" applyFill="1" applyBorder="1" applyAlignment="1">
      <alignment horizont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wrapText="1"/>
    </xf>
    <xf numFmtId="14" fontId="15" fillId="11" borderId="1" xfId="0" applyNumberFormat="1" applyFont="1" applyFill="1" applyBorder="1" applyAlignment="1">
      <alignment horizontal="left" wrapText="1"/>
    </xf>
    <xf numFmtId="0" fontId="15" fillId="11" borderId="1" xfId="0" applyFont="1" applyFill="1" applyBorder="1" applyAlignment="1">
      <alignment wrapText="1"/>
    </xf>
    <xf numFmtId="14" fontId="15" fillId="11" borderId="1" xfId="0" applyNumberFormat="1" applyFont="1" applyFill="1" applyBorder="1" applyAlignment="1">
      <alignment wrapText="1"/>
    </xf>
    <xf numFmtId="0" fontId="15" fillId="12" borderId="1" xfId="0" applyFont="1" applyFill="1" applyBorder="1" applyAlignment="1">
      <alignment horizont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wrapText="1"/>
    </xf>
    <xf numFmtId="14" fontId="15" fillId="12" borderId="1" xfId="0" applyNumberFormat="1" applyFont="1" applyFill="1" applyBorder="1" applyAlignment="1">
      <alignment horizontal="left" wrapText="1"/>
    </xf>
    <xf numFmtId="0" fontId="15" fillId="12" borderId="1" xfId="0" applyFont="1" applyFill="1" applyBorder="1" applyAlignment="1">
      <alignment wrapText="1"/>
    </xf>
    <xf numFmtId="14" fontId="15" fillId="12" borderId="1" xfId="0" applyNumberFormat="1" applyFont="1" applyFill="1" applyBorder="1" applyAlignment="1">
      <alignment wrapText="1"/>
    </xf>
    <xf numFmtId="0" fontId="15" fillId="11" borderId="1" xfId="0" applyFont="1" applyFill="1" applyBorder="1" applyAlignment="1">
      <alignment horizontal="left" vertical="center" wrapText="1"/>
    </xf>
    <xf numFmtId="14" fontId="15" fillId="11" borderId="1" xfId="0" applyNumberFormat="1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vertical="center" wrapText="1"/>
    </xf>
    <xf numFmtId="0" fontId="15" fillId="11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left"/>
    </xf>
    <xf numFmtId="0" fontId="15" fillId="2" borderId="1" xfId="0" applyFont="1" applyFill="1" applyBorder="1"/>
    <xf numFmtId="14" fontId="15" fillId="2" borderId="1" xfId="0" applyNumberFormat="1" applyFont="1" applyFill="1" applyBorder="1" applyAlignment="1">
      <alignment wrapText="1"/>
    </xf>
    <xf numFmtId="0" fontId="15" fillId="2" borderId="2" xfId="0" applyFont="1" applyFill="1" applyBorder="1"/>
    <xf numFmtId="0" fontId="15" fillId="2" borderId="1" xfId="0" applyFont="1" applyFill="1" applyBorder="1" applyAlignment="1">
      <alignment horizontal="left" wrapText="1"/>
    </xf>
    <xf numFmtId="14" fontId="15" fillId="2" borderId="1" xfId="0" applyNumberFormat="1" applyFont="1" applyFill="1" applyBorder="1" applyAlignment="1">
      <alignment horizontal="left" wrapText="1"/>
    </xf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center"/>
    </xf>
    <xf numFmtId="14" fontId="15" fillId="7" borderId="1" xfId="0" applyNumberFormat="1" applyFont="1" applyFill="1" applyBorder="1" applyAlignment="1">
      <alignment horizontal="left"/>
    </xf>
    <xf numFmtId="0" fontId="15" fillId="7" borderId="1" xfId="0" applyFont="1" applyFill="1" applyBorder="1"/>
    <xf numFmtId="0" fontId="15" fillId="7" borderId="1" xfId="0" applyFont="1" applyFill="1" applyBorder="1" applyAlignment="1">
      <alignment horizontal="center" vertical="center" wrapText="1"/>
    </xf>
    <xf numFmtId="14" fontId="15" fillId="7" borderId="1" xfId="0" applyNumberFormat="1" applyFont="1" applyFill="1" applyBorder="1"/>
    <xf numFmtId="0" fontId="15" fillId="7" borderId="2" xfId="0" applyFont="1" applyFill="1" applyBorder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wrapText="1"/>
    </xf>
    <xf numFmtId="14" fontId="15" fillId="0" borderId="1" xfId="0" applyNumberFormat="1" applyFont="1" applyBorder="1" applyAlignment="1">
      <alignment horizontal="left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14" fontId="15" fillId="0" borderId="1" xfId="0" applyNumberFormat="1" applyFont="1" applyBorder="1" applyAlignment="1">
      <alignment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left"/>
    </xf>
    <xf numFmtId="14" fontId="15" fillId="0" borderId="1" xfId="0" applyNumberFormat="1" applyFont="1" applyBorder="1"/>
    <xf numFmtId="0" fontId="15" fillId="7" borderId="1" xfId="0" applyFont="1" applyFill="1" applyBorder="1" applyAlignment="1">
      <alignment horizontal="center" wrapText="1"/>
    </xf>
    <xf numFmtId="0" fontId="15" fillId="7" borderId="2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horizontal="left" wrapText="1"/>
    </xf>
    <xf numFmtId="14" fontId="15" fillId="7" borderId="1" xfId="0" applyNumberFormat="1" applyFont="1" applyFill="1" applyBorder="1" applyAlignment="1">
      <alignment horizontal="left" wrapText="1"/>
    </xf>
    <xf numFmtId="0" fontId="15" fillId="7" borderId="1" xfId="0" applyFont="1" applyFill="1" applyBorder="1" applyAlignment="1">
      <alignment wrapText="1"/>
    </xf>
    <xf numFmtId="0" fontId="17" fillId="7" borderId="1" xfId="0" applyFont="1" applyFill="1" applyBorder="1" applyAlignment="1">
      <alignment wrapText="1"/>
    </xf>
    <xf numFmtId="0" fontId="15" fillId="13" borderId="1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left" wrapText="1"/>
    </xf>
    <xf numFmtId="0" fontId="15" fillId="13" borderId="1" xfId="0" applyFont="1" applyFill="1" applyBorder="1" applyAlignment="1">
      <alignment wrapText="1"/>
    </xf>
    <xf numFmtId="0" fontId="15" fillId="13" borderId="1" xfId="0" applyFont="1" applyFill="1" applyBorder="1" applyAlignment="1">
      <alignment horizontal="left" wrapText="1"/>
    </xf>
    <xf numFmtId="0" fontId="15" fillId="13" borderId="2" xfId="0" applyFont="1" applyFill="1" applyBorder="1"/>
    <xf numFmtId="0" fontId="15" fillId="0" borderId="1" xfId="0" applyFont="1" applyBorder="1" applyAlignment="1">
      <alignment vertical="center" wrapText="1"/>
    </xf>
    <xf numFmtId="0" fontId="15" fillId="14" borderId="1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/>
    </xf>
    <xf numFmtId="0" fontId="15" fillId="14" borderId="1" xfId="0" applyFont="1" applyFill="1" applyBorder="1" applyAlignment="1">
      <alignment horizontal="center"/>
    </xf>
    <xf numFmtId="14" fontId="15" fillId="14" borderId="1" xfId="0" applyNumberFormat="1" applyFont="1" applyFill="1" applyBorder="1" applyAlignment="1">
      <alignment horizontal="left"/>
    </xf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 vertical="center" wrapText="1"/>
    </xf>
    <xf numFmtId="14" fontId="15" fillId="14" borderId="1" xfId="0" applyNumberFormat="1" applyFont="1" applyFill="1" applyBorder="1"/>
    <xf numFmtId="0" fontId="15" fillId="14" borderId="1" xfId="0" applyFont="1" applyFill="1" applyBorder="1" applyAlignment="1">
      <alignment horizontal="left" wrapText="1"/>
    </xf>
    <xf numFmtId="14" fontId="15" fillId="14" borderId="1" xfId="0" applyNumberFormat="1" applyFont="1" applyFill="1" applyBorder="1" applyAlignment="1">
      <alignment horizontal="left" wrapText="1"/>
    </xf>
    <xf numFmtId="0" fontId="15" fillId="14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center"/>
    </xf>
    <xf numFmtId="14" fontId="15" fillId="12" borderId="1" xfId="0" applyNumberFormat="1" applyFont="1" applyFill="1" applyBorder="1" applyAlignment="1">
      <alignment horizontal="left"/>
    </xf>
    <xf numFmtId="0" fontId="15" fillId="12" borderId="1" xfId="0" applyFont="1" applyFill="1" applyBorder="1"/>
    <xf numFmtId="14" fontId="15" fillId="12" borderId="1" xfId="0" applyNumberFormat="1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wrapText="1"/>
    </xf>
    <xf numFmtId="0" fontId="15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wrapText="1"/>
    </xf>
    <xf numFmtId="14" fontId="15" fillId="15" borderId="1" xfId="0" applyNumberFormat="1" applyFont="1" applyFill="1" applyBorder="1" applyAlignment="1">
      <alignment horizontal="left" wrapText="1"/>
    </xf>
    <xf numFmtId="0" fontId="15" fillId="15" borderId="1" xfId="0" applyFont="1" applyFill="1" applyBorder="1"/>
    <xf numFmtId="0" fontId="15" fillId="15" borderId="1" xfId="0" applyFont="1" applyFill="1" applyBorder="1" applyAlignment="1">
      <alignment wrapText="1"/>
    </xf>
    <xf numFmtId="14" fontId="15" fillId="15" borderId="1" xfId="0" applyNumberFormat="1" applyFont="1" applyFill="1" applyBorder="1"/>
    <xf numFmtId="0" fontId="15" fillId="15" borderId="2" xfId="0" applyFont="1" applyFill="1" applyBorder="1"/>
    <xf numFmtId="0" fontId="15" fillId="0" borderId="12" xfId="0" applyFont="1" applyBorder="1"/>
    <xf numFmtId="0" fontId="15" fillId="16" borderId="1" xfId="0" applyFont="1" applyFill="1" applyBorder="1" applyAlignment="1">
      <alignment horizont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left"/>
    </xf>
    <xf numFmtId="0" fontId="15" fillId="16" borderId="1" xfId="0" applyFont="1" applyFill="1" applyBorder="1" applyAlignment="1">
      <alignment horizontal="center"/>
    </xf>
    <xf numFmtId="14" fontId="15" fillId="16" borderId="1" xfId="0" applyNumberFormat="1" applyFont="1" applyFill="1" applyBorder="1" applyAlignment="1">
      <alignment horizontal="left"/>
    </xf>
    <xf numFmtId="0" fontId="15" fillId="16" borderId="1" xfId="0" applyFont="1" applyFill="1" applyBorder="1"/>
    <xf numFmtId="14" fontId="15" fillId="16" borderId="1" xfId="0" applyNumberFormat="1" applyFont="1" applyFill="1" applyBorder="1"/>
    <xf numFmtId="0" fontId="15" fillId="17" borderId="1" xfId="0" applyFont="1" applyFill="1" applyBorder="1" applyAlignment="1">
      <alignment horizont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left"/>
    </xf>
    <xf numFmtId="0" fontId="15" fillId="17" borderId="1" xfId="0" applyFont="1" applyFill="1" applyBorder="1" applyAlignment="1">
      <alignment horizontal="center"/>
    </xf>
    <xf numFmtId="14" fontId="15" fillId="17" borderId="1" xfId="0" applyNumberFormat="1" applyFont="1" applyFill="1" applyBorder="1" applyAlignment="1">
      <alignment horizontal="left"/>
    </xf>
    <xf numFmtId="0" fontId="15" fillId="17" borderId="1" xfId="0" applyFont="1" applyFill="1" applyBorder="1"/>
    <xf numFmtId="0" fontId="15" fillId="17" borderId="1" xfId="0" applyFont="1" applyFill="1" applyBorder="1" applyAlignment="1">
      <alignment horizontal="right"/>
    </xf>
    <xf numFmtId="14" fontId="15" fillId="17" borderId="1" xfId="0" applyNumberFormat="1" applyFont="1" applyFill="1" applyBorder="1"/>
    <xf numFmtId="0" fontId="15" fillId="17" borderId="2" xfId="0" applyFont="1" applyFill="1" applyBorder="1"/>
    <xf numFmtId="0" fontId="15" fillId="17" borderId="1" xfId="0" applyFont="1" applyFill="1" applyBorder="1" applyAlignment="1">
      <alignment horizontal="left" wrapText="1"/>
    </xf>
    <xf numFmtId="14" fontId="15" fillId="17" borderId="1" xfId="0" applyNumberFormat="1" applyFont="1" applyFill="1" applyBorder="1" applyAlignment="1">
      <alignment horizontal="left" wrapText="1"/>
    </xf>
    <xf numFmtId="0" fontId="15" fillId="17" borderId="1" xfId="0" applyFont="1" applyFill="1" applyBorder="1" applyAlignment="1">
      <alignment wrapText="1"/>
    </xf>
    <xf numFmtId="0" fontId="15" fillId="17" borderId="1" xfId="0" applyFont="1" applyFill="1" applyBorder="1" applyAlignment="1">
      <alignment horizontal="right" wrapText="1"/>
    </xf>
    <xf numFmtId="0" fontId="16" fillId="17" borderId="2" xfId="0" applyFont="1" applyFill="1" applyBorder="1"/>
    <xf numFmtId="0" fontId="15" fillId="18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/>
    </xf>
    <xf numFmtId="0" fontId="15" fillId="18" borderId="1" xfId="0" applyFont="1" applyFill="1" applyBorder="1" applyAlignment="1">
      <alignment horizontal="center"/>
    </xf>
    <xf numFmtId="14" fontId="15" fillId="18" borderId="1" xfId="0" applyNumberFormat="1" applyFont="1" applyFill="1" applyBorder="1" applyAlignment="1">
      <alignment horizontal="left"/>
    </xf>
    <xf numFmtId="0" fontId="15" fillId="18" borderId="1" xfId="0" applyFont="1" applyFill="1" applyBorder="1"/>
    <xf numFmtId="0" fontId="15" fillId="18" borderId="1" xfId="0" applyFont="1" applyFill="1" applyBorder="1" applyAlignment="1">
      <alignment horizontal="right"/>
    </xf>
    <xf numFmtId="14" fontId="15" fillId="18" borderId="1" xfId="0" applyNumberFormat="1" applyFont="1" applyFill="1" applyBorder="1"/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wrapText="1"/>
    </xf>
    <xf numFmtId="0" fontId="2" fillId="18" borderId="1" xfId="0" applyFont="1" applyFill="1" applyBorder="1" applyAlignment="1">
      <alignment horizontal="center" wrapText="1"/>
    </xf>
    <xf numFmtId="14" fontId="2" fillId="18" borderId="1" xfId="0" applyNumberFormat="1" applyFont="1" applyFill="1" applyBorder="1" applyAlignment="1">
      <alignment horizontal="left" wrapText="1"/>
    </xf>
    <xf numFmtId="0" fontId="2" fillId="18" borderId="1" xfId="0" applyFont="1" applyFill="1" applyBorder="1" applyAlignment="1">
      <alignment wrapText="1"/>
    </xf>
    <xf numFmtId="0" fontId="2" fillId="18" borderId="1" xfId="0" applyFont="1" applyFill="1" applyBorder="1" applyAlignment="1">
      <alignment horizontal="right" wrapText="1"/>
    </xf>
    <xf numFmtId="0" fontId="16" fillId="7" borderId="2" xfId="0" applyFont="1" applyFill="1" applyBorder="1"/>
    <xf numFmtId="0" fontId="2" fillId="18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left" vertical="center"/>
    </xf>
    <xf numFmtId="0" fontId="2" fillId="18" borderId="2" xfId="0" applyFont="1" applyFill="1" applyBorder="1" applyAlignment="1">
      <alignment vertical="center"/>
    </xf>
    <xf numFmtId="0" fontId="2" fillId="7" borderId="2" xfId="0" applyFont="1" applyFill="1" applyBorder="1"/>
    <xf numFmtId="0" fontId="2" fillId="18" borderId="1" xfId="0" applyFont="1" applyFill="1" applyBorder="1"/>
    <xf numFmtId="0" fontId="4" fillId="7" borderId="2" xfId="0" applyFont="1" applyFill="1" applyBorder="1"/>
    <xf numFmtId="0" fontId="2" fillId="19" borderId="1" xfId="0" applyFont="1" applyFill="1" applyBorder="1" applyAlignment="1">
      <alignment horizontal="center" wrapText="1"/>
    </xf>
    <xf numFmtId="0" fontId="8" fillId="19" borderId="1" xfId="0" applyFont="1" applyFill="1" applyBorder="1" applyAlignment="1">
      <alignment horizontal="center" vertical="center"/>
    </xf>
    <xf numFmtId="0" fontId="8" fillId="19" borderId="1" xfId="0" applyFont="1" applyFill="1" applyBorder="1"/>
    <xf numFmtId="0" fontId="8" fillId="19" borderId="1" xfId="0" applyFont="1" applyFill="1" applyBorder="1" applyAlignment="1">
      <alignment horizontal="center"/>
    </xf>
    <xf numFmtId="14" fontId="8" fillId="19" borderId="1" xfId="0" applyNumberFormat="1" applyFont="1" applyFill="1" applyBorder="1"/>
    <xf numFmtId="0" fontId="8" fillId="19" borderId="1" xfId="0" applyFont="1" applyFill="1" applyBorder="1" applyAlignment="1">
      <alignment horizontal="right"/>
    </xf>
    <xf numFmtId="0" fontId="19" fillId="7" borderId="2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right" wrapText="1"/>
    </xf>
    <xf numFmtId="14" fontId="14" fillId="0" borderId="1" xfId="0" applyNumberFormat="1" applyFont="1" applyBorder="1" applyAlignment="1">
      <alignment horizontal="center" wrapText="1"/>
    </xf>
    <xf numFmtId="0" fontId="14" fillId="0" borderId="0" xfId="0" applyFont="1"/>
    <xf numFmtId="0" fontId="14" fillId="0" borderId="1" xfId="0" applyFont="1" applyBorder="1"/>
    <xf numFmtId="14" fontId="14" fillId="0" borderId="1" xfId="0" applyNumberFormat="1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14" fontId="14" fillId="0" borderId="1" xfId="0" applyNumberFormat="1" applyFont="1" applyBorder="1" applyAlignment="1">
      <alignment wrapText="1"/>
    </xf>
    <xf numFmtId="0" fontId="14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left"/>
    </xf>
    <xf numFmtId="14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/>
    <xf numFmtId="0" fontId="14" fillId="2" borderId="2" xfId="0" applyFont="1" applyFill="1" applyBorder="1"/>
    <xf numFmtId="0" fontId="20" fillId="7" borderId="1" xfId="0" applyFont="1" applyFill="1" applyBorder="1"/>
    <xf numFmtId="0" fontId="8" fillId="7" borderId="2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14" fontId="2" fillId="0" borderId="0" xfId="0" applyNumberFormat="1" applyFont="1"/>
    <xf numFmtId="44" fontId="2" fillId="0" borderId="0" xfId="0" applyNumberFormat="1" applyFont="1"/>
    <xf numFmtId="44" fontId="15" fillId="0" borderId="0" xfId="0" applyNumberFormat="1" applyFont="1"/>
    <xf numFmtId="0" fontId="1" fillId="19" borderId="13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4" fontId="2" fillId="17" borderId="16" xfId="0" applyNumberFormat="1" applyFont="1" applyFill="1" applyBorder="1"/>
    <xf numFmtId="0" fontId="2" fillId="17" borderId="1" xfId="0" applyFont="1" applyFill="1" applyBorder="1"/>
    <xf numFmtId="0" fontId="2" fillId="17" borderId="1" xfId="0" applyFont="1" applyFill="1" applyBorder="1" applyAlignment="1">
      <alignment horizontal="center" vertical="center"/>
    </xf>
    <xf numFmtId="0" fontId="2" fillId="17" borderId="17" xfId="0" applyFont="1" applyFill="1" applyBorder="1"/>
    <xf numFmtId="44" fontId="2" fillId="17" borderId="1" xfId="0" applyNumberFormat="1" applyFont="1" applyFill="1" applyBorder="1" applyAlignment="1">
      <alignment horizontal="center" vertical="center"/>
    </xf>
    <xf numFmtId="44" fontId="2" fillId="17" borderId="1" xfId="0" applyNumberFormat="1" applyFont="1" applyFill="1" applyBorder="1"/>
    <xf numFmtId="0" fontId="22" fillId="0" borderId="0" xfId="0" applyFont="1"/>
    <xf numFmtId="0" fontId="23" fillId="17" borderId="1" xfId="0" applyFont="1" applyFill="1" applyBorder="1" applyAlignment="1">
      <alignment horizontal="center" vertical="center"/>
    </xf>
    <xf numFmtId="44" fontId="23" fillId="17" borderId="1" xfId="0" applyNumberFormat="1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vertical="center" wrapText="1"/>
    </xf>
    <xf numFmtId="44" fontId="22" fillId="17" borderId="1" xfId="0" applyNumberFormat="1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vertical="center" wrapText="1"/>
    </xf>
    <xf numFmtId="44" fontId="1" fillId="17" borderId="1" xfId="0" applyNumberFormat="1" applyFont="1" applyFill="1" applyBorder="1"/>
    <xf numFmtId="0" fontId="2" fillId="17" borderId="17" xfId="0" applyFont="1" applyFill="1" applyBorder="1" applyAlignment="1">
      <alignment vertical="center"/>
    </xf>
    <xf numFmtId="0" fontId="24" fillId="17" borderId="1" xfId="0" applyFont="1" applyFill="1" applyBorder="1"/>
    <xf numFmtId="44" fontId="24" fillId="17" borderId="1" xfId="0" applyNumberFormat="1" applyFont="1" applyFill="1" applyBorder="1" applyAlignment="1">
      <alignment horizontal="center" vertical="center"/>
    </xf>
    <xf numFmtId="165" fontId="24" fillId="17" borderId="1" xfId="0" applyNumberFormat="1" applyFont="1" applyFill="1" applyBorder="1" applyAlignment="1">
      <alignment horizontal="center" vertical="center"/>
    </xf>
    <xf numFmtId="0" fontId="25" fillId="17" borderId="1" xfId="0" applyFont="1" applyFill="1" applyBorder="1"/>
    <xf numFmtId="44" fontId="25" fillId="17" borderId="1" xfId="0" applyNumberFormat="1" applyFont="1" applyFill="1" applyBorder="1"/>
    <xf numFmtId="44" fontId="26" fillId="17" borderId="1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44" fontId="26" fillId="17" borderId="1" xfId="0" applyNumberFormat="1" applyFont="1" applyFill="1" applyBorder="1"/>
    <xf numFmtId="44" fontId="2" fillId="17" borderId="1" xfId="0" applyNumberFormat="1" applyFont="1" applyFill="1" applyBorder="1" applyAlignment="1">
      <alignment vertical="center"/>
    </xf>
    <xf numFmtId="0" fontId="1" fillId="17" borderId="1" xfId="0" applyFont="1" applyFill="1" applyBorder="1"/>
    <xf numFmtId="44" fontId="1" fillId="17" borderId="1" xfId="0" applyNumberFormat="1" applyFont="1" applyFill="1" applyBorder="1" applyAlignment="1">
      <alignment vertical="center"/>
    </xf>
    <xf numFmtId="14" fontId="2" fillId="17" borderId="18" xfId="0" applyNumberFormat="1" applyFont="1" applyFill="1" applyBorder="1"/>
    <xf numFmtId="0" fontId="2" fillId="17" borderId="19" xfId="0" applyFont="1" applyFill="1" applyBorder="1"/>
    <xf numFmtId="0" fontId="2" fillId="17" borderId="19" xfId="0" applyFont="1" applyFill="1" applyBorder="1" applyAlignment="1">
      <alignment horizontal="center" vertical="center"/>
    </xf>
    <xf numFmtId="44" fontId="2" fillId="17" borderId="19" xfId="0" applyNumberFormat="1" applyFont="1" applyFill="1" applyBorder="1"/>
    <xf numFmtId="0" fontId="2" fillId="17" borderId="20" xfId="0" applyFont="1" applyFill="1" applyBorder="1"/>
    <xf numFmtId="0" fontId="1" fillId="20" borderId="21" xfId="0" applyFont="1" applyFill="1" applyBorder="1"/>
    <xf numFmtId="0" fontId="2" fillId="20" borderId="22" xfId="0" applyFont="1" applyFill="1" applyBorder="1" applyAlignment="1">
      <alignment horizontal="center" vertical="center"/>
    </xf>
    <xf numFmtId="0" fontId="2" fillId="17" borderId="23" xfId="0" applyFont="1" applyFill="1" applyBorder="1"/>
    <xf numFmtId="0" fontId="2" fillId="17" borderId="24" xfId="0" applyFont="1" applyFill="1" applyBorder="1" applyAlignment="1">
      <alignment horizontal="center" vertical="center"/>
    </xf>
    <xf numFmtId="0" fontId="2" fillId="17" borderId="25" xfId="0" applyFont="1" applyFill="1" applyBorder="1"/>
    <xf numFmtId="0" fontId="2" fillId="17" borderId="26" xfId="0" applyFont="1" applyFill="1" applyBorder="1" applyAlignment="1">
      <alignment horizontal="center" vertical="center"/>
    </xf>
    <xf numFmtId="0" fontId="2" fillId="19" borderId="23" xfId="0" applyFont="1" applyFill="1" applyBorder="1"/>
    <xf numFmtId="0" fontId="1" fillId="21" borderId="24" xfId="0" applyFont="1" applyFill="1" applyBorder="1" applyAlignment="1">
      <alignment horizontal="center" vertical="center"/>
    </xf>
    <xf numFmtId="0" fontId="2" fillId="8" borderId="23" xfId="0" applyFont="1" applyFill="1" applyBorder="1"/>
    <xf numFmtId="0" fontId="2" fillId="21" borderId="24" xfId="0" applyFont="1" applyFill="1" applyBorder="1" applyAlignment="1">
      <alignment horizontal="center" vertical="center"/>
    </xf>
    <xf numFmtId="0" fontId="2" fillId="19" borderId="25" xfId="0" applyFont="1" applyFill="1" applyBorder="1"/>
    <xf numFmtId="0" fontId="1" fillId="21" borderId="26" xfId="0" applyFont="1" applyFill="1" applyBorder="1" applyAlignment="1">
      <alignment horizontal="center" vertical="center"/>
    </xf>
    <xf numFmtId="0" fontId="2" fillId="8" borderId="25" xfId="0" applyFont="1" applyFill="1" applyBorder="1"/>
    <xf numFmtId="0" fontId="2" fillId="21" borderId="26" xfId="0" applyFont="1" applyFill="1" applyBorder="1" applyAlignment="1">
      <alignment horizontal="center" vertical="center"/>
    </xf>
    <xf numFmtId="0" fontId="1" fillId="22" borderId="23" xfId="0" applyFont="1" applyFill="1" applyBorder="1"/>
    <xf numFmtId="0" fontId="1" fillId="22" borderId="24" xfId="0" applyFont="1" applyFill="1" applyBorder="1" applyAlignment="1">
      <alignment horizontal="center" vertical="center"/>
    </xf>
    <xf numFmtId="0" fontId="1" fillId="22" borderId="25" xfId="0" applyFont="1" applyFill="1" applyBorder="1"/>
    <xf numFmtId="0" fontId="1" fillId="22" borderId="27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4" fontId="27" fillId="0" borderId="0" xfId="0" applyNumberFormat="1" applyFont="1"/>
    <xf numFmtId="0" fontId="2" fillId="22" borderId="23" xfId="0" applyFont="1" applyFill="1" applyBorder="1"/>
    <xf numFmtId="0" fontId="2" fillId="22" borderId="24" xfId="0" applyFont="1" applyFill="1" applyBorder="1" applyAlignment="1">
      <alignment horizontal="center" vertical="center"/>
    </xf>
    <xf numFmtId="0" fontId="2" fillId="22" borderId="25" xfId="0" applyFont="1" applyFill="1" applyBorder="1"/>
    <xf numFmtId="0" fontId="2" fillId="22" borderId="26" xfId="0" applyFont="1" applyFill="1" applyBorder="1" applyAlignment="1">
      <alignment horizontal="center" vertical="center"/>
    </xf>
    <xf numFmtId="44" fontId="1" fillId="0" borderId="0" xfId="0" applyNumberFormat="1" applyFont="1"/>
    <xf numFmtId="0" fontId="28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30" workbookViewId="0">
      <selection activeCell="D24" sqref="D24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428" t="s">
        <v>770</v>
      </c>
      <c r="B1" s="429"/>
      <c r="C1" s="429"/>
      <c r="D1" s="429"/>
      <c r="E1" s="1" t="s">
        <v>771</v>
      </c>
      <c r="F1" s="7"/>
      <c r="G1" s="35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.5" x14ac:dyDescent="0.35">
      <c r="A2" s="357"/>
      <c r="B2" s="358"/>
      <c r="C2" s="358"/>
      <c r="D2" s="358"/>
      <c r="E2" s="359" t="s">
        <v>772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5">
      <c r="A3" s="7" t="s">
        <v>773</v>
      </c>
      <c r="B3" s="157" t="s">
        <v>1</v>
      </c>
      <c r="C3" s="152"/>
      <c r="D3" s="157"/>
      <c r="E3" s="157" t="s">
        <v>774</v>
      </c>
      <c r="F3" s="360">
        <v>45716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5">
      <c r="A4" s="7"/>
      <c r="B4" s="157" t="s">
        <v>775</v>
      </c>
      <c r="C4" s="152"/>
      <c r="D4" s="157"/>
      <c r="E4" s="157" t="s">
        <v>776</v>
      </c>
      <c r="F4" s="361" t="s">
        <v>777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5">
      <c r="A5" s="7"/>
      <c r="B5" s="157"/>
      <c r="C5" s="152"/>
      <c r="D5" s="157"/>
      <c r="E5" s="36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5">
      <c r="A6" s="7"/>
      <c r="B6" s="157" t="s">
        <v>778</v>
      </c>
      <c r="C6" s="152"/>
      <c r="D6" s="157"/>
      <c r="E6" s="36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5">
      <c r="A7" s="7"/>
      <c r="B7" s="7"/>
      <c r="C7" s="2"/>
      <c r="D7" s="7"/>
      <c r="E7" s="361"/>
      <c r="F7" s="7"/>
      <c r="G7" s="7"/>
      <c r="H7" s="7"/>
      <c r="I7" s="36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5">
      <c r="A8" s="363" t="s">
        <v>779</v>
      </c>
      <c r="B8" s="364" t="s">
        <v>780</v>
      </c>
      <c r="C8" s="364" t="s">
        <v>781</v>
      </c>
      <c r="D8" s="364" t="s">
        <v>16</v>
      </c>
      <c r="E8" s="364" t="s">
        <v>782</v>
      </c>
      <c r="F8" s="365"/>
      <c r="G8" s="4"/>
      <c r="H8" s="4"/>
      <c r="I8" s="366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5">
      <c r="A9" s="367">
        <f t="shared" ref="A9:A31" si="0">$F$3</f>
        <v>45716</v>
      </c>
      <c r="B9" s="368" t="s">
        <v>783</v>
      </c>
      <c r="C9" s="368"/>
      <c r="D9" s="369">
        <f t="shared" ref="D9:D10" si="1">C55</f>
        <v>51</v>
      </c>
      <c r="E9" s="368"/>
      <c r="F9" s="370"/>
      <c r="G9" s="7"/>
      <c r="H9" s="4"/>
      <c r="I9" s="366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5">
      <c r="A10" s="367">
        <f t="shared" si="0"/>
        <v>45716</v>
      </c>
      <c r="B10" s="368" t="s">
        <v>784</v>
      </c>
      <c r="C10" s="368"/>
      <c r="D10" s="369">
        <f t="shared" si="1"/>
        <v>62</v>
      </c>
      <c r="E10" s="368"/>
      <c r="F10" s="370"/>
      <c r="G10" s="7"/>
      <c r="H10" s="4"/>
      <c r="I10" s="366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5">
      <c r="A11" s="367">
        <f t="shared" si="0"/>
        <v>45716</v>
      </c>
      <c r="B11" s="368" t="s">
        <v>785</v>
      </c>
      <c r="C11" s="371">
        <v>25</v>
      </c>
      <c r="D11" s="369">
        <f>SUM(C37:C40)</f>
        <v>8</v>
      </c>
      <c r="E11" s="372">
        <f t="shared" ref="E11:E25" si="2">C11*D11</f>
        <v>200</v>
      </c>
      <c r="F11" s="370"/>
      <c r="G11" s="373"/>
      <c r="H11" s="4"/>
      <c r="I11" s="366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5">
      <c r="A12" s="367">
        <f t="shared" si="0"/>
        <v>45716</v>
      </c>
      <c r="B12" s="368" t="s">
        <v>786</v>
      </c>
      <c r="C12" s="371">
        <v>22</v>
      </c>
      <c r="D12" s="369">
        <f t="shared" ref="D12:D13" si="3">C35+C37-C41-C53</f>
        <v>50</v>
      </c>
      <c r="E12" s="372">
        <f t="shared" si="2"/>
        <v>1100</v>
      </c>
      <c r="F12" s="370"/>
      <c r="G12" s="7"/>
      <c r="H12" s="4"/>
      <c r="I12" s="366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5">
      <c r="A13" s="367">
        <f t="shared" si="0"/>
        <v>45716</v>
      </c>
      <c r="B13" s="368" t="s">
        <v>787</v>
      </c>
      <c r="C13" s="371">
        <v>22</v>
      </c>
      <c r="D13" s="369">
        <f t="shared" si="3"/>
        <v>61</v>
      </c>
      <c r="E13" s="372">
        <f t="shared" si="2"/>
        <v>1342</v>
      </c>
      <c r="F13" s="370"/>
      <c r="G13" s="7"/>
      <c r="H13" s="4"/>
      <c r="I13" s="366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5">
      <c r="A14" s="367">
        <f t="shared" si="0"/>
        <v>45716</v>
      </c>
      <c r="B14" s="368" t="s">
        <v>788</v>
      </c>
      <c r="C14" s="371">
        <f t="shared" ref="C14:C15" si="4">C12/2</f>
        <v>11</v>
      </c>
      <c r="D14" s="369">
        <f t="shared" ref="D14:D15" si="5">C39</f>
        <v>1</v>
      </c>
      <c r="E14" s="372">
        <f t="shared" si="2"/>
        <v>11</v>
      </c>
      <c r="F14" s="370"/>
      <c r="G14" s="7"/>
      <c r="H14" s="4"/>
      <c r="I14" s="366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5">
      <c r="A15" s="367">
        <f t="shared" si="0"/>
        <v>45716</v>
      </c>
      <c r="B15" s="368" t="s">
        <v>789</v>
      </c>
      <c r="C15" s="371">
        <f t="shared" si="4"/>
        <v>11</v>
      </c>
      <c r="D15" s="369">
        <f t="shared" si="5"/>
        <v>1</v>
      </c>
      <c r="E15" s="372">
        <f t="shared" si="2"/>
        <v>11</v>
      </c>
      <c r="F15" s="370"/>
      <c r="G15" s="7"/>
      <c r="H15" s="4"/>
      <c r="I15" s="366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5">
      <c r="A16" s="367">
        <f t="shared" si="0"/>
        <v>45716</v>
      </c>
      <c r="B16" s="368" t="s">
        <v>790</v>
      </c>
      <c r="C16" s="371">
        <f t="shared" ref="C16:C17" si="6">C12/2</f>
        <v>11</v>
      </c>
      <c r="D16" s="369">
        <f t="shared" ref="D16:D17" si="7">I41</f>
        <v>0</v>
      </c>
      <c r="E16" s="372">
        <f t="shared" si="2"/>
        <v>0</v>
      </c>
      <c r="F16" s="370"/>
      <c r="G16" s="7"/>
      <c r="H16" s="4"/>
      <c r="I16" s="366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5">
      <c r="A17" s="367">
        <f t="shared" si="0"/>
        <v>45716</v>
      </c>
      <c r="B17" s="368" t="s">
        <v>791</v>
      </c>
      <c r="C17" s="371">
        <f t="shared" si="6"/>
        <v>11</v>
      </c>
      <c r="D17" s="369">
        <f t="shared" si="7"/>
        <v>0</v>
      </c>
      <c r="E17" s="372">
        <f t="shared" si="2"/>
        <v>0</v>
      </c>
      <c r="F17" s="370"/>
      <c r="G17" s="7"/>
      <c r="H17" s="4"/>
      <c r="I17" s="366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5">
      <c r="A18" s="367">
        <f t="shared" si="0"/>
        <v>45716</v>
      </c>
      <c r="B18" s="368" t="s">
        <v>792</v>
      </c>
      <c r="C18" s="371">
        <v>150</v>
      </c>
      <c r="D18" s="369">
        <v>1</v>
      </c>
      <c r="E18" s="372">
        <f t="shared" si="2"/>
        <v>150</v>
      </c>
      <c r="F18" s="37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5">
      <c r="A19" s="367">
        <f t="shared" si="0"/>
        <v>45716</v>
      </c>
      <c r="B19" s="368"/>
      <c r="C19" s="371"/>
      <c r="D19" s="374"/>
      <c r="E19" s="372">
        <f t="shared" si="2"/>
        <v>0</v>
      </c>
      <c r="F19" s="37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5">
      <c r="A20" s="367">
        <f t="shared" si="0"/>
        <v>45716</v>
      </c>
      <c r="B20" s="368"/>
      <c r="C20" s="371"/>
      <c r="D20" s="374"/>
      <c r="E20" s="372">
        <f t="shared" si="2"/>
        <v>0</v>
      </c>
      <c r="F20" s="37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5">
      <c r="A21" s="367">
        <f t="shared" si="0"/>
        <v>45716</v>
      </c>
      <c r="B21" s="368"/>
      <c r="C21" s="375"/>
      <c r="D21" s="374"/>
      <c r="E21" s="372">
        <f t="shared" si="2"/>
        <v>0</v>
      </c>
      <c r="F21" s="37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5">
      <c r="A22" s="367">
        <f t="shared" si="0"/>
        <v>45716</v>
      </c>
      <c r="B22" s="376"/>
      <c r="C22" s="377"/>
      <c r="D22" s="378"/>
      <c r="E22" s="372">
        <f t="shared" si="2"/>
        <v>0</v>
      </c>
      <c r="F22" s="370"/>
      <c r="G22" s="37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5">
      <c r="A23" s="367">
        <f t="shared" si="0"/>
        <v>45716</v>
      </c>
      <c r="B23" s="379" t="s">
        <v>793</v>
      </c>
      <c r="C23" s="371">
        <v>-25</v>
      </c>
      <c r="D23" s="369">
        <v>2</v>
      </c>
      <c r="E23" s="380">
        <f t="shared" si="2"/>
        <v>-50</v>
      </c>
      <c r="F23" s="37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5">
      <c r="A24" s="367">
        <f t="shared" si="0"/>
        <v>45716</v>
      </c>
      <c r="B24" s="379" t="s">
        <v>794</v>
      </c>
      <c r="C24" s="371">
        <v>-25</v>
      </c>
      <c r="D24" s="369">
        <v>2</v>
      </c>
      <c r="E24" s="380">
        <f t="shared" si="2"/>
        <v>-50</v>
      </c>
      <c r="F24" s="381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5">
      <c r="A25" s="367">
        <f t="shared" si="0"/>
        <v>45716</v>
      </c>
      <c r="B25" s="382"/>
      <c r="C25" s="383"/>
      <c r="D25" s="384"/>
      <c r="E25" s="380">
        <f t="shared" si="2"/>
        <v>0</v>
      </c>
      <c r="F25" s="37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5">
      <c r="A26" s="367">
        <f t="shared" si="0"/>
        <v>45716</v>
      </c>
      <c r="B26" s="368" t="s">
        <v>795</v>
      </c>
      <c r="C26" s="371"/>
      <c r="D26" s="371"/>
      <c r="E26" s="372">
        <f>SUM(E11:E25)</f>
        <v>2714</v>
      </c>
      <c r="F26" s="37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5">
      <c r="A27" s="367">
        <f t="shared" si="0"/>
        <v>45716</v>
      </c>
      <c r="B27" s="385"/>
      <c r="C27" s="371"/>
      <c r="D27" s="369"/>
      <c r="E27" s="386"/>
      <c r="F27" s="37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5">
      <c r="A28" s="367">
        <f t="shared" si="0"/>
        <v>45716</v>
      </c>
      <c r="B28" s="385"/>
      <c r="C28" s="387"/>
      <c r="D28" s="388"/>
      <c r="E28" s="389"/>
      <c r="F28" s="37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5">
      <c r="A29" s="367">
        <f t="shared" si="0"/>
        <v>45716</v>
      </c>
      <c r="B29" s="368" t="s">
        <v>796</v>
      </c>
      <c r="C29" s="371"/>
      <c r="D29" s="390"/>
      <c r="E29" s="390"/>
      <c r="F29" s="37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5">
      <c r="A30" s="367">
        <f t="shared" si="0"/>
        <v>45716</v>
      </c>
      <c r="B30" s="368" t="s">
        <v>797</v>
      </c>
      <c r="C30" s="371"/>
      <c r="D30" s="372"/>
      <c r="E30" s="390">
        <v>0</v>
      </c>
      <c r="F30" s="37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5">
      <c r="A31" s="367">
        <f t="shared" si="0"/>
        <v>45716</v>
      </c>
      <c r="B31" s="391" t="s">
        <v>798</v>
      </c>
      <c r="C31" s="371"/>
      <c r="D31" s="372"/>
      <c r="E31" s="392">
        <f>E26+E27+E28+E29-E30</f>
        <v>2714</v>
      </c>
      <c r="F31" s="37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5">
      <c r="A32" s="393"/>
      <c r="B32" s="394"/>
      <c r="C32" s="395"/>
      <c r="D32" s="395"/>
      <c r="E32" s="396"/>
      <c r="F32" s="39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5">
      <c r="A33" s="360"/>
      <c r="B33" s="7"/>
      <c r="C33" s="2"/>
      <c r="D33" s="7"/>
      <c r="E33" s="36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5">
      <c r="A34" s="7"/>
      <c r="B34" s="398" t="s">
        <v>799</v>
      </c>
      <c r="C34" s="399"/>
      <c r="D34" s="7"/>
      <c r="E34" s="361"/>
      <c r="F34" s="7"/>
      <c r="G34" s="7"/>
      <c r="H34" s="398" t="s">
        <v>800</v>
      </c>
      <c r="I34" s="399"/>
      <c r="J34" s="7"/>
      <c r="K34" s="398" t="s">
        <v>801</v>
      </c>
      <c r="L34" s="39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5">
      <c r="A35" s="2" t="s">
        <v>5</v>
      </c>
      <c r="B35" s="400" t="s">
        <v>802</v>
      </c>
      <c r="C35" s="401">
        <v>50</v>
      </c>
      <c r="D35" s="7" t="s">
        <v>803</v>
      </c>
      <c r="E35" s="361"/>
      <c r="F35" s="7"/>
      <c r="G35" s="7"/>
      <c r="H35" s="400" t="s">
        <v>802</v>
      </c>
      <c r="I35" s="401">
        <v>0</v>
      </c>
      <c r="J35" s="7"/>
      <c r="K35" s="400" t="s">
        <v>802</v>
      </c>
      <c r="L35" s="401"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5">
      <c r="A36" s="2" t="s">
        <v>804</v>
      </c>
      <c r="B36" s="402" t="s">
        <v>805</v>
      </c>
      <c r="C36" s="403">
        <v>59</v>
      </c>
      <c r="D36" s="7" t="s">
        <v>806</v>
      </c>
      <c r="E36" s="361"/>
      <c r="F36" s="2"/>
      <c r="G36" s="7"/>
      <c r="H36" s="402" t="s">
        <v>805</v>
      </c>
      <c r="I36" s="403">
        <v>0</v>
      </c>
      <c r="J36" s="7"/>
      <c r="K36" s="402" t="s">
        <v>805</v>
      </c>
      <c r="L36" s="403"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5">
      <c r="A37" s="2" t="s">
        <v>3</v>
      </c>
      <c r="B37" s="404" t="s">
        <v>807</v>
      </c>
      <c r="C37" s="405">
        <v>2</v>
      </c>
      <c r="D37" s="7" t="s">
        <v>808</v>
      </c>
      <c r="E37" s="361"/>
      <c r="F37" s="7"/>
      <c r="G37" s="7"/>
      <c r="H37" s="406" t="s">
        <v>809</v>
      </c>
      <c r="I37" s="407">
        <v>0</v>
      </c>
      <c r="J37" s="7"/>
      <c r="K37" s="406" t="s">
        <v>809</v>
      </c>
      <c r="L37" s="407"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5">
      <c r="A38" s="2" t="s">
        <v>810</v>
      </c>
      <c r="B38" s="408" t="s">
        <v>811</v>
      </c>
      <c r="C38" s="409">
        <v>4</v>
      </c>
      <c r="D38" s="7" t="s">
        <v>812</v>
      </c>
      <c r="E38" s="361"/>
      <c r="F38" s="7"/>
      <c r="G38" s="7"/>
      <c r="H38" s="410" t="s">
        <v>813</v>
      </c>
      <c r="I38" s="411">
        <v>0</v>
      </c>
      <c r="J38" s="7"/>
      <c r="K38" s="410" t="s">
        <v>813</v>
      </c>
      <c r="L38" s="411"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5">
      <c r="A39" s="2" t="s">
        <v>14</v>
      </c>
      <c r="B39" s="404" t="s">
        <v>814</v>
      </c>
      <c r="C39" s="405">
        <v>1</v>
      </c>
      <c r="D39" s="7" t="s">
        <v>815</v>
      </c>
      <c r="E39" s="361"/>
      <c r="F39" s="7"/>
      <c r="G39" s="7"/>
      <c r="H39" s="404" t="s">
        <v>816</v>
      </c>
      <c r="I39" s="407">
        <v>0</v>
      </c>
      <c r="J39" s="361"/>
      <c r="K39" s="404" t="s">
        <v>816</v>
      </c>
      <c r="L39" s="407">
        <v>0</v>
      </c>
      <c r="M39" s="361"/>
      <c r="N39" s="361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5">
      <c r="A40" s="2" t="s">
        <v>6</v>
      </c>
      <c r="B40" s="408" t="s">
        <v>817</v>
      </c>
      <c r="C40" s="409">
        <v>1</v>
      </c>
      <c r="D40" s="7" t="s">
        <v>818</v>
      </c>
      <c r="E40" s="361"/>
      <c r="F40" s="7"/>
      <c r="G40" s="7"/>
      <c r="H40" s="408" t="s">
        <v>819</v>
      </c>
      <c r="I40" s="411">
        <v>0</v>
      </c>
      <c r="J40" s="361"/>
      <c r="K40" s="408" t="s">
        <v>819</v>
      </c>
      <c r="L40" s="411">
        <v>0</v>
      </c>
      <c r="M40" s="361"/>
      <c r="N40" s="361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5">
      <c r="A41" s="2" t="s">
        <v>820</v>
      </c>
      <c r="B41" s="406" t="s">
        <v>809</v>
      </c>
      <c r="C41" s="409">
        <v>2</v>
      </c>
      <c r="D41" s="7" t="s">
        <v>821</v>
      </c>
      <c r="E41" s="361"/>
      <c r="F41" s="7"/>
      <c r="G41" s="7"/>
      <c r="H41" s="412" t="s">
        <v>822</v>
      </c>
      <c r="I41" s="413">
        <f t="shared" ref="I41:I42" si="8">I35-I37+I39</f>
        <v>0</v>
      </c>
      <c r="J41" s="361"/>
      <c r="K41" s="412" t="s">
        <v>823</v>
      </c>
      <c r="L41" s="413">
        <f t="shared" ref="L41:L42" si="9">L35-L37+L39</f>
        <v>0</v>
      </c>
      <c r="M41" s="361"/>
      <c r="N41" s="36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5">
      <c r="A42" s="2" t="s">
        <v>824</v>
      </c>
      <c r="B42" s="410" t="s">
        <v>813</v>
      </c>
      <c r="C42" s="409">
        <v>2</v>
      </c>
      <c r="D42" s="7" t="s">
        <v>825</v>
      </c>
      <c r="E42" s="361"/>
      <c r="F42" s="7"/>
      <c r="G42" s="7"/>
      <c r="H42" s="414" t="s">
        <v>826</v>
      </c>
      <c r="I42" s="415">
        <f t="shared" si="8"/>
        <v>0</v>
      </c>
      <c r="J42" s="361"/>
      <c r="K42" s="414" t="s">
        <v>827</v>
      </c>
      <c r="L42" s="415">
        <f t="shared" si="9"/>
        <v>0</v>
      </c>
      <c r="M42" s="361" t="s">
        <v>301</v>
      </c>
      <c r="N42" s="36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5">
      <c r="A43" s="2" t="s">
        <v>828</v>
      </c>
      <c r="B43" s="412" t="s">
        <v>822</v>
      </c>
      <c r="C43" s="413">
        <f t="shared" ref="C43:C44" si="10">C35+C37+C39-C41</f>
        <v>51</v>
      </c>
      <c r="D43" s="7"/>
      <c r="E43" s="361"/>
      <c r="F43" s="7"/>
      <c r="G43" s="7"/>
      <c r="H43" s="7"/>
      <c r="I43" s="7"/>
      <c r="J43" s="7"/>
      <c r="K43" s="7"/>
      <c r="L43" s="7"/>
      <c r="M43" s="361"/>
      <c r="N43" s="36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5">
      <c r="A44" s="2" t="s">
        <v>829</v>
      </c>
      <c r="B44" s="414" t="s">
        <v>826</v>
      </c>
      <c r="C44" s="415">
        <f t="shared" si="10"/>
        <v>62</v>
      </c>
      <c r="D44" s="7">
        <f>C44+C43</f>
        <v>113</v>
      </c>
      <c r="E44" s="361"/>
      <c r="F44" s="7"/>
      <c r="G44" s="7"/>
      <c r="H44" s="7"/>
      <c r="I44" s="7"/>
      <c r="J44" s="7"/>
      <c r="K44" s="7"/>
      <c r="L44" s="7"/>
      <c r="M44" s="361"/>
      <c r="N44" s="36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5">
      <c r="A45" s="7"/>
      <c r="B45" s="7"/>
      <c r="C45" s="416"/>
      <c r="D45" s="7"/>
      <c r="E45" s="417"/>
      <c r="F45" s="7"/>
      <c r="G45" s="7"/>
      <c r="H45" s="7"/>
      <c r="I45" s="7"/>
      <c r="J45" s="7"/>
      <c r="K45" s="7"/>
      <c r="L45" s="7"/>
      <c r="M45" s="361"/>
      <c r="N45" s="36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5">
      <c r="A46" s="7"/>
      <c r="B46" s="7"/>
      <c r="C46" s="416"/>
      <c r="D46" s="7"/>
      <c r="E46" s="361"/>
      <c r="F46" s="7"/>
      <c r="G46" s="7"/>
      <c r="H46" s="7"/>
      <c r="I46" s="7"/>
      <c r="J46" s="361"/>
      <c r="K46" s="361"/>
      <c r="L46" s="361"/>
      <c r="M46" s="361"/>
      <c r="N46" s="36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5">
      <c r="A47" s="7"/>
      <c r="B47" s="7"/>
      <c r="C47" s="416"/>
      <c r="D47" s="7"/>
      <c r="E47" s="361"/>
      <c r="F47" s="7"/>
      <c r="G47" s="7"/>
      <c r="H47" s="7"/>
      <c r="I47" s="7"/>
      <c r="J47" s="361"/>
      <c r="K47" s="361"/>
      <c r="L47" s="361"/>
      <c r="M47" s="361"/>
      <c r="N47" s="361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5">
      <c r="A48" s="7"/>
      <c r="B48" s="398" t="s">
        <v>830</v>
      </c>
      <c r="C48" s="399"/>
      <c r="D48" s="7"/>
      <c r="E48" s="361"/>
      <c r="F48" s="7"/>
      <c r="G48" s="7"/>
      <c r="H48" s="7"/>
      <c r="I48" s="7"/>
      <c r="J48" s="361"/>
      <c r="K48" s="361" t="s">
        <v>301</v>
      </c>
      <c r="L48" s="361"/>
      <c r="M48" s="361"/>
      <c r="N48" s="361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5">
      <c r="A49" s="7"/>
      <c r="B49" s="418" t="s">
        <v>831</v>
      </c>
      <c r="C49" s="419">
        <f t="shared" ref="C49:C50" si="11">C43-I41-L41</f>
        <v>51</v>
      </c>
      <c r="D49" s="7"/>
      <c r="E49" s="361"/>
      <c r="F49" s="7"/>
      <c r="G49" s="7"/>
      <c r="H49" s="7"/>
      <c r="I49" s="7"/>
      <c r="J49" s="361"/>
      <c r="K49" s="361"/>
      <c r="L49" s="361"/>
      <c r="M49" s="361"/>
      <c r="N49" s="361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5">
      <c r="A50" s="7"/>
      <c r="B50" s="420" t="s">
        <v>832</v>
      </c>
      <c r="C50" s="419">
        <f t="shared" si="11"/>
        <v>62</v>
      </c>
      <c r="D50" s="7"/>
      <c r="E50" s="361"/>
      <c r="F50" s="7"/>
      <c r="G50" s="7"/>
      <c r="H50" s="7"/>
      <c r="I50" s="7"/>
      <c r="J50" s="361"/>
      <c r="K50" s="361"/>
      <c r="L50" s="361"/>
      <c r="M50" s="361"/>
      <c r="N50" s="361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5">
      <c r="A51" s="7"/>
      <c r="B51" s="418" t="s">
        <v>833</v>
      </c>
      <c r="C51" s="419">
        <f t="shared" ref="C51:C52" si="12">I41</f>
        <v>0</v>
      </c>
      <c r="D51" s="7"/>
      <c r="E51" s="361"/>
      <c r="F51" s="7"/>
      <c r="G51" s="7"/>
      <c r="H51" s="7"/>
      <c r="I51" s="7"/>
      <c r="J51" s="361"/>
      <c r="K51" s="361"/>
      <c r="L51" s="361"/>
      <c r="M51" s="361"/>
      <c r="N51" s="36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5">
      <c r="A52" s="7"/>
      <c r="B52" s="420" t="s">
        <v>834</v>
      </c>
      <c r="C52" s="421">
        <f t="shared" si="12"/>
        <v>0</v>
      </c>
      <c r="D52" s="7"/>
      <c r="E52" s="361"/>
      <c r="F52" s="7"/>
      <c r="G52" s="7"/>
      <c r="H52" s="7"/>
      <c r="I52" s="7"/>
      <c r="J52" s="361"/>
      <c r="K52" s="361"/>
      <c r="L52" s="361"/>
      <c r="M52" s="361"/>
      <c r="N52" s="361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5">
      <c r="A53" s="357"/>
      <c r="B53" s="418" t="s">
        <v>835</v>
      </c>
      <c r="C53" s="419">
        <f t="shared" ref="C53:C54" si="13">L41</f>
        <v>0</v>
      </c>
      <c r="D53" s="357"/>
      <c r="E53" s="422"/>
      <c r="F53" s="357"/>
      <c r="G53" s="357"/>
      <c r="H53" s="357"/>
      <c r="I53" s="357"/>
      <c r="J53" s="422"/>
      <c r="K53" s="422"/>
      <c r="L53" s="422"/>
      <c r="M53" s="422"/>
      <c r="N53" s="422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5">
      <c r="A54" s="7"/>
      <c r="B54" s="420" t="s">
        <v>836</v>
      </c>
      <c r="C54" s="421">
        <f t="shared" si="13"/>
        <v>0</v>
      </c>
      <c r="D54" s="357"/>
      <c r="E54" s="361"/>
      <c r="F54" s="7"/>
      <c r="G54" s="7"/>
      <c r="H54" s="7"/>
      <c r="I54" s="7"/>
      <c r="J54" s="361"/>
      <c r="K54" s="361"/>
      <c r="L54" s="361"/>
      <c r="M54" s="361"/>
      <c r="N54" s="361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5">
      <c r="A55" s="7"/>
      <c r="B55" s="412" t="s">
        <v>822</v>
      </c>
      <c r="C55" s="413">
        <f t="shared" ref="C55:C56" si="14">C49+C51+C53</f>
        <v>51</v>
      </c>
      <c r="D55" s="7"/>
      <c r="E55" s="36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5">
      <c r="A56" s="361"/>
      <c r="B56" s="414" t="s">
        <v>826</v>
      </c>
      <c r="C56" s="415">
        <f t="shared" si="14"/>
        <v>62</v>
      </c>
      <c r="D56" s="7">
        <f>C56+C55</f>
        <v>113</v>
      </c>
      <c r="E56" s="361"/>
      <c r="F56" s="7"/>
      <c r="G56" s="7"/>
      <c r="H56" s="7"/>
      <c r="I56" s="7"/>
      <c r="J56" s="361"/>
      <c r="K56" s="361"/>
      <c r="L56" s="361"/>
      <c r="M56" s="361"/>
      <c r="N56" s="361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5">
      <c r="A57" s="7"/>
      <c r="B57" s="7"/>
      <c r="C57" s="7"/>
      <c r="D57" s="7"/>
      <c r="E57" s="361"/>
      <c r="F57" s="7"/>
      <c r="G57" s="7"/>
      <c r="H57" s="7"/>
      <c r="I57" s="7"/>
      <c r="J57" s="361"/>
      <c r="K57" s="361"/>
      <c r="L57" s="361"/>
      <c r="M57" s="361"/>
      <c r="N57" s="361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5">
      <c r="A58" s="7"/>
      <c r="B58" s="7"/>
      <c r="C58" s="7"/>
      <c r="D58" s="7"/>
      <c r="E58" s="361"/>
      <c r="F58" s="7"/>
      <c r="G58" s="7"/>
      <c r="H58" s="7"/>
      <c r="I58" s="7"/>
      <c r="J58" s="361"/>
      <c r="K58" s="361"/>
      <c r="L58" s="361"/>
      <c r="M58" s="361"/>
      <c r="N58" s="361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5">
      <c r="A59" s="7" t="s">
        <v>837</v>
      </c>
      <c r="B59" s="7"/>
      <c r="C59" s="7"/>
      <c r="D59" s="7"/>
      <c r="E59" s="361"/>
      <c r="F59" s="7"/>
      <c r="G59" s="7"/>
      <c r="H59" s="7"/>
      <c r="I59" s="7"/>
      <c r="J59" s="361"/>
      <c r="K59" s="361"/>
      <c r="L59" s="361"/>
      <c r="M59" s="361"/>
      <c r="N59" s="361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5">
      <c r="A60" s="7"/>
      <c r="B60" s="7"/>
      <c r="C60" s="2"/>
      <c r="D60" s="7"/>
      <c r="E60" s="361"/>
      <c r="F60" s="7"/>
      <c r="G60" s="7"/>
      <c r="H60" s="7"/>
      <c r="I60" s="7"/>
      <c r="J60" s="361"/>
      <c r="K60" s="361"/>
      <c r="L60" s="361"/>
      <c r="M60" s="361"/>
      <c r="N60" s="361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5">
      <c r="A61" s="357" t="s">
        <v>838</v>
      </c>
      <c r="B61" s="7"/>
      <c r="C61" s="2"/>
      <c r="D61" s="7"/>
      <c r="E61" s="36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5">
      <c r="A62" s="7" t="s">
        <v>839</v>
      </c>
      <c r="B62" s="7"/>
      <c r="C62" s="2"/>
      <c r="D62" s="7"/>
      <c r="E62" s="36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5">
      <c r="A63" s="7" t="s">
        <v>840</v>
      </c>
      <c r="B63" s="7"/>
      <c r="C63" s="2"/>
      <c r="D63" s="7"/>
      <c r="E63" s="36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5">
      <c r="A64" s="423" t="s">
        <v>841</v>
      </c>
      <c r="B64" s="7"/>
      <c r="C64" s="2"/>
      <c r="D64" s="7"/>
      <c r="E64" s="36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5">
      <c r="A65" s="424" t="s">
        <v>842</v>
      </c>
      <c r="B65" s="425"/>
      <c r="C65" s="426"/>
      <c r="D65" s="425"/>
      <c r="E65" s="417"/>
      <c r="F65" s="425"/>
      <c r="G65" s="425"/>
      <c r="H65" s="425"/>
      <c r="I65" s="425"/>
      <c r="J65" s="425"/>
      <c r="K65" s="425"/>
      <c r="L65" s="425"/>
      <c r="M65" s="425"/>
      <c r="N65" s="42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5">
      <c r="A66" s="424"/>
      <c r="B66" s="425"/>
      <c r="C66" s="426"/>
      <c r="D66" s="425"/>
      <c r="E66" s="417"/>
      <c r="F66" s="425"/>
      <c r="G66" s="425"/>
      <c r="H66" s="425"/>
      <c r="I66" s="425"/>
      <c r="J66" s="425"/>
      <c r="K66" s="425"/>
      <c r="L66" s="425"/>
      <c r="M66" s="425"/>
      <c r="N66" s="42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5">
      <c r="A67" s="424"/>
      <c r="B67" s="425"/>
      <c r="C67" s="426"/>
      <c r="D67" s="425"/>
      <c r="E67" s="417"/>
      <c r="F67" s="425"/>
      <c r="G67" s="425"/>
      <c r="H67" s="425"/>
      <c r="I67" s="425"/>
      <c r="J67" s="425"/>
      <c r="K67" s="425"/>
      <c r="L67" s="425"/>
      <c r="M67" s="425"/>
      <c r="N67" s="42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5">
      <c r="A68" s="423"/>
      <c r="B68" s="7"/>
      <c r="C68" s="7"/>
      <c r="D68" s="2"/>
      <c r="E68" s="2"/>
      <c r="F68" s="2"/>
      <c r="G68" s="2"/>
      <c r="H68" s="2"/>
      <c r="I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5">
      <c r="A69" s="425"/>
      <c r="B69" s="425"/>
      <c r="C69" s="425"/>
      <c r="D69" s="426"/>
      <c r="E69" s="426"/>
      <c r="F69" s="426"/>
      <c r="G69" s="426"/>
      <c r="H69" s="426"/>
      <c r="I69" s="426"/>
      <c r="J69" s="425"/>
      <c r="K69" s="427"/>
      <c r="L69" s="425"/>
      <c r="M69" s="425"/>
      <c r="N69" s="42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5">
      <c r="A70" s="425"/>
      <c r="B70" s="425"/>
      <c r="C70" s="425"/>
      <c r="D70" s="426"/>
      <c r="E70" s="426"/>
      <c r="F70" s="426"/>
      <c r="G70" s="426"/>
      <c r="H70" s="426"/>
      <c r="I70" s="426"/>
      <c r="J70" s="425"/>
      <c r="K70" s="427"/>
      <c r="L70" s="425"/>
      <c r="M70" s="425"/>
      <c r="N70" s="42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5">
      <c r="A71" s="7"/>
      <c r="B71" s="7"/>
      <c r="C71" s="7"/>
      <c r="D71" s="2"/>
      <c r="E71" s="2"/>
      <c r="F71" s="2"/>
      <c r="G71" s="2"/>
      <c r="H71" s="2"/>
      <c r="I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5">
      <c r="A72" s="7"/>
      <c r="B72" s="7"/>
      <c r="C72" s="2"/>
      <c r="D72" s="7"/>
      <c r="E72" s="36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5">
      <c r="A73" s="7"/>
      <c r="B73" s="7"/>
      <c r="C73" s="2"/>
      <c r="D73" s="7"/>
      <c r="E73" s="36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84"/>
  <sheetViews>
    <sheetView topLeftCell="N1" workbookViewId="0">
      <pane ySplit="5" topLeftCell="A114" activePane="bottomLeft" state="frozen"/>
      <selection pane="bottomLeft" activeCell="P121" sqref="P121:P122"/>
    </sheetView>
  </sheetViews>
  <sheetFormatPr defaultColWidth="14.453125" defaultRowHeight="15" customHeight="1" x14ac:dyDescent="0.35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54296875" customWidth="1"/>
    <col min="7" max="7" width="47" customWidth="1"/>
    <col min="8" max="8" width="14.54296875" customWidth="1"/>
    <col min="9" max="9" width="33.08984375" customWidth="1"/>
    <col min="10" max="10" width="13.54296875" customWidth="1"/>
    <col min="13" max="13" width="36.453125" customWidth="1"/>
    <col min="14" max="14" width="38.453125" customWidth="1"/>
    <col min="15" max="15" width="7.54296875" customWidth="1"/>
    <col min="16" max="16" width="12.81640625" customWidth="1"/>
    <col min="17" max="17" width="3.08984375" customWidth="1"/>
    <col min="18" max="28" width="5.453125" customWidth="1"/>
    <col min="29" max="47" width="8.81640625" customWidth="1"/>
  </cols>
  <sheetData>
    <row r="1" spans="1:49" ht="17.25" customHeight="1" x14ac:dyDescent="0.35">
      <c r="A1" s="1" t="s">
        <v>0</v>
      </c>
      <c r="B1" s="2"/>
      <c r="C1" s="3" t="s">
        <v>1</v>
      </c>
      <c r="D1" s="3"/>
      <c r="E1" s="2"/>
      <c r="F1" s="3"/>
      <c r="G1" s="4" t="s">
        <v>2</v>
      </c>
      <c r="H1" s="3"/>
      <c r="I1" s="5"/>
      <c r="J1" s="3"/>
      <c r="K1" s="3"/>
      <c r="L1" s="3"/>
      <c r="M1" s="3"/>
      <c r="N1" s="3" t="str">
        <f>P!E1</f>
        <v>Due by: 3/1/25</v>
      </c>
      <c r="O1" s="2"/>
      <c r="P1" s="6"/>
      <c r="Q1" s="7"/>
      <c r="R1" s="8"/>
      <c r="S1" s="8" t="s">
        <v>3</v>
      </c>
      <c r="T1" s="8" t="s">
        <v>4</v>
      </c>
      <c r="U1" s="8" t="s">
        <v>5</v>
      </c>
      <c r="V1" s="8" t="s">
        <v>6</v>
      </c>
      <c r="W1" s="8" t="s">
        <v>7</v>
      </c>
      <c r="X1" s="9" t="s">
        <v>8</v>
      </c>
      <c r="Y1" s="8" t="s">
        <v>9</v>
      </c>
      <c r="Z1" s="8" t="s">
        <v>10</v>
      </c>
      <c r="AA1" s="8" t="s">
        <v>11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9" ht="15.75" customHeight="1" x14ac:dyDescent="0.35">
      <c r="A2" s="10"/>
      <c r="B2" s="2"/>
      <c r="C2" s="3" t="str">
        <f>P!B4</f>
        <v>47958 Warm Springs Blvd, Fremont, CA 94539</v>
      </c>
      <c r="D2" s="11"/>
      <c r="E2" s="2"/>
      <c r="F2" s="11"/>
      <c r="G2" s="3"/>
      <c r="H2" s="3"/>
      <c r="I2" s="5"/>
      <c r="J2" s="3"/>
      <c r="K2" s="12"/>
      <c r="L2" s="12"/>
      <c r="M2" s="12"/>
      <c r="N2" s="12">
        <f>P!F3</f>
        <v>45716</v>
      </c>
      <c r="O2" s="2"/>
      <c r="P2" s="6"/>
      <c r="Q2" s="7"/>
      <c r="R2" s="13" t="s">
        <v>12</v>
      </c>
      <c r="S2" s="14">
        <f>COUNTIFS(O6:O128,"=C",B6:B128,"=M")</f>
        <v>48</v>
      </c>
      <c r="T2" s="14">
        <f>COUNTIFS(O6:O133,"=N",B6:B133,"=M")</f>
        <v>2</v>
      </c>
      <c r="U2" s="14">
        <f>COUNTIFS(O6:O133,"=a",B6:B133,"=M")</f>
        <v>2</v>
      </c>
      <c r="V2" s="14">
        <f>COUNTIFS(O6:O129,"=F",B6:B129,"=M")</f>
        <v>0</v>
      </c>
      <c r="W2" s="14">
        <f>COUNTIFS(O6:O132,"=R",B6:B132,"=M")</f>
        <v>1</v>
      </c>
      <c r="X2" s="14">
        <f>COUNTIFS(O6:O133,"=IT",B6:B133,"=M")</f>
        <v>0</v>
      </c>
      <c r="Y2" s="14">
        <f t="shared" ref="Y2:Y3" si="0">S2+U2+V2</f>
        <v>50</v>
      </c>
      <c r="Z2" s="14">
        <f t="shared" ref="Z2:Z3" si="1">S2+T2+V2+X2+W2</f>
        <v>51</v>
      </c>
      <c r="AA2" s="14">
        <f t="shared" ref="AA2:AA3" si="2">S2+T2+U2+V2+X2+W2</f>
        <v>53</v>
      </c>
      <c r="AB2" s="7"/>
      <c r="AC2" s="7">
        <f t="shared" ref="AC2:AC3" si="3">T2+W2+X2</f>
        <v>3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9" ht="17.25" customHeight="1" x14ac:dyDescent="0.35">
      <c r="A3" s="10"/>
      <c r="B3" s="2"/>
      <c r="C3" s="3" t="str">
        <f>P!B6</f>
        <v>Tel: 408.888.2772</v>
      </c>
      <c r="D3" s="3"/>
      <c r="E3" s="2"/>
      <c r="F3" s="3"/>
      <c r="G3" s="3"/>
      <c r="H3" s="3"/>
      <c r="I3" s="5"/>
      <c r="J3" s="3"/>
      <c r="K3" s="3"/>
      <c r="L3" s="3"/>
      <c r="M3" s="3"/>
      <c r="N3" s="3" t="s">
        <v>13</v>
      </c>
      <c r="O3" s="2"/>
      <c r="P3" s="6"/>
      <c r="Q3" s="7"/>
      <c r="R3" s="8" t="s">
        <v>14</v>
      </c>
      <c r="S3" s="14">
        <f>COUNTIFS(O6:O128,"=C",B6:B128,"=E")</f>
        <v>57</v>
      </c>
      <c r="T3" s="14">
        <f>COUNTIFS(O6:O133,"=N",B6:B133,"=E")</f>
        <v>4</v>
      </c>
      <c r="U3" s="14">
        <f>COUNTIFS(O6:O133,"=a",B6:B133,"=e")</f>
        <v>2</v>
      </c>
      <c r="V3" s="14">
        <f>COUNTIFS(O6:O128,"=F",B6:B128,"=E")</f>
        <v>0</v>
      </c>
      <c r="W3" s="14">
        <f>COUNTIFS(O6:O133,"=R",B6:B133,"=E")</f>
        <v>1</v>
      </c>
      <c r="X3" s="14">
        <f>COUNTIFS(O6:O133,"=IT",B6:B133,"=E")</f>
        <v>0</v>
      </c>
      <c r="Y3" s="14">
        <f t="shared" si="0"/>
        <v>59</v>
      </c>
      <c r="Z3" s="14">
        <f t="shared" si="1"/>
        <v>62</v>
      </c>
      <c r="AA3" s="14">
        <f t="shared" si="2"/>
        <v>64</v>
      </c>
      <c r="AB3" s="7"/>
      <c r="AC3" s="7">
        <f t="shared" si="3"/>
        <v>5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9" ht="17.25" customHeight="1" x14ac:dyDescent="0.35">
      <c r="A4" s="10"/>
      <c r="B4" s="2"/>
      <c r="C4" s="3"/>
      <c r="D4" s="3"/>
      <c r="E4" s="2"/>
      <c r="F4" s="3"/>
      <c r="G4" s="3"/>
      <c r="H4" s="3"/>
      <c r="I4" s="5"/>
      <c r="J4" s="3"/>
      <c r="K4" s="3"/>
      <c r="L4" s="3"/>
      <c r="M4" s="3"/>
      <c r="N4" s="3"/>
      <c r="O4" s="2"/>
      <c r="P4" s="6"/>
      <c r="Q4" s="7"/>
      <c r="R4" s="8" t="s">
        <v>15</v>
      </c>
      <c r="S4" s="15">
        <f t="shared" ref="S4:AA4" si="4">S2+S3</f>
        <v>105</v>
      </c>
      <c r="T4" s="15">
        <f t="shared" si="4"/>
        <v>6</v>
      </c>
      <c r="U4" s="15">
        <f t="shared" si="4"/>
        <v>4</v>
      </c>
      <c r="V4" s="15">
        <f t="shared" si="4"/>
        <v>0</v>
      </c>
      <c r="W4" s="15">
        <f t="shared" si="4"/>
        <v>2</v>
      </c>
      <c r="X4" s="15">
        <f t="shared" si="4"/>
        <v>0</v>
      </c>
      <c r="Y4" s="15">
        <f t="shared" si="4"/>
        <v>109</v>
      </c>
      <c r="Z4" s="15">
        <f t="shared" si="4"/>
        <v>113</v>
      </c>
      <c r="AA4" s="13">
        <f t="shared" si="4"/>
        <v>117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9" ht="75" x14ac:dyDescent="0.35">
      <c r="A5" s="16" t="s">
        <v>16</v>
      </c>
      <c r="B5" s="16" t="s">
        <v>17</v>
      </c>
      <c r="C5" s="17" t="s">
        <v>18</v>
      </c>
      <c r="D5" s="17" t="s">
        <v>19</v>
      </c>
      <c r="E5" s="16" t="s">
        <v>20</v>
      </c>
      <c r="F5" s="17" t="s">
        <v>21</v>
      </c>
      <c r="G5" s="16" t="s">
        <v>22</v>
      </c>
      <c r="H5" s="17" t="s">
        <v>23</v>
      </c>
      <c r="I5" s="16" t="s">
        <v>24</v>
      </c>
      <c r="J5" s="17" t="s">
        <v>25</v>
      </c>
      <c r="K5" s="16" t="s">
        <v>26</v>
      </c>
      <c r="L5" s="16" t="s">
        <v>27</v>
      </c>
      <c r="M5" s="16"/>
      <c r="N5" s="16" t="s">
        <v>28</v>
      </c>
      <c r="O5" s="16" t="s">
        <v>29</v>
      </c>
      <c r="P5" s="18" t="s">
        <v>30</v>
      </c>
      <c r="Q5" s="19"/>
      <c r="R5" s="19"/>
      <c r="S5" s="19"/>
      <c r="T5" s="19">
        <f>Z4-Y4</f>
        <v>4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7"/>
      <c r="AW5" s="7"/>
    </row>
    <row r="6" spans="1:49" ht="15" customHeight="1" x14ac:dyDescent="0.35">
      <c r="A6" s="20">
        <v>1</v>
      </c>
      <c r="B6" s="21" t="s">
        <v>12</v>
      </c>
      <c r="C6" s="22" t="s">
        <v>31</v>
      </c>
      <c r="D6" s="22" t="s">
        <v>32</v>
      </c>
      <c r="E6" s="23">
        <v>5</v>
      </c>
      <c r="F6" s="24" t="s">
        <v>33</v>
      </c>
      <c r="G6" s="25" t="s">
        <v>34</v>
      </c>
      <c r="H6" s="26">
        <v>4027071083</v>
      </c>
      <c r="I6" s="25" t="s">
        <v>35</v>
      </c>
      <c r="J6" s="27" t="s">
        <v>36</v>
      </c>
      <c r="K6" s="25" t="s">
        <v>37</v>
      </c>
      <c r="L6" s="25" t="s">
        <v>38</v>
      </c>
      <c r="M6" s="25"/>
      <c r="N6" s="25"/>
      <c r="O6" s="21" t="s">
        <v>3</v>
      </c>
      <c r="P6" s="28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9"/>
      <c r="AW6" s="29"/>
    </row>
    <row r="7" spans="1:49" ht="15" customHeight="1" x14ac:dyDescent="0.35">
      <c r="A7" s="20">
        <v>2</v>
      </c>
      <c r="B7" s="21" t="s">
        <v>12</v>
      </c>
      <c r="C7" s="22" t="s">
        <v>39</v>
      </c>
      <c r="D7" s="22" t="s">
        <v>40</v>
      </c>
      <c r="E7" s="23">
        <v>5</v>
      </c>
      <c r="F7" s="24" t="s">
        <v>41</v>
      </c>
      <c r="G7" s="25" t="s">
        <v>42</v>
      </c>
      <c r="H7" s="26">
        <v>5103665279</v>
      </c>
      <c r="I7" s="25" t="s">
        <v>43</v>
      </c>
      <c r="J7" s="27" t="s">
        <v>44</v>
      </c>
      <c r="K7" s="25" t="s">
        <v>45</v>
      </c>
      <c r="L7" s="25" t="s">
        <v>38</v>
      </c>
      <c r="M7" s="25"/>
      <c r="N7" s="25"/>
      <c r="O7" s="21" t="s">
        <v>3</v>
      </c>
      <c r="P7" s="28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9" ht="15" customHeight="1" x14ac:dyDescent="0.35">
      <c r="A8" s="20">
        <v>3</v>
      </c>
      <c r="B8" s="21" t="s">
        <v>14</v>
      </c>
      <c r="C8" s="22" t="s">
        <v>39</v>
      </c>
      <c r="D8" s="22" t="s">
        <v>40</v>
      </c>
      <c r="E8" s="23">
        <v>5</v>
      </c>
      <c r="F8" s="24" t="s">
        <v>41</v>
      </c>
      <c r="G8" s="25" t="s">
        <v>42</v>
      </c>
      <c r="H8" s="26">
        <v>5103665279</v>
      </c>
      <c r="I8" s="25" t="s">
        <v>43</v>
      </c>
      <c r="J8" s="27">
        <v>45536</v>
      </c>
      <c r="K8" s="25" t="s">
        <v>46</v>
      </c>
      <c r="L8" s="25" t="s">
        <v>47</v>
      </c>
      <c r="M8" s="25"/>
      <c r="N8" s="25"/>
      <c r="O8" s="21" t="s">
        <v>3</v>
      </c>
      <c r="P8" s="28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</row>
    <row r="9" spans="1:49" ht="15" customHeight="1" x14ac:dyDescent="0.35">
      <c r="A9" s="20">
        <v>4</v>
      </c>
      <c r="B9" s="15" t="s">
        <v>14</v>
      </c>
      <c r="C9" s="25" t="s">
        <v>39</v>
      </c>
      <c r="D9" s="25" t="s">
        <v>48</v>
      </c>
      <c r="E9" s="23">
        <v>1</v>
      </c>
      <c r="F9" s="24">
        <v>43199</v>
      </c>
      <c r="G9" s="25" t="s">
        <v>49</v>
      </c>
      <c r="H9" s="25">
        <v>6503046747</v>
      </c>
      <c r="I9" s="25" t="s">
        <v>50</v>
      </c>
      <c r="J9" s="27">
        <v>45572</v>
      </c>
      <c r="K9" s="25" t="s">
        <v>51</v>
      </c>
      <c r="L9" s="25" t="s">
        <v>52</v>
      </c>
      <c r="M9" s="25"/>
      <c r="N9" s="25"/>
      <c r="O9" s="21" t="s">
        <v>3</v>
      </c>
      <c r="P9" s="2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9" ht="15" customHeight="1" x14ac:dyDescent="0.35">
      <c r="A10" s="31">
        <v>5</v>
      </c>
      <c r="B10" s="32" t="s">
        <v>12</v>
      </c>
      <c r="C10" s="33" t="s">
        <v>39</v>
      </c>
      <c r="D10" s="33" t="s">
        <v>48</v>
      </c>
      <c r="E10" s="34">
        <v>1</v>
      </c>
      <c r="F10" s="35">
        <v>43200</v>
      </c>
      <c r="G10" s="33" t="s">
        <v>53</v>
      </c>
      <c r="H10" s="33">
        <v>6503046747</v>
      </c>
      <c r="I10" s="33" t="s">
        <v>50</v>
      </c>
      <c r="J10" s="36">
        <v>45673</v>
      </c>
      <c r="K10" s="33" t="s">
        <v>54</v>
      </c>
      <c r="L10" s="33" t="s">
        <v>55</v>
      </c>
      <c r="M10" s="33"/>
      <c r="N10" s="33" t="s">
        <v>56</v>
      </c>
      <c r="O10" s="37" t="s">
        <v>3</v>
      </c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40"/>
      <c r="AW10" s="40"/>
    </row>
    <row r="11" spans="1:49" ht="15" customHeight="1" x14ac:dyDescent="0.35">
      <c r="A11" s="20">
        <v>6</v>
      </c>
      <c r="B11" s="41" t="s">
        <v>14</v>
      </c>
      <c r="C11" s="42" t="s">
        <v>57</v>
      </c>
      <c r="D11" s="42" t="s">
        <v>58</v>
      </c>
      <c r="E11" s="43">
        <v>2</v>
      </c>
      <c r="F11" s="44" t="s">
        <v>59</v>
      </c>
      <c r="G11" s="42" t="s">
        <v>60</v>
      </c>
      <c r="H11" s="45">
        <v>5623488522</v>
      </c>
      <c r="I11" s="42" t="s">
        <v>61</v>
      </c>
      <c r="J11" s="46" t="s">
        <v>62</v>
      </c>
      <c r="K11" s="47" t="s">
        <v>63</v>
      </c>
      <c r="L11" s="47" t="s">
        <v>64</v>
      </c>
      <c r="M11" s="47"/>
      <c r="N11" s="47"/>
      <c r="O11" s="21" t="s">
        <v>3</v>
      </c>
      <c r="P11" s="47"/>
      <c r="Q11" s="48"/>
      <c r="R11" s="48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</row>
    <row r="12" spans="1:49" ht="15" customHeight="1" x14ac:dyDescent="0.35">
      <c r="A12" s="20">
        <v>7</v>
      </c>
      <c r="B12" s="41" t="s">
        <v>12</v>
      </c>
      <c r="C12" s="42" t="s">
        <v>57</v>
      </c>
      <c r="D12" s="42" t="s">
        <v>58</v>
      </c>
      <c r="E12" s="43">
        <v>2</v>
      </c>
      <c r="F12" s="44" t="s">
        <v>59</v>
      </c>
      <c r="G12" s="42" t="s">
        <v>60</v>
      </c>
      <c r="H12" s="45">
        <v>5623488522</v>
      </c>
      <c r="I12" s="42" t="s">
        <v>61</v>
      </c>
      <c r="J12" s="46" t="s">
        <v>62</v>
      </c>
      <c r="K12" s="47" t="s">
        <v>65</v>
      </c>
      <c r="L12" s="47" t="s">
        <v>66</v>
      </c>
      <c r="M12" s="47"/>
      <c r="N12" s="47"/>
      <c r="O12" s="21" t="s">
        <v>3</v>
      </c>
      <c r="P12" s="47"/>
      <c r="Q12" s="7"/>
      <c r="R12" s="7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</row>
    <row r="13" spans="1:49" ht="15" customHeight="1" x14ac:dyDescent="0.35">
      <c r="A13" s="20">
        <v>8</v>
      </c>
      <c r="B13" s="21" t="s">
        <v>14</v>
      </c>
      <c r="C13" s="22" t="s">
        <v>67</v>
      </c>
      <c r="D13" s="22" t="s">
        <v>68</v>
      </c>
      <c r="E13" s="23">
        <v>1</v>
      </c>
      <c r="F13" s="24">
        <v>43091</v>
      </c>
      <c r="G13" s="25" t="s">
        <v>69</v>
      </c>
      <c r="H13" s="26">
        <v>6509967701</v>
      </c>
      <c r="I13" s="25" t="s">
        <v>70</v>
      </c>
      <c r="J13" s="27">
        <v>45537</v>
      </c>
      <c r="K13" s="25" t="s">
        <v>71</v>
      </c>
      <c r="L13" s="25" t="s">
        <v>72</v>
      </c>
      <c r="M13" s="25"/>
      <c r="N13" s="25"/>
      <c r="O13" s="21" t="s">
        <v>3</v>
      </c>
      <c r="P13" s="28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</row>
    <row r="14" spans="1:49" ht="15" customHeight="1" x14ac:dyDescent="0.35">
      <c r="A14" s="20">
        <v>9</v>
      </c>
      <c r="B14" s="21" t="s">
        <v>12</v>
      </c>
      <c r="C14" s="22" t="s">
        <v>67</v>
      </c>
      <c r="D14" s="22" t="s">
        <v>68</v>
      </c>
      <c r="E14" s="23">
        <v>1</v>
      </c>
      <c r="F14" s="24">
        <v>43091</v>
      </c>
      <c r="G14" s="22" t="s">
        <v>69</v>
      </c>
      <c r="H14" s="26">
        <v>6509967701</v>
      </c>
      <c r="I14" s="25" t="s">
        <v>70</v>
      </c>
      <c r="J14" s="27">
        <v>45537</v>
      </c>
      <c r="K14" s="25" t="s">
        <v>73</v>
      </c>
      <c r="L14" s="25" t="s">
        <v>74</v>
      </c>
      <c r="M14" s="25"/>
      <c r="N14" s="25"/>
      <c r="O14" s="21" t="s">
        <v>3</v>
      </c>
      <c r="P14" s="28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29"/>
      <c r="AW14" s="29"/>
    </row>
    <row r="15" spans="1:49" ht="15" customHeight="1" x14ac:dyDescent="0.35">
      <c r="A15" s="20">
        <v>10</v>
      </c>
      <c r="B15" s="21" t="s">
        <v>14</v>
      </c>
      <c r="C15" s="47" t="s">
        <v>67</v>
      </c>
      <c r="D15" s="47" t="s">
        <v>75</v>
      </c>
      <c r="E15" s="20" t="s">
        <v>76</v>
      </c>
      <c r="F15" s="47" t="s">
        <v>77</v>
      </c>
      <c r="G15" s="47" t="s">
        <v>78</v>
      </c>
      <c r="H15" s="51">
        <v>2177211536</v>
      </c>
      <c r="I15" s="47" t="s">
        <v>79</v>
      </c>
      <c r="J15" s="52" t="s">
        <v>80</v>
      </c>
      <c r="K15" s="25" t="s">
        <v>81</v>
      </c>
      <c r="L15" s="25" t="s">
        <v>38</v>
      </c>
      <c r="M15" s="25"/>
      <c r="N15" s="25"/>
      <c r="O15" s="21" t="s">
        <v>3</v>
      </c>
      <c r="P15" s="28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spans="1:49" ht="17.25" customHeight="1" x14ac:dyDescent="0.35">
      <c r="A16" s="20">
        <v>11</v>
      </c>
      <c r="B16" s="21" t="s">
        <v>12</v>
      </c>
      <c r="C16" s="47" t="s">
        <v>67</v>
      </c>
      <c r="D16" s="47" t="s">
        <v>75</v>
      </c>
      <c r="E16" s="20" t="s">
        <v>76</v>
      </c>
      <c r="F16" s="47" t="s">
        <v>77</v>
      </c>
      <c r="G16" s="47" t="s">
        <v>78</v>
      </c>
      <c r="H16" s="51">
        <v>2177211536</v>
      </c>
      <c r="I16" s="47" t="s">
        <v>79</v>
      </c>
      <c r="J16" s="52" t="s">
        <v>80</v>
      </c>
      <c r="K16" s="25" t="s">
        <v>82</v>
      </c>
      <c r="L16" s="25" t="s">
        <v>83</v>
      </c>
      <c r="M16" s="25"/>
      <c r="N16" s="25"/>
      <c r="O16" s="21" t="s">
        <v>3</v>
      </c>
      <c r="P16" s="28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ht="17.25" customHeight="1" x14ac:dyDescent="0.35">
      <c r="A17" s="31">
        <v>12</v>
      </c>
      <c r="B17" s="53" t="s">
        <v>14</v>
      </c>
      <c r="C17" s="54" t="s">
        <v>67</v>
      </c>
      <c r="D17" s="54" t="s">
        <v>84</v>
      </c>
      <c r="E17" s="55">
        <v>3</v>
      </c>
      <c r="F17" s="56">
        <v>42436</v>
      </c>
      <c r="G17" s="54" t="s">
        <v>85</v>
      </c>
      <c r="H17" s="57">
        <v>6505245558</v>
      </c>
      <c r="I17" s="57" t="s">
        <v>86</v>
      </c>
      <c r="J17" s="58">
        <v>45658</v>
      </c>
      <c r="K17" s="59" t="s">
        <v>87</v>
      </c>
      <c r="L17" s="59" t="s">
        <v>88</v>
      </c>
      <c r="M17" s="59"/>
      <c r="N17" s="59" t="s">
        <v>89</v>
      </c>
      <c r="O17" s="21" t="s">
        <v>3</v>
      </c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2"/>
      <c r="AW17" s="62"/>
    </row>
    <row r="18" spans="1:49" ht="17.25" customHeight="1" x14ac:dyDescent="0.35">
      <c r="A18" s="20">
        <v>13</v>
      </c>
      <c r="B18" s="21" t="s">
        <v>14</v>
      </c>
      <c r="C18" s="22" t="s">
        <v>67</v>
      </c>
      <c r="D18" s="22" t="s">
        <v>90</v>
      </c>
      <c r="E18" s="23">
        <v>2</v>
      </c>
      <c r="F18" s="24">
        <v>42989</v>
      </c>
      <c r="G18" s="25" t="s">
        <v>91</v>
      </c>
      <c r="H18" s="26">
        <v>4082104112</v>
      </c>
      <c r="I18" s="25" t="s">
        <v>92</v>
      </c>
      <c r="J18" s="27">
        <v>45537</v>
      </c>
      <c r="K18" s="25" t="s">
        <v>93</v>
      </c>
      <c r="L18" s="25" t="s">
        <v>47</v>
      </c>
      <c r="M18" s="25"/>
      <c r="N18" s="25"/>
      <c r="O18" s="21" t="s">
        <v>3</v>
      </c>
      <c r="P18" s="28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7"/>
      <c r="AW18" s="7"/>
    </row>
    <row r="19" spans="1:49" ht="17.25" customHeight="1" x14ac:dyDescent="0.35">
      <c r="A19" s="20">
        <v>14</v>
      </c>
      <c r="B19" s="21" t="s">
        <v>14</v>
      </c>
      <c r="C19" s="22" t="s">
        <v>94</v>
      </c>
      <c r="D19" s="22" t="s">
        <v>95</v>
      </c>
      <c r="E19" s="23">
        <v>1</v>
      </c>
      <c r="F19" s="24" t="s">
        <v>96</v>
      </c>
      <c r="G19" s="25" t="s">
        <v>97</v>
      </c>
      <c r="H19" s="26">
        <v>6282247551</v>
      </c>
      <c r="I19" s="25" t="s">
        <v>98</v>
      </c>
      <c r="J19" s="27" t="s">
        <v>99</v>
      </c>
      <c r="K19" s="25" t="s">
        <v>100</v>
      </c>
      <c r="L19" s="25" t="s">
        <v>64</v>
      </c>
      <c r="M19" s="25"/>
      <c r="N19" s="25"/>
      <c r="O19" s="21" t="s">
        <v>3</v>
      </c>
      <c r="P19" s="28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ht="17.25" customHeight="1" x14ac:dyDescent="0.35">
      <c r="A20" s="20">
        <v>15</v>
      </c>
      <c r="B20" s="21" t="s">
        <v>12</v>
      </c>
      <c r="C20" s="22" t="s">
        <v>94</v>
      </c>
      <c r="D20" s="22" t="s">
        <v>95</v>
      </c>
      <c r="E20" s="23">
        <v>1</v>
      </c>
      <c r="F20" s="24" t="s">
        <v>96</v>
      </c>
      <c r="G20" s="25" t="s">
        <v>97</v>
      </c>
      <c r="H20" s="26">
        <v>6282247551</v>
      </c>
      <c r="I20" s="25" t="s">
        <v>98</v>
      </c>
      <c r="J20" s="27" t="s">
        <v>99</v>
      </c>
      <c r="K20" s="25" t="s">
        <v>82</v>
      </c>
      <c r="L20" s="25" t="s">
        <v>101</v>
      </c>
      <c r="M20" s="25"/>
      <c r="N20" s="25" t="s">
        <v>102</v>
      </c>
      <c r="O20" s="21" t="s">
        <v>3</v>
      </c>
      <c r="P20" s="28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ht="17.25" customHeight="1" x14ac:dyDescent="0.35">
      <c r="A21" s="20">
        <v>16</v>
      </c>
      <c r="B21" s="41" t="s">
        <v>14</v>
      </c>
      <c r="C21" s="42" t="s">
        <v>103</v>
      </c>
      <c r="D21" s="42" t="s">
        <v>104</v>
      </c>
      <c r="E21" s="43">
        <v>4</v>
      </c>
      <c r="F21" s="44" t="s">
        <v>105</v>
      </c>
      <c r="G21" s="42" t="s">
        <v>106</v>
      </c>
      <c r="H21" s="42">
        <v>3415296214</v>
      </c>
      <c r="I21" s="42" t="s">
        <v>107</v>
      </c>
      <c r="J21" s="46" t="s">
        <v>108</v>
      </c>
      <c r="K21" s="47" t="s">
        <v>109</v>
      </c>
      <c r="L21" s="47" t="s">
        <v>110</v>
      </c>
      <c r="M21" s="47"/>
      <c r="N21" s="47"/>
      <c r="O21" s="21" t="s">
        <v>3</v>
      </c>
      <c r="P21" s="47"/>
      <c r="Q21" s="7"/>
      <c r="R21" s="7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</row>
    <row r="22" spans="1:49" ht="17.25" customHeight="1" x14ac:dyDescent="0.35">
      <c r="A22" s="20">
        <v>17</v>
      </c>
      <c r="B22" s="41" t="s">
        <v>12</v>
      </c>
      <c r="C22" s="42" t="s">
        <v>103</v>
      </c>
      <c r="D22" s="42" t="s">
        <v>104</v>
      </c>
      <c r="E22" s="43">
        <v>4</v>
      </c>
      <c r="F22" s="44" t="s">
        <v>105</v>
      </c>
      <c r="G22" s="42" t="s">
        <v>106</v>
      </c>
      <c r="H22" s="42">
        <v>3415296214</v>
      </c>
      <c r="I22" s="42" t="s">
        <v>107</v>
      </c>
      <c r="J22" s="46" t="s">
        <v>108</v>
      </c>
      <c r="K22" s="47" t="s">
        <v>111</v>
      </c>
      <c r="L22" s="47" t="s">
        <v>112</v>
      </c>
      <c r="M22" s="47"/>
      <c r="N22" s="47"/>
      <c r="O22" s="21" t="s">
        <v>3</v>
      </c>
      <c r="P22" s="47"/>
      <c r="Q22" s="48"/>
      <c r="R22" s="48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</row>
    <row r="23" spans="1:49" ht="15" customHeight="1" x14ac:dyDescent="0.35">
      <c r="A23" s="20">
        <v>18</v>
      </c>
      <c r="B23" s="15" t="s">
        <v>14</v>
      </c>
      <c r="C23" s="25" t="s">
        <v>113</v>
      </c>
      <c r="D23" s="25" t="s">
        <v>114</v>
      </c>
      <c r="E23" s="23">
        <v>1</v>
      </c>
      <c r="F23" s="24">
        <v>43107</v>
      </c>
      <c r="G23" s="25" t="s">
        <v>115</v>
      </c>
      <c r="H23" s="25">
        <v>6692516113</v>
      </c>
      <c r="I23" s="25" t="s">
        <v>116</v>
      </c>
      <c r="J23" s="27">
        <v>45566</v>
      </c>
      <c r="K23" s="25" t="s">
        <v>71</v>
      </c>
      <c r="L23" s="25" t="s">
        <v>52</v>
      </c>
      <c r="M23" s="25"/>
      <c r="N23" s="25"/>
      <c r="O23" s="21" t="s">
        <v>3</v>
      </c>
      <c r="P23" s="25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63"/>
      <c r="AW23" s="63"/>
    </row>
    <row r="24" spans="1:49" ht="15" customHeight="1" x14ac:dyDescent="0.35">
      <c r="A24" s="31">
        <v>19</v>
      </c>
      <c r="B24" s="21" t="s">
        <v>14</v>
      </c>
      <c r="C24" s="22" t="s">
        <v>117</v>
      </c>
      <c r="D24" s="22" t="s">
        <v>118</v>
      </c>
      <c r="E24" s="23">
        <v>4</v>
      </c>
      <c r="F24" s="24" t="s">
        <v>119</v>
      </c>
      <c r="G24" s="25" t="s">
        <v>120</v>
      </c>
      <c r="H24" s="26">
        <v>5102602020</v>
      </c>
      <c r="I24" s="25" t="s">
        <v>121</v>
      </c>
      <c r="J24" s="27" t="s">
        <v>122</v>
      </c>
      <c r="K24" s="25" t="s">
        <v>123</v>
      </c>
      <c r="L24" s="25" t="s">
        <v>124</v>
      </c>
      <c r="M24" s="25"/>
      <c r="N24" s="25"/>
      <c r="O24" s="21" t="s">
        <v>3</v>
      </c>
      <c r="P24" s="28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63"/>
      <c r="AW24" s="63"/>
    </row>
    <row r="25" spans="1:49" ht="15" customHeight="1" x14ac:dyDescent="0.35">
      <c r="A25" s="20">
        <v>20</v>
      </c>
      <c r="B25" s="21" t="s">
        <v>12</v>
      </c>
      <c r="C25" s="47" t="s">
        <v>117</v>
      </c>
      <c r="D25" s="47" t="s">
        <v>118</v>
      </c>
      <c r="E25" s="20">
        <v>4</v>
      </c>
      <c r="F25" s="47" t="s">
        <v>119</v>
      </c>
      <c r="G25" s="47" t="s">
        <v>120</v>
      </c>
      <c r="H25" s="51">
        <v>5102602020</v>
      </c>
      <c r="I25" s="47" t="s">
        <v>121</v>
      </c>
      <c r="J25" s="52" t="s">
        <v>122</v>
      </c>
      <c r="K25" s="25" t="s">
        <v>125</v>
      </c>
      <c r="L25" s="25" t="s">
        <v>52</v>
      </c>
      <c r="M25" s="25"/>
      <c r="N25" s="25"/>
      <c r="O25" s="21" t="s">
        <v>3</v>
      </c>
      <c r="P25" s="28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ht="15" customHeight="1" x14ac:dyDescent="0.35">
      <c r="A26" s="64">
        <v>21</v>
      </c>
      <c r="B26" s="65" t="s">
        <v>14</v>
      </c>
      <c r="C26" s="66" t="s">
        <v>126</v>
      </c>
      <c r="D26" s="66" t="s">
        <v>127</v>
      </c>
      <c r="E26" s="67" t="s">
        <v>76</v>
      </c>
      <c r="F26" s="68">
        <v>43556</v>
      </c>
      <c r="G26" s="66" t="s">
        <v>128</v>
      </c>
      <c r="H26" s="66">
        <v>2147624191</v>
      </c>
      <c r="I26" s="66" t="s">
        <v>129</v>
      </c>
      <c r="J26" s="69">
        <v>45585</v>
      </c>
      <c r="K26" s="66" t="s">
        <v>63</v>
      </c>
      <c r="L26" s="66" t="s">
        <v>130</v>
      </c>
      <c r="M26" s="66"/>
      <c r="N26" s="66" t="s">
        <v>131</v>
      </c>
      <c r="O26" s="70" t="s">
        <v>5</v>
      </c>
      <c r="P26" s="66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</row>
    <row r="27" spans="1:49" ht="15" customHeight="1" x14ac:dyDescent="0.35">
      <c r="A27" s="64">
        <v>22</v>
      </c>
      <c r="B27" s="65" t="s">
        <v>12</v>
      </c>
      <c r="C27" s="66" t="s">
        <v>132</v>
      </c>
      <c r="D27" s="66" t="s">
        <v>127</v>
      </c>
      <c r="E27" s="67" t="s">
        <v>76</v>
      </c>
      <c r="F27" s="68">
        <v>43556</v>
      </c>
      <c r="G27" s="66" t="s">
        <v>128</v>
      </c>
      <c r="H27" s="66">
        <v>2147624191</v>
      </c>
      <c r="I27" s="66" t="s">
        <v>129</v>
      </c>
      <c r="J27" s="69">
        <v>45585</v>
      </c>
      <c r="K27" s="66" t="s">
        <v>73</v>
      </c>
      <c r="L27" s="66" t="s">
        <v>110</v>
      </c>
      <c r="M27" s="66"/>
      <c r="N27" s="66" t="s">
        <v>131</v>
      </c>
      <c r="O27" s="70" t="s">
        <v>5</v>
      </c>
      <c r="P27" s="66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2"/>
      <c r="AW27" s="72"/>
    </row>
    <row r="28" spans="1:49" ht="15" customHeight="1" x14ac:dyDescent="0.35">
      <c r="A28" s="20">
        <v>23</v>
      </c>
      <c r="B28" s="21" t="s">
        <v>14</v>
      </c>
      <c r="C28" s="22" t="s">
        <v>133</v>
      </c>
      <c r="D28" s="22" t="s">
        <v>134</v>
      </c>
      <c r="E28" s="23">
        <v>4</v>
      </c>
      <c r="F28" s="24">
        <v>42277</v>
      </c>
      <c r="G28" s="25" t="s">
        <v>135</v>
      </c>
      <c r="H28" s="26">
        <v>3472777326</v>
      </c>
      <c r="I28" s="25" t="s">
        <v>136</v>
      </c>
      <c r="J28" s="27">
        <v>45536</v>
      </c>
      <c r="K28" s="25" t="s">
        <v>123</v>
      </c>
      <c r="L28" s="25" t="s">
        <v>137</v>
      </c>
      <c r="M28" s="25"/>
      <c r="N28" s="25"/>
      <c r="O28" s="21" t="s">
        <v>3</v>
      </c>
      <c r="P28" s="28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</row>
    <row r="29" spans="1:49" ht="15" customHeight="1" x14ac:dyDescent="0.35">
      <c r="A29" s="20">
        <v>24</v>
      </c>
      <c r="B29" s="21" t="s">
        <v>12</v>
      </c>
      <c r="C29" s="22" t="s">
        <v>133</v>
      </c>
      <c r="D29" s="22" t="s">
        <v>134</v>
      </c>
      <c r="E29" s="23">
        <v>4</v>
      </c>
      <c r="F29" s="24">
        <v>42277</v>
      </c>
      <c r="G29" s="22" t="s">
        <v>135</v>
      </c>
      <c r="H29" s="26">
        <v>3472777326</v>
      </c>
      <c r="I29" s="25" t="s">
        <v>136</v>
      </c>
      <c r="J29" s="27">
        <v>45536</v>
      </c>
      <c r="K29" s="25" t="s">
        <v>125</v>
      </c>
      <c r="L29" s="25" t="s">
        <v>138</v>
      </c>
      <c r="M29" s="25"/>
      <c r="N29" s="25"/>
      <c r="O29" s="21" t="s">
        <v>3</v>
      </c>
      <c r="P29" s="28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</row>
    <row r="30" spans="1:49" ht="15" customHeight="1" x14ac:dyDescent="0.35">
      <c r="A30" s="20">
        <v>25</v>
      </c>
      <c r="B30" s="21" t="s">
        <v>14</v>
      </c>
      <c r="C30" s="47" t="s">
        <v>133</v>
      </c>
      <c r="D30" s="47" t="s">
        <v>139</v>
      </c>
      <c r="E30" s="20">
        <v>1</v>
      </c>
      <c r="F30" s="47">
        <v>43431</v>
      </c>
      <c r="G30" s="47" t="s">
        <v>140</v>
      </c>
      <c r="H30" s="51">
        <v>3472777326</v>
      </c>
      <c r="I30" s="47" t="s">
        <v>136</v>
      </c>
      <c r="J30" s="52">
        <v>45536</v>
      </c>
      <c r="K30" s="25" t="s">
        <v>141</v>
      </c>
      <c r="L30" s="25" t="s">
        <v>112</v>
      </c>
      <c r="M30" s="25"/>
      <c r="N30" s="25"/>
      <c r="O30" s="21" t="s">
        <v>3</v>
      </c>
      <c r="P30" s="28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spans="1:49" ht="15" customHeight="1" x14ac:dyDescent="0.35">
      <c r="A31" s="31">
        <v>26</v>
      </c>
      <c r="B31" s="21" t="s">
        <v>12</v>
      </c>
      <c r="C31" s="47" t="s">
        <v>133</v>
      </c>
      <c r="D31" s="47" t="s">
        <v>139</v>
      </c>
      <c r="E31" s="20">
        <v>1</v>
      </c>
      <c r="F31" s="47">
        <v>43431</v>
      </c>
      <c r="G31" s="47" t="s">
        <v>140</v>
      </c>
      <c r="H31" s="51">
        <v>3472777326</v>
      </c>
      <c r="I31" s="47" t="s">
        <v>136</v>
      </c>
      <c r="J31" s="52">
        <v>45536</v>
      </c>
      <c r="K31" s="25" t="s">
        <v>54</v>
      </c>
      <c r="L31" s="25" t="s">
        <v>142</v>
      </c>
      <c r="M31" s="25"/>
      <c r="N31" s="25"/>
      <c r="O31" s="21" t="s">
        <v>3</v>
      </c>
      <c r="P31" s="28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ht="15" customHeight="1" x14ac:dyDescent="0.35">
      <c r="A32" s="20">
        <v>27</v>
      </c>
      <c r="B32" s="21" t="s">
        <v>14</v>
      </c>
      <c r="C32" s="22" t="s">
        <v>143</v>
      </c>
      <c r="D32" s="22" t="s">
        <v>144</v>
      </c>
      <c r="E32" s="23">
        <v>2</v>
      </c>
      <c r="F32" s="24">
        <v>42045</v>
      </c>
      <c r="G32" s="22" t="s">
        <v>145</v>
      </c>
      <c r="H32" s="26">
        <v>6692138834</v>
      </c>
      <c r="I32" s="25" t="s">
        <v>146</v>
      </c>
      <c r="J32" s="27">
        <v>45293</v>
      </c>
      <c r="K32" s="25" t="s">
        <v>147</v>
      </c>
      <c r="L32" s="25" t="s">
        <v>148</v>
      </c>
      <c r="M32" s="25"/>
      <c r="N32" s="25"/>
      <c r="O32" s="21" t="s">
        <v>3</v>
      </c>
      <c r="P32" s="28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</row>
    <row r="33" spans="1:49" ht="15" customHeight="1" x14ac:dyDescent="0.35">
      <c r="A33" s="20">
        <v>28</v>
      </c>
      <c r="B33" s="21" t="s">
        <v>12</v>
      </c>
      <c r="C33" s="47" t="s">
        <v>143</v>
      </c>
      <c r="D33" s="47" t="s">
        <v>144</v>
      </c>
      <c r="E33" s="20">
        <v>2</v>
      </c>
      <c r="F33" s="47">
        <v>42045</v>
      </c>
      <c r="G33" s="47" t="s">
        <v>145</v>
      </c>
      <c r="H33" s="51">
        <v>6692138834</v>
      </c>
      <c r="I33" s="47" t="s">
        <v>146</v>
      </c>
      <c r="J33" s="52">
        <v>45293</v>
      </c>
      <c r="K33" s="25" t="s">
        <v>37</v>
      </c>
      <c r="L33" s="25" t="s">
        <v>88</v>
      </c>
      <c r="M33" s="25"/>
      <c r="N33" s="25" t="s">
        <v>149</v>
      </c>
      <c r="O33" s="21" t="s">
        <v>3</v>
      </c>
      <c r="P33" s="28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spans="1:49" ht="15" customHeight="1" x14ac:dyDescent="0.35">
      <c r="A34" s="20">
        <v>29</v>
      </c>
      <c r="B34" s="21" t="s">
        <v>12</v>
      </c>
      <c r="C34" s="22" t="s">
        <v>150</v>
      </c>
      <c r="D34" s="22" t="s">
        <v>151</v>
      </c>
      <c r="E34" s="23">
        <v>1</v>
      </c>
      <c r="F34" s="24">
        <v>43329</v>
      </c>
      <c r="G34" s="22" t="s">
        <v>152</v>
      </c>
      <c r="H34" s="26">
        <v>6692438102</v>
      </c>
      <c r="I34" s="25" t="s">
        <v>153</v>
      </c>
      <c r="J34" s="27">
        <v>45536</v>
      </c>
      <c r="K34" s="25" t="s">
        <v>154</v>
      </c>
      <c r="L34" s="25" t="s">
        <v>155</v>
      </c>
      <c r="M34" s="25"/>
      <c r="N34" s="25"/>
      <c r="O34" s="21" t="s">
        <v>3</v>
      </c>
      <c r="P34" s="28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</row>
    <row r="35" spans="1:49" ht="15" customHeight="1" x14ac:dyDescent="0.35">
      <c r="A35" s="20">
        <v>30</v>
      </c>
      <c r="B35" s="21" t="s">
        <v>14</v>
      </c>
      <c r="C35" s="22" t="s">
        <v>150</v>
      </c>
      <c r="D35" s="22" t="s">
        <v>151</v>
      </c>
      <c r="E35" s="23">
        <v>1</v>
      </c>
      <c r="F35" s="24">
        <v>43329</v>
      </c>
      <c r="G35" s="25" t="s">
        <v>152</v>
      </c>
      <c r="H35" s="26">
        <v>6692438102</v>
      </c>
      <c r="I35" s="25" t="s">
        <v>156</v>
      </c>
      <c r="J35" s="27">
        <v>45536</v>
      </c>
      <c r="K35" s="25" t="s">
        <v>81</v>
      </c>
      <c r="L35" s="25" t="s">
        <v>88</v>
      </c>
      <c r="M35" s="25"/>
      <c r="N35" s="25"/>
      <c r="O35" s="21" t="s">
        <v>3</v>
      </c>
      <c r="P35" s="28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</row>
    <row r="36" spans="1:49" ht="15" customHeight="1" x14ac:dyDescent="0.35">
      <c r="A36" s="20">
        <v>31</v>
      </c>
      <c r="B36" s="21" t="s">
        <v>14</v>
      </c>
      <c r="C36" s="47" t="s">
        <v>157</v>
      </c>
      <c r="D36" s="47" t="s">
        <v>158</v>
      </c>
      <c r="E36" s="20">
        <v>5</v>
      </c>
      <c r="F36" s="47" t="s">
        <v>159</v>
      </c>
      <c r="G36" s="47" t="s">
        <v>160</v>
      </c>
      <c r="H36" s="51">
        <v>4083389401</v>
      </c>
      <c r="I36" s="47" t="s">
        <v>161</v>
      </c>
      <c r="J36" s="52" t="s">
        <v>162</v>
      </c>
      <c r="K36" s="25" t="s">
        <v>163</v>
      </c>
      <c r="L36" s="25" t="s">
        <v>164</v>
      </c>
      <c r="M36" s="25"/>
      <c r="N36" s="25"/>
      <c r="O36" s="21" t="s">
        <v>3</v>
      </c>
      <c r="P36" s="28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spans="1:49" ht="15" customHeight="1" x14ac:dyDescent="0.35">
      <c r="A37" s="20">
        <v>32</v>
      </c>
      <c r="B37" s="21" t="s">
        <v>12</v>
      </c>
      <c r="C37" s="47" t="s">
        <v>157</v>
      </c>
      <c r="D37" s="47" t="s">
        <v>158</v>
      </c>
      <c r="E37" s="20">
        <v>5</v>
      </c>
      <c r="F37" s="47" t="s">
        <v>165</v>
      </c>
      <c r="G37" s="47" t="s">
        <v>166</v>
      </c>
      <c r="H37" s="51">
        <v>4083389401</v>
      </c>
      <c r="I37" s="47" t="s">
        <v>161</v>
      </c>
      <c r="J37" s="52" t="s">
        <v>162</v>
      </c>
      <c r="K37" s="25" t="s">
        <v>45</v>
      </c>
      <c r="L37" s="25" t="s">
        <v>74</v>
      </c>
      <c r="M37" s="25"/>
      <c r="N37" s="25"/>
      <c r="O37" s="21" t="s">
        <v>3</v>
      </c>
      <c r="P37" s="28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ht="15" customHeight="1" x14ac:dyDescent="0.35">
      <c r="A38" s="31">
        <v>33</v>
      </c>
      <c r="B38" s="15" t="s">
        <v>14</v>
      </c>
      <c r="C38" s="25" t="s">
        <v>167</v>
      </c>
      <c r="D38" s="25" t="s">
        <v>168</v>
      </c>
      <c r="E38" s="23">
        <v>3</v>
      </c>
      <c r="F38" s="24">
        <v>42342</v>
      </c>
      <c r="G38" s="25" t="s">
        <v>169</v>
      </c>
      <c r="H38" s="25">
        <v>4084214334</v>
      </c>
      <c r="I38" s="25" t="s">
        <v>170</v>
      </c>
      <c r="J38" s="27">
        <v>45536</v>
      </c>
      <c r="K38" s="25" t="s">
        <v>171</v>
      </c>
      <c r="L38" s="25" t="s">
        <v>172</v>
      </c>
      <c r="M38" s="25"/>
      <c r="N38" s="25"/>
      <c r="O38" s="21" t="s">
        <v>3</v>
      </c>
      <c r="P38" s="25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1:49" ht="15" customHeight="1" x14ac:dyDescent="0.35">
      <c r="A39" s="20">
        <v>34</v>
      </c>
      <c r="B39" s="21" t="s">
        <v>12</v>
      </c>
      <c r="C39" s="22" t="s">
        <v>167</v>
      </c>
      <c r="D39" s="22" t="s">
        <v>168</v>
      </c>
      <c r="E39" s="23">
        <v>3</v>
      </c>
      <c r="F39" s="24">
        <v>42342</v>
      </c>
      <c r="G39" s="25" t="s">
        <v>169</v>
      </c>
      <c r="H39" s="26">
        <v>4084214334</v>
      </c>
      <c r="I39" s="25" t="s">
        <v>170</v>
      </c>
      <c r="J39" s="27">
        <v>45536</v>
      </c>
      <c r="K39" s="25" t="s">
        <v>173</v>
      </c>
      <c r="L39" s="25" t="s">
        <v>110</v>
      </c>
      <c r="M39" s="25"/>
      <c r="N39" s="25"/>
      <c r="O39" s="21" t="s">
        <v>3</v>
      </c>
      <c r="P39" s="28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</row>
    <row r="40" spans="1:49" ht="15" customHeight="1" x14ac:dyDescent="0.35">
      <c r="A40" s="20">
        <v>35</v>
      </c>
      <c r="B40" s="21" t="s">
        <v>14</v>
      </c>
      <c r="C40" s="22" t="s">
        <v>174</v>
      </c>
      <c r="D40" s="22" t="s">
        <v>175</v>
      </c>
      <c r="E40" s="23" t="s">
        <v>176</v>
      </c>
      <c r="F40" s="24">
        <v>43120</v>
      </c>
      <c r="G40" s="22" t="s">
        <v>177</v>
      </c>
      <c r="H40" s="26">
        <v>4158287529</v>
      </c>
      <c r="I40" s="25" t="s">
        <v>178</v>
      </c>
      <c r="J40" s="27">
        <v>45299</v>
      </c>
      <c r="K40" s="25" t="s">
        <v>100</v>
      </c>
      <c r="L40" s="25" t="s">
        <v>112</v>
      </c>
      <c r="M40" s="25"/>
      <c r="N40" s="25"/>
      <c r="O40" s="21" t="s">
        <v>3</v>
      </c>
      <c r="P40" s="28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</row>
    <row r="41" spans="1:49" ht="15" customHeight="1" x14ac:dyDescent="0.35">
      <c r="A41" s="20">
        <v>36</v>
      </c>
      <c r="B41" s="21" t="s">
        <v>12</v>
      </c>
      <c r="C41" s="47" t="s">
        <v>174</v>
      </c>
      <c r="D41" s="47" t="s">
        <v>175</v>
      </c>
      <c r="E41" s="20" t="s">
        <v>176</v>
      </c>
      <c r="F41" s="47">
        <v>43120</v>
      </c>
      <c r="G41" s="47" t="s">
        <v>177</v>
      </c>
      <c r="H41" s="51">
        <v>4158287529</v>
      </c>
      <c r="I41" s="47" t="s">
        <v>178</v>
      </c>
      <c r="J41" s="52">
        <v>45299</v>
      </c>
      <c r="K41" s="25" t="s">
        <v>111</v>
      </c>
      <c r="L41" s="25" t="s">
        <v>179</v>
      </c>
      <c r="M41" s="25"/>
      <c r="N41" s="25" t="s">
        <v>149</v>
      </c>
      <c r="O41" s="21" t="s">
        <v>3</v>
      </c>
      <c r="P41" s="2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spans="1:49" ht="15" customHeight="1" x14ac:dyDescent="0.35">
      <c r="A42" s="20">
        <v>37</v>
      </c>
      <c r="B42" s="21" t="s">
        <v>14</v>
      </c>
      <c r="C42" s="47" t="s">
        <v>180</v>
      </c>
      <c r="D42" s="47" t="s">
        <v>181</v>
      </c>
      <c r="E42" s="20">
        <v>1</v>
      </c>
      <c r="F42" s="47" t="s">
        <v>182</v>
      </c>
      <c r="G42" s="47" t="s">
        <v>183</v>
      </c>
      <c r="H42" s="51">
        <v>5104566566</v>
      </c>
      <c r="I42" s="47" t="s">
        <v>184</v>
      </c>
      <c r="J42" s="52" t="s">
        <v>185</v>
      </c>
      <c r="K42" s="25" t="s">
        <v>71</v>
      </c>
      <c r="L42" s="25" t="s">
        <v>124</v>
      </c>
      <c r="M42" s="25"/>
      <c r="N42" s="25"/>
      <c r="O42" s="21" t="s">
        <v>3</v>
      </c>
      <c r="P42" s="2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ht="15" customHeight="1" x14ac:dyDescent="0.35">
      <c r="A43" s="20">
        <v>38</v>
      </c>
      <c r="B43" s="15" t="s">
        <v>12</v>
      </c>
      <c r="C43" s="25" t="s">
        <v>180</v>
      </c>
      <c r="D43" s="25" t="s">
        <v>181</v>
      </c>
      <c r="E43" s="23">
        <v>1</v>
      </c>
      <c r="F43" s="24" t="s">
        <v>182</v>
      </c>
      <c r="G43" s="25" t="s">
        <v>183</v>
      </c>
      <c r="H43" s="25">
        <v>5104566566</v>
      </c>
      <c r="I43" s="25" t="s">
        <v>184</v>
      </c>
      <c r="J43" s="27" t="s">
        <v>185</v>
      </c>
      <c r="K43" s="25" t="s">
        <v>154</v>
      </c>
      <c r="L43" s="25" t="s">
        <v>64</v>
      </c>
      <c r="M43" s="25"/>
      <c r="N43" s="25"/>
      <c r="O43" s="21" t="s">
        <v>3</v>
      </c>
      <c r="P43" s="25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1:49" ht="15" customHeight="1" x14ac:dyDescent="0.35">
      <c r="A44" s="20">
        <v>39</v>
      </c>
      <c r="B44" s="21" t="s">
        <v>14</v>
      </c>
      <c r="C44" s="22" t="s">
        <v>186</v>
      </c>
      <c r="D44" s="22" t="s">
        <v>187</v>
      </c>
      <c r="E44" s="23">
        <v>2</v>
      </c>
      <c r="F44" s="24" t="s">
        <v>188</v>
      </c>
      <c r="G44" s="22" t="s">
        <v>189</v>
      </c>
      <c r="H44" s="26">
        <v>5102989555</v>
      </c>
      <c r="I44" s="25" t="s">
        <v>190</v>
      </c>
      <c r="J44" s="27" t="s">
        <v>191</v>
      </c>
      <c r="K44" s="25" t="s">
        <v>192</v>
      </c>
      <c r="L44" s="25" t="s">
        <v>112</v>
      </c>
      <c r="M44" s="25"/>
      <c r="N44" s="25"/>
      <c r="O44" s="21" t="s">
        <v>3</v>
      </c>
      <c r="P44" s="28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</row>
    <row r="45" spans="1:49" ht="15" customHeight="1" x14ac:dyDescent="0.35">
      <c r="A45" s="31">
        <v>40</v>
      </c>
      <c r="B45" s="21" t="s">
        <v>12</v>
      </c>
      <c r="C45" s="47" t="s">
        <v>186</v>
      </c>
      <c r="D45" s="47" t="s">
        <v>187</v>
      </c>
      <c r="E45" s="20">
        <v>2</v>
      </c>
      <c r="F45" s="73" t="s">
        <v>193</v>
      </c>
      <c r="G45" s="47" t="s">
        <v>194</v>
      </c>
      <c r="H45" s="51">
        <v>5102989555</v>
      </c>
      <c r="I45" s="47" t="s">
        <v>190</v>
      </c>
      <c r="J45" s="52" t="s">
        <v>191</v>
      </c>
      <c r="K45" s="25" t="s">
        <v>111</v>
      </c>
      <c r="L45" s="25" t="s">
        <v>179</v>
      </c>
      <c r="M45" s="25"/>
      <c r="N45" s="25"/>
      <c r="O45" s="21" t="s">
        <v>3</v>
      </c>
      <c r="P45" s="28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spans="1:49" ht="15" customHeight="1" x14ac:dyDescent="0.35">
      <c r="A46" s="20">
        <v>41</v>
      </c>
      <c r="B46" s="21" t="s">
        <v>14</v>
      </c>
      <c r="C46" s="47" t="s">
        <v>195</v>
      </c>
      <c r="D46" s="47" t="s">
        <v>196</v>
      </c>
      <c r="E46" s="20" t="s">
        <v>76</v>
      </c>
      <c r="F46" s="73" t="s">
        <v>197</v>
      </c>
      <c r="G46" s="47" t="s">
        <v>198</v>
      </c>
      <c r="H46" s="51">
        <v>3233374665</v>
      </c>
      <c r="I46" s="47" t="s">
        <v>199</v>
      </c>
      <c r="J46" s="52">
        <v>45522</v>
      </c>
      <c r="K46" s="25" t="s">
        <v>87</v>
      </c>
      <c r="L46" s="25" t="s">
        <v>200</v>
      </c>
      <c r="M46" s="25"/>
      <c r="N46" s="25"/>
      <c r="O46" s="21" t="s">
        <v>3</v>
      </c>
      <c r="P46" s="28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ht="15" customHeight="1" x14ac:dyDescent="0.35">
      <c r="A47" s="20">
        <v>42</v>
      </c>
      <c r="B47" s="15" t="s">
        <v>14</v>
      </c>
      <c r="C47" s="25" t="s">
        <v>195</v>
      </c>
      <c r="D47" s="25" t="s">
        <v>201</v>
      </c>
      <c r="E47" s="23">
        <v>1</v>
      </c>
      <c r="F47" s="24" t="s">
        <v>202</v>
      </c>
      <c r="G47" s="25" t="s">
        <v>198</v>
      </c>
      <c r="H47" s="25">
        <v>3233374665</v>
      </c>
      <c r="I47" s="25" t="s">
        <v>199</v>
      </c>
      <c r="J47" s="27">
        <v>45522</v>
      </c>
      <c r="K47" s="25" t="s">
        <v>51</v>
      </c>
      <c r="L47" s="25" t="s">
        <v>64</v>
      </c>
      <c r="M47" s="25"/>
      <c r="N47" s="25"/>
      <c r="O47" s="21" t="s">
        <v>3</v>
      </c>
      <c r="P47" s="25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spans="1:49" ht="15" customHeight="1" x14ac:dyDescent="0.35">
      <c r="A48" s="20">
        <v>43</v>
      </c>
      <c r="B48" s="21" t="s">
        <v>14</v>
      </c>
      <c r="C48" s="22" t="s">
        <v>203</v>
      </c>
      <c r="D48" s="22" t="s">
        <v>204</v>
      </c>
      <c r="E48" s="23" t="s">
        <v>76</v>
      </c>
      <c r="F48" s="24" t="s">
        <v>205</v>
      </c>
      <c r="G48" s="25" t="s">
        <v>206</v>
      </c>
      <c r="H48" s="26">
        <v>2016651117</v>
      </c>
      <c r="I48" s="25" t="s">
        <v>207</v>
      </c>
      <c r="J48" s="27" t="s">
        <v>208</v>
      </c>
      <c r="K48" s="25" t="s">
        <v>81</v>
      </c>
      <c r="L48" s="25" t="s">
        <v>209</v>
      </c>
      <c r="M48" s="25"/>
      <c r="N48" s="25"/>
      <c r="O48" s="21" t="s">
        <v>3</v>
      </c>
      <c r="P48" s="28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</row>
    <row r="49" spans="1:49" ht="15" customHeight="1" x14ac:dyDescent="0.35">
      <c r="A49" s="20">
        <v>44</v>
      </c>
      <c r="B49" s="37" t="s">
        <v>12</v>
      </c>
      <c r="C49" s="74" t="s">
        <v>203</v>
      </c>
      <c r="D49" s="74" t="s">
        <v>204</v>
      </c>
      <c r="E49" s="34" t="s">
        <v>76</v>
      </c>
      <c r="F49" s="35" t="s">
        <v>210</v>
      </c>
      <c r="G49" s="33" t="s">
        <v>211</v>
      </c>
      <c r="H49" s="75">
        <v>2016651117</v>
      </c>
      <c r="I49" s="33" t="s">
        <v>207</v>
      </c>
      <c r="J49" s="36">
        <v>45673</v>
      </c>
      <c r="K49" s="33" t="s">
        <v>54</v>
      </c>
      <c r="L49" s="33" t="s">
        <v>72</v>
      </c>
      <c r="M49" s="33"/>
      <c r="N49" s="33" t="s">
        <v>212</v>
      </c>
      <c r="O49" s="37" t="s">
        <v>3</v>
      </c>
      <c r="P49" s="76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40"/>
      <c r="AW49" s="40"/>
    </row>
    <row r="50" spans="1:49" ht="15" customHeight="1" x14ac:dyDescent="0.35">
      <c r="A50" s="20">
        <v>45</v>
      </c>
      <c r="B50" s="21" t="s">
        <v>14</v>
      </c>
      <c r="C50" s="22" t="s">
        <v>213</v>
      </c>
      <c r="D50" s="22" t="s">
        <v>214</v>
      </c>
      <c r="E50" s="23">
        <v>4</v>
      </c>
      <c r="F50" s="24">
        <v>41866</v>
      </c>
      <c r="G50" s="22" t="s">
        <v>215</v>
      </c>
      <c r="H50" s="26">
        <v>4085696688</v>
      </c>
      <c r="I50" s="25" t="s">
        <v>216</v>
      </c>
      <c r="J50" s="27">
        <v>45154</v>
      </c>
      <c r="K50" s="25" t="s">
        <v>123</v>
      </c>
      <c r="L50" s="25" t="s">
        <v>217</v>
      </c>
      <c r="M50" s="25"/>
      <c r="N50" s="25"/>
      <c r="O50" s="21" t="s">
        <v>3</v>
      </c>
      <c r="P50" s="28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</row>
    <row r="51" spans="1:49" ht="15" customHeight="1" x14ac:dyDescent="0.35">
      <c r="A51" s="20">
        <v>46</v>
      </c>
      <c r="B51" s="21" t="s">
        <v>12</v>
      </c>
      <c r="C51" s="47" t="s">
        <v>213</v>
      </c>
      <c r="D51" s="47" t="s">
        <v>214</v>
      </c>
      <c r="E51" s="20">
        <v>4</v>
      </c>
      <c r="F51" s="73">
        <v>41866</v>
      </c>
      <c r="G51" s="47" t="s">
        <v>215</v>
      </c>
      <c r="H51" s="51">
        <v>4085696688</v>
      </c>
      <c r="I51" s="47" t="s">
        <v>216</v>
      </c>
      <c r="J51" s="52">
        <v>45154</v>
      </c>
      <c r="K51" s="25" t="s">
        <v>45</v>
      </c>
      <c r="L51" s="25" t="s">
        <v>155</v>
      </c>
      <c r="M51" s="25"/>
      <c r="N51" s="25"/>
      <c r="O51" s="21" t="s">
        <v>3</v>
      </c>
      <c r="P51" s="28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spans="1:49" ht="15" customHeight="1" x14ac:dyDescent="0.35">
      <c r="A52" s="31">
        <v>47</v>
      </c>
      <c r="B52" s="21" t="s">
        <v>14</v>
      </c>
      <c r="C52" s="47" t="s">
        <v>218</v>
      </c>
      <c r="D52" s="47" t="s">
        <v>219</v>
      </c>
      <c r="E52" s="20">
        <v>3</v>
      </c>
      <c r="F52" s="73" t="s">
        <v>220</v>
      </c>
      <c r="G52" s="47" t="s">
        <v>221</v>
      </c>
      <c r="H52" s="51">
        <v>5103336666</v>
      </c>
      <c r="I52" s="47" t="s">
        <v>222</v>
      </c>
      <c r="J52" s="52" t="s">
        <v>122</v>
      </c>
      <c r="K52" s="25" t="s">
        <v>109</v>
      </c>
      <c r="L52" s="25" t="s">
        <v>124</v>
      </c>
      <c r="M52" s="25"/>
      <c r="N52" s="25"/>
      <c r="O52" s="21" t="s">
        <v>3</v>
      </c>
      <c r="P52" s="28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ht="15" customHeight="1" x14ac:dyDescent="0.35">
      <c r="A53" s="20">
        <v>48</v>
      </c>
      <c r="B53" s="15" t="s">
        <v>14</v>
      </c>
      <c r="C53" s="25" t="s">
        <v>218</v>
      </c>
      <c r="D53" s="25" t="s">
        <v>223</v>
      </c>
      <c r="E53" s="23" t="s">
        <v>76</v>
      </c>
      <c r="F53" s="24">
        <v>42846</v>
      </c>
      <c r="G53" s="25" t="s">
        <v>224</v>
      </c>
      <c r="H53" s="25">
        <v>5102075030</v>
      </c>
      <c r="I53" s="25" t="s">
        <v>225</v>
      </c>
      <c r="J53" s="27">
        <v>45110</v>
      </c>
      <c r="K53" s="25" t="s">
        <v>147</v>
      </c>
      <c r="L53" s="25" t="s">
        <v>226</v>
      </c>
      <c r="M53" s="25"/>
      <c r="N53" s="25"/>
      <c r="O53" s="21" t="s">
        <v>3</v>
      </c>
      <c r="P53" s="25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spans="1:49" ht="15" customHeight="1" x14ac:dyDescent="0.35">
      <c r="A54" s="20">
        <v>49</v>
      </c>
      <c r="B54" s="21" t="s">
        <v>12</v>
      </c>
      <c r="C54" s="22" t="s">
        <v>218</v>
      </c>
      <c r="D54" s="22" t="s">
        <v>223</v>
      </c>
      <c r="E54" s="23" t="s">
        <v>76</v>
      </c>
      <c r="F54" s="24">
        <v>42846</v>
      </c>
      <c r="G54" s="25" t="s">
        <v>224</v>
      </c>
      <c r="H54" s="26">
        <v>5102075030</v>
      </c>
      <c r="I54" s="25" t="s">
        <v>225</v>
      </c>
      <c r="J54" s="27">
        <v>45110</v>
      </c>
      <c r="K54" s="25" t="s">
        <v>125</v>
      </c>
      <c r="L54" s="25" t="s">
        <v>155</v>
      </c>
      <c r="M54" s="25"/>
      <c r="N54" s="25"/>
      <c r="O54" s="21" t="s">
        <v>3</v>
      </c>
      <c r="P54" s="28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</row>
    <row r="55" spans="1:49" ht="15" customHeight="1" x14ac:dyDescent="0.35">
      <c r="A55" s="20">
        <v>50</v>
      </c>
      <c r="B55" s="21" t="s">
        <v>14</v>
      </c>
      <c r="C55" s="22" t="s">
        <v>213</v>
      </c>
      <c r="D55" s="22" t="s">
        <v>227</v>
      </c>
      <c r="E55" s="23" t="s">
        <v>76</v>
      </c>
      <c r="F55" s="24">
        <v>43798</v>
      </c>
      <c r="G55" s="22" t="s">
        <v>228</v>
      </c>
      <c r="H55" s="26">
        <v>5102075030</v>
      </c>
      <c r="I55" s="25" t="s">
        <v>225</v>
      </c>
      <c r="J55" s="27">
        <v>45537</v>
      </c>
      <c r="K55" s="25" t="s">
        <v>229</v>
      </c>
      <c r="L55" s="25" t="s">
        <v>230</v>
      </c>
      <c r="M55" s="25"/>
      <c r="N55" s="25"/>
      <c r="O55" s="21" t="s">
        <v>3</v>
      </c>
      <c r="P55" s="28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</row>
    <row r="56" spans="1:49" ht="15" customHeight="1" x14ac:dyDescent="0.35">
      <c r="A56" s="20">
        <v>51</v>
      </c>
      <c r="B56" s="21" t="s">
        <v>14</v>
      </c>
      <c r="C56" s="47" t="s">
        <v>218</v>
      </c>
      <c r="D56" s="47" t="s">
        <v>231</v>
      </c>
      <c r="E56" s="20">
        <v>2</v>
      </c>
      <c r="F56" s="73">
        <v>42025</v>
      </c>
      <c r="G56" s="47" t="s">
        <v>224</v>
      </c>
      <c r="H56" s="51">
        <v>5102075030</v>
      </c>
      <c r="I56" s="47" t="s">
        <v>225</v>
      </c>
      <c r="J56" s="52">
        <v>45110</v>
      </c>
      <c r="K56" s="25" t="s">
        <v>232</v>
      </c>
      <c r="L56" s="25" t="s">
        <v>155</v>
      </c>
      <c r="M56" s="25"/>
      <c r="N56" s="25"/>
      <c r="O56" s="21" t="s">
        <v>3</v>
      </c>
      <c r="P56" s="28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spans="1:49" ht="15" customHeight="1" x14ac:dyDescent="0.35">
      <c r="A57" s="20">
        <v>52</v>
      </c>
      <c r="B57" s="21" t="s">
        <v>12</v>
      </c>
      <c r="C57" s="47" t="s">
        <v>218</v>
      </c>
      <c r="D57" s="47" t="s">
        <v>231</v>
      </c>
      <c r="E57" s="20">
        <v>2</v>
      </c>
      <c r="F57" s="73">
        <v>42025</v>
      </c>
      <c r="G57" s="47" t="s">
        <v>224</v>
      </c>
      <c r="H57" s="51">
        <v>5102075030</v>
      </c>
      <c r="I57" s="47" t="s">
        <v>225</v>
      </c>
      <c r="J57" s="52">
        <v>45110</v>
      </c>
      <c r="K57" s="25" t="s">
        <v>233</v>
      </c>
      <c r="L57" s="25" t="s">
        <v>226</v>
      </c>
      <c r="M57" s="25"/>
      <c r="N57" s="25"/>
      <c r="O57" s="21" t="s">
        <v>3</v>
      </c>
      <c r="P57" s="28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ht="15" customHeight="1" x14ac:dyDescent="0.35">
      <c r="A58" s="20">
        <v>53</v>
      </c>
      <c r="B58" s="15" t="s">
        <v>14</v>
      </c>
      <c r="C58" s="25" t="s">
        <v>234</v>
      </c>
      <c r="D58" s="25" t="s">
        <v>235</v>
      </c>
      <c r="E58" s="23" t="s">
        <v>76</v>
      </c>
      <c r="F58" s="24" t="s">
        <v>236</v>
      </c>
      <c r="G58" s="25" t="s">
        <v>237</v>
      </c>
      <c r="H58" s="25">
        <v>4083936870</v>
      </c>
      <c r="I58" s="25" t="s">
        <v>238</v>
      </c>
      <c r="J58" s="27" t="s">
        <v>239</v>
      </c>
      <c r="K58" s="25" t="s">
        <v>63</v>
      </c>
      <c r="L58" s="25" t="s">
        <v>138</v>
      </c>
      <c r="M58" s="25"/>
      <c r="N58" s="25"/>
      <c r="O58" s="21" t="s">
        <v>3</v>
      </c>
      <c r="P58" s="25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29"/>
      <c r="AW58" s="29"/>
    </row>
    <row r="59" spans="1:49" ht="15" customHeight="1" x14ac:dyDescent="0.35">
      <c r="A59" s="31">
        <v>54</v>
      </c>
      <c r="B59" s="21" t="s">
        <v>12</v>
      </c>
      <c r="C59" s="22" t="s">
        <v>234</v>
      </c>
      <c r="D59" s="22" t="s">
        <v>235</v>
      </c>
      <c r="E59" s="23" t="s">
        <v>76</v>
      </c>
      <c r="F59" s="24" t="s">
        <v>236</v>
      </c>
      <c r="G59" s="25" t="s">
        <v>237</v>
      </c>
      <c r="H59" s="26">
        <v>4083936870</v>
      </c>
      <c r="I59" s="25" t="s">
        <v>238</v>
      </c>
      <c r="J59" s="27" t="s">
        <v>239</v>
      </c>
      <c r="K59" s="25" t="s">
        <v>65</v>
      </c>
      <c r="L59" s="25" t="s">
        <v>38</v>
      </c>
      <c r="M59" s="25"/>
      <c r="N59" s="25"/>
      <c r="O59" s="21" t="s">
        <v>3</v>
      </c>
      <c r="P59" s="28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29"/>
      <c r="AW59" s="29"/>
    </row>
    <row r="60" spans="1:49" ht="15" customHeight="1" x14ac:dyDescent="0.35">
      <c r="A60" s="20">
        <v>55</v>
      </c>
      <c r="B60" s="21" t="s">
        <v>14</v>
      </c>
      <c r="C60" s="22" t="s">
        <v>240</v>
      </c>
      <c r="D60" s="22" t="s">
        <v>241</v>
      </c>
      <c r="E60" s="23" t="s">
        <v>76</v>
      </c>
      <c r="F60" s="24" t="s">
        <v>242</v>
      </c>
      <c r="G60" s="22" t="s">
        <v>243</v>
      </c>
      <c r="H60" s="26">
        <v>4086054758</v>
      </c>
      <c r="I60" s="25" t="s">
        <v>244</v>
      </c>
      <c r="J60" s="27" t="s">
        <v>245</v>
      </c>
      <c r="K60" s="25" t="s">
        <v>100</v>
      </c>
      <c r="L60" s="25" t="s">
        <v>246</v>
      </c>
      <c r="M60" s="25"/>
      <c r="N60" s="25"/>
      <c r="O60" s="21" t="s">
        <v>3</v>
      </c>
      <c r="P60" s="28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</row>
    <row r="61" spans="1:49" ht="15" customHeight="1" x14ac:dyDescent="0.35">
      <c r="A61" s="20">
        <v>56</v>
      </c>
      <c r="B61" s="78" t="s">
        <v>14</v>
      </c>
      <c r="C61" s="47" t="s">
        <v>240</v>
      </c>
      <c r="D61" s="47" t="s">
        <v>241</v>
      </c>
      <c r="E61" s="20" t="s">
        <v>76</v>
      </c>
      <c r="F61" s="73" t="s">
        <v>242</v>
      </c>
      <c r="G61" s="47" t="s">
        <v>243</v>
      </c>
      <c r="H61" s="51">
        <v>4086054758</v>
      </c>
      <c r="I61" s="47" t="s">
        <v>244</v>
      </c>
      <c r="J61" s="52" t="s">
        <v>191</v>
      </c>
      <c r="K61" s="25" t="s">
        <v>154</v>
      </c>
      <c r="L61" s="25" t="s">
        <v>52</v>
      </c>
      <c r="M61" s="79" t="s">
        <v>247</v>
      </c>
      <c r="N61" s="25"/>
      <c r="O61" s="21" t="s">
        <v>3</v>
      </c>
      <c r="P61" s="28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spans="1:49" ht="15" customHeight="1" x14ac:dyDescent="0.35">
      <c r="A62" s="20">
        <v>57</v>
      </c>
      <c r="B62" s="21" t="s">
        <v>14</v>
      </c>
      <c r="C62" s="47" t="s">
        <v>248</v>
      </c>
      <c r="D62" s="47" t="s">
        <v>249</v>
      </c>
      <c r="E62" s="20">
        <v>1</v>
      </c>
      <c r="F62" s="73">
        <v>42695</v>
      </c>
      <c r="G62" s="47" t="s">
        <v>250</v>
      </c>
      <c r="H62" s="51">
        <v>5103147991</v>
      </c>
      <c r="I62" s="47" t="s">
        <v>251</v>
      </c>
      <c r="J62" s="52">
        <v>45523</v>
      </c>
      <c r="K62" s="25" t="s">
        <v>51</v>
      </c>
      <c r="L62" s="25" t="s">
        <v>246</v>
      </c>
      <c r="M62" s="25"/>
      <c r="N62" s="25"/>
      <c r="O62" s="21" t="s">
        <v>3</v>
      </c>
      <c r="P62" s="28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ht="15" customHeight="1" x14ac:dyDescent="0.35">
      <c r="A63" s="20">
        <v>58</v>
      </c>
      <c r="B63" s="15" t="s">
        <v>12</v>
      </c>
      <c r="C63" s="25" t="s">
        <v>248</v>
      </c>
      <c r="D63" s="25" t="s">
        <v>249</v>
      </c>
      <c r="E63" s="23">
        <v>1</v>
      </c>
      <c r="F63" s="24">
        <v>42695</v>
      </c>
      <c r="G63" s="25" t="s">
        <v>250</v>
      </c>
      <c r="H63" s="25">
        <v>5103147991</v>
      </c>
      <c r="I63" s="25" t="s">
        <v>251</v>
      </c>
      <c r="J63" s="27">
        <v>45523</v>
      </c>
      <c r="K63" s="25" t="s">
        <v>82</v>
      </c>
      <c r="L63" s="25" t="s">
        <v>252</v>
      </c>
      <c r="M63" s="25"/>
      <c r="N63" s="25"/>
      <c r="O63" s="21" t="s">
        <v>3</v>
      </c>
      <c r="P63" s="25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spans="1:49" ht="15" customHeight="1" x14ac:dyDescent="0.35">
      <c r="A64" s="20">
        <v>59</v>
      </c>
      <c r="B64" s="21" t="s">
        <v>12</v>
      </c>
      <c r="C64" s="22" t="s">
        <v>248</v>
      </c>
      <c r="D64" s="22" t="s">
        <v>253</v>
      </c>
      <c r="E64" s="23">
        <v>1</v>
      </c>
      <c r="F64" s="24">
        <v>42695</v>
      </c>
      <c r="G64" s="25" t="s">
        <v>250</v>
      </c>
      <c r="H64" s="26">
        <v>5103147991</v>
      </c>
      <c r="I64" s="25" t="s">
        <v>251</v>
      </c>
      <c r="J64" s="27">
        <v>45523</v>
      </c>
      <c r="K64" s="25" t="s">
        <v>82</v>
      </c>
      <c r="L64" s="25" t="s">
        <v>254</v>
      </c>
      <c r="M64" s="25"/>
      <c r="N64" s="25"/>
      <c r="O64" s="21" t="s">
        <v>3</v>
      </c>
      <c r="P64" s="28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</row>
    <row r="65" spans="1:49" ht="15" customHeight="1" x14ac:dyDescent="0.35">
      <c r="A65" s="20">
        <v>60</v>
      </c>
      <c r="B65" s="21" t="s">
        <v>14</v>
      </c>
      <c r="C65" s="22" t="s">
        <v>248</v>
      </c>
      <c r="D65" s="22" t="s">
        <v>253</v>
      </c>
      <c r="E65" s="23">
        <v>1</v>
      </c>
      <c r="F65" s="24">
        <v>42695</v>
      </c>
      <c r="G65" s="22" t="s">
        <v>250</v>
      </c>
      <c r="H65" s="26">
        <v>5103147991</v>
      </c>
      <c r="I65" s="25" t="s">
        <v>251</v>
      </c>
      <c r="J65" s="27">
        <v>45523</v>
      </c>
      <c r="K65" s="25" t="s">
        <v>51</v>
      </c>
      <c r="L65" s="25" t="s">
        <v>148</v>
      </c>
      <c r="M65" s="25"/>
      <c r="N65" s="25"/>
      <c r="O65" s="21" t="s">
        <v>3</v>
      </c>
      <c r="P65" s="28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</row>
    <row r="66" spans="1:49" ht="15" customHeight="1" x14ac:dyDescent="0.35">
      <c r="A66" s="31">
        <v>61</v>
      </c>
      <c r="B66" s="21" t="s">
        <v>14</v>
      </c>
      <c r="C66" s="47" t="s">
        <v>255</v>
      </c>
      <c r="D66" s="47" t="s">
        <v>40</v>
      </c>
      <c r="E66" s="20" t="s">
        <v>76</v>
      </c>
      <c r="F66" s="73">
        <v>43274</v>
      </c>
      <c r="G66" s="47" t="s">
        <v>256</v>
      </c>
      <c r="H66" s="51">
        <v>2544004292</v>
      </c>
      <c r="I66" s="47" t="s">
        <v>257</v>
      </c>
      <c r="J66" s="52">
        <v>45503</v>
      </c>
      <c r="K66" s="25" t="s">
        <v>81</v>
      </c>
      <c r="L66" s="25" t="s">
        <v>164</v>
      </c>
      <c r="M66" s="25"/>
      <c r="N66" s="25"/>
      <c r="O66" s="21" t="s">
        <v>3</v>
      </c>
      <c r="P66" s="28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spans="1:49" ht="15" customHeight="1" x14ac:dyDescent="0.35">
      <c r="A67" s="20">
        <v>62</v>
      </c>
      <c r="B67" s="41" t="s">
        <v>12</v>
      </c>
      <c r="C67" s="42" t="s">
        <v>255</v>
      </c>
      <c r="D67" s="42" t="s">
        <v>40</v>
      </c>
      <c r="E67" s="43" t="s">
        <v>76</v>
      </c>
      <c r="F67" s="44">
        <v>43274</v>
      </c>
      <c r="G67" s="42" t="s">
        <v>256</v>
      </c>
      <c r="H67" s="80">
        <v>2544004292</v>
      </c>
      <c r="I67" s="42" t="s">
        <v>257</v>
      </c>
      <c r="J67" s="46">
        <v>45627</v>
      </c>
      <c r="K67" s="81" t="s">
        <v>82</v>
      </c>
      <c r="L67" s="81" t="s">
        <v>74</v>
      </c>
      <c r="M67" s="81"/>
      <c r="N67" s="81"/>
      <c r="O67" s="21" t="s">
        <v>3</v>
      </c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</row>
    <row r="68" spans="1:49" ht="15" customHeight="1" x14ac:dyDescent="0.35">
      <c r="A68" s="20">
        <v>63</v>
      </c>
      <c r="B68" s="21" t="s">
        <v>12</v>
      </c>
      <c r="C68" s="47" t="s">
        <v>258</v>
      </c>
      <c r="D68" s="47" t="s">
        <v>259</v>
      </c>
      <c r="E68" s="20" t="s">
        <v>260</v>
      </c>
      <c r="F68" s="73" t="s">
        <v>261</v>
      </c>
      <c r="G68" s="47" t="s">
        <v>262</v>
      </c>
      <c r="H68" s="51">
        <v>7063088178</v>
      </c>
      <c r="I68" s="47" t="s">
        <v>263</v>
      </c>
      <c r="J68" s="52" t="s">
        <v>44</v>
      </c>
      <c r="K68" s="25" t="s">
        <v>73</v>
      </c>
      <c r="L68" s="25" t="s">
        <v>252</v>
      </c>
      <c r="M68" s="25"/>
      <c r="N68" s="25"/>
      <c r="O68" s="21" t="s">
        <v>3</v>
      </c>
      <c r="P68" s="28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ht="15" customHeight="1" x14ac:dyDescent="0.35">
      <c r="A69" s="20">
        <v>64</v>
      </c>
      <c r="B69" s="15" t="s">
        <v>14</v>
      </c>
      <c r="C69" s="25" t="s">
        <v>258</v>
      </c>
      <c r="D69" s="25" t="s">
        <v>259</v>
      </c>
      <c r="E69" s="23" t="s">
        <v>260</v>
      </c>
      <c r="F69" s="24" t="s">
        <v>261</v>
      </c>
      <c r="G69" s="25" t="s">
        <v>262</v>
      </c>
      <c r="H69" s="25">
        <v>7063088178</v>
      </c>
      <c r="I69" s="25" t="s">
        <v>263</v>
      </c>
      <c r="J69" s="27" t="s">
        <v>44</v>
      </c>
      <c r="K69" s="25" t="s">
        <v>71</v>
      </c>
      <c r="L69" s="25" t="s">
        <v>264</v>
      </c>
      <c r="M69" s="25"/>
      <c r="N69" s="25"/>
      <c r="O69" s="21" t="s">
        <v>3</v>
      </c>
      <c r="P69" s="25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spans="1:49" ht="15" customHeight="1" x14ac:dyDescent="0.35">
      <c r="A70" s="20">
        <v>65</v>
      </c>
      <c r="B70" s="21" t="s">
        <v>14</v>
      </c>
      <c r="C70" s="22" t="s">
        <v>258</v>
      </c>
      <c r="D70" s="22" t="s">
        <v>265</v>
      </c>
      <c r="E70" s="23">
        <v>1</v>
      </c>
      <c r="F70" s="24" t="s">
        <v>266</v>
      </c>
      <c r="G70" s="25" t="s">
        <v>267</v>
      </c>
      <c r="H70" s="26">
        <v>4088390577</v>
      </c>
      <c r="I70" s="25" t="s">
        <v>268</v>
      </c>
      <c r="J70" s="27" t="s">
        <v>269</v>
      </c>
      <c r="K70" s="25" t="s">
        <v>141</v>
      </c>
      <c r="L70" s="25" t="s">
        <v>270</v>
      </c>
      <c r="M70" s="25"/>
      <c r="N70" s="25"/>
      <c r="O70" s="21" t="s">
        <v>3</v>
      </c>
      <c r="P70" s="28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</row>
    <row r="71" spans="1:49" ht="15" customHeight="1" x14ac:dyDescent="0.35">
      <c r="A71" s="20">
        <v>66</v>
      </c>
      <c r="B71" s="21" t="s">
        <v>12</v>
      </c>
      <c r="C71" s="22" t="s">
        <v>258</v>
      </c>
      <c r="D71" s="22" t="s">
        <v>265</v>
      </c>
      <c r="E71" s="23">
        <v>1</v>
      </c>
      <c r="F71" s="24" t="s">
        <v>266</v>
      </c>
      <c r="G71" s="22" t="s">
        <v>267</v>
      </c>
      <c r="H71" s="26">
        <v>4088390577</v>
      </c>
      <c r="I71" s="25" t="s">
        <v>268</v>
      </c>
      <c r="J71" s="27" t="s">
        <v>269</v>
      </c>
      <c r="K71" s="25" t="s">
        <v>271</v>
      </c>
      <c r="L71" s="25" t="s">
        <v>88</v>
      </c>
      <c r="M71" s="25"/>
      <c r="N71" s="25"/>
      <c r="O71" s="21" t="s">
        <v>3</v>
      </c>
      <c r="P71" s="28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</row>
    <row r="72" spans="1:49" ht="15" customHeight="1" x14ac:dyDescent="0.35">
      <c r="A72" s="20">
        <v>67</v>
      </c>
      <c r="B72" s="21" t="s">
        <v>14</v>
      </c>
      <c r="C72" s="47" t="s">
        <v>272</v>
      </c>
      <c r="D72" s="47" t="s">
        <v>273</v>
      </c>
      <c r="E72" s="20">
        <v>2</v>
      </c>
      <c r="F72" s="73">
        <v>42736</v>
      </c>
      <c r="G72" s="47" t="s">
        <v>274</v>
      </c>
      <c r="H72" s="51">
        <v>4088070200</v>
      </c>
      <c r="I72" s="47" t="s">
        <v>275</v>
      </c>
      <c r="J72" s="52">
        <v>45323</v>
      </c>
      <c r="K72" s="25" t="s">
        <v>192</v>
      </c>
      <c r="L72" s="25" t="s">
        <v>124</v>
      </c>
      <c r="M72" s="25"/>
      <c r="N72" s="25"/>
      <c r="O72" s="21" t="s">
        <v>3</v>
      </c>
      <c r="P72" s="28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spans="1:49" ht="15" customHeight="1" x14ac:dyDescent="0.35">
      <c r="A73" s="31">
        <v>68</v>
      </c>
      <c r="B73" s="21" t="s">
        <v>12</v>
      </c>
      <c r="C73" s="47" t="s">
        <v>272</v>
      </c>
      <c r="D73" s="47" t="s">
        <v>273</v>
      </c>
      <c r="E73" s="20">
        <v>2</v>
      </c>
      <c r="F73" s="73">
        <v>42736</v>
      </c>
      <c r="G73" s="47" t="s">
        <v>274</v>
      </c>
      <c r="H73" s="51">
        <v>4088070200</v>
      </c>
      <c r="I73" s="47" t="s">
        <v>275</v>
      </c>
      <c r="J73" s="52">
        <v>45525</v>
      </c>
      <c r="K73" s="25" t="s">
        <v>82</v>
      </c>
      <c r="L73" s="25" t="s">
        <v>38</v>
      </c>
      <c r="M73" s="25"/>
      <c r="N73" s="25"/>
      <c r="O73" s="21" t="s">
        <v>3</v>
      </c>
      <c r="P73" s="28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1:49" ht="15" customHeight="1" x14ac:dyDescent="0.35">
      <c r="A74" s="20">
        <v>69</v>
      </c>
      <c r="B74" s="15" t="s">
        <v>14</v>
      </c>
      <c r="C74" s="25" t="s">
        <v>276</v>
      </c>
      <c r="D74" s="25" t="s">
        <v>277</v>
      </c>
      <c r="E74" s="23">
        <v>4</v>
      </c>
      <c r="F74" s="24" t="s">
        <v>278</v>
      </c>
      <c r="G74" s="25" t="s">
        <v>279</v>
      </c>
      <c r="H74" s="25">
        <v>2066055380</v>
      </c>
      <c r="I74" s="25" t="s">
        <v>280</v>
      </c>
      <c r="J74" s="27" t="s">
        <v>281</v>
      </c>
      <c r="K74" s="25" t="s">
        <v>123</v>
      </c>
      <c r="L74" s="25" t="s">
        <v>179</v>
      </c>
      <c r="M74" s="25"/>
      <c r="N74" s="25"/>
      <c r="O74" s="21" t="s">
        <v>3</v>
      </c>
      <c r="P74" s="25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spans="1:49" ht="15" customHeight="1" x14ac:dyDescent="0.35">
      <c r="A75" s="20">
        <v>70</v>
      </c>
      <c r="B75" s="21" t="s">
        <v>12</v>
      </c>
      <c r="C75" s="22" t="s">
        <v>276</v>
      </c>
      <c r="D75" s="22" t="s">
        <v>277</v>
      </c>
      <c r="E75" s="23">
        <v>4</v>
      </c>
      <c r="F75" s="24" t="s">
        <v>282</v>
      </c>
      <c r="G75" s="25" t="s">
        <v>283</v>
      </c>
      <c r="H75" s="26">
        <v>2066055380</v>
      </c>
      <c r="I75" s="25" t="s">
        <v>280</v>
      </c>
      <c r="J75" s="27" t="s">
        <v>281</v>
      </c>
      <c r="K75" s="25" t="s">
        <v>45</v>
      </c>
      <c r="L75" s="25" t="s">
        <v>164</v>
      </c>
      <c r="M75" s="25"/>
      <c r="N75" s="25"/>
      <c r="O75" s="21" t="s">
        <v>3</v>
      </c>
      <c r="P75" s="28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29"/>
      <c r="AW75" s="29"/>
    </row>
    <row r="76" spans="1:49" ht="15" customHeight="1" x14ac:dyDescent="0.35">
      <c r="A76" s="20">
        <v>71</v>
      </c>
      <c r="B76" s="15" t="s">
        <v>14</v>
      </c>
      <c r="C76" s="25" t="s">
        <v>284</v>
      </c>
      <c r="D76" s="25" t="s">
        <v>285</v>
      </c>
      <c r="E76" s="23" t="s">
        <v>76</v>
      </c>
      <c r="F76" s="24">
        <v>42867</v>
      </c>
      <c r="G76" s="25" t="s">
        <v>286</v>
      </c>
      <c r="H76" s="25">
        <v>4086432868</v>
      </c>
      <c r="I76" s="25" t="s">
        <v>287</v>
      </c>
      <c r="J76" s="27" t="s">
        <v>80</v>
      </c>
      <c r="K76" s="25" t="s">
        <v>109</v>
      </c>
      <c r="L76" s="25" t="s">
        <v>155</v>
      </c>
      <c r="M76" s="25"/>
      <c r="N76" s="25"/>
      <c r="O76" s="21" t="s">
        <v>3</v>
      </c>
      <c r="P76" s="25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spans="1:49" ht="15" customHeight="1" x14ac:dyDescent="0.35">
      <c r="A77" s="20">
        <v>72</v>
      </c>
      <c r="B77" s="21" t="s">
        <v>12</v>
      </c>
      <c r="C77" s="22" t="s">
        <v>284</v>
      </c>
      <c r="D77" s="22" t="s">
        <v>285</v>
      </c>
      <c r="E77" s="23" t="s">
        <v>76</v>
      </c>
      <c r="F77" s="24">
        <v>42867</v>
      </c>
      <c r="G77" s="25" t="s">
        <v>286</v>
      </c>
      <c r="H77" s="26">
        <v>4086432868</v>
      </c>
      <c r="I77" s="25" t="s">
        <v>287</v>
      </c>
      <c r="J77" s="27" t="s">
        <v>80</v>
      </c>
      <c r="K77" s="25" t="s">
        <v>125</v>
      </c>
      <c r="L77" s="25" t="s">
        <v>254</v>
      </c>
      <c r="M77" s="25"/>
      <c r="N77" s="25"/>
      <c r="O77" s="21" t="s">
        <v>3</v>
      </c>
      <c r="P77" s="28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</row>
    <row r="78" spans="1:49" ht="15" customHeight="1" x14ac:dyDescent="0.35">
      <c r="A78" s="20">
        <v>73</v>
      </c>
      <c r="B78" s="21" t="s">
        <v>14</v>
      </c>
      <c r="C78" s="22" t="s">
        <v>288</v>
      </c>
      <c r="D78" s="22" t="s">
        <v>289</v>
      </c>
      <c r="E78" s="23">
        <v>6</v>
      </c>
      <c r="F78" s="24">
        <v>41061</v>
      </c>
      <c r="G78" s="22" t="s">
        <v>290</v>
      </c>
      <c r="H78" s="26">
        <v>4088139160</v>
      </c>
      <c r="I78" s="25" t="s">
        <v>291</v>
      </c>
      <c r="J78" s="27">
        <v>45156</v>
      </c>
      <c r="K78" s="25" t="s">
        <v>292</v>
      </c>
      <c r="L78" s="25" t="s">
        <v>293</v>
      </c>
      <c r="M78" s="25"/>
      <c r="N78" s="25"/>
      <c r="O78" s="21" t="s">
        <v>3</v>
      </c>
      <c r="P78" s="28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</row>
    <row r="79" spans="1:49" ht="15" customHeight="1" x14ac:dyDescent="0.35">
      <c r="A79" s="20">
        <v>74</v>
      </c>
      <c r="B79" s="21" t="s">
        <v>12</v>
      </c>
      <c r="C79" s="47" t="s">
        <v>288</v>
      </c>
      <c r="D79" s="47" t="s">
        <v>289</v>
      </c>
      <c r="E79" s="20">
        <v>6</v>
      </c>
      <c r="F79" s="73">
        <v>41061</v>
      </c>
      <c r="G79" s="47" t="s">
        <v>290</v>
      </c>
      <c r="H79" s="51">
        <v>4088139160</v>
      </c>
      <c r="I79" s="47" t="s">
        <v>291</v>
      </c>
      <c r="J79" s="52">
        <v>45156</v>
      </c>
      <c r="K79" s="25" t="s">
        <v>294</v>
      </c>
      <c r="L79" s="25" t="s">
        <v>179</v>
      </c>
      <c r="M79" s="25"/>
      <c r="N79" s="25"/>
      <c r="O79" s="21" t="s">
        <v>3</v>
      </c>
      <c r="P79" s="28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spans="1:49" ht="15" customHeight="1" x14ac:dyDescent="0.35">
      <c r="A80" s="31">
        <v>75</v>
      </c>
      <c r="B80" s="21" t="s">
        <v>14</v>
      </c>
      <c r="C80" s="47" t="s">
        <v>295</v>
      </c>
      <c r="D80" s="47" t="s">
        <v>296</v>
      </c>
      <c r="E80" s="20">
        <v>2</v>
      </c>
      <c r="F80" s="73">
        <v>42348</v>
      </c>
      <c r="G80" s="47" t="s">
        <v>297</v>
      </c>
      <c r="H80" s="51">
        <v>4157228574</v>
      </c>
      <c r="I80" s="47" t="s">
        <v>298</v>
      </c>
      <c r="J80" s="52" t="s">
        <v>299</v>
      </c>
      <c r="K80" s="25" t="s">
        <v>123</v>
      </c>
      <c r="L80" s="25" t="s">
        <v>300</v>
      </c>
      <c r="M80" s="25"/>
      <c r="N80" s="25" t="s">
        <v>301</v>
      </c>
      <c r="O80" s="21" t="s">
        <v>3</v>
      </c>
      <c r="P80" s="28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ht="15" customHeight="1" x14ac:dyDescent="0.35">
      <c r="A81" s="20">
        <v>76</v>
      </c>
      <c r="B81" s="15" t="s">
        <v>12</v>
      </c>
      <c r="C81" s="25" t="s">
        <v>295</v>
      </c>
      <c r="D81" s="25" t="s">
        <v>296</v>
      </c>
      <c r="E81" s="23">
        <v>2</v>
      </c>
      <c r="F81" s="24">
        <v>42348</v>
      </c>
      <c r="G81" s="25" t="s">
        <v>297</v>
      </c>
      <c r="H81" s="25">
        <v>4157228574</v>
      </c>
      <c r="I81" s="25" t="s">
        <v>298</v>
      </c>
      <c r="J81" s="27" t="s">
        <v>299</v>
      </c>
      <c r="K81" s="25" t="s">
        <v>45</v>
      </c>
      <c r="L81" s="25" t="s">
        <v>302</v>
      </c>
      <c r="M81" s="25"/>
      <c r="N81" s="25"/>
      <c r="O81" s="21" t="s">
        <v>3</v>
      </c>
      <c r="P81" s="25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spans="1:49" ht="15" customHeight="1" x14ac:dyDescent="0.35">
      <c r="A82" s="20">
        <v>77</v>
      </c>
      <c r="B82" s="21" t="s">
        <v>14</v>
      </c>
      <c r="C82" s="22" t="s">
        <v>295</v>
      </c>
      <c r="D82" s="22" t="s">
        <v>303</v>
      </c>
      <c r="E82" s="23">
        <v>1</v>
      </c>
      <c r="F82" s="24">
        <v>42086</v>
      </c>
      <c r="G82" s="25" t="s">
        <v>304</v>
      </c>
      <c r="H82" s="26">
        <v>5109848496</v>
      </c>
      <c r="I82" s="25" t="s">
        <v>305</v>
      </c>
      <c r="J82" s="27">
        <v>45536</v>
      </c>
      <c r="K82" s="25" t="s">
        <v>171</v>
      </c>
      <c r="L82" s="25" t="s">
        <v>226</v>
      </c>
      <c r="M82" s="25"/>
      <c r="N82" s="25"/>
      <c r="O82" s="21" t="s">
        <v>3</v>
      </c>
      <c r="P82" s="28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</row>
    <row r="83" spans="1:49" ht="15" customHeight="1" x14ac:dyDescent="0.35">
      <c r="A83" s="20">
        <v>78</v>
      </c>
      <c r="B83" s="21" t="s">
        <v>12</v>
      </c>
      <c r="C83" s="22" t="s">
        <v>295</v>
      </c>
      <c r="D83" s="22" t="s">
        <v>303</v>
      </c>
      <c r="E83" s="23">
        <v>1</v>
      </c>
      <c r="F83" s="24">
        <v>42086</v>
      </c>
      <c r="G83" s="22" t="s">
        <v>304</v>
      </c>
      <c r="H83" s="26">
        <v>5109848496</v>
      </c>
      <c r="I83" s="25" t="s">
        <v>305</v>
      </c>
      <c r="J83" s="27">
        <v>45536</v>
      </c>
      <c r="K83" s="25" t="s">
        <v>173</v>
      </c>
      <c r="L83" s="25" t="s">
        <v>155</v>
      </c>
      <c r="M83" s="25"/>
      <c r="N83" s="25"/>
      <c r="O83" s="21" t="s">
        <v>3</v>
      </c>
      <c r="P83" s="28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</row>
    <row r="84" spans="1:49" ht="15" customHeight="1" x14ac:dyDescent="0.35">
      <c r="A84" s="20">
        <v>79</v>
      </c>
      <c r="B84" s="21" t="s">
        <v>14</v>
      </c>
      <c r="C84" s="47" t="s">
        <v>306</v>
      </c>
      <c r="D84" s="47" t="s">
        <v>307</v>
      </c>
      <c r="E84" s="20">
        <v>2</v>
      </c>
      <c r="F84" s="73" t="s">
        <v>308</v>
      </c>
      <c r="G84" s="47" t="s">
        <v>309</v>
      </c>
      <c r="H84" s="51">
        <v>3473220327</v>
      </c>
      <c r="I84" s="47" t="s">
        <v>310</v>
      </c>
      <c r="J84" s="52" t="s">
        <v>311</v>
      </c>
      <c r="K84" s="25" t="s">
        <v>81</v>
      </c>
      <c r="L84" s="25" t="s">
        <v>312</v>
      </c>
      <c r="M84" s="25"/>
      <c r="N84" s="25" t="s">
        <v>313</v>
      </c>
      <c r="O84" s="21" t="s">
        <v>3</v>
      </c>
      <c r="P84" s="28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spans="1:49" ht="15" customHeight="1" x14ac:dyDescent="0.35">
      <c r="A85" s="20">
        <v>80</v>
      </c>
      <c r="B85" s="21" t="s">
        <v>12</v>
      </c>
      <c r="C85" s="47" t="s">
        <v>306</v>
      </c>
      <c r="D85" s="47" t="s">
        <v>307</v>
      </c>
      <c r="E85" s="20">
        <v>2</v>
      </c>
      <c r="F85" s="73" t="s">
        <v>308</v>
      </c>
      <c r="G85" s="47" t="s">
        <v>309</v>
      </c>
      <c r="H85" s="51">
        <v>3473220327</v>
      </c>
      <c r="I85" s="47" t="s">
        <v>310</v>
      </c>
      <c r="J85" s="52" t="s">
        <v>311</v>
      </c>
      <c r="K85" s="25" t="s">
        <v>154</v>
      </c>
      <c r="L85" s="25" t="s">
        <v>254</v>
      </c>
      <c r="M85" s="25"/>
      <c r="N85" s="25" t="s">
        <v>313</v>
      </c>
      <c r="O85" s="21" t="s">
        <v>3</v>
      </c>
      <c r="P85" s="28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1:49" ht="15" customHeight="1" x14ac:dyDescent="0.35">
      <c r="A86" s="20">
        <v>81</v>
      </c>
      <c r="B86" s="53" t="s">
        <v>12</v>
      </c>
      <c r="C86" s="54" t="s">
        <v>314</v>
      </c>
      <c r="D86" s="54" t="s">
        <v>315</v>
      </c>
      <c r="E86" s="55" t="s">
        <v>176</v>
      </c>
      <c r="F86" s="56">
        <v>44245</v>
      </c>
      <c r="G86" s="57" t="s">
        <v>316</v>
      </c>
      <c r="H86" s="57">
        <v>6503056008</v>
      </c>
      <c r="I86" s="57" t="s">
        <v>317</v>
      </c>
      <c r="J86" s="58">
        <v>45658</v>
      </c>
      <c r="K86" s="59" t="s">
        <v>318</v>
      </c>
      <c r="L86" s="59" t="s">
        <v>74</v>
      </c>
      <c r="M86" s="59"/>
      <c r="N86" s="59" t="s">
        <v>89</v>
      </c>
      <c r="O86" s="37" t="s">
        <v>3</v>
      </c>
      <c r="P86" s="60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2"/>
      <c r="AW86" s="62"/>
    </row>
    <row r="87" spans="1:49" ht="15" customHeight="1" x14ac:dyDescent="0.35">
      <c r="A87" s="20">
        <v>82</v>
      </c>
      <c r="B87" s="53" t="s">
        <v>14</v>
      </c>
      <c r="C87" s="54" t="s">
        <v>319</v>
      </c>
      <c r="D87" s="54" t="s">
        <v>320</v>
      </c>
      <c r="E87" s="55">
        <v>5</v>
      </c>
      <c r="F87" s="56">
        <v>41774</v>
      </c>
      <c r="G87" s="57" t="s">
        <v>321</v>
      </c>
      <c r="H87" s="57" t="s">
        <v>322</v>
      </c>
      <c r="I87" s="57" t="s">
        <v>323</v>
      </c>
      <c r="J87" s="84">
        <v>45588</v>
      </c>
      <c r="K87" s="59" t="s">
        <v>147</v>
      </c>
      <c r="L87" s="59" t="s">
        <v>246</v>
      </c>
      <c r="M87" s="59"/>
      <c r="N87" s="59"/>
      <c r="O87" s="37" t="s">
        <v>3</v>
      </c>
      <c r="P87" s="60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2"/>
      <c r="AW87" s="62"/>
    </row>
    <row r="88" spans="1:49" ht="15" customHeight="1" x14ac:dyDescent="0.35">
      <c r="A88" s="20">
        <v>83</v>
      </c>
      <c r="B88" s="21" t="s">
        <v>14</v>
      </c>
      <c r="C88" s="22" t="s">
        <v>319</v>
      </c>
      <c r="D88" s="22" t="s">
        <v>324</v>
      </c>
      <c r="E88" s="23">
        <v>5</v>
      </c>
      <c r="F88" s="24">
        <v>41349</v>
      </c>
      <c r="G88" s="25" t="s">
        <v>325</v>
      </c>
      <c r="H88" s="26" t="s">
        <v>326</v>
      </c>
      <c r="I88" s="25" t="s">
        <v>327</v>
      </c>
      <c r="J88" s="27">
        <v>45103</v>
      </c>
      <c r="K88" s="25" t="s">
        <v>328</v>
      </c>
      <c r="L88" s="25" t="s">
        <v>138</v>
      </c>
      <c r="M88" s="25"/>
      <c r="N88" s="25"/>
      <c r="O88" s="21" t="s">
        <v>3</v>
      </c>
      <c r="P88" s="28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29"/>
      <c r="AW88" s="29"/>
    </row>
    <row r="89" spans="1:49" ht="15" customHeight="1" x14ac:dyDescent="0.35">
      <c r="A89" s="20">
        <v>84</v>
      </c>
      <c r="B89" s="21" t="s">
        <v>12</v>
      </c>
      <c r="C89" s="22" t="s">
        <v>319</v>
      </c>
      <c r="D89" s="22" t="s">
        <v>324</v>
      </c>
      <c r="E89" s="23">
        <v>5</v>
      </c>
      <c r="F89" s="24">
        <v>41349</v>
      </c>
      <c r="G89" s="22" t="s">
        <v>325</v>
      </c>
      <c r="H89" s="26" t="s">
        <v>326</v>
      </c>
      <c r="I89" s="25" t="s">
        <v>327</v>
      </c>
      <c r="J89" s="27">
        <v>45103</v>
      </c>
      <c r="K89" s="25" t="s">
        <v>125</v>
      </c>
      <c r="L89" s="25" t="s">
        <v>329</v>
      </c>
      <c r="M89" s="25"/>
      <c r="N89" s="25"/>
      <c r="O89" s="21" t="s">
        <v>3</v>
      </c>
      <c r="P89" s="28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</row>
    <row r="90" spans="1:49" ht="15" customHeight="1" x14ac:dyDescent="0.35">
      <c r="A90" s="20">
        <v>85</v>
      </c>
      <c r="B90" s="21" t="s">
        <v>14</v>
      </c>
      <c r="C90" s="47" t="s">
        <v>319</v>
      </c>
      <c r="D90" s="47" t="s">
        <v>330</v>
      </c>
      <c r="E90" s="20">
        <v>4</v>
      </c>
      <c r="F90" s="73" t="s">
        <v>278</v>
      </c>
      <c r="G90" s="47" t="s">
        <v>331</v>
      </c>
      <c r="H90" s="51">
        <v>6266790497</v>
      </c>
      <c r="I90" s="47" t="s">
        <v>332</v>
      </c>
      <c r="J90" s="52" t="s">
        <v>333</v>
      </c>
      <c r="K90" s="25" t="s">
        <v>232</v>
      </c>
      <c r="L90" s="25" t="s">
        <v>302</v>
      </c>
      <c r="M90" s="25"/>
      <c r="N90" s="25" t="s">
        <v>313</v>
      </c>
      <c r="O90" s="21" t="s">
        <v>3</v>
      </c>
      <c r="P90" s="28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spans="1:49" ht="15" customHeight="1" x14ac:dyDescent="0.35">
      <c r="A91" s="20">
        <v>86</v>
      </c>
      <c r="B91" s="21" t="s">
        <v>12</v>
      </c>
      <c r="C91" s="47" t="s">
        <v>319</v>
      </c>
      <c r="D91" s="47" t="s">
        <v>330</v>
      </c>
      <c r="E91" s="20">
        <v>4</v>
      </c>
      <c r="F91" s="73" t="s">
        <v>278</v>
      </c>
      <c r="G91" s="47" t="s">
        <v>331</v>
      </c>
      <c r="H91" s="51">
        <v>6266790497</v>
      </c>
      <c r="I91" s="47" t="s">
        <v>332</v>
      </c>
      <c r="J91" s="52" t="s">
        <v>333</v>
      </c>
      <c r="K91" s="25" t="s">
        <v>37</v>
      </c>
      <c r="L91" s="25" t="s">
        <v>110</v>
      </c>
      <c r="M91" s="25"/>
      <c r="N91" s="25" t="s">
        <v>313</v>
      </c>
      <c r="O91" s="21" t="s">
        <v>3</v>
      </c>
      <c r="P91" s="28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1:49" ht="15" customHeight="1" x14ac:dyDescent="0.35">
      <c r="A92" s="20">
        <v>87</v>
      </c>
      <c r="B92" s="15" t="s">
        <v>14</v>
      </c>
      <c r="C92" s="25" t="s">
        <v>319</v>
      </c>
      <c r="D92" s="25" t="s">
        <v>40</v>
      </c>
      <c r="E92" s="23" t="s">
        <v>76</v>
      </c>
      <c r="F92" s="24">
        <v>42707</v>
      </c>
      <c r="G92" s="25" t="s">
        <v>334</v>
      </c>
      <c r="H92" s="25">
        <v>5108969910</v>
      </c>
      <c r="I92" s="25" t="s">
        <v>335</v>
      </c>
      <c r="J92" s="27">
        <v>44805</v>
      </c>
      <c r="K92" s="25" t="s">
        <v>51</v>
      </c>
      <c r="L92" s="25" t="s">
        <v>38</v>
      </c>
      <c r="M92" s="25"/>
      <c r="N92" s="25"/>
      <c r="O92" s="21" t="s">
        <v>3</v>
      </c>
      <c r="P92" s="25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spans="1:49" ht="15" customHeight="1" x14ac:dyDescent="0.35">
      <c r="A93" s="20">
        <v>88</v>
      </c>
      <c r="B93" s="21" t="s">
        <v>12</v>
      </c>
      <c r="C93" s="22" t="s">
        <v>319</v>
      </c>
      <c r="D93" s="22" t="s">
        <v>40</v>
      </c>
      <c r="E93" s="23" t="s">
        <v>76</v>
      </c>
      <c r="F93" s="24">
        <v>42707</v>
      </c>
      <c r="G93" s="25" t="s">
        <v>334</v>
      </c>
      <c r="H93" s="26">
        <v>5108969910</v>
      </c>
      <c r="I93" s="25" t="s">
        <v>335</v>
      </c>
      <c r="J93" s="27">
        <v>44805</v>
      </c>
      <c r="K93" s="25" t="s">
        <v>111</v>
      </c>
      <c r="L93" s="25" t="s">
        <v>336</v>
      </c>
      <c r="M93" s="25"/>
      <c r="N93" s="25"/>
      <c r="O93" s="21" t="s">
        <v>3</v>
      </c>
      <c r="P93" s="28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</row>
    <row r="94" spans="1:49" ht="15" customHeight="1" x14ac:dyDescent="0.35">
      <c r="A94" s="31">
        <v>89</v>
      </c>
      <c r="B94" s="70" t="s">
        <v>14</v>
      </c>
      <c r="C94" s="85" t="s">
        <v>319</v>
      </c>
      <c r="D94" s="85" t="s">
        <v>337</v>
      </c>
      <c r="E94" s="67">
        <v>4</v>
      </c>
      <c r="F94" s="68" t="s">
        <v>338</v>
      </c>
      <c r="G94" s="85" t="s">
        <v>339</v>
      </c>
      <c r="H94" s="86">
        <v>7324916636</v>
      </c>
      <c r="I94" s="66" t="s">
        <v>340</v>
      </c>
      <c r="J94" s="69" t="s">
        <v>80</v>
      </c>
      <c r="K94" s="66" t="s">
        <v>328</v>
      </c>
      <c r="L94" s="66" t="s">
        <v>302</v>
      </c>
      <c r="M94" s="66"/>
      <c r="N94" s="66" t="s">
        <v>341</v>
      </c>
      <c r="O94" s="70" t="s">
        <v>5</v>
      </c>
      <c r="P94" s="87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72"/>
      <c r="AW94" s="72"/>
    </row>
    <row r="95" spans="1:49" ht="15" customHeight="1" x14ac:dyDescent="0.35">
      <c r="A95" s="20">
        <v>90</v>
      </c>
      <c r="B95" s="70" t="s">
        <v>12</v>
      </c>
      <c r="C95" s="89" t="s">
        <v>319</v>
      </c>
      <c r="D95" s="89" t="s">
        <v>337</v>
      </c>
      <c r="E95" s="64">
        <v>4</v>
      </c>
      <c r="F95" s="90" t="s">
        <v>338</v>
      </c>
      <c r="G95" s="89" t="s">
        <v>339</v>
      </c>
      <c r="H95" s="91">
        <v>7324916636</v>
      </c>
      <c r="I95" s="89" t="s">
        <v>340</v>
      </c>
      <c r="J95" s="92" t="s">
        <v>80</v>
      </c>
      <c r="K95" s="66" t="s">
        <v>111</v>
      </c>
      <c r="L95" s="66" t="s">
        <v>124</v>
      </c>
      <c r="M95" s="66"/>
      <c r="N95" s="66" t="s">
        <v>341</v>
      </c>
      <c r="O95" s="70" t="s">
        <v>5</v>
      </c>
      <c r="P95" s="87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2"/>
      <c r="AW95" s="72"/>
    </row>
    <row r="96" spans="1:49" ht="15" customHeight="1" x14ac:dyDescent="0.35">
      <c r="A96" s="20">
        <v>91</v>
      </c>
      <c r="B96" s="21" t="s">
        <v>14</v>
      </c>
      <c r="C96" s="47" t="s">
        <v>319</v>
      </c>
      <c r="D96" s="47" t="s">
        <v>342</v>
      </c>
      <c r="E96" s="20">
        <v>2</v>
      </c>
      <c r="F96" s="73" t="s">
        <v>343</v>
      </c>
      <c r="G96" s="47" t="s">
        <v>331</v>
      </c>
      <c r="H96" s="51">
        <v>6266790497</v>
      </c>
      <c r="I96" s="47" t="s">
        <v>332</v>
      </c>
      <c r="J96" s="52" t="s">
        <v>333</v>
      </c>
      <c r="K96" s="25" t="s">
        <v>163</v>
      </c>
      <c r="L96" s="25" t="s">
        <v>344</v>
      </c>
      <c r="M96" s="25"/>
      <c r="N96" s="25" t="s">
        <v>313</v>
      </c>
      <c r="O96" s="21" t="s">
        <v>3</v>
      </c>
      <c r="P96" s="28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1:49" ht="15" customHeight="1" x14ac:dyDescent="0.35">
      <c r="A97" s="20">
        <v>92</v>
      </c>
      <c r="B97" s="15" t="s">
        <v>12</v>
      </c>
      <c r="C97" s="25" t="s">
        <v>319</v>
      </c>
      <c r="D97" s="25" t="s">
        <v>342</v>
      </c>
      <c r="E97" s="23">
        <v>2</v>
      </c>
      <c r="F97" s="24" t="s">
        <v>343</v>
      </c>
      <c r="G97" s="25" t="s">
        <v>331</v>
      </c>
      <c r="H97" s="25">
        <v>6266790497</v>
      </c>
      <c r="I97" s="25" t="s">
        <v>332</v>
      </c>
      <c r="J97" s="27" t="s">
        <v>333</v>
      </c>
      <c r="K97" s="25" t="s">
        <v>45</v>
      </c>
      <c r="L97" s="25" t="s">
        <v>344</v>
      </c>
      <c r="M97" s="25"/>
      <c r="N97" s="25" t="s">
        <v>313</v>
      </c>
      <c r="O97" s="21" t="s">
        <v>3</v>
      </c>
      <c r="P97" s="25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spans="1:49" ht="15" customHeight="1" x14ac:dyDescent="0.35">
      <c r="A98" s="20">
        <v>93</v>
      </c>
      <c r="B98" s="21" t="s">
        <v>14</v>
      </c>
      <c r="C98" s="22" t="s">
        <v>345</v>
      </c>
      <c r="D98" s="22" t="s">
        <v>40</v>
      </c>
      <c r="E98" s="23">
        <v>2</v>
      </c>
      <c r="F98" s="24" t="s">
        <v>346</v>
      </c>
      <c r="G98" s="25" t="s">
        <v>347</v>
      </c>
      <c r="H98" s="26">
        <v>4087591928</v>
      </c>
      <c r="I98" s="25" t="s">
        <v>348</v>
      </c>
      <c r="J98" s="27" t="s">
        <v>269</v>
      </c>
      <c r="K98" s="25" t="s">
        <v>192</v>
      </c>
      <c r="L98" s="25" t="s">
        <v>155</v>
      </c>
      <c r="M98" s="25"/>
      <c r="N98" s="25"/>
      <c r="O98" s="21" t="s">
        <v>3</v>
      </c>
      <c r="P98" s="28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</row>
    <row r="99" spans="1:49" ht="15" customHeight="1" x14ac:dyDescent="0.35">
      <c r="A99" s="20">
        <v>94</v>
      </c>
      <c r="B99" s="21" t="s">
        <v>12</v>
      </c>
      <c r="C99" s="22" t="s">
        <v>345</v>
      </c>
      <c r="D99" s="22" t="s">
        <v>40</v>
      </c>
      <c r="E99" s="23">
        <v>2</v>
      </c>
      <c r="F99" s="24" t="s">
        <v>346</v>
      </c>
      <c r="G99" s="22" t="s">
        <v>347</v>
      </c>
      <c r="H99" s="26">
        <v>4087591928</v>
      </c>
      <c r="I99" s="25" t="s">
        <v>348</v>
      </c>
      <c r="J99" s="27" t="s">
        <v>269</v>
      </c>
      <c r="K99" s="25" t="s">
        <v>111</v>
      </c>
      <c r="L99" s="25" t="s">
        <v>64</v>
      </c>
      <c r="M99" s="25"/>
      <c r="N99" s="25"/>
      <c r="O99" s="21" t="s">
        <v>3</v>
      </c>
      <c r="P99" s="28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</row>
    <row r="100" spans="1:49" ht="15" customHeight="1" x14ac:dyDescent="0.35">
      <c r="A100" s="20">
        <v>95</v>
      </c>
      <c r="B100" s="21" t="s">
        <v>14</v>
      </c>
      <c r="C100" s="47" t="s">
        <v>345</v>
      </c>
      <c r="D100" s="47" t="s">
        <v>349</v>
      </c>
      <c r="E100" s="20">
        <v>4</v>
      </c>
      <c r="F100" s="73" t="s">
        <v>338</v>
      </c>
      <c r="G100" s="47" t="s">
        <v>347</v>
      </c>
      <c r="H100" s="51">
        <v>4087591928</v>
      </c>
      <c r="I100" s="47" t="s">
        <v>348</v>
      </c>
      <c r="J100" s="52" t="s">
        <v>269</v>
      </c>
      <c r="K100" s="25" t="s">
        <v>123</v>
      </c>
      <c r="L100" s="25" t="s">
        <v>254</v>
      </c>
      <c r="M100" s="25"/>
      <c r="N100" s="25"/>
      <c r="O100" s="21" t="s">
        <v>3</v>
      </c>
      <c r="P100" s="28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1:49" ht="15" customHeight="1" x14ac:dyDescent="0.35">
      <c r="A101" s="31">
        <v>96</v>
      </c>
      <c r="B101" s="21" t="s">
        <v>12</v>
      </c>
      <c r="C101" s="47" t="s">
        <v>345</v>
      </c>
      <c r="D101" s="47" t="s">
        <v>349</v>
      </c>
      <c r="E101" s="20">
        <v>4</v>
      </c>
      <c r="F101" s="73" t="s">
        <v>338</v>
      </c>
      <c r="G101" s="47" t="s">
        <v>347</v>
      </c>
      <c r="H101" s="51">
        <v>4087591928</v>
      </c>
      <c r="I101" s="47" t="s">
        <v>348</v>
      </c>
      <c r="J101" s="52" t="s">
        <v>269</v>
      </c>
      <c r="K101" s="25" t="s">
        <v>125</v>
      </c>
      <c r="L101" s="25" t="s">
        <v>246</v>
      </c>
      <c r="M101" s="25"/>
      <c r="N101" s="25"/>
      <c r="O101" s="21" t="s">
        <v>3</v>
      </c>
      <c r="P101" s="28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1:49" ht="15" customHeight="1" x14ac:dyDescent="0.35">
      <c r="A102" s="20">
        <v>97</v>
      </c>
      <c r="B102" s="15" t="s">
        <v>14</v>
      </c>
      <c r="C102" s="25" t="s">
        <v>350</v>
      </c>
      <c r="D102" s="25" t="s">
        <v>351</v>
      </c>
      <c r="E102" s="23">
        <v>2</v>
      </c>
      <c r="F102" s="24" t="s">
        <v>352</v>
      </c>
      <c r="G102" s="25" t="s">
        <v>353</v>
      </c>
      <c r="H102" s="25">
        <v>4085108805</v>
      </c>
      <c r="I102" s="25" t="s">
        <v>354</v>
      </c>
      <c r="J102" s="27" t="s">
        <v>311</v>
      </c>
      <c r="K102" s="25" t="s">
        <v>192</v>
      </c>
      <c r="L102" s="25" t="s">
        <v>246</v>
      </c>
      <c r="M102" s="25"/>
      <c r="N102" s="25"/>
      <c r="O102" s="21" t="s">
        <v>3</v>
      </c>
      <c r="P102" s="25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1:49" ht="15" customHeight="1" x14ac:dyDescent="0.35">
      <c r="A103" s="20">
        <v>98</v>
      </c>
      <c r="B103" s="21" t="s">
        <v>12</v>
      </c>
      <c r="C103" s="22" t="s">
        <v>350</v>
      </c>
      <c r="D103" s="22" t="s">
        <v>351</v>
      </c>
      <c r="E103" s="23">
        <v>2</v>
      </c>
      <c r="F103" s="24" t="s">
        <v>352</v>
      </c>
      <c r="G103" s="25" t="s">
        <v>353</v>
      </c>
      <c r="H103" s="26">
        <v>4085108805</v>
      </c>
      <c r="I103" s="25" t="s">
        <v>354</v>
      </c>
      <c r="J103" s="27" t="s">
        <v>311</v>
      </c>
      <c r="K103" s="25" t="s">
        <v>45</v>
      </c>
      <c r="L103" s="25" t="s">
        <v>302</v>
      </c>
      <c r="M103" s="25"/>
      <c r="N103" s="25"/>
      <c r="O103" s="21" t="s">
        <v>3</v>
      </c>
      <c r="P103" s="28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</row>
    <row r="104" spans="1:49" ht="15" customHeight="1" x14ac:dyDescent="0.35">
      <c r="A104" s="20">
        <v>99</v>
      </c>
      <c r="B104" s="21" t="s">
        <v>14</v>
      </c>
      <c r="C104" s="22" t="s">
        <v>350</v>
      </c>
      <c r="D104" s="22" t="s">
        <v>355</v>
      </c>
      <c r="E104" s="23">
        <v>4</v>
      </c>
      <c r="F104" s="24" t="s">
        <v>356</v>
      </c>
      <c r="G104" s="22" t="s">
        <v>353</v>
      </c>
      <c r="H104" s="26">
        <v>4085108805</v>
      </c>
      <c r="I104" s="25" t="s">
        <v>354</v>
      </c>
      <c r="J104" s="27" t="s">
        <v>311</v>
      </c>
      <c r="K104" s="25" t="s">
        <v>292</v>
      </c>
      <c r="L104" s="25" t="s">
        <v>302</v>
      </c>
      <c r="M104" s="25"/>
      <c r="N104" s="25"/>
      <c r="O104" s="21" t="s">
        <v>3</v>
      </c>
      <c r="P104" s="28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</row>
    <row r="105" spans="1:49" ht="15" customHeight="1" x14ac:dyDescent="0.35">
      <c r="A105" s="20">
        <v>100</v>
      </c>
      <c r="B105" s="21" t="s">
        <v>12</v>
      </c>
      <c r="C105" s="47" t="s">
        <v>350</v>
      </c>
      <c r="D105" s="47" t="s">
        <v>355</v>
      </c>
      <c r="E105" s="20">
        <v>4</v>
      </c>
      <c r="F105" s="73" t="s">
        <v>356</v>
      </c>
      <c r="G105" s="47" t="s">
        <v>353</v>
      </c>
      <c r="H105" s="51">
        <v>4085108805</v>
      </c>
      <c r="I105" s="47" t="s">
        <v>354</v>
      </c>
      <c r="J105" s="52" t="s">
        <v>311</v>
      </c>
      <c r="K105" s="25" t="s">
        <v>357</v>
      </c>
      <c r="L105" s="25" t="s">
        <v>47</v>
      </c>
      <c r="M105" s="25"/>
      <c r="N105" s="25"/>
      <c r="O105" s="21" t="s">
        <v>3</v>
      </c>
      <c r="P105" s="28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1:49" ht="15" customHeight="1" x14ac:dyDescent="0.35">
      <c r="A106" s="20">
        <v>101</v>
      </c>
      <c r="B106" s="21" t="s">
        <v>14</v>
      </c>
      <c r="C106" s="47" t="s">
        <v>358</v>
      </c>
      <c r="D106" s="47" t="s">
        <v>359</v>
      </c>
      <c r="E106" s="20">
        <v>4</v>
      </c>
      <c r="F106" s="73" t="s">
        <v>360</v>
      </c>
      <c r="G106" s="47" t="s">
        <v>361</v>
      </c>
      <c r="H106" s="51">
        <v>4085076346</v>
      </c>
      <c r="I106" s="47" t="s">
        <v>362</v>
      </c>
      <c r="J106" s="52" t="s">
        <v>80</v>
      </c>
      <c r="K106" s="25" t="s">
        <v>328</v>
      </c>
      <c r="L106" s="25" t="s">
        <v>148</v>
      </c>
      <c r="M106" s="25"/>
      <c r="N106" s="25"/>
      <c r="O106" s="21" t="s">
        <v>3</v>
      </c>
      <c r="P106" s="2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1:49" ht="15" customHeight="1" x14ac:dyDescent="0.35">
      <c r="A107" s="20">
        <v>102</v>
      </c>
      <c r="B107" s="15" t="s">
        <v>12</v>
      </c>
      <c r="C107" s="25" t="s">
        <v>358</v>
      </c>
      <c r="D107" s="25" t="s">
        <v>359</v>
      </c>
      <c r="E107" s="23">
        <v>4</v>
      </c>
      <c r="F107" s="24" t="s">
        <v>363</v>
      </c>
      <c r="G107" s="25" t="s">
        <v>364</v>
      </c>
      <c r="H107" s="25">
        <v>4085076346</v>
      </c>
      <c r="I107" s="25" t="s">
        <v>362</v>
      </c>
      <c r="J107" s="27">
        <v>45566</v>
      </c>
      <c r="K107" s="25" t="s">
        <v>365</v>
      </c>
      <c r="L107" s="25" t="s">
        <v>88</v>
      </c>
      <c r="M107" s="25"/>
      <c r="N107" s="25"/>
      <c r="O107" s="21" t="s">
        <v>3</v>
      </c>
      <c r="P107" s="25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1:49" ht="15" customHeight="1" x14ac:dyDescent="0.35">
      <c r="A108" s="31">
        <v>103</v>
      </c>
      <c r="B108" s="21" t="s">
        <v>14</v>
      </c>
      <c r="C108" s="22" t="s">
        <v>358</v>
      </c>
      <c r="D108" s="22" t="s">
        <v>366</v>
      </c>
      <c r="E108" s="23">
        <v>4</v>
      </c>
      <c r="F108" s="24" t="s">
        <v>360</v>
      </c>
      <c r="G108" s="25" t="s">
        <v>361</v>
      </c>
      <c r="H108" s="26">
        <v>4085076346</v>
      </c>
      <c r="I108" s="25" t="s">
        <v>362</v>
      </c>
      <c r="J108" s="27">
        <v>45520</v>
      </c>
      <c r="K108" s="25" t="s">
        <v>328</v>
      </c>
      <c r="L108" s="25" t="s">
        <v>88</v>
      </c>
      <c r="M108" s="25"/>
      <c r="N108" s="25"/>
      <c r="O108" s="21" t="s">
        <v>3</v>
      </c>
      <c r="P108" s="28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</row>
    <row r="109" spans="1:49" ht="15" customHeight="1" x14ac:dyDescent="0.35">
      <c r="A109" s="20">
        <v>104</v>
      </c>
      <c r="B109" s="21" t="s">
        <v>12</v>
      </c>
      <c r="C109" s="22" t="s">
        <v>358</v>
      </c>
      <c r="D109" s="22" t="s">
        <v>366</v>
      </c>
      <c r="E109" s="23">
        <v>4</v>
      </c>
      <c r="F109" s="24" t="s">
        <v>363</v>
      </c>
      <c r="G109" s="22" t="s">
        <v>364</v>
      </c>
      <c r="H109" s="26">
        <v>4085076346</v>
      </c>
      <c r="I109" s="25" t="s">
        <v>362</v>
      </c>
      <c r="J109" s="27">
        <v>45566</v>
      </c>
      <c r="K109" s="25" t="s">
        <v>367</v>
      </c>
      <c r="L109" s="25" t="s">
        <v>110</v>
      </c>
      <c r="M109" s="25"/>
      <c r="N109" s="25"/>
      <c r="O109" s="21" t="s">
        <v>3</v>
      </c>
      <c r="P109" s="28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</row>
    <row r="110" spans="1:49" ht="15" customHeight="1" x14ac:dyDescent="0.35">
      <c r="A110" s="20">
        <v>105</v>
      </c>
      <c r="B110" s="21" t="s">
        <v>14</v>
      </c>
      <c r="C110" s="47" t="s">
        <v>368</v>
      </c>
      <c r="D110" s="47" t="s">
        <v>369</v>
      </c>
      <c r="E110" s="20">
        <v>1</v>
      </c>
      <c r="F110" s="73">
        <v>42976</v>
      </c>
      <c r="G110" s="47" t="s">
        <v>370</v>
      </c>
      <c r="H110" s="51">
        <v>5105579050</v>
      </c>
      <c r="I110" s="47" t="s">
        <v>371</v>
      </c>
      <c r="J110" s="52">
        <v>45174</v>
      </c>
      <c r="K110" s="25" t="s">
        <v>51</v>
      </c>
      <c r="L110" s="25" t="s">
        <v>254</v>
      </c>
      <c r="M110" s="25"/>
      <c r="N110" s="25"/>
      <c r="O110" s="21" t="s">
        <v>3</v>
      </c>
      <c r="P110" s="28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9" ht="15" customHeight="1" x14ac:dyDescent="0.35">
      <c r="A111" s="20">
        <v>106</v>
      </c>
      <c r="B111" s="21" t="s">
        <v>12</v>
      </c>
      <c r="C111" s="47" t="s">
        <v>368</v>
      </c>
      <c r="D111" s="47" t="s">
        <v>369</v>
      </c>
      <c r="E111" s="20">
        <v>1</v>
      </c>
      <c r="F111" s="73">
        <v>42976</v>
      </c>
      <c r="G111" s="47" t="s">
        <v>370</v>
      </c>
      <c r="H111" s="51">
        <v>5105579050</v>
      </c>
      <c r="I111" s="47" t="s">
        <v>371</v>
      </c>
      <c r="J111" s="52">
        <v>45174</v>
      </c>
      <c r="K111" s="25" t="s">
        <v>111</v>
      </c>
      <c r="L111" s="25" t="s">
        <v>55</v>
      </c>
      <c r="M111" s="25"/>
      <c r="N111" s="25"/>
      <c r="O111" s="21" t="s">
        <v>3</v>
      </c>
      <c r="P111" s="28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1:49" ht="15" customHeight="1" x14ac:dyDescent="0.35">
      <c r="A112" s="20">
        <v>107</v>
      </c>
      <c r="B112" s="15" t="s">
        <v>14</v>
      </c>
      <c r="C112" s="25" t="s">
        <v>372</v>
      </c>
      <c r="D112" s="25" t="s">
        <v>324</v>
      </c>
      <c r="E112" s="23">
        <v>4</v>
      </c>
      <c r="F112" s="24" t="s">
        <v>373</v>
      </c>
      <c r="G112" s="25" t="s">
        <v>374</v>
      </c>
      <c r="H112" s="25">
        <v>3104608958</v>
      </c>
      <c r="I112" s="25" t="s">
        <v>375</v>
      </c>
      <c r="J112" s="27" t="s">
        <v>269</v>
      </c>
      <c r="K112" s="25" t="s">
        <v>163</v>
      </c>
      <c r="L112" s="25" t="s">
        <v>226</v>
      </c>
      <c r="M112" s="25"/>
      <c r="N112" s="25"/>
      <c r="O112" s="21" t="s">
        <v>3</v>
      </c>
      <c r="P112" s="25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1:49" ht="15" customHeight="1" x14ac:dyDescent="0.35">
      <c r="A113" s="20">
        <v>108</v>
      </c>
      <c r="B113" s="21" t="s">
        <v>12</v>
      </c>
      <c r="C113" s="22" t="s">
        <v>372</v>
      </c>
      <c r="D113" s="22" t="s">
        <v>324</v>
      </c>
      <c r="E113" s="23">
        <v>4</v>
      </c>
      <c r="F113" s="24" t="s">
        <v>373</v>
      </c>
      <c r="G113" s="93" t="s">
        <v>374</v>
      </c>
      <c r="H113" s="94">
        <v>3104608958</v>
      </c>
      <c r="I113" s="95" t="s">
        <v>375</v>
      </c>
      <c r="J113" s="27" t="s">
        <v>269</v>
      </c>
      <c r="K113" s="25" t="s">
        <v>45</v>
      </c>
      <c r="L113" s="25" t="s">
        <v>112</v>
      </c>
      <c r="M113" s="25"/>
      <c r="N113" s="25"/>
      <c r="O113" s="21" t="s">
        <v>3</v>
      </c>
      <c r="P113" s="28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</row>
    <row r="114" spans="1:49" ht="15" customHeight="1" x14ac:dyDescent="0.35">
      <c r="A114" s="20">
        <v>109</v>
      </c>
      <c r="B114" s="21" t="s">
        <v>14</v>
      </c>
      <c r="C114" s="22" t="s">
        <v>372</v>
      </c>
      <c r="D114" s="22" t="s">
        <v>376</v>
      </c>
      <c r="E114" s="23">
        <v>6</v>
      </c>
      <c r="F114" s="24" t="s">
        <v>377</v>
      </c>
      <c r="G114" s="22" t="s">
        <v>378</v>
      </c>
      <c r="H114" s="94">
        <v>5107714715</v>
      </c>
      <c r="I114" s="96" t="s">
        <v>379</v>
      </c>
      <c r="J114" s="27" t="s">
        <v>162</v>
      </c>
      <c r="K114" s="25" t="s">
        <v>123</v>
      </c>
      <c r="L114" s="25" t="s">
        <v>55</v>
      </c>
      <c r="M114" s="25"/>
      <c r="N114" s="25"/>
      <c r="O114" s="21" t="s">
        <v>3</v>
      </c>
      <c r="P114" s="28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</row>
    <row r="115" spans="1:49" ht="15" customHeight="1" x14ac:dyDescent="0.35">
      <c r="A115" s="97">
        <v>110</v>
      </c>
      <c r="B115" s="98" t="s">
        <v>14</v>
      </c>
      <c r="C115" s="99" t="s">
        <v>380</v>
      </c>
      <c r="D115" s="99" t="s">
        <v>231</v>
      </c>
      <c r="E115" s="100">
        <v>3</v>
      </c>
      <c r="F115" s="101">
        <v>42514</v>
      </c>
      <c r="G115" s="102" t="s">
        <v>381</v>
      </c>
      <c r="H115" s="103">
        <v>4703493407</v>
      </c>
      <c r="I115" s="102" t="s">
        <v>382</v>
      </c>
      <c r="J115" s="104">
        <v>45695</v>
      </c>
      <c r="K115" s="102" t="s">
        <v>71</v>
      </c>
      <c r="L115" s="102" t="s">
        <v>217</v>
      </c>
      <c r="M115" s="102"/>
      <c r="N115" s="102"/>
      <c r="O115" s="98" t="s">
        <v>4</v>
      </c>
      <c r="P115" s="105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7"/>
      <c r="AW115" s="107"/>
    </row>
    <row r="116" spans="1:49" ht="15" customHeight="1" x14ac:dyDescent="0.35">
      <c r="A116" s="97">
        <v>111</v>
      </c>
      <c r="B116" s="98" t="s">
        <v>14</v>
      </c>
      <c r="C116" s="108" t="s">
        <v>383</v>
      </c>
      <c r="D116" s="108" t="s">
        <v>384</v>
      </c>
      <c r="E116" s="97">
        <v>1</v>
      </c>
      <c r="F116" s="109">
        <v>43194</v>
      </c>
      <c r="G116" s="108" t="s">
        <v>385</v>
      </c>
      <c r="H116" s="110">
        <v>4155426994</v>
      </c>
      <c r="I116" s="108" t="s">
        <v>386</v>
      </c>
      <c r="J116" s="111">
        <v>45689</v>
      </c>
      <c r="K116" s="102" t="s">
        <v>71</v>
      </c>
      <c r="L116" s="102" t="s">
        <v>387</v>
      </c>
      <c r="M116" s="102"/>
      <c r="N116" s="112"/>
      <c r="O116" s="98" t="s">
        <v>4</v>
      </c>
      <c r="P116" s="105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07"/>
      <c r="AW116" s="107"/>
    </row>
    <row r="117" spans="1:49" ht="15" customHeight="1" x14ac:dyDescent="0.35">
      <c r="A117" s="114">
        <v>112</v>
      </c>
      <c r="B117" s="115" t="s">
        <v>12</v>
      </c>
      <c r="C117" s="116" t="s">
        <v>383</v>
      </c>
      <c r="D117" s="116" t="s">
        <v>384</v>
      </c>
      <c r="E117" s="114">
        <v>1</v>
      </c>
      <c r="F117" s="117">
        <v>43194</v>
      </c>
      <c r="G117" s="116" t="s">
        <v>385</v>
      </c>
      <c r="H117" s="118">
        <v>4155426994</v>
      </c>
      <c r="I117" s="116" t="s">
        <v>386</v>
      </c>
      <c r="J117" s="119">
        <v>45689</v>
      </c>
      <c r="K117" s="112" t="s">
        <v>271</v>
      </c>
      <c r="L117" s="112" t="s">
        <v>74</v>
      </c>
      <c r="M117" s="112" t="s">
        <v>102</v>
      </c>
      <c r="N117" s="112"/>
      <c r="O117" s="115" t="s">
        <v>4</v>
      </c>
      <c r="P117" s="120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2"/>
      <c r="AW117" s="122"/>
    </row>
    <row r="118" spans="1:49" ht="15" customHeight="1" x14ac:dyDescent="0.35">
      <c r="A118" s="97">
        <v>113</v>
      </c>
      <c r="B118" s="123" t="s">
        <v>12</v>
      </c>
      <c r="C118" s="102" t="s">
        <v>388</v>
      </c>
      <c r="D118" s="102" t="s">
        <v>186</v>
      </c>
      <c r="E118" s="100">
        <v>6</v>
      </c>
      <c r="F118" s="101">
        <v>41507</v>
      </c>
      <c r="G118" s="102" t="s">
        <v>389</v>
      </c>
      <c r="H118" s="102">
        <v>4084894857</v>
      </c>
      <c r="I118" s="102" t="s">
        <v>390</v>
      </c>
      <c r="J118" s="104">
        <v>45704</v>
      </c>
      <c r="K118" s="102" t="s">
        <v>82</v>
      </c>
      <c r="L118" s="102" t="s">
        <v>344</v>
      </c>
      <c r="M118" s="102"/>
      <c r="N118" s="112"/>
      <c r="O118" s="98" t="s">
        <v>4</v>
      </c>
      <c r="P118" s="102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07"/>
      <c r="AW118" s="107"/>
    </row>
    <row r="119" spans="1:49" ht="15" customHeight="1" x14ac:dyDescent="0.35">
      <c r="A119" s="114">
        <v>114</v>
      </c>
      <c r="B119" s="124" t="s">
        <v>14</v>
      </c>
      <c r="C119" s="112" t="s">
        <v>388</v>
      </c>
      <c r="D119" s="112" t="s">
        <v>186</v>
      </c>
      <c r="E119" s="125">
        <v>6</v>
      </c>
      <c r="F119" s="126">
        <v>41507</v>
      </c>
      <c r="G119" s="112" t="s">
        <v>389</v>
      </c>
      <c r="H119" s="112">
        <v>4084894857</v>
      </c>
      <c r="I119" s="112" t="s">
        <v>390</v>
      </c>
      <c r="J119" s="127">
        <v>45704</v>
      </c>
      <c r="K119" s="112" t="s">
        <v>123</v>
      </c>
      <c r="L119" s="112" t="s">
        <v>344</v>
      </c>
      <c r="M119" s="112" t="s">
        <v>102</v>
      </c>
      <c r="N119" s="112"/>
      <c r="O119" s="115" t="s">
        <v>4</v>
      </c>
      <c r="P119" s="112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2"/>
      <c r="AW119" s="122"/>
    </row>
    <row r="120" spans="1:49" ht="15" customHeight="1" x14ac:dyDescent="0.35">
      <c r="A120" s="97">
        <v>115</v>
      </c>
      <c r="B120" s="123" t="s">
        <v>14</v>
      </c>
      <c r="C120" s="102" t="s">
        <v>391</v>
      </c>
      <c r="D120" s="102" t="s">
        <v>392</v>
      </c>
      <c r="E120" s="100">
        <v>6</v>
      </c>
      <c r="F120" s="101">
        <v>41275</v>
      </c>
      <c r="G120" s="102" t="s">
        <v>393</v>
      </c>
      <c r="H120" s="102">
        <v>4085120113</v>
      </c>
      <c r="I120" s="102" t="s">
        <v>394</v>
      </c>
      <c r="J120" s="104">
        <v>45689</v>
      </c>
      <c r="K120" s="102" t="s">
        <v>123</v>
      </c>
      <c r="L120" s="102" t="s">
        <v>124</v>
      </c>
      <c r="M120" s="102"/>
      <c r="N120" s="112"/>
      <c r="O120" s="98" t="s">
        <v>4</v>
      </c>
      <c r="P120" s="102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07"/>
      <c r="AW120" s="107"/>
    </row>
    <row r="121" spans="1:49" ht="15" customHeight="1" x14ac:dyDescent="0.35">
      <c r="A121" s="20">
        <v>116</v>
      </c>
      <c r="B121" s="128" t="s">
        <v>14</v>
      </c>
      <c r="C121" s="129" t="s">
        <v>395</v>
      </c>
      <c r="D121" s="129" t="s">
        <v>396</v>
      </c>
      <c r="E121" s="130" t="s">
        <v>260</v>
      </c>
      <c r="F121" s="131" t="s">
        <v>397</v>
      </c>
      <c r="G121" s="129" t="s">
        <v>398</v>
      </c>
      <c r="H121" s="129">
        <v>6176765481</v>
      </c>
      <c r="I121" s="129" t="s">
        <v>399</v>
      </c>
      <c r="J121" s="132">
        <v>45689</v>
      </c>
      <c r="K121" s="129" t="s">
        <v>400</v>
      </c>
      <c r="L121" s="129" t="s">
        <v>124</v>
      </c>
      <c r="M121" s="129"/>
      <c r="N121" s="129" t="s">
        <v>401</v>
      </c>
      <c r="O121" s="133" t="s">
        <v>7</v>
      </c>
      <c r="P121" s="134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6"/>
      <c r="AW121" s="136"/>
    </row>
    <row r="122" spans="1:49" ht="15" customHeight="1" x14ac:dyDescent="0.35">
      <c r="A122" s="31">
        <v>117</v>
      </c>
      <c r="B122" s="133" t="s">
        <v>12</v>
      </c>
      <c r="C122" s="137" t="s">
        <v>395</v>
      </c>
      <c r="D122" s="137" t="s">
        <v>396</v>
      </c>
      <c r="E122" s="130" t="s">
        <v>260</v>
      </c>
      <c r="F122" s="131" t="s">
        <v>397</v>
      </c>
      <c r="G122" s="129" t="s">
        <v>398</v>
      </c>
      <c r="H122" s="138">
        <v>6176765481</v>
      </c>
      <c r="I122" s="129" t="s">
        <v>399</v>
      </c>
      <c r="J122" s="132">
        <v>45689</v>
      </c>
      <c r="K122" s="129" t="s">
        <v>65</v>
      </c>
      <c r="L122" s="129" t="s">
        <v>254</v>
      </c>
      <c r="M122" s="129"/>
      <c r="N122" s="129" t="s">
        <v>401</v>
      </c>
      <c r="O122" s="133" t="s">
        <v>7</v>
      </c>
      <c r="P122" s="134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6"/>
      <c r="AW122" s="136"/>
    </row>
    <row r="123" spans="1:49" ht="17.25" customHeight="1" x14ac:dyDescent="0.35">
      <c r="A123" s="20">
        <v>117</v>
      </c>
      <c r="B123" s="1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1" t="s">
        <v>4</v>
      </c>
      <c r="P123" s="25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</row>
    <row r="124" spans="1:49" ht="17.25" customHeight="1" x14ac:dyDescent="0.35">
      <c r="A124" s="20">
        <v>118</v>
      </c>
      <c r="B124" s="15"/>
      <c r="C124" s="25"/>
      <c r="D124" s="25"/>
      <c r="E124" s="25"/>
      <c r="F124" s="25"/>
      <c r="G124" s="25"/>
      <c r="H124" s="25"/>
      <c r="I124" s="25"/>
      <c r="J124" s="25"/>
      <c r="K124" s="25" t="s">
        <v>14</v>
      </c>
      <c r="L124" s="25" t="s">
        <v>12</v>
      </c>
      <c r="M124" s="25"/>
      <c r="N124" s="25"/>
      <c r="O124" s="21" t="s">
        <v>4</v>
      </c>
      <c r="P124" s="25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</row>
    <row r="125" spans="1:49" ht="17.25" customHeight="1" x14ac:dyDescent="0.35">
      <c r="A125" s="20">
        <v>119</v>
      </c>
      <c r="B125" s="15"/>
      <c r="C125" s="25"/>
      <c r="D125" s="25"/>
      <c r="E125" s="25"/>
      <c r="F125" s="25"/>
      <c r="G125" s="25"/>
      <c r="H125" s="25"/>
      <c r="I125" s="25"/>
      <c r="J125" s="25" t="s">
        <v>402</v>
      </c>
      <c r="K125" s="25">
        <v>4</v>
      </c>
      <c r="L125" s="25">
        <v>2</v>
      </c>
      <c r="M125" s="25"/>
      <c r="N125" s="25"/>
      <c r="O125" s="21" t="s">
        <v>4</v>
      </c>
      <c r="P125" s="25"/>
      <c r="Q125" s="141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29"/>
      <c r="AU125" s="29"/>
      <c r="AV125" s="7"/>
      <c r="AW125" s="7"/>
    </row>
    <row r="126" spans="1:49" ht="17.25" customHeight="1" x14ac:dyDescent="0.35">
      <c r="A126" s="20">
        <v>120</v>
      </c>
      <c r="B126" s="15"/>
      <c r="C126" s="25"/>
      <c r="D126" s="25"/>
      <c r="E126" s="25"/>
      <c r="F126" s="25"/>
      <c r="G126" s="25"/>
      <c r="H126" s="25"/>
      <c r="I126" s="25"/>
      <c r="J126" s="25" t="s">
        <v>403</v>
      </c>
      <c r="K126" s="25">
        <v>1</v>
      </c>
      <c r="L126" s="25">
        <v>1</v>
      </c>
      <c r="M126" s="25"/>
      <c r="N126" s="25"/>
      <c r="O126" s="21" t="s">
        <v>4</v>
      </c>
      <c r="P126" s="25"/>
      <c r="Q126" s="141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29"/>
      <c r="AU126" s="29"/>
      <c r="AV126" s="7"/>
      <c r="AW126" s="7"/>
    </row>
    <row r="127" spans="1:49" ht="17.25" customHeight="1" x14ac:dyDescent="0.35">
      <c r="A127" s="20">
        <v>121</v>
      </c>
      <c r="B127" s="1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1" t="s">
        <v>4</v>
      </c>
      <c r="P127" s="25"/>
      <c r="Q127" s="141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29"/>
      <c r="AU127" s="29"/>
      <c r="AV127" s="7"/>
      <c r="AW127" s="7"/>
    </row>
    <row r="128" spans="1:49" ht="17.25" customHeight="1" x14ac:dyDescent="0.35">
      <c r="A128" s="20">
        <v>122</v>
      </c>
      <c r="B128" s="1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1" t="s">
        <v>4</v>
      </c>
      <c r="P128" s="25"/>
      <c r="Q128" s="141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29"/>
      <c r="AU128" s="29"/>
      <c r="AV128" s="7"/>
      <c r="AW128" s="7"/>
    </row>
    <row r="129" spans="1:47" ht="17.25" customHeight="1" x14ac:dyDescent="0.35">
      <c r="A129" s="20">
        <v>123</v>
      </c>
      <c r="B129" s="21"/>
      <c r="C129" s="22"/>
      <c r="D129" s="22"/>
      <c r="E129" s="23"/>
      <c r="F129" s="24"/>
      <c r="G129" s="25"/>
      <c r="H129" s="22"/>
      <c r="I129" s="25"/>
      <c r="J129" s="24"/>
      <c r="K129" s="25"/>
      <c r="L129" s="25"/>
      <c r="M129" s="25"/>
      <c r="N129" s="25"/>
      <c r="O129" s="21" t="s">
        <v>4</v>
      </c>
      <c r="P129" s="28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</row>
    <row r="130" spans="1:47" ht="17.25" customHeight="1" x14ac:dyDescent="0.35">
      <c r="A130" s="20">
        <v>124</v>
      </c>
      <c r="B130" s="21"/>
      <c r="C130" s="22"/>
      <c r="D130" s="22"/>
      <c r="E130" s="23"/>
      <c r="F130" s="24"/>
      <c r="G130" s="25"/>
      <c r="H130" s="22"/>
      <c r="I130" s="25"/>
      <c r="J130" s="24"/>
      <c r="K130" s="25"/>
      <c r="L130" s="25"/>
      <c r="M130" s="25"/>
      <c r="N130" s="25"/>
      <c r="O130" s="21" t="s">
        <v>4</v>
      </c>
      <c r="P130" s="28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</row>
    <row r="131" spans="1:47" ht="17.25" customHeight="1" x14ac:dyDescent="0.35">
      <c r="A131" s="20">
        <v>125</v>
      </c>
      <c r="B131" s="21"/>
      <c r="C131" s="22"/>
      <c r="D131" s="22"/>
      <c r="E131" s="23"/>
      <c r="F131" s="24"/>
      <c r="G131" s="25"/>
      <c r="H131" s="22"/>
      <c r="I131" s="25"/>
      <c r="J131" s="24"/>
      <c r="K131" s="25"/>
      <c r="L131" s="25"/>
      <c r="M131" s="25"/>
      <c r="N131" s="25"/>
      <c r="O131" s="21" t="s">
        <v>4</v>
      </c>
      <c r="P131" s="28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</row>
    <row r="132" spans="1:47" ht="17.25" customHeight="1" x14ac:dyDescent="0.35">
      <c r="A132" s="20">
        <v>126</v>
      </c>
      <c r="B132" s="21"/>
      <c r="C132" s="22"/>
      <c r="D132" s="22"/>
      <c r="E132" s="23"/>
      <c r="F132" s="24"/>
      <c r="G132" s="25"/>
      <c r="H132" s="22"/>
      <c r="I132" s="25"/>
      <c r="J132" s="24"/>
      <c r="K132" s="25"/>
      <c r="L132" s="25"/>
      <c r="M132" s="25"/>
      <c r="N132" s="25"/>
      <c r="O132" s="21" t="s">
        <v>4</v>
      </c>
      <c r="P132" s="28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</row>
    <row r="133" spans="1:47" ht="17.25" customHeight="1" x14ac:dyDescent="0.35">
      <c r="A133" s="20">
        <v>127</v>
      </c>
      <c r="B133" s="21"/>
      <c r="C133" s="143"/>
      <c r="D133" s="143"/>
      <c r="E133" s="20"/>
      <c r="F133" s="144"/>
      <c r="G133" s="47"/>
      <c r="H133" s="143"/>
      <c r="I133" s="47"/>
      <c r="J133" s="143"/>
      <c r="K133" s="47"/>
      <c r="L133" s="47"/>
      <c r="M133" s="47"/>
      <c r="N133" s="47"/>
      <c r="O133" s="21" t="s">
        <v>4</v>
      </c>
      <c r="P133" s="73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</row>
    <row r="134" spans="1:47" ht="17.25" customHeight="1" x14ac:dyDescent="0.35">
      <c r="A134" s="146"/>
      <c r="B134" s="147"/>
      <c r="C134" s="148"/>
      <c r="D134" s="148"/>
      <c r="E134" s="149"/>
      <c r="F134" s="148"/>
      <c r="G134" s="146"/>
      <c r="H134" s="148"/>
      <c r="I134" s="146"/>
      <c r="J134" s="148"/>
      <c r="K134" s="146"/>
      <c r="L134" s="146"/>
      <c r="M134" s="146"/>
      <c r="N134" s="146"/>
      <c r="O134" s="147"/>
      <c r="P134" s="150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</row>
    <row r="135" spans="1:47" ht="17.25" customHeight="1" x14ac:dyDescent="0.35">
      <c r="A135" s="146"/>
      <c r="B135" s="147"/>
      <c r="C135" s="148"/>
      <c r="D135" s="148"/>
      <c r="E135" s="149"/>
      <c r="F135" s="148"/>
      <c r="G135" s="146"/>
      <c r="H135" s="148"/>
      <c r="I135" s="146"/>
      <c r="J135" s="148"/>
      <c r="K135" s="146"/>
      <c r="L135" s="146"/>
      <c r="M135" s="146"/>
      <c r="N135" s="146"/>
      <c r="O135" s="147"/>
      <c r="P135" s="150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</row>
    <row r="136" spans="1:47" ht="17.25" customHeight="1" x14ac:dyDescent="0.35">
      <c r="A136" s="151" t="s">
        <v>404</v>
      </c>
      <c r="B136" s="152"/>
      <c r="C136" s="153"/>
      <c r="D136" s="153"/>
      <c r="E136" s="152"/>
      <c r="F136" s="154"/>
      <c r="G136" s="154"/>
      <c r="H136" s="154"/>
      <c r="I136" s="155"/>
      <c r="J136" s="154"/>
      <c r="K136" s="154"/>
      <c r="L136" s="154"/>
      <c r="M136" s="154"/>
      <c r="N136" s="154"/>
      <c r="O136" s="152"/>
      <c r="P136" s="156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</row>
    <row r="137" spans="1:47" ht="21" hidden="1" customHeight="1" x14ac:dyDescent="0.35">
      <c r="A137" s="158">
        <v>1</v>
      </c>
      <c r="B137" s="159" t="s">
        <v>14</v>
      </c>
      <c r="C137" s="160" t="s">
        <v>405</v>
      </c>
      <c r="D137" s="160" t="s">
        <v>406</v>
      </c>
      <c r="E137" s="161">
        <v>5</v>
      </c>
      <c r="F137" s="162">
        <v>41297</v>
      </c>
      <c r="G137" s="163" t="s">
        <v>407</v>
      </c>
      <c r="H137" s="160">
        <v>5108288339</v>
      </c>
      <c r="I137" s="163" t="s">
        <v>408</v>
      </c>
      <c r="J137" s="162">
        <v>45082</v>
      </c>
      <c r="K137" s="163"/>
      <c r="L137" s="163"/>
      <c r="M137" s="163"/>
      <c r="N137" s="163"/>
      <c r="O137" s="159" t="s">
        <v>5</v>
      </c>
      <c r="P137" s="164">
        <v>45108</v>
      </c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</row>
    <row r="138" spans="1:47" ht="21" hidden="1" customHeight="1" x14ac:dyDescent="0.35">
      <c r="A138" s="165">
        <v>2</v>
      </c>
      <c r="B138" s="166" t="s">
        <v>12</v>
      </c>
      <c r="C138" s="167" t="s">
        <v>405</v>
      </c>
      <c r="D138" s="167" t="s">
        <v>406</v>
      </c>
      <c r="E138" s="168">
        <v>5</v>
      </c>
      <c r="F138" s="169">
        <v>41297</v>
      </c>
      <c r="G138" s="170" t="s">
        <v>407</v>
      </c>
      <c r="H138" s="167">
        <v>5108288339</v>
      </c>
      <c r="I138" s="170" t="s">
        <v>408</v>
      </c>
      <c r="J138" s="169">
        <v>45082</v>
      </c>
      <c r="K138" s="170"/>
      <c r="L138" s="170"/>
      <c r="M138" s="170"/>
      <c r="N138" s="170" t="s">
        <v>149</v>
      </c>
      <c r="O138" s="166" t="s">
        <v>5</v>
      </c>
      <c r="P138" s="164">
        <v>45108</v>
      </c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</row>
    <row r="139" spans="1:47" ht="21" hidden="1" customHeight="1" x14ac:dyDescent="0.35">
      <c r="A139" s="171">
        <v>3</v>
      </c>
      <c r="B139" s="172" t="s">
        <v>14</v>
      </c>
      <c r="C139" s="173" t="s">
        <v>284</v>
      </c>
      <c r="D139" s="173" t="s">
        <v>285</v>
      </c>
      <c r="E139" s="174" t="s">
        <v>76</v>
      </c>
      <c r="F139" s="175">
        <v>42867</v>
      </c>
      <c r="G139" s="176" t="s">
        <v>286</v>
      </c>
      <c r="H139" s="173">
        <v>4086432868</v>
      </c>
      <c r="I139" s="176" t="s">
        <v>287</v>
      </c>
      <c r="J139" s="175">
        <v>44835</v>
      </c>
      <c r="K139" s="176"/>
      <c r="L139" s="176"/>
      <c r="M139" s="176"/>
      <c r="N139" s="176" t="s">
        <v>409</v>
      </c>
      <c r="O139" s="172" t="s">
        <v>5</v>
      </c>
      <c r="P139" s="177">
        <v>45108</v>
      </c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</row>
    <row r="140" spans="1:47" ht="21" hidden="1" customHeight="1" x14ac:dyDescent="0.35">
      <c r="A140" s="171">
        <v>4</v>
      </c>
      <c r="B140" s="172"/>
      <c r="C140" s="173" t="s">
        <v>284</v>
      </c>
      <c r="D140" s="173" t="s">
        <v>285</v>
      </c>
      <c r="E140" s="174" t="s">
        <v>76</v>
      </c>
      <c r="F140" s="175">
        <v>42867</v>
      </c>
      <c r="G140" s="176" t="s">
        <v>286</v>
      </c>
      <c r="H140" s="173">
        <v>4086432868</v>
      </c>
      <c r="I140" s="176" t="s">
        <v>287</v>
      </c>
      <c r="J140" s="175">
        <v>44958</v>
      </c>
      <c r="K140" s="176"/>
      <c r="L140" s="176"/>
      <c r="M140" s="176"/>
      <c r="N140" s="176" t="s">
        <v>409</v>
      </c>
      <c r="O140" s="172" t="s">
        <v>5</v>
      </c>
      <c r="P140" s="177">
        <v>45108</v>
      </c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</row>
    <row r="141" spans="1:47" ht="17.25" hidden="1" customHeight="1" x14ac:dyDescent="0.35">
      <c r="A141" s="179">
        <v>1</v>
      </c>
      <c r="B141" s="180" t="s">
        <v>14</v>
      </c>
      <c r="C141" s="181" t="s">
        <v>410</v>
      </c>
      <c r="D141" s="181" t="s">
        <v>411</v>
      </c>
      <c r="E141" s="179">
        <v>4</v>
      </c>
      <c r="F141" s="182">
        <v>41337</v>
      </c>
      <c r="G141" s="183" t="s">
        <v>412</v>
      </c>
      <c r="H141" s="181">
        <v>5103585536</v>
      </c>
      <c r="I141" s="183" t="s">
        <v>413</v>
      </c>
      <c r="J141" s="182">
        <v>44844</v>
      </c>
      <c r="K141" s="183"/>
      <c r="L141" s="183"/>
      <c r="M141" s="183"/>
      <c r="N141" s="183"/>
      <c r="O141" s="180" t="s">
        <v>5</v>
      </c>
      <c r="P141" s="184">
        <v>45139</v>
      </c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</row>
    <row r="142" spans="1:47" ht="17.25" hidden="1" customHeight="1" x14ac:dyDescent="0.35">
      <c r="A142" s="179">
        <v>2</v>
      </c>
      <c r="B142" s="180" t="s">
        <v>14</v>
      </c>
      <c r="C142" s="181" t="s">
        <v>414</v>
      </c>
      <c r="D142" s="181" t="s">
        <v>415</v>
      </c>
      <c r="E142" s="179">
        <v>1</v>
      </c>
      <c r="F142" s="182">
        <v>43061</v>
      </c>
      <c r="G142" s="183" t="s">
        <v>416</v>
      </c>
      <c r="H142" s="181">
        <v>4152449059</v>
      </c>
      <c r="I142" s="183" t="s">
        <v>417</v>
      </c>
      <c r="J142" s="182">
        <v>45082</v>
      </c>
      <c r="K142" s="183"/>
      <c r="L142" s="183"/>
      <c r="M142" s="183"/>
      <c r="N142" s="183"/>
      <c r="O142" s="180" t="s">
        <v>5</v>
      </c>
      <c r="P142" s="184">
        <v>45139</v>
      </c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</row>
    <row r="143" spans="1:47" ht="17.25" hidden="1" customHeight="1" x14ac:dyDescent="0.35">
      <c r="A143" s="179">
        <v>3</v>
      </c>
      <c r="B143" s="180" t="s">
        <v>12</v>
      </c>
      <c r="C143" s="181" t="s">
        <v>414</v>
      </c>
      <c r="D143" s="181" t="s">
        <v>415</v>
      </c>
      <c r="E143" s="179">
        <v>1</v>
      </c>
      <c r="F143" s="182">
        <v>43061</v>
      </c>
      <c r="G143" s="183" t="s">
        <v>416</v>
      </c>
      <c r="H143" s="181">
        <v>4152449059</v>
      </c>
      <c r="I143" s="183" t="s">
        <v>417</v>
      </c>
      <c r="J143" s="182">
        <v>45082</v>
      </c>
      <c r="K143" s="183"/>
      <c r="L143" s="183"/>
      <c r="M143" s="183"/>
      <c r="N143" s="183" t="s">
        <v>149</v>
      </c>
      <c r="O143" s="180" t="s">
        <v>5</v>
      </c>
      <c r="P143" s="184">
        <v>45139</v>
      </c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</row>
    <row r="144" spans="1:47" ht="15" hidden="1" customHeight="1" x14ac:dyDescent="0.35">
      <c r="A144" s="185">
        <v>4</v>
      </c>
      <c r="B144" s="186" t="s">
        <v>14</v>
      </c>
      <c r="C144" s="187" t="s">
        <v>195</v>
      </c>
      <c r="D144" s="187" t="s">
        <v>418</v>
      </c>
      <c r="E144" s="185">
        <v>3</v>
      </c>
      <c r="F144" s="188">
        <v>41924</v>
      </c>
      <c r="G144" s="189" t="s">
        <v>419</v>
      </c>
      <c r="H144" s="187">
        <v>5102921648</v>
      </c>
      <c r="I144" s="189" t="s">
        <v>420</v>
      </c>
      <c r="J144" s="188">
        <v>45093</v>
      </c>
      <c r="K144" s="189"/>
      <c r="L144" s="189"/>
      <c r="M144" s="189"/>
      <c r="N144" s="189"/>
      <c r="O144" s="186" t="s">
        <v>5</v>
      </c>
      <c r="P144" s="190">
        <v>45139</v>
      </c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</row>
    <row r="145" spans="1:47" ht="17.25" hidden="1" customHeight="1" x14ac:dyDescent="0.35">
      <c r="A145" s="179">
        <v>5</v>
      </c>
      <c r="B145" s="180" t="s">
        <v>14</v>
      </c>
      <c r="C145" s="181" t="s">
        <v>421</v>
      </c>
      <c r="D145" s="191" t="s">
        <v>422</v>
      </c>
      <c r="E145" s="179">
        <v>5</v>
      </c>
      <c r="F145" s="192">
        <v>40972</v>
      </c>
      <c r="G145" s="193" t="s">
        <v>423</v>
      </c>
      <c r="H145" s="191">
        <v>5105098418</v>
      </c>
      <c r="I145" s="193" t="s">
        <v>424</v>
      </c>
      <c r="J145" s="182">
        <v>45110</v>
      </c>
      <c r="K145" s="183"/>
      <c r="L145" s="183"/>
      <c r="M145" s="183"/>
      <c r="N145" s="183"/>
      <c r="O145" s="180" t="s">
        <v>5</v>
      </c>
      <c r="P145" s="184">
        <v>45139</v>
      </c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</row>
    <row r="146" spans="1:47" ht="17.25" hidden="1" customHeight="1" x14ac:dyDescent="0.35">
      <c r="A146" s="179">
        <v>6</v>
      </c>
      <c r="B146" s="180" t="s">
        <v>12</v>
      </c>
      <c r="C146" s="181" t="s">
        <v>421</v>
      </c>
      <c r="D146" s="191" t="s">
        <v>422</v>
      </c>
      <c r="E146" s="179">
        <v>5</v>
      </c>
      <c r="F146" s="192">
        <v>40972</v>
      </c>
      <c r="G146" s="193" t="s">
        <v>423</v>
      </c>
      <c r="H146" s="191">
        <v>5105098418</v>
      </c>
      <c r="I146" s="193" t="s">
        <v>424</v>
      </c>
      <c r="J146" s="182">
        <v>45110</v>
      </c>
      <c r="K146" s="183"/>
      <c r="L146" s="183"/>
      <c r="M146" s="183"/>
      <c r="N146" s="183" t="s">
        <v>149</v>
      </c>
      <c r="O146" s="180" t="s">
        <v>5</v>
      </c>
      <c r="P146" s="184">
        <v>45139</v>
      </c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</row>
    <row r="147" spans="1:47" ht="17.25" hidden="1" customHeight="1" x14ac:dyDescent="0.35">
      <c r="A147" s="179">
        <v>7</v>
      </c>
      <c r="B147" s="180" t="s">
        <v>14</v>
      </c>
      <c r="C147" s="191" t="s">
        <v>421</v>
      </c>
      <c r="D147" s="191" t="s">
        <v>40</v>
      </c>
      <c r="E147" s="179">
        <v>7</v>
      </c>
      <c r="F147" s="182">
        <v>40193</v>
      </c>
      <c r="G147" s="193" t="s">
        <v>423</v>
      </c>
      <c r="H147" s="191">
        <v>5105098418</v>
      </c>
      <c r="I147" s="193" t="s">
        <v>424</v>
      </c>
      <c r="J147" s="182">
        <v>45110</v>
      </c>
      <c r="K147" s="183"/>
      <c r="L147" s="183"/>
      <c r="M147" s="183"/>
      <c r="N147" s="183"/>
      <c r="O147" s="180" t="s">
        <v>5</v>
      </c>
      <c r="P147" s="184">
        <v>45139</v>
      </c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</row>
    <row r="148" spans="1:47" ht="17.25" hidden="1" customHeight="1" x14ac:dyDescent="0.35">
      <c r="A148" s="179">
        <v>8</v>
      </c>
      <c r="B148" s="180" t="s">
        <v>12</v>
      </c>
      <c r="C148" s="191" t="s">
        <v>421</v>
      </c>
      <c r="D148" s="191" t="s">
        <v>40</v>
      </c>
      <c r="E148" s="179">
        <v>7</v>
      </c>
      <c r="F148" s="182">
        <v>40193</v>
      </c>
      <c r="G148" s="193" t="s">
        <v>423</v>
      </c>
      <c r="H148" s="191">
        <v>5105098418</v>
      </c>
      <c r="I148" s="193" t="s">
        <v>424</v>
      </c>
      <c r="J148" s="182">
        <v>45110</v>
      </c>
      <c r="K148" s="183"/>
      <c r="L148" s="183"/>
      <c r="M148" s="183"/>
      <c r="N148" s="183" t="s">
        <v>149</v>
      </c>
      <c r="O148" s="180" t="s">
        <v>5</v>
      </c>
      <c r="P148" s="184">
        <v>45139</v>
      </c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</row>
    <row r="149" spans="1:47" ht="17.25" hidden="1" customHeight="1" x14ac:dyDescent="0.35">
      <c r="A149" s="185">
        <v>9</v>
      </c>
      <c r="B149" s="186" t="s">
        <v>14</v>
      </c>
      <c r="C149" s="187" t="s">
        <v>295</v>
      </c>
      <c r="D149" s="187" t="s">
        <v>303</v>
      </c>
      <c r="E149" s="185">
        <v>1</v>
      </c>
      <c r="F149" s="188">
        <v>42086</v>
      </c>
      <c r="G149" s="189" t="s">
        <v>304</v>
      </c>
      <c r="H149" s="187">
        <v>5109848496</v>
      </c>
      <c r="I149" s="189" t="s">
        <v>305</v>
      </c>
      <c r="J149" s="188">
        <v>44812</v>
      </c>
      <c r="K149" s="189"/>
      <c r="L149" s="189"/>
      <c r="M149" s="189"/>
      <c r="N149" s="189" t="s">
        <v>425</v>
      </c>
      <c r="O149" s="186" t="s">
        <v>5</v>
      </c>
      <c r="P149" s="190">
        <v>45139</v>
      </c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</row>
    <row r="150" spans="1:47" ht="17.25" hidden="1" customHeight="1" x14ac:dyDescent="0.35">
      <c r="A150" s="185">
        <v>10</v>
      </c>
      <c r="B150" s="186" t="s">
        <v>12</v>
      </c>
      <c r="C150" s="187" t="s">
        <v>295</v>
      </c>
      <c r="D150" s="187" t="s">
        <v>303</v>
      </c>
      <c r="E150" s="185">
        <v>1</v>
      </c>
      <c r="F150" s="188">
        <v>42086</v>
      </c>
      <c r="G150" s="189" t="s">
        <v>304</v>
      </c>
      <c r="H150" s="187">
        <v>5109848496</v>
      </c>
      <c r="I150" s="189" t="s">
        <v>305</v>
      </c>
      <c r="J150" s="188">
        <v>44812</v>
      </c>
      <c r="K150" s="189"/>
      <c r="L150" s="189"/>
      <c r="M150" s="189"/>
      <c r="N150" s="189" t="s">
        <v>425</v>
      </c>
      <c r="O150" s="186" t="s">
        <v>5</v>
      </c>
      <c r="P150" s="190">
        <v>45139</v>
      </c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</row>
    <row r="151" spans="1:47" ht="17.25" hidden="1" customHeight="1" x14ac:dyDescent="0.35">
      <c r="A151" s="179">
        <v>11</v>
      </c>
      <c r="B151" s="180" t="s">
        <v>14</v>
      </c>
      <c r="C151" s="181" t="s">
        <v>426</v>
      </c>
      <c r="D151" s="181" t="s">
        <v>273</v>
      </c>
      <c r="E151" s="179">
        <v>7</v>
      </c>
      <c r="F151" s="182">
        <v>40635</v>
      </c>
      <c r="G151" s="183" t="s">
        <v>427</v>
      </c>
      <c r="H151" s="181">
        <v>7605507063</v>
      </c>
      <c r="I151" s="183" t="s">
        <v>428</v>
      </c>
      <c r="J151" s="182">
        <v>45082</v>
      </c>
      <c r="K151" s="183"/>
      <c r="L151" s="183"/>
      <c r="M151" s="183"/>
      <c r="N151" s="183" t="s">
        <v>429</v>
      </c>
      <c r="O151" s="180" t="s">
        <v>5</v>
      </c>
      <c r="P151" s="184">
        <v>45139</v>
      </c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</row>
    <row r="152" spans="1:47" ht="17.25" hidden="1" customHeight="1" x14ac:dyDescent="0.35">
      <c r="A152" s="179">
        <v>12</v>
      </c>
      <c r="B152" s="180" t="s">
        <v>12</v>
      </c>
      <c r="C152" s="181" t="s">
        <v>426</v>
      </c>
      <c r="D152" s="181" t="s">
        <v>273</v>
      </c>
      <c r="E152" s="179">
        <v>7</v>
      </c>
      <c r="F152" s="182">
        <v>40635</v>
      </c>
      <c r="G152" s="183" t="s">
        <v>427</v>
      </c>
      <c r="H152" s="181">
        <v>7605507063</v>
      </c>
      <c r="I152" s="183" t="s">
        <v>428</v>
      </c>
      <c r="J152" s="182">
        <v>45082</v>
      </c>
      <c r="K152" s="183"/>
      <c r="L152" s="183"/>
      <c r="M152" s="183"/>
      <c r="N152" s="183" t="s">
        <v>429</v>
      </c>
      <c r="O152" s="180" t="s">
        <v>5</v>
      </c>
      <c r="P152" s="184">
        <v>45139</v>
      </c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</row>
    <row r="153" spans="1:47" ht="17.25" hidden="1" customHeight="1" x14ac:dyDescent="0.35">
      <c r="A153" s="179">
        <v>13</v>
      </c>
      <c r="B153" s="180" t="s">
        <v>14</v>
      </c>
      <c r="C153" s="181" t="s">
        <v>426</v>
      </c>
      <c r="D153" s="181" t="s">
        <v>430</v>
      </c>
      <c r="E153" s="179">
        <v>2</v>
      </c>
      <c r="F153" s="182">
        <v>42425</v>
      </c>
      <c r="G153" s="183" t="s">
        <v>427</v>
      </c>
      <c r="H153" s="181">
        <v>7605507063</v>
      </c>
      <c r="I153" s="183" t="s">
        <v>428</v>
      </c>
      <c r="J153" s="182">
        <v>45082</v>
      </c>
      <c r="K153" s="183"/>
      <c r="L153" s="183"/>
      <c r="M153" s="183"/>
      <c r="N153" s="183" t="s">
        <v>429</v>
      </c>
      <c r="O153" s="180" t="s">
        <v>5</v>
      </c>
      <c r="P153" s="184">
        <v>45139</v>
      </c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</row>
    <row r="154" spans="1:47" ht="17.25" hidden="1" customHeight="1" x14ac:dyDescent="0.35">
      <c r="A154" s="179">
        <v>14</v>
      </c>
      <c r="B154" s="180" t="s">
        <v>12</v>
      </c>
      <c r="C154" s="181" t="s">
        <v>426</v>
      </c>
      <c r="D154" s="181" t="s">
        <v>430</v>
      </c>
      <c r="E154" s="179">
        <v>2</v>
      </c>
      <c r="F154" s="182">
        <v>42425</v>
      </c>
      <c r="G154" s="183" t="s">
        <v>427</v>
      </c>
      <c r="H154" s="181">
        <v>7605507063</v>
      </c>
      <c r="I154" s="183" t="s">
        <v>428</v>
      </c>
      <c r="J154" s="182">
        <v>45082</v>
      </c>
      <c r="K154" s="183"/>
      <c r="L154" s="183"/>
      <c r="M154" s="183"/>
      <c r="N154" s="183" t="s">
        <v>429</v>
      </c>
      <c r="O154" s="180" t="s">
        <v>5</v>
      </c>
      <c r="P154" s="184">
        <v>45139</v>
      </c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</row>
    <row r="155" spans="1:47" ht="17.25" hidden="1" customHeight="1" x14ac:dyDescent="0.35">
      <c r="A155" s="179">
        <v>15</v>
      </c>
      <c r="B155" s="180" t="s">
        <v>14</v>
      </c>
      <c r="C155" s="181" t="s">
        <v>431</v>
      </c>
      <c r="D155" s="181" t="s">
        <v>432</v>
      </c>
      <c r="E155" s="179">
        <v>1</v>
      </c>
      <c r="F155" s="182">
        <v>42905</v>
      </c>
      <c r="G155" s="183" t="s">
        <v>433</v>
      </c>
      <c r="H155" s="181">
        <v>5303647578</v>
      </c>
      <c r="I155" s="183" t="s">
        <v>434</v>
      </c>
      <c r="J155" s="182">
        <v>45078</v>
      </c>
      <c r="K155" s="183"/>
      <c r="L155" s="183"/>
      <c r="M155" s="183"/>
      <c r="N155" s="183" t="s">
        <v>435</v>
      </c>
      <c r="O155" s="180" t="s">
        <v>5</v>
      </c>
      <c r="P155" s="184">
        <v>45139</v>
      </c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</row>
    <row r="156" spans="1:47" ht="17.25" hidden="1" customHeight="1" x14ac:dyDescent="0.35">
      <c r="A156" s="179">
        <v>16</v>
      </c>
      <c r="B156" s="180" t="s">
        <v>12</v>
      </c>
      <c r="C156" s="181" t="s">
        <v>431</v>
      </c>
      <c r="D156" s="181" t="s">
        <v>432</v>
      </c>
      <c r="E156" s="179">
        <v>1</v>
      </c>
      <c r="F156" s="182">
        <v>42905</v>
      </c>
      <c r="G156" s="183" t="s">
        <v>433</v>
      </c>
      <c r="H156" s="181">
        <v>5303647578</v>
      </c>
      <c r="I156" s="183" t="s">
        <v>434</v>
      </c>
      <c r="J156" s="182">
        <v>45078</v>
      </c>
      <c r="K156" s="183"/>
      <c r="L156" s="183"/>
      <c r="M156" s="183"/>
      <c r="N156" s="183" t="s">
        <v>435</v>
      </c>
      <c r="O156" s="180" t="s">
        <v>5</v>
      </c>
      <c r="P156" s="184">
        <v>45139</v>
      </c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</row>
    <row r="157" spans="1:47" ht="17.25" hidden="1" customHeight="1" x14ac:dyDescent="0.35">
      <c r="A157" s="179">
        <v>17</v>
      </c>
      <c r="B157" s="180" t="s">
        <v>14</v>
      </c>
      <c r="C157" s="181" t="s">
        <v>436</v>
      </c>
      <c r="D157" s="181" t="s">
        <v>437</v>
      </c>
      <c r="E157" s="179">
        <v>3</v>
      </c>
      <c r="F157" s="182">
        <v>41816</v>
      </c>
      <c r="G157" s="183" t="s">
        <v>438</v>
      </c>
      <c r="H157" s="181">
        <v>6692518555</v>
      </c>
      <c r="I157" s="183" t="s">
        <v>439</v>
      </c>
      <c r="J157" s="182">
        <v>45078</v>
      </c>
      <c r="K157" s="183"/>
      <c r="L157" s="183"/>
      <c r="M157" s="183"/>
      <c r="N157" s="183" t="s">
        <v>440</v>
      </c>
      <c r="O157" s="180" t="s">
        <v>5</v>
      </c>
      <c r="P157" s="184">
        <v>45139</v>
      </c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</row>
    <row r="158" spans="1:47" ht="17.25" hidden="1" customHeight="1" x14ac:dyDescent="0.35">
      <c r="A158" s="179">
        <v>18</v>
      </c>
      <c r="B158" s="180" t="s">
        <v>12</v>
      </c>
      <c r="C158" s="181" t="s">
        <v>436</v>
      </c>
      <c r="D158" s="181" t="s">
        <v>437</v>
      </c>
      <c r="E158" s="179">
        <v>3</v>
      </c>
      <c r="F158" s="182">
        <v>41816</v>
      </c>
      <c r="G158" s="183" t="s">
        <v>438</v>
      </c>
      <c r="H158" s="181">
        <v>6692518555</v>
      </c>
      <c r="I158" s="183" t="s">
        <v>439</v>
      </c>
      <c r="J158" s="182">
        <v>45078</v>
      </c>
      <c r="K158" s="183"/>
      <c r="L158" s="183"/>
      <c r="M158" s="183"/>
      <c r="N158" s="183" t="s">
        <v>440</v>
      </c>
      <c r="O158" s="180" t="s">
        <v>5</v>
      </c>
      <c r="P158" s="184">
        <v>45139</v>
      </c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</row>
    <row r="159" spans="1:47" ht="17.25" hidden="1" customHeight="1" x14ac:dyDescent="0.35">
      <c r="A159" s="179">
        <v>19</v>
      </c>
      <c r="B159" s="180" t="s">
        <v>14</v>
      </c>
      <c r="C159" s="181" t="s">
        <v>441</v>
      </c>
      <c r="D159" s="181" t="s">
        <v>442</v>
      </c>
      <c r="E159" s="179">
        <v>7</v>
      </c>
      <c r="F159" s="182">
        <v>40806</v>
      </c>
      <c r="G159" s="183" t="s">
        <v>438</v>
      </c>
      <c r="H159" s="181">
        <v>6692518555</v>
      </c>
      <c r="I159" s="183" t="s">
        <v>439</v>
      </c>
      <c r="J159" s="182">
        <v>45078</v>
      </c>
      <c r="K159" s="183"/>
      <c r="L159" s="183"/>
      <c r="M159" s="183"/>
      <c r="N159" s="183" t="s">
        <v>440</v>
      </c>
      <c r="O159" s="180" t="s">
        <v>5</v>
      </c>
      <c r="P159" s="184">
        <v>45139</v>
      </c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</row>
    <row r="160" spans="1:47" ht="17.25" hidden="1" customHeight="1" x14ac:dyDescent="0.35">
      <c r="A160" s="179">
        <v>20</v>
      </c>
      <c r="B160" s="180" t="s">
        <v>12</v>
      </c>
      <c r="C160" s="181" t="s">
        <v>441</v>
      </c>
      <c r="D160" s="181" t="s">
        <v>442</v>
      </c>
      <c r="E160" s="179">
        <v>7</v>
      </c>
      <c r="F160" s="182">
        <v>40806</v>
      </c>
      <c r="G160" s="183" t="s">
        <v>438</v>
      </c>
      <c r="H160" s="181">
        <v>6692518555</v>
      </c>
      <c r="I160" s="183" t="s">
        <v>439</v>
      </c>
      <c r="J160" s="182">
        <v>45078</v>
      </c>
      <c r="K160" s="183"/>
      <c r="L160" s="183"/>
      <c r="M160" s="183"/>
      <c r="N160" s="183" t="s">
        <v>440</v>
      </c>
      <c r="O160" s="180" t="s">
        <v>5</v>
      </c>
      <c r="P160" s="184">
        <v>45139</v>
      </c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</row>
    <row r="161" spans="1:47" ht="17.25" hidden="1" customHeight="1" x14ac:dyDescent="0.35">
      <c r="A161" s="185">
        <v>21</v>
      </c>
      <c r="B161" s="186" t="s">
        <v>12</v>
      </c>
      <c r="C161" s="187" t="s">
        <v>368</v>
      </c>
      <c r="D161" s="187" t="s">
        <v>443</v>
      </c>
      <c r="E161" s="185">
        <v>1</v>
      </c>
      <c r="F161" s="188">
        <v>42483</v>
      </c>
      <c r="G161" s="189" t="s">
        <v>444</v>
      </c>
      <c r="H161" s="187">
        <v>6692460021</v>
      </c>
      <c r="I161" s="189" t="s">
        <v>445</v>
      </c>
      <c r="J161" s="188">
        <v>45084</v>
      </c>
      <c r="K161" s="189"/>
      <c r="L161" s="189"/>
      <c r="M161" s="189"/>
      <c r="N161" s="189" t="s">
        <v>446</v>
      </c>
      <c r="O161" s="186" t="s">
        <v>5</v>
      </c>
      <c r="P161" s="190">
        <v>45139</v>
      </c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</row>
    <row r="162" spans="1:47" ht="17.25" hidden="1" customHeight="1" x14ac:dyDescent="0.35">
      <c r="A162" s="195">
        <v>1</v>
      </c>
      <c r="B162" s="196" t="s">
        <v>12</v>
      </c>
      <c r="C162" s="197" t="s">
        <v>447</v>
      </c>
      <c r="D162" s="197" t="s">
        <v>448</v>
      </c>
      <c r="E162" s="198">
        <v>6</v>
      </c>
      <c r="F162" s="199">
        <v>41034</v>
      </c>
      <c r="G162" s="200" t="s">
        <v>449</v>
      </c>
      <c r="H162" s="197">
        <v>5108161486</v>
      </c>
      <c r="I162" s="200" t="s">
        <v>450</v>
      </c>
      <c r="J162" s="199">
        <v>45139</v>
      </c>
      <c r="K162" s="200"/>
      <c r="L162" s="200"/>
      <c r="M162" s="200"/>
      <c r="N162" s="200" t="s">
        <v>451</v>
      </c>
      <c r="O162" s="196" t="s">
        <v>5</v>
      </c>
      <c r="P162" s="201">
        <v>45170</v>
      </c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</row>
    <row r="163" spans="1:47" ht="17.25" hidden="1" customHeight="1" x14ac:dyDescent="0.35">
      <c r="A163" s="195">
        <v>2</v>
      </c>
      <c r="B163" s="196" t="s">
        <v>14</v>
      </c>
      <c r="C163" s="203" t="s">
        <v>452</v>
      </c>
      <c r="D163" s="203" t="s">
        <v>453</v>
      </c>
      <c r="E163" s="195" t="s">
        <v>76</v>
      </c>
      <c r="F163" s="204">
        <v>42776</v>
      </c>
      <c r="G163" s="205" t="s">
        <v>454</v>
      </c>
      <c r="H163" s="203">
        <v>6692385152</v>
      </c>
      <c r="I163" s="205" t="s">
        <v>455</v>
      </c>
      <c r="J163" s="204">
        <v>45093</v>
      </c>
      <c r="K163" s="205"/>
      <c r="L163" s="205"/>
      <c r="M163" s="205"/>
      <c r="N163" s="205" t="s">
        <v>456</v>
      </c>
      <c r="O163" s="196" t="s">
        <v>5</v>
      </c>
      <c r="P163" s="201">
        <v>45170</v>
      </c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</row>
    <row r="164" spans="1:47" ht="17.25" hidden="1" customHeight="1" x14ac:dyDescent="0.35">
      <c r="A164" s="195">
        <v>3</v>
      </c>
      <c r="B164" s="196" t="s">
        <v>12</v>
      </c>
      <c r="C164" s="206" t="s">
        <v>452</v>
      </c>
      <c r="D164" s="206" t="s">
        <v>453</v>
      </c>
      <c r="E164" s="195" t="s">
        <v>76</v>
      </c>
      <c r="F164" s="204">
        <v>42776</v>
      </c>
      <c r="G164" s="205" t="s">
        <v>454</v>
      </c>
      <c r="H164" s="203">
        <v>6692385152</v>
      </c>
      <c r="I164" s="205" t="s">
        <v>455</v>
      </c>
      <c r="J164" s="204">
        <v>45124</v>
      </c>
      <c r="K164" s="205"/>
      <c r="L164" s="205"/>
      <c r="M164" s="205"/>
      <c r="N164" s="205" t="s">
        <v>456</v>
      </c>
      <c r="O164" s="196" t="s">
        <v>5</v>
      </c>
      <c r="P164" s="201">
        <v>45170</v>
      </c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</row>
    <row r="165" spans="1:47" ht="17.25" hidden="1" customHeight="1" x14ac:dyDescent="0.35">
      <c r="A165" s="207">
        <v>1</v>
      </c>
      <c r="B165" s="208" t="s">
        <v>14</v>
      </c>
      <c r="C165" s="209" t="s">
        <v>457</v>
      </c>
      <c r="D165" s="209" t="s">
        <v>458</v>
      </c>
      <c r="E165" s="210" t="s">
        <v>176</v>
      </c>
      <c r="F165" s="211">
        <v>43461</v>
      </c>
      <c r="G165" s="212" t="s">
        <v>459</v>
      </c>
      <c r="H165" s="209">
        <v>4086803486</v>
      </c>
      <c r="I165" s="212" t="s">
        <v>460</v>
      </c>
      <c r="J165" s="211">
        <v>45174</v>
      </c>
      <c r="K165" s="212"/>
      <c r="L165" s="212"/>
      <c r="M165" s="212"/>
      <c r="N165" s="212" t="s">
        <v>461</v>
      </c>
      <c r="O165" s="213" t="s">
        <v>5</v>
      </c>
      <c r="P165" s="214">
        <v>45231</v>
      </c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215"/>
      <c r="AC165" s="215"/>
      <c r="AD165" s="215"/>
      <c r="AE165" s="215"/>
      <c r="AF165" s="215"/>
      <c r="AG165" s="215"/>
      <c r="AH165" s="215"/>
      <c r="AI165" s="215"/>
      <c r="AJ165" s="215"/>
      <c r="AK165" s="215"/>
      <c r="AL165" s="215"/>
      <c r="AM165" s="215"/>
      <c r="AN165" s="215"/>
      <c r="AO165" s="215"/>
      <c r="AP165" s="215"/>
      <c r="AQ165" s="215"/>
      <c r="AR165" s="215"/>
      <c r="AS165" s="215"/>
      <c r="AT165" s="215"/>
      <c r="AU165" s="215"/>
    </row>
    <row r="166" spans="1:47" ht="17.25" hidden="1" customHeight="1" x14ac:dyDescent="0.35">
      <c r="A166" s="207">
        <v>1</v>
      </c>
      <c r="B166" s="216" t="s">
        <v>14</v>
      </c>
      <c r="C166" s="217" t="s">
        <v>195</v>
      </c>
      <c r="D166" s="217" t="s">
        <v>418</v>
      </c>
      <c r="E166" s="207">
        <v>3</v>
      </c>
      <c r="F166" s="218">
        <v>41924</v>
      </c>
      <c r="G166" s="219" t="s">
        <v>462</v>
      </c>
      <c r="H166" s="219">
        <v>5102921648</v>
      </c>
      <c r="I166" s="219" t="s">
        <v>463</v>
      </c>
      <c r="J166" s="218">
        <v>45246</v>
      </c>
      <c r="K166" s="220"/>
      <c r="L166" s="220"/>
      <c r="M166" s="220"/>
      <c r="N166" s="220" t="s">
        <v>464</v>
      </c>
      <c r="O166" s="216" t="s">
        <v>5</v>
      </c>
      <c r="P166" s="221">
        <v>45261</v>
      </c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</row>
    <row r="167" spans="1:47" ht="17.25" hidden="1" customHeight="1" x14ac:dyDescent="0.35">
      <c r="A167" s="207">
        <v>2</v>
      </c>
      <c r="B167" s="216" t="s">
        <v>12</v>
      </c>
      <c r="C167" s="217" t="s">
        <v>195</v>
      </c>
      <c r="D167" s="217" t="s">
        <v>418</v>
      </c>
      <c r="E167" s="207">
        <v>3</v>
      </c>
      <c r="F167" s="218">
        <v>41924</v>
      </c>
      <c r="G167" s="219" t="s">
        <v>462</v>
      </c>
      <c r="H167" s="219">
        <v>5102921648</v>
      </c>
      <c r="I167" s="219" t="s">
        <v>463</v>
      </c>
      <c r="J167" s="218">
        <v>45246</v>
      </c>
      <c r="K167" s="220"/>
      <c r="L167" s="220"/>
      <c r="M167" s="220"/>
      <c r="N167" s="220" t="s">
        <v>464</v>
      </c>
      <c r="O167" s="216" t="s">
        <v>5</v>
      </c>
      <c r="P167" s="221">
        <v>45261</v>
      </c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</row>
    <row r="168" spans="1:47" ht="17.25" hidden="1" customHeight="1" x14ac:dyDescent="0.35">
      <c r="A168" s="207">
        <v>3</v>
      </c>
      <c r="B168" s="216" t="s">
        <v>14</v>
      </c>
      <c r="C168" s="217" t="s">
        <v>319</v>
      </c>
      <c r="D168" s="217" t="s">
        <v>465</v>
      </c>
      <c r="E168" s="207">
        <v>2</v>
      </c>
      <c r="F168" s="218">
        <v>42588</v>
      </c>
      <c r="G168" s="220" t="s">
        <v>466</v>
      </c>
      <c r="H168" s="217">
        <v>6692068365</v>
      </c>
      <c r="I168" s="220" t="s">
        <v>467</v>
      </c>
      <c r="J168" s="218">
        <v>45170</v>
      </c>
      <c r="K168" s="220"/>
      <c r="L168" s="220"/>
      <c r="M168" s="220"/>
      <c r="N168" s="220" t="s">
        <v>468</v>
      </c>
      <c r="O168" s="216" t="s">
        <v>5</v>
      </c>
      <c r="P168" s="221">
        <v>45261</v>
      </c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</row>
    <row r="169" spans="1:47" ht="17.25" hidden="1" customHeight="1" x14ac:dyDescent="0.35">
      <c r="A169" s="207">
        <v>4</v>
      </c>
      <c r="B169" s="216" t="s">
        <v>14</v>
      </c>
      <c r="C169" s="222" t="s">
        <v>469</v>
      </c>
      <c r="D169" s="222" t="s">
        <v>470</v>
      </c>
      <c r="E169" s="207">
        <v>1</v>
      </c>
      <c r="F169" s="218">
        <v>42388</v>
      </c>
      <c r="G169" s="220" t="s">
        <v>471</v>
      </c>
      <c r="H169" s="217">
        <v>4087977701</v>
      </c>
      <c r="I169" s="220" t="s">
        <v>472</v>
      </c>
      <c r="J169" s="218">
        <v>45033</v>
      </c>
      <c r="K169" s="220"/>
      <c r="L169" s="220"/>
      <c r="M169" s="220"/>
      <c r="N169" s="220" t="s">
        <v>473</v>
      </c>
      <c r="O169" s="216" t="s">
        <v>5</v>
      </c>
      <c r="P169" s="221">
        <v>45261</v>
      </c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</row>
    <row r="170" spans="1:47" ht="17.25" hidden="1" customHeight="1" x14ac:dyDescent="0.35">
      <c r="A170" s="207">
        <v>5</v>
      </c>
      <c r="B170" s="216" t="s">
        <v>12</v>
      </c>
      <c r="C170" s="223" t="s">
        <v>474</v>
      </c>
      <c r="D170" s="223" t="s">
        <v>351</v>
      </c>
      <c r="E170" s="224">
        <v>1</v>
      </c>
      <c r="F170" s="225">
        <v>42947</v>
      </c>
      <c r="G170" s="219" t="s">
        <v>475</v>
      </c>
      <c r="H170" s="223">
        <v>4085108805</v>
      </c>
      <c r="I170" s="219" t="s">
        <v>354</v>
      </c>
      <c r="J170" s="225">
        <v>45246</v>
      </c>
      <c r="K170" s="219"/>
      <c r="L170" s="219"/>
      <c r="M170" s="219"/>
      <c r="N170" s="219" t="s">
        <v>476</v>
      </c>
      <c r="O170" s="216" t="s">
        <v>5</v>
      </c>
      <c r="P170" s="226">
        <v>45261</v>
      </c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</row>
    <row r="171" spans="1:47" ht="17.25" hidden="1" customHeight="1" x14ac:dyDescent="0.35">
      <c r="A171" s="207">
        <v>6</v>
      </c>
      <c r="B171" s="216" t="s">
        <v>14</v>
      </c>
      <c r="C171" s="217" t="s">
        <v>319</v>
      </c>
      <c r="D171" s="217" t="s">
        <v>477</v>
      </c>
      <c r="E171" s="207" t="s">
        <v>76</v>
      </c>
      <c r="F171" s="218">
        <v>43151</v>
      </c>
      <c r="G171" s="220" t="s">
        <v>466</v>
      </c>
      <c r="H171" s="217">
        <v>6692068365</v>
      </c>
      <c r="I171" s="220" t="s">
        <v>467</v>
      </c>
      <c r="J171" s="218">
        <v>45170</v>
      </c>
      <c r="K171" s="220"/>
      <c r="L171" s="220"/>
      <c r="M171" s="220"/>
      <c r="N171" s="220" t="s">
        <v>468</v>
      </c>
      <c r="O171" s="216" t="s">
        <v>5</v>
      </c>
      <c r="P171" s="221">
        <v>45261</v>
      </c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</row>
    <row r="172" spans="1:47" ht="17.25" hidden="1" customHeight="1" x14ac:dyDescent="0.35">
      <c r="A172" s="207">
        <v>7</v>
      </c>
      <c r="B172" s="216" t="s">
        <v>12</v>
      </c>
      <c r="C172" s="222" t="s">
        <v>469</v>
      </c>
      <c r="D172" s="222" t="s">
        <v>478</v>
      </c>
      <c r="E172" s="207">
        <v>5</v>
      </c>
      <c r="F172" s="218">
        <v>40961</v>
      </c>
      <c r="G172" s="220" t="s">
        <v>479</v>
      </c>
      <c r="H172" s="217">
        <v>4087977701</v>
      </c>
      <c r="I172" s="220" t="s">
        <v>472</v>
      </c>
      <c r="J172" s="218">
        <v>44791</v>
      </c>
      <c r="K172" s="220"/>
      <c r="L172" s="220"/>
      <c r="M172" s="220"/>
      <c r="N172" s="220" t="s">
        <v>480</v>
      </c>
      <c r="O172" s="216" t="s">
        <v>5</v>
      </c>
      <c r="P172" s="221">
        <v>45261</v>
      </c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</row>
    <row r="173" spans="1:47" ht="17.25" hidden="1" customHeight="1" x14ac:dyDescent="0.35">
      <c r="A173" s="227">
        <v>1</v>
      </c>
      <c r="B173" s="213" t="s">
        <v>14</v>
      </c>
      <c r="C173" s="209" t="s">
        <v>481</v>
      </c>
      <c r="D173" s="209" t="s">
        <v>482</v>
      </c>
      <c r="E173" s="210">
        <v>3</v>
      </c>
      <c r="F173" s="211">
        <v>42236</v>
      </c>
      <c r="G173" s="212" t="s">
        <v>483</v>
      </c>
      <c r="H173" s="209" t="s">
        <v>484</v>
      </c>
      <c r="I173" s="212" t="s">
        <v>485</v>
      </c>
      <c r="J173" s="211">
        <v>45174</v>
      </c>
      <c r="K173" s="212"/>
      <c r="L173" s="212"/>
      <c r="M173" s="212"/>
      <c r="N173" s="212"/>
      <c r="O173" s="213" t="s">
        <v>5</v>
      </c>
      <c r="P173" s="214">
        <v>45292</v>
      </c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215"/>
      <c r="AC173" s="215"/>
      <c r="AD173" s="215"/>
      <c r="AE173" s="215"/>
      <c r="AF173" s="215"/>
      <c r="AG173" s="215"/>
      <c r="AH173" s="215"/>
      <c r="AI173" s="215"/>
      <c r="AJ173" s="215"/>
      <c r="AK173" s="215"/>
      <c r="AL173" s="215"/>
      <c r="AM173" s="215"/>
      <c r="AN173" s="215"/>
      <c r="AO173" s="215"/>
      <c r="AP173" s="215"/>
      <c r="AQ173" s="215"/>
      <c r="AR173" s="215"/>
      <c r="AS173" s="215"/>
      <c r="AT173" s="215"/>
      <c r="AU173" s="215"/>
    </row>
    <row r="174" spans="1:47" ht="17.25" hidden="1" customHeight="1" x14ac:dyDescent="0.35">
      <c r="A174" s="227">
        <v>2</v>
      </c>
      <c r="B174" s="213" t="s">
        <v>12</v>
      </c>
      <c r="C174" s="209" t="s">
        <v>481</v>
      </c>
      <c r="D174" s="209" t="s">
        <v>482</v>
      </c>
      <c r="E174" s="210">
        <v>3</v>
      </c>
      <c r="F174" s="211">
        <v>42236</v>
      </c>
      <c r="G174" s="212" t="s">
        <v>483</v>
      </c>
      <c r="H174" s="209" t="s">
        <v>484</v>
      </c>
      <c r="I174" s="212" t="s">
        <v>485</v>
      </c>
      <c r="J174" s="211">
        <v>45174</v>
      </c>
      <c r="K174" s="212"/>
      <c r="L174" s="212"/>
      <c r="M174" s="212"/>
      <c r="N174" s="212"/>
      <c r="O174" s="213" t="s">
        <v>5</v>
      </c>
      <c r="P174" s="214">
        <v>45292</v>
      </c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  <c r="AB174" s="215"/>
      <c r="AC174" s="215"/>
      <c r="AD174" s="215"/>
      <c r="AE174" s="215"/>
      <c r="AF174" s="215"/>
      <c r="AG174" s="215"/>
      <c r="AH174" s="215"/>
      <c r="AI174" s="215"/>
      <c r="AJ174" s="215"/>
      <c r="AK174" s="215"/>
      <c r="AL174" s="215"/>
      <c r="AM174" s="215"/>
      <c r="AN174" s="215"/>
      <c r="AO174" s="215"/>
      <c r="AP174" s="215"/>
      <c r="AQ174" s="215"/>
      <c r="AR174" s="215"/>
      <c r="AS174" s="215"/>
      <c r="AT174" s="215"/>
      <c r="AU174" s="215"/>
    </row>
    <row r="175" spans="1:47" ht="17.25" hidden="1" customHeight="1" x14ac:dyDescent="0.35">
      <c r="A175" s="228">
        <v>3</v>
      </c>
      <c r="B175" s="213" t="s">
        <v>12</v>
      </c>
      <c r="C175" s="229" t="s">
        <v>486</v>
      </c>
      <c r="D175" s="229" t="s">
        <v>487</v>
      </c>
      <c r="E175" s="227">
        <v>6</v>
      </c>
      <c r="F175" s="230">
        <v>41034</v>
      </c>
      <c r="G175" s="231" t="s">
        <v>488</v>
      </c>
      <c r="H175" s="229">
        <v>5108161486</v>
      </c>
      <c r="I175" s="232" t="s">
        <v>450</v>
      </c>
      <c r="J175" s="230">
        <v>45093</v>
      </c>
      <c r="K175" s="231"/>
      <c r="L175" s="231"/>
      <c r="M175" s="231"/>
      <c r="N175" s="231" t="s">
        <v>489</v>
      </c>
      <c r="O175" s="213" t="s">
        <v>5</v>
      </c>
      <c r="P175" s="214">
        <v>45292</v>
      </c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  <c r="AB175" s="215"/>
      <c r="AC175" s="215"/>
      <c r="AD175" s="215"/>
      <c r="AE175" s="215"/>
      <c r="AF175" s="215"/>
      <c r="AG175" s="215"/>
      <c r="AH175" s="215"/>
      <c r="AI175" s="215"/>
      <c r="AJ175" s="215"/>
      <c r="AK175" s="215"/>
      <c r="AL175" s="215"/>
      <c r="AM175" s="215"/>
      <c r="AN175" s="215"/>
      <c r="AO175" s="215"/>
      <c r="AP175" s="215"/>
      <c r="AQ175" s="215"/>
      <c r="AR175" s="215"/>
      <c r="AS175" s="215"/>
      <c r="AT175" s="215"/>
      <c r="AU175" s="215"/>
    </row>
    <row r="176" spans="1:47" ht="17.25" hidden="1" customHeight="1" x14ac:dyDescent="0.35">
      <c r="A176" s="227">
        <v>4</v>
      </c>
      <c r="B176" s="213" t="s">
        <v>14</v>
      </c>
      <c r="C176" s="229" t="s">
        <v>213</v>
      </c>
      <c r="D176" s="229" t="s">
        <v>490</v>
      </c>
      <c r="E176" s="227">
        <v>7</v>
      </c>
      <c r="F176" s="230">
        <v>40552</v>
      </c>
      <c r="G176" s="231" t="s">
        <v>491</v>
      </c>
      <c r="H176" s="229">
        <v>5108221710</v>
      </c>
      <c r="I176" s="231" t="s">
        <v>492</v>
      </c>
      <c r="J176" s="230">
        <v>45233</v>
      </c>
      <c r="K176" s="231"/>
      <c r="L176" s="231"/>
      <c r="M176" s="231"/>
      <c r="N176" s="231"/>
      <c r="O176" s="213" t="s">
        <v>5</v>
      </c>
      <c r="P176" s="214">
        <v>45292</v>
      </c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215"/>
      <c r="AC176" s="215"/>
      <c r="AD176" s="215"/>
      <c r="AE176" s="215"/>
      <c r="AF176" s="215"/>
      <c r="AG176" s="215"/>
      <c r="AH176" s="215"/>
      <c r="AI176" s="215"/>
      <c r="AJ176" s="215"/>
      <c r="AK176" s="215"/>
      <c r="AL176" s="215"/>
      <c r="AM176" s="215"/>
      <c r="AN176" s="215"/>
      <c r="AO176" s="215"/>
      <c r="AP176" s="215"/>
      <c r="AQ176" s="215"/>
      <c r="AR176" s="215"/>
      <c r="AS176" s="215"/>
      <c r="AT176" s="215"/>
      <c r="AU176" s="215"/>
    </row>
    <row r="177" spans="1:47" ht="17.25" hidden="1" customHeight="1" x14ac:dyDescent="0.35">
      <c r="A177" s="227">
        <v>5</v>
      </c>
      <c r="B177" s="213" t="s">
        <v>14</v>
      </c>
      <c r="C177" s="209" t="s">
        <v>319</v>
      </c>
      <c r="D177" s="209" t="s">
        <v>443</v>
      </c>
      <c r="E177" s="210">
        <v>1</v>
      </c>
      <c r="F177" s="211">
        <v>42483</v>
      </c>
      <c r="G177" s="212" t="s">
        <v>444</v>
      </c>
      <c r="H177" s="209">
        <v>6692460021</v>
      </c>
      <c r="I177" s="212" t="s">
        <v>445</v>
      </c>
      <c r="J177" s="211">
        <v>45247</v>
      </c>
      <c r="K177" s="212"/>
      <c r="L177" s="212"/>
      <c r="M177" s="212"/>
      <c r="N177" s="212" t="s">
        <v>493</v>
      </c>
      <c r="O177" s="213" t="s">
        <v>5</v>
      </c>
      <c r="P177" s="214">
        <v>45292</v>
      </c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  <c r="AB177" s="215"/>
      <c r="AC177" s="215"/>
      <c r="AD177" s="215"/>
      <c r="AE177" s="215"/>
      <c r="AF177" s="215"/>
      <c r="AG177" s="215"/>
      <c r="AH177" s="215"/>
      <c r="AI177" s="215"/>
      <c r="AJ177" s="215"/>
      <c r="AK177" s="215"/>
      <c r="AL177" s="215"/>
      <c r="AM177" s="215"/>
      <c r="AN177" s="215"/>
      <c r="AO177" s="215"/>
      <c r="AP177" s="215"/>
      <c r="AQ177" s="215"/>
      <c r="AR177" s="215"/>
      <c r="AS177" s="215"/>
      <c r="AT177" s="215"/>
      <c r="AU177" s="215"/>
    </row>
    <row r="178" spans="1:47" ht="15" hidden="1" customHeight="1" x14ac:dyDescent="0.35">
      <c r="A178" s="233">
        <v>6</v>
      </c>
      <c r="B178" s="234" t="s">
        <v>14</v>
      </c>
      <c r="C178" s="235" t="s">
        <v>358</v>
      </c>
      <c r="D178" s="235" t="s">
        <v>494</v>
      </c>
      <c r="E178" s="233" t="s">
        <v>76</v>
      </c>
      <c r="F178" s="236">
        <v>42409</v>
      </c>
      <c r="G178" s="237" t="s">
        <v>495</v>
      </c>
      <c r="H178" s="238">
        <v>4088292099</v>
      </c>
      <c r="I178" s="237" t="s">
        <v>496</v>
      </c>
      <c r="J178" s="236">
        <v>44645</v>
      </c>
      <c r="K178" s="237"/>
      <c r="L178" s="237"/>
      <c r="M178" s="237"/>
      <c r="N178" s="237" t="s">
        <v>497</v>
      </c>
      <c r="O178" s="234" t="s">
        <v>5</v>
      </c>
      <c r="P178" s="214">
        <v>45292</v>
      </c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239"/>
      <c r="AP178" s="239"/>
      <c r="AQ178" s="239"/>
      <c r="AR178" s="239"/>
      <c r="AS178" s="239"/>
      <c r="AT178" s="239"/>
      <c r="AU178" s="239"/>
    </row>
    <row r="179" spans="1:47" ht="17.25" hidden="1" customHeight="1" x14ac:dyDescent="0.35">
      <c r="A179" s="233">
        <v>7</v>
      </c>
      <c r="B179" s="234" t="s">
        <v>12</v>
      </c>
      <c r="C179" s="235" t="s">
        <v>358</v>
      </c>
      <c r="D179" s="235" t="s">
        <v>494</v>
      </c>
      <c r="E179" s="233" t="s">
        <v>76</v>
      </c>
      <c r="F179" s="236">
        <v>42409</v>
      </c>
      <c r="G179" s="237" t="s">
        <v>495</v>
      </c>
      <c r="H179" s="238">
        <v>4088292099</v>
      </c>
      <c r="I179" s="237" t="s">
        <v>496</v>
      </c>
      <c r="J179" s="236">
        <v>44866</v>
      </c>
      <c r="K179" s="237"/>
      <c r="L179" s="237"/>
      <c r="M179" s="237"/>
      <c r="N179" s="237" t="s">
        <v>497</v>
      </c>
      <c r="O179" s="234" t="s">
        <v>5</v>
      </c>
      <c r="P179" s="214">
        <v>45292</v>
      </c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239"/>
      <c r="AP179" s="239"/>
      <c r="AQ179" s="239"/>
      <c r="AR179" s="239"/>
      <c r="AS179" s="239"/>
      <c r="AT179" s="239"/>
      <c r="AU179" s="239"/>
    </row>
    <row r="180" spans="1:47" ht="17.25" hidden="1" customHeight="1" x14ac:dyDescent="0.35">
      <c r="A180" s="227">
        <v>8</v>
      </c>
      <c r="B180" s="213" t="s">
        <v>14</v>
      </c>
      <c r="C180" s="229" t="s">
        <v>372</v>
      </c>
      <c r="D180" s="229" t="s">
        <v>324</v>
      </c>
      <c r="E180" s="227">
        <v>3</v>
      </c>
      <c r="F180" s="230">
        <v>42099</v>
      </c>
      <c r="G180" s="231" t="s">
        <v>498</v>
      </c>
      <c r="H180" s="229">
        <v>3104608958</v>
      </c>
      <c r="I180" s="231" t="s">
        <v>375</v>
      </c>
      <c r="J180" s="230">
        <v>45200</v>
      </c>
      <c r="K180" s="231"/>
      <c r="L180" s="231"/>
      <c r="M180" s="231"/>
      <c r="N180" s="231"/>
      <c r="O180" s="213" t="s">
        <v>5</v>
      </c>
      <c r="P180" s="214">
        <v>45292</v>
      </c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215"/>
      <c r="AH180" s="215"/>
      <c r="AI180" s="215"/>
      <c r="AJ180" s="215"/>
      <c r="AK180" s="215"/>
      <c r="AL180" s="215"/>
      <c r="AM180" s="215"/>
      <c r="AN180" s="215"/>
      <c r="AO180" s="215"/>
      <c r="AP180" s="215"/>
      <c r="AQ180" s="215"/>
      <c r="AR180" s="215"/>
      <c r="AS180" s="215"/>
      <c r="AT180" s="215"/>
      <c r="AU180" s="215"/>
    </row>
    <row r="181" spans="1:47" ht="17.25" hidden="1" customHeight="1" x14ac:dyDescent="0.35">
      <c r="A181" s="227">
        <v>9</v>
      </c>
      <c r="B181" s="213" t="s">
        <v>12</v>
      </c>
      <c r="C181" s="229" t="s">
        <v>372</v>
      </c>
      <c r="D181" s="229" t="s">
        <v>324</v>
      </c>
      <c r="E181" s="227">
        <v>3</v>
      </c>
      <c r="F181" s="230">
        <v>42099</v>
      </c>
      <c r="G181" s="231" t="s">
        <v>498</v>
      </c>
      <c r="H181" s="229">
        <v>3104608958</v>
      </c>
      <c r="I181" s="231" t="s">
        <v>375</v>
      </c>
      <c r="J181" s="230">
        <v>45200</v>
      </c>
      <c r="K181" s="231"/>
      <c r="L181" s="231"/>
      <c r="M181" s="231"/>
      <c r="N181" s="231"/>
      <c r="O181" s="213" t="s">
        <v>5</v>
      </c>
      <c r="P181" s="214">
        <v>45292</v>
      </c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  <c r="AH181" s="215"/>
      <c r="AI181" s="215"/>
      <c r="AJ181" s="215"/>
      <c r="AK181" s="215"/>
      <c r="AL181" s="215"/>
      <c r="AM181" s="215"/>
      <c r="AN181" s="215"/>
      <c r="AO181" s="215"/>
      <c r="AP181" s="215"/>
      <c r="AQ181" s="215"/>
      <c r="AR181" s="215"/>
      <c r="AS181" s="215"/>
      <c r="AT181" s="215"/>
      <c r="AU181" s="215"/>
    </row>
    <row r="182" spans="1:47" ht="17.25" hidden="1" customHeight="1" x14ac:dyDescent="0.35">
      <c r="A182" s="207">
        <v>1</v>
      </c>
      <c r="B182" s="216" t="s">
        <v>12</v>
      </c>
      <c r="C182" s="223" t="s">
        <v>499</v>
      </c>
      <c r="D182" s="223" t="s">
        <v>500</v>
      </c>
      <c r="E182" s="224">
        <v>1</v>
      </c>
      <c r="F182" s="225">
        <v>42894</v>
      </c>
      <c r="G182" s="219" t="s">
        <v>501</v>
      </c>
      <c r="H182" s="223">
        <v>6503358676</v>
      </c>
      <c r="I182" s="219" t="s">
        <v>502</v>
      </c>
      <c r="J182" s="225">
        <v>45159</v>
      </c>
      <c r="K182" s="219"/>
      <c r="L182" s="219"/>
      <c r="M182" s="219"/>
      <c r="N182" s="219" t="s">
        <v>503</v>
      </c>
      <c r="O182" s="216" t="s">
        <v>5</v>
      </c>
      <c r="P182" s="226">
        <v>45352</v>
      </c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</row>
    <row r="183" spans="1:47" ht="17.25" hidden="1" customHeight="1" x14ac:dyDescent="0.35">
      <c r="A183" s="207">
        <v>2</v>
      </c>
      <c r="B183" s="216" t="s">
        <v>14</v>
      </c>
      <c r="C183" s="222" t="s">
        <v>380</v>
      </c>
      <c r="D183" s="222" t="s">
        <v>504</v>
      </c>
      <c r="E183" s="207">
        <v>4</v>
      </c>
      <c r="F183" s="218">
        <v>41300</v>
      </c>
      <c r="G183" s="240" t="s">
        <v>505</v>
      </c>
      <c r="H183" s="222" t="s">
        <v>506</v>
      </c>
      <c r="I183" s="240" t="s">
        <v>507</v>
      </c>
      <c r="J183" s="218">
        <v>45110</v>
      </c>
      <c r="K183" s="220"/>
      <c r="L183" s="220"/>
      <c r="M183" s="220"/>
      <c r="N183" s="220"/>
      <c r="O183" s="216" t="s">
        <v>5</v>
      </c>
      <c r="P183" s="226">
        <v>45352</v>
      </c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</row>
    <row r="184" spans="1:47" ht="17.25" hidden="1" customHeight="1" x14ac:dyDescent="0.35">
      <c r="A184" s="207">
        <v>3</v>
      </c>
      <c r="B184" s="216" t="s">
        <v>12</v>
      </c>
      <c r="C184" s="222" t="s">
        <v>380</v>
      </c>
      <c r="D184" s="222" t="s">
        <v>504</v>
      </c>
      <c r="E184" s="207">
        <v>4</v>
      </c>
      <c r="F184" s="218">
        <v>41301</v>
      </c>
      <c r="G184" s="240" t="s">
        <v>508</v>
      </c>
      <c r="H184" s="222" t="s">
        <v>509</v>
      </c>
      <c r="I184" s="240" t="s">
        <v>507</v>
      </c>
      <c r="J184" s="218">
        <v>45110</v>
      </c>
      <c r="K184" s="220"/>
      <c r="L184" s="220"/>
      <c r="M184" s="220"/>
      <c r="N184" s="220"/>
      <c r="O184" s="216" t="s">
        <v>5</v>
      </c>
      <c r="P184" s="226">
        <v>45352</v>
      </c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</row>
    <row r="185" spans="1:47" ht="17.25" hidden="1" customHeight="1" x14ac:dyDescent="0.35">
      <c r="A185" s="241">
        <v>1</v>
      </c>
      <c r="B185" s="242" t="s">
        <v>14</v>
      </c>
      <c r="C185" s="243" t="s">
        <v>510</v>
      </c>
      <c r="D185" s="243" t="s">
        <v>511</v>
      </c>
      <c r="E185" s="244">
        <v>5</v>
      </c>
      <c r="F185" s="245">
        <v>41253</v>
      </c>
      <c r="G185" s="246" t="s">
        <v>512</v>
      </c>
      <c r="H185" s="243">
        <v>4153956788</v>
      </c>
      <c r="I185" s="246" t="s">
        <v>513</v>
      </c>
      <c r="J185" s="245">
        <v>45180</v>
      </c>
      <c r="K185" s="246"/>
      <c r="L185" s="246"/>
      <c r="M185" s="246"/>
      <c r="N185" s="246" t="s">
        <v>514</v>
      </c>
      <c r="O185" s="247" t="s">
        <v>5</v>
      </c>
      <c r="P185" s="248">
        <v>45383</v>
      </c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</row>
    <row r="186" spans="1:47" ht="17.25" hidden="1" customHeight="1" x14ac:dyDescent="0.35">
      <c r="A186" s="241">
        <v>2</v>
      </c>
      <c r="B186" s="242" t="s">
        <v>12</v>
      </c>
      <c r="C186" s="243" t="s">
        <v>510</v>
      </c>
      <c r="D186" s="243" t="s">
        <v>511</v>
      </c>
      <c r="E186" s="244">
        <v>5</v>
      </c>
      <c r="F186" s="245">
        <v>41253</v>
      </c>
      <c r="G186" s="246" t="s">
        <v>512</v>
      </c>
      <c r="H186" s="243">
        <v>4153956788</v>
      </c>
      <c r="I186" s="246" t="s">
        <v>513</v>
      </c>
      <c r="J186" s="245">
        <v>45180</v>
      </c>
      <c r="K186" s="246"/>
      <c r="L186" s="246"/>
      <c r="M186" s="246"/>
      <c r="N186" s="246" t="s">
        <v>514</v>
      </c>
      <c r="O186" s="247" t="s">
        <v>5</v>
      </c>
      <c r="P186" s="248">
        <v>45383</v>
      </c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</row>
    <row r="187" spans="1:47" ht="17.25" hidden="1" customHeight="1" x14ac:dyDescent="0.35">
      <c r="A187" s="241">
        <v>3</v>
      </c>
      <c r="B187" s="247" t="s">
        <v>14</v>
      </c>
      <c r="C187" s="249" t="s">
        <v>515</v>
      </c>
      <c r="D187" s="249" t="s">
        <v>516</v>
      </c>
      <c r="E187" s="241" t="s">
        <v>176</v>
      </c>
      <c r="F187" s="250">
        <v>43521</v>
      </c>
      <c r="G187" s="251" t="s">
        <v>517</v>
      </c>
      <c r="H187" s="249">
        <v>5107505202</v>
      </c>
      <c r="I187" s="251" t="s">
        <v>518</v>
      </c>
      <c r="J187" s="250">
        <v>45317</v>
      </c>
      <c r="K187" s="251"/>
      <c r="L187" s="251"/>
      <c r="M187" s="251"/>
      <c r="N187" s="251"/>
      <c r="O187" s="247" t="s">
        <v>5</v>
      </c>
      <c r="P187" s="248">
        <v>45383</v>
      </c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</row>
    <row r="188" spans="1:47" ht="17.25" hidden="1" customHeight="1" x14ac:dyDescent="0.35">
      <c r="A188" s="241">
        <v>4</v>
      </c>
      <c r="B188" s="247" t="s">
        <v>12</v>
      </c>
      <c r="C188" s="249" t="s">
        <v>515</v>
      </c>
      <c r="D188" s="249" t="s">
        <v>516</v>
      </c>
      <c r="E188" s="241" t="s">
        <v>176</v>
      </c>
      <c r="F188" s="250">
        <v>43521</v>
      </c>
      <c r="G188" s="251" t="s">
        <v>517</v>
      </c>
      <c r="H188" s="249">
        <v>5107505202</v>
      </c>
      <c r="I188" s="251" t="s">
        <v>518</v>
      </c>
      <c r="J188" s="250">
        <v>45317</v>
      </c>
      <c r="K188" s="251"/>
      <c r="L188" s="251"/>
      <c r="M188" s="251"/>
      <c r="N188" s="251" t="s">
        <v>149</v>
      </c>
      <c r="O188" s="247" t="s">
        <v>5</v>
      </c>
      <c r="P188" s="248">
        <v>45383</v>
      </c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</row>
    <row r="189" spans="1:47" ht="17.25" hidden="1" customHeight="1" x14ac:dyDescent="0.35">
      <c r="A189" s="241">
        <v>5</v>
      </c>
      <c r="B189" s="247" t="s">
        <v>14</v>
      </c>
      <c r="C189" s="249" t="s">
        <v>519</v>
      </c>
      <c r="D189" s="249" t="s">
        <v>520</v>
      </c>
      <c r="E189" s="241">
        <v>5</v>
      </c>
      <c r="F189" s="250">
        <v>41451</v>
      </c>
      <c r="G189" s="246" t="s">
        <v>521</v>
      </c>
      <c r="H189" s="246">
        <v>5106820365</v>
      </c>
      <c r="I189" s="246" t="s">
        <v>522</v>
      </c>
      <c r="J189" s="250">
        <v>45078</v>
      </c>
      <c r="K189" s="251"/>
      <c r="L189" s="251"/>
      <c r="M189" s="251"/>
      <c r="N189" s="251" t="s">
        <v>523</v>
      </c>
      <c r="O189" s="247" t="s">
        <v>5</v>
      </c>
      <c r="P189" s="248">
        <v>45383</v>
      </c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</row>
    <row r="190" spans="1:47" ht="17.25" hidden="1" customHeight="1" x14ac:dyDescent="0.35">
      <c r="A190" s="241">
        <v>6</v>
      </c>
      <c r="B190" s="247" t="s">
        <v>12</v>
      </c>
      <c r="C190" s="249" t="s">
        <v>519</v>
      </c>
      <c r="D190" s="249" t="s">
        <v>520</v>
      </c>
      <c r="E190" s="241">
        <v>5</v>
      </c>
      <c r="F190" s="250">
        <v>41451</v>
      </c>
      <c r="G190" s="246" t="s">
        <v>521</v>
      </c>
      <c r="H190" s="246">
        <v>5106820365</v>
      </c>
      <c r="I190" s="246" t="s">
        <v>522</v>
      </c>
      <c r="J190" s="250">
        <v>45096</v>
      </c>
      <c r="K190" s="251"/>
      <c r="L190" s="251"/>
      <c r="M190" s="251"/>
      <c r="N190" s="251" t="s">
        <v>523</v>
      </c>
      <c r="O190" s="247" t="s">
        <v>5</v>
      </c>
      <c r="P190" s="248">
        <v>45383</v>
      </c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</row>
    <row r="191" spans="1:47" ht="17.25" hidden="1" customHeight="1" x14ac:dyDescent="0.35">
      <c r="A191" s="241">
        <v>7</v>
      </c>
      <c r="B191" s="242" t="s">
        <v>14</v>
      </c>
      <c r="C191" s="243" t="s">
        <v>510</v>
      </c>
      <c r="D191" s="243" t="s">
        <v>524</v>
      </c>
      <c r="E191" s="244">
        <v>4</v>
      </c>
      <c r="F191" s="245">
        <v>41875</v>
      </c>
      <c r="G191" s="246" t="s">
        <v>512</v>
      </c>
      <c r="H191" s="243">
        <v>4153956788</v>
      </c>
      <c r="I191" s="246" t="s">
        <v>513</v>
      </c>
      <c r="J191" s="245">
        <v>45180</v>
      </c>
      <c r="K191" s="246"/>
      <c r="L191" s="246"/>
      <c r="M191" s="246"/>
      <c r="N191" s="246" t="s">
        <v>514</v>
      </c>
      <c r="O191" s="247" t="s">
        <v>5</v>
      </c>
      <c r="P191" s="248">
        <v>45383</v>
      </c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</row>
    <row r="192" spans="1:47" ht="17.25" hidden="1" customHeight="1" x14ac:dyDescent="0.35">
      <c r="A192" s="241">
        <v>8</v>
      </c>
      <c r="B192" s="242" t="s">
        <v>12</v>
      </c>
      <c r="C192" s="243" t="s">
        <v>510</v>
      </c>
      <c r="D192" s="243" t="s">
        <v>524</v>
      </c>
      <c r="E192" s="244">
        <v>4</v>
      </c>
      <c r="F192" s="245">
        <v>41875</v>
      </c>
      <c r="G192" s="246" t="s">
        <v>512</v>
      </c>
      <c r="H192" s="243">
        <v>4153956788</v>
      </c>
      <c r="I192" s="246" t="s">
        <v>513</v>
      </c>
      <c r="J192" s="245">
        <v>45180</v>
      </c>
      <c r="K192" s="246"/>
      <c r="L192" s="246"/>
      <c r="M192" s="246"/>
      <c r="N192" s="246" t="s">
        <v>514</v>
      </c>
      <c r="O192" s="247" t="s">
        <v>5</v>
      </c>
      <c r="P192" s="248">
        <v>45383</v>
      </c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</row>
    <row r="193" spans="1:47" ht="17.25" hidden="1" customHeight="1" x14ac:dyDescent="0.35">
      <c r="A193" s="241">
        <v>9</v>
      </c>
      <c r="B193" s="242" t="s">
        <v>14</v>
      </c>
      <c r="C193" s="243" t="s">
        <v>525</v>
      </c>
      <c r="D193" s="243" t="s">
        <v>526</v>
      </c>
      <c r="E193" s="244" t="s">
        <v>76</v>
      </c>
      <c r="F193" s="245">
        <v>43214</v>
      </c>
      <c r="G193" s="246" t="s">
        <v>527</v>
      </c>
      <c r="H193" s="243">
        <v>5103885720</v>
      </c>
      <c r="I193" s="246" t="s">
        <v>528</v>
      </c>
      <c r="J193" s="245">
        <v>45178</v>
      </c>
      <c r="K193" s="246"/>
      <c r="L193" s="246"/>
      <c r="M193" s="246"/>
      <c r="N193" s="246"/>
      <c r="O193" s="247" t="s">
        <v>5</v>
      </c>
      <c r="P193" s="248">
        <v>45383</v>
      </c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</row>
    <row r="194" spans="1:47" ht="17.25" hidden="1" customHeight="1" x14ac:dyDescent="0.35">
      <c r="A194" s="241">
        <v>10</v>
      </c>
      <c r="B194" s="242" t="s">
        <v>14</v>
      </c>
      <c r="C194" s="243" t="s">
        <v>525</v>
      </c>
      <c r="D194" s="243" t="s">
        <v>529</v>
      </c>
      <c r="E194" s="244">
        <v>2</v>
      </c>
      <c r="F194" s="245">
        <v>42626</v>
      </c>
      <c r="G194" s="246" t="s">
        <v>527</v>
      </c>
      <c r="H194" s="243">
        <v>5103885720</v>
      </c>
      <c r="I194" s="246" t="s">
        <v>528</v>
      </c>
      <c r="J194" s="245">
        <v>45178</v>
      </c>
      <c r="K194" s="246"/>
      <c r="L194" s="246"/>
      <c r="M194" s="246"/>
      <c r="N194" s="246"/>
      <c r="O194" s="247" t="s">
        <v>5</v>
      </c>
      <c r="P194" s="248">
        <v>45383</v>
      </c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</row>
    <row r="195" spans="1:47" ht="17.25" hidden="1" customHeight="1" x14ac:dyDescent="0.35">
      <c r="A195" s="207">
        <v>1</v>
      </c>
      <c r="B195" s="252" t="s">
        <v>14</v>
      </c>
      <c r="C195" s="223" t="s">
        <v>530</v>
      </c>
      <c r="D195" s="223" t="s">
        <v>531</v>
      </c>
      <c r="E195" s="224" t="s">
        <v>176</v>
      </c>
      <c r="F195" s="225">
        <v>43630</v>
      </c>
      <c r="G195" s="219" t="s">
        <v>532</v>
      </c>
      <c r="H195" s="223">
        <v>5109444628</v>
      </c>
      <c r="I195" s="219" t="s">
        <v>533</v>
      </c>
      <c r="J195" s="225">
        <v>45170</v>
      </c>
      <c r="K195" s="219"/>
      <c r="L195" s="219"/>
      <c r="M195" s="219"/>
      <c r="N195" s="219" t="s">
        <v>534</v>
      </c>
      <c r="O195" s="216" t="s">
        <v>5</v>
      </c>
      <c r="P195" s="226">
        <v>45413</v>
      </c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</row>
    <row r="196" spans="1:47" ht="17.25" hidden="1" customHeight="1" x14ac:dyDescent="0.35">
      <c r="A196" s="207">
        <v>2</v>
      </c>
      <c r="B196" s="216" t="s">
        <v>14</v>
      </c>
      <c r="C196" s="217" t="s">
        <v>213</v>
      </c>
      <c r="D196" s="217" t="s">
        <v>411</v>
      </c>
      <c r="E196" s="207" t="s">
        <v>76</v>
      </c>
      <c r="F196" s="218">
        <v>42943</v>
      </c>
      <c r="G196" s="220" t="s">
        <v>535</v>
      </c>
      <c r="H196" s="217">
        <v>5103035129</v>
      </c>
      <c r="I196" s="253" t="s">
        <v>536</v>
      </c>
      <c r="J196" s="218">
        <v>44728</v>
      </c>
      <c r="K196" s="220"/>
      <c r="L196" s="220"/>
      <c r="M196" s="220"/>
      <c r="N196" s="220" t="s">
        <v>537</v>
      </c>
      <c r="O196" s="216" t="s">
        <v>5</v>
      </c>
      <c r="P196" s="226">
        <v>45413</v>
      </c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</row>
    <row r="197" spans="1:47" ht="17.25" hidden="1" customHeight="1" x14ac:dyDescent="0.35">
      <c r="A197" s="207">
        <v>3</v>
      </c>
      <c r="B197" s="216" t="s">
        <v>12</v>
      </c>
      <c r="C197" s="217" t="s">
        <v>213</v>
      </c>
      <c r="D197" s="217" t="s">
        <v>411</v>
      </c>
      <c r="E197" s="207" t="s">
        <v>76</v>
      </c>
      <c r="F197" s="218">
        <v>42943</v>
      </c>
      <c r="G197" s="220" t="s">
        <v>535</v>
      </c>
      <c r="H197" s="217">
        <v>5103035129</v>
      </c>
      <c r="I197" s="253" t="s">
        <v>536</v>
      </c>
      <c r="J197" s="218">
        <v>44728</v>
      </c>
      <c r="K197" s="220"/>
      <c r="L197" s="220"/>
      <c r="M197" s="220"/>
      <c r="N197" s="220" t="s">
        <v>537</v>
      </c>
      <c r="O197" s="216" t="s">
        <v>5</v>
      </c>
      <c r="P197" s="226">
        <v>45413</v>
      </c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</row>
    <row r="198" spans="1:47" ht="17.25" hidden="1" customHeight="1" x14ac:dyDescent="0.35">
      <c r="A198" s="185">
        <v>4</v>
      </c>
      <c r="B198" s="254" t="s">
        <v>14</v>
      </c>
      <c r="C198" s="255" t="s">
        <v>255</v>
      </c>
      <c r="D198" s="255" t="s">
        <v>40</v>
      </c>
      <c r="E198" s="256" t="s">
        <v>76</v>
      </c>
      <c r="F198" s="257">
        <v>43274</v>
      </c>
      <c r="G198" s="258" t="s">
        <v>256</v>
      </c>
      <c r="H198" s="255">
        <v>2544004292</v>
      </c>
      <c r="I198" s="258" t="s">
        <v>257</v>
      </c>
      <c r="J198" s="257">
        <v>45185</v>
      </c>
      <c r="K198" s="258"/>
      <c r="L198" s="258"/>
      <c r="M198" s="258"/>
      <c r="N198" s="258" t="s">
        <v>538</v>
      </c>
      <c r="O198" s="186" t="s">
        <v>5</v>
      </c>
      <c r="P198" s="259">
        <v>45413</v>
      </c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8"/>
      <c r="AN198" s="178"/>
      <c r="AO198" s="178"/>
      <c r="AP198" s="178"/>
      <c r="AQ198" s="178"/>
      <c r="AR198" s="178"/>
      <c r="AS198" s="178"/>
      <c r="AT198" s="178"/>
      <c r="AU198" s="178"/>
    </row>
    <row r="199" spans="1:47" ht="17.25" hidden="1" customHeight="1" x14ac:dyDescent="0.35">
      <c r="A199" s="207">
        <v>5</v>
      </c>
      <c r="B199" s="216" t="s">
        <v>14</v>
      </c>
      <c r="C199" s="217" t="s">
        <v>539</v>
      </c>
      <c r="D199" s="217" t="s">
        <v>540</v>
      </c>
      <c r="E199" s="207">
        <v>3</v>
      </c>
      <c r="F199" s="218">
        <v>42182</v>
      </c>
      <c r="G199" s="220" t="s">
        <v>541</v>
      </c>
      <c r="H199" s="217">
        <v>4085948203</v>
      </c>
      <c r="I199" s="220" t="s">
        <v>542</v>
      </c>
      <c r="J199" s="218">
        <v>45215</v>
      </c>
      <c r="K199" s="220"/>
      <c r="L199" s="220"/>
      <c r="M199" s="220"/>
      <c r="N199" s="220"/>
      <c r="O199" s="216" t="s">
        <v>5</v>
      </c>
      <c r="P199" s="226">
        <v>45413</v>
      </c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</row>
    <row r="200" spans="1:47" ht="17.25" hidden="1" customHeight="1" x14ac:dyDescent="0.35">
      <c r="A200" s="207">
        <v>6</v>
      </c>
      <c r="B200" s="216" t="s">
        <v>14</v>
      </c>
      <c r="C200" s="217" t="s">
        <v>543</v>
      </c>
      <c r="D200" s="217" t="s">
        <v>544</v>
      </c>
      <c r="E200" s="207">
        <v>6</v>
      </c>
      <c r="F200" s="218">
        <v>41089</v>
      </c>
      <c r="G200" s="219" t="s">
        <v>545</v>
      </c>
      <c r="H200" s="219">
        <v>4085819618</v>
      </c>
      <c r="I200" s="219" t="s">
        <v>546</v>
      </c>
      <c r="J200" s="218">
        <v>45329</v>
      </c>
      <c r="K200" s="220"/>
      <c r="L200" s="220"/>
      <c r="M200" s="220"/>
      <c r="N200" s="220"/>
      <c r="O200" s="216" t="s">
        <v>5</v>
      </c>
      <c r="P200" s="226">
        <v>45413</v>
      </c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</row>
    <row r="201" spans="1:47" ht="17.25" hidden="1" customHeight="1" x14ac:dyDescent="0.35">
      <c r="A201" s="207">
        <v>7</v>
      </c>
      <c r="B201" s="216" t="s">
        <v>12</v>
      </c>
      <c r="C201" s="217" t="s">
        <v>543</v>
      </c>
      <c r="D201" s="217" t="s">
        <v>544</v>
      </c>
      <c r="E201" s="207">
        <v>6</v>
      </c>
      <c r="F201" s="218">
        <v>41089</v>
      </c>
      <c r="G201" s="219" t="s">
        <v>545</v>
      </c>
      <c r="H201" s="219">
        <v>4085819618</v>
      </c>
      <c r="I201" s="219" t="s">
        <v>546</v>
      </c>
      <c r="J201" s="218">
        <v>45329</v>
      </c>
      <c r="K201" s="220"/>
      <c r="L201" s="220"/>
      <c r="M201" s="220"/>
      <c r="N201" s="220"/>
      <c r="O201" s="216" t="s">
        <v>5</v>
      </c>
      <c r="P201" s="226">
        <v>45413</v>
      </c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</row>
    <row r="202" spans="1:47" ht="17.25" hidden="1" customHeight="1" x14ac:dyDescent="0.35">
      <c r="A202" s="207">
        <v>8</v>
      </c>
      <c r="B202" s="216" t="s">
        <v>14</v>
      </c>
      <c r="C202" s="223" t="s">
        <v>319</v>
      </c>
      <c r="D202" s="223" t="s">
        <v>547</v>
      </c>
      <c r="E202" s="224">
        <v>2</v>
      </c>
      <c r="F202" s="225">
        <v>42516</v>
      </c>
      <c r="G202" s="219" t="s">
        <v>548</v>
      </c>
      <c r="H202" s="223">
        <v>6318770767</v>
      </c>
      <c r="I202" s="219" t="s">
        <v>549</v>
      </c>
      <c r="J202" s="225">
        <v>45156</v>
      </c>
      <c r="K202" s="219"/>
      <c r="L202" s="219"/>
      <c r="M202" s="219"/>
      <c r="N202" s="219" t="s">
        <v>537</v>
      </c>
      <c r="O202" s="216" t="s">
        <v>5</v>
      </c>
      <c r="P202" s="226">
        <v>45413</v>
      </c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</row>
    <row r="203" spans="1:47" ht="17.25" hidden="1" customHeight="1" x14ac:dyDescent="0.35">
      <c r="A203" s="207">
        <v>9</v>
      </c>
      <c r="B203" s="216" t="s">
        <v>12</v>
      </c>
      <c r="C203" s="217" t="s">
        <v>319</v>
      </c>
      <c r="D203" s="217" t="s">
        <v>547</v>
      </c>
      <c r="E203" s="207">
        <v>2</v>
      </c>
      <c r="F203" s="218">
        <v>42516</v>
      </c>
      <c r="G203" s="220" t="s">
        <v>548</v>
      </c>
      <c r="H203" s="217">
        <v>6318770767</v>
      </c>
      <c r="I203" s="220" t="s">
        <v>549</v>
      </c>
      <c r="J203" s="218">
        <v>410535</v>
      </c>
      <c r="K203" s="219"/>
      <c r="L203" s="219"/>
      <c r="M203" s="219"/>
      <c r="N203" s="219" t="s">
        <v>537</v>
      </c>
      <c r="O203" s="216" t="s">
        <v>5</v>
      </c>
      <c r="P203" s="226">
        <v>45413</v>
      </c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</row>
    <row r="204" spans="1:47" ht="17.25" hidden="1" customHeight="1" x14ac:dyDescent="0.35">
      <c r="A204" s="185">
        <v>10</v>
      </c>
      <c r="B204" s="186" t="s">
        <v>12</v>
      </c>
      <c r="C204" s="255" t="s">
        <v>550</v>
      </c>
      <c r="D204" s="255" t="s">
        <v>551</v>
      </c>
      <c r="E204" s="256">
        <v>3</v>
      </c>
      <c r="F204" s="257">
        <v>42124</v>
      </c>
      <c r="G204" s="258" t="s">
        <v>552</v>
      </c>
      <c r="H204" s="255">
        <v>4085076346</v>
      </c>
      <c r="I204" s="258" t="s">
        <v>362</v>
      </c>
      <c r="J204" s="257">
        <v>45159</v>
      </c>
      <c r="K204" s="258"/>
      <c r="L204" s="258"/>
      <c r="M204" s="258"/>
      <c r="N204" s="258"/>
      <c r="O204" s="186" t="s">
        <v>5</v>
      </c>
      <c r="P204" s="259">
        <v>45413</v>
      </c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78"/>
      <c r="AI204" s="178"/>
      <c r="AJ204" s="178"/>
      <c r="AK204" s="178"/>
      <c r="AL204" s="178"/>
      <c r="AM204" s="178"/>
      <c r="AN204" s="178"/>
      <c r="AO204" s="178"/>
      <c r="AP204" s="178"/>
      <c r="AQ204" s="178"/>
      <c r="AR204" s="178"/>
      <c r="AS204" s="178"/>
      <c r="AT204" s="178"/>
      <c r="AU204" s="178"/>
    </row>
    <row r="205" spans="1:47" ht="17.25" hidden="1" customHeight="1" x14ac:dyDescent="0.35">
      <c r="A205" s="185">
        <v>11</v>
      </c>
      <c r="B205" s="186" t="s">
        <v>12</v>
      </c>
      <c r="C205" s="255" t="s">
        <v>550</v>
      </c>
      <c r="D205" s="255" t="s">
        <v>553</v>
      </c>
      <c r="E205" s="256">
        <v>3</v>
      </c>
      <c r="F205" s="257">
        <v>42124</v>
      </c>
      <c r="G205" s="258" t="s">
        <v>552</v>
      </c>
      <c r="H205" s="255">
        <v>4085076346</v>
      </c>
      <c r="I205" s="258" t="s">
        <v>362</v>
      </c>
      <c r="J205" s="257">
        <v>45159</v>
      </c>
      <c r="K205" s="258"/>
      <c r="L205" s="258"/>
      <c r="M205" s="258"/>
      <c r="N205" s="258"/>
      <c r="O205" s="186" t="s">
        <v>5</v>
      </c>
      <c r="P205" s="259">
        <v>45413</v>
      </c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8"/>
    </row>
    <row r="206" spans="1:47" ht="17.25" hidden="1" customHeight="1" x14ac:dyDescent="0.35">
      <c r="A206" s="207">
        <v>12</v>
      </c>
      <c r="B206" s="216" t="s">
        <v>14</v>
      </c>
      <c r="C206" s="217" t="s">
        <v>554</v>
      </c>
      <c r="D206" s="217" t="s">
        <v>296</v>
      </c>
      <c r="E206" s="207" t="s">
        <v>260</v>
      </c>
      <c r="F206" s="218">
        <v>42940</v>
      </c>
      <c r="G206" s="220" t="s">
        <v>555</v>
      </c>
      <c r="H206" s="217">
        <v>5105090555</v>
      </c>
      <c r="I206" s="220" t="s">
        <v>556</v>
      </c>
      <c r="J206" s="218">
        <v>44723</v>
      </c>
      <c r="K206" s="220"/>
      <c r="L206" s="220"/>
      <c r="M206" s="220"/>
      <c r="N206" s="220" t="s">
        <v>557</v>
      </c>
      <c r="O206" s="216" t="s">
        <v>5</v>
      </c>
      <c r="P206" s="226">
        <v>45413</v>
      </c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</row>
    <row r="207" spans="1:47" ht="17.25" hidden="1" customHeight="1" x14ac:dyDescent="0.35">
      <c r="A207" s="207">
        <v>13</v>
      </c>
      <c r="B207" s="216" t="s">
        <v>12</v>
      </c>
      <c r="C207" s="217" t="s">
        <v>554</v>
      </c>
      <c r="D207" s="217" t="s">
        <v>296</v>
      </c>
      <c r="E207" s="207" t="s">
        <v>260</v>
      </c>
      <c r="F207" s="218">
        <v>42940</v>
      </c>
      <c r="G207" s="220" t="s">
        <v>555</v>
      </c>
      <c r="H207" s="217">
        <v>5105090555</v>
      </c>
      <c r="I207" s="220" t="s">
        <v>556</v>
      </c>
      <c r="J207" s="218">
        <v>44723</v>
      </c>
      <c r="K207" s="220"/>
      <c r="L207" s="220"/>
      <c r="M207" s="220"/>
      <c r="N207" s="220" t="s">
        <v>557</v>
      </c>
      <c r="O207" s="216" t="s">
        <v>5</v>
      </c>
      <c r="P207" s="226">
        <v>45413</v>
      </c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</row>
    <row r="208" spans="1:47" ht="17.25" hidden="1" customHeight="1" x14ac:dyDescent="0.35">
      <c r="A208" s="207">
        <v>14</v>
      </c>
      <c r="B208" s="216" t="s">
        <v>14</v>
      </c>
      <c r="C208" s="217" t="s">
        <v>554</v>
      </c>
      <c r="D208" s="217" t="s">
        <v>558</v>
      </c>
      <c r="E208" s="207">
        <v>5</v>
      </c>
      <c r="F208" s="218">
        <v>40745</v>
      </c>
      <c r="G208" s="220" t="s">
        <v>559</v>
      </c>
      <c r="H208" s="217">
        <v>5105090555</v>
      </c>
      <c r="I208" s="220" t="s">
        <v>556</v>
      </c>
      <c r="J208" s="217" t="s">
        <v>560</v>
      </c>
      <c r="K208" s="220"/>
      <c r="L208" s="220"/>
      <c r="M208" s="220"/>
      <c r="N208" s="220" t="s">
        <v>557</v>
      </c>
      <c r="O208" s="216" t="s">
        <v>5</v>
      </c>
      <c r="P208" s="226">
        <v>45413</v>
      </c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</row>
    <row r="209" spans="1:47" ht="17.25" hidden="1" customHeight="1" x14ac:dyDescent="0.35">
      <c r="A209" s="207">
        <v>15</v>
      </c>
      <c r="B209" s="216" t="s">
        <v>12</v>
      </c>
      <c r="C209" s="217" t="s">
        <v>554</v>
      </c>
      <c r="D209" s="217" t="s">
        <v>558</v>
      </c>
      <c r="E209" s="207">
        <v>5</v>
      </c>
      <c r="F209" s="218">
        <v>40745</v>
      </c>
      <c r="G209" s="220" t="s">
        <v>559</v>
      </c>
      <c r="H209" s="217">
        <v>5105090555</v>
      </c>
      <c r="I209" s="220" t="s">
        <v>556</v>
      </c>
      <c r="J209" s="217" t="s">
        <v>560</v>
      </c>
      <c r="K209" s="220"/>
      <c r="L209" s="220"/>
      <c r="M209" s="220"/>
      <c r="N209" s="220" t="s">
        <v>557</v>
      </c>
      <c r="O209" s="216" t="s">
        <v>5</v>
      </c>
      <c r="P209" s="226">
        <v>45413</v>
      </c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</row>
    <row r="210" spans="1:47" ht="17.25" hidden="1" customHeight="1" x14ac:dyDescent="0.35">
      <c r="A210" s="195">
        <v>1</v>
      </c>
      <c r="B210" s="196" t="s">
        <v>14</v>
      </c>
      <c r="C210" s="203" t="s">
        <v>561</v>
      </c>
      <c r="D210" s="203" t="s">
        <v>562</v>
      </c>
      <c r="E210" s="195">
        <v>2</v>
      </c>
      <c r="F210" s="204">
        <v>42279</v>
      </c>
      <c r="G210" s="205" t="s">
        <v>563</v>
      </c>
      <c r="H210" s="203">
        <v>4256334423</v>
      </c>
      <c r="I210" s="205" t="s">
        <v>564</v>
      </c>
      <c r="J210" s="204">
        <v>45231</v>
      </c>
      <c r="K210" s="205"/>
      <c r="L210" s="205"/>
      <c r="M210" s="205"/>
      <c r="N210" s="205" t="s">
        <v>565</v>
      </c>
      <c r="O210" s="196" t="s">
        <v>5</v>
      </c>
      <c r="P210" s="201">
        <v>45444</v>
      </c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</row>
    <row r="211" spans="1:47" ht="17.25" hidden="1" customHeight="1" x14ac:dyDescent="0.35">
      <c r="A211" s="195">
        <v>2</v>
      </c>
      <c r="B211" s="196" t="s">
        <v>14</v>
      </c>
      <c r="C211" s="197" t="s">
        <v>499</v>
      </c>
      <c r="D211" s="197" t="s">
        <v>566</v>
      </c>
      <c r="E211" s="198">
        <v>2</v>
      </c>
      <c r="F211" s="199">
        <v>42301</v>
      </c>
      <c r="G211" s="200" t="s">
        <v>501</v>
      </c>
      <c r="H211" s="197">
        <v>6503358676</v>
      </c>
      <c r="I211" s="200" t="s">
        <v>502</v>
      </c>
      <c r="J211" s="199">
        <v>45159</v>
      </c>
      <c r="K211" s="200"/>
      <c r="L211" s="200"/>
      <c r="M211" s="200"/>
      <c r="N211" s="200"/>
      <c r="O211" s="196" t="s">
        <v>5</v>
      </c>
      <c r="P211" s="201">
        <v>45444</v>
      </c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</row>
    <row r="212" spans="1:47" ht="17.25" hidden="1" customHeight="1" x14ac:dyDescent="0.35">
      <c r="A212" s="195">
        <v>3</v>
      </c>
      <c r="B212" s="196" t="s">
        <v>12</v>
      </c>
      <c r="C212" s="197" t="s">
        <v>499</v>
      </c>
      <c r="D212" s="197" t="s">
        <v>566</v>
      </c>
      <c r="E212" s="198">
        <v>2</v>
      </c>
      <c r="F212" s="199">
        <v>42301</v>
      </c>
      <c r="G212" s="200" t="s">
        <v>501</v>
      </c>
      <c r="H212" s="197">
        <v>6503358676</v>
      </c>
      <c r="I212" s="200" t="s">
        <v>502</v>
      </c>
      <c r="J212" s="199">
        <v>45159</v>
      </c>
      <c r="K212" s="200"/>
      <c r="L212" s="200"/>
      <c r="M212" s="200"/>
      <c r="N212" s="200"/>
      <c r="O212" s="196" t="s">
        <v>5</v>
      </c>
      <c r="P212" s="201">
        <v>45444</v>
      </c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</row>
    <row r="213" spans="1:47" ht="17.25" hidden="1" customHeight="1" x14ac:dyDescent="0.35">
      <c r="A213" s="185">
        <v>4</v>
      </c>
      <c r="B213" s="254" t="s">
        <v>14</v>
      </c>
      <c r="C213" s="255" t="s">
        <v>295</v>
      </c>
      <c r="D213" s="255" t="s">
        <v>296</v>
      </c>
      <c r="E213" s="256">
        <v>2</v>
      </c>
      <c r="F213" s="257">
        <v>42348</v>
      </c>
      <c r="G213" s="258" t="s">
        <v>297</v>
      </c>
      <c r="H213" s="255">
        <v>4157228574</v>
      </c>
      <c r="I213" s="258" t="s">
        <v>298</v>
      </c>
      <c r="J213" s="257">
        <v>45170</v>
      </c>
      <c r="K213" s="258"/>
      <c r="L213" s="258"/>
      <c r="M213" s="258"/>
      <c r="N213" s="258" t="s">
        <v>567</v>
      </c>
      <c r="O213" s="186" t="s">
        <v>5</v>
      </c>
      <c r="P213" s="190">
        <v>45444</v>
      </c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78"/>
      <c r="AI213" s="178"/>
      <c r="AJ213" s="178"/>
      <c r="AK213" s="178"/>
      <c r="AL213" s="178"/>
      <c r="AM213" s="178"/>
      <c r="AN213" s="178"/>
      <c r="AO213" s="178"/>
      <c r="AP213" s="178"/>
      <c r="AQ213" s="178"/>
      <c r="AR213" s="178"/>
      <c r="AS213" s="178"/>
      <c r="AT213" s="178"/>
      <c r="AU213" s="178"/>
    </row>
    <row r="214" spans="1:47" ht="17.25" hidden="1" customHeight="1" x14ac:dyDescent="0.35">
      <c r="A214" s="185">
        <v>5</v>
      </c>
      <c r="B214" s="254" t="s">
        <v>12</v>
      </c>
      <c r="C214" s="255" t="s">
        <v>295</v>
      </c>
      <c r="D214" s="255" t="s">
        <v>296</v>
      </c>
      <c r="E214" s="256">
        <v>2</v>
      </c>
      <c r="F214" s="257">
        <v>42348</v>
      </c>
      <c r="G214" s="258" t="s">
        <v>297</v>
      </c>
      <c r="H214" s="255">
        <v>4157228574</v>
      </c>
      <c r="I214" s="258" t="s">
        <v>298</v>
      </c>
      <c r="J214" s="257">
        <v>45170</v>
      </c>
      <c r="K214" s="258"/>
      <c r="L214" s="258"/>
      <c r="M214" s="258"/>
      <c r="N214" s="258" t="s">
        <v>567</v>
      </c>
      <c r="O214" s="186" t="s">
        <v>5</v>
      </c>
      <c r="P214" s="190">
        <v>45444</v>
      </c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78"/>
      <c r="AI214" s="178"/>
      <c r="AJ214" s="178"/>
      <c r="AK214" s="178"/>
      <c r="AL214" s="178"/>
      <c r="AM214" s="178"/>
      <c r="AN214" s="178"/>
      <c r="AO214" s="178"/>
      <c r="AP214" s="178"/>
      <c r="AQ214" s="178"/>
      <c r="AR214" s="178"/>
      <c r="AS214" s="178"/>
      <c r="AT214" s="178"/>
      <c r="AU214" s="178"/>
    </row>
    <row r="215" spans="1:47" ht="17.25" hidden="1" customHeight="1" x14ac:dyDescent="0.35">
      <c r="A215" s="195">
        <v>6</v>
      </c>
      <c r="B215" s="196" t="s">
        <v>14</v>
      </c>
      <c r="C215" s="197" t="s">
        <v>568</v>
      </c>
      <c r="D215" s="197" t="s">
        <v>296</v>
      </c>
      <c r="E215" s="198">
        <v>4</v>
      </c>
      <c r="F215" s="199">
        <v>41745</v>
      </c>
      <c r="G215" s="200" t="s">
        <v>569</v>
      </c>
      <c r="H215" s="197">
        <v>5102828122</v>
      </c>
      <c r="I215" s="200" t="s">
        <v>570</v>
      </c>
      <c r="J215" s="199">
        <v>45159</v>
      </c>
      <c r="K215" s="200"/>
      <c r="L215" s="200"/>
      <c r="M215" s="200"/>
      <c r="N215" s="200"/>
      <c r="O215" s="196" t="s">
        <v>5</v>
      </c>
      <c r="P215" s="201">
        <v>45444</v>
      </c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</row>
    <row r="216" spans="1:47" ht="17.25" hidden="1" customHeight="1" x14ac:dyDescent="0.35">
      <c r="A216" s="195">
        <v>7</v>
      </c>
      <c r="B216" s="196" t="s">
        <v>12</v>
      </c>
      <c r="C216" s="197" t="s">
        <v>568</v>
      </c>
      <c r="D216" s="197" t="s">
        <v>571</v>
      </c>
      <c r="E216" s="198">
        <v>4</v>
      </c>
      <c r="F216" s="199">
        <v>41745</v>
      </c>
      <c r="G216" s="200" t="s">
        <v>569</v>
      </c>
      <c r="H216" s="197">
        <v>5102828122</v>
      </c>
      <c r="I216" s="200" t="s">
        <v>570</v>
      </c>
      <c r="J216" s="199">
        <v>45159</v>
      </c>
      <c r="K216" s="200"/>
      <c r="L216" s="200"/>
      <c r="M216" s="200"/>
      <c r="N216" s="200"/>
      <c r="O216" s="196" t="s">
        <v>5</v>
      </c>
      <c r="P216" s="201">
        <v>45444</v>
      </c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</row>
    <row r="217" spans="1:47" ht="17.25" hidden="1" customHeight="1" x14ac:dyDescent="0.35">
      <c r="A217" s="185">
        <v>8</v>
      </c>
      <c r="B217" s="186" t="s">
        <v>14</v>
      </c>
      <c r="C217" s="187" t="s">
        <v>117</v>
      </c>
      <c r="D217" s="187" t="s">
        <v>118</v>
      </c>
      <c r="E217" s="185">
        <v>1</v>
      </c>
      <c r="F217" s="188">
        <v>41922</v>
      </c>
      <c r="G217" s="189" t="s">
        <v>572</v>
      </c>
      <c r="H217" s="187" t="s">
        <v>573</v>
      </c>
      <c r="I217" s="189" t="s">
        <v>121</v>
      </c>
      <c r="J217" s="188">
        <v>44795</v>
      </c>
      <c r="K217" s="189"/>
      <c r="L217" s="189"/>
      <c r="M217" s="189"/>
      <c r="N217" s="189" t="s">
        <v>574</v>
      </c>
      <c r="O217" s="186" t="s">
        <v>5</v>
      </c>
      <c r="P217" s="190">
        <v>45444</v>
      </c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</row>
    <row r="218" spans="1:47" ht="17.25" hidden="1" customHeight="1" x14ac:dyDescent="0.35">
      <c r="A218" s="185">
        <v>9</v>
      </c>
      <c r="B218" s="186" t="s">
        <v>12</v>
      </c>
      <c r="C218" s="187" t="s">
        <v>117</v>
      </c>
      <c r="D218" s="187" t="s">
        <v>118</v>
      </c>
      <c r="E218" s="185">
        <v>1</v>
      </c>
      <c r="F218" s="188">
        <v>41922</v>
      </c>
      <c r="G218" s="189" t="s">
        <v>572</v>
      </c>
      <c r="H218" s="187" t="s">
        <v>573</v>
      </c>
      <c r="I218" s="189" t="s">
        <v>121</v>
      </c>
      <c r="J218" s="188">
        <v>44795</v>
      </c>
      <c r="K218" s="189"/>
      <c r="L218" s="189"/>
      <c r="M218" s="189"/>
      <c r="N218" s="189" t="s">
        <v>574</v>
      </c>
      <c r="O218" s="186" t="s">
        <v>5</v>
      </c>
      <c r="P218" s="190">
        <v>45444</v>
      </c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  <c r="AQ218" s="178"/>
      <c r="AR218" s="178"/>
      <c r="AS218" s="178"/>
      <c r="AT218" s="178"/>
      <c r="AU218" s="178"/>
    </row>
    <row r="219" spans="1:47" ht="17.25" hidden="1" customHeight="1" x14ac:dyDescent="0.35">
      <c r="A219" s="195">
        <v>10</v>
      </c>
      <c r="B219" s="196" t="s">
        <v>12</v>
      </c>
      <c r="C219" s="197" t="s">
        <v>295</v>
      </c>
      <c r="D219" s="197" t="s">
        <v>575</v>
      </c>
      <c r="E219" s="198">
        <v>1</v>
      </c>
      <c r="F219" s="199">
        <v>42962</v>
      </c>
      <c r="G219" s="200" t="s">
        <v>576</v>
      </c>
      <c r="H219" s="197">
        <v>4087189860</v>
      </c>
      <c r="I219" s="200" t="s">
        <v>577</v>
      </c>
      <c r="J219" s="199">
        <v>45156</v>
      </c>
      <c r="K219" s="200"/>
      <c r="L219" s="200"/>
      <c r="M219" s="200"/>
      <c r="N219" s="200"/>
      <c r="O219" s="196" t="s">
        <v>5</v>
      </c>
      <c r="P219" s="201">
        <v>45444</v>
      </c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</row>
    <row r="220" spans="1:47" ht="17.25" hidden="1" customHeight="1" x14ac:dyDescent="0.35">
      <c r="A220" s="195">
        <v>11</v>
      </c>
      <c r="B220" s="196" t="s">
        <v>14</v>
      </c>
      <c r="C220" s="197" t="s">
        <v>578</v>
      </c>
      <c r="D220" s="197" t="s">
        <v>575</v>
      </c>
      <c r="E220" s="198">
        <v>1</v>
      </c>
      <c r="F220" s="199">
        <v>42962</v>
      </c>
      <c r="G220" s="200" t="s">
        <v>576</v>
      </c>
      <c r="H220" s="197">
        <v>4087189860</v>
      </c>
      <c r="I220" s="200" t="s">
        <v>577</v>
      </c>
      <c r="J220" s="199">
        <v>45156</v>
      </c>
      <c r="K220" s="200"/>
      <c r="L220" s="200"/>
      <c r="M220" s="200"/>
      <c r="N220" s="200"/>
      <c r="O220" s="196" t="s">
        <v>5</v>
      </c>
      <c r="P220" s="201">
        <v>45444</v>
      </c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</row>
    <row r="221" spans="1:47" ht="17.25" hidden="1" customHeight="1" x14ac:dyDescent="0.35">
      <c r="A221" s="195">
        <v>12</v>
      </c>
      <c r="B221" s="196" t="s">
        <v>14</v>
      </c>
      <c r="C221" s="197" t="s">
        <v>579</v>
      </c>
      <c r="D221" s="197" t="s">
        <v>575</v>
      </c>
      <c r="E221" s="198">
        <v>1</v>
      </c>
      <c r="F221" s="199">
        <v>44927</v>
      </c>
      <c r="G221" s="200" t="s">
        <v>580</v>
      </c>
      <c r="H221" s="197">
        <v>5108813622</v>
      </c>
      <c r="I221" s="200" t="s">
        <v>581</v>
      </c>
      <c r="J221" s="199">
        <v>45154</v>
      </c>
      <c r="K221" s="200"/>
      <c r="L221" s="200"/>
      <c r="M221" s="200"/>
      <c r="N221" s="200"/>
      <c r="O221" s="196" t="s">
        <v>5</v>
      </c>
      <c r="P221" s="201">
        <v>45444</v>
      </c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</row>
    <row r="222" spans="1:47" ht="17.25" hidden="1" customHeight="1" x14ac:dyDescent="0.35">
      <c r="A222" s="195">
        <v>13</v>
      </c>
      <c r="B222" s="196" t="s">
        <v>12</v>
      </c>
      <c r="C222" s="197" t="s">
        <v>579</v>
      </c>
      <c r="D222" s="197" t="s">
        <v>575</v>
      </c>
      <c r="E222" s="198">
        <v>1</v>
      </c>
      <c r="F222" s="199">
        <v>44927</v>
      </c>
      <c r="G222" s="200" t="s">
        <v>580</v>
      </c>
      <c r="H222" s="197">
        <v>5108813622</v>
      </c>
      <c r="I222" s="200" t="s">
        <v>581</v>
      </c>
      <c r="J222" s="199">
        <v>45154</v>
      </c>
      <c r="K222" s="200"/>
      <c r="L222" s="200"/>
      <c r="M222" s="200"/>
      <c r="N222" s="200"/>
      <c r="O222" s="196" t="s">
        <v>5</v>
      </c>
      <c r="P222" s="201">
        <v>45444</v>
      </c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</row>
    <row r="223" spans="1:47" ht="17.25" hidden="1" customHeight="1" x14ac:dyDescent="0.35">
      <c r="A223" s="195">
        <v>14</v>
      </c>
      <c r="B223" s="196" t="s">
        <v>14</v>
      </c>
      <c r="C223" s="197" t="s">
        <v>582</v>
      </c>
      <c r="D223" s="197" t="s">
        <v>583</v>
      </c>
      <c r="E223" s="198">
        <v>3</v>
      </c>
      <c r="F223" s="199">
        <v>42125</v>
      </c>
      <c r="G223" s="200" t="s">
        <v>584</v>
      </c>
      <c r="H223" s="197">
        <v>5105795250</v>
      </c>
      <c r="I223" s="200" t="s">
        <v>585</v>
      </c>
      <c r="J223" s="199">
        <v>45156</v>
      </c>
      <c r="K223" s="200"/>
      <c r="L223" s="200"/>
      <c r="M223" s="200"/>
      <c r="N223" s="200"/>
      <c r="O223" s="196" t="s">
        <v>5</v>
      </c>
      <c r="P223" s="201">
        <v>45444</v>
      </c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</row>
    <row r="224" spans="1:47" ht="17.25" hidden="1" customHeight="1" x14ac:dyDescent="0.35">
      <c r="A224" s="195">
        <v>15</v>
      </c>
      <c r="B224" s="196" t="s">
        <v>12</v>
      </c>
      <c r="C224" s="197" t="s">
        <v>582</v>
      </c>
      <c r="D224" s="197" t="s">
        <v>583</v>
      </c>
      <c r="E224" s="198">
        <v>3</v>
      </c>
      <c r="F224" s="199">
        <v>42125</v>
      </c>
      <c r="G224" s="200" t="s">
        <v>584</v>
      </c>
      <c r="H224" s="197">
        <v>5105795250</v>
      </c>
      <c r="I224" s="200" t="s">
        <v>585</v>
      </c>
      <c r="J224" s="199">
        <v>45156</v>
      </c>
      <c r="K224" s="200"/>
      <c r="L224" s="200"/>
      <c r="M224" s="200"/>
      <c r="N224" s="200"/>
      <c r="O224" s="196" t="s">
        <v>5</v>
      </c>
      <c r="P224" s="201">
        <v>45444</v>
      </c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</row>
    <row r="225" spans="1:47" ht="17.25" hidden="1" customHeight="1" x14ac:dyDescent="0.35">
      <c r="A225" s="195">
        <v>16</v>
      </c>
      <c r="B225" s="196" t="s">
        <v>14</v>
      </c>
      <c r="C225" s="203" t="s">
        <v>586</v>
      </c>
      <c r="D225" s="203" t="s">
        <v>587</v>
      </c>
      <c r="E225" s="195">
        <v>3</v>
      </c>
      <c r="F225" s="204">
        <v>42162</v>
      </c>
      <c r="G225" s="205" t="s">
        <v>588</v>
      </c>
      <c r="H225" s="203">
        <v>4087992378</v>
      </c>
      <c r="I225" s="205" t="s">
        <v>589</v>
      </c>
      <c r="J225" s="204">
        <v>45383</v>
      </c>
      <c r="K225" s="205"/>
      <c r="L225" s="205"/>
      <c r="M225" s="205"/>
      <c r="N225" s="205"/>
      <c r="O225" s="196" t="s">
        <v>5</v>
      </c>
      <c r="P225" s="201">
        <v>45444</v>
      </c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  <c r="AB225" s="202"/>
      <c r="AC225" s="202"/>
      <c r="AD225" s="202"/>
      <c r="AE225" s="202"/>
      <c r="AF225" s="202"/>
      <c r="AG225" s="202"/>
      <c r="AH225" s="202"/>
      <c r="AI225" s="202"/>
      <c r="AJ225" s="202"/>
      <c r="AK225" s="202"/>
      <c r="AL225" s="202"/>
      <c r="AM225" s="202"/>
      <c r="AN225" s="202"/>
      <c r="AO225" s="202"/>
      <c r="AP225" s="202"/>
      <c r="AQ225" s="202"/>
      <c r="AR225" s="202"/>
      <c r="AS225" s="202"/>
      <c r="AT225" s="202"/>
      <c r="AU225" s="202"/>
    </row>
    <row r="226" spans="1:47" ht="17.25" hidden="1" customHeight="1" x14ac:dyDescent="0.35">
      <c r="A226" s="195">
        <v>17</v>
      </c>
      <c r="B226" s="196" t="s">
        <v>12</v>
      </c>
      <c r="C226" s="203" t="s">
        <v>586</v>
      </c>
      <c r="D226" s="203" t="s">
        <v>587</v>
      </c>
      <c r="E226" s="195">
        <v>3</v>
      </c>
      <c r="F226" s="204">
        <v>42162</v>
      </c>
      <c r="G226" s="205" t="s">
        <v>588</v>
      </c>
      <c r="H226" s="203">
        <v>4087992378</v>
      </c>
      <c r="I226" s="205" t="s">
        <v>589</v>
      </c>
      <c r="J226" s="204">
        <v>45383</v>
      </c>
      <c r="K226" s="205"/>
      <c r="L226" s="205"/>
      <c r="M226" s="205"/>
      <c r="N226" s="205"/>
      <c r="O226" s="196" t="s">
        <v>5</v>
      </c>
      <c r="P226" s="201">
        <v>45444</v>
      </c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  <c r="AB226" s="202"/>
      <c r="AC226" s="202"/>
      <c r="AD226" s="202"/>
      <c r="AE226" s="202"/>
      <c r="AF226" s="202"/>
      <c r="AG226" s="202"/>
      <c r="AH226" s="202"/>
      <c r="AI226" s="202"/>
      <c r="AJ226" s="202"/>
      <c r="AK226" s="202"/>
      <c r="AL226" s="202"/>
      <c r="AM226" s="202"/>
      <c r="AN226" s="202"/>
      <c r="AO226" s="202"/>
      <c r="AP226" s="202"/>
      <c r="AQ226" s="202"/>
      <c r="AR226" s="202"/>
      <c r="AS226" s="202"/>
      <c r="AT226" s="202"/>
      <c r="AU226" s="202"/>
    </row>
    <row r="227" spans="1:47" ht="17.25" hidden="1" customHeight="1" x14ac:dyDescent="0.35">
      <c r="A227" s="195">
        <v>18</v>
      </c>
      <c r="B227" s="196" t="s">
        <v>14</v>
      </c>
      <c r="C227" s="197" t="s">
        <v>590</v>
      </c>
      <c r="D227" s="197" t="s">
        <v>591</v>
      </c>
      <c r="E227" s="198" t="s">
        <v>76</v>
      </c>
      <c r="F227" s="199">
        <v>43210</v>
      </c>
      <c r="G227" s="200" t="s">
        <v>592</v>
      </c>
      <c r="H227" s="197">
        <v>4089133406</v>
      </c>
      <c r="I227" s="200" t="s">
        <v>593</v>
      </c>
      <c r="J227" s="199">
        <v>45154</v>
      </c>
      <c r="K227" s="200"/>
      <c r="L227" s="200"/>
      <c r="M227" s="200"/>
      <c r="N227" s="200"/>
      <c r="O227" s="196" t="s">
        <v>5</v>
      </c>
      <c r="P227" s="201">
        <v>45444</v>
      </c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  <c r="AC227" s="202"/>
      <c r="AD227" s="202"/>
      <c r="AE227" s="202"/>
      <c r="AF227" s="202"/>
      <c r="AG227" s="202"/>
      <c r="AH227" s="202"/>
      <c r="AI227" s="202"/>
      <c r="AJ227" s="202"/>
      <c r="AK227" s="202"/>
      <c r="AL227" s="202"/>
      <c r="AM227" s="202"/>
      <c r="AN227" s="202"/>
      <c r="AO227" s="202"/>
      <c r="AP227" s="202"/>
      <c r="AQ227" s="202"/>
      <c r="AR227" s="202"/>
      <c r="AS227" s="202"/>
      <c r="AT227" s="202"/>
      <c r="AU227" s="202"/>
    </row>
    <row r="228" spans="1:47" ht="17.25" hidden="1" customHeight="1" x14ac:dyDescent="0.35">
      <c r="A228" s="195">
        <v>19</v>
      </c>
      <c r="B228" s="196" t="s">
        <v>12</v>
      </c>
      <c r="C228" s="197" t="s">
        <v>590</v>
      </c>
      <c r="D228" s="197" t="s">
        <v>591</v>
      </c>
      <c r="E228" s="198" t="s">
        <v>76</v>
      </c>
      <c r="F228" s="199">
        <v>43210</v>
      </c>
      <c r="G228" s="200" t="s">
        <v>592</v>
      </c>
      <c r="H228" s="197">
        <v>4089133406</v>
      </c>
      <c r="I228" s="200" t="s">
        <v>593</v>
      </c>
      <c r="J228" s="199">
        <v>45154</v>
      </c>
      <c r="K228" s="200"/>
      <c r="L228" s="200"/>
      <c r="M228" s="200"/>
      <c r="N228" s="200"/>
      <c r="O228" s="196" t="s">
        <v>5</v>
      </c>
      <c r="P228" s="201">
        <v>45444</v>
      </c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  <c r="AC228" s="202"/>
      <c r="AD228" s="202"/>
      <c r="AE228" s="202"/>
      <c r="AF228" s="202"/>
      <c r="AG228" s="202"/>
      <c r="AH228" s="202"/>
      <c r="AI228" s="202"/>
      <c r="AJ228" s="202"/>
      <c r="AK228" s="202"/>
      <c r="AL228" s="202"/>
      <c r="AM228" s="202"/>
      <c r="AN228" s="202"/>
      <c r="AO228" s="202"/>
      <c r="AP228" s="202"/>
      <c r="AQ228" s="202"/>
      <c r="AR228" s="202"/>
      <c r="AS228" s="202"/>
      <c r="AT228" s="202"/>
      <c r="AU228" s="202"/>
    </row>
    <row r="229" spans="1:47" ht="17.25" hidden="1" customHeight="1" x14ac:dyDescent="0.35">
      <c r="A229" s="195">
        <v>20</v>
      </c>
      <c r="B229" s="196" t="s">
        <v>14</v>
      </c>
      <c r="C229" s="197" t="s">
        <v>594</v>
      </c>
      <c r="D229" s="197" t="s">
        <v>595</v>
      </c>
      <c r="E229" s="198">
        <v>1</v>
      </c>
      <c r="F229" s="199">
        <v>42828</v>
      </c>
      <c r="G229" s="200" t="s">
        <v>596</v>
      </c>
      <c r="H229" s="197">
        <v>5109196544</v>
      </c>
      <c r="I229" s="200" t="s">
        <v>597</v>
      </c>
      <c r="J229" s="199">
        <v>45159</v>
      </c>
      <c r="K229" s="200"/>
      <c r="L229" s="200"/>
      <c r="M229" s="200"/>
      <c r="N229" s="200"/>
      <c r="O229" s="196" t="s">
        <v>5</v>
      </c>
      <c r="P229" s="201">
        <v>45444</v>
      </c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02"/>
      <c r="AC229" s="202"/>
      <c r="AD229" s="202"/>
      <c r="AE229" s="202"/>
      <c r="AF229" s="202"/>
      <c r="AG229" s="202"/>
      <c r="AH229" s="202"/>
      <c r="AI229" s="202"/>
      <c r="AJ229" s="202"/>
      <c r="AK229" s="202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2"/>
    </row>
    <row r="230" spans="1:47" ht="17.25" hidden="1" customHeight="1" x14ac:dyDescent="0.35">
      <c r="A230" s="195">
        <v>21</v>
      </c>
      <c r="B230" s="196" t="s">
        <v>12</v>
      </c>
      <c r="C230" s="197" t="s">
        <v>598</v>
      </c>
      <c r="D230" s="197" t="s">
        <v>595</v>
      </c>
      <c r="E230" s="198">
        <v>1</v>
      </c>
      <c r="F230" s="199">
        <v>42828</v>
      </c>
      <c r="G230" s="200" t="s">
        <v>596</v>
      </c>
      <c r="H230" s="197">
        <v>5109196544</v>
      </c>
      <c r="I230" s="200" t="s">
        <v>597</v>
      </c>
      <c r="J230" s="199">
        <v>45159</v>
      </c>
      <c r="K230" s="200"/>
      <c r="L230" s="200"/>
      <c r="M230" s="200"/>
      <c r="N230" s="200"/>
      <c r="O230" s="196" t="s">
        <v>5</v>
      </c>
      <c r="P230" s="201">
        <v>45444</v>
      </c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</row>
    <row r="231" spans="1:47" ht="17.25" hidden="1" customHeight="1" x14ac:dyDescent="0.35">
      <c r="A231" s="185">
        <v>22</v>
      </c>
      <c r="B231" s="186" t="s">
        <v>14</v>
      </c>
      <c r="C231" s="187" t="s">
        <v>550</v>
      </c>
      <c r="D231" s="187" t="s">
        <v>551</v>
      </c>
      <c r="E231" s="185">
        <v>3</v>
      </c>
      <c r="F231" s="188">
        <v>42124</v>
      </c>
      <c r="G231" s="189" t="s">
        <v>552</v>
      </c>
      <c r="H231" s="187">
        <v>4085076346</v>
      </c>
      <c r="I231" s="189" t="s">
        <v>362</v>
      </c>
      <c r="J231" s="188">
        <v>45293</v>
      </c>
      <c r="K231" s="258"/>
      <c r="L231" s="258"/>
      <c r="M231" s="258"/>
      <c r="N231" s="258" t="s">
        <v>574</v>
      </c>
      <c r="O231" s="186" t="s">
        <v>5</v>
      </c>
      <c r="P231" s="190">
        <v>45444</v>
      </c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</row>
    <row r="232" spans="1:47" ht="16.5" hidden="1" customHeight="1" x14ac:dyDescent="0.35">
      <c r="A232" s="195">
        <v>23</v>
      </c>
      <c r="B232" s="196" t="s">
        <v>14</v>
      </c>
      <c r="C232" s="197" t="s">
        <v>599</v>
      </c>
      <c r="D232" s="197" t="s">
        <v>600</v>
      </c>
      <c r="E232" s="198">
        <v>2</v>
      </c>
      <c r="F232" s="199">
        <v>42534</v>
      </c>
      <c r="G232" s="200" t="s">
        <v>601</v>
      </c>
      <c r="H232" s="197">
        <v>6188035803</v>
      </c>
      <c r="I232" s="200" t="s">
        <v>602</v>
      </c>
      <c r="J232" s="199">
        <v>45161</v>
      </c>
      <c r="K232" s="200"/>
      <c r="L232" s="200"/>
      <c r="M232" s="200"/>
      <c r="N232" s="200"/>
      <c r="O232" s="196" t="s">
        <v>5</v>
      </c>
      <c r="P232" s="201">
        <v>45444</v>
      </c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2"/>
      <c r="AC232" s="202"/>
      <c r="AD232" s="202"/>
      <c r="AE232" s="202"/>
      <c r="AF232" s="202"/>
      <c r="AG232" s="202"/>
      <c r="AH232" s="202"/>
      <c r="AI232" s="202"/>
      <c r="AJ232" s="202"/>
      <c r="AK232" s="202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2"/>
    </row>
    <row r="233" spans="1:47" ht="17.25" hidden="1" customHeight="1" x14ac:dyDescent="0.35">
      <c r="A233" s="195">
        <v>24</v>
      </c>
      <c r="B233" s="196" t="s">
        <v>12</v>
      </c>
      <c r="C233" s="197" t="s">
        <v>599</v>
      </c>
      <c r="D233" s="197" t="s">
        <v>600</v>
      </c>
      <c r="E233" s="198">
        <v>2</v>
      </c>
      <c r="F233" s="199">
        <v>42534</v>
      </c>
      <c r="G233" s="200" t="s">
        <v>601</v>
      </c>
      <c r="H233" s="197">
        <v>6188035803</v>
      </c>
      <c r="I233" s="200" t="s">
        <v>602</v>
      </c>
      <c r="J233" s="199">
        <v>45161</v>
      </c>
      <c r="K233" s="200"/>
      <c r="L233" s="200"/>
      <c r="M233" s="200"/>
      <c r="N233" s="200"/>
      <c r="O233" s="196" t="s">
        <v>5</v>
      </c>
      <c r="P233" s="201">
        <v>45444</v>
      </c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  <c r="AB233" s="202"/>
      <c r="AC233" s="202"/>
      <c r="AD233" s="202"/>
      <c r="AE233" s="202"/>
      <c r="AF233" s="202"/>
      <c r="AG233" s="202"/>
      <c r="AH233" s="202"/>
      <c r="AI233" s="202"/>
      <c r="AJ233" s="202"/>
      <c r="AK233" s="202"/>
      <c r="AL233" s="202"/>
      <c r="AM233" s="202"/>
      <c r="AN233" s="202"/>
      <c r="AO233" s="202"/>
      <c r="AP233" s="202"/>
      <c r="AQ233" s="202"/>
      <c r="AR233" s="202"/>
      <c r="AS233" s="202"/>
      <c r="AT233" s="202"/>
      <c r="AU233" s="202"/>
    </row>
    <row r="234" spans="1:47" ht="17.25" hidden="1" customHeight="1" x14ac:dyDescent="0.35">
      <c r="A234" s="195">
        <v>25</v>
      </c>
      <c r="B234" s="196" t="s">
        <v>12</v>
      </c>
      <c r="C234" s="203" t="s">
        <v>603</v>
      </c>
      <c r="D234" s="203" t="s">
        <v>604</v>
      </c>
      <c r="E234" s="195">
        <v>5</v>
      </c>
      <c r="F234" s="204">
        <v>41363</v>
      </c>
      <c r="G234" s="200" t="s">
        <v>605</v>
      </c>
      <c r="H234" s="200">
        <v>4082064921</v>
      </c>
      <c r="I234" s="200" t="s">
        <v>606</v>
      </c>
      <c r="J234" s="204">
        <v>45352</v>
      </c>
      <c r="K234" s="205"/>
      <c r="L234" s="205"/>
      <c r="M234" s="205"/>
      <c r="N234" s="205"/>
      <c r="O234" s="196" t="s">
        <v>5</v>
      </c>
      <c r="P234" s="201">
        <v>45444</v>
      </c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  <c r="AB234" s="202"/>
      <c r="AC234" s="202"/>
      <c r="AD234" s="202"/>
      <c r="AE234" s="202"/>
      <c r="AF234" s="202"/>
      <c r="AG234" s="202"/>
      <c r="AH234" s="202"/>
      <c r="AI234" s="202"/>
      <c r="AJ234" s="202"/>
      <c r="AK234" s="202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2"/>
    </row>
    <row r="235" spans="1:47" ht="17.25" hidden="1" customHeight="1" x14ac:dyDescent="0.35">
      <c r="A235" s="195">
        <v>26</v>
      </c>
      <c r="B235" s="196" t="s">
        <v>14</v>
      </c>
      <c r="C235" s="197" t="s">
        <v>607</v>
      </c>
      <c r="D235" s="197" t="s">
        <v>608</v>
      </c>
      <c r="E235" s="198">
        <v>1</v>
      </c>
      <c r="F235" s="199">
        <v>42820</v>
      </c>
      <c r="G235" s="200" t="s">
        <v>609</v>
      </c>
      <c r="H235" s="197">
        <v>6692526762</v>
      </c>
      <c r="I235" s="200" t="s">
        <v>610</v>
      </c>
      <c r="J235" s="199">
        <v>45159</v>
      </c>
      <c r="K235" s="200"/>
      <c r="L235" s="200"/>
      <c r="M235" s="200"/>
      <c r="N235" s="200"/>
      <c r="O235" s="196" t="s">
        <v>5</v>
      </c>
      <c r="P235" s="201">
        <v>45444</v>
      </c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  <c r="AB235" s="202"/>
      <c r="AC235" s="202"/>
      <c r="AD235" s="202"/>
      <c r="AE235" s="202"/>
      <c r="AF235" s="202"/>
      <c r="AG235" s="202"/>
      <c r="AH235" s="202"/>
      <c r="AI235" s="202"/>
      <c r="AJ235" s="202"/>
      <c r="AK235" s="202"/>
      <c r="AL235" s="202"/>
      <c r="AM235" s="202"/>
      <c r="AN235" s="202"/>
      <c r="AO235" s="202"/>
      <c r="AP235" s="202"/>
      <c r="AQ235" s="202"/>
      <c r="AR235" s="202"/>
      <c r="AS235" s="202"/>
      <c r="AT235" s="202"/>
      <c r="AU235" s="202"/>
    </row>
    <row r="236" spans="1:47" ht="17.25" hidden="1" customHeight="1" x14ac:dyDescent="0.35">
      <c r="A236" s="195">
        <v>27</v>
      </c>
      <c r="B236" s="196" t="s">
        <v>12</v>
      </c>
      <c r="C236" s="197" t="s">
        <v>607</v>
      </c>
      <c r="D236" s="197" t="s">
        <v>608</v>
      </c>
      <c r="E236" s="198">
        <v>1</v>
      </c>
      <c r="F236" s="199">
        <v>42820</v>
      </c>
      <c r="G236" s="200" t="s">
        <v>609</v>
      </c>
      <c r="H236" s="197">
        <v>6692526762</v>
      </c>
      <c r="I236" s="200" t="s">
        <v>610</v>
      </c>
      <c r="J236" s="199">
        <v>45159</v>
      </c>
      <c r="K236" s="200"/>
      <c r="L236" s="200"/>
      <c r="M236" s="200"/>
      <c r="N236" s="200"/>
      <c r="O236" s="196" t="s">
        <v>5</v>
      </c>
      <c r="P236" s="201">
        <v>45444</v>
      </c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  <c r="AB236" s="202"/>
      <c r="AC236" s="202"/>
      <c r="AD236" s="202"/>
      <c r="AE236" s="202"/>
      <c r="AF236" s="202"/>
      <c r="AG236" s="202"/>
      <c r="AH236" s="202"/>
      <c r="AI236" s="202"/>
      <c r="AJ236" s="202"/>
      <c r="AK236" s="202"/>
      <c r="AL236" s="202"/>
      <c r="AM236" s="202"/>
      <c r="AN236" s="202"/>
      <c r="AO236" s="202"/>
      <c r="AP236" s="202"/>
      <c r="AQ236" s="202"/>
      <c r="AR236" s="202"/>
      <c r="AS236" s="202"/>
      <c r="AT236" s="202"/>
      <c r="AU236" s="202"/>
    </row>
    <row r="237" spans="1:47" ht="17.25" hidden="1" customHeight="1" x14ac:dyDescent="0.35">
      <c r="A237" s="185">
        <v>28</v>
      </c>
      <c r="B237" s="186" t="s">
        <v>12</v>
      </c>
      <c r="C237" s="255" t="s">
        <v>345</v>
      </c>
      <c r="D237" s="255" t="s">
        <v>40</v>
      </c>
      <c r="E237" s="256">
        <v>1</v>
      </c>
      <c r="F237" s="257">
        <v>42822</v>
      </c>
      <c r="G237" s="258" t="s">
        <v>611</v>
      </c>
      <c r="H237" s="255">
        <v>4087591928</v>
      </c>
      <c r="I237" s="258" t="s">
        <v>348</v>
      </c>
      <c r="J237" s="257">
        <v>45246</v>
      </c>
      <c r="K237" s="258"/>
      <c r="L237" s="258"/>
      <c r="M237" s="258"/>
      <c r="N237" s="258" t="s">
        <v>612</v>
      </c>
      <c r="O237" s="186" t="s">
        <v>5</v>
      </c>
      <c r="P237" s="190">
        <v>45444</v>
      </c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</row>
    <row r="238" spans="1:47" ht="17.25" hidden="1" customHeight="1" x14ac:dyDescent="0.35">
      <c r="A238" s="195">
        <v>29</v>
      </c>
      <c r="B238" s="196" t="s">
        <v>14</v>
      </c>
      <c r="C238" s="203" t="s">
        <v>213</v>
      </c>
      <c r="D238" s="203" t="s">
        <v>219</v>
      </c>
      <c r="E238" s="195">
        <v>2</v>
      </c>
      <c r="F238" s="204">
        <v>42511</v>
      </c>
      <c r="G238" s="205" t="s">
        <v>613</v>
      </c>
      <c r="H238" s="203">
        <v>5103336666</v>
      </c>
      <c r="I238" s="205" t="s">
        <v>222</v>
      </c>
      <c r="J238" s="203" t="s">
        <v>614</v>
      </c>
      <c r="K238" s="205"/>
      <c r="L238" s="205"/>
      <c r="M238" s="205"/>
      <c r="N238" s="205" t="s">
        <v>574</v>
      </c>
      <c r="O238" s="196" t="s">
        <v>5</v>
      </c>
      <c r="P238" s="201">
        <v>45444</v>
      </c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  <c r="AB238" s="202"/>
      <c r="AC238" s="202"/>
      <c r="AD238" s="202"/>
      <c r="AE238" s="202"/>
      <c r="AF238" s="202"/>
      <c r="AG238" s="202"/>
      <c r="AH238" s="202"/>
      <c r="AI238" s="202"/>
      <c r="AJ238" s="202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2"/>
      <c r="AU238" s="202"/>
    </row>
    <row r="239" spans="1:47" ht="17.25" hidden="1" customHeight="1" x14ac:dyDescent="0.35">
      <c r="A239" s="195">
        <v>30</v>
      </c>
      <c r="B239" s="196" t="s">
        <v>14</v>
      </c>
      <c r="C239" s="203" t="s">
        <v>469</v>
      </c>
      <c r="D239" s="203" t="s">
        <v>470</v>
      </c>
      <c r="E239" s="195">
        <v>2</v>
      </c>
      <c r="F239" s="204">
        <v>42388</v>
      </c>
      <c r="G239" s="200" t="s">
        <v>615</v>
      </c>
      <c r="H239" s="200">
        <v>4087977701</v>
      </c>
      <c r="I239" s="200" t="s">
        <v>472</v>
      </c>
      <c r="J239" s="204">
        <v>45323</v>
      </c>
      <c r="K239" s="205"/>
      <c r="L239" s="205"/>
      <c r="M239" s="205"/>
      <c r="N239" s="205" t="s">
        <v>616</v>
      </c>
      <c r="O239" s="196" t="s">
        <v>5</v>
      </c>
      <c r="P239" s="201">
        <v>45444</v>
      </c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  <c r="AA239" s="202"/>
      <c r="AB239" s="202"/>
      <c r="AC239" s="202"/>
      <c r="AD239" s="202"/>
      <c r="AE239" s="202"/>
      <c r="AF239" s="202"/>
      <c r="AG239" s="202"/>
      <c r="AH239" s="202"/>
      <c r="AI239" s="202"/>
      <c r="AJ239" s="202"/>
      <c r="AK239" s="202"/>
      <c r="AL239" s="202"/>
      <c r="AM239" s="202"/>
      <c r="AN239" s="202"/>
      <c r="AO239" s="202"/>
      <c r="AP239" s="202"/>
      <c r="AQ239" s="202"/>
      <c r="AR239" s="202"/>
      <c r="AS239" s="202"/>
      <c r="AT239" s="202"/>
      <c r="AU239" s="202"/>
    </row>
    <row r="240" spans="1:47" ht="17.25" hidden="1" customHeight="1" x14ac:dyDescent="0.35">
      <c r="A240" s="195">
        <v>31</v>
      </c>
      <c r="B240" s="260" t="s">
        <v>14</v>
      </c>
      <c r="C240" s="197" t="s">
        <v>67</v>
      </c>
      <c r="D240" s="197" t="s">
        <v>617</v>
      </c>
      <c r="E240" s="198">
        <v>5</v>
      </c>
      <c r="F240" s="199">
        <v>41514</v>
      </c>
      <c r="G240" s="200" t="s">
        <v>618</v>
      </c>
      <c r="H240" s="197">
        <v>5107883613</v>
      </c>
      <c r="I240" s="200" t="s">
        <v>619</v>
      </c>
      <c r="J240" s="199">
        <v>45189</v>
      </c>
      <c r="K240" s="200"/>
      <c r="L240" s="200"/>
      <c r="M240" s="200"/>
      <c r="N240" s="200"/>
      <c r="O240" s="196" t="s">
        <v>5</v>
      </c>
      <c r="P240" s="201">
        <v>45444</v>
      </c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</row>
    <row r="241" spans="1:47" ht="17.25" hidden="1" customHeight="1" x14ac:dyDescent="0.35">
      <c r="A241" s="195">
        <v>32</v>
      </c>
      <c r="B241" s="260" t="s">
        <v>12</v>
      </c>
      <c r="C241" s="197" t="s">
        <v>67</v>
      </c>
      <c r="D241" s="197" t="s">
        <v>617</v>
      </c>
      <c r="E241" s="198">
        <v>5</v>
      </c>
      <c r="F241" s="199">
        <v>41514</v>
      </c>
      <c r="G241" s="200" t="s">
        <v>618</v>
      </c>
      <c r="H241" s="197">
        <v>5107883613</v>
      </c>
      <c r="I241" s="200" t="s">
        <v>619</v>
      </c>
      <c r="J241" s="199">
        <v>45189</v>
      </c>
      <c r="K241" s="200"/>
      <c r="L241" s="200"/>
      <c r="M241" s="200"/>
      <c r="N241" s="200"/>
      <c r="O241" s="196" t="s">
        <v>5</v>
      </c>
      <c r="P241" s="201">
        <v>45444</v>
      </c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  <c r="AA241" s="202"/>
      <c r="AB241" s="202"/>
      <c r="AC241" s="202"/>
      <c r="AD241" s="202"/>
      <c r="AE241" s="202"/>
      <c r="AF241" s="202"/>
      <c r="AG241" s="202"/>
      <c r="AH241" s="202"/>
      <c r="AI241" s="202"/>
      <c r="AJ241" s="202"/>
      <c r="AK241" s="202"/>
      <c r="AL241" s="202"/>
      <c r="AM241" s="202"/>
      <c r="AN241" s="202"/>
      <c r="AO241" s="202"/>
      <c r="AP241" s="202"/>
      <c r="AQ241" s="202"/>
      <c r="AR241" s="202"/>
      <c r="AS241" s="202"/>
      <c r="AT241" s="202"/>
      <c r="AU241" s="202"/>
    </row>
    <row r="242" spans="1:47" ht="17.25" hidden="1" customHeight="1" x14ac:dyDescent="0.35">
      <c r="A242" s="195">
        <v>33</v>
      </c>
      <c r="B242" s="196" t="s">
        <v>14</v>
      </c>
      <c r="C242" s="197" t="s">
        <v>620</v>
      </c>
      <c r="D242" s="197" t="s">
        <v>621</v>
      </c>
      <c r="E242" s="198">
        <v>4</v>
      </c>
      <c r="F242" s="199">
        <v>41619</v>
      </c>
      <c r="G242" s="200" t="s">
        <v>622</v>
      </c>
      <c r="H242" s="197">
        <v>6264658590</v>
      </c>
      <c r="I242" s="200" t="s">
        <v>623</v>
      </c>
      <c r="J242" s="199">
        <v>45154</v>
      </c>
      <c r="K242" s="200"/>
      <c r="L242" s="200"/>
      <c r="M242" s="200"/>
      <c r="N242" s="200"/>
      <c r="O242" s="196" t="s">
        <v>5</v>
      </c>
      <c r="P242" s="201">
        <v>45444</v>
      </c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  <c r="AB242" s="202"/>
      <c r="AC242" s="202"/>
      <c r="AD242" s="202"/>
      <c r="AE242" s="202"/>
      <c r="AF242" s="202"/>
      <c r="AG242" s="202"/>
      <c r="AH242" s="202"/>
      <c r="AI242" s="202"/>
      <c r="AJ242" s="202"/>
      <c r="AK242" s="202"/>
      <c r="AL242" s="202"/>
      <c r="AM242" s="202"/>
      <c r="AN242" s="202"/>
      <c r="AO242" s="202"/>
      <c r="AP242" s="202"/>
      <c r="AQ242" s="202"/>
      <c r="AR242" s="202"/>
      <c r="AS242" s="202"/>
      <c r="AT242" s="202"/>
      <c r="AU242" s="202"/>
    </row>
    <row r="243" spans="1:47" ht="17.25" hidden="1" customHeight="1" x14ac:dyDescent="0.35">
      <c r="A243" s="195">
        <v>34</v>
      </c>
      <c r="B243" s="196" t="s">
        <v>12</v>
      </c>
      <c r="C243" s="197" t="s">
        <v>620</v>
      </c>
      <c r="D243" s="197" t="s">
        <v>621</v>
      </c>
      <c r="E243" s="198">
        <v>4</v>
      </c>
      <c r="F243" s="199">
        <v>41619</v>
      </c>
      <c r="G243" s="200" t="s">
        <v>622</v>
      </c>
      <c r="H243" s="197">
        <v>6264658590</v>
      </c>
      <c r="I243" s="200" t="s">
        <v>623</v>
      </c>
      <c r="J243" s="199">
        <v>45154</v>
      </c>
      <c r="K243" s="200"/>
      <c r="L243" s="200"/>
      <c r="M243" s="200"/>
      <c r="N243" s="200"/>
      <c r="O243" s="196" t="s">
        <v>5</v>
      </c>
      <c r="P243" s="201">
        <v>45444</v>
      </c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  <c r="AB243" s="202"/>
      <c r="AC243" s="202"/>
      <c r="AD243" s="202"/>
      <c r="AE243" s="202"/>
      <c r="AF243" s="202"/>
      <c r="AG243" s="202"/>
      <c r="AH243" s="202"/>
      <c r="AI243" s="202"/>
      <c r="AJ243" s="202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2"/>
    </row>
    <row r="244" spans="1:47" ht="17.25" hidden="1" customHeight="1" x14ac:dyDescent="0.35">
      <c r="A244" s="185">
        <v>35</v>
      </c>
      <c r="B244" s="186" t="s">
        <v>14</v>
      </c>
      <c r="C244" s="255" t="s">
        <v>319</v>
      </c>
      <c r="D244" s="255" t="s">
        <v>337</v>
      </c>
      <c r="E244" s="256">
        <v>1</v>
      </c>
      <c r="F244" s="257">
        <v>42122</v>
      </c>
      <c r="G244" s="258" t="s">
        <v>624</v>
      </c>
      <c r="H244" s="255" t="s">
        <v>625</v>
      </c>
      <c r="I244" s="258" t="s">
        <v>626</v>
      </c>
      <c r="J244" s="257">
        <v>45154</v>
      </c>
      <c r="K244" s="258"/>
      <c r="L244" s="258"/>
      <c r="M244" s="258"/>
      <c r="N244" s="258" t="s">
        <v>574</v>
      </c>
      <c r="O244" s="186" t="s">
        <v>5</v>
      </c>
      <c r="P244" s="190">
        <v>45444</v>
      </c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</row>
    <row r="245" spans="1:47" ht="17.25" hidden="1" customHeight="1" x14ac:dyDescent="0.35">
      <c r="A245" s="185">
        <v>36</v>
      </c>
      <c r="B245" s="186" t="s">
        <v>12</v>
      </c>
      <c r="C245" s="255" t="s">
        <v>319</v>
      </c>
      <c r="D245" s="255" t="s">
        <v>337</v>
      </c>
      <c r="E245" s="256">
        <v>1</v>
      </c>
      <c r="F245" s="257">
        <v>42122</v>
      </c>
      <c r="G245" s="258" t="s">
        <v>624</v>
      </c>
      <c r="H245" s="255" t="s">
        <v>625</v>
      </c>
      <c r="I245" s="258" t="s">
        <v>626</v>
      </c>
      <c r="J245" s="257">
        <v>45154</v>
      </c>
      <c r="K245" s="258"/>
      <c r="L245" s="258"/>
      <c r="M245" s="258"/>
      <c r="N245" s="258" t="s">
        <v>574</v>
      </c>
      <c r="O245" s="186" t="s">
        <v>5</v>
      </c>
      <c r="P245" s="190">
        <v>45444</v>
      </c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</row>
    <row r="246" spans="1:47" ht="17.25" hidden="1" customHeight="1" x14ac:dyDescent="0.35">
      <c r="A246" s="195">
        <v>37</v>
      </c>
      <c r="B246" s="196" t="s">
        <v>14</v>
      </c>
      <c r="C246" s="197" t="s">
        <v>568</v>
      </c>
      <c r="D246" s="197" t="s">
        <v>289</v>
      </c>
      <c r="E246" s="198">
        <v>1</v>
      </c>
      <c r="F246" s="199">
        <v>42954</v>
      </c>
      <c r="G246" s="200" t="s">
        <v>627</v>
      </c>
      <c r="H246" s="197">
        <v>5105656975</v>
      </c>
      <c r="I246" s="200" t="s">
        <v>628</v>
      </c>
      <c r="J246" s="199">
        <v>45159</v>
      </c>
      <c r="K246" s="200"/>
      <c r="L246" s="200"/>
      <c r="M246" s="200"/>
      <c r="N246" s="200" t="s">
        <v>574</v>
      </c>
      <c r="O246" s="196" t="s">
        <v>5</v>
      </c>
      <c r="P246" s="201">
        <v>45444</v>
      </c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</row>
    <row r="247" spans="1:47" ht="17.25" hidden="1" customHeight="1" x14ac:dyDescent="0.35">
      <c r="A247" s="195">
        <v>38</v>
      </c>
      <c r="B247" s="196" t="s">
        <v>12</v>
      </c>
      <c r="C247" s="197" t="s">
        <v>568</v>
      </c>
      <c r="D247" s="197" t="s">
        <v>289</v>
      </c>
      <c r="E247" s="198">
        <v>1</v>
      </c>
      <c r="F247" s="199">
        <v>42954</v>
      </c>
      <c r="G247" s="200" t="s">
        <v>627</v>
      </c>
      <c r="H247" s="197">
        <v>5105656975</v>
      </c>
      <c r="I247" s="200" t="s">
        <v>628</v>
      </c>
      <c r="J247" s="199">
        <v>45159</v>
      </c>
      <c r="K247" s="200"/>
      <c r="L247" s="200"/>
      <c r="M247" s="200"/>
      <c r="N247" s="200" t="s">
        <v>574</v>
      </c>
      <c r="O247" s="196" t="s">
        <v>5</v>
      </c>
      <c r="P247" s="201">
        <v>45444</v>
      </c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  <c r="AB247" s="202"/>
      <c r="AC247" s="202"/>
      <c r="AD247" s="202"/>
      <c r="AE247" s="202"/>
      <c r="AF247" s="202"/>
      <c r="AG247" s="202"/>
      <c r="AH247" s="202"/>
      <c r="AI247" s="202"/>
      <c r="AJ247" s="202"/>
      <c r="AK247" s="202"/>
      <c r="AL247" s="202"/>
      <c r="AM247" s="202"/>
      <c r="AN247" s="202"/>
      <c r="AO247" s="202"/>
      <c r="AP247" s="202"/>
      <c r="AQ247" s="202"/>
      <c r="AR247" s="202"/>
      <c r="AS247" s="202"/>
      <c r="AT247" s="202"/>
      <c r="AU247" s="202"/>
    </row>
    <row r="248" spans="1:47" ht="17.25" hidden="1" customHeight="1" x14ac:dyDescent="0.35">
      <c r="A248" s="195">
        <v>39</v>
      </c>
      <c r="B248" s="196" t="s">
        <v>14</v>
      </c>
      <c r="C248" s="197" t="s">
        <v>590</v>
      </c>
      <c r="D248" s="197" t="s">
        <v>629</v>
      </c>
      <c r="E248" s="198">
        <v>1</v>
      </c>
      <c r="F248" s="199">
        <v>42810</v>
      </c>
      <c r="G248" s="200" t="s">
        <v>630</v>
      </c>
      <c r="H248" s="197">
        <v>5103742897</v>
      </c>
      <c r="I248" s="200" t="s">
        <v>631</v>
      </c>
      <c r="J248" s="199">
        <v>45154</v>
      </c>
      <c r="K248" s="200"/>
      <c r="L248" s="200"/>
      <c r="M248" s="200"/>
      <c r="N248" s="200"/>
      <c r="O248" s="196" t="s">
        <v>5</v>
      </c>
      <c r="P248" s="201">
        <v>45444</v>
      </c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  <c r="AB248" s="202"/>
      <c r="AC248" s="202"/>
      <c r="AD248" s="202"/>
      <c r="AE248" s="202"/>
      <c r="AF248" s="202"/>
      <c r="AG248" s="202"/>
      <c r="AH248" s="202"/>
      <c r="AI248" s="202"/>
      <c r="AJ248" s="202"/>
      <c r="AK248" s="202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2"/>
    </row>
    <row r="249" spans="1:47" ht="17.25" hidden="1" customHeight="1" x14ac:dyDescent="0.35">
      <c r="A249" s="195">
        <v>40</v>
      </c>
      <c r="B249" s="196" t="s">
        <v>12</v>
      </c>
      <c r="C249" s="203" t="s">
        <v>590</v>
      </c>
      <c r="D249" s="203" t="s">
        <v>629</v>
      </c>
      <c r="E249" s="195">
        <v>1</v>
      </c>
      <c r="F249" s="204">
        <v>42810</v>
      </c>
      <c r="G249" s="205" t="s">
        <v>630</v>
      </c>
      <c r="H249" s="203">
        <v>5103742897</v>
      </c>
      <c r="I249" s="205" t="s">
        <v>631</v>
      </c>
      <c r="J249" s="204">
        <v>45293</v>
      </c>
      <c r="K249" s="205"/>
      <c r="L249" s="205"/>
      <c r="M249" s="205"/>
      <c r="N249" s="205"/>
      <c r="O249" s="196" t="s">
        <v>5</v>
      </c>
      <c r="P249" s="201">
        <v>45444</v>
      </c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  <c r="AB249" s="202"/>
      <c r="AC249" s="202"/>
      <c r="AD249" s="202"/>
      <c r="AE249" s="202"/>
      <c r="AF249" s="202"/>
      <c r="AG249" s="202"/>
      <c r="AH249" s="202"/>
      <c r="AI249" s="202"/>
      <c r="AJ249" s="202"/>
      <c r="AK249" s="202"/>
      <c r="AL249" s="202"/>
      <c r="AM249" s="202"/>
      <c r="AN249" s="202"/>
      <c r="AO249" s="202"/>
      <c r="AP249" s="202"/>
      <c r="AQ249" s="202"/>
      <c r="AR249" s="202"/>
      <c r="AS249" s="202"/>
      <c r="AT249" s="202"/>
      <c r="AU249" s="202"/>
    </row>
    <row r="250" spans="1:47" ht="17.25" hidden="1" customHeight="1" x14ac:dyDescent="0.35">
      <c r="A250" s="195">
        <v>41</v>
      </c>
      <c r="B250" s="196" t="s">
        <v>12</v>
      </c>
      <c r="C250" s="197" t="s">
        <v>632</v>
      </c>
      <c r="D250" s="197" t="s">
        <v>633</v>
      </c>
      <c r="E250" s="198">
        <v>7</v>
      </c>
      <c r="F250" s="199">
        <v>40748</v>
      </c>
      <c r="G250" s="200" t="s">
        <v>634</v>
      </c>
      <c r="H250" s="197" t="s">
        <v>635</v>
      </c>
      <c r="I250" s="200" t="s">
        <v>636</v>
      </c>
      <c r="J250" s="199">
        <v>45154</v>
      </c>
      <c r="K250" s="200"/>
      <c r="L250" s="200"/>
      <c r="M250" s="200"/>
      <c r="N250" s="200"/>
      <c r="O250" s="196" t="s">
        <v>5</v>
      </c>
      <c r="P250" s="201">
        <v>45444</v>
      </c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  <c r="AB250" s="202"/>
      <c r="AC250" s="202"/>
      <c r="AD250" s="202"/>
      <c r="AE250" s="202"/>
      <c r="AF250" s="202"/>
      <c r="AG250" s="202"/>
      <c r="AH250" s="202"/>
      <c r="AI250" s="202"/>
      <c r="AJ250" s="202"/>
      <c r="AK250" s="202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2"/>
    </row>
    <row r="251" spans="1:47" ht="17.25" hidden="1" customHeight="1" x14ac:dyDescent="0.35">
      <c r="A251" s="195">
        <v>42</v>
      </c>
      <c r="B251" s="196" t="s">
        <v>14</v>
      </c>
      <c r="C251" s="197" t="s">
        <v>632</v>
      </c>
      <c r="D251" s="197" t="s">
        <v>637</v>
      </c>
      <c r="E251" s="198">
        <v>7</v>
      </c>
      <c r="F251" s="199">
        <v>40748</v>
      </c>
      <c r="G251" s="200" t="s">
        <v>634</v>
      </c>
      <c r="H251" s="197" t="s">
        <v>635</v>
      </c>
      <c r="I251" s="200" t="s">
        <v>636</v>
      </c>
      <c r="J251" s="199">
        <v>45154</v>
      </c>
      <c r="K251" s="200"/>
      <c r="L251" s="200"/>
      <c r="M251" s="200"/>
      <c r="N251" s="200"/>
      <c r="O251" s="196" t="s">
        <v>5</v>
      </c>
      <c r="P251" s="201">
        <v>45444</v>
      </c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  <c r="AB251" s="202"/>
      <c r="AC251" s="202"/>
      <c r="AD251" s="202"/>
      <c r="AE251" s="202"/>
      <c r="AF251" s="202"/>
      <c r="AG251" s="202"/>
      <c r="AH251" s="202"/>
      <c r="AI251" s="202"/>
      <c r="AJ251" s="202"/>
      <c r="AK251" s="202"/>
      <c r="AL251" s="202"/>
      <c r="AM251" s="202"/>
      <c r="AN251" s="202"/>
      <c r="AO251" s="202"/>
      <c r="AP251" s="202"/>
      <c r="AQ251" s="202"/>
      <c r="AR251" s="202"/>
      <c r="AS251" s="202"/>
      <c r="AT251" s="202"/>
      <c r="AU251" s="202"/>
    </row>
    <row r="252" spans="1:47" ht="17.25" hidden="1" customHeight="1" x14ac:dyDescent="0.35">
      <c r="A252" s="195">
        <v>43</v>
      </c>
      <c r="B252" s="196" t="s">
        <v>14</v>
      </c>
      <c r="C252" s="197" t="s">
        <v>620</v>
      </c>
      <c r="D252" s="197" t="s">
        <v>638</v>
      </c>
      <c r="E252" s="198">
        <v>7</v>
      </c>
      <c r="F252" s="199">
        <v>40732</v>
      </c>
      <c r="G252" s="200" t="s">
        <v>622</v>
      </c>
      <c r="H252" s="203">
        <v>6264658590</v>
      </c>
      <c r="I252" s="200" t="s">
        <v>623</v>
      </c>
      <c r="J252" s="199">
        <v>45154</v>
      </c>
      <c r="K252" s="200"/>
      <c r="L252" s="200"/>
      <c r="M252" s="200"/>
      <c r="N252" s="200"/>
      <c r="O252" s="196" t="s">
        <v>5</v>
      </c>
      <c r="P252" s="201">
        <v>45444</v>
      </c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  <c r="AA252" s="202"/>
      <c r="AB252" s="202"/>
      <c r="AC252" s="202"/>
      <c r="AD252" s="202"/>
      <c r="AE252" s="202"/>
      <c r="AF252" s="202"/>
      <c r="AG252" s="202"/>
      <c r="AH252" s="202"/>
      <c r="AI252" s="202"/>
      <c r="AJ252" s="202"/>
      <c r="AK252" s="202"/>
      <c r="AL252" s="202"/>
      <c r="AM252" s="202"/>
      <c r="AN252" s="202"/>
      <c r="AO252" s="202"/>
      <c r="AP252" s="202"/>
      <c r="AQ252" s="202"/>
      <c r="AR252" s="202"/>
      <c r="AS252" s="202"/>
      <c r="AT252" s="202"/>
      <c r="AU252" s="202"/>
    </row>
    <row r="253" spans="1:47" ht="17.25" hidden="1" customHeight="1" x14ac:dyDescent="0.35">
      <c r="A253" s="195">
        <v>44</v>
      </c>
      <c r="B253" s="196" t="s">
        <v>12</v>
      </c>
      <c r="C253" s="197" t="s">
        <v>620</v>
      </c>
      <c r="D253" s="197" t="s">
        <v>638</v>
      </c>
      <c r="E253" s="198">
        <v>7</v>
      </c>
      <c r="F253" s="199">
        <v>40732</v>
      </c>
      <c r="G253" s="200" t="s">
        <v>622</v>
      </c>
      <c r="H253" s="203">
        <v>6264658590</v>
      </c>
      <c r="I253" s="200" t="s">
        <v>623</v>
      </c>
      <c r="J253" s="199">
        <v>45154</v>
      </c>
      <c r="K253" s="200"/>
      <c r="L253" s="200"/>
      <c r="M253" s="200"/>
      <c r="N253" s="200"/>
      <c r="O253" s="196" t="s">
        <v>5</v>
      </c>
      <c r="P253" s="201">
        <v>45444</v>
      </c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  <c r="AB253" s="202"/>
      <c r="AC253" s="202"/>
      <c r="AD253" s="202"/>
      <c r="AE253" s="202"/>
      <c r="AF253" s="202"/>
      <c r="AG253" s="202"/>
      <c r="AH253" s="202"/>
      <c r="AI253" s="202"/>
      <c r="AJ253" s="202"/>
      <c r="AK253" s="202"/>
      <c r="AL253" s="202"/>
      <c r="AM253" s="202"/>
      <c r="AN253" s="202"/>
      <c r="AO253" s="202"/>
      <c r="AP253" s="202"/>
      <c r="AQ253" s="202"/>
      <c r="AR253" s="202"/>
      <c r="AS253" s="202"/>
      <c r="AT253" s="202"/>
      <c r="AU253" s="202"/>
    </row>
    <row r="254" spans="1:47" ht="17.25" hidden="1" customHeight="1" x14ac:dyDescent="0.35">
      <c r="A254" s="185">
        <v>45</v>
      </c>
      <c r="B254" s="186" t="s">
        <v>14</v>
      </c>
      <c r="C254" s="255" t="s">
        <v>474</v>
      </c>
      <c r="D254" s="255" t="s">
        <v>351</v>
      </c>
      <c r="E254" s="256">
        <v>1</v>
      </c>
      <c r="F254" s="257">
        <v>42947</v>
      </c>
      <c r="G254" s="258" t="s">
        <v>475</v>
      </c>
      <c r="H254" s="255">
        <v>4085108805</v>
      </c>
      <c r="I254" s="258" t="s">
        <v>354</v>
      </c>
      <c r="J254" s="257">
        <v>45160</v>
      </c>
      <c r="K254" s="258"/>
      <c r="L254" s="258"/>
      <c r="M254" s="258"/>
      <c r="N254" s="258" t="s">
        <v>574</v>
      </c>
      <c r="O254" s="186" t="s">
        <v>5</v>
      </c>
      <c r="P254" s="190">
        <v>45444</v>
      </c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  <c r="AR254" s="178"/>
      <c r="AS254" s="178"/>
      <c r="AT254" s="178"/>
      <c r="AU254" s="178"/>
    </row>
    <row r="255" spans="1:47" ht="17.25" hidden="1" customHeight="1" x14ac:dyDescent="0.35">
      <c r="A255" s="185">
        <v>46</v>
      </c>
      <c r="B255" s="186" t="s">
        <v>12</v>
      </c>
      <c r="C255" s="255" t="s">
        <v>474</v>
      </c>
      <c r="D255" s="255" t="s">
        <v>351</v>
      </c>
      <c r="E255" s="256">
        <v>1</v>
      </c>
      <c r="F255" s="257">
        <v>42947</v>
      </c>
      <c r="G255" s="258" t="s">
        <v>475</v>
      </c>
      <c r="H255" s="255">
        <v>4085108805</v>
      </c>
      <c r="I255" s="258" t="s">
        <v>354</v>
      </c>
      <c r="J255" s="257">
        <v>45383</v>
      </c>
      <c r="K255" s="258"/>
      <c r="L255" s="258"/>
      <c r="M255" s="258"/>
      <c r="N255" s="258" t="s">
        <v>574</v>
      </c>
      <c r="O255" s="186" t="s">
        <v>5</v>
      </c>
      <c r="P255" s="190">
        <v>45444</v>
      </c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178"/>
      <c r="AK255" s="178"/>
      <c r="AL255" s="178"/>
      <c r="AM255" s="178"/>
      <c r="AN255" s="178"/>
      <c r="AO255" s="178"/>
      <c r="AP255" s="178"/>
      <c r="AQ255" s="178"/>
      <c r="AR255" s="178"/>
      <c r="AS255" s="178"/>
      <c r="AT255" s="178"/>
      <c r="AU255" s="178"/>
    </row>
    <row r="256" spans="1:47" ht="17.25" hidden="1" customHeight="1" x14ac:dyDescent="0.35">
      <c r="A256" s="195">
        <v>47</v>
      </c>
      <c r="B256" s="196" t="s">
        <v>14</v>
      </c>
      <c r="C256" s="203" t="s">
        <v>319</v>
      </c>
      <c r="D256" s="203" t="s">
        <v>639</v>
      </c>
      <c r="E256" s="195" t="s">
        <v>76</v>
      </c>
      <c r="F256" s="204">
        <v>42902</v>
      </c>
      <c r="G256" s="205" t="s">
        <v>640</v>
      </c>
      <c r="H256" s="203">
        <v>4352252200</v>
      </c>
      <c r="I256" s="205" t="s">
        <v>641</v>
      </c>
      <c r="J256" s="204">
        <v>44835</v>
      </c>
      <c r="K256" s="200"/>
      <c r="L256" s="200"/>
      <c r="M256" s="200"/>
      <c r="N256" s="200" t="s">
        <v>574</v>
      </c>
      <c r="O256" s="196" t="s">
        <v>5</v>
      </c>
      <c r="P256" s="201">
        <v>45444</v>
      </c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2"/>
      <c r="AC256" s="202"/>
      <c r="AD256" s="202"/>
      <c r="AE256" s="202"/>
      <c r="AF256" s="202"/>
      <c r="AG256" s="202"/>
      <c r="AH256" s="202"/>
      <c r="AI256" s="202"/>
      <c r="AJ256" s="202"/>
      <c r="AK256" s="202"/>
      <c r="AL256" s="202"/>
      <c r="AM256" s="202"/>
      <c r="AN256" s="202"/>
      <c r="AO256" s="202"/>
      <c r="AP256" s="202"/>
      <c r="AQ256" s="202"/>
      <c r="AR256" s="202"/>
      <c r="AS256" s="202"/>
      <c r="AT256" s="202"/>
      <c r="AU256" s="202"/>
    </row>
    <row r="257" spans="1:47" ht="17.25" hidden="1" customHeight="1" x14ac:dyDescent="0.35">
      <c r="A257" s="195">
        <v>48</v>
      </c>
      <c r="B257" s="196" t="s">
        <v>12</v>
      </c>
      <c r="C257" s="203" t="s">
        <v>319</v>
      </c>
      <c r="D257" s="203" t="s">
        <v>639</v>
      </c>
      <c r="E257" s="195" t="s">
        <v>76</v>
      </c>
      <c r="F257" s="204">
        <v>42902</v>
      </c>
      <c r="G257" s="205" t="s">
        <v>640</v>
      </c>
      <c r="H257" s="203">
        <v>4352252200</v>
      </c>
      <c r="I257" s="205" t="s">
        <v>641</v>
      </c>
      <c r="J257" s="204">
        <v>45078</v>
      </c>
      <c r="K257" s="200"/>
      <c r="L257" s="200"/>
      <c r="M257" s="200"/>
      <c r="N257" s="200" t="s">
        <v>574</v>
      </c>
      <c r="O257" s="196" t="s">
        <v>5</v>
      </c>
      <c r="P257" s="201">
        <v>45444</v>
      </c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2"/>
      <c r="AC257" s="202"/>
      <c r="AD257" s="202"/>
      <c r="AE257" s="202"/>
      <c r="AF257" s="202"/>
      <c r="AG257" s="202"/>
      <c r="AH257" s="202"/>
      <c r="AI257" s="202"/>
      <c r="AJ257" s="202"/>
      <c r="AK257" s="202"/>
      <c r="AL257" s="202"/>
      <c r="AM257" s="202"/>
      <c r="AN257" s="202"/>
      <c r="AO257" s="202"/>
      <c r="AP257" s="202"/>
      <c r="AQ257" s="202"/>
      <c r="AR257" s="202"/>
      <c r="AS257" s="202"/>
      <c r="AT257" s="202"/>
      <c r="AU257" s="202"/>
    </row>
    <row r="258" spans="1:47" ht="17.25" hidden="1" customHeight="1" x14ac:dyDescent="0.35">
      <c r="A258" s="195">
        <v>49</v>
      </c>
      <c r="B258" s="196" t="s">
        <v>14</v>
      </c>
      <c r="C258" s="203" t="s">
        <v>195</v>
      </c>
      <c r="D258" s="203" t="s">
        <v>642</v>
      </c>
      <c r="E258" s="195">
        <v>4</v>
      </c>
      <c r="F258" s="204">
        <v>40736</v>
      </c>
      <c r="G258" s="205" t="s">
        <v>643</v>
      </c>
      <c r="H258" s="203">
        <v>4083321491</v>
      </c>
      <c r="I258" s="205" t="s">
        <v>644</v>
      </c>
      <c r="J258" s="204">
        <v>44004</v>
      </c>
      <c r="K258" s="205"/>
      <c r="L258" s="205"/>
      <c r="M258" s="205"/>
      <c r="N258" s="205"/>
      <c r="O258" s="196" t="s">
        <v>5</v>
      </c>
      <c r="P258" s="201">
        <v>45444</v>
      </c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2"/>
      <c r="AC258" s="202"/>
      <c r="AD258" s="202"/>
      <c r="AE258" s="202"/>
      <c r="AF258" s="202"/>
      <c r="AG258" s="202"/>
      <c r="AH258" s="202"/>
      <c r="AI258" s="202"/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2"/>
      <c r="AU258" s="202"/>
    </row>
    <row r="259" spans="1:47" ht="17.25" hidden="1" customHeight="1" x14ac:dyDescent="0.35">
      <c r="A259" s="195">
        <v>50</v>
      </c>
      <c r="B259" s="196" t="s">
        <v>12</v>
      </c>
      <c r="C259" s="203" t="s">
        <v>195</v>
      </c>
      <c r="D259" s="203" t="s">
        <v>642</v>
      </c>
      <c r="E259" s="195">
        <v>4</v>
      </c>
      <c r="F259" s="204">
        <v>40736</v>
      </c>
      <c r="G259" s="205" t="s">
        <v>643</v>
      </c>
      <c r="H259" s="203">
        <v>4083321491</v>
      </c>
      <c r="I259" s="205" t="s">
        <v>644</v>
      </c>
      <c r="J259" s="204">
        <v>44004</v>
      </c>
      <c r="K259" s="205"/>
      <c r="L259" s="205"/>
      <c r="M259" s="205"/>
      <c r="N259" s="205"/>
      <c r="O259" s="196" t="s">
        <v>5</v>
      </c>
      <c r="P259" s="201">
        <v>45444</v>
      </c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2"/>
      <c r="AC259" s="202"/>
      <c r="AD259" s="202"/>
      <c r="AE259" s="202"/>
      <c r="AF259" s="202"/>
      <c r="AG259" s="202"/>
      <c r="AH259" s="202"/>
      <c r="AI259" s="202"/>
      <c r="AJ259" s="202"/>
      <c r="AK259" s="202"/>
      <c r="AL259" s="202"/>
      <c r="AM259" s="202"/>
      <c r="AN259" s="202"/>
      <c r="AO259" s="202"/>
      <c r="AP259" s="202"/>
      <c r="AQ259" s="202"/>
      <c r="AR259" s="202"/>
      <c r="AS259" s="202"/>
      <c r="AT259" s="202"/>
      <c r="AU259" s="202"/>
    </row>
    <row r="260" spans="1:47" ht="17.25" hidden="1" customHeight="1" x14ac:dyDescent="0.35">
      <c r="A260" s="195">
        <v>51</v>
      </c>
      <c r="B260" s="260" t="s">
        <v>14</v>
      </c>
      <c r="C260" s="197" t="s">
        <v>167</v>
      </c>
      <c r="D260" s="197" t="s">
        <v>168</v>
      </c>
      <c r="E260" s="198">
        <v>2</v>
      </c>
      <c r="F260" s="199">
        <v>42342</v>
      </c>
      <c r="G260" s="200" t="s">
        <v>645</v>
      </c>
      <c r="H260" s="197">
        <v>4084214334</v>
      </c>
      <c r="I260" s="200" t="s">
        <v>170</v>
      </c>
      <c r="J260" s="199">
        <v>45170</v>
      </c>
      <c r="K260" s="200"/>
      <c r="L260" s="200"/>
      <c r="M260" s="200"/>
      <c r="N260" s="200" t="s">
        <v>646</v>
      </c>
      <c r="O260" s="196" t="s">
        <v>5</v>
      </c>
      <c r="P260" s="201">
        <v>45444</v>
      </c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2"/>
      <c r="AC260" s="202"/>
      <c r="AD260" s="202"/>
      <c r="AE260" s="202"/>
      <c r="AF260" s="202"/>
      <c r="AG260" s="202"/>
      <c r="AH260" s="202"/>
      <c r="AI260" s="202"/>
      <c r="AJ260" s="202"/>
      <c r="AK260" s="202"/>
      <c r="AL260" s="202"/>
      <c r="AM260" s="202"/>
      <c r="AN260" s="202"/>
      <c r="AO260" s="202"/>
      <c r="AP260" s="202"/>
      <c r="AQ260" s="202"/>
      <c r="AR260" s="202"/>
      <c r="AS260" s="202"/>
      <c r="AT260" s="202"/>
      <c r="AU260" s="202"/>
    </row>
    <row r="261" spans="1:47" ht="17.25" hidden="1" customHeight="1" x14ac:dyDescent="0.35">
      <c r="A261" s="195">
        <v>52</v>
      </c>
      <c r="B261" s="260" t="s">
        <v>12</v>
      </c>
      <c r="C261" s="197" t="s">
        <v>167</v>
      </c>
      <c r="D261" s="197" t="s">
        <v>168</v>
      </c>
      <c r="E261" s="198">
        <v>2</v>
      </c>
      <c r="F261" s="199">
        <v>42342</v>
      </c>
      <c r="G261" s="200" t="s">
        <v>645</v>
      </c>
      <c r="H261" s="197">
        <v>4084214334</v>
      </c>
      <c r="I261" s="200" t="s">
        <v>170</v>
      </c>
      <c r="J261" s="199">
        <v>45170</v>
      </c>
      <c r="K261" s="200"/>
      <c r="L261" s="200"/>
      <c r="M261" s="200"/>
      <c r="N261" s="200" t="s">
        <v>646</v>
      </c>
      <c r="O261" s="196" t="s">
        <v>5</v>
      </c>
      <c r="P261" s="201">
        <v>45444</v>
      </c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  <c r="AB261" s="202"/>
      <c r="AC261" s="202"/>
      <c r="AD261" s="202"/>
      <c r="AE261" s="202"/>
      <c r="AF261" s="202"/>
      <c r="AG261" s="202"/>
      <c r="AH261" s="202"/>
      <c r="AI261" s="202"/>
      <c r="AJ261" s="202"/>
      <c r="AK261" s="202"/>
      <c r="AL261" s="202"/>
      <c r="AM261" s="202"/>
      <c r="AN261" s="202"/>
      <c r="AO261" s="202"/>
      <c r="AP261" s="202"/>
      <c r="AQ261" s="202"/>
      <c r="AR261" s="202"/>
      <c r="AS261" s="202"/>
      <c r="AT261" s="202"/>
      <c r="AU261" s="202"/>
    </row>
    <row r="262" spans="1:47" ht="17.25" hidden="1" customHeight="1" x14ac:dyDescent="0.35">
      <c r="A262" s="185">
        <v>53</v>
      </c>
      <c r="B262" s="186" t="s">
        <v>14</v>
      </c>
      <c r="C262" s="187" t="s">
        <v>647</v>
      </c>
      <c r="D262" s="187" t="s">
        <v>648</v>
      </c>
      <c r="E262" s="185">
        <v>1</v>
      </c>
      <c r="F262" s="188">
        <v>42177</v>
      </c>
      <c r="G262" s="258" t="s">
        <v>649</v>
      </c>
      <c r="H262" s="258">
        <v>4436532199</v>
      </c>
      <c r="I262" s="258" t="s">
        <v>650</v>
      </c>
      <c r="J262" s="188">
        <v>45154</v>
      </c>
      <c r="K262" s="189"/>
      <c r="L262" s="189"/>
      <c r="M262" s="189"/>
      <c r="N262" s="189" t="s">
        <v>574</v>
      </c>
      <c r="O262" s="186" t="s">
        <v>5</v>
      </c>
      <c r="P262" s="190">
        <v>45444</v>
      </c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78"/>
      <c r="AI262" s="178"/>
      <c r="AJ262" s="178"/>
      <c r="AK262" s="178"/>
      <c r="AL262" s="178"/>
      <c r="AM262" s="178"/>
      <c r="AN262" s="178"/>
      <c r="AO262" s="178"/>
      <c r="AP262" s="178"/>
      <c r="AQ262" s="178"/>
      <c r="AR262" s="178"/>
      <c r="AS262" s="178"/>
      <c r="AT262" s="178"/>
      <c r="AU262" s="178"/>
    </row>
    <row r="263" spans="1:47" ht="17.25" hidden="1" customHeight="1" x14ac:dyDescent="0.35">
      <c r="A263" s="185">
        <v>54</v>
      </c>
      <c r="B263" s="186" t="s">
        <v>12</v>
      </c>
      <c r="C263" s="187" t="s">
        <v>647</v>
      </c>
      <c r="D263" s="187" t="s">
        <v>648</v>
      </c>
      <c r="E263" s="185">
        <v>1</v>
      </c>
      <c r="F263" s="188">
        <v>42177</v>
      </c>
      <c r="G263" s="258" t="s">
        <v>649</v>
      </c>
      <c r="H263" s="258">
        <v>4436532199</v>
      </c>
      <c r="I263" s="258" t="s">
        <v>650</v>
      </c>
      <c r="J263" s="188">
        <v>45154</v>
      </c>
      <c r="K263" s="189"/>
      <c r="L263" s="189"/>
      <c r="M263" s="189"/>
      <c r="N263" s="189" t="s">
        <v>574</v>
      </c>
      <c r="O263" s="186" t="s">
        <v>5</v>
      </c>
      <c r="P263" s="190">
        <v>45444</v>
      </c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178"/>
      <c r="AK263" s="178"/>
      <c r="AL263" s="178"/>
      <c r="AM263" s="178"/>
      <c r="AN263" s="178"/>
      <c r="AO263" s="178"/>
      <c r="AP263" s="178"/>
      <c r="AQ263" s="178"/>
      <c r="AR263" s="178"/>
      <c r="AS263" s="178"/>
      <c r="AT263" s="178"/>
      <c r="AU263" s="178"/>
    </row>
    <row r="264" spans="1:47" ht="17.25" hidden="1" customHeight="1" x14ac:dyDescent="0.35">
      <c r="A264" s="195">
        <v>55</v>
      </c>
      <c r="B264" s="196" t="s">
        <v>14</v>
      </c>
      <c r="C264" s="203" t="s">
        <v>319</v>
      </c>
      <c r="D264" s="203" t="s">
        <v>524</v>
      </c>
      <c r="E264" s="195" t="s">
        <v>76</v>
      </c>
      <c r="F264" s="204">
        <v>42902</v>
      </c>
      <c r="G264" s="205" t="s">
        <v>640</v>
      </c>
      <c r="H264" s="203">
        <v>4352252200</v>
      </c>
      <c r="I264" s="205" t="s">
        <v>641</v>
      </c>
      <c r="J264" s="204">
        <v>44835</v>
      </c>
      <c r="K264" s="205"/>
      <c r="L264" s="205"/>
      <c r="M264" s="205"/>
      <c r="N264" s="205"/>
      <c r="O264" s="196" t="s">
        <v>5</v>
      </c>
      <c r="P264" s="201">
        <v>45444</v>
      </c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  <c r="AB264" s="202"/>
      <c r="AC264" s="202"/>
      <c r="AD264" s="202"/>
      <c r="AE264" s="202"/>
      <c r="AF264" s="202"/>
      <c r="AG264" s="202"/>
      <c r="AH264" s="202"/>
      <c r="AI264" s="202"/>
      <c r="AJ264" s="202"/>
      <c r="AK264" s="202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2"/>
    </row>
    <row r="265" spans="1:47" ht="17.25" hidden="1" customHeight="1" x14ac:dyDescent="0.35">
      <c r="A265" s="195">
        <v>56</v>
      </c>
      <c r="B265" s="196" t="s">
        <v>12</v>
      </c>
      <c r="C265" s="203" t="s">
        <v>319</v>
      </c>
      <c r="D265" s="203" t="s">
        <v>524</v>
      </c>
      <c r="E265" s="195" t="s">
        <v>76</v>
      </c>
      <c r="F265" s="204">
        <v>42902</v>
      </c>
      <c r="G265" s="205" t="s">
        <v>640</v>
      </c>
      <c r="H265" s="203">
        <v>4352252200</v>
      </c>
      <c r="I265" s="205" t="s">
        <v>641</v>
      </c>
      <c r="J265" s="204">
        <v>45078</v>
      </c>
      <c r="K265" s="205"/>
      <c r="L265" s="205"/>
      <c r="M265" s="205"/>
      <c r="N265" s="205"/>
      <c r="O265" s="196" t="s">
        <v>5</v>
      </c>
      <c r="P265" s="201">
        <v>45444</v>
      </c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2"/>
      <c r="AC265" s="202"/>
      <c r="AD265" s="202"/>
      <c r="AE265" s="202"/>
      <c r="AF265" s="202"/>
      <c r="AG265" s="202"/>
      <c r="AH265" s="202"/>
      <c r="AI265" s="202"/>
      <c r="AJ265" s="202"/>
      <c r="AK265" s="202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2"/>
    </row>
    <row r="266" spans="1:47" ht="17.25" hidden="1" customHeight="1" x14ac:dyDescent="0.35">
      <c r="A266" s="195">
        <v>57</v>
      </c>
      <c r="B266" s="196" t="s">
        <v>14</v>
      </c>
      <c r="C266" s="203" t="s">
        <v>380</v>
      </c>
      <c r="D266" s="203" t="s">
        <v>651</v>
      </c>
      <c r="E266" s="195">
        <v>1</v>
      </c>
      <c r="F266" s="204">
        <v>42568</v>
      </c>
      <c r="G266" s="200" t="s">
        <v>505</v>
      </c>
      <c r="H266" s="200" t="s">
        <v>506</v>
      </c>
      <c r="I266" s="200" t="s">
        <v>507</v>
      </c>
      <c r="J266" s="204">
        <v>45110</v>
      </c>
      <c r="K266" s="205"/>
      <c r="L266" s="205"/>
      <c r="M266" s="205"/>
      <c r="N266" s="205"/>
      <c r="O266" s="196" t="s">
        <v>5</v>
      </c>
      <c r="P266" s="201">
        <v>45444</v>
      </c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2"/>
      <c r="AC266" s="202"/>
      <c r="AD266" s="202"/>
      <c r="AE266" s="202"/>
      <c r="AF266" s="202"/>
      <c r="AG266" s="202"/>
      <c r="AH266" s="202"/>
      <c r="AI266" s="202"/>
      <c r="AJ266" s="202"/>
      <c r="AK266" s="202"/>
      <c r="AL266" s="202"/>
      <c r="AM266" s="202"/>
      <c r="AN266" s="202"/>
      <c r="AO266" s="202"/>
      <c r="AP266" s="202"/>
      <c r="AQ266" s="202"/>
      <c r="AR266" s="202"/>
      <c r="AS266" s="202"/>
      <c r="AT266" s="202"/>
      <c r="AU266" s="202"/>
    </row>
    <row r="267" spans="1:47" ht="17.25" hidden="1" customHeight="1" x14ac:dyDescent="0.35">
      <c r="A267" s="195">
        <v>58</v>
      </c>
      <c r="B267" s="196" t="s">
        <v>12</v>
      </c>
      <c r="C267" s="203" t="s">
        <v>380</v>
      </c>
      <c r="D267" s="203" t="s">
        <v>651</v>
      </c>
      <c r="E267" s="195">
        <v>1</v>
      </c>
      <c r="F267" s="204">
        <v>42568</v>
      </c>
      <c r="G267" s="200" t="s">
        <v>508</v>
      </c>
      <c r="H267" s="200" t="s">
        <v>509</v>
      </c>
      <c r="I267" s="200" t="s">
        <v>507</v>
      </c>
      <c r="J267" s="204">
        <v>45110</v>
      </c>
      <c r="K267" s="205"/>
      <c r="L267" s="205"/>
      <c r="M267" s="205"/>
      <c r="N267" s="205"/>
      <c r="O267" s="196" t="s">
        <v>5</v>
      </c>
      <c r="P267" s="201">
        <v>45444</v>
      </c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  <c r="AB267" s="202"/>
      <c r="AC267" s="202"/>
      <c r="AD267" s="202"/>
      <c r="AE267" s="202"/>
      <c r="AF267" s="202"/>
      <c r="AG267" s="202"/>
      <c r="AH267" s="202"/>
      <c r="AI267" s="202"/>
      <c r="AJ267" s="202"/>
      <c r="AK267" s="202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2"/>
    </row>
    <row r="268" spans="1:47" ht="17.25" hidden="1" customHeight="1" x14ac:dyDescent="0.35">
      <c r="A268" s="185">
        <v>59</v>
      </c>
      <c r="B268" s="186" t="s">
        <v>14</v>
      </c>
      <c r="C268" s="187" t="s">
        <v>550</v>
      </c>
      <c r="D268" s="187" t="s">
        <v>553</v>
      </c>
      <c r="E268" s="185">
        <v>3</v>
      </c>
      <c r="F268" s="188">
        <v>42124</v>
      </c>
      <c r="G268" s="189" t="s">
        <v>552</v>
      </c>
      <c r="H268" s="187">
        <v>4085076346</v>
      </c>
      <c r="I268" s="189" t="s">
        <v>362</v>
      </c>
      <c r="J268" s="188">
        <v>45293</v>
      </c>
      <c r="K268" s="258"/>
      <c r="L268" s="258"/>
      <c r="M268" s="258"/>
      <c r="N268" s="258" t="s">
        <v>574</v>
      </c>
      <c r="O268" s="186" t="s">
        <v>5</v>
      </c>
      <c r="P268" s="190">
        <v>45444</v>
      </c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</row>
    <row r="269" spans="1:47" ht="17.25" hidden="1" customHeight="1" x14ac:dyDescent="0.35">
      <c r="A269" s="195">
        <v>60</v>
      </c>
      <c r="B269" s="196" t="s">
        <v>14</v>
      </c>
      <c r="C269" s="197" t="s">
        <v>499</v>
      </c>
      <c r="D269" s="197" t="s">
        <v>500</v>
      </c>
      <c r="E269" s="198">
        <v>1</v>
      </c>
      <c r="F269" s="199">
        <v>42894</v>
      </c>
      <c r="G269" s="200" t="s">
        <v>501</v>
      </c>
      <c r="H269" s="197">
        <v>6503358676</v>
      </c>
      <c r="I269" s="200" t="s">
        <v>502</v>
      </c>
      <c r="J269" s="199">
        <v>45159</v>
      </c>
      <c r="K269" s="200"/>
      <c r="L269" s="200"/>
      <c r="M269" s="200"/>
      <c r="N269" s="200"/>
      <c r="O269" s="196" t="s">
        <v>5</v>
      </c>
      <c r="P269" s="201">
        <v>45444</v>
      </c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  <c r="AB269" s="202"/>
      <c r="AC269" s="202"/>
      <c r="AD269" s="202"/>
      <c r="AE269" s="202"/>
      <c r="AF269" s="202"/>
      <c r="AG269" s="202"/>
      <c r="AH269" s="202"/>
      <c r="AI269" s="202"/>
      <c r="AJ269" s="202"/>
      <c r="AK269" s="202"/>
      <c r="AL269" s="202"/>
      <c r="AM269" s="202"/>
      <c r="AN269" s="202"/>
      <c r="AO269" s="202"/>
      <c r="AP269" s="202"/>
      <c r="AQ269" s="202"/>
      <c r="AR269" s="202"/>
      <c r="AS269" s="202"/>
      <c r="AT269" s="202"/>
      <c r="AU269" s="202"/>
    </row>
    <row r="270" spans="1:47" ht="17.25" hidden="1" customHeight="1" x14ac:dyDescent="0.35">
      <c r="A270" s="195">
        <v>61</v>
      </c>
      <c r="B270" s="196" t="s">
        <v>14</v>
      </c>
      <c r="C270" s="203" t="s">
        <v>652</v>
      </c>
      <c r="D270" s="203" t="s">
        <v>653</v>
      </c>
      <c r="E270" s="195">
        <v>4</v>
      </c>
      <c r="F270" s="204">
        <v>41881</v>
      </c>
      <c r="G270" s="200" t="s">
        <v>654</v>
      </c>
      <c r="H270" s="200">
        <v>5103587899</v>
      </c>
      <c r="I270" s="200" t="s">
        <v>655</v>
      </c>
      <c r="J270" s="204">
        <v>45159</v>
      </c>
      <c r="K270" s="205"/>
      <c r="L270" s="205"/>
      <c r="M270" s="205"/>
      <c r="N270" s="205"/>
      <c r="O270" s="196" t="s">
        <v>5</v>
      </c>
      <c r="P270" s="201">
        <v>45444</v>
      </c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  <c r="AB270" s="202"/>
      <c r="AC270" s="202"/>
      <c r="AD270" s="202"/>
      <c r="AE270" s="202"/>
      <c r="AF270" s="202"/>
      <c r="AG270" s="202"/>
      <c r="AH270" s="202"/>
      <c r="AI270" s="202"/>
      <c r="AJ270" s="202"/>
      <c r="AK270" s="202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2"/>
    </row>
    <row r="271" spans="1:47" ht="17.25" hidden="1" customHeight="1" x14ac:dyDescent="0.35">
      <c r="A271" s="195">
        <v>62</v>
      </c>
      <c r="B271" s="196" t="s">
        <v>12</v>
      </c>
      <c r="C271" s="197" t="s">
        <v>652</v>
      </c>
      <c r="D271" s="197" t="s">
        <v>653</v>
      </c>
      <c r="E271" s="198">
        <v>4</v>
      </c>
      <c r="F271" s="199">
        <v>41881</v>
      </c>
      <c r="G271" s="200" t="s">
        <v>654</v>
      </c>
      <c r="H271" s="197">
        <v>5103587899</v>
      </c>
      <c r="I271" s="200" t="s">
        <v>655</v>
      </c>
      <c r="J271" s="199">
        <v>45159</v>
      </c>
      <c r="K271" s="200"/>
      <c r="L271" s="200"/>
      <c r="M271" s="200"/>
      <c r="N271" s="200"/>
      <c r="O271" s="196" t="s">
        <v>5</v>
      </c>
      <c r="P271" s="201">
        <v>45444</v>
      </c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  <c r="AB271" s="202"/>
      <c r="AC271" s="202"/>
      <c r="AD271" s="202"/>
      <c r="AE271" s="202"/>
      <c r="AF271" s="202"/>
      <c r="AG271" s="202"/>
      <c r="AH271" s="202"/>
      <c r="AI271" s="202"/>
      <c r="AJ271" s="202"/>
      <c r="AK271" s="202"/>
      <c r="AL271" s="202"/>
      <c r="AM271" s="202"/>
      <c r="AN271" s="202"/>
      <c r="AO271" s="202"/>
      <c r="AP271" s="202"/>
      <c r="AQ271" s="202"/>
      <c r="AR271" s="202"/>
      <c r="AS271" s="202"/>
      <c r="AT271" s="202"/>
      <c r="AU271" s="202"/>
    </row>
    <row r="272" spans="1:47" ht="17.25" hidden="1" customHeight="1" x14ac:dyDescent="0.35">
      <c r="A272" s="195">
        <v>63</v>
      </c>
      <c r="B272" s="196" t="s">
        <v>14</v>
      </c>
      <c r="C272" s="203" t="s">
        <v>603</v>
      </c>
      <c r="D272" s="203" t="s">
        <v>656</v>
      </c>
      <c r="E272" s="195">
        <v>1</v>
      </c>
      <c r="F272" s="204">
        <v>42637</v>
      </c>
      <c r="G272" s="200" t="s">
        <v>605</v>
      </c>
      <c r="H272" s="200">
        <v>4082064921</v>
      </c>
      <c r="I272" s="200" t="s">
        <v>606</v>
      </c>
      <c r="J272" s="204">
        <v>45352</v>
      </c>
      <c r="K272" s="205"/>
      <c r="L272" s="205"/>
      <c r="M272" s="205"/>
      <c r="N272" s="205"/>
      <c r="O272" s="196" t="s">
        <v>5</v>
      </c>
      <c r="P272" s="201">
        <v>45444</v>
      </c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  <c r="AB272" s="202"/>
      <c r="AC272" s="202"/>
      <c r="AD272" s="202"/>
      <c r="AE272" s="202"/>
      <c r="AF272" s="202"/>
      <c r="AG272" s="202"/>
      <c r="AH272" s="202"/>
      <c r="AI272" s="202"/>
      <c r="AJ272" s="202"/>
      <c r="AK272" s="202"/>
      <c r="AL272" s="202"/>
      <c r="AM272" s="202"/>
      <c r="AN272" s="202"/>
      <c r="AO272" s="202"/>
      <c r="AP272" s="202"/>
      <c r="AQ272" s="202"/>
      <c r="AR272" s="202"/>
      <c r="AS272" s="202"/>
      <c r="AT272" s="202"/>
      <c r="AU272" s="202"/>
    </row>
    <row r="273" spans="1:47" ht="17.25" hidden="1" customHeight="1" x14ac:dyDescent="0.35">
      <c r="A273" s="195">
        <v>64</v>
      </c>
      <c r="B273" s="196" t="s">
        <v>12</v>
      </c>
      <c r="C273" s="197" t="s">
        <v>319</v>
      </c>
      <c r="D273" s="197" t="s">
        <v>443</v>
      </c>
      <c r="E273" s="198">
        <v>1</v>
      </c>
      <c r="F273" s="199">
        <v>42483</v>
      </c>
      <c r="G273" s="200" t="s">
        <v>444</v>
      </c>
      <c r="H273" s="197">
        <v>6692460021</v>
      </c>
      <c r="I273" s="200" t="s">
        <v>445</v>
      </c>
      <c r="J273" s="199">
        <v>45174</v>
      </c>
      <c r="K273" s="200"/>
      <c r="L273" s="200"/>
      <c r="M273" s="200"/>
      <c r="N273" s="200"/>
      <c r="O273" s="196" t="s">
        <v>5</v>
      </c>
      <c r="P273" s="201">
        <v>45444</v>
      </c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  <c r="AA273" s="202"/>
      <c r="AB273" s="202"/>
      <c r="AC273" s="202"/>
      <c r="AD273" s="202"/>
      <c r="AE273" s="202"/>
      <c r="AF273" s="202"/>
      <c r="AG273" s="202"/>
      <c r="AH273" s="202"/>
      <c r="AI273" s="202"/>
      <c r="AJ273" s="202"/>
      <c r="AK273" s="202"/>
      <c r="AL273" s="202"/>
      <c r="AM273" s="202"/>
      <c r="AN273" s="202"/>
      <c r="AO273" s="202"/>
      <c r="AP273" s="202"/>
      <c r="AQ273" s="202"/>
      <c r="AR273" s="202"/>
      <c r="AS273" s="202"/>
      <c r="AT273" s="202"/>
      <c r="AU273" s="202"/>
    </row>
    <row r="274" spans="1:47" ht="17.25" hidden="1" customHeight="1" x14ac:dyDescent="0.35">
      <c r="A274" s="185">
        <v>65</v>
      </c>
      <c r="B274" s="186" t="s">
        <v>14</v>
      </c>
      <c r="C274" s="255" t="s">
        <v>474</v>
      </c>
      <c r="D274" s="255" t="s">
        <v>657</v>
      </c>
      <c r="E274" s="256">
        <v>3</v>
      </c>
      <c r="F274" s="257">
        <v>42077</v>
      </c>
      <c r="G274" s="258" t="s">
        <v>475</v>
      </c>
      <c r="H274" s="255">
        <v>4085108805</v>
      </c>
      <c r="I274" s="258" t="s">
        <v>354</v>
      </c>
      <c r="J274" s="257">
        <v>45160</v>
      </c>
      <c r="K274" s="258"/>
      <c r="L274" s="258"/>
      <c r="M274" s="258"/>
      <c r="N274" s="258" t="s">
        <v>574</v>
      </c>
      <c r="O274" s="186" t="s">
        <v>5</v>
      </c>
      <c r="P274" s="190">
        <v>45444</v>
      </c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</row>
    <row r="275" spans="1:47" ht="17.25" hidden="1" customHeight="1" x14ac:dyDescent="0.35">
      <c r="A275" s="185">
        <v>66</v>
      </c>
      <c r="B275" s="186" t="s">
        <v>12</v>
      </c>
      <c r="C275" s="255" t="s">
        <v>474</v>
      </c>
      <c r="D275" s="255" t="s">
        <v>657</v>
      </c>
      <c r="E275" s="256">
        <v>3</v>
      </c>
      <c r="F275" s="257">
        <v>42077</v>
      </c>
      <c r="G275" s="258" t="s">
        <v>475</v>
      </c>
      <c r="H275" s="255">
        <v>4085108805</v>
      </c>
      <c r="I275" s="258" t="s">
        <v>354</v>
      </c>
      <c r="J275" s="257">
        <v>45160</v>
      </c>
      <c r="K275" s="258"/>
      <c r="L275" s="258"/>
      <c r="M275" s="258"/>
      <c r="N275" s="258" t="s">
        <v>574</v>
      </c>
      <c r="O275" s="186" t="s">
        <v>5</v>
      </c>
      <c r="P275" s="190">
        <v>45444</v>
      </c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</row>
    <row r="276" spans="1:47" ht="17.25" hidden="1" customHeight="1" x14ac:dyDescent="0.35">
      <c r="A276" s="195">
        <v>67</v>
      </c>
      <c r="B276" s="196" t="s">
        <v>14</v>
      </c>
      <c r="C276" s="197" t="s">
        <v>579</v>
      </c>
      <c r="D276" s="197" t="s">
        <v>658</v>
      </c>
      <c r="E276" s="198">
        <v>6</v>
      </c>
      <c r="F276" s="199">
        <v>41153</v>
      </c>
      <c r="G276" s="200" t="s">
        <v>580</v>
      </c>
      <c r="H276" s="197">
        <v>5108813622</v>
      </c>
      <c r="I276" s="200" t="s">
        <v>581</v>
      </c>
      <c r="J276" s="199">
        <v>45154</v>
      </c>
      <c r="K276" s="200"/>
      <c r="L276" s="200"/>
      <c r="M276" s="200"/>
      <c r="N276" s="200"/>
      <c r="O276" s="196" t="s">
        <v>5</v>
      </c>
      <c r="P276" s="201">
        <v>45444</v>
      </c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  <c r="AB276" s="202"/>
      <c r="AC276" s="202"/>
      <c r="AD276" s="202"/>
      <c r="AE276" s="202"/>
      <c r="AF276" s="202"/>
      <c r="AG276" s="202"/>
      <c r="AH276" s="202"/>
      <c r="AI276" s="202"/>
      <c r="AJ276" s="202"/>
      <c r="AK276" s="202"/>
      <c r="AL276" s="202"/>
      <c r="AM276" s="202"/>
      <c r="AN276" s="202"/>
      <c r="AO276" s="202"/>
      <c r="AP276" s="202"/>
      <c r="AQ276" s="202"/>
      <c r="AR276" s="202"/>
      <c r="AS276" s="202"/>
      <c r="AT276" s="202"/>
      <c r="AU276" s="202"/>
    </row>
    <row r="277" spans="1:47" ht="17.25" hidden="1" customHeight="1" x14ac:dyDescent="0.35">
      <c r="A277" s="195">
        <v>68</v>
      </c>
      <c r="B277" s="196" t="s">
        <v>12</v>
      </c>
      <c r="C277" s="197" t="s">
        <v>579</v>
      </c>
      <c r="D277" s="197" t="s">
        <v>658</v>
      </c>
      <c r="E277" s="198">
        <v>6</v>
      </c>
      <c r="F277" s="199">
        <v>41153</v>
      </c>
      <c r="G277" s="200" t="s">
        <v>580</v>
      </c>
      <c r="H277" s="197">
        <v>5108813622</v>
      </c>
      <c r="I277" s="200" t="s">
        <v>581</v>
      </c>
      <c r="J277" s="199">
        <v>45154</v>
      </c>
      <c r="K277" s="200"/>
      <c r="L277" s="200"/>
      <c r="M277" s="200"/>
      <c r="N277" s="200"/>
      <c r="O277" s="196" t="s">
        <v>5</v>
      </c>
      <c r="P277" s="201">
        <v>45444</v>
      </c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  <c r="AB277" s="202"/>
      <c r="AC277" s="202"/>
      <c r="AD277" s="202"/>
      <c r="AE277" s="202"/>
      <c r="AF277" s="202"/>
      <c r="AG277" s="202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2"/>
    </row>
    <row r="278" spans="1:47" ht="17.25" hidden="1" customHeight="1" x14ac:dyDescent="0.35">
      <c r="A278" s="185">
        <v>69</v>
      </c>
      <c r="B278" s="186" t="s">
        <v>12</v>
      </c>
      <c r="C278" s="255" t="s">
        <v>345</v>
      </c>
      <c r="D278" s="255" t="s">
        <v>349</v>
      </c>
      <c r="E278" s="256">
        <v>3</v>
      </c>
      <c r="F278" s="257">
        <v>42122</v>
      </c>
      <c r="G278" s="258" t="s">
        <v>611</v>
      </c>
      <c r="H278" s="255">
        <v>4087591928</v>
      </c>
      <c r="I278" s="258" t="s">
        <v>348</v>
      </c>
      <c r="J278" s="257">
        <v>45246</v>
      </c>
      <c r="K278" s="258"/>
      <c r="L278" s="258"/>
      <c r="M278" s="258"/>
      <c r="N278" s="258" t="s">
        <v>612</v>
      </c>
      <c r="O278" s="186" t="s">
        <v>5</v>
      </c>
      <c r="P278" s="190">
        <v>45444</v>
      </c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</row>
    <row r="279" spans="1:47" ht="17.25" hidden="1" customHeight="1" x14ac:dyDescent="0.35">
      <c r="A279" s="195">
        <v>70</v>
      </c>
      <c r="B279" s="196" t="s">
        <v>12</v>
      </c>
      <c r="C279" s="203" t="s">
        <v>469</v>
      </c>
      <c r="D279" s="203" t="s">
        <v>478</v>
      </c>
      <c r="E279" s="195">
        <v>6</v>
      </c>
      <c r="F279" s="204">
        <v>40961</v>
      </c>
      <c r="G279" s="200" t="s">
        <v>615</v>
      </c>
      <c r="H279" s="200">
        <v>4087977701</v>
      </c>
      <c r="I279" s="200" t="s">
        <v>472</v>
      </c>
      <c r="J279" s="204">
        <v>45323</v>
      </c>
      <c r="K279" s="205"/>
      <c r="L279" s="205"/>
      <c r="M279" s="205"/>
      <c r="N279" s="205" t="s">
        <v>616</v>
      </c>
      <c r="O279" s="196" t="s">
        <v>5</v>
      </c>
      <c r="P279" s="201">
        <v>45444</v>
      </c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  <c r="AB279" s="202"/>
      <c r="AC279" s="202"/>
      <c r="AD279" s="202"/>
      <c r="AE279" s="202"/>
      <c r="AF279" s="202"/>
      <c r="AG279" s="202"/>
      <c r="AH279" s="202"/>
      <c r="AI279" s="202"/>
      <c r="AJ279" s="202"/>
      <c r="AK279" s="202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2"/>
    </row>
    <row r="280" spans="1:47" ht="17.25" hidden="1" customHeight="1" x14ac:dyDescent="0.35">
      <c r="A280" s="207">
        <v>1</v>
      </c>
      <c r="B280" s="216" t="s">
        <v>14</v>
      </c>
      <c r="C280" s="222" t="s">
        <v>372</v>
      </c>
      <c r="D280" s="222" t="s">
        <v>659</v>
      </c>
      <c r="E280" s="207">
        <v>3</v>
      </c>
      <c r="F280" s="218">
        <v>42387</v>
      </c>
      <c r="G280" s="220" t="s">
        <v>660</v>
      </c>
      <c r="H280" s="217">
        <v>9258603355</v>
      </c>
      <c r="I280" s="220" t="s">
        <v>661</v>
      </c>
      <c r="J280" s="218">
        <v>45231</v>
      </c>
      <c r="K280" s="220"/>
      <c r="L280" s="220"/>
      <c r="M280" s="220"/>
      <c r="N280" s="220" t="s">
        <v>662</v>
      </c>
      <c r="O280" s="216" t="s">
        <v>5</v>
      </c>
      <c r="P280" s="226">
        <v>45474</v>
      </c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</row>
    <row r="281" spans="1:47" ht="17.25" hidden="1" customHeight="1" x14ac:dyDescent="0.35">
      <c r="A281" s="207">
        <v>2</v>
      </c>
      <c r="B281" s="216" t="s">
        <v>12</v>
      </c>
      <c r="C281" s="222" t="s">
        <v>372</v>
      </c>
      <c r="D281" s="222" t="s">
        <v>659</v>
      </c>
      <c r="E281" s="207">
        <v>3</v>
      </c>
      <c r="F281" s="218">
        <v>42387</v>
      </c>
      <c r="G281" s="220" t="s">
        <v>660</v>
      </c>
      <c r="H281" s="217">
        <v>9258603355</v>
      </c>
      <c r="I281" s="220" t="s">
        <v>661</v>
      </c>
      <c r="J281" s="218">
        <v>45231</v>
      </c>
      <c r="K281" s="220"/>
      <c r="L281" s="220"/>
      <c r="M281" s="220"/>
      <c r="N281" s="220" t="s">
        <v>662</v>
      </c>
      <c r="O281" s="216" t="s">
        <v>5</v>
      </c>
      <c r="P281" s="226">
        <v>45474</v>
      </c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</row>
    <row r="282" spans="1:47" ht="17.25" hidden="1" customHeight="1" x14ac:dyDescent="0.35">
      <c r="A282" s="207">
        <v>3</v>
      </c>
      <c r="B282" s="216" t="s">
        <v>14</v>
      </c>
      <c r="C282" s="223" t="s">
        <v>663</v>
      </c>
      <c r="D282" s="223" t="s">
        <v>664</v>
      </c>
      <c r="E282" s="224">
        <v>2</v>
      </c>
      <c r="F282" s="225">
        <v>42521</v>
      </c>
      <c r="G282" s="219" t="s">
        <v>665</v>
      </c>
      <c r="H282" s="223">
        <v>4089311977</v>
      </c>
      <c r="I282" s="219" t="s">
        <v>666</v>
      </c>
      <c r="J282" s="225">
        <v>45161</v>
      </c>
      <c r="K282" s="219"/>
      <c r="L282" s="219"/>
      <c r="M282" s="219"/>
      <c r="N282" s="219" t="s">
        <v>667</v>
      </c>
      <c r="O282" s="216" t="s">
        <v>5</v>
      </c>
      <c r="P282" s="226">
        <v>45474</v>
      </c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</row>
    <row r="283" spans="1:47" ht="17.25" hidden="1" customHeight="1" x14ac:dyDescent="0.35">
      <c r="A283" s="207">
        <v>4</v>
      </c>
      <c r="B283" s="216" t="s">
        <v>12</v>
      </c>
      <c r="C283" s="223" t="s">
        <v>663</v>
      </c>
      <c r="D283" s="223" t="s">
        <v>664</v>
      </c>
      <c r="E283" s="224">
        <v>2</v>
      </c>
      <c r="F283" s="225">
        <v>42521</v>
      </c>
      <c r="G283" s="219" t="s">
        <v>665</v>
      </c>
      <c r="H283" s="223">
        <v>4089311977</v>
      </c>
      <c r="I283" s="219" t="s">
        <v>666</v>
      </c>
      <c r="J283" s="225">
        <v>45161</v>
      </c>
      <c r="K283" s="219"/>
      <c r="L283" s="219"/>
      <c r="M283" s="219"/>
      <c r="N283" s="219" t="s">
        <v>667</v>
      </c>
      <c r="O283" s="216" t="s">
        <v>5</v>
      </c>
      <c r="P283" s="226">
        <v>45474</v>
      </c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</row>
    <row r="284" spans="1:47" ht="17.25" hidden="1" customHeight="1" x14ac:dyDescent="0.35">
      <c r="A284" s="207">
        <v>5</v>
      </c>
      <c r="B284" s="216" t="s">
        <v>14</v>
      </c>
      <c r="C284" s="223" t="s">
        <v>668</v>
      </c>
      <c r="D284" s="223" t="s">
        <v>669</v>
      </c>
      <c r="E284" s="224">
        <v>1</v>
      </c>
      <c r="F284" s="225" t="s">
        <v>670</v>
      </c>
      <c r="G284" s="219" t="s">
        <v>671</v>
      </c>
      <c r="H284" s="223">
        <v>5105654841</v>
      </c>
      <c r="I284" s="219" t="s">
        <v>672</v>
      </c>
      <c r="J284" s="225" t="s">
        <v>245</v>
      </c>
      <c r="K284" s="219"/>
      <c r="L284" s="219"/>
      <c r="M284" s="219"/>
      <c r="N284" s="219"/>
      <c r="O284" s="216" t="s">
        <v>5</v>
      </c>
      <c r="P284" s="226">
        <v>45474</v>
      </c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</row>
    <row r="285" spans="1:47" ht="17.25" hidden="1" customHeight="1" x14ac:dyDescent="0.35">
      <c r="A285" s="207">
        <v>6</v>
      </c>
      <c r="B285" s="216" t="s">
        <v>12</v>
      </c>
      <c r="C285" s="223" t="s">
        <v>668</v>
      </c>
      <c r="D285" s="223" t="s">
        <v>669</v>
      </c>
      <c r="E285" s="224">
        <v>1</v>
      </c>
      <c r="F285" s="225" t="s">
        <v>670</v>
      </c>
      <c r="G285" s="219" t="s">
        <v>671</v>
      </c>
      <c r="H285" s="223">
        <v>5105654841</v>
      </c>
      <c r="I285" s="219" t="s">
        <v>672</v>
      </c>
      <c r="J285" s="225" t="s">
        <v>245</v>
      </c>
      <c r="K285" s="219"/>
      <c r="L285" s="219"/>
      <c r="M285" s="219"/>
      <c r="N285" s="219"/>
      <c r="O285" s="216" t="s">
        <v>5</v>
      </c>
      <c r="P285" s="226">
        <v>45474</v>
      </c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</row>
    <row r="286" spans="1:47" ht="17.25" hidden="1" customHeight="1" x14ac:dyDescent="0.35">
      <c r="A286" s="261">
        <v>7</v>
      </c>
      <c r="B286" s="262" t="s">
        <v>14</v>
      </c>
      <c r="C286" s="263" t="s">
        <v>452</v>
      </c>
      <c r="D286" s="263" t="s">
        <v>673</v>
      </c>
      <c r="E286" s="261">
        <v>2</v>
      </c>
      <c r="F286" s="264">
        <v>42933</v>
      </c>
      <c r="G286" s="265" t="s">
        <v>674</v>
      </c>
      <c r="H286" s="265">
        <v>4083986905</v>
      </c>
      <c r="I286" s="265" t="s">
        <v>675</v>
      </c>
      <c r="J286" s="264">
        <v>45323</v>
      </c>
      <c r="K286" s="266"/>
      <c r="L286" s="266"/>
      <c r="M286" s="266"/>
      <c r="N286" s="266" t="s">
        <v>676</v>
      </c>
      <c r="O286" s="262" t="s">
        <v>5</v>
      </c>
      <c r="P286" s="267">
        <v>45474</v>
      </c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  <c r="AA286" s="268"/>
      <c r="AB286" s="268"/>
      <c r="AC286" s="268"/>
      <c r="AD286" s="268"/>
      <c r="AE286" s="268"/>
      <c r="AF286" s="268"/>
      <c r="AG286" s="268"/>
      <c r="AH286" s="268"/>
      <c r="AI286" s="268"/>
      <c r="AJ286" s="268"/>
      <c r="AK286" s="268"/>
      <c r="AL286" s="268"/>
      <c r="AM286" s="268"/>
      <c r="AN286" s="268"/>
      <c r="AO286" s="268"/>
      <c r="AP286" s="268"/>
      <c r="AQ286" s="268"/>
      <c r="AR286" s="268"/>
      <c r="AS286" s="268"/>
      <c r="AT286" s="268"/>
      <c r="AU286" s="268"/>
    </row>
    <row r="287" spans="1:47" ht="17.25" hidden="1" customHeight="1" x14ac:dyDescent="0.35">
      <c r="A287" s="261">
        <v>8</v>
      </c>
      <c r="B287" s="262" t="s">
        <v>12</v>
      </c>
      <c r="C287" s="263" t="s">
        <v>452</v>
      </c>
      <c r="D287" s="263" t="s">
        <v>673</v>
      </c>
      <c r="E287" s="261">
        <v>2</v>
      </c>
      <c r="F287" s="264">
        <v>42933</v>
      </c>
      <c r="G287" s="265" t="s">
        <v>674</v>
      </c>
      <c r="H287" s="265">
        <v>4083986905</v>
      </c>
      <c r="I287" s="265" t="s">
        <v>675</v>
      </c>
      <c r="J287" s="264">
        <v>45323</v>
      </c>
      <c r="K287" s="266"/>
      <c r="L287" s="266"/>
      <c r="M287" s="266"/>
      <c r="N287" s="266" t="s">
        <v>676</v>
      </c>
      <c r="O287" s="262" t="s">
        <v>5</v>
      </c>
      <c r="P287" s="267">
        <v>45474</v>
      </c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68"/>
      <c r="AF287" s="268"/>
      <c r="AG287" s="268"/>
      <c r="AH287" s="268"/>
      <c r="AI287" s="268"/>
      <c r="AJ287" s="268"/>
      <c r="AK287" s="268"/>
      <c r="AL287" s="268"/>
      <c r="AM287" s="268"/>
      <c r="AN287" s="268"/>
      <c r="AO287" s="268"/>
      <c r="AP287" s="268"/>
      <c r="AQ287" s="268"/>
      <c r="AR287" s="268"/>
      <c r="AS287" s="268"/>
      <c r="AT287" s="268"/>
      <c r="AU287" s="268"/>
    </row>
    <row r="288" spans="1:47" ht="17.25" hidden="1" customHeight="1" x14ac:dyDescent="0.35">
      <c r="A288" s="261">
        <v>9</v>
      </c>
      <c r="B288" s="262" t="s">
        <v>14</v>
      </c>
      <c r="C288" s="263" t="s">
        <v>284</v>
      </c>
      <c r="D288" s="263" t="s">
        <v>285</v>
      </c>
      <c r="E288" s="261" t="s">
        <v>76</v>
      </c>
      <c r="F288" s="264">
        <v>42867</v>
      </c>
      <c r="G288" s="265" t="s">
        <v>286</v>
      </c>
      <c r="H288" s="265">
        <v>4086432868</v>
      </c>
      <c r="I288" s="265" t="s">
        <v>287</v>
      </c>
      <c r="J288" s="264">
        <v>45154</v>
      </c>
      <c r="K288" s="266"/>
      <c r="L288" s="266"/>
      <c r="M288" s="266"/>
      <c r="N288" s="266" t="s">
        <v>677</v>
      </c>
      <c r="O288" s="262" t="s">
        <v>5</v>
      </c>
      <c r="P288" s="267">
        <v>45474</v>
      </c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  <c r="AF288" s="268"/>
      <c r="AG288" s="268"/>
      <c r="AH288" s="268"/>
      <c r="AI288" s="268"/>
      <c r="AJ288" s="268"/>
      <c r="AK288" s="268"/>
      <c r="AL288" s="268"/>
      <c r="AM288" s="268"/>
      <c r="AN288" s="268"/>
      <c r="AO288" s="268"/>
      <c r="AP288" s="268"/>
      <c r="AQ288" s="268"/>
      <c r="AR288" s="268"/>
      <c r="AS288" s="268"/>
      <c r="AT288" s="268"/>
      <c r="AU288" s="268"/>
    </row>
    <row r="289" spans="1:47" ht="17.25" hidden="1" customHeight="1" x14ac:dyDescent="0.35">
      <c r="A289" s="261">
        <v>10</v>
      </c>
      <c r="B289" s="262" t="s">
        <v>12</v>
      </c>
      <c r="C289" s="263" t="s">
        <v>284</v>
      </c>
      <c r="D289" s="263" t="s">
        <v>285</v>
      </c>
      <c r="E289" s="261" t="s">
        <v>76</v>
      </c>
      <c r="F289" s="264">
        <v>42867</v>
      </c>
      <c r="G289" s="265" t="s">
        <v>286</v>
      </c>
      <c r="H289" s="265">
        <v>4086432868</v>
      </c>
      <c r="I289" s="265" t="s">
        <v>287</v>
      </c>
      <c r="J289" s="264">
        <v>45154</v>
      </c>
      <c r="K289" s="266"/>
      <c r="L289" s="266"/>
      <c r="M289" s="266"/>
      <c r="N289" s="266" t="s">
        <v>676</v>
      </c>
      <c r="O289" s="262" t="s">
        <v>5</v>
      </c>
      <c r="P289" s="267">
        <v>45474</v>
      </c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  <c r="AF289" s="268"/>
      <c r="AG289" s="268"/>
      <c r="AH289" s="268"/>
      <c r="AI289" s="268"/>
      <c r="AJ289" s="268"/>
      <c r="AK289" s="268"/>
      <c r="AL289" s="268"/>
      <c r="AM289" s="268"/>
      <c r="AN289" s="268"/>
      <c r="AO289" s="268"/>
      <c r="AP289" s="268"/>
      <c r="AQ289" s="268"/>
      <c r="AR289" s="268"/>
      <c r="AS289" s="268"/>
      <c r="AT289" s="268"/>
      <c r="AU289" s="268"/>
    </row>
    <row r="290" spans="1:47" ht="17.25" hidden="1" customHeight="1" x14ac:dyDescent="0.35">
      <c r="A290" s="207">
        <v>11</v>
      </c>
      <c r="B290" s="216" t="s">
        <v>14</v>
      </c>
      <c r="C290" s="222" t="s">
        <v>368</v>
      </c>
      <c r="D290" s="222" t="s">
        <v>678</v>
      </c>
      <c r="E290" s="207">
        <v>5</v>
      </c>
      <c r="F290" s="218">
        <v>41298</v>
      </c>
      <c r="G290" s="220" t="s">
        <v>679</v>
      </c>
      <c r="H290" s="217">
        <v>7138395988</v>
      </c>
      <c r="I290" s="220" t="s">
        <v>680</v>
      </c>
      <c r="J290" s="218">
        <v>45124</v>
      </c>
      <c r="K290" s="220"/>
      <c r="L290" s="220"/>
      <c r="M290" s="220"/>
      <c r="N290" s="220" t="s">
        <v>681</v>
      </c>
      <c r="O290" s="216" t="s">
        <v>5</v>
      </c>
      <c r="P290" s="226">
        <v>45474</v>
      </c>
      <c r="Q290" s="26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  <c r="AP290" s="219"/>
      <c r="AQ290" s="219"/>
      <c r="AR290" s="219"/>
      <c r="AS290" s="219"/>
      <c r="AT290" s="219"/>
      <c r="AU290" s="219"/>
    </row>
    <row r="291" spans="1:47" ht="17.25" hidden="1" customHeight="1" x14ac:dyDescent="0.35">
      <c r="A291" s="207">
        <v>12</v>
      </c>
      <c r="B291" s="216" t="s">
        <v>12</v>
      </c>
      <c r="C291" s="222" t="s">
        <v>368</v>
      </c>
      <c r="D291" s="222" t="s">
        <v>678</v>
      </c>
      <c r="E291" s="207">
        <v>5</v>
      </c>
      <c r="F291" s="218">
        <v>41298</v>
      </c>
      <c r="G291" s="220" t="s">
        <v>679</v>
      </c>
      <c r="H291" s="217">
        <v>7138395988</v>
      </c>
      <c r="I291" s="220" t="s">
        <v>680</v>
      </c>
      <c r="J291" s="218">
        <v>45124</v>
      </c>
      <c r="K291" s="220"/>
      <c r="L291" s="220"/>
      <c r="M291" s="220"/>
      <c r="N291" s="220" t="s">
        <v>681</v>
      </c>
      <c r="O291" s="216" t="s">
        <v>5</v>
      </c>
      <c r="P291" s="226">
        <v>45474</v>
      </c>
      <c r="Q291" s="26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  <c r="AP291" s="219"/>
      <c r="AQ291" s="219"/>
      <c r="AR291" s="219"/>
      <c r="AS291" s="219"/>
      <c r="AT291" s="219"/>
      <c r="AU291" s="219"/>
    </row>
    <row r="292" spans="1:47" ht="17.25" hidden="1" customHeight="1" x14ac:dyDescent="0.35">
      <c r="A292" s="270">
        <v>1</v>
      </c>
      <c r="B292" s="271" t="s">
        <v>14</v>
      </c>
      <c r="C292" s="272" t="s">
        <v>94</v>
      </c>
      <c r="D292" s="272" t="s">
        <v>682</v>
      </c>
      <c r="E292" s="273">
        <v>5</v>
      </c>
      <c r="F292" s="274" t="s">
        <v>683</v>
      </c>
      <c r="G292" s="275" t="s">
        <v>684</v>
      </c>
      <c r="H292" s="272">
        <v>6506053215</v>
      </c>
      <c r="I292" s="275" t="s">
        <v>685</v>
      </c>
      <c r="J292" s="274" t="s">
        <v>686</v>
      </c>
      <c r="K292" s="275"/>
      <c r="L292" s="275"/>
      <c r="M292" s="275"/>
      <c r="N292" s="275"/>
      <c r="O292" s="271" t="s">
        <v>5</v>
      </c>
      <c r="P292" s="276">
        <v>45505</v>
      </c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</row>
    <row r="293" spans="1:47" ht="17.25" hidden="1" customHeight="1" x14ac:dyDescent="0.35">
      <c r="A293" s="270">
        <v>2</v>
      </c>
      <c r="B293" s="271" t="s">
        <v>12</v>
      </c>
      <c r="C293" s="272" t="s">
        <v>94</v>
      </c>
      <c r="D293" s="272" t="s">
        <v>682</v>
      </c>
      <c r="E293" s="273">
        <v>5</v>
      </c>
      <c r="F293" s="274" t="s">
        <v>683</v>
      </c>
      <c r="G293" s="275" t="s">
        <v>684</v>
      </c>
      <c r="H293" s="272">
        <v>6506053215</v>
      </c>
      <c r="I293" s="275" t="s">
        <v>685</v>
      </c>
      <c r="J293" s="274" t="s">
        <v>686</v>
      </c>
      <c r="K293" s="275"/>
      <c r="L293" s="275"/>
      <c r="M293" s="275"/>
      <c r="N293" s="275" t="s">
        <v>102</v>
      </c>
      <c r="O293" s="271" t="s">
        <v>5</v>
      </c>
      <c r="P293" s="276">
        <v>45505</v>
      </c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</row>
    <row r="294" spans="1:47" ht="17.25" hidden="1" customHeight="1" x14ac:dyDescent="0.35">
      <c r="A294" s="270">
        <v>3</v>
      </c>
      <c r="B294" s="271" t="s">
        <v>14</v>
      </c>
      <c r="C294" s="272" t="s">
        <v>687</v>
      </c>
      <c r="D294" s="272" t="s">
        <v>688</v>
      </c>
      <c r="E294" s="273">
        <v>6</v>
      </c>
      <c r="F294" s="274" t="s">
        <v>689</v>
      </c>
      <c r="G294" s="275" t="s">
        <v>690</v>
      </c>
      <c r="H294" s="272" t="s">
        <v>691</v>
      </c>
      <c r="I294" s="275" t="s">
        <v>692</v>
      </c>
      <c r="J294" s="274" t="s">
        <v>693</v>
      </c>
      <c r="K294" s="275"/>
      <c r="L294" s="275"/>
      <c r="M294" s="275"/>
      <c r="N294" s="275" t="s">
        <v>694</v>
      </c>
      <c r="O294" s="271" t="s">
        <v>5</v>
      </c>
      <c r="P294" s="276">
        <v>45505</v>
      </c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</row>
    <row r="295" spans="1:47" ht="17.25" hidden="1" customHeight="1" x14ac:dyDescent="0.35">
      <c r="A295" s="270">
        <v>4</v>
      </c>
      <c r="B295" s="271" t="s">
        <v>12</v>
      </c>
      <c r="C295" s="272" t="s">
        <v>687</v>
      </c>
      <c r="D295" s="272" t="s">
        <v>688</v>
      </c>
      <c r="E295" s="273">
        <v>6</v>
      </c>
      <c r="F295" s="274" t="s">
        <v>689</v>
      </c>
      <c r="G295" s="275" t="s">
        <v>690</v>
      </c>
      <c r="H295" s="272" t="s">
        <v>691</v>
      </c>
      <c r="I295" s="275" t="s">
        <v>692</v>
      </c>
      <c r="J295" s="274" t="s">
        <v>693</v>
      </c>
      <c r="K295" s="275"/>
      <c r="L295" s="275"/>
      <c r="M295" s="275"/>
      <c r="N295" s="275" t="s">
        <v>694</v>
      </c>
      <c r="O295" s="271" t="s">
        <v>5</v>
      </c>
      <c r="P295" s="276">
        <v>45505</v>
      </c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</row>
    <row r="296" spans="1:47" ht="17.25" hidden="1" customHeight="1" x14ac:dyDescent="0.35">
      <c r="A296" s="270">
        <v>5</v>
      </c>
      <c r="B296" s="271" t="s">
        <v>14</v>
      </c>
      <c r="C296" s="272" t="s">
        <v>687</v>
      </c>
      <c r="D296" s="272" t="s">
        <v>695</v>
      </c>
      <c r="E296" s="273">
        <v>9</v>
      </c>
      <c r="F296" s="274" t="s">
        <v>696</v>
      </c>
      <c r="G296" s="275" t="s">
        <v>690</v>
      </c>
      <c r="H296" s="272" t="s">
        <v>691</v>
      </c>
      <c r="I296" s="275" t="s">
        <v>692</v>
      </c>
      <c r="J296" s="274" t="s">
        <v>693</v>
      </c>
      <c r="K296" s="275"/>
      <c r="L296" s="275"/>
      <c r="M296" s="275"/>
      <c r="N296" s="275" t="s">
        <v>694</v>
      </c>
      <c r="O296" s="271" t="s">
        <v>5</v>
      </c>
      <c r="P296" s="276">
        <v>45505</v>
      </c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</row>
    <row r="297" spans="1:47" ht="17.25" hidden="1" customHeight="1" x14ac:dyDescent="0.35">
      <c r="A297" s="270">
        <v>6</v>
      </c>
      <c r="B297" s="271" t="s">
        <v>12</v>
      </c>
      <c r="C297" s="272" t="s">
        <v>687</v>
      </c>
      <c r="D297" s="272" t="s">
        <v>695</v>
      </c>
      <c r="E297" s="273">
        <v>9</v>
      </c>
      <c r="F297" s="274" t="s">
        <v>696</v>
      </c>
      <c r="G297" s="275" t="s">
        <v>690</v>
      </c>
      <c r="H297" s="272" t="s">
        <v>691</v>
      </c>
      <c r="I297" s="275" t="s">
        <v>692</v>
      </c>
      <c r="J297" s="274" t="s">
        <v>693</v>
      </c>
      <c r="K297" s="275"/>
      <c r="L297" s="275"/>
      <c r="M297" s="275"/>
      <c r="N297" s="275" t="s">
        <v>694</v>
      </c>
      <c r="O297" s="271" t="s">
        <v>5</v>
      </c>
      <c r="P297" s="276">
        <v>45505</v>
      </c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</row>
    <row r="298" spans="1:47" ht="17.25" hidden="1" customHeight="1" x14ac:dyDescent="0.35">
      <c r="A298" s="270">
        <v>7</v>
      </c>
      <c r="B298" s="271" t="s">
        <v>14</v>
      </c>
      <c r="C298" s="272" t="s">
        <v>697</v>
      </c>
      <c r="D298" s="272" t="s">
        <v>698</v>
      </c>
      <c r="E298" s="273">
        <v>1</v>
      </c>
      <c r="F298" s="274" t="s">
        <v>699</v>
      </c>
      <c r="G298" s="275" t="s">
        <v>700</v>
      </c>
      <c r="H298" s="272" t="s">
        <v>701</v>
      </c>
      <c r="I298" s="275" t="s">
        <v>702</v>
      </c>
      <c r="J298" s="274" t="s">
        <v>703</v>
      </c>
      <c r="K298" s="275"/>
      <c r="L298" s="275"/>
      <c r="M298" s="275"/>
      <c r="N298" s="275" t="s">
        <v>429</v>
      </c>
      <c r="O298" s="271" t="s">
        <v>5</v>
      </c>
      <c r="P298" s="276">
        <v>45505</v>
      </c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</row>
    <row r="299" spans="1:47" ht="17.25" hidden="1" customHeight="1" x14ac:dyDescent="0.35">
      <c r="A299" s="270">
        <v>8</v>
      </c>
      <c r="B299" s="271" t="s">
        <v>12</v>
      </c>
      <c r="C299" s="272" t="s">
        <v>697</v>
      </c>
      <c r="D299" s="272" t="s">
        <v>698</v>
      </c>
      <c r="E299" s="273">
        <v>1</v>
      </c>
      <c r="F299" s="274" t="s">
        <v>699</v>
      </c>
      <c r="G299" s="275" t="s">
        <v>700</v>
      </c>
      <c r="H299" s="272" t="s">
        <v>701</v>
      </c>
      <c r="I299" s="275" t="s">
        <v>702</v>
      </c>
      <c r="J299" s="274" t="s">
        <v>703</v>
      </c>
      <c r="K299" s="275"/>
      <c r="L299" s="275"/>
      <c r="M299" s="275"/>
      <c r="N299" s="275" t="s">
        <v>429</v>
      </c>
      <c r="O299" s="271" t="s">
        <v>5</v>
      </c>
      <c r="P299" s="276">
        <v>45505</v>
      </c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</row>
    <row r="300" spans="1:47" ht="17.25" hidden="1" customHeight="1" x14ac:dyDescent="0.35">
      <c r="A300" s="270">
        <v>9</v>
      </c>
      <c r="B300" s="271" t="s">
        <v>14</v>
      </c>
      <c r="C300" s="272" t="s">
        <v>295</v>
      </c>
      <c r="D300" s="272" t="s">
        <v>303</v>
      </c>
      <c r="E300" s="273">
        <v>1</v>
      </c>
      <c r="F300" s="274">
        <v>42086</v>
      </c>
      <c r="G300" s="275" t="s">
        <v>304</v>
      </c>
      <c r="H300" s="272">
        <v>5109848496</v>
      </c>
      <c r="I300" s="275" t="s">
        <v>305</v>
      </c>
      <c r="J300" s="274">
        <v>45174</v>
      </c>
      <c r="K300" s="275"/>
      <c r="L300" s="275"/>
      <c r="M300" s="275"/>
      <c r="N300" s="275" t="s">
        <v>704</v>
      </c>
      <c r="O300" s="271" t="s">
        <v>5</v>
      </c>
      <c r="P300" s="276">
        <v>45505</v>
      </c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</row>
    <row r="301" spans="1:47" ht="17.25" hidden="1" customHeight="1" x14ac:dyDescent="0.35">
      <c r="A301" s="270">
        <v>10</v>
      </c>
      <c r="B301" s="271" t="s">
        <v>12</v>
      </c>
      <c r="C301" s="272" t="s">
        <v>295</v>
      </c>
      <c r="D301" s="272" t="s">
        <v>303</v>
      </c>
      <c r="E301" s="273">
        <v>1</v>
      </c>
      <c r="F301" s="274">
        <v>42086</v>
      </c>
      <c r="G301" s="275" t="s">
        <v>304</v>
      </c>
      <c r="H301" s="272">
        <v>5109848496</v>
      </c>
      <c r="I301" s="275" t="s">
        <v>305</v>
      </c>
      <c r="J301" s="274">
        <v>45174</v>
      </c>
      <c r="K301" s="275"/>
      <c r="L301" s="275"/>
      <c r="M301" s="275"/>
      <c r="N301" s="275" t="s">
        <v>704</v>
      </c>
      <c r="O301" s="271" t="s">
        <v>5</v>
      </c>
      <c r="P301" s="276">
        <v>45505</v>
      </c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</row>
    <row r="302" spans="1:47" ht="17.25" hidden="1" customHeight="1" x14ac:dyDescent="0.35">
      <c r="A302" s="270">
        <v>11</v>
      </c>
      <c r="B302" s="271" t="s">
        <v>14</v>
      </c>
      <c r="C302" s="272" t="s">
        <v>705</v>
      </c>
      <c r="D302" s="272" t="s">
        <v>706</v>
      </c>
      <c r="E302" s="273">
        <v>5</v>
      </c>
      <c r="F302" s="274" t="s">
        <v>707</v>
      </c>
      <c r="G302" s="275" t="s">
        <v>708</v>
      </c>
      <c r="H302" s="272">
        <v>5105098478</v>
      </c>
      <c r="I302" s="275" t="s">
        <v>709</v>
      </c>
      <c r="J302" s="274" t="s">
        <v>710</v>
      </c>
      <c r="K302" s="275"/>
      <c r="L302" s="275"/>
      <c r="M302" s="275"/>
      <c r="N302" s="275"/>
      <c r="O302" s="271" t="s">
        <v>5</v>
      </c>
      <c r="P302" s="276">
        <v>45505</v>
      </c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</row>
    <row r="303" spans="1:47" ht="17.25" hidden="1" customHeight="1" x14ac:dyDescent="0.35">
      <c r="A303" s="270">
        <v>12</v>
      </c>
      <c r="B303" s="271" t="s">
        <v>12</v>
      </c>
      <c r="C303" s="272" t="s">
        <v>705</v>
      </c>
      <c r="D303" s="272" t="s">
        <v>706</v>
      </c>
      <c r="E303" s="273">
        <v>5</v>
      </c>
      <c r="F303" s="274" t="s">
        <v>707</v>
      </c>
      <c r="G303" s="275" t="s">
        <v>708</v>
      </c>
      <c r="H303" s="272">
        <v>5105098478</v>
      </c>
      <c r="I303" s="275" t="s">
        <v>709</v>
      </c>
      <c r="J303" s="274" t="s">
        <v>710</v>
      </c>
      <c r="K303" s="275"/>
      <c r="L303" s="275"/>
      <c r="M303" s="275"/>
      <c r="N303" s="275" t="s">
        <v>102</v>
      </c>
      <c r="O303" s="271" t="s">
        <v>5</v>
      </c>
      <c r="P303" s="276">
        <v>45505</v>
      </c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</row>
    <row r="304" spans="1:47" ht="15" hidden="1" customHeight="1" x14ac:dyDescent="0.35">
      <c r="A304" s="277">
        <v>1</v>
      </c>
      <c r="B304" s="278" t="s">
        <v>14</v>
      </c>
      <c r="C304" s="279" t="s">
        <v>711</v>
      </c>
      <c r="D304" s="279" t="s">
        <v>712</v>
      </c>
      <c r="E304" s="280" t="s">
        <v>713</v>
      </c>
      <c r="F304" s="281" t="s">
        <v>714</v>
      </c>
      <c r="G304" s="282" t="s">
        <v>715</v>
      </c>
      <c r="H304" s="283">
        <v>4158287529</v>
      </c>
      <c r="I304" s="282" t="s">
        <v>178</v>
      </c>
      <c r="J304" s="281" t="s">
        <v>716</v>
      </c>
      <c r="K304" s="282"/>
      <c r="L304" s="282"/>
      <c r="M304" s="282"/>
      <c r="N304" s="282"/>
      <c r="O304" s="278" t="s">
        <v>5</v>
      </c>
      <c r="P304" s="284">
        <v>45536</v>
      </c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  <c r="AL304" s="285"/>
      <c r="AM304" s="285"/>
      <c r="AN304" s="285"/>
      <c r="AO304" s="285"/>
      <c r="AP304" s="285"/>
      <c r="AQ304" s="285"/>
      <c r="AR304" s="285"/>
      <c r="AS304" s="285"/>
      <c r="AT304" s="285"/>
      <c r="AU304" s="285"/>
    </row>
    <row r="305" spans="1:47" ht="15" hidden="1" customHeight="1" x14ac:dyDescent="0.35">
      <c r="A305" s="277">
        <v>2</v>
      </c>
      <c r="B305" s="278" t="s">
        <v>12</v>
      </c>
      <c r="C305" s="279" t="s">
        <v>711</v>
      </c>
      <c r="D305" s="279" t="s">
        <v>712</v>
      </c>
      <c r="E305" s="280" t="s">
        <v>713</v>
      </c>
      <c r="F305" s="281" t="s">
        <v>714</v>
      </c>
      <c r="G305" s="282" t="s">
        <v>715</v>
      </c>
      <c r="H305" s="283">
        <v>4158287529</v>
      </c>
      <c r="I305" s="282" t="s">
        <v>178</v>
      </c>
      <c r="J305" s="281" t="s">
        <v>716</v>
      </c>
      <c r="K305" s="282"/>
      <c r="L305" s="282"/>
      <c r="M305" s="282"/>
      <c r="N305" s="282" t="s">
        <v>102</v>
      </c>
      <c r="O305" s="278" t="s">
        <v>5</v>
      </c>
      <c r="P305" s="284">
        <v>45536</v>
      </c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  <c r="AL305" s="285"/>
      <c r="AM305" s="285"/>
      <c r="AN305" s="285"/>
      <c r="AO305" s="285"/>
      <c r="AP305" s="285"/>
      <c r="AQ305" s="285"/>
      <c r="AR305" s="285"/>
      <c r="AS305" s="285"/>
      <c r="AT305" s="285"/>
      <c r="AU305" s="285"/>
    </row>
    <row r="306" spans="1:47" ht="15" hidden="1" customHeight="1" x14ac:dyDescent="0.35">
      <c r="A306" s="277">
        <v>3</v>
      </c>
      <c r="B306" s="278" t="s">
        <v>14</v>
      </c>
      <c r="C306" s="286" t="s">
        <v>717</v>
      </c>
      <c r="D306" s="286" t="s">
        <v>718</v>
      </c>
      <c r="E306" s="277">
        <v>5</v>
      </c>
      <c r="F306" s="287">
        <v>41572</v>
      </c>
      <c r="G306" s="288" t="s">
        <v>719</v>
      </c>
      <c r="H306" s="289">
        <v>6503838201</v>
      </c>
      <c r="I306" s="288" t="s">
        <v>720</v>
      </c>
      <c r="J306" s="287">
        <v>45232</v>
      </c>
      <c r="K306" s="288"/>
      <c r="L306" s="288"/>
      <c r="M306" s="288"/>
      <c r="N306" s="288" t="s">
        <v>721</v>
      </c>
      <c r="O306" s="278" t="s">
        <v>5</v>
      </c>
      <c r="P306" s="284">
        <v>45536</v>
      </c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  <c r="AL306" s="285"/>
      <c r="AM306" s="285"/>
      <c r="AN306" s="285"/>
      <c r="AO306" s="285"/>
      <c r="AP306" s="285"/>
      <c r="AQ306" s="285"/>
      <c r="AR306" s="285"/>
      <c r="AS306" s="285"/>
      <c r="AT306" s="285"/>
      <c r="AU306" s="285"/>
    </row>
    <row r="307" spans="1:47" ht="15" hidden="1" customHeight="1" x14ac:dyDescent="0.35">
      <c r="A307" s="277">
        <v>4</v>
      </c>
      <c r="B307" s="278" t="s">
        <v>14</v>
      </c>
      <c r="C307" s="279" t="s">
        <v>722</v>
      </c>
      <c r="D307" s="279" t="s">
        <v>723</v>
      </c>
      <c r="E307" s="280">
        <v>4</v>
      </c>
      <c r="F307" s="281" t="s">
        <v>724</v>
      </c>
      <c r="G307" s="282" t="s">
        <v>725</v>
      </c>
      <c r="H307" s="283">
        <v>6028204006</v>
      </c>
      <c r="I307" s="282" t="s">
        <v>726</v>
      </c>
      <c r="J307" s="281" t="s">
        <v>727</v>
      </c>
      <c r="K307" s="282"/>
      <c r="L307" s="282"/>
      <c r="M307" s="282"/>
      <c r="N307" s="282"/>
      <c r="O307" s="278" t="s">
        <v>5</v>
      </c>
      <c r="P307" s="284">
        <v>45536</v>
      </c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  <c r="AL307" s="285"/>
      <c r="AM307" s="285"/>
      <c r="AN307" s="285"/>
      <c r="AO307" s="285"/>
      <c r="AP307" s="285"/>
      <c r="AQ307" s="285"/>
      <c r="AR307" s="285"/>
      <c r="AS307" s="285"/>
      <c r="AT307" s="285"/>
      <c r="AU307" s="285"/>
    </row>
    <row r="308" spans="1:47" ht="15" hidden="1" customHeight="1" x14ac:dyDescent="0.35">
      <c r="A308" s="277">
        <v>5</v>
      </c>
      <c r="B308" s="278" t="s">
        <v>12</v>
      </c>
      <c r="C308" s="279" t="s">
        <v>722</v>
      </c>
      <c r="D308" s="279" t="s">
        <v>723</v>
      </c>
      <c r="E308" s="280">
        <v>4</v>
      </c>
      <c r="F308" s="281" t="s">
        <v>724</v>
      </c>
      <c r="G308" s="282" t="s">
        <v>725</v>
      </c>
      <c r="H308" s="283">
        <v>6028204006</v>
      </c>
      <c r="I308" s="282" t="s">
        <v>726</v>
      </c>
      <c r="J308" s="281" t="s">
        <v>727</v>
      </c>
      <c r="K308" s="282"/>
      <c r="L308" s="282"/>
      <c r="M308" s="282"/>
      <c r="N308" s="282" t="s">
        <v>102</v>
      </c>
      <c r="O308" s="278" t="s">
        <v>5</v>
      </c>
      <c r="P308" s="284">
        <v>45536</v>
      </c>
      <c r="Q308" s="290"/>
      <c r="R308" s="290"/>
      <c r="S308" s="290"/>
      <c r="T308" s="290"/>
      <c r="U308" s="290"/>
      <c r="V308" s="290"/>
      <c r="W308" s="290"/>
      <c r="X308" s="290"/>
      <c r="Y308" s="290"/>
      <c r="Z308" s="290"/>
      <c r="AA308" s="290"/>
      <c r="AB308" s="290"/>
      <c r="AC308" s="290"/>
      <c r="AD308" s="290"/>
      <c r="AE308" s="290"/>
      <c r="AF308" s="290"/>
      <c r="AG308" s="290"/>
      <c r="AH308" s="290"/>
      <c r="AI308" s="290"/>
      <c r="AJ308" s="290"/>
      <c r="AK308" s="290"/>
      <c r="AL308" s="290"/>
      <c r="AM308" s="290"/>
      <c r="AN308" s="290"/>
      <c r="AO308" s="290"/>
      <c r="AP308" s="290"/>
      <c r="AQ308" s="290"/>
      <c r="AR308" s="290"/>
      <c r="AS308" s="290"/>
      <c r="AT308" s="290"/>
      <c r="AU308" s="290"/>
    </row>
    <row r="309" spans="1:47" ht="15" hidden="1" customHeight="1" x14ac:dyDescent="0.35">
      <c r="A309" s="277">
        <v>6</v>
      </c>
      <c r="B309" s="278" t="s">
        <v>14</v>
      </c>
      <c r="C309" s="279" t="s">
        <v>728</v>
      </c>
      <c r="D309" s="279" t="s">
        <v>729</v>
      </c>
      <c r="E309" s="280" t="s">
        <v>76</v>
      </c>
      <c r="F309" s="281" t="s">
        <v>730</v>
      </c>
      <c r="G309" s="282" t="s">
        <v>731</v>
      </c>
      <c r="H309" s="283">
        <v>4052306385</v>
      </c>
      <c r="I309" s="282" t="s">
        <v>732</v>
      </c>
      <c r="J309" s="281" t="s">
        <v>208</v>
      </c>
      <c r="K309" s="282"/>
      <c r="L309" s="282"/>
      <c r="M309" s="282"/>
      <c r="N309" s="282"/>
      <c r="O309" s="278" t="s">
        <v>5</v>
      </c>
      <c r="P309" s="284">
        <v>45536</v>
      </c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B309" s="285"/>
      <c r="AC309" s="285"/>
      <c r="AD309" s="285"/>
      <c r="AE309" s="285"/>
      <c r="AF309" s="285"/>
      <c r="AG309" s="285"/>
      <c r="AH309" s="285"/>
      <c r="AI309" s="285"/>
      <c r="AJ309" s="285"/>
      <c r="AK309" s="285"/>
      <c r="AL309" s="285"/>
      <c r="AM309" s="285"/>
      <c r="AN309" s="285"/>
      <c r="AO309" s="285"/>
      <c r="AP309" s="285"/>
      <c r="AQ309" s="285"/>
      <c r="AR309" s="285"/>
      <c r="AS309" s="285"/>
      <c r="AT309" s="285"/>
      <c r="AU309" s="285"/>
    </row>
    <row r="310" spans="1:47" ht="15" hidden="1" customHeight="1" x14ac:dyDescent="0.35">
      <c r="A310" s="277">
        <v>7</v>
      </c>
      <c r="B310" s="278" t="s">
        <v>14</v>
      </c>
      <c r="C310" s="279" t="s">
        <v>733</v>
      </c>
      <c r="D310" s="279" t="s">
        <v>734</v>
      </c>
      <c r="E310" s="280" t="s">
        <v>76</v>
      </c>
      <c r="F310" s="281" t="s">
        <v>730</v>
      </c>
      <c r="G310" s="282" t="s">
        <v>731</v>
      </c>
      <c r="H310" s="283">
        <v>4052306385</v>
      </c>
      <c r="I310" s="282" t="s">
        <v>732</v>
      </c>
      <c r="J310" s="281" t="s">
        <v>208</v>
      </c>
      <c r="K310" s="282"/>
      <c r="L310" s="282"/>
      <c r="M310" s="282"/>
      <c r="N310" s="282"/>
      <c r="O310" s="278" t="s">
        <v>5</v>
      </c>
      <c r="P310" s="284">
        <v>45536</v>
      </c>
      <c r="Q310" s="290"/>
      <c r="R310" s="290"/>
      <c r="S310" s="290"/>
      <c r="T310" s="290"/>
      <c r="U310" s="290"/>
      <c r="V310" s="290"/>
      <c r="W310" s="290"/>
      <c r="X310" s="290"/>
      <c r="Y310" s="290"/>
      <c r="Z310" s="290"/>
      <c r="AA310" s="290"/>
      <c r="AB310" s="290"/>
      <c r="AC310" s="290"/>
      <c r="AD310" s="290"/>
      <c r="AE310" s="290"/>
      <c r="AF310" s="290"/>
      <c r="AG310" s="290"/>
      <c r="AH310" s="290"/>
      <c r="AI310" s="290"/>
      <c r="AJ310" s="290"/>
      <c r="AK310" s="290"/>
      <c r="AL310" s="290"/>
      <c r="AM310" s="290"/>
      <c r="AN310" s="290"/>
      <c r="AO310" s="290"/>
      <c r="AP310" s="290"/>
      <c r="AQ310" s="290"/>
      <c r="AR310" s="290"/>
      <c r="AS310" s="290"/>
      <c r="AT310" s="290"/>
      <c r="AU310" s="290"/>
    </row>
    <row r="311" spans="1:47" ht="15" hidden="1" customHeight="1" x14ac:dyDescent="0.35">
      <c r="A311" s="277">
        <v>8</v>
      </c>
      <c r="B311" s="291" t="s">
        <v>14</v>
      </c>
      <c r="C311" s="292" t="s">
        <v>735</v>
      </c>
      <c r="D311" s="292" t="s">
        <v>736</v>
      </c>
      <c r="E311" s="293" t="s">
        <v>76</v>
      </c>
      <c r="F311" s="294" t="s">
        <v>737</v>
      </c>
      <c r="G311" s="295" t="s">
        <v>738</v>
      </c>
      <c r="H311" s="296">
        <v>6692158549</v>
      </c>
      <c r="I311" s="295" t="s">
        <v>739</v>
      </c>
      <c r="J311" s="294" t="s">
        <v>208</v>
      </c>
      <c r="K311" s="295"/>
      <c r="L311" s="295"/>
      <c r="M311" s="295"/>
      <c r="N311" s="295"/>
      <c r="O311" s="291" t="s">
        <v>5</v>
      </c>
      <c r="P311" s="297">
        <v>45536</v>
      </c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  <c r="AL311" s="285"/>
      <c r="AM311" s="285"/>
      <c r="AN311" s="285"/>
      <c r="AO311" s="285"/>
      <c r="AP311" s="285"/>
      <c r="AQ311" s="285"/>
      <c r="AR311" s="285"/>
      <c r="AS311" s="285"/>
      <c r="AT311" s="285"/>
      <c r="AU311" s="285"/>
    </row>
    <row r="312" spans="1:47" ht="17.25" hidden="1" customHeight="1" x14ac:dyDescent="0.35">
      <c r="A312" s="277">
        <v>9</v>
      </c>
      <c r="B312" s="298" t="s">
        <v>14</v>
      </c>
      <c r="C312" s="299" t="s">
        <v>218</v>
      </c>
      <c r="D312" s="299" t="s">
        <v>740</v>
      </c>
      <c r="E312" s="300">
        <v>4</v>
      </c>
      <c r="F312" s="301">
        <v>41496</v>
      </c>
      <c r="G312" s="302" t="s">
        <v>741</v>
      </c>
      <c r="H312" s="303">
        <v>4156099128</v>
      </c>
      <c r="I312" s="302" t="s">
        <v>742</v>
      </c>
      <c r="J312" s="301">
        <v>45082</v>
      </c>
      <c r="K312" s="302"/>
      <c r="L312" s="302"/>
      <c r="M312" s="302"/>
      <c r="N312" s="302"/>
      <c r="O312" s="291" t="s">
        <v>5</v>
      </c>
      <c r="P312" s="297">
        <v>45536</v>
      </c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  <c r="AH312" s="304"/>
      <c r="AI312" s="304"/>
      <c r="AJ312" s="304"/>
      <c r="AK312" s="304"/>
      <c r="AL312" s="304"/>
      <c r="AM312" s="304"/>
      <c r="AN312" s="304"/>
      <c r="AO312" s="304"/>
      <c r="AP312" s="304"/>
      <c r="AQ312" s="304"/>
      <c r="AR312" s="304"/>
      <c r="AS312" s="304"/>
      <c r="AT312" s="304"/>
      <c r="AU312" s="304"/>
    </row>
    <row r="313" spans="1:47" ht="17.25" hidden="1" customHeight="1" x14ac:dyDescent="0.35">
      <c r="A313" s="277">
        <v>10</v>
      </c>
      <c r="B313" s="298" t="s">
        <v>12</v>
      </c>
      <c r="C313" s="299" t="s">
        <v>218</v>
      </c>
      <c r="D313" s="299" t="s">
        <v>740</v>
      </c>
      <c r="E313" s="300">
        <v>4</v>
      </c>
      <c r="F313" s="301">
        <v>41496</v>
      </c>
      <c r="G313" s="302" t="s">
        <v>741</v>
      </c>
      <c r="H313" s="303">
        <v>4156099128</v>
      </c>
      <c r="I313" s="302" t="s">
        <v>742</v>
      </c>
      <c r="J313" s="301">
        <v>45082</v>
      </c>
      <c r="K313" s="302"/>
      <c r="L313" s="302"/>
      <c r="M313" s="302"/>
      <c r="N313" s="302"/>
      <c r="O313" s="291" t="s">
        <v>5</v>
      </c>
      <c r="P313" s="297">
        <v>45536</v>
      </c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</row>
    <row r="314" spans="1:47" ht="17.25" hidden="1" customHeight="1" x14ac:dyDescent="0.35">
      <c r="A314" s="277">
        <v>11</v>
      </c>
      <c r="B314" s="298" t="s">
        <v>14</v>
      </c>
      <c r="C314" s="299" t="s">
        <v>218</v>
      </c>
      <c r="D314" s="299" t="s">
        <v>743</v>
      </c>
      <c r="E314" s="300">
        <v>1</v>
      </c>
      <c r="F314" s="301">
        <v>42757</v>
      </c>
      <c r="G314" s="302" t="s">
        <v>741</v>
      </c>
      <c r="H314" s="303">
        <v>4156099128</v>
      </c>
      <c r="I314" s="302" t="s">
        <v>742</v>
      </c>
      <c r="J314" s="301">
        <v>45082</v>
      </c>
      <c r="K314" s="302"/>
      <c r="L314" s="302"/>
      <c r="M314" s="302"/>
      <c r="N314" s="302"/>
      <c r="O314" s="291" t="s">
        <v>5</v>
      </c>
      <c r="P314" s="297">
        <v>45536</v>
      </c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  <c r="AH314" s="304"/>
      <c r="AI314" s="304"/>
      <c r="AJ314" s="304"/>
      <c r="AK314" s="304"/>
      <c r="AL314" s="304"/>
      <c r="AM314" s="304"/>
      <c r="AN314" s="304"/>
      <c r="AO314" s="304"/>
      <c r="AP314" s="304"/>
      <c r="AQ314" s="304"/>
      <c r="AR314" s="304"/>
      <c r="AS314" s="304"/>
      <c r="AT314" s="304"/>
      <c r="AU314" s="304"/>
    </row>
    <row r="315" spans="1:47" ht="17.25" hidden="1" customHeight="1" x14ac:dyDescent="0.35">
      <c r="A315" s="277">
        <v>12</v>
      </c>
      <c r="B315" s="298" t="s">
        <v>12</v>
      </c>
      <c r="C315" s="299" t="s">
        <v>218</v>
      </c>
      <c r="D315" s="299" t="s">
        <v>743</v>
      </c>
      <c r="E315" s="300">
        <v>1</v>
      </c>
      <c r="F315" s="301">
        <v>42757</v>
      </c>
      <c r="G315" s="302" t="s">
        <v>741</v>
      </c>
      <c r="H315" s="303">
        <v>4156099128</v>
      </c>
      <c r="I315" s="302" t="s">
        <v>742</v>
      </c>
      <c r="J315" s="301">
        <v>45082</v>
      </c>
      <c r="K315" s="302"/>
      <c r="L315" s="302"/>
      <c r="M315" s="302"/>
      <c r="N315" s="302"/>
      <c r="O315" s="291" t="s">
        <v>5</v>
      </c>
      <c r="P315" s="297">
        <v>45536</v>
      </c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  <c r="AB315" s="215"/>
      <c r="AC315" s="215"/>
      <c r="AD315" s="215"/>
      <c r="AE315" s="215"/>
      <c r="AF315" s="215"/>
      <c r="AG315" s="215"/>
      <c r="AH315" s="215"/>
      <c r="AI315" s="215"/>
      <c r="AJ315" s="215"/>
      <c r="AK315" s="215"/>
      <c r="AL315" s="215"/>
      <c r="AM315" s="215"/>
      <c r="AN315" s="215"/>
      <c r="AO315" s="215"/>
      <c r="AP315" s="215"/>
      <c r="AQ315" s="215"/>
      <c r="AR315" s="215"/>
      <c r="AS315" s="215"/>
      <c r="AT315" s="215"/>
      <c r="AU315" s="215"/>
    </row>
    <row r="316" spans="1:47" ht="17.25" hidden="1" customHeight="1" x14ac:dyDescent="0.35">
      <c r="A316" s="277">
        <v>13</v>
      </c>
      <c r="B316" s="305" t="s">
        <v>14</v>
      </c>
      <c r="C316" s="306" t="s">
        <v>744</v>
      </c>
      <c r="D316" s="306" t="s">
        <v>745</v>
      </c>
      <c r="E316" s="305">
        <v>4</v>
      </c>
      <c r="F316" s="306" t="s">
        <v>746</v>
      </c>
      <c r="G316" s="306" t="s">
        <v>747</v>
      </c>
      <c r="H316" s="306">
        <v>5103144836</v>
      </c>
      <c r="I316" s="307" t="s">
        <v>748</v>
      </c>
      <c r="J316" s="306" t="s">
        <v>749</v>
      </c>
      <c r="K316" s="306"/>
      <c r="L316" s="306"/>
      <c r="M316" s="306"/>
      <c r="N316" s="306" t="s">
        <v>750</v>
      </c>
      <c r="O316" s="291" t="s">
        <v>5</v>
      </c>
      <c r="P316" s="297">
        <v>45536</v>
      </c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  <c r="AA316" s="308"/>
      <c r="AB316" s="308"/>
      <c r="AC316" s="308"/>
      <c r="AD316" s="308"/>
      <c r="AE316" s="308"/>
      <c r="AF316" s="308"/>
      <c r="AG316" s="308"/>
      <c r="AH316" s="308"/>
      <c r="AI316" s="308"/>
      <c r="AJ316" s="308"/>
      <c r="AK316" s="308"/>
      <c r="AL316" s="308"/>
      <c r="AM316" s="308"/>
      <c r="AN316" s="308"/>
      <c r="AO316" s="308"/>
      <c r="AP316" s="308"/>
      <c r="AQ316" s="308"/>
      <c r="AR316" s="308"/>
      <c r="AS316" s="308"/>
      <c r="AT316" s="308"/>
      <c r="AU316" s="308"/>
    </row>
    <row r="317" spans="1:47" ht="17.25" hidden="1" customHeight="1" x14ac:dyDescent="0.35">
      <c r="A317" s="277">
        <v>14</v>
      </c>
      <c r="B317" s="305" t="s">
        <v>12</v>
      </c>
      <c r="C317" s="306" t="s">
        <v>744</v>
      </c>
      <c r="D317" s="306" t="s">
        <v>745</v>
      </c>
      <c r="E317" s="305">
        <v>4</v>
      </c>
      <c r="F317" s="306" t="s">
        <v>746</v>
      </c>
      <c r="G317" s="306" t="s">
        <v>747</v>
      </c>
      <c r="H317" s="306">
        <v>5103144836</v>
      </c>
      <c r="I317" s="307" t="s">
        <v>748</v>
      </c>
      <c r="J317" s="306" t="s">
        <v>749</v>
      </c>
      <c r="K317" s="306"/>
      <c r="L317" s="306"/>
      <c r="M317" s="306"/>
      <c r="N317" s="306"/>
      <c r="O317" s="291" t="s">
        <v>5</v>
      </c>
      <c r="P317" s="297">
        <v>45536</v>
      </c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  <c r="AA317" s="308"/>
      <c r="AB317" s="308"/>
      <c r="AC317" s="308"/>
      <c r="AD317" s="308"/>
      <c r="AE317" s="308"/>
      <c r="AF317" s="308"/>
      <c r="AG317" s="308"/>
      <c r="AH317" s="308"/>
      <c r="AI317" s="308"/>
      <c r="AJ317" s="308"/>
      <c r="AK317" s="308"/>
      <c r="AL317" s="308"/>
      <c r="AM317" s="308"/>
      <c r="AN317" s="308"/>
      <c r="AO317" s="308"/>
      <c r="AP317" s="308"/>
      <c r="AQ317" s="308"/>
      <c r="AR317" s="308"/>
      <c r="AS317" s="308"/>
      <c r="AT317" s="308"/>
      <c r="AU317" s="308"/>
    </row>
    <row r="318" spans="1:47" ht="17.25" hidden="1" customHeight="1" x14ac:dyDescent="0.35">
      <c r="A318" s="277">
        <v>15</v>
      </c>
      <c r="B318" s="298" t="s">
        <v>14</v>
      </c>
      <c r="C318" s="302" t="s">
        <v>751</v>
      </c>
      <c r="D318" s="302" t="s">
        <v>752</v>
      </c>
      <c r="E318" s="300">
        <v>4</v>
      </c>
      <c r="F318" s="302" t="s">
        <v>753</v>
      </c>
      <c r="G318" s="302" t="s">
        <v>754</v>
      </c>
      <c r="H318" s="303">
        <v>4436532199</v>
      </c>
      <c r="I318" s="302" t="s">
        <v>650</v>
      </c>
      <c r="J318" s="302" t="s">
        <v>80</v>
      </c>
      <c r="K318" s="309"/>
      <c r="L318" s="309"/>
      <c r="M318" s="309"/>
      <c r="N318" s="309" t="s">
        <v>755</v>
      </c>
      <c r="O318" s="291" t="s">
        <v>5</v>
      </c>
      <c r="P318" s="297">
        <v>45536</v>
      </c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  <c r="AH318" s="310"/>
      <c r="AI318" s="310"/>
      <c r="AJ318" s="310"/>
      <c r="AK318" s="310"/>
      <c r="AL318" s="310"/>
      <c r="AM318" s="310"/>
      <c r="AN318" s="310"/>
      <c r="AO318" s="310"/>
      <c r="AP318" s="310"/>
      <c r="AQ318" s="310"/>
      <c r="AR318" s="310"/>
      <c r="AS318" s="310"/>
      <c r="AT318" s="310"/>
      <c r="AU318" s="310"/>
    </row>
    <row r="319" spans="1:47" ht="17.25" hidden="1" customHeight="1" x14ac:dyDescent="0.35">
      <c r="A319" s="277">
        <v>16</v>
      </c>
      <c r="B319" s="298" t="s">
        <v>12</v>
      </c>
      <c r="C319" s="302" t="s">
        <v>751</v>
      </c>
      <c r="D319" s="302" t="s">
        <v>752</v>
      </c>
      <c r="E319" s="300">
        <v>4</v>
      </c>
      <c r="F319" s="302" t="s">
        <v>753</v>
      </c>
      <c r="G319" s="302" t="s">
        <v>754</v>
      </c>
      <c r="H319" s="303">
        <v>4436532199</v>
      </c>
      <c r="I319" s="302" t="s">
        <v>650</v>
      </c>
      <c r="J319" s="302" t="s">
        <v>80</v>
      </c>
      <c r="K319" s="309"/>
      <c r="L319" s="309"/>
      <c r="M319" s="309"/>
      <c r="N319" s="309" t="s">
        <v>755</v>
      </c>
      <c r="O319" s="291" t="s">
        <v>5</v>
      </c>
      <c r="P319" s="297">
        <v>45536</v>
      </c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  <c r="AH319" s="310"/>
      <c r="AI319" s="310"/>
      <c r="AJ319" s="310"/>
      <c r="AK319" s="310"/>
      <c r="AL319" s="310"/>
      <c r="AM319" s="310"/>
      <c r="AN319" s="310"/>
      <c r="AO319" s="310"/>
      <c r="AP319" s="310"/>
      <c r="AQ319" s="310"/>
      <c r="AR319" s="310"/>
      <c r="AS319" s="310"/>
      <c r="AT319" s="310"/>
      <c r="AU319" s="310"/>
    </row>
    <row r="320" spans="1:47" ht="15" hidden="1" customHeight="1" x14ac:dyDescent="0.35">
      <c r="A320" s="311">
        <v>1</v>
      </c>
      <c r="B320" s="312" t="s">
        <v>14</v>
      </c>
      <c r="C320" s="313" t="s">
        <v>744</v>
      </c>
      <c r="D320" s="313" t="s">
        <v>745</v>
      </c>
      <c r="E320" s="314">
        <v>4</v>
      </c>
      <c r="F320" s="315">
        <v>42071</v>
      </c>
      <c r="G320" s="313" t="s">
        <v>747</v>
      </c>
      <c r="H320" s="316">
        <v>5103144836</v>
      </c>
      <c r="I320" s="313" t="s">
        <v>748</v>
      </c>
      <c r="J320" s="315">
        <v>45530</v>
      </c>
      <c r="K320" s="313"/>
      <c r="L320" s="313"/>
      <c r="M320" s="313"/>
      <c r="N320" s="313" t="s">
        <v>750</v>
      </c>
      <c r="O320" s="314" t="s">
        <v>5</v>
      </c>
      <c r="P320" s="297">
        <v>45566</v>
      </c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  <c r="AI320" s="317"/>
      <c r="AJ320" s="317"/>
      <c r="AK320" s="317"/>
      <c r="AL320" s="317"/>
      <c r="AM320" s="317"/>
      <c r="AN320" s="317"/>
      <c r="AO320" s="317"/>
      <c r="AP320" s="317"/>
      <c r="AQ320" s="317"/>
      <c r="AR320" s="317"/>
      <c r="AS320" s="317"/>
      <c r="AT320" s="310"/>
      <c r="AU320" s="310"/>
    </row>
    <row r="321" spans="1:49" ht="15" hidden="1" customHeight="1" x14ac:dyDescent="0.35">
      <c r="A321" s="311">
        <v>2</v>
      </c>
      <c r="B321" s="312" t="s">
        <v>12</v>
      </c>
      <c r="C321" s="313" t="s">
        <v>744</v>
      </c>
      <c r="D321" s="313" t="s">
        <v>745</v>
      </c>
      <c r="E321" s="314">
        <v>4</v>
      </c>
      <c r="F321" s="315">
        <v>42071</v>
      </c>
      <c r="G321" s="313" t="s">
        <v>747</v>
      </c>
      <c r="H321" s="316">
        <v>5103144836</v>
      </c>
      <c r="I321" s="313" t="s">
        <v>748</v>
      </c>
      <c r="J321" s="315">
        <v>45530</v>
      </c>
      <c r="K321" s="313"/>
      <c r="L321" s="313"/>
      <c r="M321" s="313"/>
      <c r="N321" s="313"/>
      <c r="O321" s="314" t="s">
        <v>5</v>
      </c>
      <c r="P321" s="297">
        <v>45566</v>
      </c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  <c r="AI321" s="317"/>
      <c r="AJ321" s="317"/>
      <c r="AK321" s="317"/>
      <c r="AL321" s="317"/>
      <c r="AM321" s="317"/>
      <c r="AN321" s="317"/>
      <c r="AO321" s="317"/>
      <c r="AP321" s="317"/>
      <c r="AQ321" s="317"/>
      <c r="AR321" s="317"/>
      <c r="AS321" s="317"/>
      <c r="AT321" s="310"/>
      <c r="AU321" s="310"/>
    </row>
    <row r="322" spans="1:49" ht="16" hidden="1" x14ac:dyDescent="0.35">
      <c r="A322" s="311">
        <v>3</v>
      </c>
      <c r="B322" s="312" t="s">
        <v>14</v>
      </c>
      <c r="C322" s="313" t="s">
        <v>751</v>
      </c>
      <c r="D322" s="313" t="s">
        <v>752</v>
      </c>
      <c r="E322" s="314">
        <v>4</v>
      </c>
      <c r="F322" s="315">
        <v>42177</v>
      </c>
      <c r="G322" s="313" t="s">
        <v>754</v>
      </c>
      <c r="H322" s="316">
        <v>4436532199</v>
      </c>
      <c r="I322" s="313" t="s">
        <v>650</v>
      </c>
      <c r="J322" s="315">
        <v>45520</v>
      </c>
      <c r="K322" s="313"/>
      <c r="L322" s="313"/>
      <c r="M322" s="313"/>
      <c r="N322" s="313" t="s">
        <v>756</v>
      </c>
      <c r="O322" s="314" t="s">
        <v>5</v>
      </c>
      <c r="P322" s="297">
        <v>45566</v>
      </c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  <c r="AI322" s="317"/>
      <c r="AJ322" s="317"/>
      <c r="AK322" s="317"/>
      <c r="AL322" s="317"/>
      <c r="AM322" s="317"/>
      <c r="AN322" s="317"/>
      <c r="AO322" s="317"/>
      <c r="AP322" s="317"/>
      <c r="AQ322" s="317"/>
      <c r="AR322" s="317"/>
      <c r="AS322" s="317"/>
      <c r="AT322" s="215"/>
      <c r="AU322" s="215"/>
    </row>
    <row r="323" spans="1:49" ht="15" hidden="1" customHeight="1" x14ac:dyDescent="0.35">
      <c r="A323" s="311">
        <v>4</v>
      </c>
      <c r="B323" s="312" t="s">
        <v>12</v>
      </c>
      <c r="C323" s="313" t="s">
        <v>751</v>
      </c>
      <c r="D323" s="313" t="s">
        <v>752</v>
      </c>
      <c r="E323" s="314">
        <v>4</v>
      </c>
      <c r="F323" s="315">
        <v>42177</v>
      </c>
      <c r="G323" s="313" t="s">
        <v>754</v>
      </c>
      <c r="H323" s="316">
        <v>4436532199</v>
      </c>
      <c r="I323" s="313" t="s">
        <v>650</v>
      </c>
      <c r="J323" s="315">
        <v>45520</v>
      </c>
      <c r="K323" s="313"/>
      <c r="L323" s="313"/>
      <c r="M323" s="313"/>
      <c r="N323" s="313" t="s">
        <v>756</v>
      </c>
      <c r="O323" s="314" t="s">
        <v>5</v>
      </c>
      <c r="P323" s="297">
        <v>45566</v>
      </c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  <c r="AI323" s="317"/>
      <c r="AJ323" s="317"/>
      <c r="AK323" s="317"/>
      <c r="AL323" s="317"/>
      <c r="AM323" s="317"/>
      <c r="AN323" s="317"/>
      <c r="AO323" s="317"/>
      <c r="AP323" s="317"/>
      <c r="AQ323" s="317"/>
      <c r="AR323" s="317"/>
      <c r="AS323" s="317"/>
      <c r="AT323" s="215"/>
      <c r="AU323" s="215"/>
    </row>
    <row r="324" spans="1:49" ht="15" hidden="1" customHeight="1" x14ac:dyDescent="0.35">
      <c r="A324" s="20">
        <v>1</v>
      </c>
      <c r="B324" s="318" t="s">
        <v>14</v>
      </c>
      <c r="C324" s="319" t="s">
        <v>687</v>
      </c>
      <c r="D324" s="319" t="s">
        <v>688</v>
      </c>
      <c r="E324" s="9">
        <v>6</v>
      </c>
      <c r="F324" s="320">
        <v>40840</v>
      </c>
      <c r="G324" s="321" t="s">
        <v>690</v>
      </c>
      <c r="H324" s="322" t="s">
        <v>691</v>
      </c>
      <c r="I324" s="321" t="s">
        <v>692</v>
      </c>
      <c r="J324" s="320">
        <v>45536</v>
      </c>
      <c r="K324" s="321"/>
      <c r="L324" s="321"/>
      <c r="M324" s="321"/>
      <c r="N324" s="321" t="s">
        <v>757</v>
      </c>
      <c r="O324" s="318" t="s">
        <v>5</v>
      </c>
      <c r="P324" s="323">
        <v>45597</v>
      </c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7"/>
      <c r="AW324" s="7"/>
    </row>
    <row r="325" spans="1:49" ht="15" hidden="1" customHeight="1" x14ac:dyDescent="0.35">
      <c r="A325" s="20">
        <v>2</v>
      </c>
      <c r="B325" s="318" t="s">
        <v>12</v>
      </c>
      <c r="C325" s="319" t="s">
        <v>687</v>
      </c>
      <c r="D325" s="319" t="s">
        <v>695</v>
      </c>
      <c r="E325" s="9">
        <v>9</v>
      </c>
      <c r="F325" s="320">
        <v>39818</v>
      </c>
      <c r="G325" s="321" t="s">
        <v>690</v>
      </c>
      <c r="H325" s="322" t="s">
        <v>691</v>
      </c>
      <c r="I325" s="321" t="s">
        <v>692</v>
      </c>
      <c r="J325" s="320">
        <v>45536</v>
      </c>
      <c r="K325" s="321"/>
      <c r="L325" s="321"/>
      <c r="M325" s="321"/>
      <c r="N325" s="321" t="s">
        <v>757</v>
      </c>
      <c r="O325" s="318" t="s">
        <v>5</v>
      </c>
      <c r="P325" s="323">
        <v>45597</v>
      </c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7"/>
      <c r="AW325" s="7"/>
    </row>
    <row r="326" spans="1:49" ht="15" hidden="1" customHeight="1" x14ac:dyDescent="0.35">
      <c r="A326" s="20">
        <v>3</v>
      </c>
      <c r="B326" s="324" t="s">
        <v>14</v>
      </c>
      <c r="C326" s="319" t="s">
        <v>218</v>
      </c>
      <c r="D326" s="319" t="s">
        <v>740</v>
      </c>
      <c r="E326" s="9">
        <v>4</v>
      </c>
      <c r="F326" s="320">
        <v>41496</v>
      </c>
      <c r="G326" s="321" t="s">
        <v>741</v>
      </c>
      <c r="H326" s="322">
        <v>4156099128</v>
      </c>
      <c r="I326" s="321" t="s">
        <v>742</v>
      </c>
      <c r="J326" s="320">
        <v>45082</v>
      </c>
      <c r="K326" s="321"/>
      <c r="L326" s="321"/>
      <c r="M326" s="321"/>
      <c r="N326" s="321" t="s">
        <v>758</v>
      </c>
      <c r="O326" s="9" t="s">
        <v>5</v>
      </c>
      <c r="P326" s="323">
        <v>45597</v>
      </c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7"/>
      <c r="AW326" s="7"/>
    </row>
    <row r="327" spans="1:49" ht="15" hidden="1" customHeight="1" x14ac:dyDescent="0.35">
      <c r="A327" s="20">
        <v>4</v>
      </c>
      <c r="B327" s="324" t="s">
        <v>12</v>
      </c>
      <c r="C327" s="319" t="s">
        <v>218</v>
      </c>
      <c r="D327" s="319" t="s">
        <v>740</v>
      </c>
      <c r="E327" s="9">
        <v>4</v>
      </c>
      <c r="F327" s="320">
        <v>41496</v>
      </c>
      <c r="G327" s="321" t="s">
        <v>741</v>
      </c>
      <c r="H327" s="322">
        <v>4156099128</v>
      </c>
      <c r="I327" s="321" t="s">
        <v>742</v>
      </c>
      <c r="J327" s="320">
        <v>45082</v>
      </c>
      <c r="K327" s="321"/>
      <c r="L327" s="321"/>
      <c r="M327" s="321"/>
      <c r="N327" s="321" t="s">
        <v>758</v>
      </c>
      <c r="O327" s="9" t="s">
        <v>5</v>
      </c>
      <c r="P327" s="323">
        <v>45597</v>
      </c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7"/>
      <c r="AW327" s="7"/>
    </row>
    <row r="328" spans="1:49" ht="15" hidden="1" customHeight="1" x14ac:dyDescent="0.35">
      <c r="A328" s="20">
        <v>5</v>
      </c>
      <c r="B328" s="324" t="s">
        <v>14</v>
      </c>
      <c r="C328" s="319" t="s">
        <v>218</v>
      </c>
      <c r="D328" s="319" t="s">
        <v>743</v>
      </c>
      <c r="E328" s="9">
        <v>1</v>
      </c>
      <c r="F328" s="320">
        <v>42757</v>
      </c>
      <c r="G328" s="321" t="s">
        <v>741</v>
      </c>
      <c r="H328" s="322">
        <v>4156099128</v>
      </c>
      <c r="I328" s="321" t="s">
        <v>742</v>
      </c>
      <c r="J328" s="320">
        <v>45082</v>
      </c>
      <c r="K328" s="321"/>
      <c r="L328" s="321"/>
      <c r="M328" s="321"/>
      <c r="N328" s="321"/>
      <c r="O328" s="9" t="s">
        <v>5</v>
      </c>
      <c r="P328" s="323">
        <v>45597</v>
      </c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7"/>
      <c r="AW328" s="7"/>
    </row>
    <row r="329" spans="1:49" ht="15" hidden="1" customHeight="1" x14ac:dyDescent="0.35">
      <c r="A329" s="20">
        <v>6</v>
      </c>
      <c r="B329" s="324" t="s">
        <v>12</v>
      </c>
      <c r="C329" s="319" t="s">
        <v>218</v>
      </c>
      <c r="D329" s="319" t="s">
        <v>743</v>
      </c>
      <c r="E329" s="9">
        <v>1</v>
      </c>
      <c r="F329" s="320">
        <v>42757</v>
      </c>
      <c r="G329" s="321" t="s">
        <v>741</v>
      </c>
      <c r="H329" s="322">
        <v>4156099128</v>
      </c>
      <c r="I329" s="321" t="s">
        <v>742</v>
      </c>
      <c r="J329" s="320">
        <v>45082</v>
      </c>
      <c r="K329" s="321"/>
      <c r="L329" s="321"/>
      <c r="M329" s="321"/>
      <c r="N329" s="321"/>
      <c r="O329" s="9" t="s">
        <v>5</v>
      </c>
      <c r="P329" s="323">
        <v>45597</v>
      </c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7"/>
      <c r="AW329" s="7"/>
    </row>
    <row r="330" spans="1:49" ht="15" hidden="1" customHeight="1" x14ac:dyDescent="0.35">
      <c r="A330" s="20">
        <v>7</v>
      </c>
      <c r="B330" s="318" t="s">
        <v>14</v>
      </c>
      <c r="C330" s="325" t="s">
        <v>452</v>
      </c>
      <c r="D330" s="325" t="s">
        <v>673</v>
      </c>
      <c r="E330" s="326">
        <v>2</v>
      </c>
      <c r="F330" s="327">
        <v>42933</v>
      </c>
      <c r="G330" s="321" t="s">
        <v>674</v>
      </c>
      <c r="H330" s="322">
        <v>4083986905</v>
      </c>
      <c r="I330" s="321" t="s">
        <v>675</v>
      </c>
      <c r="J330" s="328" t="s">
        <v>80</v>
      </c>
      <c r="K330" s="328"/>
      <c r="L330" s="328"/>
      <c r="M330" s="328"/>
      <c r="N330" s="328" t="s">
        <v>759</v>
      </c>
      <c r="O330" s="318" t="s">
        <v>5</v>
      </c>
      <c r="P330" s="323">
        <v>45597</v>
      </c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7"/>
      <c r="AW330" s="7"/>
    </row>
    <row r="331" spans="1:49" ht="15" hidden="1" customHeight="1" x14ac:dyDescent="0.35">
      <c r="A331" s="20">
        <v>8</v>
      </c>
      <c r="B331" s="318" t="s">
        <v>12</v>
      </c>
      <c r="C331" s="325" t="s">
        <v>452</v>
      </c>
      <c r="D331" s="325" t="s">
        <v>673</v>
      </c>
      <c r="E331" s="326">
        <v>2</v>
      </c>
      <c r="F331" s="327">
        <v>42933</v>
      </c>
      <c r="G331" s="321" t="s">
        <v>674</v>
      </c>
      <c r="H331" s="322">
        <v>4083986905</v>
      </c>
      <c r="I331" s="321" t="s">
        <v>675</v>
      </c>
      <c r="J331" s="328" t="s">
        <v>80</v>
      </c>
      <c r="K331" s="328"/>
      <c r="L331" s="328"/>
      <c r="M331" s="328"/>
      <c r="N331" s="328"/>
      <c r="O331" s="318" t="s">
        <v>5</v>
      </c>
      <c r="P331" s="323">
        <v>45597</v>
      </c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7"/>
      <c r="AW331" s="7"/>
    </row>
    <row r="332" spans="1:49" ht="15" customHeight="1" x14ac:dyDescent="0.35">
      <c r="A332" s="20">
        <v>1</v>
      </c>
      <c r="B332" s="329" t="s">
        <v>14</v>
      </c>
      <c r="C332" s="330" t="s">
        <v>760</v>
      </c>
      <c r="D332" s="330" t="s">
        <v>761</v>
      </c>
      <c r="E332" s="331">
        <v>2</v>
      </c>
      <c r="F332" s="330">
        <v>42157</v>
      </c>
      <c r="G332" s="330" t="s">
        <v>762</v>
      </c>
      <c r="H332" s="332">
        <v>5857522132</v>
      </c>
      <c r="I332" s="330" t="s">
        <v>763</v>
      </c>
      <c r="J332" s="333">
        <v>45299</v>
      </c>
      <c r="K332" s="334"/>
      <c r="L332" s="334"/>
      <c r="M332" s="334"/>
      <c r="N332" s="335" t="s">
        <v>764</v>
      </c>
      <c r="O332" s="329" t="s">
        <v>5</v>
      </c>
      <c r="P332" s="336">
        <v>45627</v>
      </c>
      <c r="Q332" s="334"/>
      <c r="R332" s="334"/>
      <c r="S332" s="334"/>
      <c r="T332" s="334"/>
      <c r="U332" s="334"/>
      <c r="V332" s="334"/>
      <c r="W332" s="334"/>
      <c r="X332" s="334"/>
      <c r="Y332" s="334"/>
      <c r="Z332" s="334"/>
      <c r="AA332" s="334"/>
      <c r="AB332" s="334"/>
      <c r="AC332" s="334"/>
      <c r="AD332" s="334"/>
      <c r="AE332" s="334"/>
      <c r="AF332" s="334"/>
      <c r="AG332" s="334"/>
      <c r="AH332" s="334"/>
      <c r="AI332" s="334"/>
      <c r="AJ332" s="334"/>
      <c r="AK332" s="334"/>
      <c r="AL332" s="334"/>
      <c r="AM332" s="334"/>
      <c r="AN332" s="334"/>
      <c r="AO332" s="334"/>
      <c r="AP332" s="334"/>
      <c r="AQ332" s="334"/>
      <c r="AR332" s="334"/>
      <c r="AS332" s="334"/>
      <c r="AT332" s="334"/>
      <c r="AU332" s="334"/>
      <c r="AV332" s="334"/>
      <c r="AW332" s="334"/>
    </row>
    <row r="333" spans="1:49" ht="15" customHeight="1" x14ac:dyDescent="0.35">
      <c r="A333" s="20">
        <v>2</v>
      </c>
      <c r="B333" s="337" t="s">
        <v>12</v>
      </c>
      <c r="C333" s="335" t="s">
        <v>760</v>
      </c>
      <c r="D333" s="335" t="s">
        <v>761</v>
      </c>
      <c r="E333" s="338">
        <v>2</v>
      </c>
      <c r="F333" s="339">
        <v>42157</v>
      </c>
      <c r="G333" s="335" t="s">
        <v>762</v>
      </c>
      <c r="H333" s="335">
        <v>5857522132</v>
      </c>
      <c r="I333" s="335" t="s">
        <v>763</v>
      </c>
      <c r="J333" s="340">
        <v>45299</v>
      </c>
      <c r="K333" s="334"/>
      <c r="L333" s="334"/>
      <c r="M333" s="334"/>
      <c r="N333" s="335" t="s">
        <v>764</v>
      </c>
      <c r="O333" s="329" t="s">
        <v>5</v>
      </c>
      <c r="P333" s="336">
        <v>45627</v>
      </c>
      <c r="Q333" s="334"/>
      <c r="R333" s="334"/>
      <c r="S333" s="334"/>
      <c r="T333" s="334"/>
      <c r="U333" s="334"/>
      <c r="V333" s="334"/>
      <c r="W333" s="334"/>
      <c r="X333" s="334"/>
      <c r="Y333" s="334"/>
      <c r="Z333" s="334"/>
      <c r="AA333" s="334"/>
      <c r="AB333" s="334"/>
      <c r="AC333" s="334"/>
      <c r="AD333" s="334"/>
      <c r="AE333" s="334"/>
      <c r="AF333" s="334"/>
      <c r="AG333" s="334"/>
      <c r="AH333" s="334"/>
      <c r="AI333" s="334"/>
      <c r="AJ333" s="334"/>
      <c r="AK333" s="334"/>
      <c r="AL333" s="334"/>
      <c r="AM333" s="334"/>
      <c r="AN333" s="334"/>
      <c r="AO333" s="334"/>
      <c r="AP333" s="334"/>
      <c r="AQ333" s="334"/>
      <c r="AR333" s="334"/>
      <c r="AS333" s="334"/>
      <c r="AT333" s="334"/>
      <c r="AU333" s="334"/>
      <c r="AV333" s="334"/>
      <c r="AW333" s="334"/>
    </row>
    <row r="334" spans="1:49" ht="15" customHeight="1" x14ac:dyDescent="0.35">
      <c r="A334" s="20">
        <v>3</v>
      </c>
      <c r="B334" s="329" t="s">
        <v>14</v>
      </c>
      <c r="C334" s="341" t="s">
        <v>457</v>
      </c>
      <c r="D334" s="341" t="s">
        <v>458</v>
      </c>
      <c r="E334" s="338" t="s">
        <v>176</v>
      </c>
      <c r="F334" s="339">
        <v>43461</v>
      </c>
      <c r="G334" s="341" t="s">
        <v>459</v>
      </c>
      <c r="H334" s="342">
        <v>4086803486</v>
      </c>
      <c r="I334" s="335" t="s">
        <v>460</v>
      </c>
      <c r="J334" s="340">
        <v>45323</v>
      </c>
      <c r="K334" s="334"/>
      <c r="L334" s="334"/>
      <c r="M334" s="334"/>
      <c r="N334" s="335" t="s">
        <v>765</v>
      </c>
      <c r="O334" s="329" t="s">
        <v>5</v>
      </c>
      <c r="P334" s="336">
        <v>45627</v>
      </c>
      <c r="Q334" s="334"/>
      <c r="R334" s="334"/>
      <c r="S334" s="334"/>
      <c r="T334" s="334"/>
      <c r="U334" s="334"/>
      <c r="V334" s="334"/>
      <c r="W334" s="334"/>
      <c r="X334" s="334"/>
      <c r="Y334" s="334"/>
      <c r="Z334" s="334"/>
      <c r="AA334" s="334"/>
      <c r="AB334" s="334"/>
      <c r="AC334" s="334"/>
      <c r="AD334" s="334"/>
      <c r="AE334" s="334"/>
      <c r="AF334" s="334"/>
      <c r="AG334" s="334"/>
      <c r="AH334" s="334"/>
      <c r="AI334" s="334"/>
      <c r="AJ334" s="334"/>
      <c r="AK334" s="334"/>
      <c r="AL334" s="334"/>
      <c r="AM334" s="334"/>
      <c r="AN334" s="334"/>
      <c r="AO334" s="334"/>
      <c r="AP334" s="334"/>
      <c r="AQ334" s="334"/>
      <c r="AR334" s="334"/>
      <c r="AS334" s="334"/>
      <c r="AT334" s="334"/>
      <c r="AU334" s="334"/>
      <c r="AV334" s="334"/>
      <c r="AW334" s="334"/>
    </row>
    <row r="335" spans="1:49" ht="15" customHeight="1" x14ac:dyDescent="0.35">
      <c r="A335" s="20">
        <v>4</v>
      </c>
      <c r="B335" s="329" t="s">
        <v>12</v>
      </c>
      <c r="C335" s="330" t="s">
        <v>457</v>
      </c>
      <c r="D335" s="330" t="s">
        <v>458</v>
      </c>
      <c r="E335" s="331" t="s">
        <v>176</v>
      </c>
      <c r="F335" s="343">
        <v>43461</v>
      </c>
      <c r="G335" s="330" t="s">
        <v>459</v>
      </c>
      <c r="H335" s="332">
        <v>4086803486</v>
      </c>
      <c r="I335" s="330" t="s">
        <v>460</v>
      </c>
      <c r="J335" s="333">
        <v>45352</v>
      </c>
      <c r="K335" s="334"/>
      <c r="L335" s="334"/>
      <c r="M335" s="334"/>
      <c r="N335" s="335" t="s">
        <v>765</v>
      </c>
      <c r="O335" s="329" t="s">
        <v>5</v>
      </c>
      <c r="P335" s="336">
        <v>45627</v>
      </c>
      <c r="Q335" s="334"/>
      <c r="R335" s="334"/>
      <c r="S335" s="334"/>
      <c r="T335" s="334"/>
      <c r="U335" s="334"/>
      <c r="V335" s="334"/>
      <c r="W335" s="334"/>
      <c r="X335" s="334"/>
      <c r="Y335" s="334"/>
      <c r="Z335" s="334"/>
      <c r="AA335" s="334"/>
      <c r="AB335" s="334"/>
      <c r="AC335" s="334"/>
      <c r="AD335" s="334"/>
      <c r="AE335" s="334"/>
      <c r="AF335" s="334"/>
      <c r="AG335" s="334"/>
      <c r="AH335" s="334"/>
      <c r="AI335" s="334"/>
      <c r="AJ335" s="334"/>
      <c r="AK335" s="334"/>
      <c r="AL335" s="334"/>
      <c r="AM335" s="334"/>
      <c r="AN335" s="334"/>
      <c r="AO335" s="334"/>
      <c r="AP335" s="334"/>
      <c r="AQ335" s="334"/>
      <c r="AR335" s="334"/>
      <c r="AS335" s="334"/>
      <c r="AT335" s="334"/>
      <c r="AU335" s="334"/>
      <c r="AV335" s="334"/>
      <c r="AW335" s="334"/>
    </row>
    <row r="336" spans="1:49" ht="15" customHeight="1" x14ac:dyDescent="0.35">
      <c r="A336" s="344">
        <v>1</v>
      </c>
      <c r="B336" s="345" t="s">
        <v>14</v>
      </c>
      <c r="C336" s="346" t="s">
        <v>39</v>
      </c>
      <c r="D336" s="346" t="s">
        <v>48</v>
      </c>
      <c r="E336" s="347">
        <v>1</v>
      </c>
      <c r="F336" s="348">
        <v>43199</v>
      </c>
      <c r="G336" s="346" t="s">
        <v>49</v>
      </c>
      <c r="H336" s="346">
        <v>6503046747</v>
      </c>
      <c r="I336" s="346" t="s">
        <v>50</v>
      </c>
      <c r="J336" s="349">
        <v>45572</v>
      </c>
      <c r="K336" s="346"/>
      <c r="L336" s="346"/>
      <c r="M336" s="346"/>
      <c r="N336" s="346" t="s">
        <v>766</v>
      </c>
      <c r="O336" s="350" t="s">
        <v>5</v>
      </c>
      <c r="P336" s="351">
        <v>45658</v>
      </c>
      <c r="Q336" s="352"/>
      <c r="R336" s="352"/>
      <c r="S336" s="352"/>
      <c r="T336" s="352"/>
      <c r="U336" s="352"/>
      <c r="V336" s="352"/>
      <c r="W336" s="352"/>
      <c r="X336" s="352"/>
      <c r="Y336" s="352"/>
      <c r="Z336" s="352"/>
      <c r="AA336" s="352"/>
      <c r="AB336" s="352"/>
      <c r="AC336" s="352"/>
      <c r="AD336" s="352"/>
      <c r="AE336" s="352"/>
      <c r="AF336" s="352"/>
      <c r="AG336" s="352"/>
      <c r="AH336" s="352"/>
      <c r="AI336" s="352"/>
      <c r="AJ336" s="352"/>
      <c r="AK336" s="352"/>
      <c r="AL336" s="352"/>
      <c r="AM336" s="352"/>
      <c r="AN336" s="352"/>
      <c r="AO336" s="352"/>
      <c r="AP336" s="352"/>
      <c r="AQ336" s="352"/>
      <c r="AR336" s="352"/>
      <c r="AS336" s="352"/>
      <c r="AT336" s="352"/>
      <c r="AU336" s="352"/>
      <c r="AV336" s="352"/>
      <c r="AW336" s="352"/>
    </row>
    <row r="337" spans="1:49" ht="15" customHeight="1" x14ac:dyDescent="0.35">
      <c r="A337" s="20">
        <v>4</v>
      </c>
      <c r="B337" s="70" t="s">
        <v>14</v>
      </c>
      <c r="C337" s="85" t="s">
        <v>486</v>
      </c>
      <c r="D337" s="85" t="s">
        <v>487</v>
      </c>
      <c r="E337" s="67">
        <v>6</v>
      </c>
      <c r="F337" s="68">
        <v>41034</v>
      </c>
      <c r="G337" s="66" t="s">
        <v>488</v>
      </c>
      <c r="H337" s="86">
        <v>5108161486</v>
      </c>
      <c r="I337" s="353" t="s">
        <v>450</v>
      </c>
      <c r="J337" s="69">
        <v>45293</v>
      </c>
      <c r="K337" s="66"/>
      <c r="L337" s="66"/>
      <c r="M337" s="66"/>
      <c r="N337" s="66" t="s">
        <v>464</v>
      </c>
      <c r="O337" s="70" t="s">
        <v>5</v>
      </c>
      <c r="P337" s="351">
        <v>45658</v>
      </c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  <c r="AB337" s="354"/>
      <c r="AC337" s="354"/>
      <c r="AD337" s="354"/>
      <c r="AE337" s="354"/>
      <c r="AF337" s="354"/>
      <c r="AG337" s="354"/>
      <c r="AH337" s="354"/>
      <c r="AI337" s="354"/>
      <c r="AJ337" s="354"/>
      <c r="AK337" s="354"/>
      <c r="AL337" s="354"/>
      <c r="AM337" s="354"/>
      <c r="AN337" s="354"/>
      <c r="AO337" s="354"/>
      <c r="AP337" s="354"/>
      <c r="AQ337" s="354"/>
      <c r="AR337" s="354"/>
      <c r="AS337" s="354"/>
      <c r="AT337" s="354"/>
      <c r="AU337" s="354"/>
      <c r="AV337" s="310"/>
      <c r="AW337" s="310"/>
    </row>
    <row r="338" spans="1:49" ht="15" customHeight="1" x14ac:dyDescent="0.35">
      <c r="A338" s="20">
        <v>5</v>
      </c>
      <c r="B338" s="70" t="s">
        <v>14</v>
      </c>
      <c r="C338" s="89" t="s">
        <v>284</v>
      </c>
      <c r="D338" s="89" t="s">
        <v>767</v>
      </c>
      <c r="E338" s="64">
        <v>1</v>
      </c>
      <c r="F338" s="90">
        <v>42977</v>
      </c>
      <c r="G338" s="89" t="s">
        <v>768</v>
      </c>
      <c r="H338" s="91">
        <v>8173712065</v>
      </c>
      <c r="I338" s="89" t="s">
        <v>769</v>
      </c>
      <c r="J338" s="92">
        <v>45174</v>
      </c>
      <c r="K338" s="66"/>
      <c r="L338" s="66"/>
      <c r="M338" s="66"/>
      <c r="N338" s="66"/>
      <c r="O338" s="70" t="s">
        <v>5</v>
      </c>
      <c r="P338" s="351">
        <v>45658</v>
      </c>
      <c r="Q338" s="308"/>
      <c r="R338" s="308"/>
      <c r="S338" s="308"/>
      <c r="T338" s="308"/>
      <c r="U338" s="308"/>
      <c r="V338" s="308"/>
      <c r="W338" s="308"/>
      <c r="X338" s="308"/>
      <c r="Y338" s="308"/>
      <c r="Z338" s="308"/>
      <c r="AA338" s="308"/>
      <c r="AB338" s="308"/>
      <c r="AC338" s="308"/>
      <c r="AD338" s="308"/>
      <c r="AE338" s="308"/>
      <c r="AF338" s="308"/>
      <c r="AG338" s="308"/>
      <c r="AH338" s="308"/>
      <c r="AI338" s="308"/>
      <c r="AJ338" s="308"/>
      <c r="AK338" s="308"/>
      <c r="AL338" s="308"/>
      <c r="AM338" s="308"/>
      <c r="AN338" s="308"/>
      <c r="AO338" s="308"/>
      <c r="AP338" s="308"/>
      <c r="AQ338" s="308"/>
      <c r="AR338" s="308"/>
      <c r="AS338" s="308"/>
      <c r="AT338" s="308"/>
      <c r="AU338" s="308"/>
      <c r="AV338" s="308"/>
      <c r="AW338" s="308"/>
    </row>
    <row r="339" spans="1:49" ht="17.25" customHeight="1" x14ac:dyDescent="0.35">
      <c r="A339" s="10"/>
      <c r="B339" s="2"/>
      <c r="C339" s="3"/>
      <c r="D339" s="3"/>
      <c r="E339" s="2"/>
      <c r="F339" s="3"/>
      <c r="G339" s="3"/>
      <c r="H339" s="3"/>
      <c r="I339" s="5"/>
      <c r="J339" s="3"/>
      <c r="K339" s="3"/>
      <c r="L339" s="3"/>
      <c r="M339" s="3"/>
      <c r="N339" s="3"/>
      <c r="O339" s="2"/>
      <c r="P339" s="6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9" ht="17.25" customHeight="1" x14ac:dyDescent="0.35">
      <c r="A340" s="10"/>
      <c r="B340" s="2"/>
      <c r="C340" s="3"/>
      <c r="D340" s="3"/>
      <c r="E340" s="2"/>
      <c r="F340" s="3"/>
      <c r="G340" s="3"/>
      <c r="H340" s="3"/>
      <c r="I340" s="5"/>
      <c r="J340" s="3"/>
      <c r="K340" s="3"/>
      <c r="L340" s="3"/>
      <c r="M340" s="3"/>
      <c r="N340" s="3"/>
      <c r="O340" s="2"/>
      <c r="P340" s="6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9" ht="17.25" customHeight="1" x14ac:dyDescent="0.35">
      <c r="A341" s="10"/>
      <c r="B341" s="2"/>
      <c r="C341" s="3"/>
      <c r="D341" s="3"/>
      <c r="E341" s="2"/>
      <c r="F341" s="3"/>
      <c r="G341" s="3"/>
      <c r="H341" s="3"/>
      <c r="I341" s="5"/>
      <c r="J341" s="3"/>
      <c r="K341" s="3"/>
      <c r="L341" s="3"/>
      <c r="M341" s="3"/>
      <c r="N341" s="3"/>
      <c r="O341" s="2"/>
      <c r="P341" s="6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9" ht="17.25" customHeight="1" x14ac:dyDescent="0.35">
      <c r="A342" s="10"/>
      <c r="B342" s="2"/>
      <c r="C342" s="3"/>
      <c r="D342" s="3"/>
      <c r="E342" s="2"/>
      <c r="F342" s="3"/>
      <c r="G342" s="3"/>
      <c r="H342" s="3"/>
      <c r="I342" s="5"/>
      <c r="J342" s="3"/>
      <c r="K342" s="3"/>
      <c r="L342" s="3"/>
      <c r="M342" s="3"/>
      <c r="N342" s="3"/>
      <c r="O342" s="2"/>
      <c r="P342" s="6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9" ht="17.25" customHeight="1" x14ac:dyDescent="0.35">
      <c r="A343" s="10"/>
      <c r="B343" s="2"/>
      <c r="C343" s="3"/>
      <c r="D343" s="3"/>
      <c r="E343" s="2"/>
      <c r="F343" s="3"/>
      <c r="G343" s="3"/>
      <c r="H343" s="3"/>
      <c r="I343" s="5"/>
      <c r="J343" s="3"/>
      <c r="K343" s="3"/>
      <c r="L343" s="3"/>
      <c r="M343" s="3"/>
      <c r="N343" s="3"/>
      <c r="O343" s="2"/>
      <c r="P343" s="6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9" ht="17.25" customHeight="1" x14ac:dyDescent="0.35">
      <c r="A344" s="10"/>
      <c r="B344" s="2"/>
      <c r="C344" s="3"/>
      <c r="D344" s="3"/>
      <c r="E344" s="2"/>
      <c r="F344" s="3"/>
      <c r="G344" s="3"/>
      <c r="H344" s="3"/>
      <c r="I344" s="5"/>
      <c r="J344" s="3"/>
      <c r="K344" s="3"/>
      <c r="L344" s="3"/>
      <c r="M344" s="3"/>
      <c r="N344" s="3"/>
      <c r="O344" s="2"/>
      <c r="P344" s="6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9" ht="17.25" customHeight="1" x14ac:dyDescent="0.35">
      <c r="A345" s="10"/>
      <c r="B345" s="2"/>
      <c r="C345" s="3"/>
      <c r="D345" s="3"/>
      <c r="E345" s="2"/>
      <c r="F345" s="3"/>
      <c r="G345" s="3"/>
      <c r="H345" s="3"/>
      <c r="I345" s="5"/>
      <c r="J345" s="3"/>
      <c r="K345" s="3"/>
      <c r="L345" s="3"/>
      <c r="M345" s="3"/>
      <c r="N345" s="3"/>
      <c r="O345" s="2"/>
      <c r="P345" s="6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9" ht="17.25" customHeight="1" x14ac:dyDescent="0.35">
      <c r="A346" s="10"/>
      <c r="B346" s="2"/>
      <c r="C346" s="3"/>
      <c r="D346" s="3"/>
      <c r="E346" s="2"/>
      <c r="F346" s="3"/>
      <c r="G346" s="3"/>
      <c r="H346" s="3"/>
      <c r="I346" s="5"/>
      <c r="J346" s="3"/>
      <c r="K346" s="3"/>
      <c r="L346" s="3"/>
      <c r="M346" s="3"/>
      <c r="N346" s="3"/>
      <c r="O346" s="2"/>
      <c r="P346" s="6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9" ht="17.25" customHeight="1" x14ac:dyDescent="0.35">
      <c r="A347" s="10"/>
      <c r="B347" s="2"/>
      <c r="C347" s="3"/>
      <c r="D347" s="3"/>
      <c r="E347" s="2"/>
      <c r="F347" s="3"/>
      <c r="G347" s="3"/>
      <c r="H347" s="3"/>
      <c r="I347" s="5"/>
      <c r="J347" s="3"/>
      <c r="K347" s="3"/>
      <c r="L347" s="3"/>
      <c r="M347" s="3"/>
      <c r="N347" s="3"/>
      <c r="O347" s="2"/>
      <c r="P347" s="6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9" ht="17.25" customHeight="1" x14ac:dyDescent="0.35">
      <c r="A348" s="10"/>
      <c r="B348" s="2"/>
      <c r="C348" s="3"/>
      <c r="D348" s="3"/>
      <c r="E348" s="2"/>
      <c r="F348" s="3"/>
      <c r="G348" s="3"/>
      <c r="H348" s="3"/>
      <c r="I348" s="5"/>
      <c r="J348" s="3"/>
      <c r="K348" s="3"/>
      <c r="L348" s="3"/>
      <c r="M348" s="3"/>
      <c r="N348" s="3"/>
      <c r="O348" s="2"/>
      <c r="P348" s="6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9" ht="17.25" customHeight="1" x14ac:dyDescent="0.35">
      <c r="A349" s="10"/>
      <c r="B349" s="2"/>
      <c r="C349" s="3"/>
      <c r="D349" s="3"/>
      <c r="E349" s="2"/>
      <c r="F349" s="3"/>
      <c r="G349" s="3"/>
      <c r="H349" s="3"/>
      <c r="I349" s="5"/>
      <c r="J349" s="3"/>
      <c r="K349" s="3"/>
      <c r="L349" s="3"/>
      <c r="M349" s="3"/>
      <c r="N349" s="3"/>
      <c r="O349" s="2"/>
      <c r="P349" s="6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9" ht="17.25" customHeight="1" x14ac:dyDescent="0.35">
      <c r="A350" s="10"/>
      <c r="B350" s="2"/>
      <c r="C350" s="3"/>
      <c r="D350" s="3"/>
      <c r="E350" s="2"/>
      <c r="F350" s="3"/>
      <c r="G350" s="3"/>
      <c r="H350" s="3"/>
      <c r="I350" s="5"/>
      <c r="J350" s="3"/>
      <c r="K350" s="3"/>
      <c r="L350" s="3"/>
      <c r="M350" s="3"/>
      <c r="N350" s="3"/>
      <c r="O350" s="2"/>
      <c r="P350" s="6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9" ht="17.25" customHeight="1" x14ac:dyDescent="0.35">
      <c r="A351" s="10"/>
      <c r="B351" s="2"/>
      <c r="C351" s="3"/>
      <c r="D351" s="3"/>
      <c r="E351" s="2"/>
      <c r="F351" s="3"/>
      <c r="G351" s="3"/>
      <c r="H351" s="3"/>
      <c r="I351" s="5"/>
      <c r="J351" s="3"/>
      <c r="K351" s="3"/>
      <c r="L351" s="3"/>
      <c r="M351" s="3"/>
      <c r="N351" s="3"/>
      <c r="O351" s="2"/>
      <c r="P351" s="6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9" ht="17.25" customHeight="1" x14ac:dyDescent="0.35">
      <c r="A352" s="10"/>
      <c r="B352" s="2"/>
      <c r="C352" s="3"/>
      <c r="D352" s="3"/>
      <c r="E352" s="2"/>
      <c r="F352" s="3"/>
      <c r="G352" s="3"/>
      <c r="H352" s="3"/>
      <c r="I352" s="5"/>
      <c r="J352" s="3"/>
      <c r="K352" s="3"/>
      <c r="L352" s="3"/>
      <c r="M352" s="3"/>
      <c r="N352" s="3"/>
      <c r="O352" s="2"/>
      <c r="P352" s="6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ht="17.25" customHeight="1" x14ac:dyDescent="0.35">
      <c r="A353" s="10"/>
      <c r="B353" s="2"/>
      <c r="C353" s="3"/>
      <c r="D353" s="3"/>
      <c r="E353" s="2"/>
      <c r="F353" s="3"/>
      <c r="G353" s="3"/>
      <c r="H353" s="3"/>
      <c r="I353" s="5"/>
      <c r="J353" s="3"/>
      <c r="K353" s="3"/>
      <c r="L353" s="3"/>
      <c r="M353" s="3"/>
      <c r="N353" s="3"/>
      <c r="O353" s="2"/>
      <c r="P353" s="6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ht="17.25" customHeight="1" x14ac:dyDescent="0.35">
      <c r="A354" s="10"/>
      <c r="B354" s="2"/>
      <c r="C354" s="3"/>
      <c r="D354" s="3"/>
      <c r="E354" s="2"/>
      <c r="F354" s="3"/>
      <c r="G354" s="3"/>
      <c r="H354" s="3"/>
      <c r="I354" s="5"/>
      <c r="J354" s="3"/>
      <c r="K354" s="3"/>
      <c r="L354" s="3"/>
      <c r="M354" s="3"/>
      <c r="N354" s="3"/>
      <c r="O354" s="2"/>
      <c r="P354" s="6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ht="17.25" customHeight="1" x14ac:dyDescent="0.35">
      <c r="A355" s="10"/>
      <c r="B355" s="2"/>
      <c r="C355" s="3"/>
      <c r="D355" s="3"/>
      <c r="E355" s="2"/>
      <c r="F355" s="3"/>
      <c r="G355" s="3"/>
      <c r="H355" s="3"/>
      <c r="I355" s="5"/>
      <c r="J355" s="3"/>
      <c r="K355" s="3"/>
      <c r="L355" s="3"/>
      <c r="M355" s="3"/>
      <c r="N355" s="3"/>
      <c r="O355" s="2"/>
      <c r="P355" s="6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ht="17.25" customHeight="1" x14ac:dyDescent="0.35">
      <c r="A356" s="10"/>
      <c r="B356" s="2"/>
      <c r="C356" s="3"/>
      <c r="D356" s="3"/>
      <c r="E356" s="2"/>
      <c r="F356" s="3"/>
      <c r="G356" s="3"/>
      <c r="H356" s="3"/>
      <c r="I356" s="5"/>
      <c r="J356" s="3"/>
      <c r="K356" s="3"/>
      <c r="L356" s="3"/>
      <c r="M356" s="3"/>
      <c r="N356" s="3"/>
      <c r="O356" s="2"/>
      <c r="P356" s="6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ht="17.25" customHeight="1" x14ac:dyDescent="0.35">
      <c r="A357" s="10"/>
      <c r="B357" s="2"/>
      <c r="C357" s="3"/>
      <c r="D357" s="3"/>
      <c r="E357" s="2"/>
      <c r="F357" s="3"/>
      <c r="G357" s="3"/>
      <c r="H357" s="3"/>
      <c r="I357" s="5"/>
      <c r="J357" s="3"/>
      <c r="K357" s="3"/>
      <c r="L357" s="3"/>
      <c r="M357" s="3"/>
      <c r="N357" s="3"/>
      <c r="O357" s="2"/>
      <c r="P357" s="6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ht="17.25" customHeight="1" x14ac:dyDescent="0.35">
      <c r="A358" s="10"/>
      <c r="B358" s="2"/>
      <c r="C358" s="3"/>
      <c r="D358" s="3"/>
      <c r="E358" s="2"/>
      <c r="F358" s="3"/>
      <c r="G358" s="3"/>
      <c r="H358" s="3"/>
      <c r="I358" s="5"/>
      <c r="J358" s="3"/>
      <c r="K358" s="3"/>
      <c r="L358" s="3"/>
      <c r="M358" s="3"/>
      <c r="N358" s="3"/>
      <c r="O358" s="2"/>
      <c r="P358" s="6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ht="17.25" customHeight="1" x14ac:dyDescent="0.35">
      <c r="A359" s="10"/>
      <c r="B359" s="2"/>
      <c r="C359" s="3"/>
      <c r="D359" s="3"/>
      <c r="E359" s="2"/>
      <c r="F359" s="3"/>
      <c r="G359" s="3"/>
      <c r="H359" s="3"/>
      <c r="I359" s="5"/>
      <c r="J359" s="3"/>
      <c r="K359" s="3"/>
      <c r="L359" s="3"/>
      <c r="M359" s="3"/>
      <c r="N359" s="3"/>
      <c r="O359" s="2"/>
      <c r="P359" s="6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ht="17.25" customHeight="1" x14ac:dyDescent="0.35">
      <c r="A360" s="10"/>
      <c r="B360" s="2"/>
      <c r="C360" s="3"/>
      <c r="D360" s="3"/>
      <c r="E360" s="2"/>
      <c r="F360" s="3"/>
      <c r="G360" s="3"/>
      <c r="H360" s="3"/>
      <c r="I360" s="5"/>
      <c r="J360" s="3"/>
      <c r="K360" s="3"/>
      <c r="L360" s="3"/>
      <c r="M360" s="3"/>
      <c r="N360" s="3"/>
      <c r="O360" s="2"/>
      <c r="P360" s="6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ht="17.25" customHeight="1" x14ac:dyDescent="0.35">
      <c r="A361" s="10"/>
      <c r="B361" s="2"/>
      <c r="C361" s="3"/>
      <c r="D361" s="3"/>
      <c r="E361" s="2"/>
      <c r="F361" s="3"/>
      <c r="G361" s="3"/>
      <c r="H361" s="3"/>
      <c r="I361" s="5"/>
      <c r="J361" s="3"/>
      <c r="K361" s="3"/>
      <c r="L361" s="3"/>
      <c r="M361" s="3"/>
      <c r="N361" s="3"/>
      <c r="O361" s="2"/>
      <c r="P361" s="6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ht="17.25" customHeight="1" x14ac:dyDescent="0.35">
      <c r="A362" s="10"/>
      <c r="B362" s="2"/>
      <c r="C362" s="3"/>
      <c r="D362" s="3"/>
      <c r="E362" s="2"/>
      <c r="F362" s="3"/>
      <c r="G362" s="3"/>
      <c r="H362" s="3"/>
      <c r="I362" s="5"/>
      <c r="J362" s="3"/>
      <c r="K362" s="3"/>
      <c r="L362" s="3"/>
      <c r="M362" s="3"/>
      <c r="N362" s="3"/>
      <c r="O362" s="2"/>
      <c r="P362" s="6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ht="17.25" customHeight="1" x14ac:dyDescent="0.35">
      <c r="A363" s="10"/>
      <c r="B363" s="2"/>
      <c r="C363" s="3"/>
      <c r="D363" s="3"/>
      <c r="E363" s="2"/>
      <c r="F363" s="3"/>
      <c r="G363" s="3"/>
      <c r="H363" s="3"/>
      <c r="I363" s="5"/>
      <c r="J363" s="3"/>
      <c r="K363" s="3"/>
      <c r="L363" s="3"/>
      <c r="M363" s="3"/>
      <c r="N363" s="3"/>
      <c r="O363" s="2"/>
      <c r="P363" s="6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ht="17.25" customHeight="1" x14ac:dyDescent="0.35">
      <c r="A364" s="10"/>
      <c r="B364" s="2"/>
      <c r="C364" s="3"/>
      <c r="D364" s="3"/>
      <c r="E364" s="2"/>
      <c r="F364" s="3"/>
      <c r="G364" s="3"/>
      <c r="H364" s="3"/>
      <c r="I364" s="5"/>
      <c r="J364" s="3"/>
      <c r="K364" s="3"/>
      <c r="L364" s="3"/>
      <c r="M364" s="3"/>
      <c r="N364" s="3"/>
      <c r="O364" s="2"/>
      <c r="P364" s="6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ht="17.25" customHeight="1" x14ac:dyDescent="0.35">
      <c r="A365" s="10"/>
      <c r="B365" s="2"/>
      <c r="C365" s="3"/>
      <c r="D365" s="3"/>
      <c r="E365" s="2"/>
      <c r="F365" s="3"/>
      <c r="G365" s="3"/>
      <c r="H365" s="3"/>
      <c r="I365" s="5"/>
      <c r="J365" s="3"/>
      <c r="K365" s="3"/>
      <c r="L365" s="3"/>
      <c r="M365" s="3"/>
      <c r="N365" s="3"/>
      <c r="O365" s="2"/>
      <c r="P365" s="6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ht="17.25" customHeight="1" x14ac:dyDescent="0.35">
      <c r="A366" s="10"/>
      <c r="B366" s="2"/>
      <c r="C366" s="3"/>
      <c r="D366" s="3"/>
      <c r="E366" s="2"/>
      <c r="F366" s="3"/>
      <c r="G366" s="3"/>
      <c r="H366" s="3"/>
      <c r="I366" s="5"/>
      <c r="J366" s="3"/>
      <c r="K366" s="3"/>
      <c r="L366" s="3"/>
      <c r="M366" s="3"/>
      <c r="N366" s="3"/>
      <c r="O366" s="2"/>
      <c r="P366" s="6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ht="17.25" customHeight="1" x14ac:dyDescent="0.35">
      <c r="A367" s="10"/>
      <c r="B367" s="2"/>
      <c r="C367" s="3"/>
      <c r="D367" s="3"/>
      <c r="E367" s="2"/>
      <c r="F367" s="3"/>
      <c r="G367" s="3"/>
      <c r="H367" s="3"/>
      <c r="I367" s="5"/>
      <c r="J367" s="3"/>
      <c r="K367" s="3"/>
      <c r="L367" s="3"/>
      <c r="M367" s="3"/>
      <c r="N367" s="3"/>
      <c r="O367" s="2"/>
      <c r="P367" s="6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ht="17.25" customHeight="1" x14ac:dyDescent="0.35">
      <c r="A368" s="10"/>
      <c r="B368" s="2"/>
      <c r="C368" s="3"/>
      <c r="D368" s="3"/>
      <c r="E368" s="2"/>
      <c r="F368" s="3"/>
      <c r="G368" s="3"/>
      <c r="H368" s="3"/>
      <c r="I368" s="5"/>
      <c r="J368" s="3"/>
      <c r="K368" s="3"/>
      <c r="L368" s="3"/>
      <c r="M368" s="3"/>
      <c r="N368" s="3"/>
      <c r="O368" s="2"/>
      <c r="P368" s="6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ht="17.25" customHeight="1" x14ac:dyDescent="0.35">
      <c r="A369" s="10"/>
      <c r="B369" s="2"/>
      <c r="C369" s="3"/>
      <c r="D369" s="3"/>
      <c r="E369" s="2"/>
      <c r="F369" s="3"/>
      <c r="G369" s="3"/>
      <c r="H369" s="3"/>
      <c r="I369" s="5"/>
      <c r="J369" s="3"/>
      <c r="K369" s="3"/>
      <c r="L369" s="3"/>
      <c r="M369" s="3"/>
      <c r="N369" s="3"/>
      <c r="O369" s="2"/>
      <c r="P369" s="6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ht="17.25" customHeight="1" x14ac:dyDescent="0.35">
      <c r="A370" s="10"/>
      <c r="B370" s="2"/>
      <c r="C370" s="3"/>
      <c r="D370" s="3"/>
      <c r="E370" s="2"/>
      <c r="F370" s="3"/>
      <c r="G370" s="3"/>
      <c r="H370" s="3"/>
      <c r="I370" s="5"/>
      <c r="J370" s="3"/>
      <c r="K370" s="3"/>
      <c r="L370" s="3"/>
      <c r="M370" s="3"/>
      <c r="N370" s="3"/>
      <c r="O370" s="2"/>
      <c r="P370" s="6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ht="17.25" customHeight="1" x14ac:dyDescent="0.35">
      <c r="A371" s="10"/>
      <c r="B371" s="2"/>
      <c r="C371" s="3"/>
      <c r="D371" s="3"/>
      <c r="E371" s="2"/>
      <c r="F371" s="3"/>
      <c r="G371" s="3"/>
      <c r="H371" s="3"/>
      <c r="I371" s="5"/>
      <c r="J371" s="3"/>
      <c r="K371" s="3"/>
      <c r="L371" s="3"/>
      <c r="M371" s="3"/>
      <c r="N371" s="3"/>
      <c r="O371" s="2"/>
      <c r="P371" s="6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ht="17.25" customHeight="1" x14ac:dyDescent="0.35">
      <c r="A372" s="10"/>
      <c r="B372" s="2"/>
      <c r="C372" s="3"/>
      <c r="D372" s="3"/>
      <c r="E372" s="2"/>
      <c r="F372" s="3"/>
      <c r="G372" s="3"/>
      <c r="H372" s="3"/>
      <c r="I372" s="5"/>
      <c r="J372" s="3"/>
      <c r="K372" s="3"/>
      <c r="L372" s="3"/>
      <c r="M372" s="3"/>
      <c r="N372" s="3"/>
      <c r="O372" s="2"/>
      <c r="P372" s="6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ht="17.25" customHeight="1" x14ac:dyDescent="0.35">
      <c r="A373" s="10"/>
      <c r="B373" s="2"/>
      <c r="C373" s="3"/>
      <c r="D373" s="3"/>
      <c r="E373" s="2"/>
      <c r="F373" s="3"/>
      <c r="G373" s="3"/>
      <c r="H373" s="3"/>
      <c r="I373" s="5"/>
      <c r="J373" s="3"/>
      <c r="K373" s="3"/>
      <c r="L373" s="3"/>
      <c r="M373" s="3"/>
      <c r="N373" s="3"/>
      <c r="O373" s="2"/>
      <c r="P373" s="6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ht="17.25" customHeight="1" x14ac:dyDescent="0.35">
      <c r="A374" s="10"/>
      <c r="B374" s="2"/>
      <c r="C374" s="3"/>
      <c r="D374" s="3"/>
      <c r="E374" s="2"/>
      <c r="F374" s="3"/>
      <c r="G374" s="3"/>
      <c r="H374" s="3"/>
      <c r="I374" s="5"/>
      <c r="J374" s="3"/>
      <c r="K374" s="3"/>
      <c r="L374" s="3"/>
      <c r="M374" s="3"/>
      <c r="N374" s="3"/>
      <c r="O374" s="2"/>
      <c r="P374" s="6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ht="17.25" customHeight="1" x14ac:dyDescent="0.35">
      <c r="A375" s="10"/>
      <c r="B375" s="2"/>
      <c r="C375" s="3"/>
      <c r="D375" s="3"/>
      <c r="E375" s="2"/>
      <c r="F375" s="3"/>
      <c r="G375" s="3"/>
      <c r="H375" s="3"/>
      <c r="I375" s="5"/>
      <c r="J375" s="3"/>
      <c r="K375" s="3"/>
      <c r="L375" s="3"/>
      <c r="M375" s="3"/>
      <c r="N375" s="3"/>
      <c r="O375" s="2"/>
      <c r="P375" s="6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ht="17.25" customHeight="1" x14ac:dyDescent="0.35">
      <c r="A376" s="10"/>
      <c r="B376" s="2"/>
      <c r="C376" s="3"/>
      <c r="D376" s="3"/>
      <c r="E376" s="2"/>
      <c r="F376" s="3"/>
      <c r="G376" s="3"/>
      <c r="H376" s="3"/>
      <c r="I376" s="5"/>
      <c r="J376" s="3"/>
      <c r="K376" s="3"/>
      <c r="L376" s="3"/>
      <c r="M376" s="3"/>
      <c r="N376" s="3"/>
      <c r="O376" s="2"/>
      <c r="P376" s="6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ht="17.25" customHeight="1" x14ac:dyDescent="0.35">
      <c r="A377" s="10"/>
      <c r="B377" s="2"/>
      <c r="C377" s="3"/>
      <c r="D377" s="3"/>
      <c r="E377" s="2"/>
      <c r="F377" s="3"/>
      <c r="G377" s="3"/>
      <c r="H377" s="3"/>
      <c r="I377" s="5"/>
      <c r="J377" s="3"/>
      <c r="K377" s="3"/>
      <c r="L377" s="3"/>
      <c r="M377" s="3"/>
      <c r="N377" s="3"/>
      <c r="O377" s="2"/>
      <c r="P377" s="6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ht="17.25" customHeight="1" x14ac:dyDescent="0.35">
      <c r="A378" s="10"/>
      <c r="B378" s="2"/>
      <c r="C378" s="3"/>
      <c r="D378" s="3"/>
      <c r="E378" s="2"/>
      <c r="F378" s="3"/>
      <c r="G378" s="3"/>
      <c r="H378" s="3"/>
      <c r="I378" s="5"/>
      <c r="J378" s="3"/>
      <c r="K378" s="3"/>
      <c r="L378" s="3"/>
      <c r="M378" s="3"/>
      <c r="N378" s="3"/>
      <c r="O378" s="2"/>
      <c r="P378" s="6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ht="17.25" customHeight="1" x14ac:dyDescent="0.35">
      <c r="A379" s="10"/>
      <c r="B379" s="2"/>
      <c r="C379" s="3"/>
      <c r="D379" s="3"/>
      <c r="E379" s="2"/>
      <c r="F379" s="3"/>
      <c r="G379" s="3"/>
      <c r="H379" s="3"/>
      <c r="I379" s="5"/>
      <c r="J379" s="3"/>
      <c r="K379" s="3"/>
      <c r="L379" s="3"/>
      <c r="M379" s="3"/>
      <c r="N379" s="3"/>
      <c r="O379" s="2"/>
      <c r="P379" s="6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ht="17.25" customHeight="1" x14ac:dyDescent="0.35">
      <c r="A380" s="10"/>
      <c r="B380" s="2"/>
      <c r="C380" s="3"/>
      <c r="D380" s="3"/>
      <c r="E380" s="2"/>
      <c r="F380" s="3"/>
      <c r="G380" s="3"/>
      <c r="H380" s="3"/>
      <c r="I380" s="5"/>
      <c r="J380" s="3"/>
      <c r="K380" s="3"/>
      <c r="L380" s="3"/>
      <c r="M380" s="3"/>
      <c r="N380" s="3"/>
      <c r="O380" s="2"/>
      <c r="P380" s="6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ht="17.25" customHeight="1" x14ac:dyDescent="0.35">
      <c r="A381" s="10"/>
      <c r="B381" s="2"/>
      <c r="C381" s="3"/>
      <c r="D381" s="3"/>
      <c r="E381" s="2"/>
      <c r="F381" s="3"/>
      <c r="G381" s="3"/>
      <c r="H381" s="3"/>
      <c r="I381" s="5"/>
      <c r="J381" s="3"/>
      <c r="K381" s="3"/>
      <c r="L381" s="3"/>
      <c r="M381" s="3"/>
      <c r="N381" s="3"/>
      <c r="O381" s="2"/>
      <c r="P381" s="6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ht="17.25" customHeight="1" x14ac:dyDescent="0.35">
      <c r="A382" s="10"/>
      <c r="B382" s="2"/>
      <c r="C382" s="3"/>
      <c r="D382" s="3"/>
      <c r="E382" s="2"/>
      <c r="F382" s="3"/>
      <c r="G382" s="3"/>
      <c r="H382" s="3"/>
      <c r="I382" s="5"/>
      <c r="J382" s="3"/>
      <c r="K382" s="3"/>
      <c r="L382" s="3"/>
      <c r="M382" s="3"/>
      <c r="N382" s="3"/>
      <c r="O382" s="2"/>
      <c r="P382" s="6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ht="17.25" customHeight="1" x14ac:dyDescent="0.35">
      <c r="A383" s="10"/>
      <c r="B383" s="2"/>
      <c r="C383" s="3"/>
      <c r="D383" s="3"/>
      <c r="E383" s="2"/>
      <c r="F383" s="3"/>
      <c r="G383" s="3"/>
      <c r="H383" s="3"/>
      <c r="I383" s="5"/>
      <c r="J383" s="3"/>
      <c r="K383" s="3"/>
      <c r="L383" s="3"/>
      <c r="M383" s="3"/>
      <c r="N383" s="3"/>
      <c r="O383" s="2"/>
      <c r="P383" s="6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ht="17.25" customHeight="1" x14ac:dyDescent="0.35">
      <c r="A384" s="10"/>
      <c r="B384" s="2"/>
      <c r="C384" s="3"/>
      <c r="D384" s="3"/>
      <c r="E384" s="2"/>
      <c r="F384" s="3"/>
      <c r="G384" s="3"/>
      <c r="H384" s="3"/>
      <c r="I384" s="5"/>
      <c r="J384" s="3"/>
      <c r="K384" s="3"/>
      <c r="L384" s="3"/>
      <c r="M384" s="3"/>
      <c r="N384" s="3"/>
      <c r="O384" s="2"/>
      <c r="P384" s="6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ht="17.25" customHeight="1" x14ac:dyDescent="0.35">
      <c r="A385" s="10"/>
      <c r="B385" s="2"/>
      <c r="C385" s="3"/>
      <c r="D385" s="3"/>
      <c r="E385" s="2"/>
      <c r="F385" s="3"/>
      <c r="G385" s="3"/>
      <c r="H385" s="3"/>
      <c r="I385" s="5"/>
      <c r="J385" s="3"/>
      <c r="K385" s="3"/>
      <c r="L385" s="3"/>
      <c r="M385" s="3"/>
      <c r="N385" s="3"/>
      <c r="O385" s="2"/>
      <c r="P385" s="6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ht="17.25" customHeight="1" x14ac:dyDescent="0.35">
      <c r="A386" s="10"/>
      <c r="B386" s="2"/>
      <c r="C386" s="3"/>
      <c r="D386" s="3"/>
      <c r="E386" s="2"/>
      <c r="F386" s="3"/>
      <c r="G386" s="3"/>
      <c r="H386" s="3"/>
      <c r="I386" s="5"/>
      <c r="J386" s="3"/>
      <c r="K386" s="3"/>
      <c r="L386" s="3"/>
      <c r="M386" s="3"/>
      <c r="N386" s="3"/>
      <c r="O386" s="2"/>
      <c r="P386" s="6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ht="17.25" customHeight="1" x14ac:dyDescent="0.35">
      <c r="A387" s="10"/>
      <c r="B387" s="2"/>
      <c r="C387" s="3"/>
      <c r="D387" s="3"/>
      <c r="E387" s="2"/>
      <c r="F387" s="3"/>
      <c r="G387" s="3"/>
      <c r="H387" s="3"/>
      <c r="I387" s="5"/>
      <c r="J387" s="3"/>
      <c r="K387" s="3"/>
      <c r="L387" s="3"/>
      <c r="M387" s="3"/>
      <c r="N387" s="3"/>
      <c r="O387" s="2"/>
      <c r="P387" s="6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ht="17.25" customHeight="1" x14ac:dyDescent="0.35">
      <c r="A388" s="10"/>
      <c r="B388" s="2"/>
      <c r="C388" s="3"/>
      <c r="D388" s="3"/>
      <c r="E388" s="2"/>
      <c r="F388" s="3"/>
      <c r="G388" s="3"/>
      <c r="H388" s="3"/>
      <c r="I388" s="5"/>
      <c r="J388" s="3"/>
      <c r="K388" s="3"/>
      <c r="L388" s="3"/>
      <c r="M388" s="3"/>
      <c r="N388" s="3"/>
      <c r="O388" s="2"/>
      <c r="P388" s="6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ht="17.25" customHeight="1" x14ac:dyDescent="0.35">
      <c r="A389" s="10"/>
      <c r="B389" s="2"/>
      <c r="C389" s="3"/>
      <c r="D389" s="3"/>
      <c r="E389" s="2"/>
      <c r="F389" s="3"/>
      <c r="G389" s="3"/>
      <c r="H389" s="3"/>
      <c r="I389" s="5"/>
      <c r="J389" s="3"/>
      <c r="K389" s="3"/>
      <c r="L389" s="3"/>
      <c r="M389" s="3"/>
      <c r="N389" s="3"/>
      <c r="O389" s="2"/>
      <c r="P389" s="6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ht="17.25" customHeight="1" x14ac:dyDescent="0.35">
      <c r="A390" s="10"/>
      <c r="B390" s="2"/>
      <c r="C390" s="3"/>
      <c r="D390" s="3"/>
      <c r="E390" s="2"/>
      <c r="F390" s="3"/>
      <c r="G390" s="3"/>
      <c r="H390" s="3"/>
      <c r="I390" s="5"/>
      <c r="J390" s="3"/>
      <c r="K390" s="3"/>
      <c r="L390" s="3"/>
      <c r="M390" s="3"/>
      <c r="N390" s="3"/>
      <c r="O390" s="2"/>
      <c r="P390" s="6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ht="17.25" customHeight="1" x14ac:dyDescent="0.35">
      <c r="A391" s="10"/>
      <c r="B391" s="2"/>
      <c r="C391" s="3"/>
      <c r="D391" s="3"/>
      <c r="E391" s="2"/>
      <c r="F391" s="3"/>
      <c r="G391" s="3"/>
      <c r="H391" s="3"/>
      <c r="I391" s="5"/>
      <c r="J391" s="3"/>
      <c r="K391" s="3"/>
      <c r="L391" s="3"/>
      <c r="M391" s="3"/>
      <c r="N391" s="3"/>
      <c r="O391" s="2"/>
      <c r="P391" s="6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ht="17.25" customHeight="1" x14ac:dyDescent="0.35">
      <c r="A392" s="10"/>
      <c r="B392" s="2"/>
      <c r="C392" s="3"/>
      <c r="D392" s="3"/>
      <c r="E392" s="2"/>
      <c r="F392" s="3"/>
      <c r="G392" s="3"/>
      <c r="H392" s="3"/>
      <c r="I392" s="5"/>
      <c r="J392" s="3"/>
      <c r="K392" s="3"/>
      <c r="L392" s="3"/>
      <c r="M392" s="3"/>
      <c r="N392" s="3"/>
      <c r="O392" s="2"/>
      <c r="P392" s="6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ht="17.25" customHeight="1" x14ac:dyDescent="0.35">
      <c r="A393" s="10"/>
      <c r="B393" s="2"/>
      <c r="C393" s="3"/>
      <c r="D393" s="3"/>
      <c r="E393" s="2"/>
      <c r="F393" s="3"/>
      <c r="G393" s="3"/>
      <c r="H393" s="3"/>
      <c r="I393" s="5"/>
      <c r="J393" s="3"/>
      <c r="K393" s="3"/>
      <c r="L393" s="3"/>
      <c r="M393" s="3"/>
      <c r="N393" s="3"/>
      <c r="O393" s="2"/>
      <c r="P393" s="6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ht="17.25" customHeight="1" x14ac:dyDescent="0.35">
      <c r="A394" s="10"/>
      <c r="B394" s="2"/>
      <c r="C394" s="3"/>
      <c r="D394" s="3"/>
      <c r="E394" s="2"/>
      <c r="F394" s="3"/>
      <c r="G394" s="3"/>
      <c r="H394" s="3"/>
      <c r="I394" s="5"/>
      <c r="J394" s="3"/>
      <c r="K394" s="3"/>
      <c r="L394" s="3"/>
      <c r="M394" s="3"/>
      <c r="N394" s="3"/>
      <c r="O394" s="2"/>
      <c r="P394" s="6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ht="17.25" customHeight="1" x14ac:dyDescent="0.35">
      <c r="A395" s="10"/>
      <c r="B395" s="2"/>
      <c r="C395" s="3"/>
      <c r="D395" s="3"/>
      <c r="E395" s="2"/>
      <c r="F395" s="3"/>
      <c r="G395" s="3"/>
      <c r="H395" s="3"/>
      <c r="I395" s="5"/>
      <c r="J395" s="3"/>
      <c r="K395" s="3"/>
      <c r="L395" s="3"/>
      <c r="M395" s="3"/>
      <c r="N395" s="3"/>
      <c r="O395" s="2"/>
      <c r="P395" s="6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ht="17.25" customHeight="1" x14ac:dyDescent="0.35">
      <c r="A396" s="10"/>
      <c r="B396" s="2"/>
      <c r="C396" s="3"/>
      <c r="D396" s="3"/>
      <c r="E396" s="2"/>
      <c r="F396" s="3"/>
      <c r="G396" s="3"/>
      <c r="H396" s="3"/>
      <c r="I396" s="5"/>
      <c r="J396" s="3"/>
      <c r="K396" s="3"/>
      <c r="L396" s="3"/>
      <c r="M396" s="3"/>
      <c r="N396" s="3"/>
      <c r="O396" s="2"/>
      <c r="P396" s="6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ht="17.25" customHeight="1" x14ac:dyDescent="0.35">
      <c r="A397" s="10"/>
      <c r="B397" s="2"/>
      <c r="C397" s="3"/>
      <c r="D397" s="3"/>
      <c r="E397" s="2"/>
      <c r="F397" s="3"/>
      <c r="G397" s="3"/>
      <c r="H397" s="3"/>
      <c r="I397" s="5"/>
      <c r="J397" s="3"/>
      <c r="K397" s="3"/>
      <c r="L397" s="3"/>
      <c r="M397" s="3"/>
      <c r="N397" s="3"/>
      <c r="O397" s="2"/>
      <c r="P397" s="6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ht="17.25" customHeight="1" x14ac:dyDescent="0.35">
      <c r="A398" s="10"/>
      <c r="B398" s="2"/>
      <c r="C398" s="3"/>
      <c r="D398" s="3"/>
      <c r="E398" s="2"/>
      <c r="F398" s="3"/>
      <c r="G398" s="3"/>
      <c r="H398" s="3"/>
      <c r="I398" s="5"/>
      <c r="J398" s="3"/>
      <c r="K398" s="3"/>
      <c r="L398" s="3"/>
      <c r="M398" s="3"/>
      <c r="N398" s="3"/>
      <c r="O398" s="2"/>
      <c r="P398" s="6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ht="17.25" customHeight="1" x14ac:dyDescent="0.35">
      <c r="A399" s="10"/>
      <c r="B399" s="2"/>
      <c r="C399" s="3"/>
      <c r="D399" s="3"/>
      <c r="E399" s="2"/>
      <c r="F399" s="3"/>
      <c r="G399" s="3"/>
      <c r="H399" s="3"/>
      <c r="I399" s="5"/>
      <c r="J399" s="3"/>
      <c r="K399" s="3"/>
      <c r="L399" s="3"/>
      <c r="M399" s="3"/>
      <c r="N399" s="3"/>
      <c r="O399" s="2"/>
      <c r="P399" s="6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ht="17.25" customHeight="1" x14ac:dyDescent="0.35">
      <c r="A400" s="10"/>
      <c r="B400" s="2"/>
      <c r="C400" s="3"/>
      <c r="D400" s="3"/>
      <c r="E400" s="2"/>
      <c r="F400" s="3"/>
      <c r="G400" s="3"/>
      <c r="H400" s="3"/>
      <c r="I400" s="5"/>
      <c r="J400" s="3"/>
      <c r="K400" s="3"/>
      <c r="L400" s="3"/>
      <c r="M400" s="3"/>
      <c r="N400" s="3"/>
      <c r="O400" s="2"/>
      <c r="P400" s="6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ht="17.25" customHeight="1" x14ac:dyDescent="0.35">
      <c r="A401" s="10"/>
      <c r="B401" s="2"/>
      <c r="C401" s="3"/>
      <c r="D401" s="3"/>
      <c r="E401" s="2"/>
      <c r="F401" s="3"/>
      <c r="G401" s="3"/>
      <c r="H401" s="3"/>
      <c r="I401" s="5"/>
      <c r="J401" s="3"/>
      <c r="K401" s="3"/>
      <c r="L401" s="3"/>
      <c r="M401" s="3"/>
      <c r="N401" s="3"/>
      <c r="O401" s="2"/>
      <c r="P401" s="6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ht="17.25" customHeight="1" x14ac:dyDescent="0.35">
      <c r="A402" s="10"/>
      <c r="B402" s="2"/>
      <c r="C402" s="3"/>
      <c r="D402" s="3"/>
      <c r="E402" s="2"/>
      <c r="F402" s="3"/>
      <c r="G402" s="3"/>
      <c r="H402" s="3"/>
      <c r="I402" s="5"/>
      <c r="J402" s="3"/>
      <c r="K402" s="3"/>
      <c r="L402" s="3"/>
      <c r="M402" s="3"/>
      <c r="N402" s="3"/>
      <c r="O402" s="2"/>
      <c r="P402" s="6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ht="17.25" customHeight="1" x14ac:dyDescent="0.35">
      <c r="A403" s="10"/>
      <c r="B403" s="2"/>
      <c r="C403" s="3"/>
      <c r="D403" s="3"/>
      <c r="E403" s="2"/>
      <c r="F403" s="3"/>
      <c r="G403" s="3"/>
      <c r="H403" s="3"/>
      <c r="I403" s="5"/>
      <c r="J403" s="3"/>
      <c r="K403" s="3"/>
      <c r="L403" s="3"/>
      <c r="M403" s="3"/>
      <c r="N403" s="3"/>
      <c r="O403" s="2"/>
      <c r="P403" s="6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ht="17.25" customHeight="1" x14ac:dyDescent="0.35">
      <c r="A404" s="10"/>
      <c r="B404" s="2"/>
      <c r="C404" s="3"/>
      <c r="D404" s="3"/>
      <c r="E404" s="2"/>
      <c r="F404" s="3"/>
      <c r="G404" s="3"/>
      <c r="H404" s="3"/>
      <c r="I404" s="5"/>
      <c r="J404" s="3"/>
      <c r="K404" s="3"/>
      <c r="L404" s="3"/>
      <c r="M404" s="3"/>
      <c r="N404" s="3"/>
      <c r="O404" s="2"/>
      <c r="P404" s="6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ht="17.25" customHeight="1" x14ac:dyDescent="0.35">
      <c r="A405" s="10"/>
      <c r="B405" s="2"/>
      <c r="C405" s="3"/>
      <c r="D405" s="3"/>
      <c r="E405" s="2"/>
      <c r="F405" s="3"/>
      <c r="G405" s="3"/>
      <c r="H405" s="3"/>
      <c r="I405" s="5"/>
      <c r="J405" s="3"/>
      <c r="K405" s="3"/>
      <c r="L405" s="3"/>
      <c r="M405" s="3"/>
      <c r="N405" s="3"/>
      <c r="O405" s="2"/>
      <c r="P405" s="6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ht="17.25" customHeight="1" x14ac:dyDescent="0.35">
      <c r="A406" s="10"/>
      <c r="B406" s="2"/>
      <c r="C406" s="3"/>
      <c r="D406" s="3"/>
      <c r="E406" s="2"/>
      <c r="F406" s="3"/>
      <c r="G406" s="3"/>
      <c r="H406" s="3"/>
      <c r="I406" s="5"/>
      <c r="J406" s="3"/>
      <c r="K406" s="3"/>
      <c r="L406" s="3"/>
      <c r="M406" s="3"/>
      <c r="N406" s="3"/>
      <c r="O406" s="2"/>
      <c r="P406" s="6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ht="17.25" customHeight="1" x14ac:dyDescent="0.35">
      <c r="A407" s="10"/>
      <c r="B407" s="2"/>
      <c r="C407" s="3"/>
      <c r="D407" s="3"/>
      <c r="E407" s="2"/>
      <c r="F407" s="3"/>
      <c r="G407" s="3"/>
      <c r="H407" s="3"/>
      <c r="I407" s="5"/>
      <c r="J407" s="3"/>
      <c r="K407" s="3"/>
      <c r="L407" s="3"/>
      <c r="M407" s="3"/>
      <c r="N407" s="3"/>
      <c r="O407" s="2"/>
      <c r="P407" s="6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ht="17.25" customHeight="1" x14ac:dyDescent="0.35">
      <c r="A408" s="10"/>
      <c r="B408" s="2"/>
      <c r="C408" s="3"/>
      <c r="D408" s="3"/>
      <c r="E408" s="2"/>
      <c r="F408" s="3"/>
      <c r="G408" s="3"/>
      <c r="H408" s="3"/>
      <c r="I408" s="5"/>
      <c r="J408" s="3"/>
      <c r="K408" s="3"/>
      <c r="L408" s="3"/>
      <c r="M408" s="3"/>
      <c r="N408" s="3"/>
      <c r="O408" s="2"/>
      <c r="P408" s="6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ht="17.25" customHeight="1" x14ac:dyDescent="0.35">
      <c r="A409" s="10"/>
      <c r="B409" s="2"/>
      <c r="C409" s="3"/>
      <c r="D409" s="3"/>
      <c r="E409" s="2"/>
      <c r="F409" s="3"/>
      <c r="G409" s="3"/>
      <c r="H409" s="3"/>
      <c r="I409" s="5"/>
      <c r="J409" s="3"/>
      <c r="K409" s="3"/>
      <c r="L409" s="3"/>
      <c r="M409" s="3"/>
      <c r="N409" s="3"/>
      <c r="O409" s="2"/>
      <c r="P409" s="6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ht="17.25" customHeight="1" x14ac:dyDescent="0.35">
      <c r="A410" s="10"/>
      <c r="B410" s="2"/>
      <c r="C410" s="3"/>
      <c r="D410" s="3"/>
      <c r="E410" s="2"/>
      <c r="F410" s="3"/>
      <c r="G410" s="3"/>
      <c r="H410" s="3"/>
      <c r="I410" s="5"/>
      <c r="J410" s="3"/>
      <c r="K410" s="3"/>
      <c r="L410" s="3"/>
      <c r="M410" s="3"/>
      <c r="N410" s="3"/>
      <c r="O410" s="2"/>
      <c r="P410" s="6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ht="17.25" customHeight="1" x14ac:dyDescent="0.35">
      <c r="A411" s="10"/>
      <c r="B411" s="2"/>
      <c r="C411" s="3"/>
      <c r="D411" s="3"/>
      <c r="E411" s="2"/>
      <c r="F411" s="3"/>
      <c r="G411" s="3"/>
      <c r="H411" s="3"/>
      <c r="I411" s="5"/>
      <c r="J411" s="3"/>
      <c r="K411" s="3"/>
      <c r="L411" s="3"/>
      <c r="M411" s="3"/>
      <c r="N411" s="3"/>
      <c r="O411" s="2"/>
      <c r="P411" s="6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ht="17.25" customHeight="1" x14ac:dyDescent="0.35">
      <c r="A412" s="10"/>
      <c r="B412" s="2"/>
      <c r="C412" s="3"/>
      <c r="D412" s="3"/>
      <c r="E412" s="2"/>
      <c r="F412" s="3"/>
      <c r="G412" s="3"/>
      <c r="H412" s="3"/>
      <c r="I412" s="5"/>
      <c r="J412" s="3"/>
      <c r="K412" s="3"/>
      <c r="L412" s="3"/>
      <c r="M412" s="3"/>
      <c r="N412" s="3"/>
      <c r="O412" s="2"/>
      <c r="P412" s="6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ht="17.25" customHeight="1" x14ac:dyDescent="0.35">
      <c r="A413" s="10"/>
      <c r="B413" s="2"/>
      <c r="C413" s="3"/>
      <c r="D413" s="3"/>
      <c r="E413" s="2"/>
      <c r="F413" s="3"/>
      <c r="G413" s="3"/>
      <c r="H413" s="3"/>
      <c r="I413" s="5"/>
      <c r="J413" s="3"/>
      <c r="K413" s="3"/>
      <c r="L413" s="3"/>
      <c r="M413" s="3"/>
      <c r="N413" s="3"/>
      <c r="O413" s="2"/>
      <c r="P413" s="6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ht="17.25" customHeight="1" x14ac:dyDescent="0.35">
      <c r="A414" s="10"/>
      <c r="B414" s="2"/>
      <c r="C414" s="3"/>
      <c r="D414" s="3"/>
      <c r="E414" s="2"/>
      <c r="F414" s="3"/>
      <c r="G414" s="3"/>
      <c r="H414" s="3"/>
      <c r="I414" s="5"/>
      <c r="J414" s="3"/>
      <c r="K414" s="3"/>
      <c r="L414" s="3"/>
      <c r="M414" s="3"/>
      <c r="N414" s="3"/>
      <c r="O414" s="2"/>
      <c r="P414" s="6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ht="17.25" customHeight="1" x14ac:dyDescent="0.35">
      <c r="A415" s="10"/>
      <c r="B415" s="2"/>
      <c r="C415" s="3"/>
      <c r="D415" s="3"/>
      <c r="E415" s="2"/>
      <c r="F415" s="3"/>
      <c r="G415" s="3"/>
      <c r="H415" s="3"/>
      <c r="I415" s="5"/>
      <c r="J415" s="3"/>
      <c r="K415" s="3"/>
      <c r="L415" s="3"/>
      <c r="M415" s="3"/>
      <c r="N415" s="3"/>
      <c r="O415" s="2"/>
      <c r="P415" s="6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ht="17.25" customHeight="1" x14ac:dyDescent="0.35">
      <c r="A416" s="10"/>
      <c r="B416" s="2"/>
      <c r="C416" s="3"/>
      <c r="D416" s="3"/>
      <c r="E416" s="2"/>
      <c r="F416" s="3"/>
      <c r="G416" s="3"/>
      <c r="H416" s="3"/>
      <c r="I416" s="5"/>
      <c r="J416" s="3"/>
      <c r="K416" s="3"/>
      <c r="L416" s="3"/>
      <c r="M416" s="3"/>
      <c r="N416" s="3"/>
      <c r="O416" s="2"/>
      <c r="P416" s="6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ht="17.25" customHeight="1" x14ac:dyDescent="0.35">
      <c r="A417" s="10"/>
      <c r="B417" s="2"/>
      <c r="C417" s="3"/>
      <c r="D417" s="3"/>
      <c r="E417" s="2"/>
      <c r="F417" s="3"/>
      <c r="G417" s="3"/>
      <c r="H417" s="3"/>
      <c r="I417" s="5"/>
      <c r="J417" s="3"/>
      <c r="K417" s="3"/>
      <c r="L417" s="3"/>
      <c r="M417" s="3"/>
      <c r="N417" s="3"/>
      <c r="O417" s="2"/>
      <c r="P417" s="6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ht="17.25" customHeight="1" x14ac:dyDescent="0.35">
      <c r="A418" s="10"/>
      <c r="B418" s="2"/>
      <c r="C418" s="3"/>
      <c r="D418" s="3"/>
      <c r="E418" s="2"/>
      <c r="F418" s="3"/>
      <c r="G418" s="3"/>
      <c r="H418" s="3"/>
      <c r="I418" s="5"/>
      <c r="J418" s="3"/>
      <c r="K418" s="3"/>
      <c r="L418" s="3"/>
      <c r="M418" s="3"/>
      <c r="N418" s="3"/>
      <c r="O418" s="2"/>
      <c r="P418" s="6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ht="17.25" customHeight="1" x14ac:dyDescent="0.35">
      <c r="A419" s="10"/>
      <c r="B419" s="2"/>
      <c r="C419" s="3"/>
      <c r="D419" s="3"/>
      <c r="E419" s="2"/>
      <c r="F419" s="3"/>
      <c r="G419" s="3"/>
      <c r="H419" s="3"/>
      <c r="I419" s="5"/>
      <c r="J419" s="3"/>
      <c r="K419" s="3"/>
      <c r="L419" s="3"/>
      <c r="M419" s="3"/>
      <c r="N419" s="3"/>
      <c r="O419" s="2"/>
      <c r="P419" s="6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ht="17.25" customHeight="1" x14ac:dyDescent="0.35">
      <c r="A420" s="10"/>
      <c r="B420" s="2"/>
      <c r="C420" s="3"/>
      <c r="D420" s="3"/>
      <c r="E420" s="2"/>
      <c r="F420" s="3"/>
      <c r="G420" s="3"/>
      <c r="H420" s="3"/>
      <c r="I420" s="5"/>
      <c r="J420" s="3"/>
      <c r="K420" s="3"/>
      <c r="L420" s="3"/>
      <c r="M420" s="3"/>
      <c r="N420" s="3"/>
      <c r="O420" s="2"/>
      <c r="P420" s="6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ht="17.25" customHeight="1" x14ac:dyDescent="0.35">
      <c r="A421" s="10"/>
      <c r="B421" s="2"/>
      <c r="C421" s="3"/>
      <c r="D421" s="3"/>
      <c r="E421" s="2"/>
      <c r="F421" s="3"/>
      <c r="G421" s="3"/>
      <c r="H421" s="3"/>
      <c r="I421" s="5"/>
      <c r="J421" s="3"/>
      <c r="K421" s="3"/>
      <c r="L421" s="3"/>
      <c r="M421" s="3"/>
      <c r="N421" s="3"/>
      <c r="O421" s="2"/>
      <c r="P421" s="6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ht="17.25" customHeight="1" x14ac:dyDescent="0.35">
      <c r="A422" s="10"/>
      <c r="B422" s="2"/>
      <c r="C422" s="3"/>
      <c r="D422" s="3"/>
      <c r="E422" s="2"/>
      <c r="F422" s="3"/>
      <c r="G422" s="3"/>
      <c r="H422" s="3"/>
      <c r="I422" s="5"/>
      <c r="J422" s="3"/>
      <c r="K422" s="3"/>
      <c r="L422" s="3"/>
      <c r="M422" s="3"/>
      <c r="N422" s="3"/>
      <c r="O422" s="2"/>
      <c r="P422" s="6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ht="17.25" customHeight="1" x14ac:dyDescent="0.35">
      <c r="A423" s="10"/>
      <c r="B423" s="2"/>
      <c r="C423" s="3"/>
      <c r="D423" s="3"/>
      <c r="E423" s="2"/>
      <c r="F423" s="3"/>
      <c r="G423" s="3"/>
      <c r="H423" s="3"/>
      <c r="I423" s="5"/>
      <c r="J423" s="3"/>
      <c r="K423" s="3"/>
      <c r="L423" s="3"/>
      <c r="M423" s="3"/>
      <c r="N423" s="3"/>
      <c r="O423" s="2"/>
      <c r="P423" s="6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ht="17.25" customHeight="1" x14ac:dyDescent="0.35">
      <c r="A424" s="10"/>
      <c r="B424" s="2"/>
      <c r="C424" s="3"/>
      <c r="D424" s="3"/>
      <c r="E424" s="2"/>
      <c r="F424" s="3"/>
      <c r="G424" s="3"/>
      <c r="H424" s="3"/>
      <c r="I424" s="5"/>
      <c r="J424" s="3"/>
      <c r="K424" s="3"/>
      <c r="L424" s="3"/>
      <c r="M424" s="3"/>
      <c r="N424" s="3"/>
      <c r="O424" s="2"/>
      <c r="P424" s="6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ht="17.25" customHeight="1" x14ac:dyDescent="0.35">
      <c r="A425" s="10"/>
      <c r="B425" s="2"/>
      <c r="C425" s="3"/>
      <c r="D425" s="3"/>
      <c r="E425" s="2"/>
      <c r="F425" s="3"/>
      <c r="G425" s="3"/>
      <c r="H425" s="3"/>
      <c r="I425" s="5"/>
      <c r="J425" s="3"/>
      <c r="K425" s="3"/>
      <c r="L425" s="3"/>
      <c r="M425" s="3"/>
      <c r="N425" s="3"/>
      <c r="O425" s="2"/>
      <c r="P425" s="6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ht="17.25" customHeight="1" x14ac:dyDescent="0.35">
      <c r="A426" s="10"/>
      <c r="B426" s="2"/>
      <c r="C426" s="3"/>
      <c r="D426" s="3"/>
      <c r="E426" s="2"/>
      <c r="F426" s="3"/>
      <c r="G426" s="3"/>
      <c r="H426" s="3"/>
      <c r="I426" s="5"/>
      <c r="J426" s="3"/>
      <c r="K426" s="3"/>
      <c r="L426" s="3"/>
      <c r="M426" s="3"/>
      <c r="N426" s="3"/>
      <c r="O426" s="2"/>
      <c r="P426" s="6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ht="17.25" customHeight="1" x14ac:dyDescent="0.35">
      <c r="A427" s="10"/>
      <c r="B427" s="2"/>
      <c r="C427" s="3"/>
      <c r="D427" s="3"/>
      <c r="E427" s="2"/>
      <c r="F427" s="3"/>
      <c r="G427" s="3"/>
      <c r="H427" s="3"/>
      <c r="I427" s="5"/>
      <c r="J427" s="3"/>
      <c r="K427" s="3"/>
      <c r="L427" s="3"/>
      <c r="M427" s="3"/>
      <c r="N427" s="3"/>
      <c r="O427" s="2"/>
      <c r="P427" s="6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ht="17.25" customHeight="1" x14ac:dyDescent="0.35">
      <c r="A428" s="10"/>
      <c r="B428" s="2"/>
      <c r="C428" s="3"/>
      <c r="D428" s="3"/>
      <c r="E428" s="2"/>
      <c r="F428" s="3"/>
      <c r="G428" s="3"/>
      <c r="H428" s="3"/>
      <c r="I428" s="5"/>
      <c r="J428" s="3"/>
      <c r="K428" s="3"/>
      <c r="L428" s="3"/>
      <c r="M428" s="3"/>
      <c r="N428" s="3"/>
      <c r="O428" s="2"/>
      <c r="P428" s="6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ht="17.25" customHeight="1" x14ac:dyDescent="0.35">
      <c r="A429" s="10"/>
      <c r="B429" s="2"/>
      <c r="C429" s="3"/>
      <c r="D429" s="3"/>
      <c r="E429" s="2"/>
      <c r="F429" s="3"/>
      <c r="G429" s="3"/>
      <c r="H429" s="3"/>
      <c r="I429" s="5"/>
      <c r="J429" s="3"/>
      <c r="K429" s="3"/>
      <c r="L429" s="3"/>
      <c r="M429" s="3"/>
      <c r="N429" s="3"/>
      <c r="O429" s="2"/>
      <c r="P429" s="6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ht="17.25" customHeight="1" x14ac:dyDescent="0.35">
      <c r="A430" s="10"/>
      <c r="B430" s="2"/>
      <c r="C430" s="3"/>
      <c r="D430" s="3"/>
      <c r="E430" s="2"/>
      <c r="F430" s="3"/>
      <c r="G430" s="3"/>
      <c r="H430" s="3"/>
      <c r="I430" s="5"/>
      <c r="J430" s="3"/>
      <c r="K430" s="3"/>
      <c r="L430" s="3"/>
      <c r="M430" s="3"/>
      <c r="N430" s="3"/>
      <c r="O430" s="2"/>
      <c r="P430" s="6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ht="17.25" customHeight="1" x14ac:dyDescent="0.35">
      <c r="A431" s="10"/>
      <c r="B431" s="2"/>
      <c r="C431" s="3"/>
      <c r="D431" s="3"/>
      <c r="E431" s="2"/>
      <c r="F431" s="3"/>
      <c r="G431" s="3"/>
      <c r="H431" s="3"/>
      <c r="I431" s="5"/>
      <c r="J431" s="3"/>
      <c r="K431" s="3"/>
      <c r="L431" s="3"/>
      <c r="M431" s="3"/>
      <c r="N431" s="3"/>
      <c r="O431" s="2"/>
      <c r="P431" s="6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ht="17.25" customHeight="1" x14ac:dyDescent="0.35">
      <c r="A432" s="10"/>
      <c r="B432" s="2"/>
      <c r="C432" s="3"/>
      <c r="D432" s="3"/>
      <c r="E432" s="2"/>
      <c r="F432" s="3"/>
      <c r="G432" s="3"/>
      <c r="H432" s="3"/>
      <c r="I432" s="5"/>
      <c r="J432" s="3"/>
      <c r="K432" s="3"/>
      <c r="L432" s="3"/>
      <c r="M432" s="3"/>
      <c r="N432" s="3"/>
      <c r="O432" s="2"/>
      <c r="P432" s="6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ht="17.25" customHeight="1" x14ac:dyDescent="0.35">
      <c r="A433" s="10"/>
      <c r="B433" s="2"/>
      <c r="C433" s="3"/>
      <c r="D433" s="3"/>
      <c r="E433" s="2"/>
      <c r="F433" s="3"/>
      <c r="G433" s="3"/>
      <c r="H433" s="3"/>
      <c r="I433" s="5"/>
      <c r="J433" s="3"/>
      <c r="K433" s="3"/>
      <c r="L433" s="3"/>
      <c r="M433" s="3"/>
      <c r="N433" s="3"/>
      <c r="O433" s="2"/>
      <c r="P433" s="6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ht="17.25" customHeight="1" x14ac:dyDescent="0.35">
      <c r="A434" s="10"/>
      <c r="B434" s="2"/>
      <c r="C434" s="3"/>
      <c r="D434" s="3"/>
      <c r="E434" s="2"/>
      <c r="F434" s="3"/>
      <c r="G434" s="3"/>
      <c r="H434" s="3"/>
      <c r="I434" s="5"/>
      <c r="J434" s="3"/>
      <c r="K434" s="3"/>
      <c r="L434" s="3"/>
      <c r="M434" s="3"/>
      <c r="N434" s="3"/>
      <c r="O434" s="2"/>
      <c r="P434" s="6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ht="17.25" customHeight="1" x14ac:dyDescent="0.35">
      <c r="A435" s="10"/>
      <c r="B435" s="2"/>
      <c r="C435" s="3"/>
      <c r="D435" s="3"/>
      <c r="E435" s="2"/>
      <c r="F435" s="3"/>
      <c r="G435" s="3"/>
      <c r="H435" s="3"/>
      <c r="I435" s="5"/>
      <c r="J435" s="3"/>
      <c r="K435" s="3"/>
      <c r="L435" s="3"/>
      <c r="M435" s="3"/>
      <c r="N435" s="3"/>
      <c r="O435" s="2"/>
      <c r="P435" s="6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ht="17.25" customHeight="1" x14ac:dyDescent="0.35">
      <c r="A436" s="10"/>
      <c r="B436" s="2"/>
      <c r="C436" s="3"/>
      <c r="D436" s="3"/>
      <c r="E436" s="2"/>
      <c r="F436" s="3"/>
      <c r="G436" s="3"/>
      <c r="H436" s="3"/>
      <c r="I436" s="5"/>
      <c r="J436" s="3"/>
      <c r="K436" s="3"/>
      <c r="L436" s="3"/>
      <c r="M436" s="3"/>
      <c r="N436" s="3"/>
      <c r="O436" s="2"/>
      <c r="P436" s="6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ht="17.25" customHeight="1" x14ac:dyDescent="0.35">
      <c r="A437" s="10"/>
      <c r="B437" s="2"/>
      <c r="C437" s="3"/>
      <c r="D437" s="3"/>
      <c r="E437" s="2"/>
      <c r="F437" s="3"/>
      <c r="G437" s="3"/>
      <c r="H437" s="3"/>
      <c r="I437" s="5"/>
      <c r="J437" s="3"/>
      <c r="K437" s="3"/>
      <c r="L437" s="3"/>
      <c r="M437" s="3"/>
      <c r="N437" s="3"/>
      <c r="O437" s="2"/>
      <c r="P437" s="6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ht="17.25" customHeight="1" x14ac:dyDescent="0.35">
      <c r="A438" s="10"/>
      <c r="B438" s="2"/>
      <c r="C438" s="3"/>
      <c r="D438" s="3"/>
      <c r="E438" s="2"/>
      <c r="F438" s="3"/>
      <c r="G438" s="3"/>
      <c r="H438" s="3"/>
      <c r="I438" s="5"/>
      <c r="J438" s="3"/>
      <c r="K438" s="3"/>
      <c r="L438" s="3"/>
      <c r="M438" s="3"/>
      <c r="N438" s="3"/>
      <c r="O438" s="2"/>
      <c r="P438" s="6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ht="17.25" customHeight="1" x14ac:dyDescent="0.35">
      <c r="A439" s="10"/>
      <c r="B439" s="2"/>
      <c r="C439" s="3"/>
      <c r="D439" s="3"/>
      <c r="E439" s="2"/>
      <c r="F439" s="3"/>
      <c r="G439" s="3"/>
      <c r="H439" s="3"/>
      <c r="I439" s="5"/>
      <c r="J439" s="3"/>
      <c r="K439" s="3"/>
      <c r="L439" s="3"/>
      <c r="M439" s="3"/>
      <c r="N439" s="3"/>
      <c r="O439" s="2"/>
      <c r="P439" s="6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ht="17.25" customHeight="1" x14ac:dyDescent="0.35">
      <c r="A440" s="10"/>
      <c r="B440" s="2"/>
      <c r="C440" s="3"/>
      <c r="D440" s="3"/>
      <c r="E440" s="2"/>
      <c r="F440" s="3"/>
      <c r="G440" s="3"/>
      <c r="H440" s="3"/>
      <c r="I440" s="5"/>
      <c r="J440" s="3"/>
      <c r="K440" s="3"/>
      <c r="L440" s="3"/>
      <c r="M440" s="3"/>
      <c r="N440" s="3"/>
      <c r="O440" s="2"/>
      <c r="P440" s="6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ht="17.25" customHeight="1" x14ac:dyDescent="0.35">
      <c r="A441" s="10"/>
      <c r="B441" s="2"/>
      <c r="C441" s="3"/>
      <c r="D441" s="3"/>
      <c r="E441" s="2"/>
      <c r="F441" s="3"/>
      <c r="G441" s="3"/>
      <c r="H441" s="3"/>
      <c r="I441" s="5"/>
      <c r="J441" s="3"/>
      <c r="K441" s="3"/>
      <c r="L441" s="3"/>
      <c r="M441" s="3"/>
      <c r="N441" s="3"/>
      <c r="O441" s="2"/>
      <c r="P441" s="6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ht="17.25" customHeight="1" x14ac:dyDescent="0.35">
      <c r="A442" s="10"/>
      <c r="B442" s="2"/>
      <c r="C442" s="3"/>
      <c r="D442" s="3"/>
      <c r="E442" s="2"/>
      <c r="F442" s="3"/>
      <c r="G442" s="3"/>
      <c r="H442" s="3"/>
      <c r="I442" s="5"/>
      <c r="J442" s="3"/>
      <c r="K442" s="3"/>
      <c r="L442" s="3"/>
      <c r="M442" s="3"/>
      <c r="N442" s="3"/>
      <c r="O442" s="2"/>
      <c r="P442" s="6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ht="17.25" customHeight="1" x14ac:dyDescent="0.35">
      <c r="A443" s="10"/>
      <c r="B443" s="2"/>
      <c r="C443" s="3"/>
      <c r="D443" s="3"/>
      <c r="E443" s="2"/>
      <c r="F443" s="3"/>
      <c r="G443" s="3"/>
      <c r="H443" s="3"/>
      <c r="I443" s="5"/>
      <c r="J443" s="3"/>
      <c r="K443" s="3"/>
      <c r="L443" s="3"/>
      <c r="M443" s="3"/>
      <c r="N443" s="3"/>
      <c r="O443" s="2"/>
      <c r="P443" s="6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ht="17.25" customHeight="1" x14ac:dyDescent="0.35">
      <c r="A444" s="10"/>
      <c r="B444" s="2"/>
      <c r="C444" s="3"/>
      <c r="D444" s="3"/>
      <c r="E444" s="2"/>
      <c r="F444" s="3"/>
      <c r="G444" s="3"/>
      <c r="H444" s="3"/>
      <c r="I444" s="5"/>
      <c r="J444" s="3"/>
      <c r="K444" s="3"/>
      <c r="L444" s="3"/>
      <c r="M444" s="3"/>
      <c r="N444" s="3"/>
      <c r="O444" s="2"/>
      <c r="P444" s="6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ht="17.25" customHeight="1" x14ac:dyDescent="0.35">
      <c r="A445" s="10"/>
      <c r="B445" s="2"/>
      <c r="C445" s="3"/>
      <c r="D445" s="3"/>
      <c r="E445" s="2"/>
      <c r="F445" s="3"/>
      <c r="G445" s="3"/>
      <c r="H445" s="3"/>
      <c r="I445" s="5"/>
      <c r="J445" s="3"/>
      <c r="K445" s="3"/>
      <c r="L445" s="3"/>
      <c r="M445" s="3"/>
      <c r="N445" s="3"/>
      <c r="O445" s="2"/>
      <c r="P445" s="6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ht="17.25" customHeight="1" x14ac:dyDescent="0.35">
      <c r="A446" s="10"/>
      <c r="B446" s="2"/>
      <c r="C446" s="3"/>
      <c r="D446" s="3"/>
      <c r="E446" s="2"/>
      <c r="F446" s="3"/>
      <c r="G446" s="3"/>
      <c r="H446" s="3"/>
      <c r="I446" s="5"/>
      <c r="J446" s="3"/>
      <c r="K446" s="3"/>
      <c r="L446" s="3"/>
      <c r="M446" s="3"/>
      <c r="N446" s="3"/>
      <c r="O446" s="2"/>
      <c r="P446" s="6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ht="17.25" customHeight="1" x14ac:dyDescent="0.35">
      <c r="A447" s="10"/>
      <c r="B447" s="2"/>
      <c r="C447" s="3"/>
      <c r="D447" s="3"/>
      <c r="E447" s="2"/>
      <c r="F447" s="3"/>
      <c r="G447" s="3"/>
      <c r="H447" s="3"/>
      <c r="I447" s="5"/>
      <c r="J447" s="3"/>
      <c r="K447" s="3"/>
      <c r="L447" s="3"/>
      <c r="M447" s="3"/>
      <c r="N447" s="3"/>
      <c r="O447" s="2"/>
      <c r="P447" s="6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ht="17.25" customHeight="1" x14ac:dyDescent="0.35">
      <c r="A448" s="10"/>
      <c r="B448" s="2"/>
      <c r="C448" s="3"/>
      <c r="D448" s="3"/>
      <c r="E448" s="2"/>
      <c r="F448" s="3"/>
      <c r="G448" s="3"/>
      <c r="H448" s="3"/>
      <c r="I448" s="5"/>
      <c r="J448" s="3"/>
      <c r="K448" s="3"/>
      <c r="L448" s="3"/>
      <c r="M448" s="3"/>
      <c r="N448" s="3"/>
      <c r="O448" s="2"/>
      <c r="P448" s="6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ht="17.25" customHeight="1" x14ac:dyDescent="0.35">
      <c r="A449" s="10"/>
      <c r="B449" s="2"/>
      <c r="C449" s="3"/>
      <c r="D449" s="3"/>
      <c r="E449" s="2"/>
      <c r="F449" s="3"/>
      <c r="G449" s="3"/>
      <c r="H449" s="3"/>
      <c r="I449" s="5"/>
      <c r="J449" s="3"/>
      <c r="K449" s="3"/>
      <c r="L449" s="3"/>
      <c r="M449" s="3"/>
      <c r="N449" s="3"/>
      <c r="O449" s="2"/>
      <c r="P449" s="6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ht="17.25" customHeight="1" x14ac:dyDescent="0.35">
      <c r="A450" s="10"/>
      <c r="B450" s="2"/>
      <c r="C450" s="3"/>
      <c r="D450" s="3"/>
      <c r="E450" s="2"/>
      <c r="F450" s="3"/>
      <c r="G450" s="3"/>
      <c r="H450" s="3"/>
      <c r="I450" s="5"/>
      <c r="J450" s="3"/>
      <c r="K450" s="3"/>
      <c r="L450" s="3"/>
      <c r="M450" s="3"/>
      <c r="N450" s="3"/>
      <c r="O450" s="2"/>
      <c r="P450" s="6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ht="17.25" customHeight="1" x14ac:dyDescent="0.35">
      <c r="A451" s="10"/>
      <c r="B451" s="2"/>
      <c r="C451" s="3"/>
      <c r="D451" s="3"/>
      <c r="E451" s="2"/>
      <c r="F451" s="3"/>
      <c r="G451" s="3"/>
      <c r="H451" s="3"/>
      <c r="I451" s="5"/>
      <c r="J451" s="3"/>
      <c r="K451" s="3"/>
      <c r="L451" s="3"/>
      <c r="M451" s="3"/>
      <c r="N451" s="3"/>
      <c r="O451" s="2"/>
      <c r="P451" s="6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ht="17.25" customHeight="1" x14ac:dyDescent="0.35">
      <c r="A452" s="10"/>
      <c r="B452" s="2"/>
      <c r="C452" s="3"/>
      <c r="D452" s="3"/>
      <c r="E452" s="2"/>
      <c r="F452" s="3"/>
      <c r="G452" s="3"/>
      <c r="H452" s="3"/>
      <c r="I452" s="5"/>
      <c r="J452" s="3"/>
      <c r="K452" s="3"/>
      <c r="L452" s="3"/>
      <c r="M452" s="3"/>
      <c r="N452" s="3"/>
      <c r="O452" s="2"/>
      <c r="P452" s="6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ht="17.25" customHeight="1" x14ac:dyDescent="0.35">
      <c r="A453" s="10"/>
      <c r="B453" s="2"/>
      <c r="C453" s="3"/>
      <c r="D453" s="3"/>
      <c r="E453" s="2"/>
      <c r="F453" s="3"/>
      <c r="G453" s="3"/>
      <c r="H453" s="3"/>
      <c r="I453" s="5"/>
      <c r="J453" s="3"/>
      <c r="K453" s="3"/>
      <c r="L453" s="3"/>
      <c r="M453" s="3"/>
      <c r="N453" s="3"/>
      <c r="O453" s="2"/>
      <c r="P453" s="6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ht="17.25" customHeight="1" x14ac:dyDescent="0.35">
      <c r="A454" s="10"/>
      <c r="B454" s="2"/>
      <c r="C454" s="3"/>
      <c r="D454" s="3"/>
      <c r="E454" s="2"/>
      <c r="F454" s="3"/>
      <c r="G454" s="3"/>
      <c r="H454" s="3"/>
      <c r="I454" s="5"/>
      <c r="J454" s="3"/>
      <c r="K454" s="3"/>
      <c r="L454" s="3"/>
      <c r="M454" s="3"/>
      <c r="N454" s="3"/>
      <c r="O454" s="2"/>
      <c r="P454" s="6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ht="17.25" customHeight="1" x14ac:dyDescent="0.35">
      <c r="A455" s="10"/>
      <c r="B455" s="2"/>
      <c r="C455" s="3"/>
      <c r="D455" s="3"/>
      <c r="E455" s="2"/>
      <c r="F455" s="3"/>
      <c r="G455" s="3"/>
      <c r="H455" s="3"/>
      <c r="I455" s="5"/>
      <c r="J455" s="3"/>
      <c r="K455" s="3"/>
      <c r="L455" s="3"/>
      <c r="M455" s="3"/>
      <c r="N455" s="3"/>
      <c r="O455" s="2"/>
      <c r="P455" s="6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ht="17.25" customHeight="1" x14ac:dyDescent="0.35">
      <c r="A456" s="10"/>
      <c r="B456" s="2"/>
      <c r="C456" s="3"/>
      <c r="D456" s="3"/>
      <c r="E456" s="2"/>
      <c r="F456" s="3"/>
      <c r="G456" s="3"/>
      <c r="H456" s="3"/>
      <c r="I456" s="5"/>
      <c r="J456" s="3"/>
      <c r="K456" s="3"/>
      <c r="L456" s="3"/>
      <c r="M456" s="3"/>
      <c r="N456" s="3"/>
      <c r="O456" s="2"/>
      <c r="P456" s="6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ht="17.25" customHeight="1" x14ac:dyDescent="0.35">
      <c r="A457" s="10"/>
      <c r="B457" s="2"/>
      <c r="C457" s="3"/>
      <c r="D457" s="3"/>
      <c r="E457" s="2"/>
      <c r="F457" s="3"/>
      <c r="G457" s="3"/>
      <c r="H457" s="3"/>
      <c r="I457" s="5"/>
      <c r="J457" s="3"/>
      <c r="K457" s="3"/>
      <c r="L457" s="3"/>
      <c r="M457" s="3"/>
      <c r="N457" s="3"/>
      <c r="O457" s="2"/>
      <c r="P457" s="6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ht="17.25" customHeight="1" x14ac:dyDescent="0.35">
      <c r="A458" s="10"/>
      <c r="B458" s="2"/>
      <c r="C458" s="3"/>
      <c r="D458" s="3"/>
      <c r="E458" s="2"/>
      <c r="F458" s="3"/>
      <c r="G458" s="3"/>
      <c r="H458" s="3"/>
      <c r="I458" s="5"/>
      <c r="J458" s="3"/>
      <c r="K458" s="3"/>
      <c r="L458" s="3"/>
      <c r="M458" s="3"/>
      <c r="N458" s="3"/>
      <c r="O458" s="2"/>
      <c r="P458" s="6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ht="17.25" customHeight="1" x14ac:dyDescent="0.35">
      <c r="A459" s="10"/>
      <c r="B459" s="2"/>
      <c r="C459" s="3"/>
      <c r="D459" s="3"/>
      <c r="E459" s="2"/>
      <c r="F459" s="3"/>
      <c r="G459" s="3"/>
      <c r="H459" s="3"/>
      <c r="I459" s="5"/>
      <c r="J459" s="3"/>
      <c r="K459" s="3"/>
      <c r="L459" s="3"/>
      <c r="M459" s="3"/>
      <c r="N459" s="3"/>
      <c r="O459" s="2"/>
      <c r="P459" s="6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ht="17.25" customHeight="1" x14ac:dyDescent="0.35">
      <c r="A460" s="10"/>
      <c r="B460" s="2"/>
      <c r="C460" s="3"/>
      <c r="D460" s="3"/>
      <c r="E460" s="2"/>
      <c r="F460" s="3"/>
      <c r="G460" s="3"/>
      <c r="H460" s="3"/>
      <c r="I460" s="5"/>
      <c r="J460" s="3"/>
      <c r="K460" s="3"/>
      <c r="L460" s="3"/>
      <c r="M460" s="3"/>
      <c r="N460" s="3"/>
      <c r="O460" s="2"/>
      <c r="P460" s="6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ht="17.25" customHeight="1" x14ac:dyDescent="0.35">
      <c r="A461" s="10"/>
      <c r="B461" s="2"/>
      <c r="C461" s="3"/>
      <c r="D461" s="3"/>
      <c r="E461" s="2"/>
      <c r="F461" s="3"/>
      <c r="G461" s="3"/>
      <c r="H461" s="3"/>
      <c r="I461" s="5"/>
      <c r="J461" s="3"/>
      <c r="K461" s="3"/>
      <c r="L461" s="3"/>
      <c r="M461" s="3"/>
      <c r="N461" s="3"/>
      <c r="O461" s="2"/>
      <c r="P461" s="6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ht="17.25" customHeight="1" x14ac:dyDescent="0.35">
      <c r="A462" s="10"/>
      <c r="B462" s="2"/>
      <c r="C462" s="3"/>
      <c r="D462" s="3"/>
      <c r="E462" s="2"/>
      <c r="F462" s="3"/>
      <c r="G462" s="3"/>
      <c r="H462" s="3"/>
      <c r="I462" s="5"/>
      <c r="J462" s="3"/>
      <c r="K462" s="3"/>
      <c r="L462" s="3"/>
      <c r="M462" s="3"/>
      <c r="N462" s="3"/>
      <c r="O462" s="2"/>
      <c r="P462" s="6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ht="17.25" customHeight="1" x14ac:dyDescent="0.35">
      <c r="A463" s="10"/>
      <c r="B463" s="2"/>
      <c r="C463" s="3"/>
      <c r="D463" s="3"/>
      <c r="E463" s="2"/>
      <c r="F463" s="3"/>
      <c r="G463" s="3"/>
      <c r="H463" s="3"/>
      <c r="I463" s="5"/>
      <c r="J463" s="3"/>
      <c r="K463" s="3"/>
      <c r="L463" s="3"/>
      <c r="M463" s="3"/>
      <c r="N463" s="3"/>
      <c r="O463" s="2"/>
      <c r="P463" s="6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ht="17.25" customHeight="1" x14ac:dyDescent="0.35">
      <c r="A464" s="10"/>
      <c r="B464" s="2"/>
      <c r="C464" s="3"/>
      <c r="D464" s="3"/>
      <c r="E464" s="2"/>
      <c r="F464" s="3"/>
      <c r="G464" s="3"/>
      <c r="H464" s="3"/>
      <c r="I464" s="5"/>
      <c r="J464" s="3"/>
      <c r="K464" s="3"/>
      <c r="L464" s="3"/>
      <c r="M464" s="3"/>
      <c r="N464" s="3"/>
      <c r="O464" s="2"/>
      <c r="P464" s="6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ht="17.25" customHeight="1" x14ac:dyDescent="0.35">
      <c r="A465" s="10"/>
      <c r="B465" s="2"/>
      <c r="C465" s="3"/>
      <c r="D465" s="3"/>
      <c r="E465" s="2"/>
      <c r="F465" s="3"/>
      <c r="G465" s="3"/>
      <c r="H465" s="3"/>
      <c r="I465" s="5"/>
      <c r="J465" s="3"/>
      <c r="K465" s="3"/>
      <c r="L465" s="3"/>
      <c r="M465" s="3"/>
      <c r="N465" s="3"/>
      <c r="O465" s="2"/>
      <c r="P465" s="6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ht="17.25" customHeight="1" x14ac:dyDescent="0.35">
      <c r="A466" s="10"/>
      <c r="B466" s="2"/>
      <c r="C466" s="3"/>
      <c r="D466" s="3"/>
      <c r="E466" s="2"/>
      <c r="F466" s="3"/>
      <c r="G466" s="3"/>
      <c r="H466" s="3"/>
      <c r="I466" s="5"/>
      <c r="J466" s="3"/>
      <c r="K466" s="3"/>
      <c r="L466" s="3"/>
      <c r="M466" s="3"/>
      <c r="N466" s="3"/>
      <c r="O466" s="2"/>
      <c r="P466" s="6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ht="17.25" customHeight="1" x14ac:dyDescent="0.35">
      <c r="A467" s="10"/>
      <c r="B467" s="2"/>
      <c r="C467" s="3"/>
      <c r="D467" s="3"/>
      <c r="E467" s="2"/>
      <c r="F467" s="3"/>
      <c r="G467" s="3"/>
      <c r="H467" s="3"/>
      <c r="I467" s="5"/>
      <c r="J467" s="3"/>
      <c r="K467" s="3"/>
      <c r="L467" s="3"/>
      <c r="M467" s="3"/>
      <c r="N467" s="3"/>
      <c r="O467" s="2"/>
      <c r="P467" s="6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ht="17.25" customHeight="1" x14ac:dyDescent="0.35">
      <c r="A468" s="10"/>
      <c r="B468" s="2"/>
      <c r="C468" s="3"/>
      <c r="D468" s="3"/>
      <c r="E468" s="2"/>
      <c r="F468" s="3"/>
      <c r="G468" s="3"/>
      <c r="H468" s="3"/>
      <c r="I468" s="5"/>
      <c r="J468" s="3"/>
      <c r="K468" s="3"/>
      <c r="L468" s="3"/>
      <c r="M468" s="3"/>
      <c r="N468" s="3"/>
      <c r="O468" s="2"/>
      <c r="P468" s="6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ht="17.25" customHeight="1" x14ac:dyDescent="0.35">
      <c r="A469" s="10"/>
      <c r="B469" s="2"/>
      <c r="C469" s="3"/>
      <c r="D469" s="3"/>
      <c r="E469" s="2"/>
      <c r="F469" s="3"/>
      <c r="G469" s="3"/>
      <c r="H469" s="3"/>
      <c r="I469" s="5"/>
      <c r="J469" s="3"/>
      <c r="K469" s="3"/>
      <c r="L469" s="3"/>
      <c r="M469" s="3"/>
      <c r="N469" s="3"/>
      <c r="O469" s="2"/>
      <c r="P469" s="6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ht="17.25" customHeight="1" x14ac:dyDescent="0.35">
      <c r="A470" s="10"/>
      <c r="B470" s="2"/>
      <c r="C470" s="3"/>
      <c r="D470" s="3"/>
      <c r="E470" s="2"/>
      <c r="F470" s="3"/>
      <c r="G470" s="3"/>
      <c r="H470" s="3"/>
      <c r="I470" s="5"/>
      <c r="J470" s="3"/>
      <c r="K470" s="3"/>
      <c r="L470" s="3"/>
      <c r="M470" s="3"/>
      <c r="N470" s="3"/>
      <c r="O470" s="2"/>
      <c r="P470" s="6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ht="17.25" customHeight="1" x14ac:dyDescent="0.35">
      <c r="A471" s="10"/>
      <c r="B471" s="2"/>
      <c r="C471" s="3"/>
      <c r="D471" s="3"/>
      <c r="E471" s="2"/>
      <c r="F471" s="3"/>
      <c r="G471" s="3"/>
      <c r="H471" s="3"/>
      <c r="I471" s="5"/>
      <c r="J471" s="3"/>
      <c r="K471" s="3"/>
      <c r="L471" s="3"/>
      <c r="M471" s="3"/>
      <c r="N471" s="3"/>
      <c r="O471" s="2"/>
      <c r="P471" s="6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ht="17.25" customHeight="1" x14ac:dyDescent="0.35">
      <c r="A472" s="10"/>
      <c r="B472" s="2"/>
      <c r="C472" s="3"/>
      <c r="D472" s="3"/>
      <c r="E472" s="2"/>
      <c r="F472" s="3"/>
      <c r="G472" s="3"/>
      <c r="H472" s="3"/>
      <c r="I472" s="5"/>
      <c r="J472" s="3"/>
      <c r="K472" s="3"/>
      <c r="L472" s="3"/>
      <c r="M472" s="3"/>
      <c r="N472" s="3"/>
      <c r="O472" s="2"/>
      <c r="P472" s="6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ht="17.25" customHeight="1" x14ac:dyDescent="0.35">
      <c r="A473" s="10"/>
      <c r="B473" s="2"/>
      <c r="C473" s="3"/>
      <c r="D473" s="3"/>
      <c r="E473" s="2"/>
      <c r="F473" s="3"/>
      <c r="G473" s="3"/>
      <c r="H473" s="3"/>
      <c r="I473" s="5"/>
      <c r="J473" s="3"/>
      <c r="K473" s="3"/>
      <c r="L473" s="3"/>
      <c r="M473" s="3"/>
      <c r="N473" s="3"/>
      <c r="O473" s="2"/>
      <c r="P473" s="6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ht="17.25" customHeight="1" x14ac:dyDescent="0.35">
      <c r="A474" s="10"/>
      <c r="B474" s="2"/>
      <c r="C474" s="3"/>
      <c r="D474" s="3"/>
      <c r="E474" s="2"/>
      <c r="F474" s="3"/>
      <c r="G474" s="3"/>
      <c r="H474" s="3"/>
      <c r="I474" s="5"/>
      <c r="J474" s="3"/>
      <c r="K474" s="3"/>
      <c r="L474" s="3"/>
      <c r="M474" s="3"/>
      <c r="N474" s="3"/>
      <c r="O474" s="2"/>
      <c r="P474" s="6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ht="17.25" customHeight="1" x14ac:dyDescent="0.35">
      <c r="A475" s="10"/>
      <c r="B475" s="2"/>
      <c r="C475" s="3"/>
      <c r="D475" s="3"/>
      <c r="E475" s="2"/>
      <c r="F475" s="3"/>
      <c r="G475" s="3"/>
      <c r="H475" s="3"/>
      <c r="I475" s="5"/>
      <c r="J475" s="3"/>
      <c r="K475" s="3"/>
      <c r="L475" s="3"/>
      <c r="M475" s="3"/>
      <c r="N475" s="3"/>
      <c r="O475" s="2"/>
      <c r="P475" s="6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ht="17.25" customHeight="1" x14ac:dyDescent="0.35">
      <c r="A476" s="10"/>
      <c r="B476" s="2"/>
      <c r="C476" s="3"/>
      <c r="D476" s="3"/>
      <c r="E476" s="2"/>
      <c r="F476" s="3"/>
      <c r="G476" s="3"/>
      <c r="H476" s="3"/>
      <c r="I476" s="5"/>
      <c r="J476" s="3"/>
      <c r="K476" s="3"/>
      <c r="L476" s="3"/>
      <c r="M476" s="3"/>
      <c r="N476" s="3"/>
      <c r="O476" s="2"/>
      <c r="P476" s="6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ht="17.25" customHeight="1" x14ac:dyDescent="0.35">
      <c r="A477" s="10"/>
      <c r="B477" s="2"/>
      <c r="C477" s="3"/>
      <c r="D477" s="3"/>
      <c r="E477" s="2"/>
      <c r="F477" s="3"/>
      <c r="G477" s="3"/>
      <c r="H477" s="3"/>
      <c r="I477" s="5"/>
      <c r="J477" s="3"/>
      <c r="K477" s="3"/>
      <c r="L477" s="3"/>
      <c r="M477" s="3"/>
      <c r="N477" s="3"/>
      <c r="O477" s="2"/>
      <c r="P477" s="6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ht="17.25" customHeight="1" x14ac:dyDescent="0.35">
      <c r="A478" s="10"/>
      <c r="B478" s="2"/>
      <c r="C478" s="3"/>
      <c r="D478" s="3"/>
      <c r="E478" s="2"/>
      <c r="F478" s="3"/>
      <c r="G478" s="3"/>
      <c r="H478" s="3"/>
      <c r="I478" s="5"/>
      <c r="J478" s="3"/>
      <c r="K478" s="3"/>
      <c r="L478" s="3"/>
      <c r="M478" s="3"/>
      <c r="N478" s="3"/>
      <c r="O478" s="2"/>
      <c r="P478" s="6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ht="17.25" customHeight="1" x14ac:dyDescent="0.35">
      <c r="A479" s="10"/>
      <c r="B479" s="2"/>
      <c r="C479" s="3"/>
      <c r="D479" s="3"/>
      <c r="E479" s="2"/>
      <c r="F479" s="3"/>
      <c r="G479" s="3"/>
      <c r="H479" s="3"/>
      <c r="I479" s="5"/>
      <c r="J479" s="3"/>
      <c r="K479" s="3"/>
      <c r="L479" s="3"/>
      <c r="M479" s="3"/>
      <c r="N479" s="3"/>
      <c r="O479" s="2"/>
      <c r="P479" s="6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ht="17.25" customHeight="1" x14ac:dyDescent="0.35">
      <c r="A480" s="10"/>
      <c r="B480" s="2"/>
      <c r="C480" s="3"/>
      <c r="D480" s="3"/>
      <c r="E480" s="2"/>
      <c r="F480" s="3"/>
      <c r="G480" s="3"/>
      <c r="H480" s="3"/>
      <c r="I480" s="5"/>
      <c r="J480" s="3"/>
      <c r="K480" s="3"/>
      <c r="L480" s="3"/>
      <c r="M480" s="3"/>
      <c r="N480" s="3"/>
      <c r="O480" s="2"/>
      <c r="P480" s="6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ht="17.25" customHeight="1" x14ac:dyDescent="0.35">
      <c r="A481" s="10"/>
      <c r="B481" s="2"/>
      <c r="C481" s="3"/>
      <c r="D481" s="3"/>
      <c r="E481" s="2"/>
      <c r="F481" s="3"/>
      <c r="G481" s="3"/>
      <c r="H481" s="3"/>
      <c r="I481" s="5"/>
      <c r="J481" s="3"/>
      <c r="K481" s="3"/>
      <c r="L481" s="3"/>
      <c r="M481" s="3"/>
      <c r="N481" s="3"/>
      <c r="O481" s="2"/>
      <c r="P481" s="6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ht="17.25" customHeight="1" x14ac:dyDescent="0.35">
      <c r="A482" s="10"/>
      <c r="B482" s="2"/>
      <c r="C482" s="3"/>
      <c r="D482" s="3"/>
      <c r="E482" s="2"/>
      <c r="F482" s="3"/>
      <c r="G482" s="3"/>
      <c r="H482" s="3"/>
      <c r="I482" s="5"/>
      <c r="J482" s="3"/>
      <c r="K482" s="3"/>
      <c r="L482" s="3"/>
      <c r="M482" s="3"/>
      <c r="N482" s="3"/>
      <c r="O482" s="2"/>
      <c r="P482" s="6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ht="17.25" customHeight="1" x14ac:dyDescent="0.35">
      <c r="A483" s="10"/>
      <c r="B483" s="2"/>
      <c r="C483" s="3"/>
      <c r="D483" s="3"/>
      <c r="E483" s="2"/>
      <c r="F483" s="3"/>
      <c r="G483" s="3"/>
      <c r="H483" s="3"/>
      <c r="I483" s="5"/>
      <c r="J483" s="3"/>
      <c r="K483" s="3"/>
      <c r="L483" s="3"/>
      <c r="M483" s="3"/>
      <c r="N483" s="3"/>
      <c r="O483" s="2"/>
      <c r="P483" s="6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ht="17.25" customHeight="1" x14ac:dyDescent="0.35">
      <c r="A484" s="10"/>
      <c r="B484" s="2"/>
      <c r="C484" s="3"/>
      <c r="D484" s="3"/>
      <c r="E484" s="2"/>
      <c r="F484" s="3"/>
      <c r="G484" s="3"/>
      <c r="H484" s="3"/>
      <c r="I484" s="5"/>
      <c r="J484" s="3"/>
      <c r="K484" s="3"/>
      <c r="L484" s="3"/>
      <c r="M484" s="3"/>
      <c r="N484" s="3"/>
      <c r="O484" s="2"/>
      <c r="P484" s="6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ht="17.25" customHeight="1" x14ac:dyDescent="0.35">
      <c r="A485" s="10"/>
      <c r="B485" s="2"/>
      <c r="C485" s="3"/>
      <c r="D485" s="3"/>
      <c r="E485" s="2"/>
      <c r="F485" s="3"/>
      <c r="G485" s="3"/>
      <c r="H485" s="3"/>
      <c r="I485" s="5"/>
      <c r="J485" s="3"/>
      <c r="K485" s="3"/>
      <c r="L485" s="3"/>
      <c r="M485" s="3"/>
      <c r="N485" s="3"/>
      <c r="O485" s="2"/>
      <c r="P485" s="6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ht="17.25" customHeight="1" x14ac:dyDescent="0.35">
      <c r="A486" s="10"/>
      <c r="B486" s="2"/>
      <c r="C486" s="3"/>
      <c r="D486" s="3"/>
      <c r="E486" s="2"/>
      <c r="F486" s="3"/>
      <c r="G486" s="3"/>
      <c r="H486" s="3"/>
      <c r="I486" s="5"/>
      <c r="J486" s="3"/>
      <c r="K486" s="3"/>
      <c r="L486" s="3"/>
      <c r="M486" s="3"/>
      <c r="N486" s="3"/>
      <c r="O486" s="2"/>
      <c r="P486" s="6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ht="17.25" customHeight="1" x14ac:dyDescent="0.35">
      <c r="A487" s="10"/>
      <c r="B487" s="2"/>
      <c r="C487" s="3"/>
      <c r="D487" s="3"/>
      <c r="E487" s="2"/>
      <c r="F487" s="3"/>
      <c r="G487" s="3"/>
      <c r="H487" s="3"/>
      <c r="I487" s="5"/>
      <c r="J487" s="3"/>
      <c r="K487" s="3"/>
      <c r="L487" s="3"/>
      <c r="M487" s="3"/>
      <c r="N487" s="3"/>
      <c r="O487" s="2"/>
      <c r="P487" s="6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ht="17.25" customHeight="1" x14ac:dyDescent="0.35">
      <c r="A488" s="10"/>
      <c r="B488" s="2"/>
      <c r="C488" s="3"/>
      <c r="D488" s="3"/>
      <c r="E488" s="2"/>
      <c r="F488" s="3"/>
      <c r="G488" s="3"/>
      <c r="H488" s="3"/>
      <c r="I488" s="5"/>
      <c r="J488" s="3"/>
      <c r="K488" s="3"/>
      <c r="L488" s="3"/>
      <c r="M488" s="3"/>
      <c r="N488" s="3"/>
      <c r="O488" s="2"/>
      <c r="P488" s="6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ht="17.25" customHeight="1" x14ac:dyDescent="0.35">
      <c r="A489" s="10"/>
      <c r="B489" s="2"/>
      <c r="C489" s="3"/>
      <c r="D489" s="3"/>
      <c r="E489" s="2"/>
      <c r="F489" s="3"/>
      <c r="G489" s="3"/>
      <c r="H489" s="3"/>
      <c r="I489" s="5"/>
      <c r="J489" s="3"/>
      <c r="K489" s="3"/>
      <c r="L489" s="3"/>
      <c r="M489" s="3"/>
      <c r="N489" s="3"/>
      <c r="O489" s="2"/>
      <c r="P489" s="6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ht="15.75" customHeight="1" x14ac:dyDescent="0.35">
      <c r="B490" s="355"/>
      <c r="E490" s="356"/>
      <c r="O490" s="355"/>
    </row>
    <row r="491" spans="1:47" ht="15.75" customHeight="1" x14ac:dyDescent="0.35">
      <c r="B491" s="355"/>
      <c r="E491" s="356"/>
      <c r="O491" s="355"/>
    </row>
    <row r="492" spans="1:47" ht="15.75" customHeight="1" x14ac:dyDescent="0.35">
      <c r="B492" s="355"/>
      <c r="E492" s="356"/>
      <c r="O492" s="355"/>
    </row>
    <row r="493" spans="1:47" ht="15.75" customHeight="1" x14ac:dyDescent="0.35">
      <c r="B493" s="355"/>
      <c r="E493" s="356"/>
      <c r="O493" s="355"/>
    </row>
    <row r="494" spans="1:47" ht="15.75" customHeight="1" x14ac:dyDescent="0.35">
      <c r="B494" s="355"/>
      <c r="E494" s="356"/>
      <c r="O494" s="355"/>
    </row>
    <row r="495" spans="1:47" ht="15.75" customHeight="1" x14ac:dyDescent="0.35">
      <c r="B495" s="355"/>
      <c r="E495" s="356"/>
      <c r="O495" s="355"/>
    </row>
    <row r="496" spans="1:47" ht="15.75" customHeight="1" x14ac:dyDescent="0.35">
      <c r="B496" s="355"/>
      <c r="E496" s="356"/>
      <c r="O496" s="355"/>
    </row>
    <row r="497" spans="2:15" ht="15.75" customHeight="1" x14ac:dyDescent="0.35">
      <c r="B497" s="355"/>
      <c r="E497" s="356"/>
      <c r="O497" s="355"/>
    </row>
    <row r="498" spans="2:15" ht="15.75" customHeight="1" x14ac:dyDescent="0.35">
      <c r="B498" s="355"/>
      <c r="E498" s="356"/>
      <c r="O498" s="355"/>
    </row>
    <row r="499" spans="2:15" ht="15.75" customHeight="1" x14ac:dyDescent="0.35">
      <c r="B499" s="355"/>
      <c r="E499" s="356"/>
      <c r="O499" s="355"/>
    </row>
    <row r="500" spans="2:15" ht="15.75" customHeight="1" x14ac:dyDescent="0.35">
      <c r="B500" s="355"/>
      <c r="E500" s="356"/>
      <c r="O500" s="355"/>
    </row>
    <row r="501" spans="2:15" ht="15.75" customHeight="1" x14ac:dyDescent="0.35">
      <c r="B501" s="355"/>
      <c r="E501" s="356"/>
      <c r="O501" s="355"/>
    </row>
    <row r="502" spans="2:15" ht="15.75" customHeight="1" x14ac:dyDescent="0.35">
      <c r="B502" s="355"/>
      <c r="E502" s="356"/>
      <c r="O502" s="355"/>
    </row>
    <row r="503" spans="2:15" ht="15.75" customHeight="1" x14ac:dyDescent="0.35">
      <c r="B503" s="355"/>
      <c r="E503" s="356"/>
      <c r="O503" s="355"/>
    </row>
    <row r="504" spans="2:15" ht="15.75" customHeight="1" x14ac:dyDescent="0.35">
      <c r="B504" s="355"/>
      <c r="E504" s="356"/>
      <c r="O504" s="355"/>
    </row>
    <row r="505" spans="2:15" ht="15.75" customHeight="1" x14ac:dyDescent="0.35">
      <c r="B505" s="355"/>
      <c r="E505" s="356"/>
      <c r="O505" s="355"/>
    </row>
    <row r="506" spans="2:15" ht="15.75" customHeight="1" x14ac:dyDescent="0.35">
      <c r="B506" s="355"/>
      <c r="E506" s="356"/>
      <c r="O506" s="355"/>
    </row>
    <row r="507" spans="2:15" ht="15.75" customHeight="1" x14ac:dyDescent="0.35">
      <c r="B507" s="355"/>
      <c r="E507" s="356"/>
      <c r="O507" s="355"/>
    </row>
    <row r="508" spans="2:15" ht="15.75" customHeight="1" x14ac:dyDescent="0.35">
      <c r="B508" s="355"/>
      <c r="E508" s="356"/>
      <c r="O508" s="355"/>
    </row>
    <row r="509" spans="2:15" ht="15.75" customHeight="1" x14ac:dyDescent="0.35">
      <c r="B509" s="355"/>
      <c r="E509" s="356"/>
      <c r="O509" s="355"/>
    </row>
    <row r="510" spans="2:15" ht="15.75" customHeight="1" x14ac:dyDescent="0.35">
      <c r="B510" s="355"/>
      <c r="E510" s="356"/>
      <c r="O510" s="355"/>
    </row>
    <row r="511" spans="2:15" ht="15.75" customHeight="1" x14ac:dyDescent="0.35">
      <c r="B511" s="355"/>
      <c r="E511" s="356"/>
      <c r="O511" s="355"/>
    </row>
    <row r="512" spans="2:15" ht="15.75" customHeight="1" x14ac:dyDescent="0.35">
      <c r="B512" s="355"/>
      <c r="E512" s="356"/>
      <c r="O512" s="355"/>
    </row>
    <row r="513" spans="2:15" ht="15.75" customHeight="1" x14ac:dyDescent="0.35">
      <c r="B513" s="355"/>
      <c r="E513" s="356"/>
      <c r="O513" s="355"/>
    </row>
    <row r="514" spans="2:15" ht="15.75" customHeight="1" x14ac:dyDescent="0.35">
      <c r="B514" s="355"/>
      <c r="E514" s="356"/>
      <c r="O514" s="355"/>
    </row>
    <row r="515" spans="2:15" ht="15.75" customHeight="1" x14ac:dyDescent="0.35">
      <c r="B515" s="355"/>
      <c r="E515" s="356"/>
      <c r="O515" s="355"/>
    </row>
    <row r="516" spans="2:15" ht="15.75" customHeight="1" x14ac:dyDescent="0.35">
      <c r="B516" s="355"/>
      <c r="E516" s="356"/>
      <c r="O516" s="355"/>
    </row>
    <row r="517" spans="2:15" ht="15.75" customHeight="1" x14ac:dyDescent="0.35">
      <c r="B517" s="355"/>
      <c r="E517" s="356"/>
      <c r="O517" s="355"/>
    </row>
    <row r="518" spans="2:15" ht="15.75" customHeight="1" x14ac:dyDescent="0.35">
      <c r="B518" s="355"/>
      <c r="E518" s="356"/>
      <c r="O518" s="355"/>
    </row>
    <row r="519" spans="2:15" ht="15.75" customHeight="1" x14ac:dyDescent="0.35">
      <c r="B519" s="355"/>
      <c r="E519" s="356"/>
      <c r="O519" s="355"/>
    </row>
    <row r="520" spans="2:15" ht="15.75" customHeight="1" x14ac:dyDescent="0.35">
      <c r="B520" s="355"/>
      <c r="E520" s="356"/>
      <c r="O520" s="355"/>
    </row>
    <row r="521" spans="2:15" ht="15.75" customHeight="1" x14ac:dyDescent="0.35">
      <c r="B521" s="355"/>
      <c r="E521" s="356"/>
      <c r="O521" s="355"/>
    </row>
    <row r="522" spans="2:15" ht="15.75" customHeight="1" x14ac:dyDescent="0.35">
      <c r="B522" s="355"/>
      <c r="E522" s="356"/>
      <c r="O522" s="355"/>
    </row>
    <row r="523" spans="2:15" ht="15.75" customHeight="1" x14ac:dyDescent="0.35">
      <c r="B523" s="355"/>
      <c r="E523" s="356"/>
      <c r="O523" s="355"/>
    </row>
    <row r="524" spans="2:15" ht="15.75" customHeight="1" x14ac:dyDescent="0.35">
      <c r="B524" s="355"/>
      <c r="E524" s="356"/>
      <c r="O524" s="355"/>
    </row>
    <row r="525" spans="2:15" ht="15.75" customHeight="1" x14ac:dyDescent="0.35">
      <c r="B525" s="355"/>
      <c r="E525" s="356"/>
      <c r="O525" s="355"/>
    </row>
    <row r="526" spans="2:15" ht="15.75" customHeight="1" x14ac:dyDescent="0.35">
      <c r="B526" s="355"/>
      <c r="E526" s="356"/>
      <c r="O526" s="355"/>
    </row>
    <row r="527" spans="2:15" ht="15.75" customHeight="1" x14ac:dyDescent="0.35">
      <c r="B527" s="355"/>
      <c r="E527" s="356"/>
      <c r="O527" s="355"/>
    </row>
    <row r="528" spans="2:15" ht="15.75" customHeight="1" x14ac:dyDescent="0.35">
      <c r="B528" s="355"/>
      <c r="E528" s="356"/>
      <c r="O528" s="355"/>
    </row>
    <row r="529" spans="2:15" ht="15.75" customHeight="1" x14ac:dyDescent="0.35">
      <c r="B529" s="355"/>
      <c r="E529" s="356"/>
      <c r="O529" s="355"/>
    </row>
    <row r="530" spans="2:15" ht="15.75" customHeight="1" x14ac:dyDescent="0.35">
      <c r="B530" s="355"/>
      <c r="E530" s="356"/>
      <c r="O530" s="355"/>
    </row>
    <row r="531" spans="2:15" ht="15.75" customHeight="1" x14ac:dyDescent="0.35">
      <c r="B531" s="355"/>
      <c r="E531" s="356"/>
      <c r="O531" s="355"/>
    </row>
    <row r="532" spans="2:15" ht="15.75" customHeight="1" x14ac:dyDescent="0.35">
      <c r="B532" s="355"/>
      <c r="E532" s="356"/>
      <c r="O532" s="355"/>
    </row>
    <row r="533" spans="2:15" ht="15.75" customHeight="1" x14ac:dyDescent="0.35">
      <c r="B533" s="355"/>
      <c r="E533" s="356"/>
      <c r="O533" s="355"/>
    </row>
    <row r="534" spans="2:15" ht="15.75" customHeight="1" x14ac:dyDescent="0.35">
      <c r="B534" s="355"/>
      <c r="E534" s="356"/>
      <c r="O534" s="355"/>
    </row>
    <row r="535" spans="2:15" ht="15.75" customHeight="1" x14ac:dyDescent="0.35">
      <c r="B535" s="355"/>
      <c r="E535" s="356"/>
      <c r="O535" s="355"/>
    </row>
    <row r="536" spans="2:15" ht="15.75" customHeight="1" x14ac:dyDescent="0.35">
      <c r="B536" s="355"/>
      <c r="E536" s="356"/>
      <c r="O536" s="355"/>
    </row>
    <row r="537" spans="2:15" ht="15.75" customHeight="1" x14ac:dyDescent="0.35">
      <c r="B537" s="355"/>
      <c r="E537" s="356"/>
      <c r="O537" s="355"/>
    </row>
    <row r="538" spans="2:15" ht="15.75" customHeight="1" x14ac:dyDescent="0.35">
      <c r="B538" s="355"/>
      <c r="E538" s="356"/>
      <c r="O538" s="355"/>
    </row>
    <row r="539" spans="2:15" ht="15.75" customHeight="1" x14ac:dyDescent="0.35">
      <c r="B539" s="355"/>
      <c r="E539" s="356"/>
      <c r="O539" s="355"/>
    </row>
    <row r="540" spans="2:15" ht="15.75" customHeight="1" x14ac:dyDescent="0.35">
      <c r="B540" s="355"/>
      <c r="E540" s="356"/>
      <c r="O540" s="355"/>
    </row>
    <row r="541" spans="2:15" ht="15.75" customHeight="1" x14ac:dyDescent="0.35">
      <c r="B541" s="355"/>
      <c r="E541" s="356"/>
      <c r="O541" s="355"/>
    </row>
    <row r="542" spans="2:15" ht="15.75" customHeight="1" x14ac:dyDescent="0.35">
      <c r="B542" s="355"/>
      <c r="E542" s="356"/>
      <c r="O542" s="355"/>
    </row>
    <row r="543" spans="2:15" ht="15.75" customHeight="1" x14ac:dyDescent="0.35">
      <c r="B543" s="355"/>
      <c r="E543" s="356"/>
      <c r="O543" s="355"/>
    </row>
    <row r="544" spans="2:15" ht="15.75" customHeight="1" x14ac:dyDescent="0.35">
      <c r="B544" s="355"/>
      <c r="E544" s="356"/>
      <c r="O544" s="355"/>
    </row>
    <row r="545" spans="2:15" ht="15.75" customHeight="1" x14ac:dyDescent="0.35">
      <c r="B545" s="355"/>
      <c r="E545" s="356"/>
      <c r="O545" s="355"/>
    </row>
    <row r="546" spans="2:15" ht="15.75" customHeight="1" x14ac:dyDescent="0.35">
      <c r="B546" s="355"/>
      <c r="E546" s="356"/>
      <c r="O546" s="355"/>
    </row>
    <row r="547" spans="2:15" ht="15.75" customHeight="1" x14ac:dyDescent="0.35">
      <c r="B547" s="355"/>
      <c r="E547" s="356"/>
      <c r="O547" s="355"/>
    </row>
    <row r="548" spans="2:15" ht="15.75" customHeight="1" x14ac:dyDescent="0.35">
      <c r="B548" s="355"/>
      <c r="E548" s="356"/>
      <c r="O548" s="355"/>
    </row>
    <row r="549" spans="2:15" ht="15.75" customHeight="1" x14ac:dyDescent="0.35">
      <c r="B549" s="355"/>
      <c r="E549" s="356"/>
      <c r="O549" s="355"/>
    </row>
    <row r="550" spans="2:15" ht="15.75" customHeight="1" x14ac:dyDescent="0.35">
      <c r="B550" s="355"/>
      <c r="E550" s="356"/>
      <c r="O550" s="355"/>
    </row>
    <row r="551" spans="2:15" ht="15.75" customHeight="1" x14ac:dyDescent="0.35">
      <c r="B551" s="355"/>
      <c r="E551" s="356"/>
      <c r="O551" s="355"/>
    </row>
    <row r="552" spans="2:15" ht="15.75" customHeight="1" x14ac:dyDescent="0.35">
      <c r="B552" s="355"/>
      <c r="E552" s="356"/>
      <c r="O552" s="355"/>
    </row>
    <row r="553" spans="2:15" ht="15.75" customHeight="1" x14ac:dyDescent="0.35">
      <c r="B553" s="355"/>
      <c r="E553" s="356"/>
      <c r="O553" s="355"/>
    </row>
    <row r="554" spans="2:15" ht="15.75" customHeight="1" x14ac:dyDescent="0.35">
      <c r="B554" s="355"/>
      <c r="E554" s="356"/>
      <c r="O554" s="355"/>
    </row>
    <row r="555" spans="2:15" ht="15.75" customHeight="1" x14ac:dyDescent="0.35">
      <c r="B555" s="355"/>
      <c r="E555" s="356"/>
      <c r="O555" s="355"/>
    </row>
    <row r="556" spans="2:15" ht="15.75" customHeight="1" x14ac:dyDescent="0.35">
      <c r="B556" s="355"/>
      <c r="E556" s="356"/>
      <c r="O556" s="355"/>
    </row>
    <row r="557" spans="2:15" ht="15.75" customHeight="1" x14ac:dyDescent="0.35">
      <c r="B557" s="355"/>
      <c r="E557" s="356"/>
      <c r="O557" s="355"/>
    </row>
    <row r="558" spans="2:15" ht="15.75" customHeight="1" x14ac:dyDescent="0.35">
      <c r="B558" s="355"/>
      <c r="E558" s="356"/>
      <c r="O558" s="355"/>
    </row>
    <row r="559" spans="2:15" ht="15.75" customHeight="1" x14ac:dyDescent="0.35">
      <c r="B559" s="355"/>
      <c r="E559" s="356"/>
      <c r="O559" s="355"/>
    </row>
    <row r="560" spans="2:15" ht="15.75" customHeight="1" x14ac:dyDescent="0.35">
      <c r="B560" s="355"/>
      <c r="E560" s="356"/>
      <c r="O560" s="355"/>
    </row>
    <row r="561" spans="2:15" ht="15.75" customHeight="1" x14ac:dyDescent="0.35">
      <c r="B561" s="355"/>
      <c r="E561" s="356"/>
      <c r="O561" s="355"/>
    </row>
    <row r="562" spans="2:15" ht="15.75" customHeight="1" x14ac:dyDescent="0.35">
      <c r="B562" s="355"/>
      <c r="E562" s="356"/>
      <c r="O562" s="355"/>
    </row>
    <row r="563" spans="2:15" ht="15.75" customHeight="1" x14ac:dyDescent="0.35">
      <c r="B563" s="355"/>
      <c r="E563" s="356"/>
      <c r="O563" s="355"/>
    </row>
    <row r="564" spans="2:15" ht="15.75" customHeight="1" x14ac:dyDescent="0.35">
      <c r="B564" s="355"/>
      <c r="E564" s="356"/>
      <c r="O564" s="355"/>
    </row>
    <row r="565" spans="2:15" ht="15.75" customHeight="1" x14ac:dyDescent="0.35">
      <c r="B565" s="355"/>
      <c r="E565" s="356"/>
      <c r="O565" s="355"/>
    </row>
    <row r="566" spans="2:15" ht="15.75" customHeight="1" x14ac:dyDescent="0.35">
      <c r="B566" s="355"/>
      <c r="E566" s="356"/>
      <c r="O566" s="355"/>
    </row>
    <row r="567" spans="2:15" ht="15.75" customHeight="1" x14ac:dyDescent="0.35">
      <c r="B567" s="355"/>
      <c r="E567" s="356"/>
      <c r="O567" s="355"/>
    </row>
    <row r="568" spans="2:15" ht="15.75" customHeight="1" x14ac:dyDescent="0.35">
      <c r="B568" s="355"/>
      <c r="E568" s="356"/>
      <c r="O568" s="355"/>
    </row>
    <row r="569" spans="2:15" ht="15.75" customHeight="1" x14ac:dyDescent="0.35">
      <c r="B569" s="355"/>
      <c r="E569" s="356"/>
      <c r="O569" s="355"/>
    </row>
    <row r="570" spans="2:15" ht="15.75" customHeight="1" x14ac:dyDescent="0.35">
      <c r="B570" s="355"/>
      <c r="E570" s="356"/>
      <c r="O570" s="355"/>
    </row>
    <row r="571" spans="2:15" ht="15.75" customHeight="1" x14ac:dyDescent="0.35">
      <c r="B571" s="355"/>
      <c r="E571" s="356"/>
      <c r="O571" s="355"/>
    </row>
    <row r="572" spans="2:15" ht="15.75" customHeight="1" x14ac:dyDescent="0.35">
      <c r="B572" s="355"/>
      <c r="E572" s="356"/>
      <c r="O572" s="355"/>
    </row>
    <row r="573" spans="2:15" ht="15.75" customHeight="1" x14ac:dyDescent="0.35">
      <c r="B573" s="355"/>
      <c r="E573" s="356"/>
      <c r="O573" s="355"/>
    </row>
    <row r="574" spans="2:15" ht="15.75" customHeight="1" x14ac:dyDescent="0.35">
      <c r="B574" s="355"/>
      <c r="E574" s="356"/>
      <c r="O574" s="355"/>
    </row>
    <row r="575" spans="2:15" ht="15.75" customHeight="1" x14ac:dyDescent="0.35">
      <c r="B575" s="355"/>
      <c r="E575" s="356"/>
      <c r="O575" s="355"/>
    </row>
    <row r="576" spans="2:15" ht="15.75" customHeight="1" x14ac:dyDescent="0.35">
      <c r="B576" s="355"/>
      <c r="E576" s="356"/>
      <c r="O576" s="355"/>
    </row>
    <row r="577" spans="2:15" ht="15.75" customHeight="1" x14ac:dyDescent="0.35">
      <c r="B577" s="355"/>
      <c r="E577" s="356"/>
      <c r="O577" s="355"/>
    </row>
    <row r="578" spans="2:15" ht="15.75" customHeight="1" x14ac:dyDescent="0.35">
      <c r="B578" s="355"/>
      <c r="E578" s="356"/>
      <c r="O578" s="355"/>
    </row>
    <row r="579" spans="2:15" ht="15.75" customHeight="1" x14ac:dyDescent="0.35">
      <c r="B579" s="355"/>
      <c r="E579" s="356"/>
      <c r="O579" s="355"/>
    </row>
    <row r="580" spans="2:15" ht="15.75" customHeight="1" x14ac:dyDescent="0.35">
      <c r="B580" s="355"/>
      <c r="E580" s="356"/>
      <c r="O580" s="355"/>
    </row>
    <row r="581" spans="2:15" ht="15.75" customHeight="1" x14ac:dyDescent="0.35">
      <c r="B581" s="355"/>
      <c r="E581" s="356"/>
      <c r="O581" s="355"/>
    </row>
    <row r="582" spans="2:15" ht="15.75" customHeight="1" x14ac:dyDescent="0.35">
      <c r="B582" s="355"/>
      <c r="E582" s="356"/>
      <c r="O582" s="355"/>
    </row>
    <row r="583" spans="2:15" ht="15.75" customHeight="1" x14ac:dyDescent="0.35">
      <c r="B583" s="355"/>
      <c r="E583" s="356"/>
      <c r="O583" s="355"/>
    </row>
    <row r="584" spans="2:15" ht="15.75" customHeight="1" x14ac:dyDescent="0.35">
      <c r="B584" s="355"/>
      <c r="E584" s="356"/>
      <c r="O584" s="355"/>
    </row>
    <row r="585" spans="2:15" ht="15.75" customHeight="1" x14ac:dyDescent="0.35">
      <c r="B585" s="355"/>
      <c r="E585" s="356"/>
      <c r="O585" s="355"/>
    </row>
    <row r="586" spans="2:15" ht="15.75" customHeight="1" x14ac:dyDescent="0.35">
      <c r="B586" s="355"/>
      <c r="E586" s="356"/>
      <c r="O586" s="355"/>
    </row>
    <row r="587" spans="2:15" ht="15.75" customHeight="1" x14ac:dyDescent="0.35">
      <c r="B587" s="355"/>
      <c r="E587" s="356"/>
      <c r="O587" s="355"/>
    </row>
    <row r="588" spans="2:15" ht="15.75" customHeight="1" x14ac:dyDescent="0.35">
      <c r="B588" s="355"/>
      <c r="E588" s="356"/>
      <c r="O588" s="355"/>
    </row>
    <row r="589" spans="2:15" ht="15.75" customHeight="1" x14ac:dyDescent="0.35">
      <c r="B589" s="355"/>
      <c r="E589" s="356"/>
      <c r="O589" s="355"/>
    </row>
    <row r="590" spans="2:15" ht="15.75" customHeight="1" x14ac:dyDescent="0.35">
      <c r="B590" s="355"/>
      <c r="E590" s="356"/>
      <c r="O590" s="355"/>
    </row>
    <row r="591" spans="2:15" ht="15.75" customHeight="1" x14ac:dyDescent="0.35">
      <c r="B591" s="355"/>
      <c r="E591" s="356"/>
      <c r="O591" s="355"/>
    </row>
    <row r="592" spans="2:15" ht="15.75" customHeight="1" x14ac:dyDescent="0.35">
      <c r="B592" s="355"/>
      <c r="E592" s="356"/>
      <c r="O592" s="355"/>
    </row>
    <row r="593" spans="2:15" ht="15.75" customHeight="1" x14ac:dyDescent="0.35">
      <c r="B593" s="355"/>
      <c r="E593" s="356"/>
      <c r="O593" s="355"/>
    </row>
    <row r="594" spans="2:15" ht="15.75" customHeight="1" x14ac:dyDescent="0.35">
      <c r="B594" s="355"/>
      <c r="E594" s="356"/>
      <c r="O594" s="355"/>
    </row>
    <row r="595" spans="2:15" ht="15.75" customHeight="1" x14ac:dyDescent="0.35">
      <c r="B595" s="355"/>
      <c r="E595" s="356"/>
      <c r="O595" s="355"/>
    </row>
    <row r="596" spans="2:15" ht="15.75" customHeight="1" x14ac:dyDescent="0.35">
      <c r="B596" s="355"/>
      <c r="E596" s="356"/>
      <c r="O596" s="355"/>
    </row>
    <row r="597" spans="2:15" ht="15.75" customHeight="1" x14ac:dyDescent="0.35">
      <c r="B597" s="355"/>
      <c r="E597" s="356"/>
      <c r="O597" s="355"/>
    </row>
    <row r="598" spans="2:15" ht="15.75" customHeight="1" x14ac:dyDescent="0.35">
      <c r="B598" s="355"/>
      <c r="E598" s="356"/>
      <c r="O598" s="355"/>
    </row>
    <row r="599" spans="2:15" ht="15.75" customHeight="1" x14ac:dyDescent="0.35">
      <c r="B599" s="355"/>
      <c r="E599" s="356"/>
      <c r="O599" s="355"/>
    </row>
    <row r="600" spans="2:15" ht="15.75" customHeight="1" x14ac:dyDescent="0.35">
      <c r="B600" s="355"/>
      <c r="E600" s="356"/>
      <c r="O600" s="355"/>
    </row>
    <row r="601" spans="2:15" ht="15.75" customHeight="1" x14ac:dyDescent="0.35">
      <c r="B601" s="355"/>
      <c r="E601" s="356"/>
      <c r="O601" s="355"/>
    </row>
    <row r="602" spans="2:15" ht="15.75" customHeight="1" x14ac:dyDescent="0.35">
      <c r="B602" s="355"/>
      <c r="E602" s="356"/>
      <c r="O602" s="355"/>
    </row>
    <row r="603" spans="2:15" ht="15.75" customHeight="1" x14ac:dyDescent="0.35">
      <c r="B603" s="355"/>
      <c r="E603" s="356"/>
      <c r="O603" s="355"/>
    </row>
    <row r="604" spans="2:15" ht="15.75" customHeight="1" x14ac:dyDescent="0.35">
      <c r="B604" s="355"/>
      <c r="E604" s="356"/>
      <c r="O604" s="355"/>
    </row>
    <row r="605" spans="2:15" ht="15.75" customHeight="1" x14ac:dyDescent="0.35">
      <c r="B605" s="355"/>
      <c r="E605" s="356"/>
      <c r="O605" s="355"/>
    </row>
    <row r="606" spans="2:15" ht="15.75" customHeight="1" x14ac:dyDescent="0.35">
      <c r="B606" s="355"/>
      <c r="E606" s="356"/>
      <c r="O606" s="355"/>
    </row>
    <row r="607" spans="2:15" ht="15.75" customHeight="1" x14ac:dyDescent="0.35">
      <c r="B607" s="355"/>
      <c r="E607" s="356"/>
      <c r="O607" s="355"/>
    </row>
    <row r="608" spans="2:15" ht="15.75" customHeight="1" x14ac:dyDescent="0.35">
      <c r="B608" s="355"/>
      <c r="E608" s="356"/>
      <c r="O608" s="355"/>
    </row>
    <row r="609" spans="2:15" ht="15.75" customHeight="1" x14ac:dyDescent="0.35">
      <c r="B609" s="355"/>
      <c r="E609" s="356"/>
      <c r="O609" s="355"/>
    </row>
    <row r="610" spans="2:15" ht="15.75" customHeight="1" x14ac:dyDescent="0.35">
      <c r="B610" s="355"/>
      <c r="E610" s="356"/>
      <c r="O610" s="355"/>
    </row>
    <row r="611" spans="2:15" ht="15.75" customHeight="1" x14ac:dyDescent="0.35">
      <c r="B611" s="355"/>
      <c r="E611" s="356"/>
      <c r="O611" s="355"/>
    </row>
    <row r="612" spans="2:15" ht="15.75" customHeight="1" x14ac:dyDescent="0.35">
      <c r="B612" s="355"/>
      <c r="E612" s="356"/>
      <c r="O612" s="355"/>
    </row>
    <row r="613" spans="2:15" ht="15.75" customHeight="1" x14ac:dyDescent="0.35">
      <c r="B613" s="355"/>
      <c r="E613" s="356"/>
      <c r="O613" s="355"/>
    </row>
    <row r="614" spans="2:15" ht="15.75" customHeight="1" x14ac:dyDescent="0.35">
      <c r="B614" s="355"/>
      <c r="E614" s="356"/>
      <c r="O614" s="355"/>
    </row>
    <row r="615" spans="2:15" ht="15.75" customHeight="1" x14ac:dyDescent="0.35">
      <c r="B615" s="355"/>
      <c r="E615" s="356"/>
      <c r="O615" s="355"/>
    </row>
    <row r="616" spans="2:15" ht="15.75" customHeight="1" x14ac:dyDescent="0.35">
      <c r="B616" s="355"/>
      <c r="E616" s="356"/>
      <c r="O616" s="355"/>
    </row>
    <row r="617" spans="2:15" ht="15.75" customHeight="1" x14ac:dyDescent="0.35">
      <c r="B617" s="355"/>
      <c r="E617" s="356"/>
      <c r="O617" s="355"/>
    </row>
    <row r="618" spans="2:15" ht="15.75" customHeight="1" x14ac:dyDescent="0.35">
      <c r="B618" s="355"/>
      <c r="E618" s="356"/>
      <c r="O618" s="355"/>
    </row>
    <row r="619" spans="2:15" ht="15.75" customHeight="1" x14ac:dyDescent="0.35">
      <c r="B619" s="355"/>
      <c r="E619" s="356"/>
      <c r="O619" s="355"/>
    </row>
    <row r="620" spans="2:15" ht="15.75" customHeight="1" x14ac:dyDescent="0.35">
      <c r="B620" s="355"/>
      <c r="E620" s="356"/>
      <c r="O620" s="355"/>
    </row>
    <row r="621" spans="2:15" ht="15.75" customHeight="1" x14ac:dyDescent="0.35">
      <c r="B621" s="355"/>
      <c r="E621" s="356"/>
      <c r="O621" s="355"/>
    </row>
    <row r="622" spans="2:15" ht="15.75" customHeight="1" x14ac:dyDescent="0.35">
      <c r="B622" s="355"/>
      <c r="E622" s="356"/>
      <c r="O622" s="355"/>
    </row>
    <row r="623" spans="2:15" ht="15.75" customHeight="1" x14ac:dyDescent="0.35">
      <c r="B623" s="355"/>
      <c r="E623" s="356"/>
      <c r="O623" s="355"/>
    </row>
    <row r="624" spans="2:15" ht="15.75" customHeight="1" x14ac:dyDescent="0.35">
      <c r="B624" s="355"/>
      <c r="E624" s="356"/>
      <c r="O624" s="355"/>
    </row>
    <row r="625" spans="2:15" ht="15.75" customHeight="1" x14ac:dyDescent="0.35">
      <c r="B625" s="355"/>
      <c r="E625" s="356"/>
      <c r="O625" s="355"/>
    </row>
    <row r="626" spans="2:15" ht="15.75" customHeight="1" x14ac:dyDescent="0.35">
      <c r="B626" s="355"/>
      <c r="E626" s="356"/>
      <c r="O626" s="355"/>
    </row>
    <row r="627" spans="2:15" ht="15.75" customHeight="1" x14ac:dyDescent="0.35">
      <c r="B627" s="355"/>
      <c r="E627" s="356"/>
      <c r="O627" s="355"/>
    </row>
    <row r="628" spans="2:15" ht="15.75" customHeight="1" x14ac:dyDescent="0.35">
      <c r="B628" s="355"/>
      <c r="E628" s="356"/>
      <c r="O628" s="355"/>
    </row>
    <row r="629" spans="2:15" ht="15.75" customHeight="1" x14ac:dyDescent="0.35">
      <c r="B629" s="355"/>
      <c r="E629" s="356"/>
      <c r="O629" s="355"/>
    </row>
    <row r="630" spans="2:15" ht="15.75" customHeight="1" x14ac:dyDescent="0.35">
      <c r="B630" s="355"/>
      <c r="E630" s="356"/>
      <c r="O630" s="355"/>
    </row>
    <row r="631" spans="2:15" ht="15.75" customHeight="1" x14ac:dyDescent="0.35">
      <c r="B631" s="355"/>
      <c r="E631" s="356"/>
      <c r="O631" s="355"/>
    </row>
    <row r="632" spans="2:15" ht="15.75" customHeight="1" x14ac:dyDescent="0.35">
      <c r="B632" s="355"/>
      <c r="E632" s="356"/>
      <c r="O632" s="355"/>
    </row>
    <row r="633" spans="2:15" ht="15.75" customHeight="1" x14ac:dyDescent="0.35">
      <c r="B633" s="355"/>
      <c r="E633" s="356"/>
      <c r="O633" s="355"/>
    </row>
    <row r="634" spans="2:15" ht="15.75" customHeight="1" x14ac:dyDescent="0.35">
      <c r="B634" s="355"/>
      <c r="E634" s="356"/>
      <c r="O634" s="355"/>
    </row>
    <row r="635" spans="2:15" ht="15.75" customHeight="1" x14ac:dyDescent="0.35">
      <c r="B635" s="355"/>
      <c r="E635" s="356"/>
      <c r="O635" s="355"/>
    </row>
    <row r="636" spans="2:15" ht="15.75" customHeight="1" x14ac:dyDescent="0.35">
      <c r="B636" s="355"/>
      <c r="E636" s="356"/>
      <c r="O636" s="355"/>
    </row>
    <row r="637" spans="2:15" ht="15.75" customHeight="1" x14ac:dyDescent="0.35">
      <c r="B637" s="355"/>
      <c r="E637" s="356"/>
      <c r="O637" s="355"/>
    </row>
    <row r="638" spans="2:15" ht="15.75" customHeight="1" x14ac:dyDescent="0.35">
      <c r="B638" s="355"/>
      <c r="E638" s="356"/>
      <c r="O638" s="355"/>
    </row>
    <row r="639" spans="2:15" ht="15.75" customHeight="1" x14ac:dyDescent="0.35">
      <c r="B639" s="355"/>
      <c r="E639" s="356"/>
      <c r="O639" s="355"/>
    </row>
    <row r="640" spans="2:15" ht="15.75" customHeight="1" x14ac:dyDescent="0.35">
      <c r="B640" s="355"/>
      <c r="E640" s="356"/>
      <c r="O640" s="355"/>
    </row>
    <row r="641" spans="2:15" ht="15.75" customHeight="1" x14ac:dyDescent="0.35">
      <c r="B641" s="355"/>
      <c r="E641" s="356"/>
      <c r="O641" s="355"/>
    </row>
    <row r="642" spans="2:15" ht="15.75" customHeight="1" x14ac:dyDescent="0.35">
      <c r="B642" s="355"/>
      <c r="E642" s="356"/>
      <c r="O642" s="355"/>
    </row>
    <row r="643" spans="2:15" ht="15.75" customHeight="1" x14ac:dyDescent="0.35">
      <c r="B643" s="355"/>
      <c r="E643" s="356"/>
      <c r="O643" s="355"/>
    </row>
    <row r="644" spans="2:15" ht="15.75" customHeight="1" x14ac:dyDescent="0.35">
      <c r="B644" s="355"/>
      <c r="E644" s="356"/>
      <c r="O644" s="355"/>
    </row>
    <row r="645" spans="2:15" ht="15.75" customHeight="1" x14ac:dyDescent="0.35">
      <c r="B645" s="355"/>
      <c r="E645" s="356"/>
      <c r="O645" s="355"/>
    </row>
    <row r="646" spans="2:15" ht="15.75" customHeight="1" x14ac:dyDescent="0.35">
      <c r="B646" s="355"/>
      <c r="E646" s="356"/>
      <c r="O646" s="355"/>
    </row>
    <row r="647" spans="2:15" ht="15.75" customHeight="1" x14ac:dyDescent="0.35">
      <c r="B647" s="355"/>
      <c r="E647" s="356"/>
      <c r="O647" s="355"/>
    </row>
    <row r="648" spans="2:15" ht="15.75" customHeight="1" x14ac:dyDescent="0.35">
      <c r="B648" s="355"/>
      <c r="E648" s="356"/>
      <c r="O648" s="355"/>
    </row>
    <row r="649" spans="2:15" ht="15.75" customHeight="1" x14ac:dyDescent="0.35">
      <c r="B649" s="355"/>
      <c r="E649" s="356"/>
      <c r="O649" s="355"/>
    </row>
    <row r="650" spans="2:15" ht="15.75" customHeight="1" x14ac:dyDescent="0.35">
      <c r="B650" s="355"/>
      <c r="E650" s="356"/>
      <c r="O650" s="355"/>
    </row>
    <row r="651" spans="2:15" ht="15.75" customHeight="1" x14ac:dyDescent="0.35">
      <c r="B651" s="355"/>
      <c r="E651" s="356"/>
      <c r="O651" s="355"/>
    </row>
    <row r="652" spans="2:15" ht="15.75" customHeight="1" x14ac:dyDescent="0.35">
      <c r="B652" s="355"/>
      <c r="E652" s="356"/>
      <c r="O652" s="355"/>
    </row>
    <row r="653" spans="2:15" ht="15.75" customHeight="1" x14ac:dyDescent="0.35">
      <c r="B653" s="355"/>
      <c r="E653" s="356"/>
      <c r="O653" s="355"/>
    </row>
    <row r="654" spans="2:15" ht="15.75" customHeight="1" x14ac:dyDescent="0.35">
      <c r="B654" s="355"/>
      <c r="E654" s="356"/>
      <c r="O654" s="355"/>
    </row>
    <row r="655" spans="2:15" ht="15.75" customHeight="1" x14ac:dyDescent="0.35">
      <c r="B655" s="355"/>
      <c r="E655" s="356"/>
      <c r="O655" s="355"/>
    </row>
    <row r="656" spans="2:15" ht="15.75" customHeight="1" x14ac:dyDescent="0.35">
      <c r="B656" s="355"/>
      <c r="E656" s="356"/>
      <c r="O656" s="355"/>
    </row>
    <row r="657" spans="2:15" ht="15.75" customHeight="1" x14ac:dyDescent="0.35">
      <c r="B657" s="355"/>
      <c r="E657" s="356"/>
      <c r="O657" s="355"/>
    </row>
    <row r="658" spans="2:15" ht="15.75" customHeight="1" x14ac:dyDescent="0.35">
      <c r="B658" s="355"/>
      <c r="E658" s="356"/>
      <c r="O658" s="355"/>
    </row>
    <row r="659" spans="2:15" ht="15.75" customHeight="1" x14ac:dyDescent="0.35">
      <c r="B659" s="355"/>
      <c r="E659" s="356"/>
      <c r="O659" s="355"/>
    </row>
    <row r="660" spans="2:15" ht="15.75" customHeight="1" x14ac:dyDescent="0.35">
      <c r="B660" s="355"/>
      <c r="E660" s="356"/>
      <c r="O660" s="355"/>
    </row>
    <row r="661" spans="2:15" ht="15.75" customHeight="1" x14ac:dyDescent="0.35">
      <c r="B661" s="355"/>
      <c r="E661" s="356"/>
      <c r="O661" s="355"/>
    </row>
    <row r="662" spans="2:15" ht="15.75" customHeight="1" x14ac:dyDescent="0.35">
      <c r="B662" s="355"/>
      <c r="E662" s="356"/>
      <c r="O662" s="355"/>
    </row>
    <row r="663" spans="2:15" ht="15.75" customHeight="1" x14ac:dyDescent="0.35">
      <c r="B663" s="355"/>
      <c r="E663" s="356"/>
      <c r="O663" s="355"/>
    </row>
    <row r="664" spans="2:15" ht="15.75" customHeight="1" x14ac:dyDescent="0.35">
      <c r="B664" s="355"/>
      <c r="E664" s="356"/>
      <c r="O664" s="355"/>
    </row>
    <row r="665" spans="2:15" ht="15.75" customHeight="1" x14ac:dyDescent="0.35">
      <c r="B665" s="355"/>
      <c r="E665" s="356"/>
      <c r="O665" s="355"/>
    </row>
    <row r="666" spans="2:15" ht="15.75" customHeight="1" x14ac:dyDescent="0.35">
      <c r="B666" s="355"/>
      <c r="E666" s="356"/>
      <c r="O666" s="355"/>
    </row>
    <row r="667" spans="2:15" ht="15.75" customHeight="1" x14ac:dyDescent="0.35">
      <c r="B667" s="355"/>
      <c r="E667" s="356"/>
      <c r="O667" s="355"/>
    </row>
    <row r="668" spans="2:15" ht="15.75" customHeight="1" x14ac:dyDescent="0.35">
      <c r="B668" s="355"/>
      <c r="E668" s="356"/>
      <c r="O668" s="355"/>
    </row>
    <row r="669" spans="2:15" ht="15.75" customHeight="1" x14ac:dyDescent="0.35">
      <c r="B669" s="355"/>
      <c r="E669" s="356"/>
      <c r="O669" s="355"/>
    </row>
    <row r="670" spans="2:15" ht="15.75" customHeight="1" x14ac:dyDescent="0.35">
      <c r="B670" s="355"/>
      <c r="E670" s="356"/>
      <c r="O670" s="355"/>
    </row>
    <row r="671" spans="2:15" ht="15.75" customHeight="1" x14ac:dyDescent="0.35">
      <c r="B671" s="355"/>
      <c r="E671" s="356"/>
      <c r="O671" s="355"/>
    </row>
    <row r="672" spans="2:15" ht="15.75" customHeight="1" x14ac:dyDescent="0.35">
      <c r="B672" s="355"/>
      <c r="E672" s="356"/>
      <c r="O672" s="355"/>
    </row>
    <row r="673" spans="2:15" ht="15.75" customHeight="1" x14ac:dyDescent="0.35">
      <c r="B673" s="355"/>
      <c r="E673" s="356"/>
      <c r="O673" s="355"/>
    </row>
    <row r="674" spans="2:15" ht="15.75" customHeight="1" x14ac:dyDescent="0.35">
      <c r="B674" s="355"/>
      <c r="E674" s="356"/>
      <c r="O674" s="355"/>
    </row>
    <row r="675" spans="2:15" ht="15.75" customHeight="1" x14ac:dyDescent="0.35">
      <c r="B675" s="355"/>
      <c r="E675" s="356"/>
      <c r="O675" s="355"/>
    </row>
    <row r="676" spans="2:15" ht="15.75" customHeight="1" x14ac:dyDescent="0.35">
      <c r="B676" s="355"/>
      <c r="E676" s="356"/>
      <c r="O676" s="355"/>
    </row>
    <row r="677" spans="2:15" ht="15.75" customHeight="1" x14ac:dyDescent="0.35">
      <c r="B677" s="355"/>
      <c r="E677" s="356"/>
      <c r="O677" s="355"/>
    </row>
    <row r="678" spans="2:15" ht="15.75" customHeight="1" x14ac:dyDescent="0.35">
      <c r="B678" s="355"/>
      <c r="E678" s="356"/>
      <c r="O678" s="355"/>
    </row>
    <row r="679" spans="2:15" ht="15.75" customHeight="1" x14ac:dyDescent="0.35">
      <c r="B679" s="355"/>
      <c r="E679" s="356"/>
      <c r="O679" s="355"/>
    </row>
    <row r="680" spans="2:15" ht="15.75" customHeight="1" x14ac:dyDescent="0.35">
      <c r="B680" s="355"/>
      <c r="E680" s="356"/>
      <c r="O680" s="355"/>
    </row>
    <row r="681" spans="2:15" ht="15.75" customHeight="1" x14ac:dyDescent="0.35">
      <c r="B681" s="355"/>
      <c r="E681" s="356"/>
      <c r="O681" s="355"/>
    </row>
    <row r="682" spans="2:15" ht="15.75" customHeight="1" x14ac:dyDescent="0.35">
      <c r="B682" s="355"/>
      <c r="E682" s="356"/>
      <c r="O682" s="355"/>
    </row>
    <row r="683" spans="2:15" ht="15.75" customHeight="1" x14ac:dyDescent="0.35">
      <c r="B683" s="355"/>
      <c r="E683" s="356"/>
      <c r="O683" s="355"/>
    </row>
    <row r="684" spans="2:15" ht="15.75" customHeight="1" x14ac:dyDescent="0.35">
      <c r="B684" s="355"/>
      <c r="E684" s="356"/>
      <c r="O684" s="355"/>
    </row>
    <row r="685" spans="2:15" ht="15.75" customHeight="1" x14ac:dyDescent="0.35">
      <c r="B685" s="355"/>
      <c r="E685" s="356"/>
      <c r="O685" s="355"/>
    </row>
    <row r="686" spans="2:15" ht="15.75" customHeight="1" x14ac:dyDescent="0.35">
      <c r="B686" s="355"/>
      <c r="E686" s="356"/>
      <c r="O686" s="355"/>
    </row>
    <row r="687" spans="2:15" ht="15.75" customHeight="1" x14ac:dyDescent="0.35">
      <c r="B687" s="355"/>
      <c r="E687" s="356"/>
      <c r="O687" s="355"/>
    </row>
    <row r="688" spans="2:15" ht="15.75" customHeight="1" x14ac:dyDescent="0.35">
      <c r="B688" s="355"/>
      <c r="E688" s="356"/>
      <c r="O688" s="355"/>
    </row>
    <row r="689" spans="2:15" ht="15.75" customHeight="1" x14ac:dyDescent="0.35">
      <c r="B689" s="355"/>
      <c r="E689" s="356"/>
      <c r="O689" s="355"/>
    </row>
    <row r="690" spans="2:15" ht="15.75" customHeight="1" x14ac:dyDescent="0.35">
      <c r="B690" s="355"/>
      <c r="E690" s="356"/>
      <c r="O690" s="355"/>
    </row>
    <row r="691" spans="2:15" ht="15.75" customHeight="1" x14ac:dyDescent="0.35">
      <c r="B691" s="355"/>
      <c r="E691" s="356"/>
      <c r="O691" s="355"/>
    </row>
    <row r="692" spans="2:15" ht="15.75" customHeight="1" x14ac:dyDescent="0.35">
      <c r="B692" s="355"/>
      <c r="E692" s="356"/>
      <c r="O692" s="355"/>
    </row>
    <row r="693" spans="2:15" ht="15.75" customHeight="1" x14ac:dyDescent="0.35">
      <c r="B693" s="355"/>
      <c r="E693" s="356"/>
      <c r="O693" s="355"/>
    </row>
    <row r="694" spans="2:15" ht="15.75" customHeight="1" x14ac:dyDescent="0.35">
      <c r="B694" s="355"/>
      <c r="E694" s="356"/>
      <c r="O694" s="355"/>
    </row>
    <row r="695" spans="2:15" ht="15.75" customHeight="1" x14ac:dyDescent="0.35">
      <c r="B695" s="355"/>
      <c r="E695" s="356"/>
      <c r="O695" s="355"/>
    </row>
    <row r="696" spans="2:15" ht="15.75" customHeight="1" x14ac:dyDescent="0.35">
      <c r="B696" s="355"/>
      <c r="E696" s="356"/>
      <c r="O696" s="355"/>
    </row>
    <row r="697" spans="2:15" ht="15.75" customHeight="1" x14ac:dyDescent="0.35">
      <c r="B697" s="355"/>
      <c r="E697" s="356"/>
      <c r="O697" s="355"/>
    </row>
    <row r="698" spans="2:15" ht="15.75" customHeight="1" x14ac:dyDescent="0.35">
      <c r="B698" s="355"/>
      <c r="E698" s="356"/>
      <c r="O698" s="355"/>
    </row>
    <row r="699" spans="2:15" ht="15.75" customHeight="1" x14ac:dyDescent="0.35">
      <c r="B699" s="355"/>
      <c r="E699" s="356"/>
      <c r="O699" s="355"/>
    </row>
    <row r="700" spans="2:15" ht="15.75" customHeight="1" x14ac:dyDescent="0.35">
      <c r="B700" s="355"/>
      <c r="E700" s="356"/>
      <c r="O700" s="355"/>
    </row>
    <row r="701" spans="2:15" ht="15.75" customHeight="1" x14ac:dyDescent="0.35">
      <c r="B701" s="355"/>
      <c r="E701" s="356"/>
      <c r="O701" s="355"/>
    </row>
    <row r="702" spans="2:15" ht="15.75" customHeight="1" x14ac:dyDescent="0.35">
      <c r="B702" s="355"/>
      <c r="E702" s="356"/>
      <c r="O702" s="355"/>
    </row>
    <row r="703" spans="2:15" ht="15.75" customHeight="1" x14ac:dyDescent="0.35">
      <c r="B703" s="355"/>
      <c r="E703" s="356"/>
      <c r="O703" s="355"/>
    </row>
    <row r="704" spans="2:15" ht="15.75" customHeight="1" x14ac:dyDescent="0.35">
      <c r="B704" s="355"/>
      <c r="E704" s="356"/>
      <c r="O704" s="355"/>
    </row>
    <row r="705" spans="2:15" ht="15.75" customHeight="1" x14ac:dyDescent="0.35">
      <c r="B705" s="355"/>
      <c r="E705" s="356"/>
      <c r="O705" s="355"/>
    </row>
    <row r="706" spans="2:15" ht="15.75" customHeight="1" x14ac:dyDescent="0.35">
      <c r="B706" s="355"/>
      <c r="E706" s="356"/>
      <c r="O706" s="355"/>
    </row>
    <row r="707" spans="2:15" ht="15.75" customHeight="1" x14ac:dyDescent="0.35">
      <c r="B707" s="355"/>
      <c r="E707" s="356"/>
      <c r="O707" s="355"/>
    </row>
    <row r="708" spans="2:15" ht="15.75" customHeight="1" x14ac:dyDescent="0.35">
      <c r="B708" s="355"/>
      <c r="E708" s="356"/>
      <c r="O708" s="355"/>
    </row>
    <row r="709" spans="2:15" ht="15.75" customHeight="1" x14ac:dyDescent="0.35">
      <c r="B709" s="355"/>
      <c r="E709" s="356"/>
      <c r="O709" s="355"/>
    </row>
    <row r="710" spans="2:15" ht="15.75" customHeight="1" x14ac:dyDescent="0.35">
      <c r="B710" s="355"/>
      <c r="E710" s="356"/>
      <c r="O710" s="355"/>
    </row>
    <row r="711" spans="2:15" ht="15.75" customHeight="1" x14ac:dyDescent="0.35">
      <c r="B711" s="355"/>
      <c r="E711" s="356"/>
      <c r="O711" s="355"/>
    </row>
    <row r="712" spans="2:15" ht="15.75" customHeight="1" x14ac:dyDescent="0.35">
      <c r="B712" s="355"/>
      <c r="E712" s="356"/>
      <c r="O712" s="355"/>
    </row>
    <row r="713" spans="2:15" ht="15.75" customHeight="1" x14ac:dyDescent="0.35">
      <c r="B713" s="355"/>
      <c r="E713" s="356"/>
      <c r="O713" s="355"/>
    </row>
    <row r="714" spans="2:15" ht="15.75" customHeight="1" x14ac:dyDescent="0.35">
      <c r="B714" s="355"/>
      <c r="E714" s="356"/>
      <c r="O714" s="355"/>
    </row>
    <row r="715" spans="2:15" ht="15.75" customHeight="1" x14ac:dyDescent="0.35">
      <c r="B715" s="355"/>
      <c r="E715" s="356"/>
      <c r="O715" s="355"/>
    </row>
    <row r="716" spans="2:15" ht="15.75" customHeight="1" x14ac:dyDescent="0.35">
      <c r="B716" s="355"/>
      <c r="E716" s="356"/>
      <c r="O716" s="355"/>
    </row>
    <row r="717" spans="2:15" ht="15.75" customHeight="1" x14ac:dyDescent="0.35">
      <c r="B717" s="355"/>
      <c r="E717" s="356"/>
      <c r="O717" s="355"/>
    </row>
    <row r="718" spans="2:15" ht="15.75" customHeight="1" x14ac:dyDescent="0.35">
      <c r="B718" s="355"/>
      <c r="E718" s="356"/>
      <c r="O718" s="355"/>
    </row>
    <row r="719" spans="2:15" ht="15.75" customHeight="1" x14ac:dyDescent="0.35">
      <c r="B719" s="355"/>
      <c r="E719" s="356"/>
      <c r="O719" s="355"/>
    </row>
    <row r="720" spans="2:15" ht="15.75" customHeight="1" x14ac:dyDescent="0.35">
      <c r="B720" s="355"/>
      <c r="E720" s="356"/>
      <c r="O720" s="355"/>
    </row>
    <row r="721" spans="2:15" ht="15.75" customHeight="1" x14ac:dyDescent="0.35">
      <c r="B721" s="355"/>
      <c r="E721" s="356"/>
      <c r="O721" s="355"/>
    </row>
    <row r="722" spans="2:15" ht="15.75" customHeight="1" x14ac:dyDescent="0.35">
      <c r="B722" s="355"/>
      <c r="E722" s="356"/>
      <c r="O722" s="355"/>
    </row>
    <row r="723" spans="2:15" ht="15.75" customHeight="1" x14ac:dyDescent="0.35">
      <c r="B723" s="355"/>
      <c r="E723" s="356"/>
      <c r="O723" s="355"/>
    </row>
    <row r="724" spans="2:15" ht="15.75" customHeight="1" x14ac:dyDescent="0.35">
      <c r="B724" s="355"/>
      <c r="E724" s="356"/>
      <c r="O724" s="355"/>
    </row>
    <row r="725" spans="2:15" ht="15.75" customHeight="1" x14ac:dyDescent="0.35">
      <c r="B725" s="355"/>
      <c r="E725" s="356"/>
      <c r="O725" s="355"/>
    </row>
    <row r="726" spans="2:15" ht="15.75" customHeight="1" x14ac:dyDescent="0.35">
      <c r="B726" s="355"/>
      <c r="E726" s="356"/>
      <c r="O726" s="355"/>
    </row>
    <row r="727" spans="2:15" ht="15.75" customHeight="1" x14ac:dyDescent="0.35">
      <c r="B727" s="355"/>
      <c r="E727" s="356"/>
      <c r="O727" s="355"/>
    </row>
    <row r="728" spans="2:15" ht="15.75" customHeight="1" x14ac:dyDescent="0.35">
      <c r="B728" s="355"/>
      <c r="E728" s="356"/>
      <c r="O728" s="355"/>
    </row>
    <row r="729" spans="2:15" ht="15.75" customHeight="1" x14ac:dyDescent="0.35">
      <c r="B729" s="355"/>
      <c r="E729" s="356"/>
      <c r="O729" s="355"/>
    </row>
    <row r="730" spans="2:15" ht="15.75" customHeight="1" x14ac:dyDescent="0.35">
      <c r="B730" s="355"/>
      <c r="E730" s="356"/>
      <c r="O730" s="355"/>
    </row>
    <row r="731" spans="2:15" ht="15.75" customHeight="1" x14ac:dyDescent="0.35">
      <c r="B731" s="355"/>
      <c r="E731" s="356"/>
      <c r="O731" s="355"/>
    </row>
    <row r="732" spans="2:15" ht="15.75" customHeight="1" x14ac:dyDescent="0.35">
      <c r="B732" s="355"/>
      <c r="E732" s="356"/>
      <c r="O732" s="355"/>
    </row>
    <row r="733" spans="2:15" ht="15.75" customHeight="1" x14ac:dyDescent="0.35">
      <c r="B733" s="355"/>
      <c r="E733" s="356"/>
      <c r="O733" s="355"/>
    </row>
    <row r="734" spans="2:15" ht="15.75" customHeight="1" x14ac:dyDescent="0.35">
      <c r="B734" s="355"/>
      <c r="E734" s="356"/>
      <c r="O734" s="355"/>
    </row>
    <row r="735" spans="2:15" ht="15.75" customHeight="1" x14ac:dyDescent="0.35">
      <c r="B735" s="355"/>
      <c r="E735" s="356"/>
      <c r="O735" s="355"/>
    </row>
    <row r="736" spans="2:15" ht="15.75" customHeight="1" x14ac:dyDescent="0.35">
      <c r="B736" s="355"/>
      <c r="E736" s="356"/>
      <c r="O736" s="355"/>
    </row>
    <row r="737" spans="2:15" ht="15.75" customHeight="1" x14ac:dyDescent="0.35">
      <c r="B737" s="355"/>
      <c r="E737" s="356"/>
      <c r="O737" s="355"/>
    </row>
    <row r="738" spans="2:15" ht="15.75" customHeight="1" x14ac:dyDescent="0.35">
      <c r="B738" s="355"/>
      <c r="E738" s="356"/>
      <c r="O738" s="355"/>
    </row>
    <row r="739" spans="2:15" ht="15.75" customHeight="1" x14ac:dyDescent="0.35">
      <c r="B739" s="355"/>
      <c r="E739" s="356"/>
      <c r="O739" s="355"/>
    </row>
    <row r="740" spans="2:15" ht="15.75" customHeight="1" x14ac:dyDescent="0.35">
      <c r="B740" s="355"/>
      <c r="E740" s="356"/>
      <c r="O740" s="355"/>
    </row>
    <row r="741" spans="2:15" ht="15.75" customHeight="1" x14ac:dyDescent="0.35">
      <c r="B741" s="355"/>
      <c r="E741" s="356"/>
      <c r="O741" s="355"/>
    </row>
    <row r="742" spans="2:15" ht="15.75" customHeight="1" x14ac:dyDescent="0.35">
      <c r="B742" s="355"/>
      <c r="E742" s="356"/>
      <c r="O742" s="355"/>
    </row>
    <row r="743" spans="2:15" ht="15.75" customHeight="1" x14ac:dyDescent="0.35">
      <c r="B743" s="355"/>
      <c r="E743" s="356"/>
      <c r="O743" s="355"/>
    </row>
    <row r="744" spans="2:15" ht="15.75" customHeight="1" x14ac:dyDescent="0.35">
      <c r="B744" s="355"/>
      <c r="E744" s="356"/>
      <c r="O744" s="355"/>
    </row>
    <row r="745" spans="2:15" ht="15.75" customHeight="1" x14ac:dyDescent="0.35">
      <c r="B745" s="355"/>
      <c r="E745" s="356"/>
      <c r="O745" s="355"/>
    </row>
    <row r="746" spans="2:15" ht="15.75" customHeight="1" x14ac:dyDescent="0.35">
      <c r="B746" s="355"/>
      <c r="E746" s="356"/>
      <c r="O746" s="355"/>
    </row>
    <row r="747" spans="2:15" ht="15.75" customHeight="1" x14ac:dyDescent="0.35">
      <c r="B747" s="355"/>
      <c r="E747" s="356"/>
      <c r="O747" s="355"/>
    </row>
    <row r="748" spans="2:15" ht="15.75" customHeight="1" x14ac:dyDescent="0.35">
      <c r="B748" s="355"/>
      <c r="E748" s="356"/>
      <c r="O748" s="355"/>
    </row>
    <row r="749" spans="2:15" ht="15.75" customHeight="1" x14ac:dyDescent="0.35">
      <c r="B749" s="355"/>
      <c r="E749" s="356"/>
      <c r="O749" s="355"/>
    </row>
    <row r="750" spans="2:15" ht="15.75" customHeight="1" x14ac:dyDescent="0.35">
      <c r="B750" s="355"/>
      <c r="E750" s="356"/>
      <c r="O750" s="355"/>
    </row>
    <row r="751" spans="2:15" ht="15.75" customHeight="1" x14ac:dyDescent="0.35">
      <c r="B751" s="355"/>
      <c r="E751" s="356"/>
      <c r="O751" s="355"/>
    </row>
    <row r="752" spans="2:15" ht="15.75" customHeight="1" x14ac:dyDescent="0.35">
      <c r="B752" s="355"/>
      <c r="E752" s="356"/>
      <c r="O752" s="355"/>
    </row>
    <row r="753" spans="2:15" ht="15.75" customHeight="1" x14ac:dyDescent="0.35">
      <c r="B753" s="355"/>
      <c r="E753" s="356"/>
      <c r="O753" s="355"/>
    </row>
    <row r="754" spans="2:15" ht="15.75" customHeight="1" x14ac:dyDescent="0.35">
      <c r="B754" s="355"/>
      <c r="E754" s="356"/>
      <c r="O754" s="355"/>
    </row>
    <row r="755" spans="2:15" ht="15.75" customHeight="1" x14ac:dyDescent="0.35">
      <c r="B755" s="355"/>
      <c r="E755" s="356"/>
      <c r="O755" s="355"/>
    </row>
    <row r="756" spans="2:15" ht="15.75" customHeight="1" x14ac:dyDescent="0.35">
      <c r="B756" s="355"/>
      <c r="E756" s="356"/>
      <c r="O756" s="355"/>
    </row>
    <row r="757" spans="2:15" ht="15.75" customHeight="1" x14ac:dyDescent="0.35">
      <c r="B757" s="355"/>
      <c r="E757" s="356"/>
      <c r="O757" s="355"/>
    </row>
    <row r="758" spans="2:15" ht="15.75" customHeight="1" x14ac:dyDescent="0.35">
      <c r="B758" s="355"/>
      <c r="E758" s="356"/>
      <c r="O758" s="355"/>
    </row>
    <row r="759" spans="2:15" ht="15.75" customHeight="1" x14ac:dyDescent="0.35">
      <c r="B759" s="355"/>
      <c r="E759" s="356"/>
      <c r="O759" s="355"/>
    </row>
    <row r="760" spans="2:15" ht="15.75" customHeight="1" x14ac:dyDescent="0.35">
      <c r="B760" s="355"/>
      <c r="E760" s="356"/>
      <c r="O760" s="355"/>
    </row>
    <row r="761" spans="2:15" ht="15.75" customHeight="1" x14ac:dyDescent="0.35">
      <c r="B761" s="355"/>
      <c r="E761" s="356"/>
      <c r="O761" s="355"/>
    </row>
    <row r="762" spans="2:15" ht="15.75" customHeight="1" x14ac:dyDescent="0.35">
      <c r="B762" s="355"/>
      <c r="E762" s="356"/>
      <c r="O762" s="355"/>
    </row>
    <row r="763" spans="2:15" ht="15.75" customHeight="1" x14ac:dyDescent="0.35">
      <c r="B763" s="355"/>
      <c r="E763" s="356"/>
      <c r="O763" s="355"/>
    </row>
    <row r="764" spans="2:15" ht="15.75" customHeight="1" x14ac:dyDescent="0.35">
      <c r="B764" s="355"/>
      <c r="E764" s="356"/>
      <c r="O764" s="355"/>
    </row>
    <row r="765" spans="2:15" ht="15.75" customHeight="1" x14ac:dyDescent="0.35">
      <c r="B765" s="355"/>
      <c r="E765" s="356"/>
      <c r="O765" s="355"/>
    </row>
    <row r="766" spans="2:15" ht="15.75" customHeight="1" x14ac:dyDescent="0.35">
      <c r="B766" s="355"/>
      <c r="E766" s="356"/>
      <c r="O766" s="355"/>
    </row>
    <row r="767" spans="2:15" ht="15.75" customHeight="1" x14ac:dyDescent="0.35">
      <c r="B767" s="355"/>
      <c r="E767" s="356"/>
      <c r="O767" s="355"/>
    </row>
    <row r="768" spans="2:15" ht="15.75" customHeight="1" x14ac:dyDescent="0.35">
      <c r="B768" s="355"/>
      <c r="E768" s="356"/>
      <c r="O768" s="355"/>
    </row>
    <row r="769" spans="2:15" ht="15.75" customHeight="1" x14ac:dyDescent="0.35">
      <c r="B769" s="355"/>
      <c r="E769" s="356"/>
      <c r="O769" s="355"/>
    </row>
    <row r="770" spans="2:15" ht="15.75" customHeight="1" x14ac:dyDescent="0.35">
      <c r="B770" s="355"/>
      <c r="E770" s="356"/>
      <c r="O770" s="355"/>
    </row>
    <row r="771" spans="2:15" ht="15.75" customHeight="1" x14ac:dyDescent="0.35">
      <c r="B771" s="355"/>
      <c r="E771" s="356"/>
      <c r="O771" s="355"/>
    </row>
    <row r="772" spans="2:15" ht="15.75" customHeight="1" x14ac:dyDescent="0.35">
      <c r="B772" s="355"/>
      <c r="E772" s="356"/>
      <c r="O772" s="355"/>
    </row>
    <row r="773" spans="2:15" ht="15.75" customHeight="1" x14ac:dyDescent="0.35">
      <c r="B773" s="355"/>
      <c r="E773" s="356"/>
      <c r="O773" s="355"/>
    </row>
    <row r="774" spans="2:15" ht="15.75" customHeight="1" x14ac:dyDescent="0.35">
      <c r="B774" s="355"/>
      <c r="E774" s="356"/>
      <c r="O774" s="355"/>
    </row>
    <row r="775" spans="2:15" ht="15.75" customHeight="1" x14ac:dyDescent="0.35">
      <c r="B775" s="355"/>
      <c r="E775" s="356"/>
      <c r="O775" s="355"/>
    </row>
    <row r="776" spans="2:15" ht="15.75" customHeight="1" x14ac:dyDescent="0.35">
      <c r="B776" s="355"/>
      <c r="E776" s="356"/>
      <c r="O776" s="355"/>
    </row>
    <row r="777" spans="2:15" ht="15.75" customHeight="1" x14ac:dyDescent="0.35">
      <c r="B777" s="355"/>
      <c r="E777" s="356"/>
      <c r="O777" s="355"/>
    </row>
    <row r="778" spans="2:15" ht="15.75" customHeight="1" x14ac:dyDescent="0.35">
      <c r="B778" s="355"/>
      <c r="E778" s="356"/>
      <c r="O778" s="355"/>
    </row>
    <row r="779" spans="2:15" ht="15.75" customHeight="1" x14ac:dyDescent="0.35">
      <c r="B779" s="355"/>
      <c r="E779" s="356"/>
      <c r="O779" s="355"/>
    </row>
    <row r="780" spans="2:15" ht="15.75" customHeight="1" x14ac:dyDescent="0.35">
      <c r="B780" s="355"/>
      <c r="E780" s="356"/>
      <c r="O780" s="355"/>
    </row>
    <row r="781" spans="2:15" ht="15.75" customHeight="1" x14ac:dyDescent="0.35">
      <c r="B781" s="355"/>
      <c r="E781" s="356"/>
      <c r="O781" s="355"/>
    </row>
    <row r="782" spans="2:15" ht="15.75" customHeight="1" x14ac:dyDescent="0.35">
      <c r="B782" s="355"/>
      <c r="E782" s="356"/>
      <c r="O782" s="355"/>
    </row>
    <row r="783" spans="2:15" ht="15.75" customHeight="1" x14ac:dyDescent="0.35">
      <c r="B783" s="355"/>
      <c r="E783" s="356"/>
      <c r="O783" s="355"/>
    </row>
    <row r="784" spans="2:15" ht="15.75" customHeight="1" x14ac:dyDescent="0.35">
      <c r="B784" s="355"/>
      <c r="E784" s="356"/>
      <c r="O784" s="355"/>
    </row>
    <row r="785" spans="2:15" ht="15.75" customHeight="1" x14ac:dyDescent="0.35">
      <c r="B785" s="355"/>
      <c r="E785" s="356"/>
      <c r="O785" s="355"/>
    </row>
    <row r="786" spans="2:15" ht="15.75" customHeight="1" x14ac:dyDescent="0.35">
      <c r="B786" s="355"/>
      <c r="E786" s="356"/>
      <c r="O786" s="355"/>
    </row>
    <row r="787" spans="2:15" ht="15.75" customHeight="1" x14ac:dyDescent="0.35">
      <c r="B787" s="355"/>
      <c r="E787" s="356"/>
      <c r="O787" s="355"/>
    </row>
    <row r="788" spans="2:15" ht="15.75" customHeight="1" x14ac:dyDescent="0.35">
      <c r="B788" s="355"/>
      <c r="E788" s="356"/>
      <c r="O788" s="355"/>
    </row>
    <row r="789" spans="2:15" ht="15.75" customHeight="1" x14ac:dyDescent="0.35">
      <c r="B789" s="355"/>
      <c r="E789" s="356"/>
      <c r="O789" s="355"/>
    </row>
    <row r="790" spans="2:15" ht="15.75" customHeight="1" x14ac:dyDescent="0.35">
      <c r="B790" s="355"/>
      <c r="E790" s="356"/>
      <c r="O790" s="355"/>
    </row>
    <row r="791" spans="2:15" ht="15.75" customHeight="1" x14ac:dyDescent="0.35">
      <c r="B791" s="355"/>
      <c r="E791" s="356"/>
      <c r="O791" s="355"/>
    </row>
    <row r="792" spans="2:15" ht="15.75" customHeight="1" x14ac:dyDescent="0.35">
      <c r="B792" s="355"/>
      <c r="E792" s="356"/>
      <c r="O792" s="355"/>
    </row>
    <row r="793" spans="2:15" ht="15.75" customHeight="1" x14ac:dyDescent="0.35">
      <c r="B793" s="355"/>
      <c r="E793" s="356"/>
      <c r="O793" s="355"/>
    </row>
    <row r="794" spans="2:15" ht="15.75" customHeight="1" x14ac:dyDescent="0.35">
      <c r="B794" s="355"/>
      <c r="E794" s="356"/>
      <c r="O794" s="355"/>
    </row>
    <row r="795" spans="2:15" ht="15.75" customHeight="1" x14ac:dyDescent="0.35">
      <c r="B795" s="355"/>
      <c r="E795" s="356"/>
      <c r="O795" s="355"/>
    </row>
    <row r="796" spans="2:15" ht="15.75" customHeight="1" x14ac:dyDescent="0.35">
      <c r="B796" s="355"/>
      <c r="E796" s="356"/>
      <c r="O796" s="355"/>
    </row>
    <row r="797" spans="2:15" ht="15.75" customHeight="1" x14ac:dyDescent="0.35">
      <c r="B797" s="355"/>
      <c r="E797" s="356"/>
      <c r="O797" s="355"/>
    </row>
    <row r="798" spans="2:15" ht="15.75" customHeight="1" x14ac:dyDescent="0.35">
      <c r="B798" s="355"/>
      <c r="E798" s="356"/>
      <c r="O798" s="355"/>
    </row>
    <row r="799" spans="2:15" ht="15.75" customHeight="1" x14ac:dyDescent="0.35">
      <c r="B799" s="355"/>
      <c r="E799" s="356"/>
      <c r="O799" s="355"/>
    </row>
    <row r="800" spans="2:15" ht="15.75" customHeight="1" x14ac:dyDescent="0.35">
      <c r="B800" s="355"/>
      <c r="E800" s="356"/>
      <c r="O800" s="355"/>
    </row>
    <row r="801" spans="2:15" ht="15.75" customHeight="1" x14ac:dyDescent="0.35">
      <c r="B801" s="355"/>
      <c r="E801" s="356"/>
      <c r="O801" s="355"/>
    </row>
    <row r="802" spans="2:15" ht="15.75" customHeight="1" x14ac:dyDescent="0.35">
      <c r="B802" s="355"/>
      <c r="E802" s="356"/>
      <c r="O802" s="355"/>
    </row>
    <row r="803" spans="2:15" ht="15.75" customHeight="1" x14ac:dyDescent="0.35">
      <c r="B803" s="355"/>
      <c r="E803" s="356"/>
      <c r="O803" s="355"/>
    </row>
    <row r="804" spans="2:15" ht="15.75" customHeight="1" x14ac:dyDescent="0.35">
      <c r="B804" s="355"/>
      <c r="E804" s="356"/>
      <c r="O804" s="355"/>
    </row>
    <row r="805" spans="2:15" ht="15.75" customHeight="1" x14ac:dyDescent="0.35">
      <c r="B805" s="355"/>
      <c r="E805" s="356"/>
      <c r="O805" s="355"/>
    </row>
    <row r="806" spans="2:15" ht="15.75" customHeight="1" x14ac:dyDescent="0.35">
      <c r="B806" s="355"/>
      <c r="E806" s="356"/>
      <c r="O806" s="355"/>
    </row>
    <row r="807" spans="2:15" ht="15.75" customHeight="1" x14ac:dyDescent="0.35">
      <c r="B807" s="355"/>
      <c r="E807" s="356"/>
      <c r="O807" s="355"/>
    </row>
    <row r="808" spans="2:15" ht="15.75" customHeight="1" x14ac:dyDescent="0.35">
      <c r="B808" s="355"/>
      <c r="E808" s="356"/>
      <c r="O808" s="355"/>
    </row>
    <row r="809" spans="2:15" ht="15.75" customHeight="1" x14ac:dyDescent="0.35">
      <c r="B809" s="355"/>
      <c r="E809" s="356"/>
      <c r="O809" s="355"/>
    </row>
    <row r="810" spans="2:15" ht="15.75" customHeight="1" x14ac:dyDescent="0.35">
      <c r="B810" s="355"/>
      <c r="E810" s="356"/>
      <c r="O810" s="355"/>
    </row>
    <row r="811" spans="2:15" ht="15.75" customHeight="1" x14ac:dyDescent="0.35">
      <c r="B811" s="355"/>
      <c r="E811" s="356"/>
      <c r="O811" s="355"/>
    </row>
    <row r="812" spans="2:15" ht="15.75" customHeight="1" x14ac:dyDescent="0.35">
      <c r="B812" s="355"/>
      <c r="E812" s="356"/>
      <c r="O812" s="355"/>
    </row>
    <row r="813" spans="2:15" ht="15.75" customHeight="1" x14ac:dyDescent="0.35">
      <c r="B813" s="355"/>
      <c r="E813" s="356"/>
      <c r="O813" s="355"/>
    </row>
    <row r="814" spans="2:15" ht="15.75" customHeight="1" x14ac:dyDescent="0.35">
      <c r="B814" s="355"/>
      <c r="E814" s="356"/>
      <c r="O814" s="355"/>
    </row>
    <row r="815" spans="2:15" ht="15.75" customHeight="1" x14ac:dyDescent="0.35">
      <c r="B815" s="355"/>
      <c r="E815" s="356"/>
      <c r="O815" s="355"/>
    </row>
    <row r="816" spans="2:15" ht="15.75" customHeight="1" x14ac:dyDescent="0.35">
      <c r="B816" s="355"/>
      <c r="E816" s="356"/>
      <c r="O816" s="355"/>
    </row>
    <row r="817" spans="2:15" ht="15.75" customHeight="1" x14ac:dyDescent="0.35">
      <c r="B817" s="355"/>
      <c r="E817" s="356"/>
      <c r="O817" s="355"/>
    </row>
    <row r="818" spans="2:15" ht="15.75" customHeight="1" x14ac:dyDescent="0.35">
      <c r="B818" s="355"/>
      <c r="E818" s="356"/>
      <c r="O818" s="355"/>
    </row>
    <row r="819" spans="2:15" ht="15.75" customHeight="1" x14ac:dyDescent="0.35">
      <c r="B819" s="355"/>
      <c r="E819" s="356"/>
      <c r="O819" s="355"/>
    </row>
    <row r="820" spans="2:15" ht="15.75" customHeight="1" x14ac:dyDescent="0.35">
      <c r="B820" s="355"/>
      <c r="E820" s="356"/>
      <c r="O820" s="355"/>
    </row>
    <row r="821" spans="2:15" ht="15.75" customHeight="1" x14ac:dyDescent="0.35">
      <c r="B821" s="355"/>
      <c r="E821" s="356"/>
      <c r="O821" s="355"/>
    </row>
    <row r="822" spans="2:15" ht="15.75" customHeight="1" x14ac:dyDescent="0.35">
      <c r="B822" s="355"/>
      <c r="E822" s="356"/>
      <c r="O822" s="355"/>
    </row>
    <row r="823" spans="2:15" ht="15.75" customHeight="1" x14ac:dyDescent="0.35">
      <c r="B823" s="355"/>
      <c r="E823" s="356"/>
      <c r="O823" s="355"/>
    </row>
    <row r="824" spans="2:15" ht="15.75" customHeight="1" x14ac:dyDescent="0.35">
      <c r="B824" s="355"/>
      <c r="E824" s="356"/>
      <c r="O824" s="355"/>
    </row>
    <row r="825" spans="2:15" ht="15.75" customHeight="1" x14ac:dyDescent="0.35">
      <c r="B825" s="355"/>
      <c r="E825" s="356"/>
      <c r="O825" s="355"/>
    </row>
    <row r="826" spans="2:15" ht="15.75" customHeight="1" x14ac:dyDescent="0.35">
      <c r="B826" s="355"/>
      <c r="E826" s="356"/>
      <c r="O826" s="355"/>
    </row>
    <row r="827" spans="2:15" ht="15.75" customHeight="1" x14ac:dyDescent="0.35">
      <c r="B827" s="355"/>
      <c r="E827" s="356"/>
      <c r="O827" s="355"/>
    </row>
    <row r="828" spans="2:15" ht="15.75" customHeight="1" x14ac:dyDescent="0.35">
      <c r="B828" s="355"/>
      <c r="E828" s="356"/>
      <c r="O828" s="355"/>
    </row>
    <row r="829" spans="2:15" ht="15.75" customHeight="1" x14ac:dyDescent="0.35">
      <c r="B829" s="355"/>
      <c r="E829" s="356"/>
      <c r="O829" s="355"/>
    </row>
    <row r="830" spans="2:15" ht="15.75" customHeight="1" x14ac:dyDescent="0.35">
      <c r="B830" s="355"/>
      <c r="E830" s="356"/>
      <c r="O830" s="355"/>
    </row>
    <row r="831" spans="2:15" ht="15.75" customHeight="1" x14ac:dyDescent="0.35">
      <c r="B831" s="355"/>
      <c r="E831" s="356"/>
      <c r="O831" s="355"/>
    </row>
    <row r="832" spans="2:15" ht="15.75" customHeight="1" x14ac:dyDescent="0.35">
      <c r="B832" s="355"/>
      <c r="E832" s="356"/>
      <c r="O832" s="355"/>
    </row>
    <row r="833" spans="2:15" ht="15.75" customHeight="1" x14ac:dyDescent="0.35">
      <c r="B833" s="355"/>
      <c r="E833" s="356"/>
      <c r="O833" s="355"/>
    </row>
    <row r="834" spans="2:15" ht="15.75" customHeight="1" x14ac:dyDescent="0.35">
      <c r="B834" s="355"/>
      <c r="E834" s="356"/>
      <c r="O834" s="355"/>
    </row>
    <row r="835" spans="2:15" ht="15.75" customHeight="1" x14ac:dyDescent="0.35">
      <c r="B835" s="355"/>
      <c r="E835" s="356"/>
      <c r="O835" s="355"/>
    </row>
    <row r="836" spans="2:15" ht="15.75" customHeight="1" x14ac:dyDescent="0.35">
      <c r="B836" s="355"/>
      <c r="E836" s="356"/>
      <c r="O836" s="355"/>
    </row>
    <row r="837" spans="2:15" ht="15.75" customHeight="1" x14ac:dyDescent="0.35">
      <c r="B837" s="355"/>
      <c r="E837" s="356"/>
      <c r="O837" s="355"/>
    </row>
    <row r="838" spans="2:15" ht="15.75" customHeight="1" x14ac:dyDescent="0.35">
      <c r="B838" s="355"/>
      <c r="E838" s="356"/>
      <c r="O838" s="355"/>
    </row>
    <row r="839" spans="2:15" ht="15.75" customHeight="1" x14ac:dyDescent="0.35">
      <c r="B839" s="355"/>
      <c r="E839" s="356"/>
      <c r="O839" s="355"/>
    </row>
    <row r="840" spans="2:15" ht="15.75" customHeight="1" x14ac:dyDescent="0.35">
      <c r="B840" s="355"/>
      <c r="E840" s="356"/>
      <c r="O840" s="355"/>
    </row>
    <row r="841" spans="2:15" ht="15.75" customHeight="1" x14ac:dyDescent="0.35">
      <c r="B841" s="355"/>
      <c r="E841" s="356"/>
      <c r="O841" s="355"/>
    </row>
    <row r="842" spans="2:15" ht="15.75" customHeight="1" x14ac:dyDescent="0.35">
      <c r="B842" s="355"/>
      <c r="E842" s="356"/>
      <c r="O842" s="355"/>
    </row>
    <row r="843" spans="2:15" ht="15.75" customHeight="1" x14ac:dyDescent="0.35">
      <c r="B843" s="355"/>
      <c r="E843" s="356"/>
      <c r="O843" s="355"/>
    </row>
    <row r="844" spans="2:15" ht="15.75" customHeight="1" x14ac:dyDescent="0.35">
      <c r="B844" s="355"/>
      <c r="E844" s="356"/>
      <c r="O844" s="355"/>
    </row>
    <row r="845" spans="2:15" ht="15.75" customHeight="1" x14ac:dyDescent="0.35">
      <c r="B845" s="355"/>
      <c r="E845" s="356"/>
      <c r="O845" s="355"/>
    </row>
    <row r="846" spans="2:15" ht="15.75" customHeight="1" x14ac:dyDescent="0.35">
      <c r="B846" s="355"/>
      <c r="E846" s="356"/>
      <c r="O846" s="355"/>
    </row>
    <row r="847" spans="2:15" ht="15.75" customHeight="1" x14ac:dyDescent="0.35">
      <c r="B847" s="355"/>
      <c r="E847" s="356"/>
      <c r="O847" s="355"/>
    </row>
    <row r="848" spans="2:15" ht="15.75" customHeight="1" x14ac:dyDescent="0.35">
      <c r="B848" s="355"/>
      <c r="E848" s="356"/>
      <c r="O848" s="355"/>
    </row>
    <row r="849" spans="2:15" ht="15.75" customHeight="1" x14ac:dyDescent="0.35">
      <c r="B849" s="355"/>
      <c r="E849" s="356"/>
      <c r="O849" s="355"/>
    </row>
    <row r="850" spans="2:15" ht="15.75" customHeight="1" x14ac:dyDescent="0.35">
      <c r="B850" s="355"/>
      <c r="E850" s="356"/>
      <c r="O850" s="355"/>
    </row>
    <row r="851" spans="2:15" ht="15.75" customHeight="1" x14ac:dyDescent="0.35">
      <c r="B851" s="355"/>
      <c r="E851" s="356"/>
      <c r="O851" s="355"/>
    </row>
    <row r="852" spans="2:15" ht="15.75" customHeight="1" x14ac:dyDescent="0.35">
      <c r="B852" s="355"/>
      <c r="E852" s="356"/>
      <c r="O852" s="355"/>
    </row>
    <row r="853" spans="2:15" ht="15.75" customHeight="1" x14ac:dyDescent="0.35">
      <c r="B853" s="355"/>
      <c r="E853" s="356"/>
      <c r="O853" s="355"/>
    </row>
    <row r="854" spans="2:15" ht="15.75" customHeight="1" x14ac:dyDescent="0.35">
      <c r="B854" s="355"/>
      <c r="E854" s="356"/>
      <c r="O854" s="355"/>
    </row>
    <row r="855" spans="2:15" ht="15.75" customHeight="1" x14ac:dyDescent="0.35">
      <c r="B855" s="355"/>
      <c r="E855" s="356"/>
      <c r="O855" s="355"/>
    </row>
    <row r="856" spans="2:15" ht="15.75" customHeight="1" x14ac:dyDescent="0.35">
      <c r="B856" s="355"/>
      <c r="E856" s="356"/>
      <c r="O856" s="355"/>
    </row>
    <row r="857" spans="2:15" ht="15.75" customHeight="1" x14ac:dyDescent="0.35">
      <c r="B857" s="355"/>
      <c r="E857" s="356"/>
      <c r="O857" s="355"/>
    </row>
    <row r="858" spans="2:15" ht="15.75" customHeight="1" x14ac:dyDescent="0.35">
      <c r="B858" s="355"/>
      <c r="E858" s="356"/>
      <c r="O858" s="355"/>
    </row>
    <row r="859" spans="2:15" ht="15.75" customHeight="1" x14ac:dyDescent="0.35">
      <c r="B859" s="355"/>
      <c r="E859" s="356"/>
      <c r="O859" s="355"/>
    </row>
    <row r="860" spans="2:15" ht="15.75" customHeight="1" x14ac:dyDescent="0.35">
      <c r="B860" s="355"/>
      <c r="E860" s="356"/>
      <c r="O860" s="355"/>
    </row>
    <row r="861" spans="2:15" ht="15.75" customHeight="1" x14ac:dyDescent="0.35">
      <c r="B861" s="355"/>
      <c r="E861" s="356"/>
      <c r="O861" s="355"/>
    </row>
    <row r="862" spans="2:15" ht="15.75" customHeight="1" x14ac:dyDescent="0.35">
      <c r="B862" s="355"/>
      <c r="E862" s="356"/>
      <c r="O862" s="355"/>
    </row>
    <row r="863" spans="2:15" ht="15.75" customHeight="1" x14ac:dyDescent="0.35">
      <c r="B863" s="355"/>
      <c r="E863" s="356"/>
      <c r="O863" s="355"/>
    </row>
    <row r="864" spans="2:15" ht="15.75" customHeight="1" x14ac:dyDescent="0.35">
      <c r="B864" s="355"/>
      <c r="E864" s="356"/>
      <c r="O864" s="355"/>
    </row>
    <row r="865" spans="2:15" ht="15.75" customHeight="1" x14ac:dyDescent="0.35">
      <c r="B865" s="355"/>
      <c r="E865" s="356"/>
      <c r="O865" s="355"/>
    </row>
    <row r="866" spans="2:15" ht="15.75" customHeight="1" x14ac:dyDescent="0.35">
      <c r="B866" s="355"/>
      <c r="E866" s="356"/>
      <c r="O866" s="355"/>
    </row>
    <row r="867" spans="2:15" ht="15.75" customHeight="1" x14ac:dyDescent="0.35">
      <c r="B867" s="355"/>
      <c r="E867" s="356"/>
      <c r="O867" s="355"/>
    </row>
    <row r="868" spans="2:15" ht="15.75" customHeight="1" x14ac:dyDescent="0.35">
      <c r="B868" s="355"/>
      <c r="E868" s="356"/>
      <c r="O868" s="355"/>
    </row>
    <row r="869" spans="2:15" ht="15.75" customHeight="1" x14ac:dyDescent="0.35">
      <c r="B869" s="355"/>
      <c r="E869" s="356"/>
      <c r="O869" s="355"/>
    </row>
    <row r="870" spans="2:15" ht="15.75" customHeight="1" x14ac:dyDescent="0.35">
      <c r="B870" s="355"/>
      <c r="E870" s="356"/>
      <c r="O870" s="355"/>
    </row>
    <row r="871" spans="2:15" ht="15.75" customHeight="1" x14ac:dyDescent="0.35">
      <c r="B871" s="355"/>
      <c r="E871" s="356"/>
      <c r="O871" s="355"/>
    </row>
    <row r="872" spans="2:15" ht="15.75" customHeight="1" x14ac:dyDescent="0.35">
      <c r="B872" s="355"/>
      <c r="E872" s="356"/>
      <c r="O872" s="355"/>
    </row>
    <row r="873" spans="2:15" ht="15.75" customHeight="1" x14ac:dyDescent="0.35">
      <c r="B873" s="355"/>
      <c r="E873" s="356"/>
      <c r="O873" s="355"/>
    </row>
    <row r="874" spans="2:15" ht="15.75" customHeight="1" x14ac:dyDescent="0.35">
      <c r="B874" s="355"/>
      <c r="E874" s="356"/>
      <c r="O874" s="355"/>
    </row>
    <row r="875" spans="2:15" ht="15.75" customHeight="1" x14ac:dyDescent="0.35">
      <c r="B875" s="355"/>
      <c r="E875" s="356"/>
      <c r="O875" s="355"/>
    </row>
    <row r="876" spans="2:15" ht="15.75" customHeight="1" x14ac:dyDescent="0.35">
      <c r="B876" s="355"/>
      <c r="E876" s="356"/>
      <c r="O876" s="355"/>
    </row>
    <row r="877" spans="2:15" ht="15.75" customHeight="1" x14ac:dyDescent="0.35">
      <c r="B877" s="355"/>
      <c r="E877" s="356"/>
      <c r="O877" s="355"/>
    </row>
    <row r="878" spans="2:15" ht="15.75" customHeight="1" x14ac:dyDescent="0.35">
      <c r="B878" s="355"/>
      <c r="E878" s="356"/>
      <c r="O878" s="355"/>
    </row>
    <row r="879" spans="2:15" ht="15.75" customHeight="1" x14ac:dyDescent="0.35">
      <c r="B879" s="355"/>
      <c r="E879" s="356"/>
      <c r="O879" s="355"/>
    </row>
    <row r="880" spans="2:15" ht="15.75" customHeight="1" x14ac:dyDescent="0.35">
      <c r="B880" s="355"/>
      <c r="E880" s="356"/>
      <c r="O880" s="355"/>
    </row>
    <row r="881" spans="2:15" ht="15.75" customHeight="1" x14ac:dyDescent="0.35">
      <c r="B881" s="355"/>
      <c r="E881" s="356"/>
      <c r="O881" s="355"/>
    </row>
    <row r="882" spans="2:15" ht="15.75" customHeight="1" x14ac:dyDescent="0.35">
      <c r="B882" s="355"/>
      <c r="E882" s="356"/>
      <c r="O882" s="355"/>
    </row>
    <row r="883" spans="2:15" ht="15.75" customHeight="1" x14ac:dyDescent="0.35">
      <c r="B883" s="355"/>
      <c r="E883" s="356"/>
      <c r="O883" s="355"/>
    </row>
    <row r="884" spans="2:15" ht="15.75" customHeight="1" x14ac:dyDescent="0.35">
      <c r="B884" s="355"/>
      <c r="E884" s="356"/>
      <c r="O884" s="355"/>
    </row>
    <row r="885" spans="2:15" ht="15.75" customHeight="1" x14ac:dyDescent="0.35">
      <c r="B885" s="355"/>
      <c r="E885" s="356"/>
      <c r="O885" s="355"/>
    </row>
    <row r="886" spans="2:15" ht="15.75" customHeight="1" x14ac:dyDescent="0.35">
      <c r="B886" s="355"/>
      <c r="E886" s="356"/>
      <c r="O886" s="355"/>
    </row>
    <row r="887" spans="2:15" ht="15.75" customHeight="1" x14ac:dyDescent="0.35">
      <c r="B887" s="355"/>
      <c r="E887" s="356"/>
      <c r="O887" s="355"/>
    </row>
    <row r="888" spans="2:15" ht="15.75" customHeight="1" x14ac:dyDescent="0.35">
      <c r="B888" s="355"/>
      <c r="E888" s="356"/>
      <c r="O888" s="355"/>
    </row>
    <row r="889" spans="2:15" ht="15.75" customHeight="1" x14ac:dyDescent="0.35">
      <c r="B889" s="355"/>
      <c r="E889" s="356"/>
      <c r="O889" s="355"/>
    </row>
    <row r="890" spans="2:15" ht="15.75" customHeight="1" x14ac:dyDescent="0.35">
      <c r="B890" s="355"/>
      <c r="E890" s="356"/>
      <c r="O890" s="355"/>
    </row>
    <row r="891" spans="2:15" ht="15.75" customHeight="1" x14ac:dyDescent="0.35">
      <c r="B891" s="355"/>
      <c r="E891" s="356"/>
      <c r="O891" s="355"/>
    </row>
    <row r="892" spans="2:15" ht="15.75" customHeight="1" x14ac:dyDescent="0.35">
      <c r="B892" s="355"/>
      <c r="E892" s="356"/>
      <c r="O892" s="355"/>
    </row>
    <row r="893" spans="2:15" ht="15.75" customHeight="1" x14ac:dyDescent="0.35">
      <c r="B893" s="355"/>
      <c r="E893" s="356"/>
      <c r="O893" s="355"/>
    </row>
    <row r="894" spans="2:15" ht="15.75" customHeight="1" x14ac:dyDescent="0.35">
      <c r="B894" s="355"/>
      <c r="E894" s="356"/>
      <c r="O894" s="355"/>
    </row>
    <row r="895" spans="2:15" ht="15.75" customHeight="1" x14ac:dyDescent="0.35">
      <c r="B895" s="355"/>
      <c r="E895" s="356"/>
      <c r="O895" s="355"/>
    </row>
    <row r="896" spans="2:15" ht="15.75" customHeight="1" x14ac:dyDescent="0.35">
      <c r="B896" s="355"/>
      <c r="E896" s="356"/>
      <c r="O896" s="355"/>
    </row>
    <row r="897" spans="2:15" ht="15.75" customHeight="1" x14ac:dyDescent="0.35">
      <c r="B897" s="355"/>
      <c r="E897" s="356"/>
      <c r="O897" s="355"/>
    </row>
    <row r="898" spans="2:15" ht="15.75" customHeight="1" x14ac:dyDescent="0.35">
      <c r="B898" s="355"/>
      <c r="E898" s="356"/>
      <c r="O898" s="355"/>
    </row>
    <row r="899" spans="2:15" ht="15.75" customHeight="1" x14ac:dyDescent="0.35">
      <c r="B899" s="355"/>
      <c r="E899" s="356"/>
      <c r="O899" s="355"/>
    </row>
    <row r="900" spans="2:15" ht="15.75" customHeight="1" x14ac:dyDescent="0.35">
      <c r="B900" s="355"/>
      <c r="E900" s="356"/>
      <c r="O900" s="355"/>
    </row>
    <row r="901" spans="2:15" ht="15.75" customHeight="1" x14ac:dyDescent="0.35">
      <c r="B901" s="355"/>
      <c r="E901" s="356"/>
      <c r="O901" s="355"/>
    </row>
    <row r="902" spans="2:15" ht="15.75" customHeight="1" x14ac:dyDescent="0.35">
      <c r="B902" s="355"/>
      <c r="E902" s="356"/>
      <c r="O902" s="355"/>
    </row>
    <row r="903" spans="2:15" ht="15.75" customHeight="1" x14ac:dyDescent="0.35">
      <c r="B903" s="355"/>
      <c r="E903" s="356"/>
      <c r="O903" s="355"/>
    </row>
    <row r="904" spans="2:15" ht="15.75" customHeight="1" x14ac:dyDescent="0.35">
      <c r="B904" s="355"/>
      <c r="E904" s="356"/>
      <c r="O904" s="355"/>
    </row>
    <row r="905" spans="2:15" ht="15.75" customHeight="1" x14ac:dyDescent="0.35">
      <c r="B905" s="355"/>
      <c r="E905" s="356"/>
      <c r="O905" s="355"/>
    </row>
    <row r="906" spans="2:15" ht="15.75" customHeight="1" x14ac:dyDescent="0.35">
      <c r="B906" s="355"/>
      <c r="E906" s="356"/>
      <c r="O906" s="355"/>
    </row>
    <row r="907" spans="2:15" ht="15.75" customHeight="1" x14ac:dyDescent="0.35">
      <c r="B907" s="355"/>
      <c r="E907" s="356"/>
      <c r="O907" s="355"/>
    </row>
    <row r="908" spans="2:15" ht="15.75" customHeight="1" x14ac:dyDescent="0.35">
      <c r="B908" s="355"/>
      <c r="E908" s="356"/>
      <c r="O908" s="355"/>
    </row>
    <row r="909" spans="2:15" ht="15.75" customHeight="1" x14ac:dyDescent="0.35">
      <c r="B909" s="355"/>
      <c r="E909" s="356"/>
      <c r="O909" s="355"/>
    </row>
    <row r="910" spans="2:15" ht="15.75" customHeight="1" x14ac:dyDescent="0.35">
      <c r="B910" s="355"/>
      <c r="E910" s="356"/>
      <c r="O910" s="355"/>
    </row>
    <row r="911" spans="2:15" ht="15.75" customHeight="1" x14ac:dyDescent="0.35">
      <c r="B911" s="355"/>
      <c r="E911" s="356"/>
      <c r="O911" s="355"/>
    </row>
    <row r="912" spans="2:15" ht="15.75" customHeight="1" x14ac:dyDescent="0.35">
      <c r="B912" s="355"/>
      <c r="E912" s="356"/>
      <c r="O912" s="355"/>
    </row>
    <row r="913" spans="2:15" ht="15.75" customHeight="1" x14ac:dyDescent="0.35">
      <c r="B913" s="355"/>
      <c r="E913" s="356"/>
      <c r="O913" s="355"/>
    </row>
    <row r="914" spans="2:15" ht="15.75" customHeight="1" x14ac:dyDescent="0.35">
      <c r="B914" s="355"/>
      <c r="E914" s="356"/>
      <c r="O914" s="355"/>
    </row>
    <row r="915" spans="2:15" ht="15.75" customHeight="1" x14ac:dyDescent="0.35">
      <c r="B915" s="355"/>
      <c r="E915" s="356"/>
      <c r="O915" s="355"/>
    </row>
    <row r="916" spans="2:15" ht="15.75" customHeight="1" x14ac:dyDescent="0.35">
      <c r="B916" s="355"/>
      <c r="E916" s="356"/>
      <c r="O916" s="355"/>
    </row>
    <row r="917" spans="2:15" ht="15.75" customHeight="1" x14ac:dyDescent="0.35">
      <c r="B917" s="355"/>
      <c r="E917" s="356"/>
      <c r="O917" s="355"/>
    </row>
    <row r="918" spans="2:15" ht="15.75" customHeight="1" x14ac:dyDescent="0.35">
      <c r="B918" s="355"/>
      <c r="E918" s="356"/>
      <c r="O918" s="355"/>
    </row>
    <row r="919" spans="2:15" ht="15.75" customHeight="1" x14ac:dyDescent="0.35">
      <c r="B919" s="355"/>
      <c r="E919" s="356"/>
      <c r="O919" s="355"/>
    </row>
    <row r="920" spans="2:15" ht="15.75" customHeight="1" x14ac:dyDescent="0.35">
      <c r="B920" s="355"/>
      <c r="E920" s="356"/>
      <c r="O920" s="355"/>
    </row>
    <row r="921" spans="2:15" ht="15.75" customHeight="1" x14ac:dyDescent="0.35">
      <c r="B921" s="355"/>
      <c r="E921" s="356"/>
      <c r="O921" s="355"/>
    </row>
    <row r="922" spans="2:15" ht="15.75" customHeight="1" x14ac:dyDescent="0.35">
      <c r="B922" s="355"/>
      <c r="E922" s="356"/>
      <c r="O922" s="355"/>
    </row>
    <row r="923" spans="2:15" ht="15.75" customHeight="1" x14ac:dyDescent="0.35">
      <c r="B923" s="355"/>
      <c r="E923" s="356"/>
      <c r="O923" s="355"/>
    </row>
    <row r="924" spans="2:15" ht="15.75" customHeight="1" x14ac:dyDescent="0.35">
      <c r="B924" s="355"/>
      <c r="E924" s="356"/>
      <c r="O924" s="355"/>
    </row>
    <row r="925" spans="2:15" ht="15.75" customHeight="1" x14ac:dyDescent="0.35">
      <c r="B925" s="355"/>
      <c r="E925" s="356"/>
      <c r="O925" s="355"/>
    </row>
    <row r="926" spans="2:15" ht="15.75" customHeight="1" x14ac:dyDescent="0.35">
      <c r="B926" s="355"/>
      <c r="E926" s="356"/>
      <c r="O926" s="355"/>
    </row>
    <row r="927" spans="2:15" ht="15.75" customHeight="1" x14ac:dyDescent="0.35">
      <c r="B927" s="355"/>
      <c r="E927" s="356"/>
      <c r="O927" s="355"/>
    </row>
    <row r="928" spans="2:15" ht="15.75" customHeight="1" x14ac:dyDescent="0.35">
      <c r="B928" s="355"/>
      <c r="E928" s="356"/>
      <c r="O928" s="355"/>
    </row>
    <row r="929" spans="2:15" ht="15.75" customHeight="1" x14ac:dyDescent="0.35">
      <c r="B929" s="355"/>
      <c r="E929" s="356"/>
      <c r="O929" s="355"/>
    </row>
    <row r="930" spans="2:15" ht="15.75" customHeight="1" x14ac:dyDescent="0.35">
      <c r="B930" s="355"/>
      <c r="E930" s="356"/>
      <c r="O930" s="355"/>
    </row>
    <row r="931" spans="2:15" ht="15.75" customHeight="1" x14ac:dyDescent="0.35">
      <c r="B931" s="355"/>
      <c r="E931" s="356"/>
      <c r="O931" s="355"/>
    </row>
    <row r="932" spans="2:15" ht="15.75" customHeight="1" x14ac:dyDescent="0.35">
      <c r="B932" s="355"/>
      <c r="E932" s="356"/>
      <c r="O932" s="355"/>
    </row>
    <row r="933" spans="2:15" ht="15.75" customHeight="1" x14ac:dyDescent="0.35">
      <c r="B933" s="355"/>
      <c r="E933" s="356"/>
      <c r="O933" s="355"/>
    </row>
    <row r="934" spans="2:15" ht="15.75" customHeight="1" x14ac:dyDescent="0.35">
      <c r="B934" s="355"/>
      <c r="E934" s="356"/>
      <c r="O934" s="355"/>
    </row>
    <row r="935" spans="2:15" ht="15.75" customHeight="1" x14ac:dyDescent="0.35">
      <c r="B935" s="355"/>
      <c r="E935" s="356"/>
      <c r="O935" s="355"/>
    </row>
    <row r="936" spans="2:15" ht="15.75" customHeight="1" x14ac:dyDescent="0.35">
      <c r="B936" s="355"/>
      <c r="E936" s="356"/>
      <c r="O936" s="355"/>
    </row>
    <row r="937" spans="2:15" ht="15.75" customHeight="1" x14ac:dyDescent="0.35">
      <c r="B937" s="355"/>
      <c r="E937" s="356"/>
      <c r="O937" s="355"/>
    </row>
    <row r="938" spans="2:15" ht="15.75" customHeight="1" x14ac:dyDescent="0.35">
      <c r="B938" s="355"/>
      <c r="E938" s="356"/>
      <c r="O938" s="355"/>
    </row>
    <row r="939" spans="2:15" ht="15.75" customHeight="1" x14ac:dyDescent="0.35">
      <c r="B939" s="355"/>
      <c r="E939" s="356"/>
      <c r="O939" s="355"/>
    </row>
    <row r="940" spans="2:15" ht="15.75" customHeight="1" x14ac:dyDescent="0.35">
      <c r="B940" s="355"/>
      <c r="E940" s="356"/>
      <c r="O940" s="355"/>
    </row>
    <row r="941" spans="2:15" ht="15.75" customHeight="1" x14ac:dyDescent="0.35">
      <c r="B941" s="355"/>
      <c r="E941" s="356"/>
      <c r="O941" s="355"/>
    </row>
    <row r="942" spans="2:15" ht="15.75" customHeight="1" x14ac:dyDescent="0.35">
      <c r="B942" s="355"/>
      <c r="E942" s="356"/>
      <c r="O942" s="355"/>
    </row>
    <row r="943" spans="2:15" ht="15.75" customHeight="1" x14ac:dyDescent="0.35">
      <c r="B943" s="355"/>
      <c r="E943" s="356"/>
      <c r="O943" s="355"/>
    </row>
    <row r="944" spans="2:15" ht="15.75" customHeight="1" x14ac:dyDescent="0.35">
      <c r="B944" s="355"/>
      <c r="E944" s="356"/>
      <c r="O944" s="355"/>
    </row>
    <row r="945" spans="2:15" ht="15.75" customHeight="1" x14ac:dyDescent="0.35">
      <c r="B945" s="355"/>
      <c r="E945" s="356"/>
      <c r="O945" s="355"/>
    </row>
    <row r="946" spans="2:15" ht="15.75" customHeight="1" x14ac:dyDescent="0.35">
      <c r="B946" s="355"/>
      <c r="E946" s="356"/>
      <c r="O946" s="355"/>
    </row>
    <row r="947" spans="2:15" ht="15.75" customHeight="1" x14ac:dyDescent="0.35">
      <c r="B947" s="355"/>
      <c r="E947" s="356"/>
      <c r="O947" s="355"/>
    </row>
    <row r="948" spans="2:15" ht="15.75" customHeight="1" x14ac:dyDescent="0.35">
      <c r="B948" s="355"/>
      <c r="E948" s="356"/>
      <c r="O948" s="355"/>
    </row>
    <row r="949" spans="2:15" ht="15.75" customHeight="1" x14ac:dyDescent="0.35">
      <c r="B949" s="355"/>
      <c r="E949" s="356"/>
      <c r="O949" s="355"/>
    </row>
    <row r="950" spans="2:15" ht="15.75" customHeight="1" x14ac:dyDescent="0.35">
      <c r="B950" s="355"/>
      <c r="E950" s="356"/>
      <c r="O950" s="355"/>
    </row>
    <row r="951" spans="2:15" ht="15.75" customHeight="1" x14ac:dyDescent="0.35">
      <c r="B951" s="355"/>
      <c r="E951" s="356"/>
      <c r="O951" s="355"/>
    </row>
    <row r="952" spans="2:15" ht="15.75" customHeight="1" x14ac:dyDescent="0.35">
      <c r="B952" s="355"/>
      <c r="E952" s="356"/>
      <c r="O952" s="355"/>
    </row>
    <row r="953" spans="2:15" ht="15.75" customHeight="1" x14ac:dyDescent="0.35">
      <c r="B953" s="355"/>
      <c r="E953" s="356"/>
      <c r="O953" s="355"/>
    </row>
    <row r="954" spans="2:15" ht="15.75" customHeight="1" x14ac:dyDescent="0.35">
      <c r="B954" s="355"/>
      <c r="E954" s="356"/>
      <c r="O954" s="355"/>
    </row>
    <row r="955" spans="2:15" ht="15.75" customHeight="1" x14ac:dyDescent="0.35">
      <c r="B955" s="355"/>
      <c r="E955" s="356"/>
      <c r="O955" s="355"/>
    </row>
    <row r="956" spans="2:15" ht="15.75" customHeight="1" x14ac:dyDescent="0.35">
      <c r="B956" s="355"/>
      <c r="E956" s="356"/>
      <c r="O956" s="355"/>
    </row>
    <row r="957" spans="2:15" ht="15.75" customHeight="1" x14ac:dyDescent="0.35">
      <c r="B957" s="355"/>
      <c r="E957" s="356"/>
      <c r="O957" s="355"/>
    </row>
    <row r="958" spans="2:15" ht="15.75" customHeight="1" x14ac:dyDescent="0.35">
      <c r="B958" s="355"/>
      <c r="E958" s="356"/>
      <c r="O958" s="355"/>
    </row>
    <row r="959" spans="2:15" ht="15.75" customHeight="1" x14ac:dyDescent="0.35">
      <c r="B959" s="355"/>
      <c r="E959" s="356"/>
      <c r="O959" s="355"/>
    </row>
    <row r="960" spans="2:15" ht="15.75" customHeight="1" x14ac:dyDescent="0.35">
      <c r="B960" s="355"/>
      <c r="E960" s="356"/>
      <c r="O960" s="355"/>
    </row>
    <row r="961" spans="2:15" ht="15.75" customHeight="1" x14ac:dyDescent="0.35">
      <c r="B961" s="355"/>
      <c r="E961" s="356"/>
      <c r="O961" s="355"/>
    </row>
    <row r="962" spans="2:15" ht="15.75" customHeight="1" x14ac:dyDescent="0.35">
      <c r="B962" s="355"/>
      <c r="E962" s="356"/>
      <c r="O962" s="355"/>
    </row>
    <row r="963" spans="2:15" ht="15.75" customHeight="1" x14ac:dyDescent="0.35">
      <c r="B963" s="355"/>
      <c r="E963" s="356"/>
      <c r="O963" s="355"/>
    </row>
    <row r="964" spans="2:15" ht="15.75" customHeight="1" x14ac:dyDescent="0.35">
      <c r="B964" s="355"/>
      <c r="E964" s="356"/>
      <c r="O964" s="355"/>
    </row>
    <row r="965" spans="2:15" ht="15.75" customHeight="1" x14ac:dyDescent="0.35">
      <c r="B965" s="355"/>
      <c r="E965" s="356"/>
      <c r="O965" s="355"/>
    </row>
    <row r="966" spans="2:15" ht="15.75" customHeight="1" x14ac:dyDescent="0.35">
      <c r="B966" s="355"/>
      <c r="E966" s="356"/>
      <c r="O966" s="355"/>
    </row>
    <row r="967" spans="2:15" ht="15.75" customHeight="1" x14ac:dyDescent="0.35">
      <c r="B967" s="355"/>
      <c r="E967" s="356"/>
      <c r="O967" s="355"/>
    </row>
    <row r="968" spans="2:15" ht="15.75" customHeight="1" x14ac:dyDescent="0.35">
      <c r="B968" s="355"/>
      <c r="E968" s="356"/>
      <c r="O968" s="355"/>
    </row>
    <row r="969" spans="2:15" ht="15.75" customHeight="1" x14ac:dyDescent="0.35">
      <c r="B969" s="355"/>
      <c r="E969" s="356"/>
      <c r="O969" s="355"/>
    </row>
    <row r="970" spans="2:15" ht="15.75" customHeight="1" x14ac:dyDescent="0.35">
      <c r="B970" s="355"/>
      <c r="E970" s="356"/>
      <c r="O970" s="355"/>
    </row>
    <row r="971" spans="2:15" ht="15.75" customHeight="1" x14ac:dyDescent="0.35">
      <c r="B971" s="355"/>
      <c r="E971" s="356"/>
      <c r="O971" s="355"/>
    </row>
    <row r="972" spans="2:15" ht="15.75" customHeight="1" x14ac:dyDescent="0.35">
      <c r="B972" s="355"/>
      <c r="E972" s="356"/>
      <c r="O972" s="355"/>
    </row>
    <row r="973" spans="2:15" ht="15.75" customHeight="1" x14ac:dyDescent="0.35">
      <c r="B973" s="355"/>
      <c r="E973" s="356"/>
      <c r="O973" s="355"/>
    </row>
    <row r="974" spans="2:15" ht="15.75" customHeight="1" x14ac:dyDescent="0.35">
      <c r="B974" s="355"/>
      <c r="E974" s="356"/>
      <c r="O974" s="355"/>
    </row>
    <row r="975" spans="2:15" ht="15.75" customHeight="1" x14ac:dyDescent="0.35">
      <c r="B975" s="355"/>
      <c r="E975" s="356"/>
      <c r="O975" s="355"/>
    </row>
    <row r="976" spans="2:15" ht="15.75" customHeight="1" x14ac:dyDescent="0.35">
      <c r="B976" s="355"/>
      <c r="E976" s="356"/>
      <c r="O976" s="355"/>
    </row>
    <row r="977" spans="2:15" ht="15.75" customHeight="1" x14ac:dyDescent="0.35">
      <c r="B977" s="355"/>
      <c r="E977" s="356"/>
      <c r="O977" s="355"/>
    </row>
    <row r="978" spans="2:15" ht="15.75" customHeight="1" x14ac:dyDescent="0.35">
      <c r="B978" s="355"/>
      <c r="E978" s="356"/>
      <c r="O978" s="355"/>
    </row>
    <row r="979" spans="2:15" ht="15.75" customHeight="1" x14ac:dyDescent="0.35">
      <c r="B979" s="355"/>
      <c r="E979" s="356"/>
      <c r="O979" s="355"/>
    </row>
    <row r="980" spans="2:15" ht="15.75" customHeight="1" x14ac:dyDescent="0.35">
      <c r="B980" s="355"/>
      <c r="E980" s="356"/>
      <c r="O980" s="355"/>
    </row>
    <row r="981" spans="2:15" ht="15.75" customHeight="1" x14ac:dyDescent="0.35">
      <c r="B981" s="355"/>
      <c r="E981" s="356"/>
      <c r="O981" s="355"/>
    </row>
    <row r="982" spans="2:15" ht="15.75" customHeight="1" x14ac:dyDescent="0.35">
      <c r="B982" s="355"/>
      <c r="E982" s="356"/>
      <c r="O982" s="355"/>
    </row>
    <row r="983" spans="2:15" ht="15.75" customHeight="1" x14ac:dyDescent="0.35">
      <c r="B983" s="355"/>
      <c r="E983" s="356"/>
      <c r="O983" s="355"/>
    </row>
    <row r="984" spans="2:15" ht="15.75" customHeight="1" x14ac:dyDescent="0.35">
      <c r="B984" s="355"/>
      <c r="E984" s="356"/>
      <c r="O984" s="355"/>
    </row>
  </sheetData>
  <hyperlinks>
    <hyperlink ref="I175" r:id="rId1" xr:uid="{00000000-0004-0000-0000-000000000000}"/>
    <hyperlink ref="I196" r:id="rId2" xr:uid="{00000000-0004-0000-0000-000001000000}"/>
    <hyperlink ref="I197" r:id="rId3" xr:uid="{00000000-0004-0000-0000-000002000000}"/>
    <hyperlink ref="I337" r:id="rId4" xr:uid="{00000000-0004-0000-00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2025-03-28T19:08:22Z</dcterms:modified>
</cp:coreProperties>
</file>