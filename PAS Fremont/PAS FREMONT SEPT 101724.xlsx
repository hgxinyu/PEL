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0FA63795-5C63-43A9-B8CE-562DD06B8C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oaMwXVnvPS2c//qtxg5DHCQA6ZdOSdLU617vEI503c="/>
    </ext>
  </extLst>
</workbook>
</file>

<file path=xl/calcChain.xml><?xml version="1.0" encoding="utf-8"?>
<calcChain xmlns="http://schemas.openxmlformats.org/spreadsheetml/2006/main">
  <c r="U3" i="2" l="1"/>
  <c r="W4" i="2"/>
  <c r="W3" i="2"/>
  <c r="V3" i="2"/>
  <c r="T3" i="2"/>
  <c r="S3" i="2"/>
  <c r="AB3" i="2"/>
  <c r="R3" i="2"/>
  <c r="Z3" i="2"/>
  <c r="C3" i="2"/>
  <c r="W2" i="2"/>
  <c r="V2" i="2"/>
  <c r="V4" i="2"/>
  <c r="U2" i="2"/>
  <c r="U4" i="2"/>
  <c r="T2" i="2"/>
  <c r="T4" i="2"/>
  <c r="S2" i="2"/>
  <c r="AB2" i="2"/>
  <c r="R2" i="2"/>
  <c r="Z2" i="2"/>
  <c r="Z4" i="2"/>
  <c r="M2" i="2"/>
  <c r="C2" i="2"/>
  <c r="M1" i="2"/>
  <c r="C54" i="1"/>
  <c r="D13" i="1"/>
  <c r="E13" i="1"/>
  <c r="C44" i="1"/>
  <c r="C50" i="1"/>
  <c r="C43" i="1"/>
  <c r="C49" i="1"/>
  <c r="C55" i="1"/>
  <c r="D9" i="1"/>
  <c r="L42" i="1"/>
  <c r="I42" i="1"/>
  <c r="C52" i="1"/>
  <c r="L41" i="1"/>
  <c r="C53" i="1"/>
  <c r="D12" i="1"/>
  <c r="E12" i="1"/>
  <c r="I41" i="1"/>
  <c r="C51" i="1"/>
  <c r="A31" i="1"/>
  <c r="A30" i="1"/>
  <c r="A29" i="1"/>
  <c r="A28" i="1"/>
  <c r="A27" i="1"/>
  <c r="A26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E15" i="1"/>
  <c r="A15" i="1"/>
  <c r="D14" i="1"/>
  <c r="E14" i="1"/>
  <c r="C14" i="1"/>
  <c r="A14" i="1"/>
  <c r="A13" i="1"/>
  <c r="A12" i="1"/>
  <c r="D11" i="1"/>
  <c r="E11" i="1"/>
  <c r="A11" i="1"/>
  <c r="A10" i="1"/>
  <c r="A9" i="1"/>
  <c r="E16" i="1"/>
  <c r="E26" i="1"/>
  <c r="E31" i="1"/>
  <c r="E17" i="1"/>
  <c r="C56" i="1"/>
  <c r="X3" i="2"/>
  <c r="Y3" i="2"/>
  <c r="R4" i="2"/>
  <c r="D16" i="1"/>
  <c r="D44" i="1"/>
  <c r="D17" i="1"/>
  <c r="X2" i="2"/>
  <c r="S4" i="2"/>
  <c r="Y2" i="2"/>
  <c r="D56" i="1"/>
  <c r="D10" i="1"/>
  <c r="Y4" i="2"/>
  <c r="X4" i="2"/>
  <c r="S5" i="2"/>
</calcChain>
</file>

<file path=xl/sharedStrings.xml><?xml version="1.0" encoding="utf-8"?>
<sst xmlns="http://schemas.openxmlformats.org/spreadsheetml/2006/main" count="2397" uniqueCount="753">
  <si>
    <t>Report P</t>
  </si>
  <si>
    <t>Due by: 10/1/24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</si>
  <si>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</si>
  <si>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</si>
  <si>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</si>
  <si>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</si>
  <si>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</si>
  <si>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</si>
  <si>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</si>
  <si>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</si>
  <si>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</si>
  <si>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</si>
  <si>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</si>
  <si>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</si>
  <si>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</si>
  <si>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</si>
  <si>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</si>
  <si>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</si>
  <si>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</si>
  <si>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</si>
  <si>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</si>
  <si>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</si>
  <si>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</si>
  <si>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</si>
  <si>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</si>
  <si>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</si>
  <si>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</si>
  <si>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</si>
  <si>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LATE REPORTING (6X 8/30/24)</t>
  </si>
  <si>
    <t>Balance from prior mth</t>
  </si>
  <si>
    <t>Less: Pymt received</t>
  </si>
  <si>
    <t>Total due this mth (to be deducted via et on or after 10/10/24)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</si>
  <si>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</si>
  <si>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</si>
  <si>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</si>
  <si>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</si>
  <si>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</si>
  <si>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</si>
  <si>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</si>
  <si>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</si>
  <si>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</si>
  <si>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</si>
  <si>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</si>
  <si>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</si>
  <si>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</si>
  <si>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</si>
  <si>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</si>
  <si>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</si>
  <si>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</si>
  <si>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</si>
  <si>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</si>
  <si>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</si>
  <si>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</si>
  <si>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</si>
  <si>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</si>
  <si>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</si>
  <si>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</si>
  <si>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</si>
  <si>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</si>
  <si>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</si>
  <si>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</si>
  <si>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</si>
  <si>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</si>
  <si>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</si>
  <si>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</si>
  <si>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</si>
  <si>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</si>
  <si>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</si>
  <si>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</si>
  <si>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</si>
  <si>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</si>
  <si>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</si>
  <si>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</si>
  <si>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</si>
  <si>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</si>
  <si>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</si>
  <si>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</si>
  <si>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</si>
  <si>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</si>
  <si>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</si>
  <si>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</si>
  <si>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eo</t>
  </si>
  <si>
    <t>Report S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</si>
  <si>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</si>
  <si>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</si>
  <si>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</si>
  <si>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</si>
  <si>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</si>
  <si>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</si>
  <si>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</si>
  <si>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</si>
  <si>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</si>
  <si>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</si>
  <si>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</si>
  <si>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</si>
  <si>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</si>
  <si>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</si>
  <si>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</si>
  <si>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</si>
  <si>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</si>
  <si>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</si>
  <si>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current PEL Wks Level</t>
  </si>
  <si>
    <t xml:space="preserve">current PEL WKS No. </t>
  </si>
  <si>
    <t>Notes</t>
  </si>
  <si>
    <t>Code                  (C, N, A, R)</t>
  </si>
  <si>
    <t>Mth Absent</t>
  </si>
  <si>
    <t>Bhatti</t>
  </si>
  <si>
    <t>Aria</t>
  </si>
  <si>
    <t>6/12/2014</t>
  </si>
  <si>
    <t>48016 leontine ctFremontCA94539</t>
  </si>
  <si>
    <t>Vaishali221@gmail.com</t>
  </si>
  <si>
    <t>7/23/2024</t>
  </si>
  <si>
    <t>MG10</t>
  </si>
  <si>
    <t>46P</t>
  </si>
  <si>
    <t>Cai</t>
  </si>
  <si>
    <t>Ethan</t>
  </si>
  <si>
    <t>10/16/2013</t>
  </si>
  <si>
    <t>136 Gamma Grass terFremontCA94539</t>
  </si>
  <si>
    <t>zoelulu9898@gmail.com</t>
  </si>
  <si>
    <t>7/22/2024</t>
  </si>
  <si>
    <t>MG8</t>
  </si>
  <si>
    <t>11P</t>
  </si>
  <si>
    <t>EG5</t>
  </si>
  <si>
    <t>Chen</t>
  </si>
  <si>
    <t>Kaylee</t>
  </si>
  <si>
    <t>K</t>
  </si>
  <si>
    <t>11/25/2017</t>
  </si>
  <si>
    <t>473 Craycroft DrFremontCA94539</t>
  </si>
  <si>
    <t>victor_chen82@yahoo.com</t>
  </si>
  <si>
    <t>8/16/2024</t>
  </si>
  <si>
    <t>EG1B</t>
  </si>
  <si>
    <t>MG6</t>
  </si>
  <si>
    <t>31P</t>
  </si>
  <si>
    <t>CHENG</t>
  </si>
  <si>
    <t>PHOEBE</t>
  </si>
  <si>
    <t>6/2/2017</t>
  </si>
  <si>
    <t>46710 crawford St</t>
  </si>
  <si>
    <t>nancyw0602@gmail.com</t>
  </si>
  <si>
    <t>06/1/2024</t>
  </si>
  <si>
    <t xml:space="preserve">EG1 </t>
  </si>
  <si>
    <t>76P</t>
  </si>
  <si>
    <t>36P</t>
  </si>
  <si>
    <t>2nd subject</t>
  </si>
  <si>
    <t>Chow</t>
  </si>
  <si>
    <t>Aileen</t>
  </si>
  <si>
    <t>10/10/2014</t>
  </si>
  <si>
    <t>506 Bristle Grass TerraceFremontCA94539</t>
  </si>
  <si>
    <t>ginah.kid@gmail.com</t>
  </si>
  <si>
    <t>8/21/2024</t>
  </si>
  <si>
    <t>81P</t>
  </si>
  <si>
    <t>MG9</t>
  </si>
  <si>
    <t>61P</t>
  </si>
  <si>
    <t>DUTIA</t>
  </si>
  <si>
    <t>MANAY</t>
  </si>
  <si>
    <t>k</t>
  </si>
  <si>
    <t>12/26/2018</t>
  </si>
  <si>
    <t>3848 Advancement Ter, Unit 1000</t>
  </si>
  <si>
    <t>Jinal.jani@gmail.com</t>
  </si>
  <si>
    <t>06/27/2024</t>
  </si>
  <si>
    <t>EK1</t>
  </si>
  <si>
    <t>96P</t>
  </si>
  <si>
    <t>MK4</t>
  </si>
  <si>
    <t>68P</t>
  </si>
  <si>
    <t>Fan</t>
  </si>
  <si>
    <t>Angela</t>
  </si>
  <si>
    <t>295 Fusteria Ct., Fremont, CA</t>
  </si>
  <si>
    <t>fwentao@gmail.com</t>
  </si>
  <si>
    <t>EG8</t>
  </si>
  <si>
    <t>65P</t>
  </si>
  <si>
    <t>MG11</t>
  </si>
  <si>
    <t>1P</t>
  </si>
  <si>
    <t>2nd</t>
  </si>
  <si>
    <t>Ge</t>
  </si>
  <si>
    <t>Grace</t>
  </si>
  <si>
    <t>404 Bent Grass Ter, Fremont, CA</t>
  </si>
  <si>
    <t>qige81@gmail.com</t>
  </si>
  <si>
    <t>EG7</t>
  </si>
  <si>
    <t>101P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</si>
  <si>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</si>
  <si>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</si>
  <si>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</si>
  <si>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</si>
  <si>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</si>
  <si>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</si>
  <si>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EG4</t>
  </si>
  <si>
    <t>41P</t>
  </si>
  <si>
    <t>will quit in Oct. too far</t>
  </si>
  <si>
    <t>Hsieh</t>
  </si>
  <si>
    <t>Lawrence</t>
  </si>
  <si>
    <t>PK</t>
  </si>
  <si>
    <t>50 ESMERELDA FALLS TERRACE, Fremont, CA</t>
  </si>
  <si>
    <t>songjinglan@hotmail.com</t>
  </si>
  <si>
    <t>EG1</t>
  </si>
  <si>
    <t>14P</t>
  </si>
  <si>
    <t>90P</t>
  </si>
  <si>
    <t>HSIEH</t>
  </si>
  <si>
    <t>MELODY</t>
  </si>
  <si>
    <t>TK</t>
  </si>
  <si>
    <t>1/1/2019</t>
  </si>
  <si>
    <t>50 ESMERELDA FALLS TERRACE</t>
  </si>
  <si>
    <t>06/7/2024</t>
  </si>
  <si>
    <t>MK3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</si>
  <si>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</si>
  <si>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</si>
  <si>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</si>
  <si>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</si>
  <si>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</si>
  <si>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</si>
  <si>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EK2</t>
  </si>
  <si>
    <t>21P</t>
  </si>
  <si>
    <t>MG3</t>
  </si>
  <si>
    <t>Ji</t>
  </si>
  <si>
    <t>Claire</t>
  </si>
  <si>
    <t>47632 Zunic Dr, Fremont</t>
  </si>
  <si>
    <t>zf426@hotmail.com</t>
  </si>
  <si>
    <t>EH2</t>
  </si>
  <si>
    <t>26P</t>
  </si>
  <si>
    <t>Li</t>
  </si>
  <si>
    <t>Eli</t>
  </si>
  <si>
    <t>7/3/2020</t>
  </si>
  <si>
    <t>5431 shattuck aveFremontCA94555</t>
  </si>
  <si>
    <t>yoyomaidongxi@gmail.com</t>
  </si>
  <si>
    <t>19P</t>
  </si>
  <si>
    <t>Ian</t>
  </si>
  <si>
    <t>12/5/2017</t>
  </si>
  <si>
    <t>EK3</t>
  </si>
  <si>
    <t>86P</t>
  </si>
  <si>
    <t>Lin</t>
  </si>
  <si>
    <t>Sasha</t>
  </si>
  <si>
    <t>660 Navajo Way Fremont, CA</t>
  </si>
  <si>
    <t>ryamamoto5196@gmail.com</t>
  </si>
  <si>
    <t>EG3</t>
  </si>
  <si>
    <t>66P</t>
  </si>
  <si>
    <t xml:space="preserve">back in Aug. </t>
  </si>
  <si>
    <t>MG5</t>
  </si>
  <si>
    <t>LIN</t>
  </si>
  <si>
    <t>YUENING</t>
  </si>
  <si>
    <t>6/24/2018</t>
  </si>
  <si>
    <t>44908 Wisdom rd</t>
  </si>
  <si>
    <t>flora.qu@compass.com</t>
  </si>
  <si>
    <t>06/05/2024</t>
  </si>
  <si>
    <t>53P</t>
  </si>
  <si>
    <t>Liu</t>
  </si>
  <si>
    <t xml:space="preserve">Alysia </t>
  </si>
  <si>
    <t>47074 Palo Amarillo Dr, , Fremont, CA</t>
  </si>
  <si>
    <t>danlirealty@gmail.com</t>
  </si>
  <si>
    <t>71P</t>
  </si>
  <si>
    <t>liu</t>
  </si>
  <si>
    <t>Evan</t>
  </si>
  <si>
    <t>5/21/2016</t>
  </si>
  <si>
    <t>5480 borgia roadFremontCA94538</t>
  </si>
  <si>
    <t>liusheng188888@gmail.com</t>
  </si>
  <si>
    <t>Helena</t>
  </si>
  <si>
    <t>455 Tonopah Drive, Fremont</t>
  </si>
  <si>
    <t>xyanglove@gmail.com</t>
  </si>
  <si>
    <t>EG10</t>
  </si>
  <si>
    <t>56P</t>
  </si>
  <si>
    <t>Jeremy</t>
  </si>
  <si>
    <t>MH1</t>
  </si>
  <si>
    <t>55P</t>
  </si>
  <si>
    <t>EM1</t>
  </si>
  <si>
    <t>Louis</t>
  </si>
  <si>
    <t>47342 Mission falls ct, Fremont 94539</t>
  </si>
  <si>
    <t>leehomc123@gmail.com</t>
  </si>
  <si>
    <t>MM1</t>
  </si>
  <si>
    <t>91P</t>
  </si>
  <si>
    <t>Olivia</t>
  </si>
  <si>
    <t>EG6</t>
  </si>
  <si>
    <t>Mekala</t>
  </si>
  <si>
    <t>Prahan</t>
  </si>
  <si>
    <t>7/16/2019</t>
  </si>
  <si>
    <t>285 hackamore cmnfremontCA94539</t>
  </si>
  <si>
    <t>prashanthreddykm@gmail.com</t>
  </si>
  <si>
    <t>8/23/2024</t>
  </si>
  <si>
    <t>35P</t>
  </si>
  <si>
    <t>NERUKAR</t>
  </si>
  <si>
    <t>MEERA</t>
  </si>
  <si>
    <t>4/16/2018</t>
  </si>
  <si>
    <t>48432 Silva Pomar Ter</t>
  </si>
  <si>
    <t>ameyavnerurkar@gmail.com</t>
  </si>
  <si>
    <t>06/18/2024</t>
  </si>
  <si>
    <t>will add Math soon</t>
  </si>
  <si>
    <t>NGUYEN</t>
  </si>
  <si>
    <t>RICKY</t>
  </si>
  <si>
    <t>434 Curtner Dr, milpitas</t>
  </si>
  <si>
    <t>bichngocqn84@yahoo.com</t>
  </si>
  <si>
    <t>EG2</t>
  </si>
  <si>
    <t>106P</t>
  </si>
  <si>
    <t>RUBY</t>
  </si>
  <si>
    <t>Niu</t>
  </si>
  <si>
    <t>3871 Vanguard Cmn 1001, Fremont, CA, 94538</t>
  </si>
  <si>
    <t>nkniuchao@gmail.com</t>
  </si>
  <si>
    <t>EK5</t>
  </si>
  <si>
    <t>Patil</t>
  </si>
  <si>
    <t>Anvika</t>
  </si>
  <si>
    <t>4/1/2019</t>
  </si>
  <si>
    <t>3511 Vision Cmn Unit 1004FremontCA94538</t>
  </si>
  <si>
    <t>jeetenpatil@gmail.com</t>
  </si>
  <si>
    <t>MG2</t>
  </si>
  <si>
    <t>Krishank</t>
  </si>
  <si>
    <t>4/5/2018</t>
  </si>
  <si>
    <t>375 Starlite WayFremontCA94539</t>
  </si>
  <si>
    <t>vaishali.khatale@gmail.com</t>
  </si>
  <si>
    <t>8/20/2024</t>
  </si>
  <si>
    <t>MG1</t>
  </si>
  <si>
    <t>Pei</t>
  </si>
  <si>
    <t>Amy</t>
  </si>
  <si>
    <t>4503 longview ter</t>
  </si>
  <si>
    <t>otto28082008@gmail.com</t>
  </si>
  <si>
    <t xml:space="preserve">will add math in Aug. </t>
  </si>
  <si>
    <t>Poon</t>
  </si>
  <si>
    <t>Elliott</t>
  </si>
  <si>
    <t>3508 innovation way unit 201</t>
  </si>
  <si>
    <t>soomeo@gmail.com</t>
  </si>
  <si>
    <t xml:space="preserve">will quit in Sep. </t>
  </si>
  <si>
    <t>Sharma</t>
  </si>
  <si>
    <t>Shanaya</t>
  </si>
  <si>
    <t>4075 Michael ave, Fremont, CA, 94538</t>
  </si>
  <si>
    <t>shashanksharma83@gmail.com</t>
  </si>
  <si>
    <t>Sheth</t>
  </si>
  <si>
    <t>Moksh</t>
  </si>
  <si>
    <t>6/22/2015</t>
  </si>
  <si>
    <t>527 Palo Verde CmnsFremontCA94539</t>
  </si>
  <si>
    <t>shethju@gmail.com</t>
  </si>
  <si>
    <t>16P</t>
  </si>
  <si>
    <t xml:space="preserve">will quit in Oct. </t>
  </si>
  <si>
    <t>Singh</t>
  </si>
  <si>
    <t>Atharva</t>
  </si>
  <si>
    <t>4269 Delaware Dr, Fremont, CA, 94538</t>
  </si>
  <si>
    <t>kameshwar2004@gmail.com</t>
  </si>
  <si>
    <t>Shivansh</t>
  </si>
  <si>
    <t>30 Washington Square</t>
  </si>
  <si>
    <t>aks.bitsg@gmail.com</t>
  </si>
  <si>
    <t xml:space="preserve">travel back in Aug. </t>
  </si>
  <si>
    <t>78P</t>
  </si>
  <si>
    <t>SureshKumar</t>
  </si>
  <si>
    <t>KeertiSri</t>
  </si>
  <si>
    <t>12/8/2013</t>
  </si>
  <si>
    <t>37327 Lantana Cmn</t>
  </si>
  <si>
    <t>suresh.ucce@gmail.com</t>
  </si>
  <si>
    <t>06/02/2024</t>
  </si>
  <si>
    <t>61p</t>
  </si>
  <si>
    <t xml:space="preserve">Tan </t>
  </si>
  <si>
    <t xml:space="preserve">Jayden </t>
  </si>
  <si>
    <t>48404 Ursa Dr, , Fremont, CA</t>
  </si>
  <si>
    <t>mingao168@yahoo.com</t>
  </si>
  <si>
    <t>25P</t>
  </si>
  <si>
    <t>MM2</t>
  </si>
  <si>
    <t>Tang</t>
  </si>
  <si>
    <t>Aiden</t>
  </si>
  <si>
    <t>44642 Gabrielino Way, Fremont, CA, 94539</t>
  </si>
  <si>
    <t>etang@pacbell.net</t>
  </si>
  <si>
    <t>8/30/2024</t>
  </si>
  <si>
    <t>Vaddiraju</t>
  </si>
  <si>
    <t>Sahasra</t>
  </si>
  <si>
    <t>4/4/2017</t>
  </si>
  <si>
    <t>49062 Tickle Grass TerrFremontCA94539</t>
  </si>
  <si>
    <t>vaddirajs@yahoo.com</t>
  </si>
  <si>
    <t>8/19/2024</t>
  </si>
  <si>
    <t>45P</t>
  </si>
  <si>
    <t>from Milpitas</t>
  </si>
  <si>
    <t>Wan</t>
  </si>
  <si>
    <t>Fang</t>
  </si>
  <si>
    <t>10/2/2017</t>
  </si>
  <si>
    <t>40930 Fairmont Ter</t>
  </si>
  <si>
    <t>shuichen17@gmail.com</t>
  </si>
  <si>
    <t>EG2B</t>
  </si>
  <si>
    <t>51P</t>
  </si>
  <si>
    <t>WAN</t>
  </si>
  <si>
    <t>YUAN</t>
  </si>
  <si>
    <t>Wang</t>
  </si>
  <si>
    <t>Chloe</t>
  </si>
  <si>
    <t>5630 central pkwy</t>
  </si>
  <si>
    <t>469 268 9535</t>
  </si>
  <si>
    <t>wenwen179505@gmail.com</t>
  </si>
  <si>
    <t>10p</t>
  </si>
  <si>
    <t>20p</t>
  </si>
  <si>
    <t>Eric</t>
  </si>
  <si>
    <t>5/1/2015</t>
  </si>
  <si>
    <t>251 Bunch Grass TerFremontCA94539</t>
  </si>
  <si>
    <t>mail.liang.wang@gmail.com</t>
  </si>
  <si>
    <t>8/1/2024</t>
  </si>
  <si>
    <t>58P</t>
  </si>
  <si>
    <t>38P</t>
  </si>
  <si>
    <t>1326 Nelson Way</t>
  </si>
  <si>
    <t>lianzhigu5@gmail.com</t>
  </si>
  <si>
    <t>6P</t>
  </si>
  <si>
    <t>MG7</t>
  </si>
  <si>
    <t>79P</t>
  </si>
  <si>
    <t>Jason</t>
  </si>
  <si>
    <t>4/28/2015</t>
  </si>
  <si>
    <t>350 Phantom Falls CMNFremontCA94539</t>
  </si>
  <si>
    <t>haimingw24@gmail.com</t>
  </si>
  <si>
    <t>Vera</t>
  </si>
  <si>
    <t>1/1/2017</t>
  </si>
  <si>
    <t>Xin</t>
  </si>
  <si>
    <t>3/28/2017</t>
  </si>
  <si>
    <t>47260 Havasu StreetFremontCA94539</t>
  </si>
  <si>
    <t>xixirain@gmail.com</t>
  </si>
  <si>
    <t>William</t>
  </si>
  <si>
    <t>Xu</t>
  </si>
  <si>
    <t>Leo</t>
  </si>
  <si>
    <t>7/31/2017</t>
  </si>
  <si>
    <t>235 Lippert AveFremontCA94539</t>
  </si>
  <si>
    <t>bjunzhang@gmail.com</t>
  </si>
  <si>
    <t>Timothy</t>
  </si>
  <si>
    <t>3/14/2015</t>
  </si>
  <si>
    <t>EG9</t>
  </si>
  <si>
    <t>Yuan</t>
  </si>
  <si>
    <t>Carson</t>
  </si>
  <si>
    <t>4/30/2015</t>
  </si>
  <si>
    <t>47522 Fortner StreetFREMONTCA94539</t>
  </si>
  <si>
    <t>zhoujiewu@gmail.com</t>
  </si>
  <si>
    <t xml:space="preserve">will add math in Oct. </t>
  </si>
  <si>
    <t>Patrick</t>
  </si>
  <si>
    <t>Zhang</t>
  </si>
  <si>
    <t>Jasmine</t>
  </si>
  <si>
    <t xml:space="preserve">44 Essanay Ave , Fremont, CA </t>
  </si>
  <si>
    <t>jiazi3303@gmail.com</t>
  </si>
  <si>
    <t>44P</t>
  </si>
  <si>
    <t>ZHANG</t>
  </si>
  <si>
    <t>YUCHENG</t>
  </si>
  <si>
    <t>2/15/2018</t>
  </si>
  <si>
    <t>43295 Bush ct</t>
  </si>
  <si>
    <t>cathyzou10@outlook.com</t>
  </si>
  <si>
    <t>Zhao</t>
  </si>
  <si>
    <t>4/5/2015</t>
  </si>
  <si>
    <t>382 Wheat Grass TerFremontCA94539</t>
  </si>
  <si>
    <t>screwyterror83@gmail.com</t>
  </si>
  <si>
    <t>CHEUNG</t>
  </si>
  <si>
    <t>ALEXIAS</t>
  </si>
  <si>
    <t>10/24/2011</t>
  </si>
  <si>
    <t>321 Barton Dr.</t>
  </si>
  <si>
    <t>510-331-3330</t>
  </si>
  <si>
    <t>minmin118@gmail.com</t>
  </si>
  <si>
    <t>60p</t>
  </si>
  <si>
    <t xml:space="preserve">back in Sep. </t>
  </si>
  <si>
    <t>Jayden</t>
  </si>
  <si>
    <t>1/5/2009</t>
  </si>
  <si>
    <t>Du</t>
  </si>
  <si>
    <t>Jeffrey</t>
  </si>
  <si>
    <t>2190 Cuesta Dr, Milpitas CA</t>
  </si>
  <si>
    <t>tingnaxu1120@gmail.com</t>
  </si>
  <si>
    <t>Terina</t>
  </si>
  <si>
    <t>2190 Cuesta Dr, Milpitas, CA, 95035</t>
  </si>
  <si>
    <t>15P</t>
  </si>
  <si>
    <t>MG4</t>
  </si>
  <si>
    <t>Held</t>
  </si>
  <si>
    <t>Michael</t>
  </si>
  <si>
    <t>Warm Spring, Fremont,CA</t>
  </si>
  <si>
    <t>Zhuxi@hotmail.com</t>
  </si>
  <si>
    <t>110P</t>
  </si>
  <si>
    <t>Shelley</t>
  </si>
  <si>
    <t>1499 Piedmont Rd, San Jose, CA</t>
  </si>
  <si>
    <t>rannie_chen@hotmail.com</t>
  </si>
  <si>
    <t>Jasper</t>
  </si>
  <si>
    <t>455 Tonopah Drive, Fremont, CA</t>
  </si>
  <si>
    <t>Charlene</t>
  </si>
  <si>
    <t>46 Eagle Green, Fremont, CA</t>
  </si>
  <si>
    <t>bettyguan1990@gmail.com</t>
  </si>
  <si>
    <t>Golla</t>
  </si>
  <si>
    <t>Kanishk</t>
  </si>
  <si>
    <t>48943 Air fern common</t>
  </si>
  <si>
    <t>harish.golla@gmail.com</t>
  </si>
  <si>
    <t xml:space="preserve">harish.golla@gmail.com
</t>
  </si>
  <si>
    <t>LingQun(Joy)</t>
  </si>
  <si>
    <t>44930 Lynx Dr., Fremont, CA, 94539</t>
  </si>
  <si>
    <t>jie9ding18@gmail.com</t>
  </si>
  <si>
    <t>80p</t>
  </si>
  <si>
    <t xml:space="preserve">Travel, be back in Sep. </t>
  </si>
  <si>
    <t>Quit List</t>
  </si>
  <si>
    <t>Joanna</t>
  </si>
  <si>
    <t>Cao</t>
  </si>
  <si>
    <t>201 Starlite Way, Fremont 94539</t>
  </si>
  <si>
    <t>phyllis.yuen@gmail.com</t>
  </si>
  <si>
    <t>back in Aug</t>
  </si>
  <si>
    <t>Chang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</si>
  <si>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</si>
  <si>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</si>
  <si>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</si>
  <si>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</si>
  <si>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</si>
  <si>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</si>
  <si>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</si>
  <si>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</si>
  <si>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</si>
  <si>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</si>
  <si>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</si>
  <si>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</si>
  <si>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</si>
  <si>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</si>
  <si>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</si>
  <si>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</si>
  <si>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</si>
  <si>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</si>
  <si>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</si>
  <si>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</si>
  <si>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</si>
  <si>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</si>
  <si>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</si>
  <si>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</si>
  <si>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</si>
  <si>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</si>
  <si>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</si>
  <si>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</si>
  <si>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</si>
  <si>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</si>
  <si>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</si>
  <si>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</si>
  <si>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</si>
  <si>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</si>
  <si>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</si>
  <si>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</si>
  <si>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</si>
  <si>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</si>
  <si>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</si>
  <si>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it’s a duplicate</t>
  </si>
  <si>
    <t>Crystal</t>
  </si>
  <si>
    <t>2982 Verna Dr, San Jose 95133</t>
  </si>
  <si>
    <t>wenyechen@yahoo.com</t>
  </si>
  <si>
    <t>left in Aug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</si>
  <si>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</si>
  <si>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</si>
  <si>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</si>
  <si>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</si>
  <si>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</si>
  <si>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</si>
  <si>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</si>
  <si>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</si>
  <si>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</si>
  <si>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</si>
  <si>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</si>
  <si>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</si>
  <si>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</si>
  <si>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</si>
  <si>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</si>
  <si>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</si>
  <si>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</si>
  <si>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</si>
  <si>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</si>
  <si>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</si>
  <si>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</si>
  <si>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</si>
  <si>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</si>
  <si>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</si>
  <si>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</si>
  <si>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</si>
  <si>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</si>
  <si>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</si>
  <si>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</si>
  <si>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</si>
  <si>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</si>
  <si>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</si>
  <si>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</si>
  <si>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</si>
  <si>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382 Wheat Grass Ter, Fremont, CA 94539</t>
  </si>
  <si>
    <t xml:space="preserve">Feng </t>
  </si>
  <si>
    <t xml:space="preserve">Samuel </t>
  </si>
  <si>
    <t>4601 Margery Drive, , Fremont, CA</t>
  </si>
  <si>
    <t>Shirleylinge@gmail.com</t>
  </si>
  <si>
    <t>focus on English first</t>
  </si>
  <si>
    <t>Su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</si>
  <si>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</si>
  <si>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</si>
  <si>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</si>
  <si>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</si>
  <si>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</si>
  <si>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</si>
  <si>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</si>
  <si>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</si>
  <si>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</si>
  <si>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</si>
  <si>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</si>
  <si>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</si>
  <si>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</si>
  <si>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</si>
  <si>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</si>
  <si>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</si>
  <si>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</si>
  <si>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</si>
  <si>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</si>
  <si>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</si>
  <si>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</si>
  <si>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</si>
  <si>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</si>
  <si>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</si>
  <si>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</si>
  <si>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</si>
  <si>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</si>
  <si>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</si>
  <si>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</si>
  <si>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</si>
  <si>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</si>
  <si>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</si>
  <si>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</si>
  <si>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</si>
  <si>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</si>
  <si>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</si>
  <si>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</si>
  <si>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</si>
  <si>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</si>
  <si>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</si>
  <si>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</si>
  <si>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</si>
  <si>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</si>
  <si>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</si>
  <si>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</si>
  <si>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</si>
  <si>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</si>
  <si>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</si>
  <si>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</si>
  <si>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</si>
  <si>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</si>
  <si>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</si>
  <si>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</si>
  <si>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</si>
  <si>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</si>
  <si>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</si>
  <si>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</si>
  <si>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</si>
  <si>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</si>
  <si>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</si>
  <si>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</si>
  <si>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</si>
  <si>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</si>
  <si>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</si>
  <si>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</si>
  <si>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</si>
  <si>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</si>
  <si>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</si>
  <si>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</si>
  <si>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</si>
  <si>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</si>
  <si>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</si>
  <si>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</si>
  <si>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</si>
  <si>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Tang 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</si>
  <si>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</si>
  <si>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</si>
  <si>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</si>
  <si>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</si>
  <si>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</si>
  <si>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</si>
  <si>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</si>
  <si>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</si>
  <si>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</si>
  <si>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</si>
  <si>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</si>
  <si>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</si>
  <si>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</si>
  <si>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</si>
  <si>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</si>
  <si>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</si>
  <si>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</si>
  <si>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</si>
  <si>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</si>
  <si>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</si>
  <si>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</si>
  <si>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</si>
  <si>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</si>
  <si>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</si>
  <si>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</si>
  <si>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</si>
  <si>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</si>
  <si>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</si>
  <si>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</si>
  <si>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</si>
  <si>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</si>
  <si>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</si>
  <si>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47260 Havasu Street</t>
  </si>
  <si>
    <t>will be back in Aug. add English</t>
  </si>
  <si>
    <t>5480 borgia road, Fremont, CA 94539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</si>
  <si>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</si>
  <si>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</si>
  <si>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</si>
  <si>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</si>
  <si>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</si>
  <si>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</si>
  <si>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</si>
  <si>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</si>
  <si>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</si>
  <si>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</si>
  <si>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172 Chama Way</t>
  </si>
  <si>
    <t>732-491-6636</t>
  </si>
  <si>
    <t>linshu8518@gmail.com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</si>
  <si>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</si>
  <si>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</si>
  <si>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</si>
  <si>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</si>
  <si>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</si>
  <si>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</si>
  <si>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</si>
  <si>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</si>
  <si>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</si>
  <si>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</si>
  <si>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</si>
  <si>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</si>
  <si>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Matthew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</si>
  <si>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</si>
  <si>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</si>
  <si>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</si>
  <si>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</si>
  <si>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</si>
  <si>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</si>
  <si>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</si>
  <si>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</si>
  <si>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</si>
  <si>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</si>
  <si>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</si>
  <si>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</si>
  <si>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</si>
  <si>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</si>
  <si>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</si>
  <si>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</si>
  <si>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</si>
  <si>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</si>
  <si>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</si>
  <si>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</si>
  <si>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</si>
  <si>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</si>
  <si>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</si>
  <si>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</si>
  <si>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</si>
  <si>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</si>
  <si>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</si>
  <si>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</si>
  <si>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</si>
  <si>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</si>
  <si>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</si>
  <si>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</si>
  <si>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Taluna</t>
  </si>
  <si>
    <t>46912 Bodie Ter, Fremont, CA</t>
  </si>
  <si>
    <t>zhchni@hotmail.com</t>
  </si>
  <si>
    <t>will be absent in July</t>
  </si>
  <si>
    <t>KELLY</t>
  </si>
  <si>
    <t>10/1/2012</t>
  </si>
  <si>
    <t>1750 Lundy Ave</t>
  </si>
  <si>
    <t>cube@ymail.com</t>
  </si>
  <si>
    <t>6/3/2024</t>
  </si>
  <si>
    <t>06/24/2024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</si>
  <si>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</si>
  <si>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</si>
  <si>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</si>
  <si>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</si>
  <si>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</si>
  <si>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</si>
  <si>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</si>
  <si>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>ZHOU</t>
  </si>
  <si>
    <t>OLIVIA</t>
  </si>
  <si>
    <t>8/20/2013</t>
  </si>
  <si>
    <t>45897 Bridgeport pl</t>
  </si>
  <si>
    <t>whil2005@gmail.com</t>
  </si>
  <si>
    <t>06/03/2024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</si>
</sst>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4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b/>
      <sz val="11"/>
      <color theme="1"/>
      <name val="Century Gothic"/>
      <family val="2"/>
    </font>
    <font>
      <u/>
      <sz val="11"/>
      <color rgb="FF0000FF"/>
      <name val="Century Gothic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Docs-Calibri"/>
    </font>
    <font>
      <sz val="11"/>
      <color rgb="FF006100"/>
      <name val="Century Gothic"/>
      <family val="2"/>
    </font>
    <font>
      <sz val="11"/>
      <color rgb="FF006100"/>
      <name val="Calibri"/>
      <family val="2"/>
    </font>
    <font>
      <sz val="11"/>
      <color rgb="FF333333"/>
      <name val="&quot;Open Sans&quot;"/>
    </font>
    <font>
      <b/>
      <sz val="11"/>
      <color rgb="FF006100"/>
      <name val="Century Gothic"/>
      <family val="2"/>
    </font>
    <font>
      <sz val="11"/>
      <color rgb="FF006100"/>
      <name val="&quot;docs-Century Gothic&quot;"/>
    </font>
    <font>
      <b/>
      <sz val="11"/>
      <color rgb="FF006100"/>
      <name val="Calibri"/>
      <family val="2"/>
    </font>
    <font>
      <u/>
      <sz val="11"/>
      <color rgb="FF0000FF"/>
      <name val="Century Gothic"/>
      <family val="2"/>
    </font>
  </fonts>
  <fills count="19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DEDEDE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/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/>
    </xf>
    <xf numFmtId="14" fontId="12" fillId="0" borderId="17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0" fontId="4" fillId="0" borderId="5" xfId="0" applyFont="1" applyBorder="1"/>
    <xf numFmtId="0" fontId="4" fillId="0" borderId="5" xfId="0" applyFont="1" applyBorder="1" applyAlignment="1">
      <alignment horizontal="right"/>
    </xf>
    <xf numFmtId="14" fontId="4" fillId="0" borderId="5" xfId="0" applyNumberFormat="1" applyFont="1" applyBorder="1"/>
    <xf numFmtId="0" fontId="12" fillId="10" borderId="5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left"/>
    </xf>
    <xf numFmtId="0" fontId="12" fillId="10" borderId="5" xfId="0" applyFont="1" applyFill="1" applyBorder="1" applyAlignment="1">
      <alignment horizontal="center"/>
    </xf>
    <xf numFmtId="14" fontId="12" fillId="10" borderId="5" xfId="0" applyNumberFormat="1" applyFont="1" applyFill="1" applyBorder="1" applyAlignment="1">
      <alignment horizontal="left"/>
    </xf>
    <xf numFmtId="0" fontId="12" fillId="10" borderId="5" xfId="0" applyFont="1" applyFill="1" applyBorder="1"/>
    <xf numFmtId="0" fontId="12" fillId="10" borderId="5" xfId="0" applyFont="1" applyFill="1" applyBorder="1" applyAlignment="1">
      <alignment horizontal="right"/>
    </xf>
    <xf numFmtId="14" fontId="12" fillId="10" borderId="5" xfId="0" applyNumberFormat="1" applyFont="1" applyFill="1" applyBorder="1"/>
    <xf numFmtId="0" fontId="12" fillId="10" borderId="0" xfId="0" applyFont="1" applyFill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14" fontId="4" fillId="0" borderId="5" xfId="0" applyNumberFormat="1" applyFont="1" applyBorder="1" applyAlignment="1">
      <alignment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left"/>
    </xf>
    <xf numFmtId="0" fontId="4" fillId="11" borderId="5" xfId="0" applyFont="1" applyFill="1" applyBorder="1" applyAlignment="1">
      <alignment horizontal="center"/>
    </xf>
    <xf numFmtId="14" fontId="4" fillId="11" borderId="5" xfId="0" applyNumberFormat="1" applyFont="1" applyFill="1" applyBorder="1" applyAlignment="1">
      <alignment horizontal="left"/>
    </xf>
    <xf numFmtId="0" fontId="4" fillId="11" borderId="5" xfId="0" applyFont="1" applyFill="1" applyBorder="1"/>
    <xf numFmtId="0" fontId="4" fillId="11" borderId="5" xfId="0" applyFont="1" applyFill="1" applyBorder="1" applyAlignment="1">
      <alignment horizontal="right"/>
    </xf>
    <xf numFmtId="14" fontId="4" fillId="11" borderId="5" xfId="0" applyNumberFormat="1" applyFont="1" applyFill="1" applyBorder="1"/>
    <xf numFmtId="0" fontId="4" fillId="11" borderId="0" xfId="0" applyFont="1" applyFill="1"/>
    <xf numFmtId="0" fontId="13" fillId="0" borderId="5" xfId="0" applyFont="1" applyBorder="1" applyAlignment="1">
      <alignment wrapText="1"/>
    </xf>
    <xf numFmtId="0" fontId="12" fillId="0" borderId="0" xfId="0" applyFont="1"/>
    <xf numFmtId="0" fontId="4" fillId="12" borderId="5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left" wrapText="1"/>
    </xf>
    <xf numFmtId="0" fontId="4" fillId="12" borderId="5" xfId="0" applyFont="1" applyFill="1" applyBorder="1" applyAlignment="1">
      <alignment horizontal="center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5" xfId="0" applyFont="1" applyFill="1" applyBorder="1" applyAlignment="1">
      <alignment wrapText="1"/>
    </xf>
    <xf numFmtId="0" fontId="4" fillId="12" borderId="5" xfId="0" applyFont="1" applyFill="1" applyBorder="1" applyAlignment="1">
      <alignment horizontal="right" wrapText="1"/>
    </xf>
    <xf numFmtId="0" fontId="4" fillId="12" borderId="5" xfId="0" applyFont="1" applyFill="1" applyBorder="1" applyAlignment="1">
      <alignment vertical="center" wrapText="1"/>
    </xf>
    <xf numFmtId="14" fontId="4" fillId="12" borderId="5" xfId="0" applyNumberFormat="1" applyFont="1" applyFill="1" applyBorder="1" applyAlignment="1">
      <alignment wrapText="1"/>
    </xf>
    <xf numFmtId="0" fontId="4" fillId="12" borderId="0" xfId="0" applyFont="1" applyFill="1"/>
    <xf numFmtId="0" fontId="4" fillId="12" borderId="5" xfId="0" applyFont="1" applyFill="1" applyBorder="1" applyAlignment="1">
      <alignment horizontal="left"/>
    </xf>
    <xf numFmtId="0" fontId="4" fillId="12" borderId="5" xfId="0" applyFont="1" applyFill="1" applyBorder="1" applyAlignment="1">
      <alignment horizontal="center"/>
    </xf>
    <xf numFmtId="14" fontId="4" fillId="12" borderId="5" xfId="0" applyNumberFormat="1" applyFont="1" applyFill="1" applyBorder="1" applyAlignment="1">
      <alignment horizontal="left"/>
    </xf>
    <xf numFmtId="0" fontId="4" fillId="12" borderId="5" xfId="0" applyFont="1" applyFill="1" applyBorder="1"/>
    <xf numFmtId="0" fontId="4" fillId="12" borderId="5" xfId="0" applyFont="1" applyFill="1" applyBorder="1" applyAlignment="1">
      <alignment horizontal="right"/>
    </xf>
    <xf numFmtId="14" fontId="4" fillId="12" borderId="5" xfId="0" applyNumberFormat="1" applyFont="1" applyFill="1" applyBorder="1"/>
    <xf numFmtId="0" fontId="12" fillId="12" borderId="0" xfId="0" applyFont="1" applyFill="1"/>
    <xf numFmtId="0" fontId="4" fillId="13" borderId="5" xfId="0" applyFont="1" applyFill="1" applyBorder="1" applyAlignment="1">
      <alignment horizontal="center"/>
    </xf>
    <xf numFmtId="0" fontId="4" fillId="13" borderId="5" xfId="0" applyFont="1" applyFill="1" applyBorder="1"/>
    <xf numFmtId="14" fontId="4" fillId="13" borderId="5" xfId="0" applyNumberFormat="1" applyFont="1" applyFill="1" applyBorder="1" applyAlignment="1">
      <alignment horizontal="left"/>
    </xf>
    <xf numFmtId="0" fontId="4" fillId="13" borderId="5" xfId="0" applyFont="1" applyFill="1" applyBorder="1" applyAlignment="1">
      <alignment horizontal="right"/>
    </xf>
    <xf numFmtId="14" fontId="4" fillId="13" borderId="5" xfId="0" applyNumberFormat="1" applyFont="1" applyFill="1" applyBorder="1"/>
    <xf numFmtId="0" fontId="4" fillId="13" borderId="5" xfId="0" applyFont="1" applyFill="1" applyBorder="1" applyAlignment="1">
      <alignment horizontal="center" vertical="center" wrapText="1"/>
    </xf>
    <xf numFmtId="0" fontId="14" fillId="13" borderId="0" xfId="0" applyFont="1" applyFill="1"/>
    <xf numFmtId="0" fontId="12" fillId="13" borderId="5" xfId="0" applyFont="1" applyFill="1" applyBorder="1" applyAlignment="1">
      <alignment horizontal="center"/>
    </xf>
    <xf numFmtId="0" fontId="12" fillId="13" borderId="5" xfId="0" applyFont="1" applyFill="1" applyBorder="1"/>
    <xf numFmtId="14" fontId="12" fillId="13" borderId="5" xfId="0" applyNumberFormat="1" applyFont="1" applyFill="1" applyBorder="1" applyAlignment="1">
      <alignment horizontal="left"/>
    </xf>
    <xf numFmtId="0" fontId="12" fillId="13" borderId="5" xfId="0" applyFont="1" applyFill="1" applyBorder="1" applyAlignment="1">
      <alignment horizontal="right"/>
    </xf>
    <xf numFmtId="14" fontId="12" fillId="13" borderId="5" xfId="0" applyNumberFormat="1" applyFont="1" applyFill="1" applyBorder="1"/>
    <xf numFmtId="0" fontId="12" fillId="13" borderId="5" xfId="0" applyFont="1" applyFill="1" applyBorder="1" applyAlignment="1">
      <alignment horizontal="center" vertical="center" wrapText="1"/>
    </xf>
    <xf numFmtId="0" fontId="15" fillId="13" borderId="0" xfId="0" applyFont="1" applyFill="1"/>
    <xf numFmtId="0" fontId="14" fillId="13" borderId="5" xfId="0" applyFont="1" applyFill="1" applyBorder="1" applyAlignment="1">
      <alignment horizontal="center"/>
    </xf>
    <xf numFmtId="0" fontId="14" fillId="13" borderId="5" xfId="0" applyFont="1" applyFill="1" applyBorder="1"/>
    <xf numFmtId="14" fontId="14" fillId="13" borderId="5" xfId="0" applyNumberFormat="1" applyFont="1" applyFill="1" applyBorder="1" applyAlignment="1">
      <alignment horizontal="left"/>
    </xf>
    <xf numFmtId="0" fontId="15" fillId="13" borderId="5" xfId="0" applyFont="1" applyFill="1" applyBorder="1" applyAlignment="1">
      <alignment horizontal="center"/>
    </xf>
    <xf numFmtId="0" fontId="15" fillId="13" borderId="5" xfId="0" applyFont="1" applyFill="1" applyBorder="1"/>
    <xf numFmtId="14" fontId="15" fillId="13" borderId="5" xfId="0" applyNumberFormat="1" applyFont="1" applyFill="1" applyBorder="1" applyAlignment="1">
      <alignment horizontal="left"/>
    </xf>
    <xf numFmtId="0" fontId="14" fillId="13" borderId="5" xfId="0" applyFont="1" applyFill="1" applyBorder="1" applyAlignment="1">
      <alignment horizontal="left"/>
    </xf>
    <xf numFmtId="0" fontId="14" fillId="13" borderId="5" xfId="0" applyFont="1" applyFill="1" applyBorder="1" applyAlignment="1">
      <alignment horizontal="right"/>
    </xf>
    <xf numFmtId="14" fontId="14" fillId="13" borderId="5" xfId="0" applyNumberFormat="1" applyFont="1" applyFill="1" applyBorder="1"/>
    <xf numFmtId="14" fontId="16" fillId="13" borderId="0" xfId="0" applyNumberFormat="1" applyFont="1" applyFill="1" applyAlignment="1">
      <alignment horizontal="left"/>
    </xf>
    <xf numFmtId="0" fontId="16" fillId="13" borderId="0" xfId="0" applyFont="1" applyFill="1" applyAlignment="1">
      <alignment horizontal="left"/>
    </xf>
    <xf numFmtId="0" fontId="15" fillId="13" borderId="5" xfId="0" applyFont="1" applyFill="1" applyBorder="1" applyAlignment="1">
      <alignment horizontal="right"/>
    </xf>
    <xf numFmtId="14" fontId="15" fillId="13" borderId="5" xfId="0" applyNumberFormat="1" applyFont="1" applyFill="1" applyBorder="1"/>
    <xf numFmtId="0" fontId="17" fillId="14" borderId="5" xfId="0" applyFont="1" applyFill="1" applyBorder="1" applyAlignment="1">
      <alignment horizontal="center" vertical="center" wrapText="1"/>
    </xf>
    <xf numFmtId="0" fontId="17" fillId="14" borderId="5" xfId="0" applyFont="1" applyFill="1" applyBorder="1" applyAlignment="1">
      <alignment horizontal="left"/>
    </xf>
    <xf numFmtId="0" fontId="17" fillId="14" borderId="5" xfId="0" applyFont="1" applyFill="1" applyBorder="1" applyAlignment="1">
      <alignment horizontal="center"/>
    </xf>
    <xf numFmtId="14" fontId="17" fillId="14" borderId="5" xfId="0" applyNumberFormat="1" applyFont="1" applyFill="1" applyBorder="1" applyAlignment="1">
      <alignment horizontal="left"/>
    </xf>
    <xf numFmtId="0" fontId="17" fillId="14" borderId="5" xfId="0" applyFont="1" applyFill="1" applyBorder="1"/>
    <xf numFmtId="0" fontId="17" fillId="14" borderId="5" xfId="0" applyFont="1" applyFill="1" applyBorder="1" applyAlignment="1">
      <alignment horizontal="right"/>
    </xf>
    <xf numFmtId="14" fontId="17" fillId="14" borderId="5" xfId="0" applyNumberFormat="1" applyFont="1" applyFill="1" applyBorder="1" applyAlignment="1">
      <alignment horizontal="right"/>
    </xf>
    <xf numFmtId="0" fontId="4" fillId="14" borderId="5" xfId="0" applyFont="1" applyFill="1" applyBorder="1" applyAlignment="1">
      <alignment horizontal="center" vertical="center" wrapText="1"/>
    </xf>
    <xf numFmtId="14" fontId="17" fillId="14" borderId="5" xfId="0" applyNumberFormat="1" applyFont="1" applyFill="1" applyBorder="1"/>
    <xf numFmtId="0" fontId="18" fillId="14" borderId="18" xfId="0" applyFont="1" applyFill="1" applyBorder="1"/>
    <xf numFmtId="0" fontId="19" fillId="14" borderId="19" xfId="0" applyFont="1" applyFill="1" applyBorder="1" applyAlignment="1">
      <alignment horizontal="right"/>
    </xf>
    <xf numFmtId="0" fontId="20" fillId="14" borderId="5" xfId="0" applyFont="1" applyFill="1" applyBorder="1" applyAlignment="1">
      <alignment horizontal="center" vertical="center" wrapText="1"/>
    </xf>
    <xf numFmtId="0" fontId="20" fillId="14" borderId="5" xfId="0" applyFont="1" applyFill="1" applyBorder="1" applyAlignment="1">
      <alignment horizontal="left"/>
    </xf>
    <xf numFmtId="0" fontId="20" fillId="14" borderId="5" xfId="0" applyFont="1" applyFill="1" applyBorder="1" applyAlignment="1">
      <alignment horizontal="center"/>
    </xf>
    <xf numFmtId="14" fontId="20" fillId="14" borderId="5" xfId="0" applyNumberFormat="1" applyFont="1" applyFill="1" applyBorder="1" applyAlignment="1">
      <alignment horizontal="left"/>
    </xf>
    <xf numFmtId="0" fontId="21" fillId="14" borderId="0" xfId="0" applyFont="1" applyFill="1" applyAlignment="1">
      <alignment horizontal="left"/>
    </xf>
    <xf numFmtId="0" fontId="19" fillId="14" borderId="0" xfId="0" applyFont="1" applyFill="1" applyAlignment="1">
      <alignment horizontal="right"/>
    </xf>
    <xf numFmtId="0" fontId="20" fillId="14" borderId="5" xfId="0" applyFont="1" applyFill="1" applyBorder="1"/>
    <xf numFmtId="14" fontId="20" fillId="14" borderId="5" xfId="0" applyNumberFormat="1" applyFont="1" applyFill="1" applyBorder="1" applyAlignment="1">
      <alignment horizontal="right"/>
    </xf>
    <xf numFmtId="0" fontId="12" fillId="14" borderId="5" xfId="0" applyFont="1" applyFill="1" applyBorder="1" applyAlignment="1">
      <alignment horizontal="center" vertical="center" wrapText="1"/>
    </xf>
    <xf numFmtId="14" fontId="20" fillId="14" borderId="5" xfId="0" applyNumberFormat="1" applyFont="1" applyFill="1" applyBorder="1"/>
    <xf numFmtId="0" fontId="22" fillId="14" borderId="18" xfId="0" applyFont="1" applyFill="1" applyBorder="1"/>
    <xf numFmtId="0" fontId="17" fillId="13" borderId="5" xfId="0" applyFont="1" applyFill="1" applyBorder="1" applyAlignment="1">
      <alignment horizontal="center" vertical="center" wrapText="1"/>
    </xf>
    <xf numFmtId="0" fontId="17" fillId="13" borderId="5" xfId="0" applyFont="1" applyFill="1" applyBorder="1" applyAlignment="1">
      <alignment horizontal="left"/>
    </xf>
    <xf numFmtId="0" fontId="17" fillId="13" borderId="5" xfId="0" applyFont="1" applyFill="1" applyBorder="1" applyAlignment="1">
      <alignment horizontal="center"/>
    </xf>
    <xf numFmtId="14" fontId="17" fillId="13" borderId="5" xfId="0" applyNumberFormat="1" applyFont="1" applyFill="1" applyBorder="1" applyAlignment="1">
      <alignment horizontal="left"/>
    </xf>
    <xf numFmtId="0" fontId="17" fillId="13" borderId="5" xfId="0" applyFont="1" applyFill="1" applyBorder="1"/>
    <xf numFmtId="0" fontId="17" fillId="13" borderId="5" xfId="0" applyFont="1" applyFill="1" applyBorder="1" applyAlignment="1">
      <alignment horizontal="right"/>
    </xf>
    <xf numFmtId="14" fontId="17" fillId="13" borderId="5" xfId="0" applyNumberFormat="1" applyFont="1" applyFill="1" applyBorder="1" applyAlignment="1">
      <alignment horizontal="right"/>
    </xf>
    <xf numFmtId="14" fontId="17" fillId="13" borderId="5" xfId="0" applyNumberFormat="1" applyFont="1" applyFill="1" applyBorder="1"/>
    <xf numFmtId="0" fontId="18" fillId="13" borderId="18" xfId="0" applyFont="1" applyFill="1" applyBorder="1"/>
    <xf numFmtId="0" fontId="20" fillId="13" borderId="5" xfId="0" applyFont="1" applyFill="1" applyBorder="1" applyAlignment="1">
      <alignment horizontal="center" vertical="center" wrapText="1"/>
    </xf>
    <xf numFmtId="0" fontId="20" fillId="13" borderId="5" xfId="0" applyFont="1" applyFill="1" applyBorder="1" applyAlignment="1">
      <alignment horizontal="left"/>
    </xf>
    <xf numFmtId="0" fontId="20" fillId="13" borderId="5" xfId="0" applyFont="1" applyFill="1" applyBorder="1" applyAlignment="1">
      <alignment horizontal="center"/>
    </xf>
    <xf numFmtId="14" fontId="21" fillId="13" borderId="0" xfId="0" applyNumberFormat="1" applyFont="1" applyFill="1" applyAlignment="1">
      <alignment horizontal="left"/>
    </xf>
    <xf numFmtId="0" fontId="20" fillId="13" borderId="5" xfId="0" applyFont="1" applyFill="1" applyBorder="1"/>
    <xf numFmtId="0" fontId="20" fillId="13" borderId="5" xfId="0" applyFont="1" applyFill="1" applyBorder="1" applyAlignment="1">
      <alignment horizontal="right"/>
    </xf>
    <xf numFmtId="14" fontId="20" fillId="13" borderId="5" xfId="0" applyNumberFormat="1" applyFont="1" applyFill="1" applyBorder="1" applyAlignment="1">
      <alignment horizontal="right"/>
    </xf>
    <xf numFmtId="14" fontId="20" fillId="13" borderId="5" xfId="0" applyNumberFormat="1" applyFont="1" applyFill="1" applyBorder="1"/>
    <xf numFmtId="0" fontId="22" fillId="13" borderId="18" xfId="0" applyFont="1" applyFill="1" applyBorder="1"/>
    <xf numFmtId="0" fontId="4" fillId="13" borderId="5" xfId="0" applyFont="1" applyFill="1" applyBorder="1" applyAlignment="1">
      <alignment horizontal="left"/>
    </xf>
    <xf numFmtId="14" fontId="4" fillId="13" borderId="5" xfId="0" applyNumberFormat="1" applyFont="1" applyFill="1" applyBorder="1" applyAlignment="1">
      <alignment horizontal="right"/>
    </xf>
    <xf numFmtId="0" fontId="4" fillId="13" borderId="0" xfId="0" applyFont="1" applyFill="1"/>
    <xf numFmtId="0" fontId="12" fillId="13" borderId="5" xfId="0" applyFont="1" applyFill="1" applyBorder="1" applyAlignment="1">
      <alignment horizontal="left"/>
    </xf>
    <xf numFmtId="14" fontId="12" fillId="13" borderId="5" xfId="0" applyNumberFormat="1" applyFont="1" applyFill="1" applyBorder="1" applyAlignment="1">
      <alignment horizontal="right"/>
    </xf>
    <xf numFmtId="0" fontId="12" fillId="13" borderId="0" xfId="0" applyFont="1" applyFill="1"/>
    <xf numFmtId="0" fontId="17" fillId="15" borderId="5" xfId="0" applyFont="1" applyFill="1" applyBorder="1" applyAlignment="1">
      <alignment horizontal="center" vertical="center" wrapText="1"/>
    </xf>
    <xf numFmtId="0" fontId="17" fillId="15" borderId="5" xfId="0" applyFont="1" applyFill="1" applyBorder="1" applyAlignment="1">
      <alignment horizontal="left"/>
    </xf>
    <xf numFmtId="0" fontId="17" fillId="15" borderId="5" xfId="0" applyFont="1" applyFill="1" applyBorder="1" applyAlignment="1">
      <alignment horizontal="center"/>
    </xf>
    <xf numFmtId="14" fontId="17" fillId="15" borderId="5" xfId="0" applyNumberFormat="1" applyFont="1" applyFill="1" applyBorder="1" applyAlignment="1">
      <alignment horizontal="left"/>
    </xf>
    <xf numFmtId="0" fontId="17" fillId="15" borderId="5" xfId="0" applyFont="1" applyFill="1" applyBorder="1"/>
    <xf numFmtId="0" fontId="4" fillId="15" borderId="5" xfId="0" applyFont="1" applyFill="1" applyBorder="1" applyAlignment="1">
      <alignment horizontal="center" vertical="center" wrapText="1"/>
    </xf>
    <xf numFmtId="14" fontId="17" fillId="15" borderId="5" xfId="0" applyNumberFormat="1" applyFont="1" applyFill="1" applyBorder="1"/>
    <xf numFmtId="0" fontId="18" fillId="15" borderId="18" xfId="0" applyFont="1" applyFill="1" applyBorder="1"/>
    <xf numFmtId="0" fontId="12" fillId="0" borderId="5" xfId="0" applyFont="1" applyBorder="1" applyAlignment="1">
      <alignment horizontal="center" wrapText="1"/>
    </xf>
    <xf numFmtId="0" fontId="4" fillId="15" borderId="5" xfId="0" applyFont="1" applyFill="1" applyBorder="1" applyAlignment="1">
      <alignment horizontal="left" wrapText="1"/>
    </xf>
    <xf numFmtId="0" fontId="4" fillId="15" borderId="5" xfId="0" applyFont="1" applyFill="1" applyBorder="1" applyAlignment="1">
      <alignment horizontal="center" wrapText="1"/>
    </xf>
    <xf numFmtId="14" fontId="4" fillId="15" borderId="5" xfId="0" applyNumberFormat="1" applyFont="1" applyFill="1" applyBorder="1" applyAlignment="1">
      <alignment horizontal="left" wrapText="1"/>
    </xf>
    <xf numFmtId="0" fontId="4" fillId="15" borderId="5" xfId="0" applyFont="1" applyFill="1" applyBorder="1" applyAlignment="1">
      <alignment wrapText="1"/>
    </xf>
    <xf numFmtId="14" fontId="4" fillId="15" borderId="5" xfId="0" applyNumberFormat="1" applyFont="1" applyFill="1" applyBorder="1" applyAlignment="1">
      <alignment wrapText="1"/>
    </xf>
    <xf numFmtId="0" fontId="4" fillId="15" borderId="18" xfId="0" applyFont="1" applyFill="1" applyBorder="1"/>
    <xf numFmtId="0" fontId="3" fillId="15" borderId="18" xfId="0" applyFont="1" applyFill="1" applyBorder="1"/>
    <xf numFmtId="0" fontId="3" fillId="15" borderId="18" xfId="0" applyFont="1" applyFill="1" applyBorder="1" applyAlignment="1">
      <alignment horizontal="center" vertical="center"/>
    </xf>
    <xf numFmtId="0" fontId="3" fillId="15" borderId="18" xfId="0" applyFont="1" applyFill="1" applyBorder="1" applyAlignment="1">
      <alignment horizontal="left"/>
    </xf>
    <xf numFmtId="0" fontId="3" fillId="15" borderId="18" xfId="0" applyFont="1" applyFill="1" applyBorder="1" applyAlignment="1">
      <alignment horizontal="center"/>
    </xf>
    <xf numFmtId="14" fontId="3" fillId="15" borderId="18" xfId="0" applyNumberFormat="1" applyFont="1" applyFill="1" applyBorder="1"/>
    <xf numFmtId="0" fontId="1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12" borderId="20" xfId="0" applyFont="1" applyFill="1" applyBorder="1" applyAlignment="1">
      <alignment horizontal="center" wrapText="1"/>
    </xf>
    <xf numFmtId="0" fontId="4" fillId="12" borderId="21" xfId="0" applyFont="1" applyFill="1" applyBorder="1" applyAlignment="1">
      <alignment horizontal="center" vertical="center" wrapText="1"/>
    </xf>
    <xf numFmtId="0" fontId="4" fillId="12" borderId="21" xfId="0" applyFont="1" applyFill="1" applyBorder="1" applyAlignment="1">
      <alignment horizontal="left" wrapText="1"/>
    </xf>
    <xf numFmtId="0" fontId="4" fillId="12" borderId="21" xfId="0" applyFont="1" applyFill="1" applyBorder="1" applyAlignment="1">
      <alignment horizontal="center" wrapText="1"/>
    </xf>
    <xf numFmtId="14" fontId="4" fillId="12" borderId="21" xfId="0" applyNumberFormat="1" applyFont="1" applyFill="1" applyBorder="1" applyAlignment="1">
      <alignment horizontal="left" wrapText="1"/>
    </xf>
    <xf numFmtId="0" fontId="4" fillId="12" borderId="21" xfId="0" applyFont="1" applyFill="1" applyBorder="1" applyAlignment="1">
      <alignment wrapText="1"/>
    </xf>
    <xf numFmtId="14" fontId="4" fillId="12" borderId="21" xfId="0" applyNumberFormat="1" applyFont="1" applyFill="1" applyBorder="1" applyAlignment="1">
      <alignment wrapText="1"/>
    </xf>
    <xf numFmtId="0" fontId="4" fillId="12" borderId="22" xfId="0" applyFont="1" applyFill="1" applyBorder="1" applyAlignment="1">
      <alignment horizontal="center" wrapText="1"/>
    </xf>
    <xf numFmtId="0" fontId="4" fillId="12" borderId="23" xfId="0" applyFont="1" applyFill="1" applyBorder="1" applyAlignment="1">
      <alignment horizontal="center" vertical="center" wrapText="1"/>
    </xf>
    <xf numFmtId="0" fontId="4" fillId="12" borderId="23" xfId="0" applyFont="1" applyFill="1" applyBorder="1" applyAlignment="1">
      <alignment horizontal="left" wrapText="1"/>
    </xf>
    <xf numFmtId="0" fontId="4" fillId="12" borderId="23" xfId="0" applyFont="1" applyFill="1" applyBorder="1" applyAlignment="1">
      <alignment horizontal="center" wrapText="1"/>
    </xf>
    <xf numFmtId="14" fontId="4" fillId="12" borderId="23" xfId="0" applyNumberFormat="1" applyFont="1" applyFill="1" applyBorder="1" applyAlignment="1">
      <alignment horizontal="left" wrapText="1"/>
    </xf>
    <xf numFmtId="0" fontId="4" fillId="12" borderId="23" xfId="0" applyFont="1" applyFill="1" applyBorder="1" applyAlignment="1">
      <alignment wrapText="1"/>
    </xf>
    <xf numFmtId="0" fontId="4" fillId="16" borderId="22" xfId="0" applyFont="1" applyFill="1" applyBorder="1" applyAlignment="1">
      <alignment horizontal="center" wrapText="1"/>
    </xf>
    <xf numFmtId="0" fontId="4" fillId="16" borderId="23" xfId="0" applyFont="1" applyFill="1" applyBorder="1" applyAlignment="1">
      <alignment horizontal="center" vertical="center" wrapText="1"/>
    </xf>
    <xf numFmtId="0" fontId="4" fillId="16" borderId="23" xfId="0" applyFont="1" applyFill="1" applyBorder="1" applyAlignment="1">
      <alignment horizontal="left" wrapText="1"/>
    </xf>
    <xf numFmtId="0" fontId="4" fillId="16" borderId="23" xfId="0" applyFont="1" applyFill="1" applyBorder="1" applyAlignment="1">
      <alignment horizontal="center" wrapText="1"/>
    </xf>
    <xf numFmtId="14" fontId="4" fillId="16" borderId="23" xfId="0" applyNumberFormat="1" applyFont="1" applyFill="1" applyBorder="1" applyAlignment="1">
      <alignment horizontal="left" wrapText="1"/>
    </xf>
    <xf numFmtId="0" fontId="4" fillId="16" borderId="23" xfId="0" applyFont="1" applyFill="1" applyBorder="1" applyAlignment="1">
      <alignment wrapText="1"/>
    </xf>
    <xf numFmtId="14" fontId="4" fillId="16" borderId="21" xfId="0" applyNumberFormat="1" applyFont="1" applyFill="1" applyBorder="1" applyAlignment="1">
      <alignment wrapText="1"/>
    </xf>
    <xf numFmtId="0" fontId="4" fillId="16" borderId="18" xfId="0" applyFont="1" applyFill="1" applyBorder="1"/>
    <xf numFmtId="0" fontId="4" fillId="16" borderId="5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left" wrapText="1"/>
    </xf>
    <xf numFmtId="14" fontId="4" fillId="16" borderId="5" xfId="0" applyNumberFormat="1" applyFont="1" applyFill="1" applyBorder="1" applyAlignment="1">
      <alignment horizontal="left" wrapText="1"/>
    </xf>
    <xf numFmtId="0" fontId="4" fillId="16" borderId="5" xfId="0" applyFont="1" applyFill="1" applyBorder="1" applyAlignment="1">
      <alignment wrapText="1"/>
    </xf>
    <xf numFmtId="14" fontId="4" fillId="16" borderId="5" xfId="0" applyNumberFormat="1" applyFont="1" applyFill="1" applyBorder="1" applyAlignment="1">
      <alignment wrapText="1"/>
    </xf>
    <xf numFmtId="0" fontId="4" fillId="15" borderId="5" xfId="0" applyFont="1" applyFill="1" applyBorder="1" applyAlignment="1">
      <alignment horizontal="left" vertical="center" wrapText="1"/>
    </xf>
    <xf numFmtId="14" fontId="4" fillId="15" borderId="5" xfId="0" applyNumberFormat="1" applyFont="1" applyFill="1" applyBorder="1" applyAlignment="1">
      <alignment horizontal="left" vertical="center" wrapText="1"/>
    </xf>
    <xf numFmtId="0" fontId="4" fillId="15" borderId="5" xfId="0" applyFont="1" applyFill="1" applyBorder="1" applyAlignment="1">
      <alignment vertical="center" wrapText="1"/>
    </xf>
    <xf numFmtId="0" fontId="4" fillId="15" borderId="18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left"/>
    </xf>
    <xf numFmtId="0" fontId="4" fillId="8" borderId="5" xfId="0" applyFont="1" applyFill="1" applyBorder="1"/>
    <xf numFmtId="14" fontId="4" fillId="8" borderId="5" xfId="0" applyNumberFormat="1" applyFont="1" applyFill="1" applyBorder="1" applyAlignment="1">
      <alignment wrapText="1"/>
    </xf>
    <xf numFmtId="0" fontId="4" fillId="8" borderId="18" xfId="0" applyFont="1" applyFill="1" applyBorder="1"/>
    <xf numFmtId="0" fontId="4" fillId="8" borderId="5" xfId="0" applyFont="1" applyFill="1" applyBorder="1" applyAlignment="1">
      <alignment horizontal="left" wrapText="1"/>
    </xf>
    <xf numFmtId="14" fontId="4" fillId="8" borderId="5" xfId="0" applyNumberFormat="1" applyFont="1" applyFill="1" applyBorder="1" applyAlignment="1">
      <alignment horizontal="left" wrapText="1"/>
    </xf>
    <xf numFmtId="0" fontId="4" fillId="8" borderId="5" xfId="0" applyFont="1" applyFill="1" applyBorder="1" applyAlignment="1">
      <alignment wrapText="1"/>
    </xf>
    <xf numFmtId="0" fontId="4" fillId="8" borderId="5" xfId="0" applyFont="1" applyFill="1" applyBorder="1" applyAlignment="1">
      <alignment horizontal="left" vertical="center" wrapText="1"/>
    </xf>
    <xf numFmtId="0" fontId="4" fillId="12" borderId="5" xfId="0" applyFont="1" applyFill="1" applyBorder="1" applyAlignment="1">
      <alignment horizontal="center" vertical="center"/>
    </xf>
    <xf numFmtId="0" fontId="4" fillId="12" borderId="18" xfId="0" applyFont="1" applyFill="1" applyBorder="1"/>
    <xf numFmtId="0" fontId="4" fillId="0" borderId="5" xfId="0" applyFont="1" applyBorder="1" applyAlignment="1">
      <alignment horizontal="left" vertical="center" wrapText="1"/>
    </xf>
    <xf numFmtId="0" fontId="4" fillId="12" borderId="18" xfId="0" applyFont="1" applyFill="1" applyBorder="1" applyAlignment="1">
      <alignment horizontal="center" wrapText="1"/>
    </xf>
    <xf numFmtId="0" fontId="23" fillId="12" borderId="5" xfId="0" applyFont="1" applyFill="1" applyBorder="1" applyAlignment="1">
      <alignment wrapText="1"/>
    </xf>
    <xf numFmtId="0" fontId="4" fillId="11" borderId="5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left" vertical="center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wrapText="1"/>
    </xf>
    <xf numFmtId="0" fontId="4" fillId="11" borderId="5" xfId="0" applyFont="1" applyFill="1" applyBorder="1" applyAlignment="1">
      <alignment horizontal="left" wrapText="1"/>
    </xf>
    <xf numFmtId="0" fontId="4" fillId="11" borderId="18" xfId="0" applyFont="1" applyFill="1" applyBorder="1"/>
    <xf numFmtId="0" fontId="4" fillId="0" borderId="5" xfId="0" applyFont="1" applyBorder="1" applyAlignment="1">
      <alignment vertical="center" wrapText="1"/>
    </xf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left"/>
    </xf>
    <xf numFmtId="0" fontId="4" fillId="17" borderId="5" xfId="0" applyFon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left"/>
    </xf>
    <xf numFmtId="0" fontId="4" fillId="17" borderId="5" xfId="0" applyFont="1" applyFill="1" applyBorder="1"/>
    <xf numFmtId="0" fontId="4" fillId="17" borderId="5" xfId="0" applyFont="1" applyFill="1" applyBorder="1" applyAlignment="1">
      <alignment horizontal="center" vertical="center" wrapText="1"/>
    </xf>
    <xf numFmtId="14" fontId="4" fillId="17" borderId="5" xfId="0" applyNumberFormat="1" applyFont="1" applyFill="1" applyBorder="1"/>
    <xf numFmtId="0" fontId="4" fillId="17" borderId="5" xfId="0" applyFont="1" applyFill="1" applyBorder="1" applyAlignment="1">
      <alignment horizontal="left" wrapText="1"/>
    </xf>
    <xf numFmtId="14" fontId="4" fillId="17" borderId="5" xfId="0" applyNumberFormat="1" applyFont="1" applyFill="1" applyBorder="1" applyAlignment="1">
      <alignment horizontal="left" wrapText="1"/>
    </xf>
    <xf numFmtId="0" fontId="4" fillId="17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left"/>
    </xf>
    <xf numFmtId="0" fontId="4" fillId="16" borderId="5" xfId="0" applyFont="1" applyFill="1" applyBorder="1" applyAlignment="1">
      <alignment horizontal="center"/>
    </xf>
    <xf numFmtId="14" fontId="4" fillId="16" borderId="5" xfId="0" applyNumberFormat="1" applyFont="1" applyFill="1" applyBorder="1" applyAlignment="1">
      <alignment horizontal="left"/>
    </xf>
    <xf numFmtId="0" fontId="4" fillId="16" borderId="5" xfId="0" applyFont="1" applyFill="1" applyBorder="1"/>
    <xf numFmtId="14" fontId="4" fillId="16" borderId="5" xfId="0" applyNumberFormat="1" applyFont="1" applyFill="1" applyBorder="1"/>
    <xf numFmtId="0" fontId="4" fillId="8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0" fontId="4" fillId="13" borderId="5" xfId="0" applyFont="1" applyFill="1" applyBorder="1" applyAlignment="1">
      <alignment wrapText="1"/>
    </xf>
    <xf numFmtId="0" fontId="4" fillId="0" borderId="24" xfId="0" applyFont="1" applyBorder="1"/>
    <xf numFmtId="0" fontId="4" fillId="18" borderId="5" xfId="0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left"/>
    </xf>
    <xf numFmtId="0" fontId="4" fillId="18" borderId="5" xfId="0" applyFont="1" applyFill="1" applyBorder="1" applyAlignment="1">
      <alignment horizontal="center"/>
    </xf>
    <xf numFmtId="14" fontId="4" fillId="18" borderId="5" xfId="0" applyNumberFormat="1" applyFont="1" applyFill="1" applyBorder="1" applyAlignment="1">
      <alignment horizontal="left"/>
    </xf>
    <xf numFmtId="0" fontId="4" fillId="18" borderId="5" xfId="0" applyFont="1" applyFill="1" applyBorder="1"/>
    <xf numFmtId="14" fontId="4" fillId="18" borderId="5" xfId="0" applyNumberFormat="1" applyFont="1" applyFill="1" applyBorder="1"/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zf426@hot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janezh30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1" workbookViewId="0">
      <selection activeCell="E33" sqref="E33"/>
    </sheetView>
  </sheetViews>
  <sheetFormatPr defaultColWidth="14.453125" defaultRowHeight="15" customHeight="1"/>
  <cols>
    <col min="1" max="1" width="16.81640625" customWidth="1"/>
    <col min="2" max="2" width="65.81640625" customWidth="1"/>
    <col min="3" max="3" width="12.08984375" customWidth="1"/>
    <col min="4" max="4" width="10.453125" customWidth="1"/>
    <col min="5" max="6" width="15.45312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>
      <c r="A1" s="325" t="s">
        <v>0</v>
      </c>
      <c r="B1" s="326"/>
      <c r="C1" s="326"/>
      <c r="D1" s="326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45565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7">
        <f t="shared" ref="A9:A31" si="0">$F$3</f>
        <v>45565</v>
      </c>
      <c r="B9" s="18" t="s">
        <v>15</v>
      </c>
      <c r="C9" s="18"/>
      <c r="D9" s="19">
        <f t="shared" ref="D9:D10" si="1">C55</f>
        <v>47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7">
        <f t="shared" si="0"/>
        <v>45565</v>
      </c>
      <c r="B10" s="18" t="s">
        <v>16</v>
      </c>
      <c r="C10" s="18"/>
      <c r="D10" s="19">
        <f t="shared" si="1"/>
        <v>58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7">
        <f t="shared" si="0"/>
        <v>45565</v>
      </c>
      <c r="B11" s="18" t="s">
        <v>17</v>
      </c>
      <c r="C11" s="21">
        <v>25</v>
      </c>
      <c r="D11" s="19">
        <f>SUM(C37:C40)</f>
        <v>17</v>
      </c>
      <c r="E11" s="22">
        <f t="shared" ref="E11:E24" si="2">C11*D11</f>
        <v>425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7">
        <f t="shared" si="0"/>
        <v>45565</v>
      </c>
      <c r="B12" s="18" t="s">
        <v>18</v>
      </c>
      <c r="C12" s="21">
        <v>22</v>
      </c>
      <c r="D12" s="19">
        <f t="shared" ref="D12:D13" si="3">C35+C37-C41-C53</f>
        <v>47</v>
      </c>
      <c r="E12" s="22">
        <f t="shared" si="2"/>
        <v>1034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7">
        <f t="shared" si="0"/>
        <v>45565</v>
      </c>
      <c r="B13" s="18" t="s">
        <v>19</v>
      </c>
      <c r="C13" s="21">
        <v>22</v>
      </c>
      <c r="D13" s="19">
        <f t="shared" si="3"/>
        <v>58</v>
      </c>
      <c r="E13" s="22">
        <f t="shared" si="2"/>
        <v>1276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7">
        <f t="shared" si="0"/>
        <v>45565</v>
      </c>
      <c r="B14" s="18" t="s">
        <v>20</v>
      </c>
      <c r="C14" s="21">
        <f t="shared" ref="C14:C15" si="4">C12/2</f>
        <v>11</v>
      </c>
      <c r="D14" s="19">
        <f t="shared" ref="D14:D15" si="5">C39</f>
        <v>0</v>
      </c>
      <c r="E14" s="22">
        <f t="shared" si="2"/>
        <v>0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7">
        <f t="shared" si="0"/>
        <v>45565</v>
      </c>
      <c r="B15" s="18" t="s">
        <v>21</v>
      </c>
      <c r="C15" s="21">
        <f t="shared" si="4"/>
        <v>11</v>
      </c>
      <c r="D15" s="19">
        <f t="shared" si="5"/>
        <v>0</v>
      </c>
      <c r="E15" s="22">
        <f t="shared" si="2"/>
        <v>0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7">
        <f t="shared" si="0"/>
        <v>45565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7">
        <f t="shared" si="0"/>
        <v>45565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7">
        <f t="shared" si="0"/>
        <v>45565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7">
        <f t="shared" si="0"/>
        <v>45565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7">
        <f t="shared" si="0"/>
        <v>45565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7">
        <f t="shared" si="0"/>
        <v>45565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7">
        <f t="shared" si="0"/>
        <v>45565</v>
      </c>
      <c r="B22" s="26"/>
      <c r="C22" s="27"/>
      <c r="D22" s="28"/>
      <c r="E22" s="29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7">
        <f t="shared" si="0"/>
        <v>45565</v>
      </c>
      <c r="B23" s="30" t="s">
        <v>25</v>
      </c>
      <c r="C23" s="21">
        <v>-25</v>
      </c>
      <c r="D23" s="19">
        <v>12</v>
      </c>
      <c r="E23" s="31">
        <f t="shared" si="2"/>
        <v>-300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7">
        <f t="shared" si="0"/>
        <v>45565</v>
      </c>
      <c r="B24" s="30" t="s">
        <v>26</v>
      </c>
      <c r="C24" s="21">
        <v>-25</v>
      </c>
      <c r="D24" s="19">
        <v>1</v>
      </c>
      <c r="E24" s="31">
        <f t="shared" si="2"/>
        <v>-25</v>
      </c>
      <c r="F24" s="32"/>
      <c r="G24" s="33"/>
      <c r="H24" s="33"/>
      <c r="I24" s="33"/>
      <c r="J24" s="33"/>
      <c r="K24" s="33"/>
      <c r="L24" s="33"/>
      <c r="M24" s="33"/>
      <c r="N24" s="3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7">
        <f t="shared" si="0"/>
        <v>45565</v>
      </c>
      <c r="B25" s="34"/>
      <c r="C25" s="35"/>
      <c r="D25" s="36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7">
        <f t="shared" si="0"/>
        <v>45565</v>
      </c>
      <c r="B26" s="18" t="s">
        <v>27</v>
      </c>
      <c r="C26" s="21"/>
      <c r="D26" s="21"/>
      <c r="E26" s="22">
        <f>SUM(E11:E25)</f>
        <v>2560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7">
        <f t="shared" si="0"/>
        <v>45565</v>
      </c>
      <c r="B27" s="34" t="s">
        <v>28</v>
      </c>
      <c r="C27" s="21"/>
      <c r="D27" s="19"/>
      <c r="E27" s="37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7">
        <f t="shared" si="0"/>
        <v>45565</v>
      </c>
      <c r="B28" s="34"/>
      <c r="C28" s="38"/>
      <c r="D28" s="39"/>
      <c r="E28" s="4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7">
        <f t="shared" si="0"/>
        <v>45565</v>
      </c>
      <c r="B29" s="18" t="s">
        <v>29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7">
        <f t="shared" si="0"/>
        <v>45565</v>
      </c>
      <c r="B30" s="18" t="s">
        <v>30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7">
        <f t="shared" si="0"/>
        <v>45565</v>
      </c>
      <c r="B31" s="42" t="s">
        <v>31</v>
      </c>
      <c r="C31" s="21"/>
      <c r="D31" s="22"/>
      <c r="E31" s="43">
        <f>E26+E27+E28+E29-E30</f>
        <v>2560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49" t="s">
        <v>32</v>
      </c>
      <c r="C34" s="50"/>
      <c r="D34" s="2"/>
      <c r="E34" s="9"/>
      <c r="F34" s="2"/>
      <c r="G34" s="2"/>
      <c r="H34" s="49" t="s">
        <v>33</v>
      </c>
      <c r="I34" s="50"/>
      <c r="J34" s="2"/>
      <c r="K34" s="49" t="s">
        <v>34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1" t="s">
        <v>35</v>
      </c>
      <c r="B35" s="51" t="s">
        <v>36</v>
      </c>
      <c r="C35" s="52">
        <v>42</v>
      </c>
      <c r="D35" s="2" t="s">
        <v>37</v>
      </c>
      <c r="E35" s="9"/>
      <c r="F35" s="2"/>
      <c r="G35" s="2"/>
      <c r="H35" s="51" t="s">
        <v>36</v>
      </c>
      <c r="I35" s="52">
        <v>0</v>
      </c>
      <c r="J35" s="2"/>
      <c r="K35" s="51" t="s">
        <v>36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1" t="s">
        <v>38</v>
      </c>
      <c r="B36" s="53" t="s">
        <v>39</v>
      </c>
      <c r="C36" s="54">
        <v>54</v>
      </c>
      <c r="D36" s="2" t="s">
        <v>40</v>
      </c>
      <c r="E36" s="9"/>
      <c r="F36" s="11"/>
      <c r="G36" s="2"/>
      <c r="H36" s="53" t="s">
        <v>39</v>
      </c>
      <c r="I36" s="54">
        <v>0</v>
      </c>
      <c r="J36" s="2"/>
      <c r="K36" s="53" t="s">
        <v>39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1" t="s">
        <v>41</v>
      </c>
      <c r="B37" s="55" t="s">
        <v>42</v>
      </c>
      <c r="C37" s="56">
        <v>7</v>
      </c>
      <c r="D37" s="2" t="s">
        <v>43</v>
      </c>
      <c r="E37" s="9"/>
      <c r="F37" s="2"/>
      <c r="G37" s="2"/>
      <c r="H37" s="57" t="s">
        <v>44</v>
      </c>
      <c r="I37" s="58">
        <v>0</v>
      </c>
      <c r="J37" s="2"/>
      <c r="K37" s="57" t="s">
        <v>44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1" t="s">
        <v>45</v>
      </c>
      <c r="B38" s="59" t="s">
        <v>46</v>
      </c>
      <c r="C38" s="60">
        <v>10</v>
      </c>
      <c r="D38" s="2" t="s">
        <v>47</v>
      </c>
      <c r="E38" s="9"/>
      <c r="F38" s="2"/>
      <c r="G38" s="2"/>
      <c r="H38" s="61" t="s">
        <v>48</v>
      </c>
      <c r="I38" s="62">
        <v>0</v>
      </c>
      <c r="J38" s="2"/>
      <c r="K38" s="61" t="s">
        <v>48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1" t="s">
        <v>49</v>
      </c>
      <c r="B39" s="55" t="s">
        <v>50</v>
      </c>
      <c r="C39" s="56">
        <v>0</v>
      </c>
      <c r="D39" s="2" t="s">
        <v>51</v>
      </c>
      <c r="E39" s="9"/>
      <c r="F39" s="2"/>
      <c r="G39" s="2"/>
      <c r="H39" s="55" t="s">
        <v>52</v>
      </c>
      <c r="I39" s="58">
        <v>0</v>
      </c>
      <c r="J39" s="9"/>
      <c r="K39" s="55" t="s">
        <v>52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1" t="s">
        <v>53</v>
      </c>
      <c r="B40" s="59" t="s">
        <v>54</v>
      </c>
      <c r="C40" s="60">
        <v>0</v>
      </c>
      <c r="D40" s="2" t="s">
        <v>55</v>
      </c>
      <c r="E40" s="9"/>
      <c r="F40" s="2"/>
      <c r="G40" s="2"/>
      <c r="H40" s="59" t="s">
        <v>56</v>
      </c>
      <c r="I40" s="62">
        <v>0</v>
      </c>
      <c r="J40" s="9"/>
      <c r="K40" s="59" t="s">
        <v>56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1" t="s">
        <v>57</v>
      </c>
      <c r="B41" s="57" t="s">
        <v>44</v>
      </c>
      <c r="C41" s="60">
        <v>2</v>
      </c>
      <c r="D41" s="2" t="s">
        <v>58</v>
      </c>
      <c r="E41" s="9"/>
      <c r="F41" s="2"/>
      <c r="G41" s="2"/>
      <c r="H41" s="63" t="s">
        <v>59</v>
      </c>
      <c r="I41" s="64">
        <f t="shared" ref="I41:I42" si="8">I35-I37+I39</f>
        <v>0</v>
      </c>
      <c r="J41" s="9"/>
      <c r="K41" s="63" t="s">
        <v>60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1" t="s">
        <v>61</v>
      </c>
      <c r="B42" s="61" t="s">
        <v>48</v>
      </c>
      <c r="C42" s="60">
        <v>6</v>
      </c>
      <c r="D42" s="2" t="s">
        <v>62</v>
      </c>
      <c r="E42" s="9"/>
      <c r="F42" s="2"/>
      <c r="G42" s="2"/>
      <c r="H42" s="65" t="s">
        <v>63</v>
      </c>
      <c r="I42" s="66">
        <f t="shared" si="8"/>
        <v>0</v>
      </c>
      <c r="J42" s="9"/>
      <c r="K42" s="65" t="s">
        <v>64</v>
      </c>
      <c r="L42" s="66">
        <f t="shared" si="9"/>
        <v>0</v>
      </c>
      <c r="M42" s="9" t="s">
        <v>65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1" t="s">
        <v>66</v>
      </c>
      <c r="B43" s="63" t="s">
        <v>59</v>
      </c>
      <c r="C43" s="64">
        <f t="shared" ref="C43:C44" si="10">C35+C37+C39-C41</f>
        <v>47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1" t="s">
        <v>67</v>
      </c>
      <c r="B44" s="65" t="s">
        <v>63</v>
      </c>
      <c r="C44" s="66">
        <f t="shared" si="10"/>
        <v>58</v>
      </c>
      <c r="D44" s="2">
        <f>C44+C43</f>
        <v>105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49" t="s">
        <v>68</v>
      </c>
      <c r="C48" s="50"/>
      <c r="D48" s="2"/>
      <c r="E48" s="9"/>
      <c r="F48" s="2"/>
      <c r="G48" s="2"/>
      <c r="H48" s="2"/>
      <c r="I48" s="2"/>
      <c r="J48" s="9"/>
      <c r="K48" s="9" t="s">
        <v>65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69" t="s">
        <v>69</v>
      </c>
      <c r="C49" s="70">
        <f t="shared" ref="C49:C50" si="11">C43-I41-L41</f>
        <v>47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71" t="s">
        <v>70</v>
      </c>
      <c r="C50" s="70">
        <f t="shared" si="11"/>
        <v>58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69" t="s">
        <v>71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71" t="s">
        <v>72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3"/>
      <c r="B53" s="69" t="s">
        <v>73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71" t="s">
        <v>74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63" t="s">
        <v>59</v>
      </c>
      <c r="C55" s="64">
        <f t="shared" ref="C55:C56" si="14">C49+C51+C53</f>
        <v>47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9"/>
      <c r="B56" s="65" t="s">
        <v>63</v>
      </c>
      <c r="C56" s="66">
        <f t="shared" si="14"/>
        <v>58</v>
      </c>
      <c r="D56" s="2">
        <f>C56+C55</f>
        <v>105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75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3" t="s">
        <v>76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77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78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74" t="s">
        <v>79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75" t="s">
        <v>80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87"/>
  <sheetViews>
    <sheetView topLeftCell="H1" workbookViewId="0">
      <pane ySplit="5" topLeftCell="A116" activePane="bottomLeft" state="frozen"/>
      <selection pane="bottomLeft" activeCell="P119" sqref="P119"/>
    </sheetView>
  </sheetViews>
  <sheetFormatPr defaultColWidth="14.453125" defaultRowHeight="15" customHeight="1"/>
  <cols>
    <col min="1" max="1" width="9.453125" customWidth="1"/>
    <col min="2" max="2" width="7" customWidth="1"/>
    <col min="3" max="3" width="12.453125" customWidth="1"/>
    <col min="4" max="4" width="12.81640625" customWidth="1"/>
    <col min="5" max="5" width="6.08984375" customWidth="1"/>
    <col min="6" max="6" width="13.54296875" customWidth="1"/>
    <col min="7" max="7" width="47" customWidth="1"/>
    <col min="8" max="8" width="14.54296875" customWidth="1"/>
    <col min="9" max="9" width="33.08984375" customWidth="1"/>
    <col min="10" max="10" width="13.54296875" customWidth="1"/>
    <col min="11" max="12" width="9.54296875" customWidth="1"/>
    <col min="13" max="13" width="36.453125" customWidth="1"/>
    <col min="14" max="14" width="7" customWidth="1"/>
    <col min="15" max="15" width="12.81640625" customWidth="1"/>
    <col min="16" max="16" width="3.08984375" customWidth="1"/>
    <col min="17" max="27" width="5.453125" customWidth="1"/>
    <col min="28" max="46" width="8.81640625" customWidth="1"/>
  </cols>
  <sheetData>
    <row r="1" spans="1:46" ht="17.25" customHeight="1">
      <c r="A1" s="1" t="s">
        <v>81</v>
      </c>
      <c r="B1" s="11"/>
      <c r="C1" s="79" t="s">
        <v>4</v>
      </c>
      <c r="D1" s="79"/>
      <c r="E1" s="11"/>
      <c r="F1" s="79"/>
      <c r="G1" s="15" t="s">
        <v>82</v>
      </c>
      <c r="H1" s="79"/>
      <c r="I1" s="33"/>
      <c r="J1" s="79"/>
      <c r="K1" s="79"/>
      <c r="L1" s="79"/>
      <c r="M1" s="79" t="str">
        <f>P!E1</f>
        <v>Due by: 10/1/24</v>
      </c>
      <c r="N1" s="11"/>
      <c r="O1" s="80"/>
      <c r="P1" s="2"/>
      <c r="Q1" s="81"/>
      <c r="R1" s="81" t="s">
        <v>41</v>
      </c>
      <c r="S1" s="81" t="s">
        <v>83</v>
      </c>
      <c r="T1" s="81" t="s">
        <v>35</v>
      </c>
      <c r="U1" s="81" t="s">
        <v>53</v>
      </c>
      <c r="V1" s="81" t="s">
        <v>84</v>
      </c>
      <c r="W1" s="82" t="s">
        <v>85</v>
      </c>
      <c r="X1" s="81" t="s">
        <v>86</v>
      </c>
      <c r="Y1" s="81" t="s">
        <v>87</v>
      </c>
      <c r="Z1" s="81" t="s">
        <v>88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5.75" customHeight="1">
      <c r="A2" s="83"/>
      <c r="B2" s="11"/>
      <c r="C2" s="79" t="str">
        <f>P!B4</f>
        <v>47958 Warm Springs Blvd, Fremont, CA 94539</v>
      </c>
      <c r="D2" s="84"/>
      <c r="E2" s="11"/>
      <c r="F2" s="84"/>
      <c r="G2" s="79"/>
      <c r="H2" s="79"/>
      <c r="I2" s="33"/>
      <c r="J2" s="79"/>
      <c r="K2" s="85"/>
      <c r="L2" s="85"/>
      <c r="M2" s="85">
        <f>P!F3</f>
        <v>45565</v>
      </c>
      <c r="N2" s="11"/>
      <c r="O2" s="80"/>
      <c r="P2" s="2"/>
      <c r="Q2" s="86" t="s">
        <v>89</v>
      </c>
      <c r="R2" s="87">
        <f>COUNTIFS(N6:N120,"=C",B6:B120,"=M")</f>
        <v>40</v>
      </c>
      <c r="S2" s="87">
        <f>COUNTIFS(N6:N134,"=N",B6:B134,"=M")</f>
        <v>1</v>
      </c>
      <c r="T2" s="87">
        <f>COUNTIFS(N6:N134,"=a",B6:B134,"=M")</f>
        <v>2</v>
      </c>
      <c r="U2" s="87">
        <f>COUNTIFS(N6:N130,"=F",B6:B130,"=M")</f>
        <v>0</v>
      </c>
      <c r="V2" s="87">
        <f>COUNTIFS(N6:N134,"=R",B6:B134,"=M")</f>
        <v>3</v>
      </c>
      <c r="W2" s="87">
        <f>COUNTIFS(N6:N134,"=IT",B6:B134,"=M")</f>
        <v>3</v>
      </c>
      <c r="X2" s="87">
        <f t="shared" ref="X2:X3" si="0">R2+T2+U2</f>
        <v>42</v>
      </c>
      <c r="Y2" s="87">
        <f t="shared" ref="Y2:Y3" si="1">R2+S2+U2+W2+V2</f>
        <v>47</v>
      </c>
      <c r="Z2" s="87">
        <f t="shared" ref="Z2:Z3" si="2">R2+S2+T2+U2+W2+V2</f>
        <v>49</v>
      </c>
      <c r="AA2" s="2"/>
      <c r="AB2" s="2">
        <f t="shared" ref="AB2:AB3" si="3">S2+V2+W2</f>
        <v>7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25" customHeight="1">
      <c r="A3" s="83"/>
      <c r="B3" s="11"/>
      <c r="C3" s="79" t="str">
        <f>P!B6</f>
        <v>Tel: 408.888.2772</v>
      </c>
      <c r="D3" s="79"/>
      <c r="E3" s="11"/>
      <c r="F3" s="79"/>
      <c r="G3" s="79"/>
      <c r="H3" s="79"/>
      <c r="I3" s="33"/>
      <c r="J3" s="79"/>
      <c r="K3" s="79"/>
      <c r="L3" s="79"/>
      <c r="M3" s="79" t="s">
        <v>90</v>
      </c>
      <c r="N3" s="11"/>
      <c r="O3" s="80"/>
      <c r="P3" s="2"/>
      <c r="Q3" s="81" t="s">
        <v>49</v>
      </c>
      <c r="R3" s="87">
        <f>COUNTIFS(N6:N120,"=C",B6:B120,"=E")</f>
        <v>48</v>
      </c>
      <c r="S3" s="87">
        <f>COUNTIFS(N6:N134,"=N",B6:B134,"=E")</f>
        <v>4</v>
      </c>
      <c r="T3" s="87">
        <f>COUNTIFS(N6:N134,"=a",B6:B134,"=e")</f>
        <v>6</v>
      </c>
      <c r="U3" s="87">
        <f>COUNTIFS(N6:N118,"=F",B6:B118,"=E")</f>
        <v>0</v>
      </c>
      <c r="V3" s="87">
        <f>COUNTIFS(N6:N134,"=R",B6:B134,"=E")</f>
        <v>3</v>
      </c>
      <c r="W3" s="87">
        <f>COUNTIFS(N6:N134,"=IT",B6:B134,"=E")</f>
        <v>3</v>
      </c>
      <c r="X3" s="87">
        <f t="shared" si="0"/>
        <v>54</v>
      </c>
      <c r="Y3" s="87">
        <f t="shared" si="1"/>
        <v>58</v>
      </c>
      <c r="Z3" s="87">
        <f t="shared" si="2"/>
        <v>64</v>
      </c>
      <c r="AA3" s="2"/>
      <c r="AB3" s="2">
        <f t="shared" si="3"/>
        <v>10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7.25" customHeight="1">
      <c r="A4" s="83"/>
      <c r="B4" s="11"/>
      <c r="C4" s="79"/>
      <c r="D4" s="79"/>
      <c r="E4" s="11"/>
      <c r="F4" s="79"/>
      <c r="G4" s="79"/>
      <c r="H4" s="79"/>
      <c r="I4" s="33"/>
      <c r="J4" s="79"/>
      <c r="K4" s="79"/>
      <c r="L4" s="79"/>
      <c r="M4" s="79"/>
      <c r="N4" s="11"/>
      <c r="O4" s="80"/>
      <c r="P4" s="2"/>
      <c r="Q4" s="81" t="s">
        <v>91</v>
      </c>
      <c r="R4" s="88">
        <f t="shared" ref="R4:Z4" si="4">R2+R3</f>
        <v>88</v>
      </c>
      <c r="S4" s="88">
        <f t="shared" si="4"/>
        <v>5</v>
      </c>
      <c r="T4" s="88">
        <f t="shared" si="4"/>
        <v>8</v>
      </c>
      <c r="U4" s="88">
        <f t="shared" si="4"/>
        <v>0</v>
      </c>
      <c r="V4" s="88">
        <f t="shared" si="4"/>
        <v>6</v>
      </c>
      <c r="W4" s="88">
        <f t="shared" si="4"/>
        <v>6</v>
      </c>
      <c r="X4" s="88">
        <f t="shared" si="4"/>
        <v>96</v>
      </c>
      <c r="Y4" s="88">
        <f t="shared" si="4"/>
        <v>105</v>
      </c>
      <c r="Z4" s="86">
        <f t="shared" si="4"/>
        <v>113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56">
      <c r="A5" s="89" t="s">
        <v>13</v>
      </c>
      <c r="B5" s="89" t="s">
        <v>92</v>
      </c>
      <c r="C5" s="90" t="s">
        <v>93</v>
      </c>
      <c r="D5" s="90" t="s">
        <v>94</v>
      </c>
      <c r="E5" s="89" t="s">
        <v>95</v>
      </c>
      <c r="F5" s="90" t="s">
        <v>96</v>
      </c>
      <c r="G5" s="89" t="s">
        <v>97</v>
      </c>
      <c r="H5" s="90" t="s">
        <v>98</v>
      </c>
      <c r="I5" s="89" t="s">
        <v>99</v>
      </c>
      <c r="J5" s="90" t="s">
        <v>100</v>
      </c>
      <c r="K5" s="89" t="s">
        <v>101</v>
      </c>
      <c r="L5" s="90" t="s">
        <v>102</v>
      </c>
      <c r="M5" s="89" t="s">
        <v>103</v>
      </c>
      <c r="N5" s="89" t="s">
        <v>104</v>
      </c>
      <c r="O5" s="91" t="s">
        <v>105</v>
      </c>
      <c r="P5" s="92"/>
      <c r="Q5" s="92"/>
      <c r="R5" s="92"/>
      <c r="S5" s="92">
        <f>Y4-X4</f>
        <v>9</v>
      </c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</row>
    <row r="6" spans="1:46" ht="15" customHeight="1">
      <c r="A6" s="93">
        <v>1</v>
      </c>
      <c r="B6" s="94" t="s">
        <v>89</v>
      </c>
      <c r="C6" s="95" t="s">
        <v>106</v>
      </c>
      <c r="D6" s="95" t="s">
        <v>107</v>
      </c>
      <c r="E6" s="96">
        <v>5</v>
      </c>
      <c r="F6" s="97" t="s">
        <v>108</v>
      </c>
      <c r="G6" s="98" t="s">
        <v>109</v>
      </c>
      <c r="H6" s="99">
        <v>4027071083</v>
      </c>
      <c r="I6" s="98" t="s">
        <v>110</v>
      </c>
      <c r="J6" s="97" t="s">
        <v>111</v>
      </c>
      <c r="K6" s="98" t="s">
        <v>112</v>
      </c>
      <c r="L6" s="98" t="s">
        <v>113</v>
      </c>
      <c r="M6" s="98"/>
      <c r="N6" s="94" t="s">
        <v>41</v>
      </c>
      <c r="O6" s="100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spans="1:46" ht="15" customHeight="1">
      <c r="A7" s="93">
        <v>2</v>
      </c>
      <c r="B7" s="94" t="s">
        <v>89</v>
      </c>
      <c r="C7" s="95" t="s">
        <v>114</v>
      </c>
      <c r="D7" s="95" t="s">
        <v>115</v>
      </c>
      <c r="E7" s="96">
        <v>5</v>
      </c>
      <c r="F7" s="97" t="s">
        <v>116</v>
      </c>
      <c r="G7" s="98" t="s">
        <v>117</v>
      </c>
      <c r="H7" s="99">
        <v>5103665279</v>
      </c>
      <c r="I7" s="98" t="s">
        <v>118</v>
      </c>
      <c r="J7" s="97" t="s">
        <v>119</v>
      </c>
      <c r="K7" s="98" t="s">
        <v>120</v>
      </c>
      <c r="L7" s="98" t="s">
        <v>121</v>
      </c>
      <c r="M7" s="98"/>
      <c r="N7" s="94" t="s">
        <v>41</v>
      </c>
      <c r="O7" s="100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spans="1:46" ht="15" customHeight="1">
      <c r="A8" s="93">
        <v>3</v>
      </c>
      <c r="B8" s="101" t="s">
        <v>49</v>
      </c>
      <c r="C8" s="102" t="s">
        <v>114</v>
      </c>
      <c r="D8" s="102" t="s">
        <v>115</v>
      </c>
      <c r="E8" s="103">
        <v>5</v>
      </c>
      <c r="F8" s="104" t="s">
        <v>116</v>
      </c>
      <c r="G8" s="105" t="s">
        <v>117</v>
      </c>
      <c r="H8" s="106">
        <v>5103665279</v>
      </c>
      <c r="I8" s="105" t="s">
        <v>118</v>
      </c>
      <c r="J8" s="104">
        <v>45536</v>
      </c>
      <c r="K8" s="105" t="s">
        <v>122</v>
      </c>
      <c r="L8" s="105" t="s">
        <v>121</v>
      </c>
      <c r="M8" s="105"/>
      <c r="N8" s="101" t="s">
        <v>83</v>
      </c>
      <c r="O8" s="107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</row>
    <row r="9" spans="1:46" ht="15" customHeight="1">
      <c r="A9" s="93">
        <v>4</v>
      </c>
      <c r="B9" s="94" t="s">
        <v>49</v>
      </c>
      <c r="C9" s="109" t="s">
        <v>123</v>
      </c>
      <c r="D9" s="109" t="s">
        <v>124</v>
      </c>
      <c r="E9" s="93" t="s">
        <v>125</v>
      </c>
      <c r="F9" s="109" t="s">
        <v>126</v>
      </c>
      <c r="G9" s="109" t="s">
        <v>127</v>
      </c>
      <c r="H9" s="110">
        <v>2177211536</v>
      </c>
      <c r="I9" s="109" t="s">
        <v>128</v>
      </c>
      <c r="J9" s="109" t="s">
        <v>129</v>
      </c>
      <c r="K9" s="98" t="s">
        <v>130</v>
      </c>
      <c r="L9" s="98" t="s">
        <v>113</v>
      </c>
      <c r="M9" s="98"/>
      <c r="N9" s="94" t="s">
        <v>41</v>
      </c>
      <c r="O9" s="100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spans="1:46" ht="15" customHeight="1">
      <c r="A10" s="93">
        <v>5</v>
      </c>
      <c r="B10" s="94" t="s">
        <v>89</v>
      </c>
      <c r="C10" s="109" t="s">
        <v>123</v>
      </c>
      <c r="D10" s="109" t="s">
        <v>124</v>
      </c>
      <c r="E10" s="93" t="s">
        <v>125</v>
      </c>
      <c r="F10" s="109" t="s">
        <v>126</v>
      </c>
      <c r="G10" s="109" t="s">
        <v>127</v>
      </c>
      <c r="H10" s="110">
        <v>2177211536</v>
      </c>
      <c r="I10" s="109" t="s">
        <v>128</v>
      </c>
      <c r="J10" s="109" t="s">
        <v>129</v>
      </c>
      <c r="K10" s="98" t="s">
        <v>131</v>
      </c>
      <c r="L10" s="98" t="s">
        <v>132</v>
      </c>
      <c r="M10" s="98"/>
      <c r="N10" s="94" t="s">
        <v>41</v>
      </c>
      <c r="O10" s="100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 spans="1:46" ht="15" customHeight="1">
      <c r="A11" s="93">
        <v>6</v>
      </c>
      <c r="B11" s="94" t="s">
        <v>49</v>
      </c>
      <c r="C11" s="95" t="s">
        <v>133</v>
      </c>
      <c r="D11" s="95" t="s">
        <v>134</v>
      </c>
      <c r="E11" s="96">
        <v>1</v>
      </c>
      <c r="F11" s="97" t="s">
        <v>135</v>
      </c>
      <c r="G11" s="98" t="s">
        <v>136</v>
      </c>
      <c r="H11" s="99">
        <v>6282247551</v>
      </c>
      <c r="I11" s="98" t="s">
        <v>137</v>
      </c>
      <c r="J11" s="97" t="s">
        <v>138</v>
      </c>
      <c r="K11" s="98" t="s">
        <v>139</v>
      </c>
      <c r="L11" s="98" t="s">
        <v>140</v>
      </c>
      <c r="M11" s="98"/>
      <c r="N11" s="94" t="s">
        <v>41</v>
      </c>
      <c r="O11" s="100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spans="1:46" ht="15" customHeight="1">
      <c r="A12" s="93">
        <v>7</v>
      </c>
      <c r="B12" s="94" t="s">
        <v>89</v>
      </c>
      <c r="C12" s="95" t="s">
        <v>133</v>
      </c>
      <c r="D12" s="95" t="s">
        <v>134</v>
      </c>
      <c r="E12" s="96">
        <v>1</v>
      </c>
      <c r="F12" s="97" t="s">
        <v>135</v>
      </c>
      <c r="G12" s="98" t="s">
        <v>136</v>
      </c>
      <c r="H12" s="99">
        <v>6282247551</v>
      </c>
      <c r="I12" s="98" t="s">
        <v>137</v>
      </c>
      <c r="J12" s="97" t="s">
        <v>138</v>
      </c>
      <c r="K12" s="98" t="s">
        <v>131</v>
      </c>
      <c r="L12" s="98" t="s">
        <v>141</v>
      </c>
      <c r="M12" s="98" t="s">
        <v>142</v>
      </c>
      <c r="N12" s="94" t="s">
        <v>41</v>
      </c>
      <c r="O12" s="100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15" customHeight="1">
      <c r="A13" s="93">
        <v>8</v>
      </c>
      <c r="B13" s="94" t="s">
        <v>49</v>
      </c>
      <c r="C13" s="109" t="s">
        <v>143</v>
      </c>
      <c r="D13" s="109" t="s">
        <v>144</v>
      </c>
      <c r="E13" s="93">
        <v>4</v>
      </c>
      <c r="F13" s="109" t="s">
        <v>145</v>
      </c>
      <c r="G13" s="109" t="s">
        <v>146</v>
      </c>
      <c r="H13" s="110">
        <v>5102602020</v>
      </c>
      <c r="I13" s="109" t="s">
        <v>147</v>
      </c>
      <c r="J13" s="109" t="s">
        <v>148</v>
      </c>
      <c r="K13" s="98" t="s">
        <v>122</v>
      </c>
      <c r="L13" s="98" t="s">
        <v>149</v>
      </c>
      <c r="M13" s="98"/>
      <c r="N13" s="94" t="s">
        <v>41</v>
      </c>
      <c r="O13" s="100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15" customHeight="1">
      <c r="A14" s="93">
        <v>9</v>
      </c>
      <c r="B14" s="94" t="s">
        <v>89</v>
      </c>
      <c r="C14" s="109" t="s">
        <v>143</v>
      </c>
      <c r="D14" s="109" t="s">
        <v>144</v>
      </c>
      <c r="E14" s="93">
        <v>4</v>
      </c>
      <c r="F14" s="109" t="s">
        <v>145</v>
      </c>
      <c r="G14" s="109" t="s">
        <v>146</v>
      </c>
      <c r="H14" s="110">
        <v>5102602020</v>
      </c>
      <c r="I14" s="109" t="s">
        <v>147</v>
      </c>
      <c r="J14" s="109" t="s">
        <v>148</v>
      </c>
      <c r="K14" s="98" t="s">
        <v>150</v>
      </c>
      <c r="L14" s="98" t="s">
        <v>151</v>
      </c>
      <c r="M14" s="98"/>
      <c r="N14" s="94" t="s">
        <v>41</v>
      </c>
      <c r="O14" s="100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15" customHeight="1">
      <c r="A15" s="93">
        <v>10</v>
      </c>
      <c r="B15" s="94" t="s">
        <v>49</v>
      </c>
      <c r="C15" s="95" t="s">
        <v>152</v>
      </c>
      <c r="D15" s="95" t="s">
        <v>153</v>
      </c>
      <c r="E15" s="96" t="s">
        <v>154</v>
      </c>
      <c r="F15" s="97" t="s">
        <v>155</v>
      </c>
      <c r="G15" s="98" t="s">
        <v>156</v>
      </c>
      <c r="H15" s="99">
        <v>6176765481</v>
      </c>
      <c r="I15" s="98" t="s">
        <v>157</v>
      </c>
      <c r="J15" s="97" t="s">
        <v>158</v>
      </c>
      <c r="K15" s="98" t="s">
        <v>159</v>
      </c>
      <c r="L15" s="98" t="s">
        <v>160</v>
      </c>
      <c r="M15" s="98"/>
      <c r="N15" s="94" t="s">
        <v>41</v>
      </c>
      <c r="O15" s="100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15" customHeight="1">
      <c r="A16" s="93">
        <v>11</v>
      </c>
      <c r="B16" s="94" t="s">
        <v>89</v>
      </c>
      <c r="C16" s="95" t="s">
        <v>152</v>
      </c>
      <c r="D16" s="95" t="s">
        <v>153</v>
      </c>
      <c r="E16" s="96" t="s">
        <v>154</v>
      </c>
      <c r="F16" s="97" t="s">
        <v>155</v>
      </c>
      <c r="G16" s="98" t="s">
        <v>156</v>
      </c>
      <c r="H16" s="99">
        <v>6176765481</v>
      </c>
      <c r="I16" s="98" t="s">
        <v>157</v>
      </c>
      <c r="J16" s="97" t="s">
        <v>158</v>
      </c>
      <c r="K16" s="98" t="s">
        <v>161</v>
      </c>
      <c r="L16" s="98" t="s">
        <v>162</v>
      </c>
      <c r="M16" s="98" t="s">
        <v>142</v>
      </c>
      <c r="N16" s="94" t="s">
        <v>41</v>
      </c>
      <c r="O16" s="100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ht="15" customHeight="1">
      <c r="A17" s="93">
        <v>12</v>
      </c>
      <c r="B17" s="94" t="s">
        <v>49</v>
      </c>
      <c r="C17" s="111" t="s">
        <v>163</v>
      </c>
      <c r="D17" s="111" t="s">
        <v>164</v>
      </c>
      <c r="E17" s="93">
        <v>2</v>
      </c>
      <c r="F17" s="112">
        <v>42045</v>
      </c>
      <c r="G17" s="109" t="s">
        <v>165</v>
      </c>
      <c r="H17" s="110">
        <v>6692138834</v>
      </c>
      <c r="I17" s="109" t="s">
        <v>166</v>
      </c>
      <c r="J17" s="112">
        <v>45293</v>
      </c>
      <c r="K17" s="109" t="s">
        <v>167</v>
      </c>
      <c r="L17" s="109" t="s">
        <v>168</v>
      </c>
      <c r="M17" s="109"/>
      <c r="N17" s="94" t="s">
        <v>41</v>
      </c>
      <c r="O17" s="113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ht="15" customHeight="1">
      <c r="A18" s="93">
        <v>13</v>
      </c>
      <c r="B18" s="94" t="s">
        <v>89</v>
      </c>
      <c r="C18" s="111" t="s">
        <v>163</v>
      </c>
      <c r="D18" s="111" t="s">
        <v>164</v>
      </c>
      <c r="E18" s="93">
        <v>2</v>
      </c>
      <c r="F18" s="112">
        <v>42045</v>
      </c>
      <c r="G18" s="109" t="s">
        <v>165</v>
      </c>
      <c r="H18" s="110">
        <v>6692138834</v>
      </c>
      <c r="I18" s="109" t="s">
        <v>166</v>
      </c>
      <c r="J18" s="112">
        <v>45293</v>
      </c>
      <c r="K18" s="109" t="s">
        <v>169</v>
      </c>
      <c r="L18" s="109" t="s">
        <v>170</v>
      </c>
      <c r="M18" s="109" t="s">
        <v>171</v>
      </c>
      <c r="N18" s="94" t="s">
        <v>41</v>
      </c>
      <c r="O18" s="113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ht="17.25" customHeight="1">
      <c r="A19" s="93">
        <v>14</v>
      </c>
      <c r="B19" s="94" t="s">
        <v>49</v>
      </c>
      <c r="C19" s="111" t="s">
        <v>172</v>
      </c>
      <c r="D19" s="111" t="s">
        <v>173</v>
      </c>
      <c r="E19" s="93">
        <v>2</v>
      </c>
      <c r="F19" s="112">
        <v>42157</v>
      </c>
      <c r="G19" s="109" t="s">
        <v>174</v>
      </c>
      <c r="H19" s="110">
        <v>5857522132</v>
      </c>
      <c r="I19" s="109" t="s">
        <v>175</v>
      </c>
      <c r="J19" s="112">
        <v>45299</v>
      </c>
      <c r="K19" s="109" t="s">
        <v>176</v>
      </c>
      <c r="L19" s="109" t="s">
        <v>177</v>
      </c>
      <c r="M19" s="109"/>
      <c r="N19" s="94" t="s">
        <v>41</v>
      </c>
      <c r="O19" s="113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ht="17.25" customHeight="1">
      <c r="A20" s="93">
        <v>15</v>
      </c>
      <c r="B20" s="94" t="s">
        <v>89</v>
      </c>
      <c r="C20" s="111" t="s">
        <v>172</v>
      </c>
      <c r="D20" s="111" t="s">
        <v>173</v>
      </c>
      <c r="E20" s="93">
        <v>2</v>
      </c>
      <c r="F20" s="112">
        <v>42157</v>
      </c>
      <c r="G20" s="109" t="s">
        <v>174</v>
      </c>
      <c r="H20" s="110">
        <v>5857522132</v>
      </c>
      <c r="I20" s="109" t="s">
        <v>175</v>
      </c>
      <c r="J20" s="112">
        <v>45299</v>
      </c>
      <c r="K20" s="109" t="s">
        <v>169</v>
      </c>
      <c r="L20" s="109" t="s">
        <v>132</v>
      </c>
      <c r="M20" s="109" t="s">
        <v>171</v>
      </c>
      <c r="N20" s="94" t="s">
        <v>41</v>
      </c>
      <c r="O20" s="113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 ht="17.25" customHeight="1">
      <c r="A21" s="93">
        <v>16</v>
      </c>
      <c r="B21" s="94" t="s">
        <v>49</v>
      </c>
      <c r="C21" s="109" t="s">
        <v>178</v>
      </c>
      <c r="D21" s="109" t="s">
        <v>179</v>
      </c>
      <c r="E21" s="93">
        <v>4</v>
      </c>
      <c r="F21" s="109" t="s">
        <v>180</v>
      </c>
      <c r="G21" s="109" t="s">
        <v>181</v>
      </c>
      <c r="H21" s="110">
        <v>5103144836</v>
      </c>
      <c r="I21" s="109" t="s">
        <v>182</v>
      </c>
      <c r="J21" s="109" t="s">
        <v>183</v>
      </c>
      <c r="K21" s="98" t="s">
        <v>184</v>
      </c>
      <c r="L21" s="98" t="s">
        <v>185</v>
      </c>
      <c r="M21" s="98" t="s">
        <v>186</v>
      </c>
      <c r="N21" s="94" t="s">
        <v>41</v>
      </c>
      <c r="O21" s="100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 ht="17.25" customHeight="1">
      <c r="A22" s="93">
        <v>17</v>
      </c>
      <c r="B22" s="94" t="s">
        <v>89</v>
      </c>
      <c r="C22" s="109" t="s">
        <v>178</v>
      </c>
      <c r="D22" s="109" t="s">
        <v>179</v>
      </c>
      <c r="E22" s="93">
        <v>4</v>
      </c>
      <c r="F22" s="109" t="s">
        <v>180</v>
      </c>
      <c r="G22" s="109" t="s">
        <v>181</v>
      </c>
      <c r="H22" s="110">
        <v>5103144836</v>
      </c>
      <c r="I22" s="109" t="s">
        <v>182</v>
      </c>
      <c r="J22" s="109" t="s">
        <v>183</v>
      </c>
      <c r="K22" s="98" t="s">
        <v>131</v>
      </c>
      <c r="L22" s="98" t="s">
        <v>151</v>
      </c>
      <c r="M22" s="98"/>
      <c r="N22" s="94" t="s">
        <v>41</v>
      </c>
      <c r="O22" s="100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 ht="17.25" customHeight="1">
      <c r="A23" s="93">
        <v>18</v>
      </c>
      <c r="B23" s="94" t="s">
        <v>49</v>
      </c>
      <c r="C23" s="111" t="s">
        <v>187</v>
      </c>
      <c r="D23" s="111" t="s">
        <v>188</v>
      </c>
      <c r="E23" s="93" t="s">
        <v>189</v>
      </c>
      <c r="F23" s="112">
        <v>43120</v>
      </c>
      <c r="G23" s="109" t="s">
        <v>190</v>
      </c>
      <c r="H23" s="110">
        <v>4158287529</v>
      </c>
      <c r="I23" s="109" t="s">
        <v>191</v>
      </c>
      <c r="J23" s="112">
        <v>45299</v>
      </c>
      <c r="K23" s="109" t="s">
        <v>192</v>
      </c>
      <c r="L23" s="109" t="s">
        <v>193</v>
      </c>
      <c r="M23" s="109"/>
      <c r="N23" s="94" t="s">
        <v>41</v>
      </c>
      <c r="O23" s="113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 ht="17.25" customHeight="1">
      <c r="A24" s="93">
        <v>19</v>
      </c>
      <c r="B24" s="94" t="s">
        <v>89</v>
      </c>
      <c r="C24" s="111" t="s">
        <v>187</v>
      </c>
      <c r="D24" s="111" t="s">
        <v>188</v>
      </c>
      <c r="E24" s="93" t="s">
        <v>189</v>
      </c>
      <c r="F24" s="112">
        <v>43120</v>
      </c>
      <c r="G24" s="109" t="s">
        <v>190</v>
      </c>
      <c r="H24" s="110">
        <v>4158287529</v>
      </c>
      <c r="I24" s="109" t="s">
        <v>191</v>
      </c>
      <c r="J24" s="112">
        <v>45299</v>
      </c>
      <c r="K24" s="109" t="s">
        <v>131</v>
      </c>
      <c r="L24" s="109" t="s">
        <v>194</v>
      </c>
      <c r="M24" s="109" t="s">
        <v>171</v>
      </c>
      <c r="N24" s="94" t="s">
        <v>41</v>
      </c>
      <c r="O24" s="113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 ht="17.25" customHeight="1">
      <c r="A25" s="93">
        <v>20</v>
      </c>
      <c r="B25" s="114" t="s">
        <v>49</v>
      </c>
      <c r="C25" s="115" t="s">
        <v>195</v>
      </c>
      <c r="D25" s="115" t="s">
        <v>196</v>
      </c>
      <c r="E25" s="116" t="s">
        <v>197</v>
      </c>
      <c r="F25" s="117" t="s">
        <v>198</v>
      </c>
      <c r="G25" s="118" t="s">
        <v>199</v>
      </c>
      <c r="H25" s="119">
        <v>4158287529</v>
      </c>
      <c r="I25" s="118" t="s">
        <v>191</v>
      </c>
      <c r="J25" s="117" t="s">
        <v>200</v>
      </c>
      <c r="K25" s="118" t="s">
        <v>159</v>
      </c>
      <c r="L25" s="118" t="s">
        <v>140</v>
      </c>
      <c r="M25" s="118"/>
      <c r="N25" s="114" t="s">
        <v>35</v>
      </c>
      <c r="O25" s="120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</row>
    <row r="26" spans="1:46" ht="17.25" customHeight="1">
      <c r="A26" s="93">
        <v>21</v>
      </c>
      <c r="B26" s="114" t="s">
        <v>89</v>
      </c>
      <c r="C26" s="115" t="s">
        <v>195</v>
      </c>
      <c r="D26" s="115" t="s">
        <v>196</v>
      </c>
      <c r="E26" s="116" t="s">
        <v>197</v>
      </c>
      <c r="F26" s="117" t="s">
        <v>198</v>
      </c>
      <c r="G26" s="118" t="s">
        <v>199</v>
      </c>
      <c r="H26" s="119">
        <v>4158287529</v>
      </c>
      <c r="I26" s="118" t="s">
        <v>191</v>
      </c>
      <c r="J26" s="117" t="s">
        <v>200</v>
      </c>
      <c r="K26" s="118" t="s">
        <v>201</v>
      </c>
      <c r="L26" s="118" t="s">
        <v>151</v>
      </c>
      <c r="M26" s="118" t="s">
        <v>142</v>
      </c>
      <c r="N26" s="114" t="s">
        <v>35</v>
      </c>
      <c r="O26" s="120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</row>
    <row r="27" spans="1:46" ht="17.25" customHeight="1">
      <c r="A27" s="93">
        <v>22</v>
      </c>
      <c r="B27" s="94" t="s">
        <v>49</v>
      </c>
      <c r="C27" s="109" t="s">
        <v>202</v>
      </c>
      <c r="D27" s="109" t="s">
        <v>203</v>
      </c>
      <c r="E27" s="93">
        <v>1</v>
      </c>
      <c r="F27" s="109" t="s">
        <v>204</v>
      </c>
      <c r="G27" s="109" t="s">
        <v>205</v>
      </c>
      <c r="H27" s="110">
        <v>5104566566</v>
      </c>
      <c r="I27" s="109" t="s">
        <v>206</v>
      </c>
      <c r="J27" s="109" t="s">
        <v>207</v>
      </c>
      <c r="K27" s="98" t="s">
        <v>208</v>
      </c>
      <c r="L27" s="98" t="s">
        <v>209</v>
      </c>
      <c r="M27" s="98"/>
      <c r="N27" s="94" t="s">
        <v>41</v>
      </c>
      <c r="O27" s="10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 ht="17.25" customHeight="1">
      <c r="A28" s="93">
        <v>23</v>
      </c>
      <c r="B28" s="94" t="s">
        <v>89</v>
      </c>
      <c r="C28" s="109" t="s">
        <v>202</v>
      </c>
      <c r="D28" s="109" t="s">
        <v>203</v>
      </c>
      <c r="E28" s="93">
        <v>1</v>
      </c>
      <c r="F28" s="109" t="s">
        <v>204</v>
      </c>
      <c r="G28" s="109" t="s">
        <v>205</v>
      </c>
      <c r="H28" s="110">
        <v>5104566566</v>
      </c>
      <c r="I28" s="109" t="s">
        <v>206</v>
      </c>
      <c r="J28" s="109" t="s">
        <v>207</v>
      </c>
      <c r="K28" s="98" t="s">
        <v>210</v>
      </c>
      <c r="L28" s="98" t="s">
        <v>177</v>
      </c>
      <c r="M28" s="98"/>
      <c r="N28" s="94" t="s">
        <v>41</v>
      </c>
      <c r="O28" s="100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 ht="17.25" customHeight="1">
      <c r="A29" s="93">
        <v>24</v>
      </c>
      <c r="B29" s="94" t="s">
        <v>49</v>
      </c>
      <c r="C29" s="111" t="s">
        <v>211</v>
      </c>
      <c r="D29" s="111" t="s">
        <v>212</v>
      </c>
      <c r="E29" s="93">
        <v>6</v>
      </c>
      <c r="F29" s="112">
        <v>41034</v>
      </c>
      <c r="G29" s="109" t="s">
        <v>213</v>
      </c>
      <c r="H29" s="110">
        <v>5108161486</v>
      </c>
      <c r="I29" s="122" t="s">
        <v>214</v>
      </c>
      <c r="J29" s="112">
        <v>45293</v>
      </c>
      <c r="K29" s="109" t="s">
        <v>215</v>
      </c>
      <c r="L29" s="109" t="s">
        <v>216</v>
      </c>
      <c r="M29" s="109"/>
      <c r="N29" s="94" t="s">
        <v>41</v>
      </c>
      <c r="O29" s="113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 ht="17.25" customHeight="1">
      <c r="A30" s="93">
        <v>25</v>
      </c>
      <c r="B30" s="94" t="s">
        <v>49</v>
      </c>
      <c r="C30" s="109" t="s">
        <v>217</v>
      </c>
      <c r="D30" s="109" t="s">
        <v>218</v>
      </c>
      <c r="E30" s="93" t="s">
        <v>125</v>
      </c>
      <c r="F30" s="109" t="s">
        <v>219</v>
      </c>
      <c r="G30" s="109" t="s">
        <v>220</v>
      </c>
      <c r="H30" s="110">
        <v>3233374665</v>
      </c>
      <c r="I30" s="109" t="s">
        <v>221</v>
      </c>
      <c r="J30" s="112">
        <v>45522</v>
      </c>
      <c r="K30" s="98" t="s">
        <v>159</v>
      </c>
      <c r="L30" s="98" t="s">
        <v>222</v>
      </c>
      <c r="M30" s="98"/>
      <c r="N30" s="94" t="s">
        <v>41</v>
      </c>
      <c r="O30" s="100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 ht="17.25" customHeight="1">
      <c r="A31" s="93">
        <v>26</v>
      </c>
      <c r="B31" s="94" t="s">
        <v>49</v>
      </c>
      <c r="C31" s="109" t="s">
        <v>217</v>
      </c>
      <c r="D31" s="109" t="s">
        <v>223</v>
      </c>
      <c r="E31" s="93">
        <v>1</v>
      </c>
      <c r="F31" s="109" t="s">
        <v>224</v>
      </c>
      <c r="G31" s="109" t="s">
        <v>220</v>
      </c>
      <c r="H31" s="110">
        <v>3233374665</v>
      </c>
      <c r="I31" s="109" t="s">
        <v>221</v>
      </c>
      <c r="J31" s="112">
        <v>45522</v>
      </c>
      <c r="K31" s="98" t="s">
        <v>225</v>
      </c>
      <c r="L31" s="98" t="s">
        <v>226</v>
      </c>
      <c r="M31" s="98"/>
      <c r="N31" s="94" t="s">
        <v>41</v>
      </c>
      <c r="O31" s="100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 ht="17.25" customHeight="1">
      <c r="A32" s="93">
        <v>27</v>
      </c>
      <c r="B32" s="94" t="s">
        <v>49</v>
      </c>
      <c r="C32" s="111" t="s">
        <v>227</v>
      </c>
      <c r="D32" s="111" t="s">
        <v>228</v>
      </c>
      <c r="E32" s="93">
        <v>2</v>
      </c>
      <c r="F32" s="112">
        <v>42933</v>
      </c>
      <c r="G32" s="98" t="s">
        <v>229</v>
      </c>
      <c r="H32" s="99">
        <v>4083986905</v>
      </c>
      <c r="I32" s="98" t="s">
        <v>230</v>
      </c>
      <c r="J32" s="109" t="s">
        <v>129</v>
      </c>
      <c r="K32" s="109" t="s">
        <v>231</v>
      </c>
      <c r="L32" s="109" t="s">
        <v>232</v>
      </c>
      <c r="M32" s="109" t="s">
        <v>233</v>
      </c>
      <c r="N32" s="94" t="s">
        <v>41</v>
      </c>
      <c r="O32" s="100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 ht="17.25" customHeight="1">
      <c r="A33" s="93">
        <v>28</v>
      </c>
      <c r="B33" s="94" t="s">
        <v>89</v>
      </c>
      <c r="C33" s="111" t="s">
        <v>227</v>
      </c>
      <c r="D33" s="111" t="s">
        <v>228</v>
      </c>
      <c r="E33" s="93">
        <v>2</v>
      </c>
      <c r="F33" s="112">
        <v>42933</v>
      </c>
      <c r="G33" s="98" t="s">
        <v>229</v>
      </c>
      <c r="H33" s="99">
        <v>4083986905</v>
      </c>
      <c r="I33" s="98" t="s">
        <v>230</v>
      </c>
      <c r="J33" s="109" t="s">
        <v>129</v>
      </c>
      <c r="K33" s="109" t="s">
        <v>234</v>
      </c>
      <c r="L33" s="109" t="s">
        <v>141</v>
      </c>
      <c r="M33" s="109" t="s">
        <v>233</v>
      </c>
      <c r="N33" s="94" t="s">
        <v>41</v>
      </c>
      <c r="O33" s="100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 ht="17.25" customHeight="1">
      <c r="A34" s="93">
        <v>29</v>
      </c>
      <c r="B34" s="94" t="s">
        <v>49</v>
      </c>
      <c r="C34" s="95" t="s">
        <v>235</v>
      </c>
      <c r="D34" s="95" t="s">
        <v>236</v>
      </c>
      <c r="E34" s="96" t="s">
        <v>125</v>
      </c>
      <c r="F34" s="97" t="s">
        <v>237</v>
      </c>
      <c r="G34" s="98" t="s">
        <v>238</v>
      </c>
      <c r="H34" s="99">
        <v>2016651117</v>
      </c>
      <c r="I34" s="98" t="s">
        <v>239</v>
      </c>
      <c r="J34" s="97" t="s">
        <v>240</v>
      </c>
      <c r="K34" s="98" t="s">
        <v>130</v>
      </c>
      <c r="L34" s="98" t="s">
        <v>241</v>
      </c>
      <c r="M34" s="98"/>
      <c r="N34" s="94" t="s">
        <v>41</v>
      </c>
      <c r="O34" s="100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 ht="17.25" customHeight="1">
      <c r="A35" s="93">
        <v>30</v>
      </c>
      <c r="B35" s="94" t="s">
        <v>49</v>
      </c>
      <c r="C35" s="95" t="s">
        <v>242</v>
      </c>
      <c r="D35" s="95" t="s">
        <v>243</v>
      </c>
      <c r="E35" s="96">
        <v>4</v>
      </c>
      <c r="F35" s="97">
        <v>41866</v>
      </c>
      <c r="G35" s="98" t="s">
        <v>244</v>
      </c>
      <c r="H35" s="99">
        <v>4085696688</v>
      </c>
      <c r="I35" s="98" t="s">
        <v>245</v>
      </c>
      <c r="J35" s="97">
        <v>45154</v>
      </c>
      <c r="K35" s="98" t="s">
        <v>122</v>
      </c>
      <c r="L35" s="98" t="s">
        <v>226</v>
      </c>
      <c r="M35" s="98" t="s">
        <v>233</v>
      </c>
      <c r="N35" s="94" t="s">
        <v>41</v>
      </c>
      <c r="O35" s="100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 ht="17.25" customHeight="1">
      <c r="A36" s="93">
        <v>31</v>
      </c>
      <c r="B36" s="94" t="s">
        <v>89</v>
      </c>
      <c r="C36" s="95" t="s">
        <v>242</v>
      </c>
      <c r="D36" s="95" t="s">
        <v>243</v>
      </c>
      <c r="E36" s="96">
        <v>4</v>
      </c>
      <c r="F36" s="97">
        <v>41866</v>
      </c>
      <c r="G36" s="98" t="s">
        <v>244</v>
      </c>
      <c r="H36" s="99">
        <v>4085696688</v>
      </c>
      <c r="I36" s="98" t="s">
        <v>245</v>
      </c>
      <c r="J36" s="97">
        <v>45154</v>
      </c>
      <c r="K36" s="98" t="s">
        <v>120</v>
      </c>
      <c r="L36" s="98" t="s">
        <v>246</v>
      </c>
      <c r="M36" s="98"/>
      <c r="N36" s="94" t="s">
        <v>41</v>
      </c>
      <c r="O36" s="100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 ht="17.25" customHeight="1">
      <c r="A37" s="93">
        <v>32</v>
      </c>
      <c r="B37" s="94" t="s">
        <v>49</v>
      </c>
      <c r="C37" s="109" t="s">
        <v>247</v>
      </c>
      <c r="D37" s="109" t="s">
        <v>248</v>
      </c>
      <c r="E37" s="93">
        <v>3</v>
      </c>
      <c r="F37" s="109" t="s">
        <v>249</v>
      </c>
      <c r="G37" s="109" t="s">
        <v>250</v>
      </c>
      <c r="H37" s="110">
        <v>5103336666</v>
      </c>
      <c r="I37" s="109" t="s">
        <v>251</v>
      </c>
      <c r="J37" s="109" t="s">
        <v>148</v>
      </c>
      <c r="K37" s="98" t="s">
        <v>184</v>
      </c>
      <c r="L37" s="98" t="s">
        <v>232</v>
      </c>
      <c r="M37" s="98"/>
      <c r="N37" s="94" t="s">
        <v>41</v>
      </c>
      <c r="O37" s="100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 ht="17.25" customHeight="1">
      <c r="A38" s="93">
        <v>33</v>
      </c>
      <c r="B38" s="94" t="s">
        <v>49</v>
      </c>
      <c r="C38" s="111" t="s">
        <v>247</v>
      </c>
      <c r="D38" s="111" t="s">
        <v>252</v>
      </c>
      <c r="E38" s="93" t="s">
        <v>125</v>
      </c>
      <c r="F38" s="112">
        <v>42846</v>
      </c>
      <c r="G38" s="109" t="s">
        <v>253</v>
      </c>
      <c r="H38" s="110">
        <v>5102075030</v>
      </c>
      <c r="I38" s="109" t="s">
        <v>254</v>
      </c>
      <c r="J38" s="112">
        <v>45110</v>
      </c>
      <c r="K38" s="109" t="s">
        <v>255</v>
      </c>
      <c r="L38" s="109" t="s">
        <v>256</v>
      </c>
      <c r="M38" s="109"/>
      <c r="N38" s="94" t="s">
        <v>41</v>
      </c>
      <c r="O38" s="113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 ht="17.25" customHeight="1">
      <c r="A39" s="93">
        <v>34</v>
      </c>
      <c r="B39" s="94" t="s">
        <v>89</v>
      </c>
      <c r="C39" s="111" t="s">
        <v>247</v>
      </c>
      <c r="D39" s="111" t="s">
        <v>252</v>
      </c>
      <c r="E39" s="93" t="s">
        <v>125</v>
      </c>
      <c r="F39" s="112">
        <v>42846</v>
      </c>
      <c r="G39" s="109" t="s">
        <v>253</v>
      </c>
      <c r="H39" s="110">
        <v>5102075030</v>
      </c>
      <c r="I39" s="109" t="s">
        <v>254</v>
      </c>
      <c r="J39" s="112">
        <v>45110</v>
      </c>
      <c r="K39" s="109" t="s">
        <v>112</v>
      </c>
      <c r="L39" s="109" t="s">
        <v>113</v>
      </c>
      <c r="M39" s="109"/>
      <c r="N39" s="94" t="s">
        <v>41</v>
      </c>
      <c r="O39" s="113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 ht="17.25" customHeight="1">
      <c r="A40" s="93">
        <v>35</v>
      </c>
      <c r="B40" s="94" t="s">
        <v>49</v>
      </c>
      <c r="C40" s="111" t="s">
        <v>247</v>
      </c>
      <c r="D40" s="111" t="s">
        <v>257</v>
      </c>
      <c r="E40" s="93">
        <v>2</v>
      </c>
      <c r="F40" s="112">
        <v>42025</v>
      </c>
      <c r="G40" s="109" t="s">
        <v>253</v>
      </c>
      <c r="H40" s="110">
        <v>5102075030</v>
      </c>
      <c r="I40" s="109" t="s">
        <v>254</v>
      </c>
      <c r="J40" s="112">
        <v>45110</v>
      </c>
      <c r="K40" s="109" t="s">
        <v>258</v>
      </c>
      <c r="L40" s="109" t="s">
        <v>259</v>
      </c>
      <c r="M40" s="109"/>
      <c r="N40" s="94" t="s">
        <v>41</v>
      </c>
      <c r="O40" s="11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</row>
    <row r="41" spans="1:46" ht="17.25" customHeight="1">
      <c r="A41" s="93">
        <v>36</v>
      </c>
      <c r="B41" s="94" t="s">
        <v>89</v>
      </c>
      <c r="C41" s="111" t="s">
        <v>247</v>
      </c>
      <c r="D41" s="111" t="s">
        <v>257</v>
      </c>
      <c r="E41" s="93">
        <v>2</v>
      </c>
      <c r="F41" s="112">
        <v>42025</v>
      </c>
      <c r="G41" s="109" t="s">
        <v>253</v>
      </c>
      <c r="H41" s="110">
        <v>5102075030</v>
      </c>
      <c r="I41" s="109" t="s">
        <v>254</v>
      </c>
      <c r="J41" s="112">
        <v>45110</v>
      </c>
      <c r="K41" s="109" t="s">
        <v>260</v>
      </c>
      <c r="L41" s="109" t="s">
        <v>226</v>
      </c>
      <c r="M41" s="109"/>
      <c r="N41" s="94" t="s">
        <v>41</v>
      </c>
      <c r="O41" s="113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 ht="17.25" customHeight="1">
      <c r="A42" s="93">
        <v>37</v>
      </c>
      <c r="B42" s="94" t="s">
        <v>49</v>
      </c>
      <c r="C42" s="111" t="s">
        <v>247</v>
      </c>
      <c r="D42" s="111" t="s">
        <v>261</v>
      </c>
      <c r="E42" s="93">
        <v>4</v>
      </c>
      <c r="F42" s="112">
        <v>41496</v>
      </c>
      <c r="G42" s="109" t="s">
        <v>262</v>
      </c>
      <c r="H42" s="110">
        <v>4156099128</v>
      </c>
      <c r="I42" s="109" t="s">
        <v>263</v>
      </c>
      <c r="J42" s="112">
        <v>45082</v>
      </c>
      <c r="K42" s="109" t="s">
        <v>260</v>
      </c>
      <c r="L42" s="109" t="s">
        <v>226</v>
      </c>
      <c r="M42" s="109"/>
      <c r="N42" s="94" t="s">
        <v>41</v>
      </c>
      <c r="O42" s="11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</row>
    <row r="43" spans="1:46" ht="17.25" customHeight="1">
      <c r="A43" s="93">
        <v>38</v>
      </c>
      <c r="B43" s="94" t="s">
        <v>89</v>
      </c>
      <c r="C43" s="111" t="s">
        <v>247</v>
      </c>
      <c r="D43" s="111" t="s">
        <v>261</v>
      </c>
      <c r="E43" s="93">
        <v>4</v>
      </c>
      <c r="F43" s="112">
        <v>41496</v>
      </c>
      <c r="G43" s="109" t="s">
        <v>262</v>
      </c>
      <c r="H43" s="110">
        <v>4156099128</v>
      </c>
      <c r="I43" s="109" t="s">
        <v>263</v>
      </c>
      <c r="J43" s="112">
        <v>45082</v>
      </c>
      <c r="K43" s="109" t="s">
        <v>264</v>
      </c>
      <c r="L43" s="109" t="s">
        <v>265</v>
      </c>
      <c r="M43" s="109"/>
      <c r="N43" s="94" t="s">
        <v>41</v>
      </c>
      <c r="O43" s="113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 ht="17.25" customHeight="1">
      <c r="A44" s="93">
        <v>39</v>
      </c>
      <c r="B44" s="94" t="s">
        <v>49</v>
      </c>
      <c r="C44" s="111" t="s">
        <v>247</v>
      </c>
      <c r="D44" s="111" t="s">
        <v>266</v>
      </c>
      <c r="E44" s="93">
        <v>1</v>
      </c>
      <c r="F44" s="112">
        <v>42757</v>
      </c>
      <c r="G44" s="109" t="s">
        <v>262</v>
      </c>
      <c r="H44" s="110">
        <v>4156099128</v>
      </c>
      <c r="I44" s="109" t="s">
        <v>263</v>
      </c>
      <c r="J44" s="112">
        <v>45082</v>
      </c>
      <c r="K44" s="109" t="s">
        <v>267</v>
      </c>
      <c r="L44" s="109" t="s">
        <v>132</v>
      </c>
      <c r="M44" s="109"/>
      <c r="N44" s="94" t="s">
        <v>41</v>
      </c>
      <c r="O44" s="11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</row>
    <row r="45" spans="1:46" ht="17.25" customHeight="1">
      <c r="A45" s="93">
        <v>40</v>
      </c>
      <c r="B45" s="94" t="s">
        <v>89</v>
      </c>
      <c r="C45" s="111" t="s">
        <v>247</v>
      </c>
      <c r="D45" s="111" t="s">
        <v>266</v>
      </c>
      <c r="E45" s="93">
        <v>1</v>
      </c>
      <c r="F45" s="112">
        <v>42757</v>
      </c>
      <c r="G45" s="109" t="s">
        <v>262</v>
      </c>
      <c r="H45" s="110">
        <v>4156099128</v>
      </c>
      <c r="I45" s="109" t="s">
        <v>263</v>
      </c>
      <c r="J45" s="112">
        <v>45082</v>
      </c>
      <c r="K45" s="109" t="s">
        <v>150</v>
      </c>
      <c r="L45" s="109" t="s">
        <v>149</v>
      </c>
      <c r="M45" s="109"/>
      <c r="N45" s="94" t="s">
        <v>41</v>
      </c>
      <c r="O45" s="113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 ht="17.25" customHeight="1">
      <c r="A46" s="93">
        <v>41</v>
      </c>
      <c r="B46" s="94" t="s">
        <v>49</v>
      </c>
      <c r="C46" s="109" t="s">
        <v>268</v>
      </c>
      <c r="D46" s="109" t="s">
        <v>269</v>
      </c>
      <c r="E46" s="93" t="s">
        <v>125</v>
      </c>
      <c r="F46" s="109" t="s">
        <v>270</v>
      </c>
      <c r="G46" s="109" t="s">
        <v>271</v>
      </c>
      <c r="H46" s="110">
        <v>4083936870</v>
      </c>
      <c r="I46" s="109" t="s">
        <v>272</v>
      </c>
      <c r="J46" s="109" t="s">
        <v>273</v>
      </c>
      <c r="K46" s="98" t="s">
        <v>208</v>
      </c>
      <c r="L46" s="98" t="s">
        <v>274</v>
      </c>
      <c r="M46" s="98"/>
      <c r="N46" s="94" t="s">
        <v>41</v>
      </c>
      <c r="O46" s="100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 ht="17.25" customHeight="1">
      <c r="A47" s="93">
        <v>42</v>
      </c>
      <c r="B47" s="94" t="s">
        <v>89</v>
      </c>
      <c r="C47" s="109" t="s">
        <v>268</v>
      </c>
      <c r="D47" s="109" t="s">
        <v>269</v>
      </c>
      <c r="E47" s="93" t="s">
        <v>125</v>
      </c>
      <c r="F47" s="109" t="s">
        <v>270</v>
      </c>
      <c r="G47" s="109" t="s">
        <v>271</v>
      </c>
      <c r="H47" s="110">
        <v>4083936870</v>
      </c>
      <c r="I47" s="109" t="s">
        <v>272</v>
      </c>
      <c r="J47" s="109" t="s">
        <v>273</v>
      </c>
      <c r="K47" s="98" t="s">
        <v>201</v>
      </c>
      <c r="L47" s="98" t="s">
        <v>160</v>
      </c>
      <c r="M47" s="98"/>
      <c r="N47" s="94" t="s">
        <v>41</v>
      </c>
      <c r="O47" s="100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 ht="17.25" customHeight="1">
      <c r="A48" s="93">
        <v>43</v>
      </c>
      <c r="B48" s="94" t="s">
        <v>49</v>
      </c>
      <c r="C48" s="95" t="s">
        <v>275</v>
      </c>
      <c r="D48" s="95" t="s">
        <v>276</v>
      </c>
      <c r="E48" s="96" t="s">
        <v>125</v>
      </c>
      <c r="F48" s="97" t="s">
        <v>277</v>
      </c>
      <c r="G48" s="98" t="s">
        <v>278</v>
      </c>
      <c r="H48" s="99">
        <v>4086054758</v>
      </c>
      <c r="I48" s="98" t="s">
        <v>279</v>
      </c>
      <c r="J48" s="97" t="s">
        <v>280</v>
      </c>
      <c r="K48" s="98" t="s">
        <v>192</v>
      </c>
      <c r="L48" s="98" t="s">
        <v>246</v>
      </c>
      <c r="M48" s="98" t="s">
        <v>281</v>
      </c>
      <c r="N48" s="94" t="s">
        <v>41</v>
      </c>
      <c r="O48" s="100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 ht="17.25" customHeight="1">
      <c r="A49" s="93">
        <v>44</v>
      </c>
      <c r="B49" s="94" t="s">
        <v>49</v>
      </c>
      <c r="C49" s="109" t="s">
        <v>282</v>
      </c>
      <c r="D49" s="109" t="s">
        <v>283</v>
      </c>
      <c r="E49" s="93">
        <v>1</v>
      </c>
      <c r="F49" s="113">
        <v>42695</v>
      </c>
      <c r="G49" s="109" t="s">
        <v>284</v>
      </c>
      <c r="H49" s="110">
        <v>5103147991</v>
      </c>
      <c r="I49" s="109" t="s">
        <v>285</v>
      </c>
      <c r="J49" s="112">
        <v>45523</v>
      </c>
      <c r="K49" s="95" t="s">
        <v>286</v>
      </c>
      <c r="L49" s="95" t="s">
        <v>287</v>
      </c>
      <c r="M49" s="95"/>
      <c r="N49" s="94" t="s">
        <v>41</v>
      </c>
      <c r="O49" s="100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 ht="17.25" customHeight="1">
      <c r="A50" s="93">
        <v>45</v>
      </c>
      <c r="B50" s="94" t="s">
        <v>89</v>
      </c>
      <c r="C50" s="109" t="s">
        <v>282</v>
      </c>
      <c r="D50" s="109" t="s">
        <v>283</v>
      </c>
      <c r="E50" s="93">
        <v>1</v>
      </c>
      <c r="F50" s="113">
        <v>42695</v>
      </c>
      <c r="G50" s="109" t="s">
        <v>284</v>
      </c>
      <c r="H50" s="110">
        <v>5103147991</v>
      </c>
      <c r="I50" s="109" t="s">
        <v>285</v>
      </c>
      <c r="J50" s="112">
        <v>45523</v>
      </c>
      <c r="K50" s="95" t="s">
        <v>234</v>
      </c>
      <c r="L50" s="95" t="s">
        <v>177</v>
      </c>
      <c r="M50" s="95" t="s">
        <v>142</v>
      </c>
      <c r="N50" s="94" t="s">
        <v>41</v>
      </c>
      <c r="O50" s="100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 ht="17.25" customHeight="1">
      <c r="A51" s="93">
        <v>46</v>
      </c>
      <c r="B51" s="94" t="s">
        <v>89</v>
      </c>
      <c r="C51" s="109" t="s">
        <v>282</v>
      </c>
      <c r="D51" s="109" t="s">
        <v>288</v>
      </c>
      <c r="E51" s="93">
        <v>1</v>
      </c>
      <c r="F51" s="113">
        <v>42695</v>
      </c>
      <c r="G51" s="109" t="s">
        <v>284</v>
      </c>
      <c r="H51" s="110">
        <v>5103147991</v>
      </c>
      <c r="I51" s="109" t="s">
        <v>285</v>
      </c>
      <c r="J51" s="112">
        <v>45523</v>
      </c>
      <c r="K51" s="95" t="s">
        <v>131</v>
      </c>
      <c r="L51" s="95" t="s">
        <v>132</v>
      </c>
      <c r="M51" s="95"/>
      <c r="N51" s="94" t="s">
        <v>41</v>
      </c>
      <c r="O51" s="100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 ht="17.25" customHeight="1">
      <c r="A52" s="93">
        <v>47</v>
      </c>
      <c r="B52" s="94" t="s">
        <v>49</v>
      </c>
      <c r="C52" s="109" t="s">
        <v>282</v>
      </c>
      <c r="D52" s="109" t="s">
        <v>288</v>
      </c>
      <c r="E52" s="93">
        <v>1</v>
      </c>
      <c r="F52" s="113">
        <v>42695</v>
      </c>
      <c r="G52" s="109" t="s">
        <v>284</v>
      </c>
      <c r="H52" s="110">
        <v>5103147991</v>
      </c>
      <c r="I52" s="109" t="s">
        <v>285</v>
      </c>
      <c r="J52" s="112">
        <v>45523</v>
      </c>
      <c r="K52" s="95" t="s">
        <v>286</v>
      </c>
      <c r="L52" s="95" t="s">
        <v>246</v>
      </c>
      <c r="M52" s="95" t="s">
        <v>142</v>
      </c>
      <c r="N52" s="94" t="s">
        <v>41</v>
      </c>
      <c r="O52" s="100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 ht="17.25" customHeight="1">
      <c r="A53" s="93">
        <v>48</v>
      </c>
      <c r="B53" s="94" t="s">
        <v>49</v>
      </c>
      <c r="C53" s="95" t="s">
        <v>289</v>
      </c>
      <c r="D53" s="95" t="s">
        <v>115</v>
      </c>
      <c r="E53" s="96" t="s">
        <v>125</v>
      </c>
      <c r="F53" s="97">
        <v>43274</v>
      </c>
      <c r="G53" s="98" t="s">
        <v>290</v>
      </c>
      <c r="H53" s="99">
        <v>2544004292</v>
      </c>
      <c r="I53" s="98" t="s">
        <v>291</v>
      </c>
      <c r="J53" s="97">
        <v>45503</v>
      </c>
      <c r="K53" s="98" t="s">
        <v>292</v>
      </c>
      <c r="L53" s="98" t="s">
        <v>121</v>
      </c>
      <c r="M53" s="98"/>
      <c r="N53" s="94" t="s">
        <v>41</v>
      </c>
      <c r="O53" s="100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 ht="17.25" customHeight="1">
      <c r="A54" s="93">
        <v>49</v>
      </c>
      <c r="B54" s="94" t="s">
        <v>49</v>
      </c>
      <c r="C54" s="95" t="s">
        <v>293</v>
      </c>
      <c r="D54" s="95" t="s">
        <v>294</v>
      </c>
      <c r="E54" s="96" t="s">
        <v>154</v>
      </c>
      <c r="F54" s="97" t="s">
        <v>295</v>
      </c>
      <c r="G54" s="98" t="s">
        <v>296</v>
      </c>
      <c r="H54" s="99">
        <v>7063088178</v>
      </c>
      <c r="I54" s="98" t="s">
        <v>297</v>
      </c>
      <c r="J54" s="97" t="s">
        <v>119</v>
      </c>
      <c r="K54" s="98" t="s">
        <v>298</v>
      </c>
      <c r="L54" s="98" t="s">
        <v>209</v>
      </c>
      <c r="M54" s="98"/>
      <c r="N54" s="94" t="s">
        <v>41</v>
      </c>
      <c r="O54" s="100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 ht="17.25" customHeight="1">
      <c r="A55" s="93">
        <v>50</v>
      </c>
      <c r="B55" s="94" t="s">
        <v>89</v>
      </c>
      <c r="C55" s="95" t="s">
        <v>293</v>
      </c>
      <c r="D55" s="95" t="s">
        <v>294</v>
      </c>
      <c r="E55" s="96" t="s">
        <v>154</v>
      </c>
      <c r="F55" s="97" t="s">
        <v>295</v>
      </c>
      <c r="G55" s="98" t="s">
        <v>296</v>
      </c>
      <c r="H55" s="99">
        <v>7063088178</v>
      </c>
      <c r="I55" s="98" t="s">
        <v>297</v>
      </c>
      <c r="J55" s="97" t="s">
        <v>119</v>
      </c>
      <c r="K55" s="98" t="s">
        <v>208</v>
      </c>
      <c r="L55" s="98" t="s">
        <v>177</v>
      </c>
      <c r="M55" s="98"/>
      <c r="N55" s="94" t="s">
        <v>41</v>
      </c>
      <c r="O55" s="100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 ht="17.25" customHeight="1">
      <c r="A56" s="93">
        <v>51</v>
      </c>
      <c r="B56" s="94" t="s">
        <v>49</v>
      </c>
      <c r="C56" s="109" t="s">
        <v>293</v>
      </c>
      <c r="D56" s="109" t="s">
        <v>299</v>
      </c>
      <c r="E56" s="93">
        <v>1</v>
      </c>
      <c r="F56" s="109" t="s">
        <v>300</v>
      </c>
      <c r="G56" s="109" t="s">
        <v>301</v>
      </c>
      <c r="H56" s="110">
        <v>4088390577</v>
      </c>
      <c r="I56" s="109" t="s">
        <v>302</v>
      </c>
      <c r="J56" s="109" t="s">
        <v>303</v>
      </c>
      <c r="K56" s="98" t="s">
        <v>208</v>
      </c>
      <c r="L56" s="98" t="s">
        <v>132</v>
      </c>
      <c r="M56" s="98"/>
      <c r="N56" s="94" t="s">
        <v>41</v>
      </c>
      <c r="O56" s="100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 ht="17.25" customHeight="1">
      <c r="A57" s="93">
        <v>52</v>
      </c>
      <c r="B57" s="94" t="s">
        <v>89</v>
      </c>
      <c r="C57" s="109" t="s">
        <v>293</v>
      </c>
      <c r="D57" s="109" t="s">
        <v>299</v>
      </c>
      <c r="E57" s="93">
        <v>1</v>
      </c>
      <c r="F57" s="109" t="s">
        <v>300</v>
      </c>
      <c r="G57" s="109" t="s">
        <v>301</v>
      </c>
      <c r="H57" s="110">
        <v>4088390577</v>
      </c>
      <c r="I57" s="109" t="s">
        <v>302</v>
      </c>
      <c r="J57" s="109" t="s">
        <v>303</v>
      </c>
      <c r="K57" s="98" t="s">
        <v>304</v>
      </c>
      <c r="L57" s="98" t="s">
        <v>132</v>
      </c>
      <c r="M57" s="98"/>
      <c r="N57" s="94" t="s">
        <v>41</v>
      </c>
      <c r="O57" s="100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pans="1:46" ht="17.25" customHeight="1">
      <c r="A58" s="93">
        <v>53</v>
      </c>
      <c r="B58" s="94" t="s">
        <v>49</v>
      </c>
      <c r="C58" s="111" t="s">
        <v>305</v>
      </c>
      <c r="D58" s="111" t="s">
        <v>306</v>
      </c>
      <c r="E58" s="93">
        <v>2</v>
      </c>
      <c r="F58" s="112"/>
      <c r="G58" s="98" t="s">
        <v>307</v>
      </c>
      <c r="H58" s="99">
        <v>4088070200</v>
      </c>
      <c r="I58" s="98" t="s">
        <v>308</v>
      </c>
      <c r="J58" s="112">
        <v>45323</v>
      </c>
      <c r="K58" s="109" t="s">
        <v>231</v>
      </c>
      <c r="L58" s="109" t="s">
        <v>170</v>
      </c>
      <c r="M58" s="109" t="s">
        <v>309</v>
      </c>
      <c r="N58" s="94" t="s">
        <v>41</v>
      </c>
      <c r="O58" s="113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spans="1:46" ht="17.25" customHeight="1">
      <c r="A59" s="93">
        <v>54</v>
      </c>
      <c r="B59" s="94" t="s">
        <v>89</v>
      </c>
      <c r="C59" s="111" t="s">
        <v>305</v>
      </c>
      <c r="D59" s="111" t="s">
        <v>306</v>
      </c>
      <c r="E59" s="93">
        <v>2</v>
      </c>
      <c r="F59" s="112"/>
      <c r="G59" s="98" t="s">
        <v>307</v>
      </c>
      <c r="H59" s="99">
        <v>4088070200</v>
      </c>
      <c r="I59" s="98" t="s">
        <v>308</v>
      </c>
      <c r="J59" s="112">
        <v>45525</v>
      </c>
      <c r="K59" s="109" t="s">
        <v>131</v>
      </c>
      <c r="L59" s="109" t="s">
        <v>170</v>
      </c>
      <c r="M59" s="109"/>
      <c r="N59" s="94" t="s">
        <v>41</v>
      </c>
      <c r="O59" s="113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 spans="1:46" ht="17.25" customHeight="1">
      <c r="A60" s="93">
        <v>55</v>
      </c>
      <c r="B60" s="124" t="s">
        <v>49</v>
      </c>
      <c r="C60" s="125" t="s">
        <v>310</v>
      </c>
      <c r="D60" s="125" t="s">
        <v>311</v>
      </c>
      <c r="E60" s="126">
        <v>5</v>
      </c>
      <c r="F60" s="127">
        <v>41572</v>
      </c>
      <c r="G60" s="128" t="s">
        <v>312</v>
      </c>
      <c r="H60" s="129">
        <v>6503838201</v>
      </c>
      <c r="I60" s="128" t="s">
        <v>313</v>
      </c>
      <c r="J60" s="127">
        <v>45232</v>
      </c>
      <c r="K60" s="130" t="s">
        <v>167</v>
      </c>
      <c r="L60" s="128" t="s">
        <v>121</v>
      </c>
      <c r="M60" s="128" t="s">
        <v>314</v>
      </c>
      <c r="N60" s="124" t="s">
        <v>35</v>
      </c>
      <c r="O60" s="131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</row>
    <row r="61" spans="1:46" ht="17.25" customHeight="1">
      <c r="A61" s="93">
        <v>56</v>
      </c>
      <c r="B61" s="94" t="s">
        <v>49</v>
      </c>
      <c r="C61" s="111" t="s">
        <v>315</v>
      </c>
      <c r="D61" s="111" t="s">
        <v>316</v>
      </c>
      <c r="E61" s="93" t="s">
        <v>189</v>
      </c>
      <c r="F61" s="112">
        <v>43461</v>
      </c>
      <c r="G61" s="98" t="s">
        <v>317</v>
      </c>
      <c r="H61" s="99">
        <v>4086803486</v>
      </c>
      <c r="I61" s="98" t="s">
        <v>318</v>
      </c>
      <c r="J61" s="112">
        <v>45323</v>
      </c>
      <c r="K61" s="109" t="s">
        <v>286</v>
      </c>
      <c r="L61" s="109" t="s">
        <v>216</v>
      </c>
      <c r="M61" s="109"/>
      <c r="N61" s="94" t="s">
        <v>41</v>
      </c>
      <c r="O61" s="113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spans="1:46" ht="17.25" customHeight="1">
      <c r="A62" s="93">
        <v>57</v>
      </c>
      <c r="B62" s="94" t="s">
        <v>89</v>
      </c>
      <c r="C62" s="111" t="s">
        <v>315</v>
      </c>
      <c r="D62" s="111" t="s">
        <v>316</v>
      </c>
      <c r="E62" s="93" t="s">
        <v>189</v>
      </c>
      <c r="F62" s="112">
        <v>43461</v>
      </c>
      <c r="G62" s="98" t="s">
        <v>317</v>
      </c>
      <c r="H62" s="99">
        <v>4086803486</v>
      </c>
      <c r="I62" s="98" t="s">
        <v>318</v>
      </c>
      <c r="J62" s="112">
        <v>45352</v>
      </c>
      <c r="K62" s="109" t="s">
        <v>131</v>
      </c>
      <c r="L62" s="109" t="s">
        <v>256</v>
      </c>
      <c r="M62" s="109"/>
      <c r="N62" s="94" t="s">
        <v>41</v>
      </c>
      <c r="O62" s="113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 spans="1:46" ht="17.25" customHeight="1">
      <c r="A63" s="93">
        <v>58</v>
      </c>
      <c r="B63" s="94" t="s">
        <v>49</v>
      </c>
      <c r="C63" s="109" t="s">
        <v>319</v>
      </c>
      <c r="D63" s="109" t="s">
        <v>320</v>
      </c>
      <c r="E63" s="93">
        <v>4</v>
      </c>
      <c r="F63" s="109" t="s">
        <v>321</v>
      </c>
      <c r="G63" s="109" t="s">
        <v>322</v>
      </c>
      <c r="H63" s="110">
        <v>4436532199</v>
      </c>
      <c r="I63" s="109" t="s">
        <v>323</v>
      </c>
      <c r="J63" s="109" t="s">
        <v>129</v>
      </c>
      <c r="K63" s="98" t="s">
        <v>267</v>
      </c>
      <c r="L63" s="98" t="s">
        <v>324</v>
      </c>
      <c r="M63" s="98" t="s">
        <v>325</v>
      </c>
      <c r="N63" s="94" t="s">
        <v>41</v>
      </c>
      <c r="O63" s="100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 spans="1:46" ht="17.25" customHeight="1">
      <c r="A64" s="93">
        <v>59</v>
      </c>
      <c r="B64" s="94" t="s">
        <v>89</v>
      </c>
      <c r="C64" s="109" t="s">
        <v>319</v>
      </c>
      <c r="D64" s="109" t="s">
        <v>320</v>
      </c>
      <c r="E64" s="93">
        <v>4</v>
      </c>
      <c r="F64" s="109" t="s">
        <v>321</v>
      </c>
      <c r="G64" s="109" t="s">
        <v>322</v>
      </c>
      <c r="H64" s="110">
        <v>4436532199</v>
      </c>
      <c r="I64" s="109" t="s">
        <v>323</v>
      </c>
      <c r="J64" s="109" t="s">
        <v>129</v>
      </c>
      <c r="K64" s="98" t="s">
        <v>150</v>
      </c>
      <c r="L64" s="98" t="s">
        <v>232</v>
      </c>
      <c r="M64" s="98" t="s">
        <v>325</v>
      </c>
      <c r="N64" s="94" t="s">
        <v>41</v>
      </c>
      <c r="O64" s="100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 spans="1:46" ht="17.25" customHeight="1">
      <c r="A65" s="93">
        <v>60</v>
      </c>
      <c r="B65" s="94" t="s">
        <v>49</v>
      </c>
      <c r="C65" s="111" t="s">
        <v>326</v>
      </c>
      <c r="D65" s="111" t="s">
        <v>327</v>
      </c>
      <c r="E65" s="93">
        <v>1</v>
      </c>
      <c r="F65" s="112">
        <v>42977</v>
      </c>
      <c r="G65" s="98" t="s">
        <v>328</v>
      </c>
      <c r="H65" s="99">
        <v>8173712065</v>
      </c>
      <c r="I65" s="98" t="s">
        <v>329</v>
      </c>
      <c r="J65" s="112">
        <v>45174</v>
      </c>
      <c r="K65" s="109" t="s">
        <v>122</v>
      </c>
      <c r="L65" s="109" t="s">
        <v>151</v>
      </c>
      <c r="M65" s="109"/>
      <c r="N65" s="94" t="s">
        <v>41</v>
      </c>
      <c r="O65" s="113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 spans="1:46" ht="17.25" customHeight="1">
      <c r="A66" s="93">
        <v>61</v>
      </c>
      <c r="B66" s="94" t="s">
        <v>49</v>
      </c>
      <c r="C66" s="111" t="s">
        <v>326</v>
      </c>
      <c r="D66" s="111" t="s">
        <v>330</v>
      </c>
      <c r="E66" s="93" t="s">
        <v>125</v>
      </c>
      <c r="F66" s="112">
        <v>42867</v>
      </c>
      <c r="G66" s="98" t="s">
        <v>331</v>
      </c>
      <c r="H66" s="99">
        <v>4086432868</v>
      </c>
      <c r="I66" s="98" t="s">
        <v>332</v>
      </c>
      <c r="J66" s="109" t="s">
        <v>129</v>
      </c>
      <c r="K66" s="109" t="s">
        <v>184</v>
      </c>
      <c r="L66" s="109" t="s">
        <v>121</v>
      </c>
      <c r="M66" s="109" t="s">
        <v>333</v>
      </c>
      <c r="N66" s="94" t="s">
        <v>41</v>
      </c>
      <c r="O66" s="100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 spans="1:46" ht="17.25" customHeight="1">
      <c r="A67" s="93">
        <v>62</v>
      </c>
      <c r="B67" s="94" t="s">
        <v>89</v>
      </c>
      <c r="C67" s="111" t="s">
        <v>326</v>
      </c>
      <c r="D67" s="111" t="s">
        <v>330</v>
      </c>
      <c r="E67" s="93" t="s">
        <v>125</v>
      </c>
      <c r="F67" s="112">
        <v>42867</v>
      </c>
      <c r="G67" s="98" t="s">
        <v>331</v>
      </c>
      <c r="H67" s="99">
        <v>4086432868</v>
      </c>
      <c r="I67" s="98" t="s">
        <v>332</v>
      </c>
      <c r="J67" s="109" t="s">
        <v>129</v>
      </c>
      <c r="K67" s="109" t="s">
        <v>150</v>
      </c>
      <c r="L67" s="109" t="s">
        <v>334</v>
      </c>
      <c r="M67" s="109" t="s">
        <v>233</v>
      </c>
      <c r="N67" s="94" t="s">
        <v>41</v>
      </c>
      <c r="O67" s="100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spans="1:46" ht="17.25" customHeight="1">
      <c r="A68" s="93">
        <v>63</v>
      </c>
      <c r="B68" s="124" t="s">
        <v>49</v>
      </c>
      <c r="C68" s="133" t="s">
        <v>335</v>
      </c>
      <c r="D68" s="133" t="s">
        <v>336</v>
      </c>
      <c r="E68" s="134">
        <v>4</v>
      </c>
      <c r="F68" s="135" t="s">
        <v>337</v>
      </c>
      <c r="G68" s="136" t="s">
        <v>338</v>
      </c>
      <c r="H68" s="137">
        <v>6028204006</v>
      </c>
      <c r="I68" s="136" t="s">
        <v>339</v>
      </c>
      <c r="J68" s="135" t="s">
        <v>340</v>
      </c>
      <c r="K68" s="136" t="s">
        <v>122</v>
      </c>
      <c r="L68" s="136" t="s">
        <v>246</v>
      </c>
      <c r="M68" s="136"/>
      <c r="N68" s="124" t="s">
        <v>35</v>
      </c>
      <c r="O68" s="138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</row>
    <row r="69" spans="1:46" ht="17.25" customHeight="1">
      <c r="A69" s="93">
        <v>64</v>
      </c>
      <c r="B69" s="124" t="s">
        <v>89</v>
      </c>
      <c r="C69" s="133" t="s">
        <v>335</v>
      </c>
      <c r="D69" s="133" t="s">
        <v>336</v>
      </c>
      <c r="E69" s="134">
        <v>4</v>
      </c>
      <c r="F69" s="135" t="s">
        <v>337</v>
      </c>
      <c r="G69" s="136" t="s">
        <v>338</v>
      </c>
      <c r="H69" s="137">
        <v>6028204006</v>
      </c>
      <c r="I69" s="136" t="s">
        <v>339</v>
      </c>
      <c r="J69" s="135" t="s">
        <v>340</v>
      </c>
      <c r="K69" s="136" t="s">
        <v>120</v>
      </c>
      <c r="L69" s="136" t="s">
        <v>341</v>
      </c>
      <c r="M69" s="136" t="s">
        <v>142</v>
      </c>
      <c r="N69" s="124" t="s">
        <v>35</v>
      </c>
      <c r="O69" s="138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</row>
    <row r="70" spans="1:46" ht="17.25" customHeight="1">
      <c r="A70" s="93">
        <v>65</v>
      </c>
      <c r="B70" s="94" t="s">
        <v>49</v>
      </c>
      <c r="C70" s="95" t="s">
        <v>342</v>
      </c>
      <c r="D70" s="95" t="s">
        <v>343</v>
      </c>
      <c r="E70" s="96">
        <v>6</v>
      </c>
      <c r="F70" s="97">
        <v>41061</v>
      </c>
      <c r="G70" s="98" t="s">
        <v>344</v>
      </c>
      <c r="H70" s="99">
        <v>4088139160</v>
      </c>
      <c r="I70" s="98" t="s">
        <v>345</v>
      </c>
      <c r="J70" s="97">
        <v>45156</v>
      </c>
      <c r="K70" s="98" t="s">
        <v>255</v>
      </c>
      <c r="L70" s="98" t="s">
        <v>346</v>
      </c>
      <c r="M70" s="98"/>
      <c r="N70" s="94" t="s">
        <v>41</v>
      </c>
      <c r="O70" s="100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spans="1:46" ht="17.25" customHeight="1">
      <c r="A71" s="93">
        <v>66</v>
      </c>
      <c r="B71" s="94" t="s">
        <v>89</v>
      </c>
      <c r="C71" s="95" t="s">
        <v>342</v>
      </c>
      <c r="D71" s="95" t="s">
        <v>343</v>
      </c>
      <c r="E71" s="96">
        <v>6</v>
      </c>
      <c r="F71" s="97">
        <v>41061</v>
      </c>
      <c r="G71" s="98" t="s">
        <v>344</v>
      </c>
      <c r="H71" s="99">
        <v>4088139160</v>
      </c>
      <c r="I71" s="98" t="s">
        <v>345</v>
      </c>
      <c r="J71" s="97">
        <v>45156</v>
      </c>
      <c r="K71" s="98" t="s">
        <v>347</v>
      </c>
      <c r="L71" s="98" t="s">
        <v>274</v>
      </c>
      <c r="M71" s="98"/>
      <c r="N71" s="94" t="s">
        <v>41</v>
      </c>
      <c r="O71" s="100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3"/>
      <c r="AG71" s="123"/>
      <c r="AH71" s="123"/>
      <c r="AI71" s="123"/>
      <c r="AJ71" s="123"/>
      <c r="AK71" s="123"/>
      <c r="AL71" s="123"/>
      <c r="AM71" s="123"/>
      <c r="AN71" s="123"/>
      <c r="AO71" s="123"/>
      <c r="AP71" s="123"/>
      <c r="AQ71" s="123"/>
      <c r="AR71" s="123"/>
      <c r="AS71" s="123"/>
      <c r="AT71" s="123"/>
    </row>
    <row r="72" spans="1:46" ht="17.25" customHeight="1">
      <c r="A72" s="93">
        <v>67</v>
      </c>
      <c r="B72" s="94" t="s">
        <v>49</v>
      </c>
      <c r="C72" s="109" t="s">
        <v>348</v>
      </c>
      <c r="D72" s="109" t="s">
        <v>349</v>
      </c>
      <c r="E72" s="93">
        <v>2</v>
      </c>
      <c r="F72" s="109">
        <v>42348</v>
      </c>
      <c r="G72" s="109" t="s">
        <v>350</v>
      </c>
      <c r="H72" s="110">
        <v>4157228574</v>
      </c>
      <c r="I72" s="109" t="s">
        <v>351</v>
      </c>
      <c r="J72" s="109" t="s">
        <v>352</v>
      </c>
      <c r="K72" s="98" t="s">
        <v>184</v>
      </c>
      <c r="L72" s="98" t="s">
        <v>140</v>
      </c>
      <c r="M72" s="98" t="s">
        <v>65</v>
      </c>
      <c r="N72" s="94" t="s">
        <v>41</v>
      </c>
      <c r="O72" s="100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spans="1:46" ht="17.25" customHeight="1">
      <c r="A73" s="93">
        <v>68</v>
      </c>
      <c r="B73" s="94" t="s">
        <v>89</v>
      </c>
      <c r="C73" s="109" t="s">
        <v>348</v>
      </c>
      <c r="D73" s="109" t="s">
        <v>349</v>
      </c>
      <c r="E73" s="93">
        <v>2</v>
      </c>
      <c r="F73" s="109">
        <v>42348</v>
      </c>
      <c r="G73" s="109" t="s">
        <v>350</v>
      </c>
      <c r="H73" s="110">
        <v>4157228574</v>
      </c>
      <c r="I73" s="109" t="s">
        <v>351</v>
      </c>
      <c r="J73" s="109" t="s">
        <v>352</v>
      </c>
      <c r="K73" s="98" t="s">
        <v>120</v>
      </c>
      <c r="L73" s="98" t="s">
        <v>113</v>
      </c>
      <c r="M73" s="98"/>
      <c r="N73" s="94" t="s">
        <v>41</v>
      </c>
      <c r="O73" s="100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 spans="1:46" ht="17.25" customHeight="1">
      <c r="A74" s="93">
        <v>69</v>
      </c>
      <c r="B74" s="94" t="s">
        <v>49</v>
      </c>
      <c r="C74" s="109" t="s">
        <v>353</v>
      </c>
      <c r="D74" s="109" t="s">
        <v>354</v>
      </c>
      <c r="E74" s="93">
        <v>2</v>
      </c>
      <c r="F74" s="109" t="s">
        <v>355</v>
      </c>
      <c r="G74" s="109" t="s">
        <v>356</v>
      </c>
      <c r="H74" s="110">
        <v>3473220327</v>
      </c>
      <c r="I74" s="109" t="s">
        <v>357</v>
      </c>
      <c r="J74" s="109" t="s">
        <v>358</v>
      </c>
      <c r="K74" s="98" t="s">
        <v>286</v>
      </c>
      <c r="L74" s="98" t="s">
        <v>359</v>
      </c>
      <c r="M74" s="98" t="s">
        <v>360</v>
      </c>
      <c r="N74" s="94" t="s">
        <v>41</v>
      </c>
      <c r="O74" s="100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 spans="1:46" ht="17.25" customHeight="1">
      <c r="A75" s="93">
        <v>70</v>
      </c>
      <c r="B75" s="94" t="s">
        <v>89</v>
      </c>
      <c r="C75" s="109" t="s">
        <v>353</v>
      </c>
      <c r="D75" s="109" t="s">
        <v>354</v>
      </c>
      <c r="E75" s="93">
        <v>2</v>
      </c>
      <c r="F75" s="109" t="s">
        <v>355</v>
      </c>
      <c r="G75" s="109" t="s">
        <v>356</v>
      </c>
      <c r="H75" s="110">
        <v>3473220327</v>
      </c>
      <c r="I75" s="109" t="s">
        <v>357</v>
      </c>
      <c r="J75" s="109" t="s">
        <v>358</v>
      </c>
      <c r="K75" s="98" t="s">
        <v>234</v>
      </c>
      <c r="L75" s="98" t="s">
        <v>132</v>
      </c>
      <c r="M75" s="98" t="s">
        <v>360</v>
      </c>
      <c r="N75" s="94" t="s">
        <v>41</v>
      </c>
      <c r="O75" s="100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 spans="1:46" ht="17.25" customHeight="1">
      <c r="A76" s="93">
        <v>71</v>
      </c>
      <c r="B76" s="124" t="s">
        <v>49</v>
      </c>
      <c r="C76" s="133" t="s">
        <v>361</v>
      </c>
      <c r="D76" s="133" t="s">
        <v>362</v>
      </c>
      <c r="E76" s="134" t="s">
        <v>125</v>
      </c>
      <c r="F76" s="135" t="s">
        <v>363</v>
      </c>
      <c r="G76" s="136" t="s">
        <v>364</v>
      </c>
      <c r="H76" s="137">
        <v>4052306385</v>
      </c>
      <c r="I76" s="136" t="s">
        <v>365</v>
      </c>
      <c r="J76" s="135" t="s">
        <v>240</v>
      </c>
      <c r="K76" s="136" t="s">
        <v>366</v>
      </c>
      <c r="L76" s="136" t="s">
        <v>367</v>
      </c>
      <c r="M76" s="136"/>
      <c r="N76" s="124" t="s">
        <v>35</v>
      </c>
      <c r="O76" s="138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</row>
    <row r="77" spans="1:46" ht="17.25" customHeight="1">
      <c r="A77" s="93">
        <v>72</v>
      </c>
      <c r="B77" s="124" t="s">
        <v>49</v>
      </c>
      <c r="C77" s="133" t="s">
        <v>368</v>
      </c>
      <c r="D77" s="133" t="s">
        <v>369</v>
      </c>
      <c r="E77" s="134" t="s">
        <v>125</v>
      </c>
      <c r="F77" s="135" t="s">
        <v>363</v>
      </c>
      <c r="G77" s="136" t="s">
        <v>364</v>
      </c>
      <c r="H77" s="137">
        <v>4052306385</v>
      </c>
      <c r="I77" s="136" t="s">
        <v>365</v>
      </c>
      <c r="J77" s="135" t="s">
        <v>240</v>
      </c>
      <c r="K77" s="136" t="s">
        <v>292</v>
      </c>
      <c r="L77" s="136" t="s">
        <v>177</v>
      </c>
      <c r="M77" s="136"/>
      <c r="N77" s="124" t="s">
        <v>35</v>
      </c>
      <c r="O77" s="138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39"/>
      <c r="AI77" s="139"/>
      <c r="AJ77" s="139"/>
      <c r="AK77" s="139"/>
      <c r="AL77" s="139"/>
      <c r="AM77" s="139"/>
      <c r="AN77" s="139"/>
      <c r="AO77" s="139"/>
      <c r="AP77" s="139"/>
      <c r="AQ77" s="139"/>
      <c r="AR77" s="139"/>
      <c r="AS77" s="139"/>
      <c r="AT77" s="139"/>
    </row>
    <row r="78" spans="1:46" ht="17.25" customHeight="1">
      <c r="A78" s="93">
        <v>73</v>
      </c>
      <c r="B78" s="94" t="s">
        <v>49</v>
      </c>
      <c r="C78" s="111" t="s">
        <v>370</v>
      </c>
      <c r="D78" s="111" t="s">
        <v>371</v>
      </c>
      <c r="E78" s="93">
        <v>5</v>
      </c>
      <c r="F78" s="112">
        <v>41349</v>
      </c>
      <c r="G78" s="109" t="s">
        <v>372</v>
      </c>
      <c r="H78" s="110" t="s">
        <v>373</v>
      </c>
      <c r="I78" s="109" t="s">
        <v>374</v>
      </c>
      <c r="J78" s="112">
        <v>45103</v>
      </c>
      <c r="K78" s="109" t="s">
        <v>167</v>
      </c>
      <c r="L78" s="109" t="s">
        <v>375</v>
      </c>
      <c r="M78" s="109"/>
      <c r="N78" s="94" t="s">
        <v>41</v>
      </c>
      <c r="O78" s="113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spans="1:46" ht="17.25" customHeight="1">
      <c r="A79" s="93">
        <v>74</v>
      </c>
      <c r="B79" s="94" t="s">
        <v>89</v>
      </c>
      <c r="C79" s="111" t="s">
        <v>370</v>
      </c>
      <c r="D79" s="111" t="s">
        <v>371</v>
      </c>
      <c r="E79" s="93">
        <v>5</v>
      </c>
      <c r="F79" s="112">
        <v>41349</v>
      </c>
      <c r="G79" s="109" t="s">
        <v>372</v>
      </c>
      <c r="H79" s="110" t="s">
        <v>373</v>
      </c>
      <c r="I79" s="109" t="s">
        <v>374</v>
      </c>
      <c r="J79" s="112">
        <v>45103</v>
      </c>
      <c r="K79" s="109" t="s">
        <v>112</v>
      </c>
      <c r="L79" s="109" t="s">
        <v>376</v>
      </c>
      <c r="M79" s="109"/>
      <c r="N79" s="94" t="s">
        <v>41</v>
      </c>
      <c r="O79" s="11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  <c r="AE79" s="123"/>
      <c r="AF79" s="123"/>
      <c r="AG79" s="123"/>
      <c r="AH79" s="123"/>
      <c r="AI79" s="123"/>
      <c r="AJ79" s="123"/>
      <c r="AK79" s="123"/>
      <c r="AL79" s="123"/>
      <c r="AM79" s="123"/>
      <c r="AN79" s="123"/>
      <c r="AO79" s="123"/>
      <c r="AP79" s="123"/>
      <c r="AQ79" s="123"/>
      <c r="AR79" s="123"/>
      <c r="AS79" s="123"/>
      <c r="AT79" s="123"/>
    </row>
    <row r="80" spans="1:46" ht="17.25" customHeight="1">
      <c r="A80" s="93">
        <v>75</v>
      </c>
      <c r="B80" s="94" t="s">
        <v>49</v>
      </c>
      <c r="C80" s="109" t="s">
        <v>370</v>
      </c>
      <c r="D80" s="109" t="s">
        <v>377</v>
      </c>
      <c r="E80" s="93">
        <v>4</v>
      </c>
      <c r="F80" s="109" t="s">
        <v>378</v>
      </c>
      <c r="G80" s="109" t="s">
        <v>379</v>
      </c>
      <c r="H80" s="110">
        <v>6266790497</v>
      </c>
      <c r="I80" s="109" t="s">
        <v>380</v>
      </c>
      <c r="J80" s="109" t="s">
        <v>381</v>
      </c>
      <c r="K80" s="98" t="s">
        <v>260</v>
      </c>
      <c r="L80" s="98" t="s">
        <v>382</v>
      </c>
      <c r="M80" s="98" t="s">
        <v>360</v>
      </c>
      <c r="N80" s="94" t="s">
        <v>41</v>
      </c>
      <c r="O80" s="100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 spans="1:46" ht="17.25" customHeight="1">
      <c r="A81" s="93">
        <v>76</v>
      </c>
      <c r="B81" s="94" t="s">
        <v>89</v>
      </c>
      <c r="C81" s="109" t="s">
        <v>370</v>
      </c>
      <c r="D81" s="109" t="s">
        <v>377</v>
      </c>
      <c r="E81" s="93">
        <v>4</v>
      </c>
      <c r="F81" s="109" t="s">
        <v>378</v>
      </c>
      <c r="G81" s="109" t="s">
        <v>379</v>
      </c>
      <c r="H81" s="110">
        <v>6266790497</v>
      </c>
      <c r="I81" s="109" t="s">
        <v>380</v>
      </c>
      <c r="J81" s="109" t="s">
        <v>381</v>
      </c>
      <c r="K81" s="98" t="s">
        <v>169</v>
      </c>
      <c r="L81" s="98" t="s">
        <v>383</v>
      </c>
      <c r="M81" s="98" t="s">
        <v>360</v>
      </c>
      <c r="N81" s="94" t="s">
        <v>41</v>
      </c>
      <c r="O81" s="100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spans="1:46" ht="17.25" customHeight="1">
      <c r="A82" s="93">
        <v>77</v>
      </c>
      <c r="B82" s="94" t="s">
        <v>49</v>
      </c>
      <c r="C82" s="111" t="s">
        <v>370</v>
      </c>
      <c r="D82" s="111" t="s">
        <v>115</v>
      </c>
      <c r="E82" s="93" t="s">
        <v>125</v>
      </c>
      <c r="F82" s="112">
        <v>42707</v>
      </c>
      <c r="G82" s="109" t="s">
        <v>384</v>
      </c>
      <c r="H82" s="110">
        <v>5108969910</v>
      </c>
      <c r="I82" s="109" t="s">
        <v>385</v>
      </c>
      <c r="J82" s="112">
        <v>44805</v>
      </c>
      <c r="K82" s="109" t="s">
        <v>366</v>
      </c>
      <c r="L82" s="109" t="s">
        <v>386</v>
      </c>
      <c r="M82" s="109"/>
      <c r="N82" s="94" t="s">
        <v>41</v>
      </c>
      <c r="O82" s="113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spans="1:46" ht="17.25" customHeight="1">
      <c r="A83" s="93">
        <v>78</v>
      </c>
      <c r="B83" s="94" t="s">
        <v>89</v>
      </c>
      <c r="C83" s="111" t="s">
        <v>370</v>
      </c>
      <c r="D83" s="111" t="s">
        <v>115</v>
      </c>
      <c r="E83" s="93" t="s">
        <v>125</v>
      </c>
      <c r="F83" s="112">
        <v>42707</v>
      </c>
      <c r="G83" s="109" t="s">
        <v>384</v>
      </c>
      <c r="H83" s="110">
        <v>5108969910</v>
      </c>
      <c r="I83" s="109" t="s">
        <v>385</v>
      </c>
      <c r="J83" s="112">
        <v>44805</v>
      </c>
      <c r="K83" s="109" t="s">
        <v>387</v>
      </c>
      <c r="L83" s="109" t="s">
        <v>388</v>
      </c>
      <c r="M83" s="109"/>
      <c r="N83" s="94" t="s">
        <v>41</v>
      </c>
      <c r="O83" s="113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spans="1:46" ht="17.25" customHeight="1">
      <c r="A84" s="93">
        <v>79</v>
      </c>
      <c r="B84" s="94" t="s">
        <v>49</v>
      </c>
      <c r="C84" s="109" t="s">
        <v>370</v>
      </c>
      <c r="D84" s="109" t="s">
        <v>389</v>
      </c>
      <c r="E84" s="93">
        <v>4</v>
      </c>
      <c r="F84" s="109" t="s">
        <v>390</v>
      </c>
      <c r="G84" s="109" t="s">
        <v>391</v>
      </c>
      <c r="H84" s="110">
        <v>7324916636</v>
      </c>
      <c r="I84" s="109" t="s">
        <v>392</v>
      </c>
      <c r="J84" s="109" t="s">
        <v>129</v>
      </c>
      <c r="K84" s="98" t="s">
        <v>167</v>
      </c>
      <c r="L84" s="98" t="s">
        <v>149</v>
      </c>
      <c r="M84" s="98"/>
      <c r="N84" s="94" t="s">
        <v>41</v>
      </c>
      <c r="O84" s="100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spans="1:46" ht="17.25" customHeight="1">
      <c r="A85" s="93">
        <v>80</v>
      </c>
      <c r="B85" s="94" t="s">
        <v>89</v>
      </c>
      <c r="C85" s="109" t="s">
        <v>370</v>
      </c>
      <c r="D85" s="109" t="s">
        <v>389</v>
      </c>
      <c r="E85" s="93">
        <v>4</v>
      </c>
      <c r="F85" s="109" t="s">
        <v>390</v>
      </c>
      <c r="G85" s="109" t="s">
        <v>391</v>
      </c>
      <c r="H85" s="110">
        <v>7324916636</v>
      </c>
      <c r="I85" s="109" t="s">
        <v>392</v>
      </c>
      <c r="J85" s="109" t="s">
        <v>129</v>
      </c>
      <c r="K85" s="98" t="s">
        <v>120</v>
      </c>
      <c r="L85" s="98" t="s">
        <v>141</v>
      </c>
      <c r="M85" s="98"/>
      <c r="N85" s="94" t="s">
        <v>41</v>
      </c>
      <c r="O85" s="100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spans="1:46" ht="17.25" customHeight="1">
      <c r="A86" s="93">
        <v>81</v>
      </c>
      <c r="B86" s="94" t="s">
        <v>49</v>
      </c>
      <c r="C86" s="109" t="s">
        <v>370</v>
      </c>
      <c r="D86" s="109" t="s">
        <v>393</v>
      </c>
      <c r="E86" s="93">
        <v>2</v>
      </c>
      <c r="F86" s="109" t="s">
        <v>394</v>
      </c>
      <c r="G86" s="109" t="s">
        <v>379</v>
      </c>
      <c r="H86" s="110">
        <v>6266790497</v>
      </c>
      <c r="I86" s="109" t="s">
        <v>380</v>
      </c>
      <c r="J86" s="109" t="s">
        <v>381</v>
      </c>
      <c r="K86" s="98" t="s">
        <v>267</v>
      </c>
      <c r="L86" s="98" t="s">
        <v>367</v>
      </c>
      <c r="M86" s="98" t="s">
        <v>360</v>
      </c>
      <c r="N86" s="94" t="s">
        <v>41</v>
      </c>
      <c r="O86" s="100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spans="1:46" ht="17.25" customHeight="1">
      <c r="A87" s="93">
        <v>82</v>
      </c>
      <c r="B87" s="94" t="s">
        <v>89</v>
      </c>
      <c r="C87" s="109" t="s">
        <v>370</v>
      </c>
      <c r="D87" s="109" t="s">
        <v>393</v>
      </c>
      <c r="E87" s="93">
        <v>2</v>
      </c>
      <c r="F87" s="109" t="s">
        <v>394</v>
      </c>
      <c r="G87" s="109" t="s">
        <v>379</v>
      </c>
      <c r="H87" s="110">
        <v>6266790497</v>
      </c>
      <c r="I87" s="109" t="s">
        <v>380</v>
      </c>
      <c r="J87" s="109" t="s">
        <v>381</v>
      </c>
      <c r="K87" s="98" t="s">
        <v>120</v>
      </c>
      <c r="L87" s="98" t="s">
        <v>151</v>
      </c>
      <c r="M87" s="98" t="s">
        <v>360</v>
      </c>
      <c r="N87" s="94" t="s">
        <v>41</v>
      </c>
      <c r="O87" s="100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spans="1:46" ht="17.25" customHeight="1">
      <c r="A88" s="93">
        <v>83</v>
      </c>
      <c r="B88" s="94" t="s">
        <v>49</v>
      </c>
      <c r="C88" s="109" t="s">
        <v>395</v>
      </c>
      <c r="D88" s="109" t="s">
        <v>115</v>
      </c>
      <c r="E88" s="93">
        <v>2</v>
      </c>
      <c r="F88" s="109" t="s">
        <v>396</v>
      </c>
      <c r="G88" s="109" t="s">
        <v>397</v>
      </c>
      <c r="H88" s="110">
        <v>4087591928</v>
      </c>
      <c r="I88" s="109" t="s">
        <v>398</v>
      </c>
      <c r="J88" s="109" t="s">
        <v>303</v>
      </c>
      <c r="K88" s="98" t="s">
        <v>231</v>
      </c>
      <c r="L88" s="98" t="s">
        <v>209</v>
      </c>
      <c r="M88" s="98"/>
      <c r="N88" s="94" t="s">
        <v>41</v>
      </c>
      <c r="O88" s="100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spans="1:46" ht="17.25" customHeight="1">
      <c r="A89" s="93">
        <v>84</v>
      </c>
      <c r="B89" s="94" t="s">
        <v>89</v>
      </c>
      <c r="C89" s="109" t="s">
        <v>395</v>
      </c>
      <c r="D89" s="109" t="s">
        <v>115</v>
      </c>
      <c r="E89" s="93">
        <v>2</v>
      </c>
      <c r="F89" s="109" t="s">
        <v>396</v>
      </c>
      <c r="G89" s="109" t="s">
        <v>397</v>
      </c>
      <c r="H89" s="110">
        <v>4087591928</v>
      </c>
      <c r="I89" s="109" t="s">
        <v>398</v>
      </c>
      <c r="J89" s="109" t="s">
        <v>303</v>
      </c>
      <c r="K89" s="98" t="s">
        <v>131</v>
      </c>
      <c r="L89" s="98" t="s">
        <v>160</v>
      </c>
      <c r="M89" s="98"/>
      <c r="N89" s="94" t="s">
        <v>41</v>
      </c>
      <c r="O89" s="100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spans="1:46" ht="17.25" customHeight="1">
      <c r="A90" s="93">
        <v>85</v>
      </c>
      <c r="B90" s="94" t="s">
        <v>49</v>
      </c>
      <c r="C90" s="109" t="s">
        <v>395</v>
      </c>
      <c r="D90" s="109" t="s">
        <v>399</v>
      </c>
      <c r="E90" s="93">
        <v>4</v>
      </c>
      <c r="F90" s="109" t="s">
        <v>390</v>
      </c>
      <c r="G90" s="109" t="s">
        <v>397</v>
      </c>
      <c r="H90" s="110">
        <v>4087591928</v>
      </c>
      <c r="I90" s="109" t="s">
        <v>398</v>
      </c>
      <c r="J90" s="109" t="s">
        <v>303</v>
      </c>
      <c r="K90" s="98" t="s">
        <v>184</v>
      </c>
      <c r="L90" s="98" t="s">
        <v>160</v>
      </c>
      <c r="M90" s="98"/>
      <c r="N90" s="94" t="s">
        <v>41</v>
      </c>
      <c r="O90" s="100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 spans="1:46" ht="17.25" customHeight="1">
      <c r="A91" s="93">
        <v>86</v>
      </c>
      <c r="B91" s="94" t="s">
        <v>89</v>
      </c>
      <c r="C91" s="109" t="s">
        <v>395</v>
      </c>
      <c r="D91" s="109" t="s">
        <v>399</v>
      </c>
      <c r="E91" s="93">
        <v>4</v>
      </c>
      <c r="F91" s="109" t="s">
        <v>390</v>
      </c>
      <c r="G91" s="109" t="s">
        <v>397</v>
      </c>
      <c r="H91" s="110">
        <v>4087591928</v>
      </c>
      <c r="I91" s="109" t="s">
        <v>398</v>
      </c>
      <c r="J91" s="109" t="s">
        <v>303</v>
      </c>
      <c r="K91" s="98" t="s">
        <v>150</v>
      </c>
      <c r="L91" s="98" t="s">
        <v>121</v>
      </c>
      <c r="M91" s="98"/>
      <c r="N91" s="94" t="s">
        <v>41</v>
      </c>
      <c r="O91" s="100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spans="1:46" ht="17.25" customHeight="1">
      <c r="A92" s="93">
        <v>87</v>
      </c>
      <c r="B92" s="94" t="s">
        <v>49</v>
      </c>
      <c r="C92" s="109" t="s">
        <v>400</v>
      </c>
      <c r="D92" s="109" t="s">
        <v>401</v>
      </c>
      <c r="E92" s="93">
        <v>2</v>
      </c>
      <c r="F92" s="109" t="s">
        <v>402</v>
      </c>
      <c r="G92" s="109" t="s">
        <v>403</v>
      </c>
      <c r="H92" s="110">
        <v>4085108805</v>
      </c>
      <c r="I92" s="109" t="s">
        <v>404</v>
      </c>
      <c r="J92" s="109" t="s">
        <v>358</v>
      </c>
      <c r="K92" s="98" t="s">
        <v>231</v>
      </c>
      <c r="L92" s="98" t="s">
        <v>216</v>
      </c>
      <c r="M92" s="98"/>
      <c r="N92" s="94" t="s">
        <v>41</v>
      </c>
      <c r="O92" s="100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spans="1:46" ht="17.25" customHeight="1">
      <c r="A93" s="93">
        <v>88</v>
      </c>
      <c r="B93" s="94" t="s">
        <v>89</v>
      </c>
      <c r="C93" s="109" t="s">
        <v>400</v>
      </c>
      <c r="D93" s="109" t="s">
        <v>401</v>
      </c>
      <c r="E93" s="93">
        <v>2</v>
      </c>
      <c r="F93" s="109" t="s">
        <v>402</v>
      </c>
      <c r="G93" s="109" t="s">
        <v>403</v>
      </c>
      <c r="H93" s="110">
        <v>4085108805</v>
      </c>
      <c r="I93" s="109" t="s">
        <v>404</v>
      </c>
      <c r="J93" s="109" t="s">
        <v>358</v>
      </c>
      <c r="K93" s="98" t="s">
        <v>120</v>
      </c>
      <c r="L93" s="98" t="s">
        <v>149</v>
      </c>
      <c r="M93" s="98"/>
      <c r="N93" s="94" t="s">
        <v>41</v>
      </c>
      <c r="O93" s="100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spans="1:46" ht="17.25" customHeight="1">
      <c r="A94" s="93">
        <v>89</v>
      </c>
      <c r="B94" s="94" t="s">
        <v>49</v>
      </c>
      <c r="C94" s="109" t="s">
        <v>400</v>
      </c>
      <c r="D94" s="109" t="s">
        <v>405</v>
      </c>
      <c r="E94" s="93">
        <v>4</v>
      </c>
      <c r="F94" s="109" t="s">
        <v>406</v>
      </c>
      <c r="G94" s="109" t="s">
        <v>403</v>
      </c>
      <c r="H94" s="110">
        <v>4085108805</v>
      </c>
      <c r="I94" s="109" t="s">
        <v>404</v>
      </c>
      <c r="J94" s="109" t="s">
        <v>358</v>
      </c>
      <c r="K94" s="98" t="s">
        <v>407</v>
      </c>
      <c r="L94" s="98" t="s">
        <v>386</v>
      </c>
      <c r="M94" s="98"/>
      <c r="N94" s="94" t="s">
        <v>41</v>
      </c>
      <c r="O94" s="100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spans="1:46" ht="17.25" customHeight="1">
      <c r="A95" s="93">
        <v>90</v>
      </c>
      <c r="B95" s="94" t="s">
        <v>89</v>
      </c>
      <c r="C95" s="109" t="s">
        <v>400</v>
      </c>
      <c r="D95" s="109" t="s">
        <v>405</v>
      </c>
      <c r="E95" s="93">
        <v>4</v>
      </c>
      <c r="F95" s="109" t="s">
        <v>406</v>
      </c>
      <c r="G95" s="109" t="s">
        <v>403</v>
      </c>
      <c r="H95" s="110">
        <v>4085108805</v>
      </c>
      <c r="I95" s="109" t="s">
        <v>404</v>
      </c>
      <c r="J95" s="109" t="s">
        <v>358</v>
      </c>
      <c r="K95" s="98" t="s">
        <v>258</v>
      </c>
      <c r="L95" s="98" t="s">
        <v>194</v>
      </c>
      <c r="M95" s="98"/>
      <c r="N95" s="94" t="s">
        <v>41</v>
      </c>
      <c r="O95" s="100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spans="1:46" ht="17.25" customHeight="1">
      <c r="A96" s="93">
        <v>91</v>
      </c>
      <c r="B96" s="94" t="s">
        <v>49</v>
      </c>
      <c r="C96" s="109" t="s">
        <v>408</v>
      </c>
      <c r="D96" s="109" t="s">
        <v>409</v>
      </c>
      <c r="E96" s="93">
        <v>4</v>
      </c>
      <c r="F96" s="109" t="s">
        <v>410</v>
      </c>
      <c r="G96" s="109" t="s">
        <v>411</v>
      </c>
      <c r="H96" s="110">
        <v>4085076346</v>
      </c>
      <c r="I96" s="109" t="s">
        <v>412</v>
      </c>
      <c r="J96" s="109" t="s">
        <v>129</v>
      </c>
      <c r="K96" s="98" t="s">
        <v>176</v>
      </c>
      <c r="L96" s="98" t="s">
        <v>132</v>
      </c>
      <c r="M96" s="98" t="s">
        <v>413</v>
      </c>
      <c r="N96" s="94" t="s">
        <v>41</v>
      </c>
      <c r="O96" s="100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spans="1:46" ht="17.25" customHeight="1">
      <c r="A97" s="93">
        <v>92</v>
      </c>
      <c r="B97" s="94" t="s">
        <v>49</v>
      </c>
      <c r="C97" s="109" t="s">
        <v>408</v>
      </c>
      <c r="D97" s="109" t="s">
        <v>414</v>
      </c>
      <c r="E97" s="93">
        <v>4</v>
      </c>
      <c r="F97" s="109" t="s">
        <v>410</v>
      </c>
      <c r="G97" s="109" t="s">
        <v>411</v>
      </c>
      <c r="H97" s="110">
        <v>4085076346</v>
      </c>
      <c r="I97" s="109" t="s">
        <v>412</v>
      </c>
      <c r="J97" s="109" t="s">
        <v>129</v>
      </c>
      <c r="K97" s="98" t="s">
        <v>176</v>
      </c>
      <c r="L97" s="98" t="s">
        <v>132</v>
      </c>
      <c r="M97" s="98" t="s">
        <v>413</v>
      </c>
      <c r="N97" s="94" t="s">
        <v>41</v>
      </c>
      <c r="O97" s="100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spans="1:46" ht="17.25" customHeight="1">
      <c r="A98" s="93">
        <v>93</v>
      </c>
      <c r="B98" s="94" t="s">
        <v>49</v>
      </c>
      <c r="C98" s="95" t="s">
        <v>415</v>
      </c>
      <c r="D98" s="95" t="s">
        <v>416</v>
      </c>
      <c r="E98" s="96">
        <v>1</v>
      </c>
      <c r="F98" s="97">
        <v>42976</v>
      </c>
      <c r="G98" s="98" t="s">
        <v>417</v>
      </c>
      <c r="H98" s="99">
        <v>5105579050</v>
      </c>
      <c r="I98" s="98" t="s">
        <v>418</v>
      </c>
      <c r="J98" s="97">
        <v>45174</v>
      </c>
      <c r="K98" s="98" t="s">
        <v>366</v>
      </c>
      <c r="L98" s="98" t="s">
        <v>367</v>
      </c>
      <c r="M98" s="98"/>
      <c r="N98" s="94" t="s">
        <v>41</v>
      </c>
      <c r="O98" s="100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spans="1:46" ht="17.25" customHeight="1">
      <c r="A99" s="93">
        <v>94</v>
      </c>
      <c r="B99" s="94" t="s">
        <v>89</v>
      </c>
      <c r="C99" s="95" t="s">
        <v>415</v>
      </c>
      <c r="D99" s="95" t="s">
        <v>416</v>
      </c>
      <c r="E99" s="96">
        <v>1</v>
      </c>
      <c r="F99" s="97">
        <v>42976</v>
      </c>
      <c r="G99" s="98" t="s">
        <v>417</v>
      </c>
      <c r="H99" s="99">
        <v>5105579050</v>
      </c>
      <c r="I99" s="98" t="s">
        <v>418</v>
      </c>
      <c r="J99" s="97">
        <v>45174</v>
      </c>
      <c r="K99" s="98" t="s">
        <v>120</v>
      </c>
      <c r="L99" s="98" t="s">
        <v>419</v>
      </c>
      <c r="M99" s="98"/>
      <c r="N99" s="94" t="s">
        <v>41</v>
      </c>
      <c r="O99" s="100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spans="1:46" ht="17.25" customHeight="1">
      <c r="A100" s="93">
        <v>95</v>
      </c>
      <c r="B100" s="124" t="s">
        <v>49</v>
      </c>
      <c r="C100" s="133" t="s">
        <v>420</v>
      </c>
      <c r="D100" s="133" t="s">
        <v>421</v>
      </c>
      <c r="E100" s="134" t="s">
        <v>125</v>
      </c>
      <c r="F100" s="135" t="s">
        <v>422</v>
      </c>
      <c r="G100" s="136" t="s">
        <v>423</v>
      </c>
      <c r="H100" s="137">
        <v>6692158549</v>
      </c>
      <c r="I100" s="136" t="s">
        <v>424</v>
      </c>
      <c r="J100" s="135" t="s">
        <v>240</v>
      </c>
      <c r="K100" s="136" t="s">
        <v>208</v>
      </c>
      <c r="L100" s="136" t="s">
        <v>160</v>
      </c>
      <c r="M100" s="136"/>
      <c r="N100" s="124" t="s">
        <v>35</v>
      </c>
      <c r="O100" s="138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132"/>
      <c r="AP100" s="132"/>
      <c r="AQ100" s="132"/>
      <c r="AR100" s="132"/>
      <c r="AS100" s="132"/>
      <c r="AT100" s="132"/>
    </row>
    <row r="101" spans="1:46" ht="17.25" customHeight="1">
      <c r="A101" s="93">
        <v>96</v>
      </c>
      <c r="B101" s="94" t="s">
        <v>49</v>
      </c>
      <c r="C101" s="109" t="s">
        <v>425</v>
      </c>
      <c r="D101" s="109" t="s">
        <v>371</v>
      </c>
      <c r="E101" s="93">
        <v>4</v>
      </c>
      <c r="F101" s="109" t="s">
        <v>426</v>
      </c>
      <c r="G101" s="109" t="s">
        <v>427</v>
      </c>
      <c r="H101" s="110">
        <v>3104608958</v>
      </c>
      <c r="I101" s="109" t="s">
        <v>428</v>
      </c>
      <c r="J101" s="109" t="s">
        <v>303</v>
      </c>
      <c r="K101" s="98" t="s">
        <v>184</v>
      </c>
      <c r="L101" s="98" t="s">
        <v>185</v>
      </c>
      <c r="M101" s="98"/>
      <c r="N101" s="94" t="s">
        <v>41</v>
      </c>
      <c r="O101" s="100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spans="1:46" ht="17.25" customHeight="1">
      <c r="A102" s="93">
        <v>97</v>
      </c>
      <c r="B102" s="94" t="s">
        <v>89</v>
      </c>
      <c r="C102" s="109" t="s">
        <v>425</v>
      </c>
      <c r="D102" s="109" t="s">
        <v>371</v>
      </c>
      <c r="E102" s="93">
        <v>4</v>
      </c>
      <c r="F102" s="109" t="s">
        <v>426</v>
      </c>
      <c r="G102" s="109" t="s">
        <v>427</v>
      </c>
      <c r="H102" s="110">
        <v>3104608958</v>
      </c>
      <c r="I102" s="109" t="s">
        <v>428</v>
      </c>
      <c r="J102" s="109" t="s">
        <v>303</v>
      </c>
      <c r="K102" s="98" t="s">
        <v>120</v>
      </c>
      <c r="L102" s="98" t="s">
        <v>170</v>
      </c>
      <c r="M102" s="98"/>
      <c r="N102" s="94" t="s">
        <v>41</v>
      </c>
      <c r="O102" s="100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spans="1:46" ht="17.25" customHeight="1">
      <c r="A103" s="93">
        <v>98</v>
      </c>
      <c r="B103" s="140" t="s">
        <v>49</v>
      </c>
      <c r="C103" s="141" t="s">
        <v>429</v>
      </c>
      <c r="D103" s="141" t="s">
        <v>430</v>
      </c>
      <c r="E103" s="140">
        <v>6</v>
      </c>
      <c r="F103" s="142" t="s">
        <v>431</v>
      </c>
      <c r="G103" s="141" t="s">
        <v>432</v>
      </c>
      <c r="H103" s="143" t="s">
        <v>433</v>
      </c>
      <c r="I103" s="141" t="s">
        <v>434</v>
      </c>
      <c r="J103" s="144">
        <v>45536</v>
      </c>
      <c r="K103" s="141" t="s">
        <v>176</v>
      </c>
      <c r="L103" s="141" t="s">
        <v>435</v>
      </c>
      <c r="M103" s="141" t="s">
        <v>436</v>
      </c>
      <c r="N103" s="145" t="s">
        <v>84</v>
      </c>
      <c r="O103" s="144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  <c r="AJ103" s="146"/>
      <c r="AK103" s="146"/>
      <c r="AL103" s="146"/>
      <c r="AM103" s="146"/>
      <c r="AN103" s="146"/>
      <c r="AO103" s="146"/>
      <c r="AP103" s="146"/>
      <c r="AQ103" s="146"/>
      <c r="AR103" s="146"/>
      <c r="AS103" s="146"/>
      <c r="AT103" s="146"/>
    </row>
    <row r="104" spans="1:46" ht="17.25" customHeight="1">
      <c r="A104" s="93">
        <v>99</v>
      </c>
      <c r="B104" s="140" t="s">
        <v>89</v>
      </c>
      <c r="C104" s="141" t="s">
        <v>429</v>
      </c>
      <c r="D104" s="141" t="s">
        <v>437</v>
      </c>
      <c r="E104" s="140">
        <v>9</v>
      </c>
      <c r="F104" s="142" t="s">
        <v>438</v>
      </c>
      <c r="G104" s="141" t="s">
        <v>432</v>
      </c>
      <c r="H104" s="143" t="s">
        <v>433</v>
      </c>
      <c r="I104" s="141" t="s">
        <v>434</v>
      </c>
      <c r="J104" s="144">
        <v>45536</v>
      </c>
      <c r="K104" s="141" t="s">
        <v>264</v>
      </c>
      <c r="L104" s="141" t="s">
        <v>121</v>
      </c>
      <c r="M104" s="141" t="s">
        <v>436</v>
      </c>
      <c r="N104" s="145" t="s">
        <v>84</v>
      </c>
      <c r="O104" s="144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  <c r="AJ104" s="146"/>
      <c r="AK104" s="146"/>
      <c r="AL104" s="146"/>
      <c r="AM104" s="146"/>
      <c r="AN104" s="146"/>
      <c r="AO104" s="146"/>
      <c r="AP104" s="146"/>
      <c r="AQ104" s="146"/>
      <c r="AR104" s="146"/>
      <c r="AS104" s="146"/>
      <c r="AT104" s="146"/>
    </row>
    <row r="105" spans="1:46" ht="17.25" customHeight="1">
      <c r="A105" s="93">
        <v>100</v>
      </c>
      <c r="B105" s="140" t="s">
        <v>49</v>
      </c>
      <c r="C105" s="141" t="s">
        <v>439</v>
      </c>
      <c r="D105" s="141" t="s">
        <v>440</v>
      </c>
      <c r="E105" s="140">
        <v>4</v>
      </c>
      <c r="F105" s="142">
        <v>42277</v>
      </c>
      <c r="G105" s="141" t="s">
        <v>441</v>
      </c>
      <c r="H105" s="143">
        <v>3472777326</v>
      </c>
      <c r="I105" s="141" t="s">
        <v>442</v>
      </c>
      <c r="J105" s="144">
        <v>45536</v>
      </c>
      <c r="K105" s="141" t="s">
        <v>122</v>
      </c>
      <c r="L105" s="141" t="s">
        <v>149</v>
      </c>
      <c r="M105" s="141"/>
      <c r="N105" s="145" t="s">
        <v>85</v>
      </c>
      <c r="O105" s="141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  <c r="AJ105" s="146"/>
      <c r="AK105" s="146"/>
      <c r="AL105" s="146"/>
      <c r="AM105" s="146"/>
      <c r="AN105" s="146"/>
      <c r="AO105" s="146"/>
      <c r="AP105" s="146"/>
      <c r="AQ105" s="146"/>
      <c r="AR105" s="146"/>
      <c r="AS105" s="146"/>
      <c r="AT105" s="146"/>
    </row>
    <row r="106" spans="1:46" ht="17.25" customHeight="1">
      <c r="A106" s="93">
        <v>101</v>
      </c>
      <c r="B106" s="147" t="s">
        <v>89</v>
      </c>
      <c r="C106" s="148" t="s">
        <v>439</v>
      </c>
      <c r="D106" s="148" t="s">
        <v>440</v>
      </c>
      <c r="E106" s="147">
        <v>4</v>
      </c>
      <c r="F106" s="149">
        <v>42277</v>
      </c>
      <c r="G106" s="148" t="s">
        <v>441</v>
      </c>
      <c r="H106" s="150">
        <v>3472777326</v>
      </c>
      <c r="I106" s="148" t="s">
        <v>442</v>
      </c>
      <c r="J106" s="151">
        <v>45536</v>
      </c>
      <c r="K106" s="148" t="s">
        <v>150</v>
      </c>
      <c r="L106" s="148" t="s">
        <v>259</v>
      </c>
      <c r="M106" s="148"/>
      <c r="N106" s="152" t="s">
        <v>85</v>
      </c>
      <c r="O106" s="148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  <c r="AC106" s="153"/>
      <c r="AD106" s="153"/>
      <c r="AE106" s="153"/>
      <c r="AF106" s="153"/>
      <c r="AG106" s="153"/>
      <c r="AH106" s="153"/>
      <c r="AI106" s="153"/>
      <c r="AJ106" s="153"/>
      <c r="AK106" s="153"/>
      <c r="AL106" s="153"/>
      <c r="AM106" s="153"/>
      <c r="AN106" s="153"/>
      <c r="AO106" s="153"/>
      <c r="AP106" s="153"/>
      <c r="AQ106" s="153"/>
      <c r="AR106" s="153"/>
      <c r="AS106" s="153"/>
      <c r="AT106" s="153"/>
    </row>
    <row r="107" spans="1:46" ht="17.25" customHeight="1">
      <c r="A107" s="93">
        <v>102</v>
      </c>
      <c r="B107" s="154" t="s">
        <v>49</v>
      </c>
      <c r="C107" s="141" t="s">
        <v>439</v>
      </c>
      <c r="D107" s="155" t="s">
        <v>443</v>
      </c>
      <c r="E107" s="154">
        <v>1</v>
      </c>
      <c r="F107" s="156">
        <v>43431</v>
      </c>
      <c r="G107" s="155" t="s">
        <v>444</v>
      </c>
      <c r="H107" s="143">
        <v>3472777326</v>
      </c>
      <c r="I107" s="155" t="s">
        <v>442</v>
      </c>
      <c r="J107" s="144">
        <v>45536</v>
      </c>
      <c r="K107" s="155" t="s">
        <v>225</v>
      </c>
      <c r="L107" s="155" t="s">
        <v>445</v>
      </c>
      <c r="M107" s="155"/>
      <c r="N107" s="145" t="s">
        <v>85</v>
      </c>
      <c r="O107" s="155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  <c r="AJ107" s="146"/>
      <c r="AK107" s="146"/>
      <c r="AL107" s="146"/>
      <c r="AM107" s="146"/>
      <c r="AN107" s="146"/>
      <c r="AO107" s="146"/>
      <c r="AP107" s="146"/>
      <c r="AQ107" s="146"/>
      <c r="AR107" s="146"/>
      <c r="AS107" s="146"/>
      <c r="AT107" s="146"/>
    </row>
    <row r="108" spans="1:46" ht="17.25" customHeight="1">
      <c r="A108" s="93">
        <v>103</v>
      </c>
      <c r="B108" s="157" t="s">
        <v>89</v>
      </c>
      <c r="C108" s="158" t="s">
        <v>439</v>
      </c>
      <c r="D108" s="158" t="s">
        <v>443</v>
      </c>
      <c r="E108" s="157">
        <v>1</v>
      </c>
      <c r="F108" s="159">
        <v>43431</v>
      </c>
      <c r="G108" s="158" t="s">
        <v>444</v>
      </c>
      <c r="H108" s="150">
        <v>3472777326</v>
      </c>
      <c r="I108" s="158" t="s">
        <v>442</v>
      </c>
      <c r="J108" s="151">
        <v>45536</v>
      </c>
      <c r="K108" s="158" t="s">
        <v>446</v>
      </c>
      <c r="L108" s="158" t="s">
        <v>274</v>
      </c>
      <c r="M108" s="158"/>
      <c r="N108" s="152" t="s">
        <v>85</v>
      </c>
      <c r="O108" s="158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  <c r="AC108" s="153"/>
      <c r="AD108" s="153"/>
      <c r="AE108" s="153"/>
      <c r="AF108" s="153"/>
      <c r="AG108" s="153"/>
      <c r="AH108" s="153"/>
      <c r="AI108" s="153"/>
      <c r="AJ108" s="153"/>
      <c r="AK108" s="153"/>
      <c r="AL108" s="153"/>
      <c r="AM108" s="153"/>
      <c r="AN108" s="153"/>
      <c r="AO108" s="153"/>
      <c r="AP108" s="153"/>
      <c r="AQ108" s="153"/>
      <c r="AR108" s="153"/>
      <c r="AS108" s="153"/>
      <c r="AT108" s="153"/>
    </row>
    <row r="109" spans="1:46" ht="17.25" customHeight="1">
      <c r="A109" s="93">
        <v>104</v>
      </c>
      <c r="B109" s="154" t="s">
        <v>49</v>
      </c>
      <c r="C109" s="155" t="s">
        <v>447</v>
      </c>
      <c r="D109" s="155" t="s">
        <v>448</v>
      </c>
      <c r="E109" s="154">
        <v>3</v>
      </c>
      <c r="F109" s="156">
        <v>42342</v>
      </c>
      <c r="G109" s="160" t="s">
        <v>449</v>
      </c>
      <c r="H109" s="161">
        <v>4084214334</v>
      </c>
      <c r="I109" s="155" t="s">
        <v>450</v>
      </c>
      <c r="J109" s="162">
        <v>45536</v>
      </c>
      <c r="K109" s="155" t="s">
        <v>267</v>
      </c>
      <c r="L109" s="155" t="s">
        <v>451</v>
      </c>
      <c r="M109" s="155"/>
      <c r="N109" s="145" t="s">
        <v>84</v>
      </c>
      <c r="O109" s="155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  <c r="AJ109" s="146"/>
      <c r="AK109" s="146"/>
      <c r="AL109" s="146"/>
      <c r="AM109" s="146"/>
      <c r="AN109" s="146"/>
      <c r="AO109" s="146"/>
      <c r="AP109" s="146"/>
      <c r="AQ109" s="146"/>
      <c r="AR109" s="146"/>
      <c r="AS109" s="146"/>
      <c r="AT109" s="146"/>
    </row>
    <row r="110" spans="1:46" ht="17.25" customHeight="1">
      <c r="A110" s="93">
        <v>105</v>
      </c>
      <c r="B110" s="157" t="s">
        <v>89</v>
      </c>
      <c r="C110" s="158" t="s">
        <v>447</v>
      </c>
      <c r="D110" s="158" t="s">
        <v>448</v>
      </c>
      <c r="E110" s="157">
        <v>3</v>
      </c>
      <c r="F110" s="163">
        <v>42342</v>
      </c>
      <c r="G110" s="164" t="s">
        <v>449</v>
      </c>
      <c r="H110" s="165">
        <v>4084214334</v>
      </c>
      <c r="I110" s="158" t="s">
        <v>450</v>
      </c>
      <c r="J110" s="166">
        <v>45536</v>
      </c>
      <c r="K110" s="158" t="s">
        <v>112</v>
      </c>
      <c r="L110" s="158" t="s">
        <v>121</v>
      </c>
      <c r="M110" s="158"/>
      <c r="N110" s="152" t="s">
        <v>84</v>
      </c>
      <c r="O110" s="158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  <c r="AC110" s="153"/>
      <c r="AD110" s="153"/>
      <c r="AE110" s="153"/>
      <c r="AF110" s="153"/>
      <c r="AG110" s="153"/>
      <c r="AH110" s="153"/>
      <c r="AI110" s="153"/>
      <c r="AJ110" s="153"/>
      <c r="AK110" s="153"/>
      <c r="AL110" s="153"/>
      <c r="AM110" s="153"/>
      <c r="AN110" s="153"/>
      <c r="AO110" s="153"/>
      <c r="AP110" s="153"/>
      <c r="AQ110" s="153"/>
      <c r="AR110" s="153"/>
      <c r="AS110" s="153"/>
      <c r="AT110" s="153"/>
    </row>
    <row r="111" spans="1:46" ht="17.25" customHeight="1">
      <c r="A111" s="93">
        <v>106</v>
      </c>
      <c r="B111" s="167" t="s">
        <v>49</v>
      </c>
      <c r="C111" s="168" t="s">
        <v>123</v>
      </c>
      <c r="D111" s="168" t="s">
        <v>452</v>
      </c>
      <c r="E111" s="169">
        <v>2</v>
      </c>
      <c r="F111" s="170">
        <v>42989</v>
      </c>
      <c r="G111" s="171" t="s">
        <v>453</v>
      </c>
      <c r="H111" s="172">
        <v>4082104112</v>
      </c>
      <c r="I111" s="171" t="s">
        <v>454</v>
      </c>
      <c r="J111" s="173">
        <v>45537</v>
      </c>
      <c r="K111" s="171" t="s">
        <v>208</v>
      </c>
      <c r="L111" s="171" t="s">
        <v>386</v>
      </c>
      <c r="M111" s="171"/>
      <c r="N111" s="174" t="s">
        <v>83</v>
      </c>
      <c r="O111" s="175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  <c r="AH111" s="176"/>
      <c r="AI111" s="176"/>
      <c r="AJ111" s="176"/>
      <c r="AK111" s="176"/>
      <c r="AL111" s="176"/>
      <c r="AM111" s="176"/>
      <c r="AN111" s="176"/>
      <c r="AO111" s="176"/>
      <c r="AP111" s="176"/>
      <c r="AQ111" s="176"/>
      <c r="AR111" s="176"/>
      <c r="AS111" s="176"/>
      <c r="AT111" s="176"/>
    </row>
    <row r="112" spans="1:46" ht="17.25" customHeight="1">
      <c r="A112" s="93">
        <v>107</v>
      </c>
      <c r="B112" s="167" t="s">
        <v>49</v>
      </c>
      <c r="C112" s="168" t="s">
        <v>242</v>
      </c>
      <c r="D112" s="168" t="s">
        <v>455</v>
      </c>
      <c r="E112" s="169" t="s">
        <v>125</v>
      </c>
      <c r="F112" s="170">
        <v>43798</v>
      </c>
      <c r="G112" s="171" t="s">
        <v>456</v>
      </c>
      <c r="H112" s="177">
        <v>5102075030</v>
      </c>
      <c r="I112" s="171" t="s">
        <v>254</v>
      </c>
      <c r="J112" s="173">
        <v>45537</v>
      </c>
      <c r="K112" s="171" t="s">
        <v>159</v>
      </c>
      <c r="L112" s="171" t="s">
        <v>246</v>
      </c>
      <c r="M112" s="171"/>
      <c r="N112" s="174" t="s">
        <v>83</v>
      </c>
      <c r="O112" s="175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  <c r="AH112" s="176"/>
      <c r="AI112" s="176"/>
      <c r="AJ112" s="176"/>
      <c r="AK112" s="176"/>
      <c r="AL112" s="176"/>
      <c r="AM112" s="176"/>
      <c r="AN112" s="176"/>
      <c r="AO112" s="176"/>
      <c r="AP112" s="176"/>
      <c r="AQ112" s="176"/>
      <c r="AR112" s="176"/>
      <c r="AS112" s="176"/>
      <c r="AT112" s="176"/>
    </row>
    <row r="113" spans="1:46" ht="17.25" customHeight="1">
      <c r="A113" s="93">
        <v>108</v>
      </c>
      <c r="B113" s="167" t="s">
        <v>49</v>
      </c>
      <c r="C113" s="168" t="s">
        <v>123</v>
      </c>
      <c r="D113" s="168" t="s">
        <v>457</v>
      </c>
      <c r="E113" s="169">
        <v>1</v>
      </c>
      <c r="F113" s="170">
        <v>43091</v>
      </c>
      <c r="G113" s="171" t="s">
        <v>458</v>
      </c>
      <c r="H113" s="172">
        <v>6509967701</v>
      </c>
      <c r="I113" s="171" t="s">
        <v>459</v>
      </c>
      <c r="J113" s="173">
        <v>45537</v>
      </c>
      <c r="K113" s="171" t="s">
        <v>208</v>
      </c>
      <c r="L113" s="171" t="s">
        <v>132</v>
      </c>
      <c r="M113" s="171"/>
      <c r="N113" s="174" t="s">
        <v>83</v>
      </c>
      <c r="O113" s="175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  <c r="AH113" s="176"/>
      <c r="AI113" s="176"/>
      <c r="AJ113" s="176"/>
      <c r="AK113" s="176"/>
      <c r="AL113" s="176"/>
      <c r="AM113" s="176"/>
      <c r="AN113" s="176"/>
      <c r="AO113" s="176"/>
      <c r="AP113" s="176"/>
      <c r="AQ113" s="176"/>
      <c r="AR113" s="176"/>
      <c r="AS113" s="176"/>
      <c r="AT113" s="176"/>
    </row>
    <row r="114" spans="1:46" ht="17.25" customHeight="1">
      <c r="A114" s="93">
        <v>109</v>
      </c>
      <c r="B114" s="178" t="s">
        <v>89</v>
      </c>
      <c r="C114" s="179" t="s">
        <v>123</v>
      </c>
      <c r="D114" s="179" t="s">
        <v>457</v>
      </c>
      <c r="E114" s="180">
        <v>1</v>
      </c>
      <c r="F114" s="181">
        <v>43091</v>
      </c>
      <c r="G114" s="182" t="s">
        <v>458</v>
      </c>
      <c r="H114" s="183">
        <v>6509967701</v>
      </c>
      <c r="I114" s="184" t="s">
        <v>459</v>
      </c>
      <c r="J114" s="185">
        <v>45537</v>
      </c>
      <c r="K114" s="184" t="s">
        <v>304</v>
      </c>
      <c r="L114" s="184" t="s">
        <v>209</v>
      </c>
      <c r="M114" s="184"/>
      <c r="N114" s="186" t="s">
        <v>83</v>
      </c>
      <c r="O114" s="187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</row>
    <row r="115" spans="1:46" ht="17.25" customHeight="1">
      <c r="A115" s="93">
        <v>110</v>
      </c>
      <c r="B115" s="189" t="s">
        <v>49</v>
      </c>
      <c r="C115" s="190" t="s">
        <v>460</v>
      </c>
      <c r="D115" s="190" t="s">
        <v>461</v>
      </c>
      <c r="E115" s="191">
        <v>1</v>
      </c>
      <c r="F115" s="192">
        <v>43329</v>
      </c>
      <c r="G115" s="193" t="s">
        <v>462</v>
      </c>
      <c r="H115" s="194">
        <v>6692438102</v>
      </c>
      <c r="I115" s="193" t="s">
        <v>463</v>
      </c>
      <c r="J115" s="195">
        <v>45536</v>
      </c>
      <c r="K115" s="193" t="s">
        <v>286</v>
      </c>
      <c r="L115" s="193" t="s">
        <v>121</v>
      </c>
      <c r="M115" s="193"/>
      <c r="N115" s="145" t="s">
        <v>85</v>
      </c>
      <c r="O115" s="196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  <c r="AR115" s="197"/>
      <c r="AS115" s="197"/>
      <c r="AT115" s="197"/>
    </row>
    <row r="116" spans="1:46" ht="17.25" customHeight="1">
      <c r="A116" s="93">
        <v>111</v>
      </c>
      <c r="B116" s="198" t="s">
        <v>89</v>
      </c>
      <c r="C116" s="199" t="s">
        <v>460</v>
      </c>
      <c r="D116" s="199" t="s">
        <v>461</v>
      </c>
      <c r="E116" s="200">
        <v>1</v>
      </c>
      <c r="F116" s="201">
        <v>43329</v>
      </c>
      <c r="G116" s="202" t="s">
        <v>462</v>
      </c>
      <c r="H116" s="203">
        <v>6692438102</v>
      </c>
      <c r="I116" s="202" t="s">
        <v>464</v>
      </c>
      <c r="J116" s="204">
        <v>45536</v>
      </c>
      <c r="K116" s="202" t="s">
        <v>446</v>
      </c>
      <c r="L116" s="202" t="s">
        <v>151</v>
      </c>
      <c r="M116" s="202"/>
      <c r="N116" s="152" t="s">
        <v>85</v>
      </c>
      <c r="O116" s="205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  <c r="AA116" s="206"/>
      <c r="AB116" s="206"/>
      <c r="AC116" s="206"/>
      <c r="AD116" s="206"/>
      <c r="AE116" s="206"/>
      <c r="AF116" s="206"/>
      <c r="AG116" s="206"/>
      <c r="AH116" s="206"/>
      <c r="AI116" s="206"/>
      <c r="AJ116" s="206"/>
      <c r="AK116" s="206"/>
      <c r="AL116" s="206"/>
      <c r="AM116" s="206"/>
      <c r="AN116" s="206"/>
      <c r="AO116" s="206"/>
      <c r="AP116" s="206"/>
      <c r="AQ116" s="206"/>
      <c r="AR116" s="206"/>
      <c r="AS116" s="206"/>
      <c r="AT116" s="206"/>
    </row>
    <row r="117" spans="1:46" ht="17.25" customHeight="1">
      <c r="A117" s="93">
        <v>112</v>
      </c>
      <c r="B117" s="145" t="s">
        <v>49</v>
      </c>
      <c r="C117" s="207" t="s">
        <v>348</v>
      </c>
      <c r="D117" s="207" t="s">
        <v>465</v>
      </c>
      <c r="E117" s="140">
        <v>1</v>
      </c>
      <c r="F117" s="142">
        <v>42086</v>
      </c>
      <c r="G117" s="141" t="s">
        <v>466</v>
      </c>
      <c r="H117" s="143">
        <v>5109848496</v>
      </c>
      <c r="I117" s="141" t="s">
        <v>467</v>
      </c>
      <c r="J117" s="208">
        <v>45536</v>
      </c>
      <c r="K117" s="141" t="s">
        <v>176</v>
      </c>
      <c r="L117" s="141" t="s">
        <v>468</v>
      </c>
      <c r="M117" s="141" t="s">
        <v>469</v>
      </c>
      <c r="N117" s="145" t="s">
        <v>84</v>
      </c>
      <c r="O117" s="144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09"/>
      <c r="AK117" s="209"/>
      <c r="AL117" s="209"/>
      <c r="AM117" s="209"/>
      <c r="AN117" s="209"/>
      <c r="AO117" s="209"/>
      <c r="AP117" s="209"/>
      <c r="AQ117" s="209"/>
      <c r="AR117" s="209"/>
      <c r="AS117" s="209"/>
      <c r="AT117" s="209"/>
    </row>
    <row r="118" spans="1:46" ht="17.25" customHeight="1">
      <c r="A118" s="93">
        <v>113</v>
      </c>
      <c r="B118" s="152" t="s">
        <v>89</v>
      </c>
      <c r="C118" s="210" t="s">
        <v>348</v>
      </c>
      <c r="D118" s="210" t="s">
        <v>465</v>
      </c>
      <c r="E118" s="147">
        <v>1</v>
      </c>
      <c r="F118" s="149">
        <v>42086</v>
      </c>
      <c r="G118" s="148" t="s">
        <v>466</v>
      </c>
      <c r="H118" s="150">
        <v>5109848496</v>
      </c>
      <c r="I118" s="148" t="s">
        <v>467</v>
      </c>
      <c r="J118" s="211">
        <v>45536</v>
      </c>
      <c r="K118" s="148" t="s">
        <v>112</v>
      </c>
      <c r="L118" s="148" t="s">
        <v>468</v>
      </c>
      <c r="M118" s="148" t="s">
        <v>469</v>
      </c>
      <c r="N118" s="152" t="s">
        <v>84</v>
      </c>
      <c r="O118" s="151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12"/>
      <c r="AK118" s="212"/>
      <c r="AL118" s="212"/>
      <c r="AM118" s="212"/>
      <c r="AN118" s="212"/>
      <c r="AO118" s="212"/>
      <c r="AP118" s="212"/>
      <c r="AQ118" s="212"/>
      <c r="AR118" s="212"/>
      <c r="AS118" s="212"/>
      <c r="AT118" s="212"/>
    </row>
    <row r="119" spans="1:46" ht="17.25" customHeight="1">
      <c r="A119" s="93"/>
      <c r="B119" s="213"/>
      <c r="C119" s="214"/>
      <c r="D119" s="214"/>
      <c r="E119" s="215"/>
      <c r="F119" s="216"/>
      <c r="G119" s="217"/>
      <c r="H119" s="214"/>
      <c r="I119" s="217"/>
      <c r="J119" s="216"/>
      <c r="K119" s="217"/>
      <c r="L119" s="217"/>
      <c r="M119" s="217"/>
      <c r="N119" s="218" t="s">
        <v>83</v>
      </c>
      <c r="O119" s="219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  <c r="AE119" s="220"/>
      <c r="AF119" s="220"/>
      <c r="AG119" s="220"/>
      <c r="AH119" s="220"/>
      <c r="AI119" s="220"/>
      <c r="AJ119" s="220"/>
      <c r="AK119" s="220"/>
      <c r="AL119" s="220"/>
      <c r="AM119" s="220"/>
      <c r="AN119" s="220"/>
      <c r="AO119" s="220"/>
      <c r="AP119" s="220"/>
      <c r="AQ119" s="220"/>
      <c r="AR119" s="220"/>
      <c r="AS119" s="220"/>
      <c r="AT119" s="220"/>
    </row>
    <row r="120" spans="1:46" ht="17.25" customHeight="1">
      <c r="A120" s="93"/>
      <c r="B120" s="213"/>
      <c r="C120" s="214"/>
      <c r="D120" s="214"/>
      <c r="E120" s="215"/>
      <c r="F120" s="216"/>
      <c r="G120" s="217"/>
      <c r="H120" s="214"/>
      <c r="I120" s="217"/>
      <c r="J120" s="216"/>
      <c r="K120" s="217"/>
      <c r="L120" s="217"/>
      <c r="M120" s="217"/>
      <c r="N120" s="218" t="s">
        <v>83</v>
      </c>
      <c r="O120" s="219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0"/>
      <c r="AE120" s="220"/>
      <c r="AF120" s="220"/>
      <c r="AG120" s="220"/>
      <c r="AH120" s="220"/>
      <c r="AI120" s="220"/>
      <c r="AJ120" s="220"/>
      <c r="AK120" s="220"/>
      <c r="AL120" s="220"/>
      <c r="AM120" s="220"/>
      <c r="AN120" s="220"/>
      <c r="AO120" s="220"/>
      <c r="AP120" s="220"/>
      <c r="AQ120" s="220"/>
      <c r="AR120" s="220"/>
      <c r="AS120" s="220"/>
      <c r="AT120" s="220"/>
    </row>
    <row r="121" spans="1:46" ht="17.25" customHeight="1">
      <c r="A121" s="93"/>
      <c r="B121" s="213"/>
      <c r="C121" s="214"/>
      <c r="D121" s="214"/>
      <c r="E121" s="215"/>
      <c r="F121" s="216"/>
      <c r="G121" s="217"/>
      <c r="H121" s="214"/>
      <c r="I121" s="217"/>
      <c r="J121" s="216"/>
      <c r="K121" s="217"/>
      <c r="L121" s="217"/>
      <c r="M121" s="217"/>
      <c r="N121" s="218" t="s">
        <v>83</v>
      </c>
      <c r="O121" s="219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220"/>
      <c r="AH121" s="220"/>
      <c r="AI121" s="220"/>
      <c r="AJ121" s="220"/>
      <c r="AK121" s="220"/>
      <c r="AL121" s="220"/>
      <c r="AM121" s="220"/>
      <c r="AN121" s="220"/>
      <c r="AO121" s="220"/>
      <c r="AP121" s="220"/>
      <c r="AQ121" s="220"/>
      <c r="AR121" s="220"/>
      <c r="AS121" s="220"/>
      <c r="AT121" s="220"/>
    </row>
    <row r="122" spans="1:46" ht="17.25" customHeight="1">
      <c r="A122" s="93"/>
      <c r="B122" s="213"/>
      <c r="C122" s="214"/>
      <c r="D122" s="214"/>
      <c r="E122" s="215"/>
      <c r="F122" s="216"/>
      <c r="G122" s="217"/>
      <c r="H122" s="214"/>
      <c r="I122" s="217"/>
      <c r="J122" s="216"/>
      <c r="K122" s="217"/>
      <c r="L122" s="217"/>
      <c r="M122" s="217"/>
      <c r="N122" s="218" t="s">
        <v>83</v>
      </c>
      <c r="O122" s="219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0"/>
      <c r="AE122" s="220"/>
      <c r="AF122" s="220"/>
      <c r="AG122" s="220"/>
      <c r="AH122" s="220"/>
      <c r="AI122" s="220"/>
      <c r="AJ122" s="220"/>
      <c r="AK122" s="220"/>
      <c r="AL122" s="220"/>
      <c r="AM122" s="220"/>
      <c r="AN122" s="220"/>
      <c r="AO122" s="220"/>
      <c r="AP122" s="220"/>
      <c r="AQ122" s="220"/>
      <c r="AR122" s="220"/>
      <c r="AS122" s="220"/>
      <c r="AT122" s="220"/>
    </row>
    <row r="123" spans="1:46" ht="17.25" customHeight="1">
      <c r="A123" s="93"/>
      <c r="B123" s="213"/>
      <c r="C123" s="214"/>
      <c r="D123" s="214"/>
      <c r="E123" s="215"/>
      <c r="F123" s="216"/>
      <c r="G123" s="217"/>
      <c r="H123" s="214"/>
      <c r="I123" s="217"/>
      <c r="J123" s="216"/>
      <c r="K123" s="217"/>
      <c r="L123" s="217"/>
      <c r="M123" s="217"/>
      <c r="N123" s="218" t="s">
        <v>83</v>
      </c>
      <c r="O123" s="219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0"/>
      <c r="AL123" s="220"/>
      <c r="AM123" s="220"/>
      <c r="AN123" s="220"/>
      <c r="AO123" s="220"/>
      <c r="AP123" s="220"/>
      <c r="AQ123" s="220"/>
      <c r="AR123" s="220"/>
      <c r="AS123" s="220"/>
      <c r="AT123" s="220"/>
    </row>
    <row r="124" spans="1:46" ht="17.25" customHeight="1">
      <c r="A124" s="93"/>
      <c r="B124" s="213"/>
      <c r="C124" s="214"/>
      <c r="D124" s="214"/>
      <c r="E124" s="215"/>
      <c r="F124" s="216"/>
      <c r="G124" s="217"/>
      <c r="H124" s="214"/>
      <c r="I124" s="217"/>
      <c r="J124" s="216"/>
      <c r="K124" s="217"/>
      <c r="L124" s="217"/>
      <c r="M124" s="217"/>
      <c r="N124" s="218" t="s">
        <v>83</v>
      </c>
      <c r="O124" s="219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  <c r="AH124" s="220"/>
      <c r="AI124" s="220"/>
      <c r="AJ124" s="220"/>
      <c r="AK124" s="220"/>
      <c r="AL124" s="220"/>
      <c r="AM124" s="220"/>
      <c r="AN124" s="220"/>
      <c r="AO124" s="220"/>
      <c r="AP124" s="220"/>
      <c r="AQ124" s="220"/>
      <c r="AR124" s="220"/>
      <c r="AS124" s="220"/>
      <c r="AT124" s="220"/>
    </row>
    <row r="125" spans="1:46" ht="17.25" customHeight="1">
      <c r="A125" s="93"/>
      <c r="B125" s="213"/>
      <c r="C125" s="214"/>
      <c r="D125" s="214"/>
      <c r="E125" s="215"/>
      <c r="F125" s="216"/>
      <c r="G125" s="217"/>
      <c r="H125" s="214"/>
      <c r="I125" s="217"/>
      <c r="J125" s="216"/>
      <c r="K125" s="217"/>
      <c r="L125" s="217"/>
      <c r="M125" s="217"/>
      <c r="N125" s="218" t="s">
        <v>83</v>
      </c>
      <c r="O125" s="219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0"/>
      <c r="AE125" s="220"/>
      <c r="AF125" s="220"/>
      <c r="AG125" s="220"/>
      <c r="AH125" s="220"/>
      <c r="AI125" s="220"/>
      <c r="AJ125" s="220"/>
      <c r="AK125" s="220"/>
      <c r="AL125" s="220"/>
      <c r="AM125" s="220"/>
      <c r="AN125" s="220"/>
      <c r="AO125" s="220"/>
      <c r="AP125" s="220"/>
      <c r="AQ125" s="220"/>
      <c r="AR125" s="220"/>
      <c r="AS125" s="220"/>
      <c r="AT125" s="220"/>
    </row>
    <row r="126" spans="1:46" ht="17.25" customHeight="1">
      <c r="A126" s="93"/>
      <c r="B126" s="213"/>
      <c r="C126" s="214"/>
      <c r="D126" s="214"/>
      <c r="E126" s="215"/>
      <c r="F126" s="216"/>
      <c r="G126" s="217"/>
      <c r="H126" s="214"/>
      <c r="I126" s="217"/>
      <c r="J126" s="216"/>
      <c r="K126" s="217"/>
      <c r="L126" s="217"/>
      <c r="M126" s="217"/>
      <c r="N126" s="218" t="s">
        <v>83</v>
      </c>
      <c r="O126" s="219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0"/>
      <c r="AE126" s="220"/>
      <c r="AF126" s="220"/>
      <c r="AG126" s="220"/>
      <c r="AH126" s="220"/>
      <c r="AI126" s="220"/>
      <c r="AJ126" s="220"/>
      <c r="AK126" s="220"/>
      <c r="AL126" s="220"/>
      <c r="AM126" s="220"/>
      <c r="AN126" s="220"/>
      <c r="AO126" s="220"/>
      <c r="AP126" s="220"/>
      <c r="AQ126" s="220"/>
      <c r="AR126" s="220"/>
      <c r="AS126" s="220"/>
      <c r="AT126" s="220"/>
    </row>
    <row r="127" spans="1:46" ht="17.25" customHeight="1">
      <c r="A127" s="221"/>
      <c r="B127" s="213"/>
      <c r="C127" s="214"/>
      <c r="D127" s="214"/>
      <c r="E127" s="215"/>
      <c r="F127" s="216"/>
      <c r="G127" s="217"/>
      <c r="H127" s="214"/>
      <c r="I127" s="217"/>
      <c r="J127" s="216"/>
      <c r="K127" s="217"/>
      <c r="L127" s="217"/>
      <c r="M127" s="217"/>
      <c r="N127" s="218" t="s">
        <v>83</v>
      </c>
      <c r="O127" s="219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  <c r="AH127" s="220"/>
      <c r="AI127" s="220"/>
      <c r="AJ127" s="220"/>
      <c r="AK127" s="220"/>
      <c r="AL127" s="220"/>
      <c r="AM127" s="220"/>
      <c r="AN127" s="220"/>
      <c r="AO127" s="220"/>
      <c r="AP127" s="220"/>
      <c r="AQ127" s="220"/>
      <c r="AR127" s="220"/>
      <c r="AS127" s="220"/>
      <c r="AT127" s="220"/>
    </row>
    <row r="128" spans="1:46" ht="17.25" customHeight="1">
      <c r="A128" s="93"/>
      <c r="B128" s="213"/>
      <c r="C128" s="214"/>
      <c r="D128" s="214"/>
      <c r="E128" s="215"/>
      <c r="F128" s="216"/>
      <c r="G128" s="217"/>
      <c r="H128" s="214"/>
      <c r="I128" s="217"/>
      <c r="J128" s="216"/>
      <c r="K128" s="217"/>
      <c r="L128" s="217"/>
      <c r="M128" s="217"/>
      <c r="N128" s="218" t="s">
        <v>83</v>
      </c>
      <c r="O128" s="219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  <c r="AE128" s="220"/>
      <c r="AF128" s="220"/>
      <c r="AG128" s="220"/>
      <c r="AH128" s="220"/>
      <c r="AI128" s="220"/>
      <c r="AJ128" s="220"/>
      <c r="AK128" s="220"/>
      <c r="AL128" s="220"/>
      <c r="AM128" s="220"/>
      <c r="AN128" s="220"/>
      <c r="AO128" s="220"/>
      <c r="AP128" s="220"/>
      <c r="AQ128" s="220"/>
      <c r="AR128" s="220"/>
      <c r="AS128" s="220"/>
      <c r="AT128" s="220"/>
    </row>
    <row r="129" spans="1:46" ht="17.25" customHeight="1">
      <c r="A129" s="93"/>
      <c r="B129" s="213"/>
      <c r="C129" s="214"/>
      <c r="D129" s="214"/>
      <c r="E129" s="215"/>
      <c r="F129" s="216"/>
      <c r="G129" s="217"/>
      <c r="H129" s="214"/>
      <c r="I129" s="217"/>
      <c r="J129" s="216"/>
      <c r="K129" s="217"/>
      <c r="L129" s="217"/>
      <c r="M129" s="217"/>
      <c r="N129" s="218" t="s">
        <v>83</v>
      </c>
      <c r="O129" s="219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0"/>
      <c r="AE129" s="220"/>
      <c r="AF129" s="220"/>
      <c r="AG129" s="220"/>
      <c r="AH129" s="220"/>
      <c r="AI129" s="220"/>
      <c r="AJ129" s="220"/>
      <c r="AK129" s="220"/>
      <c r="AL129" s="220"/>
      <c r="AM129" s="220"/>
      <c r="AN129" s="220"/>
      <c r="AO129" s="220"/>
      <c r="AP129" s="220"/>
      <c r="AQ129" s="220"/>
      <c r="AR129" s="220"/>
      <c r="AS129" s="220"/>
      <c r="AT129" s="220"/>
    </row>
    <row r="130" spans="1:46" ht="17.25" customHeight="1">
      <c r="A130" s="93"/>
      <c r="B130" s="213"/>
      <c r="C130" s="214"/>
      <c r="D130" s="214"/>
      <c r="E130" s="215"/>
      <c r="F130" s="216"/>
      <c r="G130" s="217"/>
      <c r="H130" s="214"/>
      <c r="I130" s="217"/>
      <c r="J130" s="216"/>
      <c r="K130" s="217"/>
      <c r="L130" s="217"/>
      <c r="M130" s="217"/>
      <c r="N130" s="218" t="s">
        <v>83</v>
      </c>
      <c r="O130" s="219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0"/>
      <c r="AE130" s="220"/>
      <c r="AF130" s="220"/>
      <c r="AG130" s="220"/>
      <c r="AH130" s="220"/>
      <c r="AI130" s="220"/>
      <c r="AJ130" s="220"/>
      <c r="AK130" s="220"/>
      <c r="AL130" s="220"/>
      <c r="AM130" s="220"/>
      <c r="AN130" s="220"/>
      <c r="AO130" s="220"/>
      <c r="AP130" s="220"/>
      <c r="AQ130" s="220"/>
      <c r="AR130" s="220"/>
      <c r="AS130" s="220"/>
      <c r="AT130" s="220"/>
    </row>
    <row r="131" spans="1:46" ht="17.25" customHeight="1">
      <c r="A131" s="93"/>
      <c r="B131" s="213"/>
      <c r="C131" s="214"/>
      <c r="D131" s="214"/>
      <c r="E131" s="215"/>
      <c r="F131" s="216"/>
      <c r="G131" s="217"/>
      <c r="H131" s="214"/>
      <c r="I131" s="217"/>
      <c r="J131" s="216"/>
      <c r="K131" s="217"/>
      <c r="L131" s="217"/>
      <c r="M131" s="217"/>
      <c r="N131" s="218" t="s">
        <v>83</v>
      </c>
      <c r="O131" s="219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  <c r="AE131" s="220"/>
      <c r="AF131" s="220"/>
      <c r="AG131" s="220"/>
      <c r="AH131" s="220"/>
      <c r="AI131" s="220"/>
      <c r="AJ131" s="220"/>
      <c r="AK131" s="220"/>
      <c r="AL131" s="220"/>
      <c r="AM131" s="220"/>
      <c r="AN131" s="220"/>
      <c r="AO131" s="220"/>
      <c r="AP131" s="220"/>
      <c r="AQ131" s="220"/>
      <c r="AR131" s="220"/>
      <c r="AS131" s="220"/>
      <c r="AT131" s="220"/>
    </row>
    <row r="132" spans="1:46" ht="17.25" customHeight="1">
      <c r="A132" s="93"/>
      <c r="B132" s="213"/>
      <c r="C132" s="214"/>
      <c r="D132" s="214"/>
      <c r="E132" s="215"/>
      <c r="F132" s="216"/>
      <c r="G132" s="217"/>
      <c r="H132" s="214"/>
      <c r="I132" s="217"/>
      <c r="J132" s="216"/>
      <c r="K132" s="217"/>
      <c r="L132" s="217"/>
      <c r="M132" s="217"/>
      <c r="N132" s="218" t="s">
        <v>83</v>
      </c>
      <c r="O132" s="219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0"/>
      <c r="AE132" s="220"/>
      <c r="AF132" s="220"/>
      <c r="AG132" s="220"/>
      <c r="AH132" s="220"/>
      <c r="AI132" s="220"/>
      <c r="AJ132" s="220"/>
      <c r="AK132" s="220"/>
      <c r="AL132" s="220"/>
      <c r="AM132" s="220"/>
      <c r="AN132" s="220"/>
      <c r="AO132" s="220"/>
      <c r="AP132" s="220"/>
      <c r="AQ132" s="220"/>
      <c r="AR132" s="220"/>
      <c r="AS132" s="220"/>
      <c r="AT132" s="220"/>
    </row>
    <row r="133" spans="1:46" ht="17.25" customHeight="1">
      <c r="A133" s="93"/>
      <c r="B133" s="213"/>
      <c r="C133" s="214"/>
      <c r="D133" s="214"/>
      <c r="E133" s="215"/>
      <c r="F133" s="216"/>
      <c r="G133" s="217"/>
      <c r="H133" s="214"/>
      <c r="I133" s="217"/>
      <c r="J133" s="216"/>
      <c r="K133" s="217"/>
      <c r="L133" s="217"/>
      <c r="M133" s="217"/>
      <c r="N133" s="218" t="s">
        <v>83</v>
      </c>
      <c r="O133" s="219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  <c r="AE133" s="220"/>
      <c r="AF133" s="220"/>
      <c r="AG133" s="220"/>
      <c r="AH133" s="220"/>
      <c r="AI133" s="220"/>
      <c r="AJ133" s="220"/>
      <c r="AK133" s="220"/>
      <c r="AL133" s="220"/>
      <c r="AM133" s="220"/>
      <c r="AN133" s="220"/>
      <c r="AO133" s="220"/>
      <c r="AP133" s="220"/>
      <c r="AQ133" s="220"/>
      <c r="AR133" s="220"/>
      <c r="AS133" s="220"/>
      <c r="AT133" s="220"/>
    </row>
    <row r="134" spans="1:46" ht="17.25" customHeight="1">
      <c r="A134" s="93"/>
      <c r="B134" s="218"/>
      <c r="C134" s="222"/>
      <c r="D134" s="222"/>
      <c r="E134" s="223"/>
      <c r="F134" s="224"/>
      <c r="G134" s="225"/>
      <c r="H134" s="222"/>
      <c r="I134" s="225"/>
      <c r="J134" s="222"/>
      <c r="K134" s="225"/>
      <c r="L134" s="225"/>
      <c r="M134" s="225"/>
      <c r="N134" s="218" t="s">
        <v>83</v>
      </c>
      <c r="O134" s="226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  <c r="AB134" s="227"/>
      <c r="AC134" s="227"/>
      <c r="AD134" s="227"/>
      <c r="AE134" s="227"/>
      <c r="AF134" s="227"/>
      <c r="AG134" s="227"/>
      <c r="AH134" s="227"/>
      <c r="AI134" s="227"/>
      <c r="AJ134" s="227"/>
      <c r="AK134" s="227"/>
      <c r="AL134" s="227"/>
      <c r="AM134" s="227"/>
      <c r="AN134" s="227"/>
      <c r="AO134" s="227"/>
      <c r="AP134" s="227"/>
      <c r="AQ134" s="227"/>
      <c r="AR134" s="227"/>
      <c r="AS134" s="227"/>
      <c r="AT134" s="227"/>
    </row>
    <row r="135" spans="1:46" ht="17.25" customHeight="1">
      <c r="A135" s="228"/>
      <c r="B135" s="229"/>
      <c r="C135" s="230"/>
      <c r="D135" s="230"/>
      <c r="E135" s="231"/>
      <c r="F135" s="230"/>
      <c r="G135" s="228"/>
      <c r="H135" s="230"/>
      <c r="I135" s="228"/>
      <c r="J135" s="230"/>
      <c r="K135" s="228"/>
      <c r="L135" s="228"/>
      <c r="M135" s="228"/>
      <c r="N135" s="229"/>
      <c r="O135" s="232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  <c r="AE135" s="228"/>
      <c r="AF135" s="228"/>
      <c r="AG135" s="228"/>
      <c r="AH135" s="228"/>
      <c r="AI135" s="228"/>
      <c r="AJ135" s="228"/>
      <c r="AK135" s="228"/>
      <c r="AL135" s="228"/>
      <c r="AM135" s="228"/>
      <c r="AN135" s="228"/>
      <c r="AO135" s="228"/>
      <c r="AP135" s="228"/>
      <c r="AQ135" s="228"/>
      <c r="AR135" s="228"/>
      <c r="AS135" s="228"/>
      <c r="AT135" s="228"/>
    </row>
    <row r="136" spans="1:46" ht="17.25" customHeight="1">
      <c r="A136" s="228"/>
      <c r="B136" s="229"/>
      <c r="C136" s="230"/>
      <c r="D136" s="230"/>
      <c r="E136" s="231"/>
      <c r="F136" s="230"/>
      <c r="G136" s="228"/>
      <c r="H136" s="230"/>
      <c r="I136" s="228"/>
      <c r="J136" s="230"/>
      <c r="K136" s="228"/>
      <c r="L136" s="228"/>
      <c r="M136" s="228"/>
      <c r="N136" s="229"/>
      <c r="O136" s="232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  <c r="AE136" s="228"/>
      <c r="AF136" s="228"/>
      <c r="AG136" s="228"/>
      <c r="AH136" s="228"/>
      <c r="AI136" s="228"/>
      <c r="AJ136" s="228"/>
      <c r="AK136" s="228"/>
      <c r="AL136" s="228"/>
      <c r="AM136" s="228"/>
      <c r="AN136" s="228"/>
      <c r="AO136" s="228"/>
      <c r="AP136" s="228"/>
      <c r="AQ136" s="228"/>
      <c r="AR136" s="228"/>
      <c r="AS136" s="228"/>
      <c r="AT136" s="228"/>
    </row>
    <row r="137" spans="1:46" ht="17.25" customHeight="1">
      <c r="A137" s="233" t="s">
        <v>470</v>
      </c>
      <c r="B137" s="7"/>
      <c r="C137" s="234"/>
      <c r="D137" s="234"/>
      <c r="E137" s="7"/>
      <c r="F137" s="235"/>
      <c r="G137" s="235"/>
      <c r="H137" s="235"/>
      <c r="I137" s="236"/>
      <c r="J137" s="235"/>
      <c r="K137" s="235"/>
      <c r="L137" s="235"/>
      <c r="M137" s="235"/>
      <c r="N137" s="7"/>
      <c r="O137" s="237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 spans="1:46" ht="21" hidden="1" customHeight="1">
      <c r="A138" s="238">
        <v>1</v>
      </c>
      <c r="B138" s="239" t="s">
        <v>49</v>
      </c>
      <c r="C138" s="240" t="s">
        <v>471</v>
      </c>
      <c r="D138" s="240" t="s">
        <v>472</v>
      </c>
      <c r="E138" s="241">
        <v>5</v>
      </c>
      <c r="F138" s="242">
        <v>41297</v>
      </c>
      <c r="G138" s="243" t="s">
        <v>473</v>
      </c>
      <c r="H138" s="240">
        <v>5108288339</v>
      </c>
      <c r="I138" s="243" t="s">
        <v>474</v>
      </c>
      <c r="J138" s="242">
        <v>45082</v>
      </c>
      <c r="K138" s="243"/>
      <c r="L138" s="243"/>
      <c r="M138" s="243"/>
      <c r="N138" s="239" t="s">
        <v>35</v>
      </c>
      <c r="O138" s="244">
        <v>45108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 spans="1:46" ht="21" hidden="1" customHeight="1">
      <c r="A139" s="245">
        <v>2</v>
      </c>
      <c r="B139" s="246" t="s">
        <v>89</v>
      </c>
      <c r="C139" s="247" t="s">
        <v>471</v>
      </c>
      <c r="D139" s="247" t="s">
        <v>472</v>
      </c>
      <c r="E139" s="248">
        <v>5</v>
      </c>
      <c r="F139" s="249">
        <v>41297</v>
      </c>
      <c r="G139" s="250" t="s">
        <v>473</v>
      </c>
      <c r="H139" s="247">
        <v>5108288339</v>
      </c>
      <c r="I139" s="250" t="s">
        <v>474</v>
      </c>
      <c r="J139" s="249">
        <v>45082</v>
      </c>
      <c r="K139" s="250"/>
      <c r="L139" s="250"/>
      <c r="M139" s="250" t="s">
        <v>171</v>
      </c>
      <c r="N139" s="246" t="s">
        <v>35</v>
      </c>
      <c r="O139" s="244">
        <v>45108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 spans="1:46" ht="21" hidden="1" customHeight="1">
      <c r="A140" s="251">
        <v>3</v>
      </c>
      <c r="B140" s="252" t="s">
        <v>49</v>
      </c>
      <c r="C140" s="253" t="s">
        <v>326</v>
      </c>
      <c r="D140" s="253" t="s">
        <v>330</v>
      </c>
      <c r="E140" s="254" t="s">
        <v>125</v>
      </c>
      <c r="F140" s="255">
        <v>42867</v>
      </c>
      <c r="G140" s="256" t="s">
        <v>331</v>
      </c>
      <c r="H140" s="253">
        <v>4086432868</v>
      </c>
      <c r="I140" s="256" t="s">
        <v>332</v>
      </c>
      <c r="J140" s="255">
        <v>44835</v>
      </c>
      <c r="K140" s="256"/>
      <c r="L140" s="256"/>
      <c r="M140" s="256" t="s">
        <v>475</v>
      </c>
      <c r="N140" s="252" t="s">
        <v>35</v>
      </c>
      <c r="O140" s="257">
        <v>45108</v>
      </c>
      <c r="P140" s="258"/>
      <c r="Q140" s="258"/>
      <c r="R140" s="258"/>
      <c r="S140" s="258"/>
      <c r="T140" s="258"/>
      <c r="U140" s="258"/>
      <c r="V140" s="258"/>
      <c r="W140" s="258"/>
      <c r="X140" s="258"/>
      <c r="Y140" s="258"/>
      <c r="Z140" s="258"/>
      <c r="AA140" s="258"/>
      <c r="AB140" s="258"/>
      <c r="AC140" s="258"/>
      <c r="AD140" s="258"/>
      <c r="AE140" s="258"/>
      <c r="AF140" s="258"/>
      <c r="AG140" s="258"/>
      <c r="AH140" s="258"/>
      <c r="AI140" s="258"/>
      <c r="AJ140" s="258"/>
      <c r="AK140" s="258"/>
      <c r="AL140" s="258"/>
      <c r="AM140" s="258"/>
      <c r="AN140" s="258"/>
      <c r="AO140" s="258"/>
      <c r="AP140" s="258"/>
      <c r="AQ140" s="258"/>
      <c r="AR140" s="258"/>
      <c r="AS140" s="258"/>
      <c r="AT140" s="258"/>
    </row>
    <row r="141" spans="1:46" ht="21" hidden="1" customHeight="1">
      <c r="A141" s="251">
        <v>4</v>
      </c>
      <c r="B141" s="252"/>
      <c r="C141" s="253" t="s">
        <v>326</v>
      </c>
      <c r="D141" s="253" t="s">
        <v>330</v>
      </c>
      <c r="E141" s="254" t="s">
        <v>125</v>
      </c>
      <c r="F141" s="255">
        <v>42867</v>
      </c>
      <c r="G141" s="256" t="s">
        <v>331</v>
      </c>
      <c r="H141" s="253">
        <v>4086432868</v>
      </c>
      <c r="I141" s="256" t="s">
        <v>332</v>
      </c>
      <c r="J141" s="255">
        <v>44958</v>
      </c>
      <c r="K141" s="256"/>
      <c r="L141" s="256"/>
      <c r="M141" s="256" t="s">
        <v>475</v>
      </c>
      <c r="N141" s="252" t="s">
        <v>35</v>
      </c>
      <c r="O141" s="257">
        <v>45108</v>
      </c>
      <c r="P141" s="258"/>
      <c r="Q141" s="258"/>
      <c r="R141" s="258"/>
      <c r="S141" s="258"/>
      <c r="T141" s="258"/>
      <c r="U141" s="258"/>
      <c r="V141" s="258"/>
      <c r="W141" s="258"/>
      <c r="X141" s="258"/>
      <c r="Y141" s="258"/>
      <c r="Z141" s="258"/>
      <c r="AA141" s="258"/>
      <c r="AB141" s="258"/>
      <c r="AC141" s="258"/>
      <c r="AD141" s="258"/>
      <c r="AE141" s="258"/>
      <c r="AF141" s="258"/>
      <c r="AG141" s="258"/>
      <c r="AH141" s="258"/>
      <c r="AI141" s="258"/>
      <c r="AJ141" s="258"/>
      <c r="AK141" s="258"/>
      <c r="AL141" s="258"/>
      <c r="AM141" s="258"/>
      <c r="AN141" s="258"/>
      <c r="AO141" s="258"/>
      <c r="AP141" s="258"/>
      <c r="AQ141" s="258"/>
      <c r="AR141" s="258"/>
      <c r="AS141" s="258"/>
      <c r="AT141" s="258"/>
    </row>
    <row r="142" spans="1:46" ht="17.25" hidden="1" customHeight="1">
      <c r="A142" s="223">
        <v>1</v>
      </c>
      <c r="B142" s="218" t="s">
        <v>49</v>
      </c>
      <c r="C142" s="222" t="s">
        <v>476</v>
      </c>
      <c r="D142" s="222" t="s">
        <v>477</v>
      </c>
      <c r="E142" s="223">
        <v>4</v>
      </c>
      <c r="F142" s="224">
        <v>41337</v>
      </c>
      <c r="G142" s="225" t="s">
        <v>478</v>
      </c>
      <c r="H142" s="222">
        <v>5103585536</v>
      </c>
      <c r="I142" s="225" t="s">
        <v>479</v>
      </c>
      <c r="J142" s="224">
        <v>44844</v>
      </c>
      <c r="K142" s="225"/>
      <c r="L142" s="225"/>
      <c r="M142" s="225"/>
      <c r="N142" s="218" t="s">
        <v>35</v>
      </c>
      <c r="O142" s="226">
        <v>45139</v>
      </c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  <c r="AB142" s="227"/>
      <c r="AC142" s="227"/>
      <c r="AD142" s="227"/>
      <c r="AE142" s="227"/>
      <c r="AF142" s="227"/>
      <c r="AG142" s="227"/>
      <c r="AH142" s="227"/>
      <c r="AI142" s="227"/>
      <c r="AJ142" s="227"/>
      <c r="AK142" s="227"/>
      <c r="AL142" s="227"/>
      <c r="AM142" s="227"/>
      <c r="AN142" s="227"/>
      <c r="AO142" s="227"/>
      <c r="AP142" s="227"/>
      <c r="AQ142" s="227"/>
      <c r="AR142" s="227"/>
      <c r="AS142" s="227"/>
      <c r="AT142" s="227"/>
    </row>
    <row r="143" spans="1:46" ht="17.25" hidden="1" customHeight="1">
      <c r="A143" s="223">
        <v>2</v>
      </c>
      <c r="B143" s="218" t="s">
        <v>49</v>
      </c>
      <c r="C143" s="222" t="s">
        <v>480</v>
      </c>
      <c r="D143" s="222" t="s">
        <v>481</v>
      </c>
      <c r="E143" s="223">
        <v>1</v>
      </c>
      <c r="F143" s="224">
        <v>43061</v>
      </c>
      <c r="G143" s="225" t="s">
        <v>482</v>
      </c>
      <c r="H143" s="222">
        <v>4152449059</v>
      </c>
      <c r="I143" s="225" t="s">
        <v>483</v>
      </c>
      <c r="J143" s="224">
        <v>45082</v>
      </c>
      <c r="K143" s="225"/>
      <c r="L143" s="225"/>
      <c r="M143" s="225"/>
      <c r="N143" s="218" t="s">
        <v>35</v>
      </c>
      <c r="O143" s="226">
        <v>45139</v>
      </c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  <c r="AB143" s="227"/>
      <c r="AC143" s="227"/>
      <c r="AD143" s="227"/>
      <c r="AE143" s="227"/>
      <c r="AF143" s="227"/>
      <c r="AG143" s="227"/>
      <c r="AH143" s="227"/>
      <c r="AI143" s="227"/>
      <c r="AJ143" s="227"/>
      <c r="AK143" s="227"/>
      <c r="AL143" s="227"/>
      <c r="AM143" s="227"/>
      <c r="AN143" s="227"/>
      <c r="AO143" s="227"/>
      <c r="AP143" s="227"/>
      <c r="AQ143" s="227"/>
      <c r="AR143" s="227"/>
      <c r="AS143" s="227"/>
      <c r="AT143" s="227"/>
    </row>
    <row r="144" spans="1:46" ht="17.25" hidden="1" customHeight="1">
      <c r="A144" s="223">
        <v>3</v>
      </c>
      <c r="B144" s="218" t="s">
        <v>89</v>
      </c>
      <c r="C144" s="222" t="s">
        <v>480</v>
      </c>
      <c r="D144" s="222" t="s">
        <v>481</v>
      </c>
      <c r="E144" s="223">
        <v>1</v>
      </c>
      <c r="F144" s="224">
        <v>43061</v>
      </c>
      <c r="G144" s="225" t="s">
        <v>482</v>
      </c>
      <c r="H144" s="222">
        <v>4152449059</v>
      </c>
      <c r="I144" s="225" t="s">
        <v>483</v>
      </c>
      <c r="J144" s="224">
        <v>45082</v>
      </c>
      <c r="K144" s="225"/>
      <c r="L144" s="225"/>
      <c r="M144" s="225" t="s">
        <v>171</v>
      </c>
      <c r="N144" s="218" t="s">
        <v>35</v>
      </c>
      <c r="O144" s="226">
        <v>45139</v>
      </c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  <c r="AB144" s="227"/>
      <c r="AC144" s="227"/>
      <c r="AD144" s="227"/>
      <c r="AE144" s="227"/>
      <c r="AF144" s="227"/>
      <c r="AG144" s="227"/>
      <c r="AH144" s="227"/>
      <c r="AI144" s="227"/>
      <c r="AJ144" s="227"/>
      <c r="AK144" s="227"/>
      <c r="AL144" s="227"/>
      <c r="AM144" s="227"/>
      <c r="AN144" s="227"/>
      <c r="AO144" s="227"/>
      <c r="AP144" s="227"/>
      <c r="AQ144" s="227"/>
      <c r="AR144" s="227"/>
      <c r="AS144" s="227"/>
      <c r="AT144" s="227"/>
    </row>
    <row r="145" spans="1:46" ht="15" hidden="1" customHeight="1">
      <c r="A145" s="259">
        <v>4</v>
      </c>
      <c r="B145" s="260" t="s">
        <v>49</v>
      </c>
      <c r="C145" s="261" t="s">
        <v>217</v>
      </c>
      <c r="D145" s="261" t="s">
        <v>484</v>
      </c>
      <c r="E145" s="259">
        <v>3</v>
      </c>
      <c r="F145" s="262">
        <v>41924</v>
      </c>
      <c r="G145" s="263" t="s">
        <v>485</v>
      </c>
      <c r="H145" s="261">
        <v>5102921648</v>
      </c>
      <c r="I145" s="263" t="s">
        <v>486</v>
      </c>
      <c r="J145" s="262">
        <v>45093</v>
      </c>
      <c r="K145" s="263"/>
      <c r="L145" s="263"/>
      <c r="M145" s="263"/>
      <c r="N145" s="260" t="s">
        <v>35</v>
      </c>
      <c r="O145" s="264">
        <v>45139</v>
      </c>
      <c r="P145" s="258"/>
      <c r="Q145" s="258"/>
      <c r="R145" s="258"/>
      <c r="S145" s="258"/>
      <c r="T145" s="258"/>
      <c r="U145" s="258"/>
      <c r="V145" s="258"/>
      <c r="W145" s="258"/>
      <c r="X145" s="258"/>
      <c r="Y145" s="258"/>
      <c r="Z145" s="258"/>
      <c r="AA145" s="258"/>
      <c r="AB145" s="258"/>
      <c r="AC145" s="258"/>
      <c r="AD145" s="258"/>
      <c r="AE145" s="258"/>
      <c r="AF145" s="258"/>
      <c r="AG145" s="258"/>
      <c r="AH145" s="258"/>
      <c r="AI145" s="258"/>
      <c r="AJ145" s="258"/>
      <c r="AK145" s="258"/>
      <c r="AL145" s="258"/>
      <c r="AM145" s="258"/>
      <c r="AN145" s="258"/>
      <c r="AO145" s="258"/>
      <c r="AP145" s="258"/>
      <c r="AQ145" s="258"/>
      <c r="AR145" s="258"/>
      <c r="AS145" s="258"/>
      <c r="AT145" s="258"/>
    </row>
    <row r="146" spans="1:46" ht="17.25" hidden="1" customHeight="1">
      <c r="A146" s="223">
        <v>5</v>
      </c>
      <c r="B146" s="218" t="s">
        <v>49</v>
      </c>
      <c r="C146" s="222" t="s">
        <v>487</v>
      </c>
      <c r="D146" s="265" t="s">
        <v>488</v>
      </c>
      <c r="E146" s="223">
        <v>5</v>
      </c>
      <c r="F146" s="266">
        <v>40972</v>
      </c>
      <c r="G146" s="267" t="s">
        <v>489</v>
      </c>
      <c r="H146" s="265">
        <v>5105098418</v>
      </c>
      <c r="I146" s="267" t="s">
        <v>490</v>
      </c>
      <c r="J146" s="224">
        <v>45110</v>
      </c>
      <c r="K146" s="225"/>
      <c r="L146" s="225"/>
      <c r="M146" s="225"/>
      <c r="N146" s="218" t="s">
        <v>35</v>
      </c>
      <c r="O146" s="226">
        <v>45139</v>
      </c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  <c r="AB146" s="227"/>
      <c r="AC146" s="227"/>
      <c r="AD146" s="227"/>
      <c r="AE146" s="227"/>
      <c r="AF146" s="227"/>
      <c r="AG146" s="227"/>
      <c r="AH146" s="227"/>
      <c r="AI146" s="227"/>
      <c r="AJ146" s="227"/>
      <c r="AK146" s="227"/>
      <c r="AL146" s="227"/>
      <c r="AM146" s="227"/>
      <c r="AN146" s="227"/>
      <c r="AO146" s="227"/>
      <c r="AP146" s="227"/>
      <c r="AQ146" s="227"/>
      <c r="AR146" s="227"/>
      <c r="AS146" s="227"/>
      <c r="AT146" s="227"/>
    </row>
    <row r="147" spans="1:46" ht="17.25" hidden="1" customHeight="1">
      <c r="A147" s="223">
        <v>6</v>
      </c>
      <c r="B147" s="218" t="s">
        <v>89</v>
      </c>
      <c r="C147" s="222" t="s">
        <v>487</v>
      </c>
      <c r="D147" s="265" t="s">
        <v>488</v>
      </c>
      <c r="E147" s="223">
        <v>5</v>
      </c>
      <c r="F147" s="266">
        <v>40972</v>
      </c>
      <c r="G147" s="267" t="s">
        <v>489</v>
      </c>
      <c r="H147" s="265">
        <v>5105098418</v>
      </c>
      <c r="I147" s="267" t="s">
        <v>490</v>
      </c>
      <c r="J147" s="224">
        <v>45110</v>
      </c>
      <c r="K147" s="225"/>
      <c r="L147" s="225"/>
      <c r="M147" s="225" t="s">
        <v>171</v>
      </c>
      <c r="N147" s="218" t="s">
        <v>35</v>
      </c>
      <c r="O147" s="226">
        <v>45139</v>
      </c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  <c r="AD147" s="268"/>
      <c r="AE147" s="268"/>
      <c r="AF147" s="268"/>
      <c r="AG147" s="268"/>
      <c r="AH147" s="268"/>
      <c r="AI147" s="268"/>
      <c r="AJ147" s="268"/>
      <c r="AK147" s="268"/>
      <c r="AL147" s="268"/>
      <c r="AM147" s="268"/>
      <c r="AN147" s="268"/>
      <c r="AO147" s="268"/>
      <c r="AP147" s="268"/>
      <c r="AQ147" s="268"/>
      <c r="AR147" s="268"/>
      <c r="AS147" s="268"/>
      <c r="AT147" s="268"/>
    </row>
    <row r="148" spans="1:46" ht="17.25" hidden="1" customHeight="1">
      <c r="A148" s="223">
        <v>7</v>
      </c>
      <c r="B148" s="218" t="s">
        <v>49</v>
      </c>
      <c r="C148" s="265" t="s">
        <v>487</v>
      </c>
      <c r="D148" s="265" t="s">
        <v>115</v>
      </c>
      <c r="E148" s="223">
        <v>7</v>
      </c>
      <c r="F148" s="224">
        <v>40193</v>
      </c>
      <c r="G148" s="267" t="s">
        <v>489</v>
      </c>
      <c r="H148" s="265">
        <v>5105098418</v>
      </c>
      <c r="I148" s="267" t="s">
        <v>490</v>
      </c>
      <c r="J148" s="224">
        <v>45110</v>
      </c>
      <c r="K148" s="225"/>
      <c r="L148" s="225"/>
      <c r="M148" s="225"/>
      <c r="N148" s="218" t="s">
        <v>35</v>
      </c>
      <c r="O148" s="226">
        <v>45139</v>
      </c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  <c r="AD148" s="268"/>
      <c r="AE148" s="268"/>
      <c r="AF148" s="268"/>
      <c r="AG148" s="268"/>
      <c r="AH148" s="268"/>
      <c r="AI148" s="268"/>
      <c r="AJ148" s="268"/>
      <c r="AK148" s="268"/>
      <c r="AL148" s="268"/>
      <c r="AM148" s="268"/>
      <c r="AN148" s="268"/>
      <c r="AO148" s="268"/>
      <c r="AP148" s="268"/>
      <c r="AQ148" s="268"/>
      <c r="AR148" s="268"/>
      <c r="AS148" s="268"/>
      <c r="AT148" s="268"/>
    </row>
    <row r="149" spans="1:46" ht="17.25" hidden="1" customHeight="1">
      <c r="A149" s="223">
        <v>8</v>
      </c>
      <c r="B149" s="218" t="s">
        <v>89</v>
      </c>
      <c r="C149" s="265" t="s">
        <v>487</v>
      </c>
      <c r="D149" s="265" t="s">
        <v>115</v>
      </c>
      <c r="E149" s="223">
        <v>7</v>
      </c>
      <c r="F149" s="224">
        <v>40193</v>
      </c>
      <c r="G149" s="267" t="s">
        <v>489</v>
      </c>
      <c r="H149" s="265">
        <v>5105098418</v>
      </c>
      <c r="I149" s="267" t="s">
        <v>490</v>
      </c>
      <c r="J149" s="224">
        <v>45110</v>
      </c>
      <c r="K149" s="225"/>
      <c r="L149" s="225"/>
      <c r="M149" s="225" t="s">
        <v>171</v>
      </c>
      <c r="N149" s="218" t="s">
        <v>35</v>
      </c>
      <c r="O149" s="226">
        <v>45139</v>
      </c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  <c r="AB149" s="227"/>
      <c r="AC149" s="227"/>
      <c r="AD149" s="227"/>
      <c r="AE149" s="227"/>
      <c r="AF149" s="227"/>
      <c r="AG149" s="227"/>
      <c r="AH149" s="227"/>
      <c r="AI149" s="227"/>
      <c r="AJ149" s="227"/>
      <c r="AK149" s="227"/>
      <c r="AL149" s="227"/>
      <c r="AM149" s="227"/>
      <c r="AN149" s="227"/>
      <c r="AO149" s="227"/>
      <c r="AP149" s="227"/>
      <c r="AQ149" s="227"/>
      <c r="AR149" s="227"/>
      <c r="AS149" s="227"/>
      <c r="AT149" s="227"/>
    </row>
    <row r="150" spans="1:46" ht="17.25" hidden="1" customHeight="1">
      <c r="A150" s="259">
        <v>9</v>
      </c>
      <c r="B150" s="260" t="s">
        <v>49</v>
      </c>
      <c r="C150" s="261" t="s">
        <v>348</v>
      </c>
      <c r="D150" s="261" t="s">
        <v>465</v>
      </c>
      <c r="E150" s="259">
        <v>1</v>
      </c>
      <c r="F150" s="262">
        <v>42086</v>
      </c>
      <c r="G150" s="263" t="s">
        <v>466</v>
      </c>
      <c r="H150" s="261">
        <v>5109848496</v>
      </c>
      <c r="I150" s="263" t="s">
        <v>467</v>
      </c>
      <c r="J150" s="262">
        <v>44812</v>
      </c>
      <c r="K150" s="263"/>
      <c r="L150" s="263"/>
      <c r="M150" s="263" t="s">
        <v>491</v>
      </c>
      <c r="N150" s="260" t="s">
        <v>35</v>
      </c>
      <c r="O150" s="264">
        <v>45139</v>
      </c>
      <c r="P150" s="258"/>
      <c r="Q150" s="258"/>
      <c r="R150" s="258"/>
      <c r="S150" s="258"/>
      <c r="T150" s="258"/>
      <c r="U150" s="258"/>
      <c r="V150" s="258"/>
      <c r="W150" s="258"/>
      <c r="X150" s="258"/>
      <c r="Y150" s="258"/>
      <c r="Z150" s="258"/>
      <c r="AA150" s="258"/>
      <c r="AB150" s="258"/>
      <c r="AC150" s="258"/>
      <c r="AD150" s="258"/>
      <c r="AE150" s="258"/>
      <c r="AF150" s="258"/>
      <c r="AG150" s="258"/>
      <c r="AH150" s="258"/>
      <c r="AI150" s="258"/>
      <c r="AJ150" s="258"/>
      <c r="AK150" s="258"/>
      <c r="AL150" s="258"/>
      <c r="AM150" s="258"/>
      <c r="AN150" s="258"/>
      <c r="AO150" s="258"/>
      <c r="AP150" s="258"/>
      <c r="AQ150" s="258"/>
      <c r="AR150" s="258"/>
      <c r="AS150" s="258"/>
      <c r="AT150" s="258"/>
    </row>
    <row r="151" spans="1:46" ht="17.25" hidden="1" customHeight="1">
      <c r="A151" s="259">
        <v>10</v>
      </c>
      <c r="B151" s="260" t="s">
        <v>89</v>
      </c>
      <c r="C151" s="261" t="s">
        <v>348</v>
      </c>
      <c r="D151" s="261" t="s">
        <v>465</v>
      </c>
      <c r="E151" s="259">
        <v>1</v>
      </c>
      <c r="F151" s="262">
        <v>42086</v>
      </c>
      <c r="G151" s="263" t="s">
        <v>466</v>
      </c>
      <c r="H151" s="261">
        <v>5109848496</v>
      </c>
      <c r="I151" s="263" t="s">
        <v>467</v>
      </c>
      <c r="J151" s="262">
        <v>44812</v>
      </c>
      <c r="K151" s="263"/>
      <c r="L151" s="263"/>
      <c r="M151" s="263" t="s">
        <v>491</v>
      </c>
      <c r="N151" s="260" t="s">
        <v>35</v>
      </c>
      <c r="O151" s="264">
        <v>45139</v>
      </c>
      <c r="P151" s="258"/>
      <c r="Q151" s="258"/>
      <c r="R151" s="258"/>
      <c r="S151" s="258"/>
      <c r="T151" s="258"/>
      <c r="U151" s="258"/>
      <c r="V151" s="258"/>
      <c r="W151" s="258"/>
      <c r="X151" s="258"/>
      <c r="Y151" s="258"/>
      <c r="Z151" s="258"/>
      <c r="AA151" s="258"/>
      <c r="AB151" s="258"/>
      <c r="AC151" s="258"/>
      <c r="AD151" s="258"/>
      <c r="AE151" s="258"/>
      <c r="AF151" s="258"/>
      <c r="AG151" s="258"/>
      <c r="AH151" s="258"/>
      <c r="AI151" s="258"/>
      <c r="AJ151" s="258"/>
      <c r="AK151" s="258"/>
      <c r="AL151" s="258"/>
      <c r="AM151" s="258"/>
      <c r="AN151" s="258"/>
      <c r="AO151" s="258"/>
      <c r="AP151" s="258"/>
      <c r="AQ151" s="258"/>
      <c r="AR151" s="258"/>
      <c r="AS151" s="258"/>
      <c r="AT151" s="258"/>
    </row>
    <row r="152" spans="1:46" ht="17.25" hidden="1" customHeight="1">
      <c r="A152" s="223">
        <v>11</v>
      </c>
      <c r="B152" s="218" t="s">
        <v>49</v>
      </c>
      <c r="C152" s="222" t="s">
        <v>492</v>
      </c>
      <c r="D152" s="222" t="s">
        <v>306</v>
      </c>
      <c r="E152" s="223">
        <v>7</v>
      </c>
      <c r="F152" s="224">
        <v>40635</v>
      </c>
      <c r="G152" s="225" t="s">
        <v>493</v>
      </c>
      <c r="H152" s="222">
        <v>7605507063</v>
      </c>
      <c r="I152" s="225" t="s">
        <v>494</v>
      </c>
      <c r="J152" s="224">
        <v>45082</v>
      </c>
      <c r="K152" s="225"/>
      <c r="L152" s="225"/>
      <c r="M152" s="225" t="s">
        <v>495</v>
      </c>
      <c r="N152" s="218" t="s">
        <v>35</v>
      </c>
      <c r="O152" s="226">
        <v>45139</v>
      </c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  <c r="AB152" s="227"/>
      <c r="AC152" s="227"/>
      <c r="AD152" s="227"/>
      <c r="AE152" s="227"/>
      <c r="AF152" s="227"/>
      <c r="AG152" s="227"/>
      <c r="AH152" s="227"/>
      <c r="AI152" s="227"/>
      <c r="AJ152" s="227"/>
      <c r="AK152" s="227"/>
      <c r="AL152" s="227"/>
      <c r="AM152" s="227"/>
      <c r="AN152" s="227"/>
      <c r="AO152" s="227"/>
      <c r="AP152" s="227"/>
      <c r="AQ152" s="227"/>
      <c r="AR152" s="227"/>
      <c r="AS152" s="227"/>
      <c r="AT152" s="227"/>
    </row>
    <row r="153" spans="1:46" ht="17.25" hidden="1" customHeight="1">
      <c r="A153" s="223">
        <v>12</v>
      </c>
      <c r="B153" s="218" t="s">
        <v>89</v>
      </c>
      <c r="C153" s="222" t="s">
        <v>492</v>
      </c>
      <c r="D153" s="222" t="s">
        <v>306</v>
      </c>
      <c r="E153" s="223">
        <v>7</v>
      </c>
      <c r="F153" s="224">
        <v>40635</v>
      </c>
      <c r="G153" s="225" t="s">
        <v>493</v>
      </c>
      <c r="H153" s="222">
        <v>7605507063</v>
      </c>
      <c r="I153" s="225" t="s">
        <v>494</v>
      </c>
      <c r="J153" s="224">
        <v>45082</v>
      </c>
      <c r="K153" s="225"/>
      <c r="L153" s="225"/>
      <c r="M153" s="225" t="s">
        <v>495</v>
      </c>
      <c r="N153" s="218" t="s">
        <v>35</v>
      </c>
      <c r="O153" s="226">
        <v>45139</v>
      </c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  <c r="AB153" s="227"/>
      <c r="AC153" s="227"/>
      <c r="AD153" s="227"/>
      <c r="AE153" s="227"/>
      <c r="AF153" s="227"/>
      <c r="AG153" s="227"/>
      <c r="AH153" s="227"/>
      <c r="AI153" s="227"/>
      <c r="AJ153" s="227"/>
      <c r="AK153" s="227"/>
      <c r="AL153" s="227"/>
      <c r="AM153" s="227"/>
      <c r="AN153" s="227"/>
      <c r="AO153" s="227"/>
      <c r="AP153" s="227"/>
      <c r="AQ153" s="227"/>
      <c r="AR153" s="227"/>
      <c r="AS153" s="227"/>
      <c r="AT153" s="227"/>
    </row>
    <row r="154" spans="1:46" ht="17.25" hidden="1" customHeight="1">
      <c r="A154" s="223">
        <v>13</v>
      </c>
      <c r="B154" s="218" t="s">
        <v>49</v>
      </c>
      <c r="C154" s="222" t="s">
        <v>492</v>
      </c>
      <c r="D154" s="222" t="s">
        <v>496</v>
      </c>
      <c r="E154" s="223">
        <v>2</v>
      </c>
      <c r="F154" s="224">
        <v>42425</v>
      </c>
      <c r="G154" s="225" t="s">
        <v>493</v>
      </c>
      <c r="H154" s="222">
        <v>7605507063</v>
      </c>
      <c r="I154" s="225" t="s">
        <v>494</v>
      </c>
      <c r="J154" s="224">
        <v>45082</v>
      </c>
      <c r="K154" s="225"/>
      <c r="L154" s="225"/>
      <c r="M154" s="225" t="s">
        <v>495</v>
      </c>
      <c r="N154" s="218" t="s">
        <v>35</v>
      </c>
      <c r="O154" s="226">
        <v>45139</v>
      </c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  <c r="AB154" s="227"/>
      <c r="AC154" s="227"/>
      <c r="AD154" s="227"/>
      <c r="AE154" s="227"/>
      <c r="AF154" s="227"/>
      <c r="AG154" s="227"/>
      <c r="AH154" s="227"/>
      <c r="AI154" s="227"/>
      <c r="AJ154" s="227"/>
      <c r="AK154" s="227"/>
      <c r="AL154" s="227"/>
      <c r="AM154" s="227"/>
      <c r="AN154" s="227"/>
      <c r="AO154" s="227"/>
      <c r="AP154" s="227"/>
      <c r="AQ154" s="227"/>
      <c r="AR154" s="227"/>
      <c r="AS154" s="227"/>
      <c r="AT154" s="227"/>
    </row>
    <row r="155" spans="1:46" ht="17.25" hidden="1" customHeight="1">
      <c r="A155" s="223">
        <v>14</v>
      </c>
      <c r="B155" s="218" t="s">
        <v>89</v>
      </c>
      <c r="C155" s="222" t="s">
        <v>492</v>
      </c>
      <c r="D155" s="222" t="s">
        <v>496</v>
      </c>
      <c r="E155" s="223">
        <v>2</v>
      </c>
      <c r="F155" s="224">
        <v>42425</v>
      </c>
      <c r="G155" s="225" t="s">
        <v>493</v>
      </c>
      <c r="H155" s="222">
        <v>7605507063</v>
      </c>
      <c r="I155" s="225" t="s">
        <v>494</v>
      </c>
      <c r="J155" s="224">
        <v>45082</v>
      </c>
      <c r="K155" s="225"/>
      <c r="L155" s="225"/>
      <c r="M155" s="225" t="s">
        <v>495</v>
      </c>
      <c r="N155" s="218" t="s">
        <v>35</v>
      </c>
      <c r="O155" s="226">
        <v>45139</v>
      </c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  <c r="AB155" s="227"/>
      <c r="AC155" s="227"/>
      <c r="AD155" s="227"/>
      <c r="AE155" s="227"/>
      <c r="AF155" s="227"/>
      <c r="AG155" s="227"/>
      <c r="AH155" s="227"/>
      <c r="AI155" s="227"/>
      <c r="AJ155" s="227"/>
      <c r="AK155" s="227"/>
      <c r="AL155" s="227"/>
      <c r="AM155" s="227"/>
      <c r="AN155" s="227"/>
      <c r="AO155" s="227"/>
      <c r="AP155" s="227"/>
      <c r="AQ155" s="227"/>
      <c r="AR155" s="227"/>
      <c r="AS155" s="227"/>
      <c r="AT155" s="227"/>
    </row>
    <row r="156" spans="1:46" ht="17.25" hidden="1" customHeight="1">
      <c r="A156" s="223">
        <v>15</v>
      </c>
      <c r="B156" s="218" t="s">
        <v>49</v>
      </c>
      <c r="C156" s="222" t="s">
        <v>497</v>
      </c>
      <c r="D156" s="222" t="s">
        <v>498</v>
      </c>
      <c r="E156" s="223">
        <v>1</v>
      </c>
      <c r="F156" s="224">
        <v>42905</v>
      </c>
      <c r="G156" s="225" t="s">
        <v>499</v>
      </c>
      <c r="H156" s="222">
        <v>5303647578</v>
      </c>
      <c r="I156" s="225" t="s">
        <v>500</v>
      </c>
      <c r="J156" s="224">
        <v>45078</v>
      </c>
      <c r="K156" s="225"/>
      <c r="L156" s="225"/>
      <c r="M156" s="225" t="s">
        <v>501</v>
      </c>
      <c r="N156" s="218" t="s">
        <v>35</v>
      </c>
      <c r="O156" s="226">
        <v>45139</v>
      </c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  <c r="AB156" s="227"/>
      <c r="AC156" s="227"/>
      <c r="AD156" s="227"/>
      <c r="AE156" s="227"/>
      <c r="AF156" s="227"/>
      <c r="AG156" s="227"/>
      <c r="AH156" s="227"/>
      <c r="AI156" s="227"/>
      <c r="AJ156" s="227"/>
      <c r="AK156" s="227"/>
      <c r="AL156" s="227"/>
      <c r="AM156" s="227"/>
      <c r="AN156" s="227"/>
      <c r="AO156" s="227"/>
      <c r="AP156" s="227"/>
      <c r="AQ156" s="227"/>
      <c r="AR156" s="227"/>
      <c r="AS156" s="227"/>
      <c r="AT156" s="227"/>
    </row>
    <row r="157" spans="1:46" ht="17.25" hidden="1" customHeight="1">
      <c r="A157" s="223">
        <v>16</v>
      </c>
      <c r="B157" s="218" t="s">
        <v>89</v>
      </c>
      <c r="C157" s="222" t="s">
        <v>497</v>
      </c>
      <c r="D157" s="222" t="s">
        <v>498</v>
      </c>
      <c r="E157" s="223">
        <v>1</v>
      </c>
      <c r="F157" s="224">
        <v>42905</v>
      </c>
      <c r="G157" s="225" t="s">
        <v>499</v>
      </c>
      <c r="H157" s="222">
        <v>5303647578</v>
      </c>
      <c r="I157" s="225" t="s">
        <v>500</v>
      </c>
      <c r="J157" s="224">
        <v>45078</v>
      </c>
      <c r="K157" s="225"/>
      <c r="L157" s="225"/>
      <c r="M157" s="225" t="s">
        <v>501</v>
      </c>
      <c r="N157" s="218" t="s">
        <v>35</v>
      </c>
      <c r="O157" s="226">
        <v>45139</v>
      </c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  <c r="AB157" s="227"/>
      <c r="AC157" s="227"/>
      <c r="AD157" s="227"/>
      <c r="AE157" s="227"/>
      <c r="AF157" s="227"/>
      <c r="AG157" s="227"/>
      <c r="AH157" s="227"/>
      <c r="AI157" s="227"/>
      <c r="AJ157" s="227"/>
      <c r="AK157" s="227"/>
      <c r="AL157" s="227"/>
      <c r="AM157" s="227"/>
      <c r="AN157" s="227"/>
      <c r="AO157" s="227"/>
      <c r="AP157" s="227"/>
      <c r="AQ157" s="227"/>
      <c r="AR157" s="227"/>
      <c r="AS157" s="227"/>
      <c r="AT157" s="227"/>
    </row>
    <row r="158" spans="1:46" ht="17.25" hidden="1" customHeight="1">
      <c r="A158" s="223">
        <v>17</v>
      </c>
      <c r="B158" s="218" t="s">
        <v>49</v>
      </c>
      <c r="C158" s="222" t="s">
        <v>502</v>
      </c>
      <c r="D158" s="222" t="s">
        <v>503</v>
      </c>
      <c r="E158" s="223">
        <v>3</v>
      </c>
      <c r="F158" s="224">
        <v>41816</v>
      </c>
      <c r="G158" s="225" t="s">
        <v>504</v>
      </c>
      <c r="H158" s="222">
        <v>6692518555</v>
      </c>
      <c r="I158" s="225" t="s">
        <v>505</v>
      </c>
      <c r="J158" s="224">
        <v>45078</v>
      </c>
      <c r="K158" s="225"/>
      <c r="L158" s="225"/>
      <c r="M158" s="225" t="s">
        <v>506</v>
      </c>
      <c r="N158" s="218" t="s">
        <v>35</v>
      </c>
      <c r="O158" s="226">
        <v>45139</v>
      </c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  <c r="AB158" s="227"/>
      <c r="AC158" s="227"/>
      <c r="AD158" s="227"/>
      <c r="AE158" s="227"/>
      <c r="AF158" s="227"/>
      <c r="AG158" s="227"/>
      <c r="AH158" s="227"/>
      <c r="AI158" s="227"/>
      <c r="AJ158" s="227"/>
      <c r="AK158" s="227"/>
      <c r="AL158" s="227"/>
      <c r="AM158" s="227"/>
      <c r="AN158" s="227"/>
      <c r="AO158" s="227"/>
      <c r="AP158" s="227"/>
      <c r="AQ158" s="227"/>
      <c r="AR158" s="227"/>
      <c r="AS158" s="227"/>
      <c r="AT158" s="227"/>
    </row>
    <row r="159" spans="1:46" ht="17.25" hidden="1" customHeight="1">
      <c r="A159" s="223">
        <v>18</v>
      </c>
      <c r="B159" s="218" t="s">
        <v>89</v>
      </c>
      <c r="C159" s="222" t="s">
        <v>502</v>
      </c>
      <c r="D159" s="222" t="s">
        <v>503</v>
      </c>
      <c r="E159" s="223">
        <v>3</v>
      </c>
      <c r="F159" s="224">
        <v>41816</v>
      </c>
      <c r="G159" s="225" t="s">
        <v>504</v>
      </c>
      <c r="H159" s="222">
        <v>6692518555</v>
      </c>
      <c r="I159" s="225" t="s">
        <v>505</v>
      </c>
      <c r="J159" s="224">
        <v>45078</v>
      </c>
      <c r="K159" s="225"/>
      <c r="L159" s="225"/>
      <c r="M159" s="225" t="s">
        <v>506</v>
      </c>
      <c r="N159" s="218" t="s">
        <v>35</v>
      </c>
      <c r="O159" s="226">
        <v>45139</v>
      </c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  <c r="AB159" s="227"/>
      <c r="AC159" s="227"/>
      <c r="AD159" s="227"/>
      <c r="AE159" s="227"/>
      <c r="AF159" s="227"/>
      <c r="AG159" s="227"/>
      <c r="AH159" s="227"/>
      <c r="AI159" s="227"/>
      <c r="AJ159" s="227"/>
      <c r="AK159" s="227"/>
      <c r="AL159" s="227"/>
      <c r="AM159" s="227"/>
      <c r="AN159" s="227"/>
      <c r="AO159" s="227"/>
      <c r="AP159" s="227"/>
      <c r="AQ159" s="227"/>
      <c r="AR159" s="227"/>
      <c r="AS159" s="227"/>
      <c r="AT159" s="227"/>
    </row>
    <row r="160" spans="1:46" ht="17.25" hidden="1" customHeight="1">
      <c r="A160" s="223">
        <v>19</v>
      </c>
      <c r="B160" s="218" t="s">
        <v>49</v>
      </c>
      <c r="C160" s="222" t="s">
        <v>507</v>
      </c>
      <c r="D160" s="222" t="s">
        <v>508</v>
      </c>
      <c r="E160" s="223">
        <v>7</v>
      </c>
      <c r="F160" s="224">
        <v>40806</v>
      </c>
      <c r="G160" s="225" t="s">
        <v>504</v>
      </c>
      <c r="H160" s="222">
        <v>6692518555</v>
      </c>
      <c r="I160" s="225" t="s">
        <v>505</v>
      </c>
      <c r="J160" s="224">
        <v>45078</v>
      </c>
      <c r="K160" s="225"/>
      <c r="L160" s="225"/>
      <c r="M160" s="225" t="s">
        <v>506</v>
      </c>
      <c r="N160" s="218" t="s">
        <v>35</v>
      </c>
      <c r="O160" s="226">
        <v>45139</v>
      </c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  <c r="AB160" s="227"/>
      <c r="AC160" s="227"/>
      <c r="AD160" s="227"/>
      <c r="AE160" s="227"/>
      <c r="AF160" s="227"/>
      <c r="AG160" s="227"/>
      <c r="AH160" s="227"/>
      <c r="AI160" s="227"/>
      <c r="AJ160" s="227"/>
      <c r="AK160" s="227"/>
      <c r="AL160" s="227"/>
      <c r="AM160" s="227"/>
      <c r="AN160" s="227"/>
      <c r="AO160" s="227"/>
      <c r="AP160" s="227"/>
      <c r="AQ160" s="227"/>
      <c r="AR160" s="227"/>
      <c r="AS160" s="227"/>
      <c r="AT160" s="227"/>
    </row>
    <row r="161" spans="1:46" ht="17.25" hidden="1" customHeight="1">
      <c r="A161" s="223">
        <v>20</v>
      </c>
      <c r="B161" s="218" t="s">
        <v>89</v>
      </c>
      <c r="C161" s="222" t="s">
        <v>507</v>
      </c>
      <c r="D161" s="222" t="s">
        <v>508</v>
      </c>
      <c r="E161" s="223">
        <v>7</v>
      </c>
      <c r="F161" s="224">
        <v>40806</v>
      </c>
      <c r="G161" s="225" t="s">
        <v>504</v>
      </c>
      <c r="H161" s="222">
        <v>6692518555</v>
      </c>
      <c r="I161" s="225" t="s">
        <v>505</v>
      </c>
      <c r="J161" s="224">
        <v>45078</v>
      </c>
      <c r="K161" s="225"/>
      <c r="L161" s="225"/>
      <c r="M161" s="225" t="s">
        <v>506</v>
      </c>
      <c r="N161" s="218" t="s">
        <v>35</v>
      </c>
      <c r="O161" s="226">
        <v>45139</v>
      </c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  <c r="AB161" s="227"/>
      <c r="AC161" s="227"/>
      <c r="AD161" s="227"/>
      <c r="AE161" s="227"/>
      <c r="AF161" s="227"/>
      <c r="AG161" s="227"/>
      <c r="AH161" s="227"/>
      <c r="AI161" s="227"/>
      <c r="AJ161" s="227"/>
      <c r="AK161" s="227"/>
      <c r="AL161" s="227"/>
      <c r="AM161" s="227"/>
      <c r="AN161" s="227"/>
      <c r="AO161" s="227"/>
      <c r="AP161" s="227"/>
      <c r="AQ161" s="227"/>
      <c r="AR161" s="227"/>
      <c r="AS161" s="227"/>
      <c r="AT161" s="227"/>
    </row>
    <row r="162" spans="1:46" ht="17.25" hidden="1" customHeight="1">
      <c r="A162" s="259">
        <v>21</v>
      </c>
      <c r="B162" s="260" t="s">
        <v>89</v>
      </c>
      <c r="C162" s="261" t="s">
        <v>415</v>
      </c>
      <c r="D162" s="261" t="s">
        <v>509</v>
      </c>
      <c r="E162" s="259">
        <v>1</v>
      </c>
      <c r="F162" s="262">
        <v>42483</v>
      </c>
      <c r="G162" s="263" t="s">
        <v>510</v>
      </c>
      <c r="H162" s="261">
        <v>6692460021</v>
      </c>
      <c r="I162" s="263" t="s">
        <v>511</v>
      </c>
      <c r="J162" s="262">
        <v>45084</v>
      </c>
      <c r="K162" s="263"/>
      <c r="L162" s="263"/>
      <c r="M162" s="263" t="s">
        <v>512</v>
      </c>
      <c r="N162" s="260" t="s">
        <v>35</v>
      </c>
      <c r="O162" s="264">
        <v>45139</v>
      </c>
      <c r="P162" s="258"/>
      <c r="Q162" s="258"/>
      <c r="R162" s="258"/>
      <c r="S162" s="258"/>
      <c r="T162" s="258"/>
      <c r="U162" s="258"/>
      <c r="V162" s="258"/>
      <c r="W162" s="258"/>
      <c r="X162" s="258"/>
      <c r="Y162" s="258"/>
      <c r="Z162" s="258"/>
      <c r="AA162" s="258"/>
      <c r="AB162" s="258"/>
      <c r="AC162" s="258"/>
      <c r="AD162" s="258"/>
      <c r="AE162" s="258"/>
      <c r="AF162" s="258"/>
      <c r="AG162" s="258"/>
      <c r="AH162" s="258"/>
      <c r="AI162" s="258"/>
      <c r="AJ162" s="258"/>
      <c r="AK162" s="258"/>
      <c r="AL162" s="258"/>
      <c r="AM162" s="258"/>
      <c r="AN162" s="258"/>
      <c r="AO162" s="258"/>
      <c r="AP162" s="258"/>
      <c r="AQ162" s="258"/>
      <c r="AR162" s="258"/>
      <c r="AS162" s="258"/>
      <c r="AT162" s="258"/>
    </row>
    <row r="163" spans="1:46" ht="17.25" hidden="1" customHeight="1">
      <c r="A163" s="269">
        <v>1</v>
      </c>
      <c r="B163" s="270" t="s">
        <v>89</v>
      </c>
      <c r="C163" s="271" t="s">
        <v>513</v>
      </c>
      <c r="D163" s="271" t="s">
        <v>514</v>
      </c>
      <c r="E163" s="272">
        <v>6</v>
      </c>
      <c r="F163" s="273">
        <v>41034</v>
      </c>
      <c r="G163" s="274" t="s">
        <v>515</v>
      </c>
      <c r="H163" s="271">
        <v>5108161486</v>
      </c>
      <c r="I163" s="274" t="s">
        <v>214</v>
      </c>
      <c r="J163" s="273">
        <v>45139</v>
      </c>
      <c r="K163" s="274"/>
      <c r="L163" s="274"/>
      <c r="M163" s="274" t="s">
        <v>516</v>
      </c>
      <c r="N163" s="270" t="s">
        <v>35</v>
      </c>
      <c r="O163" s="275">
        <v>45170</v>
      </c>
      <c r="P163" s="276"/>
      <c r="Q163" s="276"/>
      <c r="R163" s="276"/>
      <c r="S163" s="276"/>
      <c r="T163" s="276"/>
      <c r="U163" s="276"/>
      <c r="V163" s="276"/>
      <c r="W163" s="276"/>
      <c r="X163" s="276"/>
      <c r="Y163" s="276"/>
      <c r="Z163" s="276"/>
      <c r="AA163" s="276"/>
      <c r="AB163" s="276"/>
      <c r="AC163" s="276"/>
      <c r="AD163" s="276"/>
      <c r="AE163" s="276"/>
      <c r="AF163" s="276"/>
      <c r="AG163" s="276"/>
      <c r="AH163" s="276"/>
      <c r="AI163" s="276"/>
      <c r="AJ163" s="276"/>
      <c r="AK163" s="276"/>
      <c r="AL163" s="276"/>
      <c r="AM163" s="276"/>
      <c r="AN163" s="276"/>
      <c r="AO163" s="276"/>
      <c r="AP163" s="276"/>
      <c r="AQ163" s="276"/>
      <c r="AR163" s="276"/>
      <c r="AS163" s="276"/>
      <c r="AT163" s="276"/>
    </row>
    <row r="164" spans="1:46" ht="17.25" hidden="1" customHeight="1">
      <c r="A164" s="269">
        <v>2</v>
      </c>
      <c r="B164" s="270" t="s">
        <v>49</v>
      </c>
      <c r="C164" s="277" t="s">
        <v>227</v>
      </c>
      <c r="D164" s="277" t="s">
        <v>517</v>
      </c>
      <c r="E164" s="269" t="s">
        <v>125</v>
      </c>
      <c r="F164" s="278">
        <v>42776</v>
      </c>
      <c r="G164" s="279" t="s">
        <v>518</v>
      </c>
      <c r="H164" s="277">
        <v>6692385152</v>
      </c>
      <c r="I164" s="279" t="s">
        <v>519</v>
      </c>
      <c r="J164" s="278">
        <v>45093</v>
      </c>
      <c r="K164" s="279"/>
      <c r="L164" s="279"/>
      <c r="M164" s="279" t="s">
        <v>520</v>
      </c>
      <c r="N164" s="270" t="s">
        <v>35</v>
      </c>
      <c r="O164" s="275">
        <v>45170</v>
      </c>
      <c r="P164" s="276"/>
      <c r="Q164" s="276"/>
      <c r="R164" s="276"/>
      <c r="S164" s="276"/>
      <c r="T164" s="276"/>
      <c r="U164" s="276"/>
      <c r="V164" s="276"/>
      <c r="W164" s="276"/>
      <c r="X164" s="276"/>
      <c r="Y164" s="276"/>
      <c r="Z164" s="276"/>
      <c r="AA164" s="276"/>
      <c r="AB164" s="276"/>
      <c r="AC164" s="276"/>
      <c r="AD164" s="276"/>
      <c r="AE164" s="276"/>
      <c r="AF164" s="276"/>
      <c r="AG164" s="276"/>
      <c r="AH164" s="276"/>
      <c r="AI164" s="276"/>
      <c r="AJ164" s="276"/>
      <c r="AK164" s="276"/>
      <c r="AL164" s="276"/>
      <c r="AM164" s="276"/>
      <c r="AN164" s="276"/>
      <c r="AO164" s="276"/>
      <c r="AP164" s="276"/>
      <c r="AQ164" s="276"/>
      <c r="AR164" s="276"/>
      <c r="AS164" s="276"/>
      <c r="AT164" s="276"/>
    </row>
    <row r="165" spans="1:46" ht="17.25" hidden="1" customHeight="1">
      <c r="A165" s="269">
        <v>3</v>
      </c>
      <c r="B165" s="270" t="s">
        <v>89</v>
      </c>
      <c r="C165" s="280" t="s">
        <v>227</v>
      </c>
      <c r="D165" s="280" t="s">
        <v>517</v>
      </c>
      <c r="E165" s="269" t="s">
        <v>125</v>
      </c>
      <c r="F165" s="278">
        <v>42776</v>
      </c>
      <c r="G165" s="279" t="s">
        <v>518</v>
      </c>
      <c r="H165" s="277">
        <v>6692385152</v>
      </c>
      <c r="I165" s="279" t="s">
        <v>519</v>
      </c>
      <c r="J165" s="278">
        <v>45124</v>
      </c>
      <c r="K165" s="279"/>
      <c r="L165" s="279"/>
      <c r="M165" s="279" t="s">
        <v>520</v>
      </c>
      <c r="N165" s="270" t="s">
        <v>35</v>
      </c>
      <c r="O165" s="275">
        <v>45170</v>
      </c>
      <c r="P165" s="276"/>
      <c r="Q165" s="276"/>
      <c r="R165" s="276"/>
      <c r="S165" s="276"/>
      <c r="T165" s="276"/>
      <c r="U165" s="276"/>
      <c r="V165" s="276"/>
      <c r="W165" s="276"/>
      <c r="X165" s="276"/>
      <c r="Y165" s="276"/>
      <c r="Z165" s="276"/>
      <c r="AA165" s="276"/>
      <c r="AB165" s="276"/>
      <c r="AC165" s="276"/>
      <c r="AD165" s="276"/>
      <c r="AE165" s="276"/>
      <c r="AF165" s="276"/>
      <c r="AG165" s="276"/>
      <c r="AH165" s="276"/>
      <c r="AI165" s="276"/>
      <c r="AJ165" s="276"/>
      <c r="AK165" s="276"/>
      <c r="AL165" s="276"/>
      <c r="AM165" s="276"/>
      <c r="AN165" s="276"/>
      <c r="AO165" s="276"/>
      <c r="AP165" s="276"/>
      <c r="AQ165" s="276"/>
      <c r="AR165" s="276"/>
      <c r="AS165" s="276"/>
      <c r="AT165" s="276"/>
    </row>
    <row r="166" spans="1:46" ht="17.25" hidden="1" customHeight="1">
      <c r="A166" s="93">
        <v>1</v>
      </c>
      <c r="B166" s="281" t="s">
        <v>49</v>
      </c>
      <c r="C166" s="133" t="s">
        <v>315</v>
      </c>
      <c r="D166" s="133" t="s">
        <v>316</v>
      </c>
      <c r="E166" s="134" t="s">
        <v>189</v>
      </c>
      <c r="F166" s="135">
        <v>43461</v>
      </c>
      <c r="G166" s="136" t="s">
        <v>317</v>
      </c>
      <c r="H166" s="133">
        <v>4086803486</v>
      </c>
      <c r="I166" s="136" t="s">
        <v>318</v>
      </c>
      <c r="J166" s="135">
        <v>45174</v>
      </c>
      <c r="K166" s="136"/>
      <c r="L166" s="136"/>
      <c r="M166" s="136" t="s">
        <v>521</v>
      </c>
      <c r="N166" s="124" t="s">
        <v>35</v>
      </c>
      <c r="O166" s="138">
        <v>45231</v>
      </c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  <c r="AA166" s="282"/>
      <c r="AB166" s="282"/>
      <c r="AC166" s="282"/>
      <c r="AD166" s="282"/>
      <c r="AE166" s="282"/>
      <c r="AF166" s="282"/>
      <c r="AG166" s="282"/>
      <c r="AH166" s="282"/>
      <c r="AI166" s="282"/>
      <c r="AJ166" s="282"/>
      <c r="AK166" s="282"/>
      <c r="AL166" s="282"/>
      <c r="AM166" s="282"/>
      <c r="AN166" s="282"/>
      <c r="AO166" s="282"/>
      <c r="AP166" s="282"/>
      <c r="AQ166" s="282"/>
      <c r="AR166" s="282"/>
      <c r="AS166" s="282"/>
      <c r="AT166" s="282"/>
    </row>
    <row r="167" spans="1:46" ht="17.25" hidden="1" customHeight="1">
      <c r="A167" s="93">
        <v>1</v>
      </c>
      <c r="B167" s="94" t="s">
        <v>49</v>
      </c>
      <c r="C167" s="111" t="s">
        <v>217</v>
      </c>
      <c r="D167" s="111" t="s">
        <v>484</v>
      </c>
      <c r="E167" s="93">
        <v>3</v>
      </c>
      <c r="F167" s="112">
        <v>41924</v>
      </c>
      <c r="G167" s="98" t="s">
        <v>522</v>
      </c>
      <c r="H167" s="98">
        <v>5102921648</v>
      </c>
      <c r="I167" s="98" t="s">
        <v>523</v>
      </c>
      <c r="J167" s="112">
        <v>45246</v>
      </c>
      <c r="K167" s="109"/>
      <c r="L167" s="109"/>
      <c r="M167" s="109" t="s">
        <v>524</v>
      </c>
      <c r="N167" s="94" t="s">
        <v>35</v>
      </c>
      <c r="O167" s="113">
        <v>45261</v>
      </c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spans="1:46" ht="17.25" hidden="1" customHeight="1">
      <c r="A168" s="93">
        <v>2</v>
      </c>
      <c r="B168" s="94" t="s">
        <v>89</v>
      </c>
      <c r="C168" s="111" t="s">
        <v>217</v>
      </c>
      <c r="D168" s="111" t="s">
        <v>484</v>
      </c>
      <c r="E168" s="93">
        <v>3</v>
      </c>
      <c r="F168" s="112">
        <v>41924</v>
      </c>
      <c r="G168" s="98" t="s">
        <v>522</v>
      </c>
      <c r="H168" s="98">
        <v>5102921648</v>
      </c>
      <c r="I168" s="98" t="s">
        <v>523</v>
      </c>
      <c r="J168" s="112">
        <v>45246</v>
      </c>
      <c r="K168" s="109"/>
      <c r="L168" s="109"/>
      <c r="M168" s="109" t="s">
        <v>524</v>
      </c>
      <c r="N168" s="94" t="s">
        <v>35</v>
      </c>
      <c r="O168" s="113">
        <v>45261</v>
      </c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spans="1:46" ht="17.25" hidden="1" customHeight="1">
      <c r="A169" s="93">
        <v>3</v>
      </c>
      <c r="B169" s="94" t="s">
        <v>49</v>
      </c>
      <c r="C169" s="111" t="s">
        <v>370</v>
      </c>
      <c r="D169" s="111" t="s">
        <v>525</v>
      </c>
      <c r="E169" s="93">
        <v>2</v>
      </c>
      <c r="F169" s="112">
        <v>42588</v>
      </c>
      <c r="G169" s="109" t="s">
        <v>526</v>
      </c>
      <c r="H169" s="111">
        <v>6692068365</v>
      </c>
      <c r="I169" s="109" t="s">
        <v>527</v>
      </c>
      <c r="J169" s="112">
        <v>45170</v>
      </c>
      <c r="K169" s="109"/>
      <c r="L169" s="109"/>
      <c r="M169" s="109" t="s">
        <v>528</v>
      </c>
      <c r="N169" s="94" t="s">
        <v>35</v>
      </c>
      <c r="O169" s="113">
        <v>45261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spans="1:46" ht="17.25" hidden="1" customHeight="1">
      <c r="A170" s="93">
        <v>4</v>
      </c>
      <c r="B170" s="94" t="s">
        <v>49</v>
      </c>
      <c r="C170" s="283" t="s">
        <v>529</v>
      </c>
      <c r="D170" s="283" t="s">
        <v>530</v>
      </c>
      <c r="E170" s="93">
        <v>1</v>
      </c>
      <c r="F170" s="112">
        <v>42388</v>
      </c>
      <c r="G170" s="109" t="s">
        <v>531</v>
      </c>
      <c r="H170" s="111">
        <v>4087977701</v>
      </c>
      <c r="I170" s="109" t="s">
        <v>532</v>
      </c>
      <c r="J170" s="112">
        <v>45033</v>
      </c>
      <c r="K170" s="109"/>
      <c r="L170" s="109"/>
      <c r="M170" s="109" t="s">
        <v>533</v>
      </c>
      <c r="N170" s="94" t="s">
        <v>35</v>
      </c>
      <c r="O170" s="113">
        <v>45261</v>
      </c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spans="1:46" ht="17.25" hidden="1" customHeight="1">
      <c r="A171" s="93">
        <v>5</v>
      </c>
      <c r="B171" s="94" t="s">
        <v>89</v>
      </c>
      <c r="C171" s="95" t="s">
        <v>534</v>
      </c>
      <c r="D171" s="95" t="s">
        <v>401</v>
      </c>
      <c r="E171" s="96">
        <v>1</v>
      </c>
      <c r="F171" s="97">
        <v>42947</v>
      </c>
      <c r="G171" s="98" t="s">
        <v>535</v>
      </c>
      <c r="H171" s="95">
        <v>4085108805</v>
      </c>
      <c r="I171" s="98" t="s">
        <v>404</v>
      </c>
      <c r="J171" s="97">
        <v>45246</v>
      </c>
      <c r="K171" s="98"/>
      <c r="L171" s="98"/>
      <c r="M171" s="98" t="s">
        <v>536</v>
      </c>
      <c r="N171" s="94" t="s">
        <v>35</v>
      </c>
      <c r="O171" s="100">
        <v>45261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spans="1:46" ht="17.25" hidden="1" customHeight="1">
      <c r="A172" s="93">
        <v>6</v>
      </c>
      <c r="B172" s="94" t="s">
        <v>49</v>
      </c>
      <c r="C172" s="111" t="s">
        <v>370</v>
      </c>
      <c r="D172" s="111" t="s">
        <v>537</v>
      </c>
      <c r="E172" s="93" t="s">
        <v>125</v>
      </c>
      <c r="F172" s="112">
        <v>43151</v>
      </c>
      <c r="G172" s="109" t="s">
        <v>526</v>
      </c>
      <c r="H172" s="111">
        <v>6692068365</v>
      </c>
      <c r="I172" s="109" t="s">
        <v>527</v>
      </c>
      <c r="J172" s="112">
        <v>45170</v>
      </c>
      <c r="K172" s="109"/>
      <c r="L172" s="109"/>
      <c r="M172" s="109" t="s">
        <v>528</v>
      </c>
      <c r="N172" s="94" t="s">
        <v>35</v>
      </c>
      <c r="O172" s="113">
        <v>45261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spans="1:46" ht="17.25" hidden="1" customHeight="1">
      <c r="A173" s="93">
        <v>7</v>
      </c>
      <c r="B173" s="94" t="s">
        <v>89</v>
      </c>
      <c r="C173" s="283" t="s">
        <v>529</v>
      </c>
      <c r="D173" s="283" t="s">
        <v>538</v>
      </c>
      <c r="E173" s="93">
        <v>5</v>
      </c>
      <c r="F173" s="112">
        <v>40961</v>
      </c>
      <c r="G173" s="109" t="s">
        <v>539</v>
      </c>
      <c r="H173" s="111">
        <v>4087977701</v>
      </c>
      <c r="I173" s="109" t="s">
        <v>532</v>
      </c>
      <c r="J173" s="112">
        <v>44791</v>
      </c>
      <c r="K173" s="109"/>
      <c r="L173" s="109"/>
      <c r="M173" s="109" t="s">
        <v>540</v>
      </c>
      <c r="N173" s="94" t="s">
        <v>35</v>
      </c>
      <c r="O173" s="113">
        <v>45261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spans="1:46" ht="17.25" hidden="1" customHeight="1">
      <c r="A174" s="126">
        <v>1</v>
      </c>
      <c r="B174" s="124" t="s">
        <v>49</v>
      </c>
      <c r="C174" s="133" t="s">
        <v>541</v>
      </c>
      <c r="D174" s="133" t="s">
        <v>542</v>
      </c>
      <c r="E174" s="134">
        <v>3</v>
      </c>
      <c r="F174" s="135">
        <v>42236</v>
      </c>
      <c r="G174" s="136" t="s">
        <v>543</v>
      </c>
      <c r="H174" s="133" t="s">
        <v>544</v>
      </c>
      <c r="I174" s="136" t="s">
        <v>545</v>
      </c>
      <c r="J174" s="135">
        <v>45174</v>
      </c>
      <c r="K174" s="136"/>
      <c r="L174" s="136"/>
      <c r="M174" s="136"/>
      <c r="N174" s="124" t="s">
        <v>35</v>
      </c>
      <c r="O174" s="138">
        <v>45292</v>
      </c>
      <c r="P174" s="282"/>
      <c r="Q174" s="282"/>
      <c r="R174" s="282"/>
      <c r="S174" s="282"/>
      <c r="T174" s="282"/>
      <c r="U174" s="282"/>
      <c r="V174" s="282"/>
      <c r="W174" s="282"/>
      <c r="X174" s="282"/>
      <c r="Y174" s="282"/>
      <c r="Z174" s="282"/>
      <c r="AA174" s="282"/>
      <c r="AB174" s="282"/>
      <c r="AC174" s="282"/>
      <c r="AD174" s="282"/>
      <c r="AE174" s="282"/>
      <c r="AF174" s="282"/>
      <c r="AG174" s="282"/>
      <c r="AH174" s="282"/>
      <c r="AI174" s="282"/>
      <c r="AJ174" s="282"/>
      <c r="AK174" s="282"/>
      <c r="AL174" s="282"/>
      <c r="AM174" s="282"/>
      <c r="AN174" s="282"/>
      <c r="AO174" s="282"/>
      <c r="AP174" s="282"/>
      <c r="AQ174" s="282"/>
      <c r="AR174" s="282"/>
      <c r="AS174" s="282"/>
      <c r="AT174" s="282"/>
    </row>
    <row r="175" spans="1:46" ht="17.25" hidden="1" customHeight="1">
      <c r="A175" s="126">
        <v>2</v>
      </c>
      <c r="B175" s="124" t="s">
        <v>89</v>
      </c>
      <c r="C175" s="133" t="s">
        <v>541</v>
      </c>
      <c r="D175" s="133" t="s">
        <v>542</v>
      </c>
      <c r="E175" s="134">
        <v>3</v>
      </c>
      <c r="F175" s="135">
        <v>42236</v>
      </c>
      <c r="G175" s="136" t="s">
        <v>543</v>
      </c>
      <c r="H175" s="133" t="s">
        <v>544</v>
      </c>
      <c r="I175" s="136" t="s">
        <v>545</v>
      </c>
      <c r="J175" s="135">
        <v>45174</v>
      </c>
      <c r="K175" s="136"/>
      <c r="L175" s="136"/>
      <c r="M175" s="136"/>
      <c r="N175" s="124" t="s">
        <v>35</v>
      </c>
      <c r="O175" s="138">
        <v>45292</v>
      </c>
      <c r="P175" s="282"/>
      <c r="Q175" s="282"/>
      <c r="R175" s="282"/>
      <c r="S175" s="282"/>
      <c r="T175" s="282"/>
      <c r="U175" s="282"/>
      <c r="V175" s="282"/>
      <c r="W175" s="282"/>
      <c r="X175" s="282"/>
      <c r="Y175" s="282"/>
      <c r="Z175" s="282"/>
      <c r="AA175" s="282"/>
      <c r="AB175" s="282"/>
      <c r="AC175" s="282"/>
      <c r="AD175" s="282"/>
      <c r="AE175" s="282"/>
      <c r="AF175" s="282"/>
      <c r="AG175" s="282"/>
      <c r="AH175" s="282"/>
      <c r="AI175" s="282"/>
      <c r="AJ175" s="282"/>
      <c r="AK175" s="282"/>
      <c r="AL175" s="282"/>
      <c r="AM175" s="282"/>
      <c r="AN175" s="282"/>
      <c r="AO175" s="282"/>
      <c r="AP175" s="282"/>
      <c r="AQ175" s="282"/>
      <c r="AR175" s="282"/>
      <c r="AS175" s="282"/>
      <c r="AT175" s="282"/>
    </row>
    <row r="176" spans="1:46" ht="17.25" hidden="1" customHeight="1">
      <c r="A176" s="284">
        <v>3</v>
      </c>
      <c r="B176" s="124" t="s">
        <v>89</v>
      </c>
      <c r="C176" s="125" t="s">
        <v>211</v>
      </c>
      <c r="D176" s="125" t="s">
        <v>212</v>
      </c>
      <c r="E176" s="126">
        <v>6</v>
      </c>
      <c r="F176" s="127">
        <v>41034</v>
      </c>
      <c r="G176" s="128" t="s">
        <v>213</v>
      </c>
      <c r="H176" s="125">
        <v>5108161486</v>
      </c>
      <c r="I176" s="285" t="s">
        <v>214</v>
      </c>
      <c r="J176" s="127">
        <v>45093</v>
      </c>
      <c r="K176" s="128"/>
      <c r="L176" s="128"/>
      <c r="M176" s="128" t="s">
        <v>546</v>
      </c>
      <c r="N176" s="124" t="s">
        <v>35</v>
      </c>
      <c r="O176" s="138">
        <v>45292</v>
      </c>
      <c r="P176" s="282"/>
      <c r="Q176" s="282"/>
      <c r="R176" s="282"/>
      <c r="S176" s="282"/>
      <c r="T176" s="282"/>
      <c r="U176" s="282"/>
      <c r="V176" s="282"/>
      <c r="W176" s="282"/>
      <c r="X176" s="282"/>
      <c r="Y176" s="282"/>
      <c r="Z176" s="282"/>
      <c r="AA176" s="282"/>
      <c r="AB176" s="282"/>
      <c r="AC176" s="282"/>
      <c r="AD176" s="282"/>
      <c r="AE176" s="282"/>
      <c r="AF176" s="282"/>
      <c r="AG176" s="282"/>
      <c r="AH176" s="282"/>
      <c r="AI176" s="282"/>
      <c r="AJ176" s="282"/>
      <c r="AK176" s="282"/>
      <c r="AL176" s="282"/>
      <c r="AM176" s="282"/>
      <c r="AN176" s="282"/>
      <c r="AO176" s="282"/>
      <c r="AP176" s="282"/>
      <c r="AQ176" s="282"/>
      <c r="AR176" s="282"/>
      <c r="AS176" s="282"/>
      <c r="AT176" s="282"/>
    </row>
    <row r="177" spans="1:46" ht="17.25" hidden="1" customHeight="1">
      <c r="A177" s="126">
        <v>4</v>
      </c>
      <c r="B177" s="124" t="s">
        <v>49</v>
      </c>
      <c r="C177" s="125" t="s">
        <v>242</v>
      </c>
      <c r="D177" s="125" t="s">
        <v>547</v>
      </c>
      <c r="E177" s="126">
        <v>7</v>
      </c>
      <c r="F177" s="127">
        <v>40552</v>
      </c>
      <c r="G177" s="128" t="s">
        <v>548</v>
      </c>
      <c r="H177" s="125">
        <v>5108221710</v>
      </c>
      <c r="I177" s="128" t="s">
        <v>549</v>
      </c>
      <c r="J177" s="127">
        <v>45233</v>
      </c>
      <c r="K177" s="128"/>
      <c r="L177" s="128"/>
      <c r="M177" s="128"/>
      <c r="N177" s="124" t="s">
        <v>35</v>
      </c>
      <c r="O177" s="138">
        <v>45292</v>
      </c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282"/>
      <c r="AB177" s="282"/>
      <c r="AC177" s="282"/>
      <c r="AD177" s="282"/>
      <c r="AE177" s="282"/>
      <c r="AF177" s="282"/>
      <c r="AG177" s="282"/>
      <c r="AH177" s="282"/>
      <c r="AI177" s="282"/>
      <c r="AJ177" s="282"/>
      <c r="AK177" s="282"/>
      <c r="AL177" s="282"/>
      <c r="AM177" s="282"/>
      <c r="AN177" s="282"/>
      <c r="AO177" s="282"/>
      <c r="AP177" s="282"/>
      <c r="AQ177" s="282"/>
      <c r="AR177" s="282"/>
      <c r="AS177" s="282"/>
      <c r="AT177" s="282"/>
    </row>
    <row r="178" spans="1:46" ht="17.25" hidden="1" customHeight="1">
      <c r="A178" s="126">
        <v>5</v>
      </c>
      <c r="B178" s="124" t="s">
        <v>49</v>
      </c>
      <c r="C178" s="133" t="s">
        <v>370</v>
      </c>
      <c r="D178" s="133" t="s">
        <v>509</v>
      </c>
      <c r="E178" s="134">
        <v>1</v>
      </c>
      <c r="F178" s="135">
        <v>42483</v>
      </c>
      <c r="G178" s="136" t="s">
        <v>510</v>
      </c>
      <c r="H178" s="133">
        <v>6692460021</v>
      </c>
      <c r="I178" s="136" t="s">
        <v>511</v>
      </c>
      <c r="J178" s="135">
        <v>45247</v>
      </c>
      <c r="K178" s="136"/>
      <c r="L178" s="136"/>
      <c r="M178" s="136" t="s">
        <v>550</v>
      </c>
      <c r="N178" s="124" t="s">
        <v>35</v>
      </c>
      <c r="O178" s="138">
        <v>45292</v>
      </c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82"/>
      <c r="AB178" s="282"/>
      <c r="AC178" s="282"/>
      <c r="AD178" s="282"/>
      <c r="AE178" s="282"/>
      <c r="AF178" s="282"/>
      <c r="AG178" s="282"/>
      <c r="AH178" s="282"/>
      <c r="AI178" s="282"/>
      <c r="AJ178" s="282"/>
      <c r="AK178" s="282"/>
      <c r="AL178" s="282"/>
      <c r="AM178" s="282"/>
      <c r="AN178" s="282"/>
      <c r="AO178" s="282"/>
      <c r="AP178" s="282"/>
      <c r="AQ178" s="282"/>
      <c r="AR178" s="282"/>
      <c r="AS178" s="282"/>
      <c r="AT178" s="282"/>
    </row>
    <row r="179" spans="1:46" ht="15" hidden="1" customHeight="1">
      <c r="A179" s="286">
        <v>6</v>
      </c>
      <c r="B179" s="114" t="s">
        <v>49</v>
      </c>
      <c r="C179" s="287" t="s">
        <v>408</v>
      </c>
      <c r="D179" s="287" t="s">
        <v>551</v>
      </c>
      <c r="E179" s="286" t="s">
        <v>125</v>
      </c>
      <c r="F179" s="288">
        <v>42409</v>
      </c>
      <c r="G179" s="289" t="s">
        <v>552</v>
      </c>
      <c r="H179" s="290">
        <v>4088292099</v>
      </c>
      <c r="I179" s="289" t="s">
        <v>553</v>
      </c>
      <c r="J179" s="288">
        <v>44645</v>
      </c>
      <c r="K179" s="289"/>
      <c r="L179" s="289"/>
      <c r="M179" s="289" t="s">
        <v>554</v>
      </c>
      <c r="N179" s="114" t="s">
        <v>35</v>
      </c>
      <c r="O179" s="138">
        <v>45292</v>
      </c>
      <c r="P179" s="291"/>
      <c r="Q179" s="291"/>
      <c r="R179" s="291"/>
      <c r="S179" s="291"/>
      <c r="T179" s="291"/>
      <c r="U179" s="291"/>
      <c r="V179" s="291"/>
      <c r="W179" s="291"/>
      <c r="X179" s="291"/>
      <c r="Y179" s="291"/>
      <c r="Z179" s="291"/>
      <c r="AA179" s="291"/>
      <c r="AB179" s="291"/>
      <c r="AC179" s="291"/>
      <c r="AD179" s="291"/>
      <c r="AE179" s="291"/>
      <c r="AF179" s="291"/>
      <c r="AG179" s="291"/>
      <c r="AH179" s="291"/>
      <c r="AI179" s="291"/>
      <c r="AJ179" s="291"/>
      <c r="AK179" s="291"/>
      <c r="AL179" s="291"/>
      <c r="AM179" s="291"/>
      <c r="AN179" s="291"/>
      <c r="AO179" s="291"/>
      <c r="AP179" s="291"/>
      <c r="AQ179" s="291"/>
      <c r="AR179" s="291"/>
      <c r="AS179" s="291"/>
      <c r="AT179" s="291"/>
    </row>
    <row r="180" spans="1:46" ht="17.25" hidden="1" customHeight="1">
      <c r="A180" s="286">
        <v>7</v>
      </c>
      <c r="B180" s="114" t="s">
        <v>89</v>
      </c>
      <c r="C180" s="287" t="s">
        <v>408</v>
      </c>
      <c r="D180" s="287" t="s">
        <v>551</v>
      </c>
      <c r="E180" s="286" t="s">
        <v>125</v>
      </c>
      <c r="F180" s="288">
        <v>42409</v>
      </c>
      <c r="G180" s="289" t="s">
        <v>552</v>
      </c>
      <c r="H180" s="290">
        <v>4088292099</v>
      </c>
      <c r="I180" s="289" t="s">
        <v>553</v>
      </c>
      <c r="J180" s="288">
        <v>44866</v>
      </c>
      <c r="K180" s="289"/>
      <c r="L180" s="289"/>
      <c r="M180" s="289" t="s">
        <v>554</v>
      </c>
      <c r="N180" s="114" t="s">
        <v>35</v>
      </c>
      <c r="O180" s="138">
        <v>45292</v>
      </c>
      <c r="P180" s="291"/>
      <c r="Q180" s="291"/>
      <c r="R180" s="291"/>
      <c r="S180" s="291"/>
      <c r="T180" s="291"/>
      <c r="U180" s="291"/>
      <c r="V180" s="291"/>
      <c r="W180" s="291"/>
      <c r="X180" s="291"/>
      <c r="Y180" s="291"/>
      <c r="Z180" s="291"/>
      <c r="AA180" s="291"/>
      <c r="AB180" s="291"/>
      <c r="AC180" s="291"/>
      <c r="AD180" s="291"/>
      <c r="AE180" s="291"/>
      <c r="AF180" s="291"/>
      <c r="AG180" s="291"/>
      <c r="AH180" s="291"/>
      <c r="AI180" s="291"/>
      <c r="AJ180" s="291"/>
      <c r="AK180" s="291"/>
      <c r="AL180" s="291"/>
      <c r="AM180" s="291"/>
      <c r="AN180" s="291"/>
      <c r="AO180" s="291"/>
      <c r="AP180" s="291"/>
      <c r="AQ180" s="291"/>
      <c r="AR180" s="291"/>
      <c r="AS180" s="291"/>
      <c r="AT180" s="291"/>
    </row>
    <row r="181" spans="1:46" ht="17.25" hidden="1" customHeight="1">
      <c r="A181" s="126">
        <v>8</v>
      </c>
      <c r="B181" s="124" t="s">
        <v>49</v>
      </c>
      <c r="C181" s="125" t="s">
        <v>425</v>
      </c>
      <c r="D181" s="125" t="s">
        <v>371</v>
      </c>
      <c r="E181" s="126">
        <v>3</v>
      </c>
      <c r="F181" s="127">
        <v>42099</v>
      </c>
      <c r="G181" s="128" t="s">
        <v>555</v>
      </c>
      <c r="H181" s="125">
        <v>3104608958</v>
      </c>
      <c r="I181" s="128" t="s">
        <v>428</v>
      </c>
      <c r="J181" s="127">
        <v>45200</v>
      </c>
      <c r="K181" s="128"/>
      <c r="L181" s="128"/>
      <c r="M181" s="128"/>
      <c r="N181" s="124" t="s">
        <v>35</v>
      </c>
      <c r="O181" s="138">
        <v>45292</v>
      </c>
      <c r="P181" s="282"/>
      <c r="Q181" s="282"/>
      <c r="R181" s="282"/>
      <c r="S181" s="282"/>
      <c r="T181" s="282"/>
      <c r="U181" s="282"/>
      <c r="V181" s="282"/>
      <c r="W181" s="282"/>
      <c r="X181" s="282"/>
      <c r="Y181" s="282"/>
      <c r="Z181" s="282"/>
      <c r="AA181" s="282"/>
      <c r="AB181" s="282"/>
      <c r="AC181" s="282"/>
      <c r="AD181" s="282"/>
      <c r="AE181" s="282"/>
      <c r="AF181" s="282"/>
      <c r="AG181" s="282"/>
      <c r="AH181" s="282"/>
      <c r="AI181" s="282"/>
      <c r="AJ181" s="282"/>
      <c r="AK181" s="282"/>
      <c r="AL181" s="282"/>
      <c r="AM181" s="282"/>
      <c r="AN181" s="282"/>
      <c r="AO181" s="282"/>
      <c r="AP181" s="282"/>
      <c r="AQ181" s="282"/>
      <c r="AR181" s="282"/>
      <c r="AS181" s="282"/>
      <c r="AT181" s="282"/>
    </row>
    <row r="182" spans="1:46" ht="17.25" hidden="1" customHeight="1">
      <c r="A182" s="126">
        <v>9</v>
      </c>
      <c r="B182" s="124" t="s">
        <v>89</v>
      </c>
      <c r="C182" s="125" t="s">
        <v>425</v>
      </c>
      <c r="D182" s="125" t="s">
        <v>371</v>
      </c>
      <c r="E182" s="126">
        <v>3</v>
      </c>
      <c r="F182" s="127">
        <v>42099</v>
      </c>
      <c r="G182" s="128" t="s">
        <v>555</v>
      </c>
      <c r="H182" s="125">
        <v>3104608958</v>
      </c>
      <c r="I182" s="128" t="s">
        <v>428</v>
      </c>
      <c r="J182" s="127">
        <v>45200</v>
      </c>
      <c r="K182" s="128"/>
      <c r="L182" s="128"/>
      <c r="M182" s="128"/>
      <c r="N182" s="124" t="s">
        <v>35</v>
      </c>
      <c r="O182" s="138">
        <v>45292</v>
      </c>
      <c r="P182" s="282"/>
      <c r="Q182" s="282"/>
      <c r="R182" s="282"/>
      <c r="S182" s="282"/>
      <c r="T182" s="282"/>
      <c r="U182" s="282"/>
      <c r="V182" s="282"/>
      <c r="W182" s="282"/>
      <c r="X182" s="282"/>
      <c r="Y182" s="282"/>
      <c r="Z182" s="282"/>
      <c r="AA182" s="282"/>
      <c r="AB182" s="282"/>
      <c r="AC182" s="282"/>
      <c r="AD182" s="282"/>
      <c r="AE182" s="282"/>
      <c r="AF182" s="282"/>
      <c r="AG182" s="282"/>
      <c r="AH182" s="282"/>
      <c r="AI182" s="282"/>
      <c r="AJ182" s="282"/>
      <c r="AK182" s="282"/>
      <c r="AL182" s="282"/>
      <c r="AM182" s="282"/>
      <c r="AN182" s="282"/>
      <c r="AO182" s="282"/>
      <c r="AP182" s="282"/>
      <c r="AQ182" s="282"/>
      <c r="AR182" s="282"/>
      <c r="AS182" s="282"/>
      <c r="AT182" s="282"/>
    </row>
    <row r="183" spans="1:46" ht="17.25" hidden="1" customHeight="1">
      <c r="A183" s="93">
        <v>1</v>
      </c>
      <c r="B183" s="94" t="s">
        <v>89</v>
      </c>
      <c r="C183" s="95" t="s">
        <v>556</v>
      </c>
      <c r="D183" s="95" t="s">
        <v>557</v>
      </c>
      <c r="E183" s="96">
        <v>1</v>
      </c>
      <c r="F183" s="97">
        <v>42894</v>
      </c>
      <c r="G183" s="98" t="s">
        <v>558</v>
      </c>
      <c r="H183" s="95">
        <v>6503358676</v>
      </c>
      <c r="I183" s="98" t="s">
        <v>559</v>
      </c>
      <c r="J183" s="97">
        <v>45159</v>
      </c>
      <c r="K183" s="98"/>
      <c r="L183" s="98"/>
      <c r="M183" s="98" t="s">
        <v>560</v>
      </c>
      <c r="N183" s="94" t="s">
        <v>35</v>
      </c>
      <c r="O183" s="100">
        <v>45352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spans="1:46" ht="17.25" hidden="1" customHeight="1">
      <c r="A184" s="93">
        <v>2</v>
      </c>
      <c r="B184" s="94" t="s">
        <v>49</v>
      </c>
      <c r="C184" s="283" t="s">
        <v>561</v>
      </c>
      <c r="D184" s="283" t="s">
        <v>562</v>
      </c>
      <c r="E184" s="93">
        <v>4</v>
      </c>
      <c r="F184" s="112">
        <v>41300</v>
      </c>
      <c r="G184" s="292" t="s">
        <v>563</v>
      </c>
      <c r="H184" s="283" t="s">
        <v>564</v>
      </c>
      <c r="I184" s="292" t="s">
        <v>565</v>
      </c>
      <c r="J184" s="112">
        <v>45110</v>
      </c>
      <c r="K184" s="109"/>
      <c r="L184" s="109"/>
      <c r="M184" s="109"/>
      <c r="N184" s="94" t="s">
        <v>35</v>
      </c>
      <c r="O184" s="100">
        <v>45352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spans="1:46" ht="17.25" hidden="1" customHeight="1">
      <c r="A185" s="93">
        <v>3</v>
      </c>
      <c r="B185" s="94" t="s">
        <v>89</v>
      </c>
      <c r="C185" s="283" t="s">
        <v>561</v>
      </c>
      <c r="D185" s="283" t="s">
        <v>562</v>
      </c>
      <c r="E185" s="93">
        <v>4</v>
      </c>
      <c r="F185" s="112">
        <v>41301</v>
      </c>
      <c r="G185" s="292" t="s">
        <v>566</v>
      </c>
      <c r="H185" s="283" t="s">
        <v>567</v>
      </c>
      <c r="I185" s="292" t="s">
        <v>565</v>
      </c>
      <c r="J185" s="112">
        <v>45110</v>
      </c>
      <c r="K185" s="109"/>
      <c r="L185" s="109"/>
      <c r="M185" s="109"/>
      <c r="N185" s="94" t="s">
        <v>35</v>
      </c>
      <c r="O185" s="100">
        <v>45352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spans="1:46" ht="17.25" hidden="1" customHeight="1">
      <c r="A186" s="293">
        <v>1</v>
      </c>
      <c r="B186" s="294" t="s">
        <v>49</v>
      </c>
      <c r="C186" s="295" t="s">
        <v>568</v>
      </c>
      <c r="D186" s="295" t="s">
        <v>569</v>
      </c>
      <c r="E186" s="296">
        <v>5</v>
      </c>
      <c r="F186" s="297">
        <v>41253</v>
      </c>
      <c r="G186" s="298" t="s">
        <v>570</v>
      </c>
      <c r="H186" s="295">
        <v>4153956788</v>
      </c>
      <c r="I186" s="298" t="s">
        <v>571</v>
      </c>
      <c r="J186" s="297">
        <v>45180</v>
      </c>
      <c r="K186" s="298"/>
      <c r="L186" s="298"/>
      <c r="M186" s="298" t="s">
        <v>572</v>
      </c>
      <c r="N186" s="299" t="s">
        <v>35</v>
      </c>
      <c r="O186" s="300">
        <v>45383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spans="1:46" ht="17.25" hidden="1" customHeight="1">
      <c r="A187" s="293">
        <v>2</v>
      </c>
      <c r="B187" s="294" t="s">
        <v>89</v>
      </c>
      <c r="C187" s="295" t="s">
        <v>568</v>
      </c>
      <c r="D187" s="295" t="s">
        <v>569</v>
      </c>
      <c r="E187" s="296">
        <v>5</v>
      </c>
      <c r="F187" s="297">
        <v>41253</v>
      </c>
      <c r="G187" s="298" t="s">
        <v>570</v>
      </c>
      <c r="H187" s="295">
        <v>4153956788</v>
      </c>
      <c r="I187" s="298" t="s">
        <v>571</v>
      </c>
      <c r="J187" s="297">
        <v>45180</v>
      </c>
      <c r="K187" s="298"/>
      <c r="L187" s="298"/>
      <c r="M187" s="298" t="s">
        <v>572</v>
      </c>
      <c r="N187" s="299" t="s">
        <v>35</v>
      </c>
      <c r="O187" s="300">
        <v>45383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spans="1:46" ht="17.25" hidden="1" customHeight="1">
      <c r="A188" s="293">
        <v>3</v>
      </c>
      <c r="B188" s="299" t="s">
        <v>49</v>
      </c>
      <c r="C188" s="301" t="s">
        <v>573</v>
      </c>
      <c r="D188" s="301" t="s">
        <v>574</v>
      </c>
      <c r="E188" s="293" t="s">
        <v>189</v>
      </c>
      <c r="F188" s="302">
        <v>43521</v>
      </c>
      <c r="G188" s="303" t="s">
        <v>575</v>
      </c>
      <c r="H188" s="301">
        <v>5107505202</v>
      </c>
      <c r="I188" s="303" t="s">
        <v>576</v>
      </c>
      <c r="J188" s="302">
        <v>45317</v>
      </c>
      <c r="K188" s="303"/>
      <c r="L188" s="303"/>
      <c r="M188" s="303"/>
      <c r="N188" s="299" t="s">
        <v>35</v>
      </c>
      <c r="O188" s="300">
        <v>45383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spans="1:46" ht="17.25" hidden="1" customHeight="1">
      <c r="A189" s="293">
        <v>4</v>
      </c>
      <c r="B189" s="299" t="s">
        <v>89</v>
      </c>
      <c r="C189" s="301" t="s">
        <v>573</v>
      </c>
      <c r="D189" s="301" t="s">
        <v>574</v>
      </c>
      <c r="E189" s="293" t="s">
        <v>189</v>
      </c>
      <c r="F189" s="302">
        <v>43521</v>
      </c>
      <c r="G189" s="303" t="s">
        <v>575</v>
      </c>
      <c r="H189" s="301">
        <v>5107505202</v>
      </c>
      <c r="I189" s="303" t="s">
        <v>576</v>
      </c>
      <c r="J189" s="302">
        <v>45317</v>
      </c>
      <c r="K189" s="303"/>
      <c r="L189" s="303"/>
      <c r="M189" s="303" t="s">
        <v>171</v>
      </c>
      <c r="N189" s="299" t="s">
        <v>35</v>
      </c>
      <c r="O189" s="300">
        <v>45383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spans="1:46" ht="17.25" hidden="1" customHeight="1">
      <c r="A190" s="293">
        <v>5</v>
      </c>
      <c r="B190" s="299" t="s">
        <v>49</v>
      </c>
      <c r="C190" s="301" t="s">
        <v>577</v>
      </c>
      <c r="D190" s="301" t="s">
        <v>578</v>
      </c>
      <c r="E190" s="293">
        <v>5</v>
      </c>
      <c r="F190" s="302">
        <v>41451</v>
      </c>
      <c r="G190" s="298" t="s">
        <v>579</v>
      </c>
      <c r="H190" s="298">
        <v>5106820365</v>
      </c>
      <c r="I190" s="298" t="s">
        <v>580</v>
      </c>
      <c r="J190" s="302">
        <v>45078</v>
      </c>
      <c r="K190" s="303"/>
      <c r="L190" s="303"/>
      <c r="M190" s="303" t="s">
        <v>581</v>
      </c>
      <c r="N190" s="299" t="s">
        <v>35</v>
      </c>
      <c r="O190" s="300">
        <v>45383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spans="1:46" ht="17.25" hidden="1" customHeight="1">
      <c r="A191" s="293">
        <v>6</v>
      </c>
      <c r="B191" s="299" t="s">
        <v>89</v>
      </c>
      <c r="C191" s="301" t="s">
        <v>577</v>
      </c>
      <c r="D191" s="301" t="s">
        <v>578</v>
      </c>
      <c r="E191" s="293">
        <v>5</v>
      </c>
      <c r="F191" s="302">
        <v>41451</v>
      </c>
      <c r="G191" s="298" t="s">
        <v>579</v>
      </c>
      <c r="H191" s="298">
        <v>5106820365</v>
      </c>
      <c r="I191" s="298" t="s">
        <v>580</v>
      </c>
      <c r="J191" s="302">
        <v>45096</v>
      </c>
      <c r="K191" s="303"/>
      <c r="L191" s="303"/>
      <c r="M191" s="303" t="s">
        <v>581</v>
      </c>
      <c r="N191" s="299" t="s">
        <v>35</v>
      </c>
      <c r="O191" s="300">
        <v>45383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spans="1:46" ht="17.25" hidden="1" customHeight="1">
      <c r="A192" s="293">
        <v>7</v>
      </c>
      <c r="B192" s="294" t="s">
        <v>49</v>
      </c>
      <c r="C192" s="295" t="s">
        <v>568</v>
      </c>
      <c r="D192" s="295" t="s">
        <v>582</v>
      </c>
      <c r="E192" s="296">
        <v>4</v>
      </c>
      <c r="F192" s="297">
        <v>41875</v>
      </c>
      <c r="G192" s="298" t="s">
        <v>570</v>
      </c>
      <c r="H192" s="295">
        <v>4153956788</v>
      </c>
      <c r="I192" s="298" t="s">
        <v>571</v>
      </c>
      <c r="J192" s="297">
        <v>45180</v>
      </c>
      <c r="K192" s="298"/>
      <c r="L192" s="298"/>
      <c r="M192" s="298" t="s">
        <v>572</v>
      </c>
      <c r="N192" s="299" t="s">
        <v>35</v>
      </c>
      <c r="O192" s="300">
        <v>45383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spans="1:46" ht="17.25" hidden="1" customHeight="1">
      <c r="A193" s="293">
        <v>8</v>
      </c>
      <c r="B193" s="294" t="s">
        <v>89</v>
      </c>
      <c r="C193" s="295" t="s">
        <v>568</v>
      </c>
      <c r="D193" s="295" t="s">
        <v>582</v>
      </c>
      <c r="E193" s="296">
        <v>4</v>
      </c>
      <c r="F193" s="297">
        <v>41875</v>
      </c>
      <c r="G193" s="298" t="s">
        <v>570</v>
      </c>
      <c r="H193" s="295">
        <v>4153956788</v>
      </c>
      <c r="I193" s="298" t="s">
        <v>571</v>
      </c>
      <c r="J193" s="297">
        <v>45180</v>
      </c>
      <c r="K193" s="298"/>
      <c r="L193" s="298"/>
      <c r="M193" s="298" t="s">
        <v>572</v>
      </c>
      <c r="N193" s="299" t="s">
        <v>35</v>
      </c>
      <c r="O193" s="300">
        <v>45383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spans="1:46" ht="17.25" hidden="1" customHeight="1">
      <c r="A194" s="293">
        <v>9</v>
      </c>
      <c r="B194" s="294" t="s">
        <v>49</v>
      </c>
      <c r="C194" s="295" t="s">
        <v>583</v>
      </c>
      <c r="D194" s="295" t="s">
        <v>584</v>
      </c>
      <c r="E194" s="296" t="s">
        <v>125</v>
      </c>
      <c r="F194" s="297">
        <v>43214</v>
      </c>
      <c r="G194" s="298" t="s">
        <v>585</v>
      </c>
      <c r="H194" s="295">
        <v>5103885720</v>
      </c>
      <c r="I194" s="298" t="s">
        <v>586</v>
      </c>
      <c r="J194" s="297">
        <v>45178</v>
      </c>
      <c r="K194" s="298"/>
      <c r="L194" s="298"/>
      <c r="M194" s="298"/>
      <c r="N194" s="299" t="s">
        <v>35</v>
      </c>
      <c r="O194" s="300">
        <v>45383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spans="1:46" ht="17.25" hidden="1" customHeight="1">
      <c r="A195" s="293">
        <v>10</v>
      </c>
      <c r="B195" s="294" t="s">
        <v>49</v>
      </c>
      <c r="C195" s="295" t="s">
        <v>583</v>
      </c>
      <c r="D195" s="295" t="s">
        <v>587</v>
      </c>
      <c r="E195" s="296">
        <v>2</v>
      </c>
      <c r="F195" s="297">
        <v>42626</v>
      </c>
      <c r="G195" s="298" t="s">
        <v>585</v>
      </c>
      <c r="H195" s="295">
        <v>5103885720</v>
      </c>
      <c r="I195" s="298" t="s">
        <v>586</v>
      </c>
      <c r="J195" s="297">
        <v>45178</v>
      </c>
      <c r="K195" s="298"/>
      <c r="L195" s="298"/>
      <c r="M195" s="298"/>
      <c r="N195" s="299" t="s">
        <v>35</v>
      </c>
      <c r="O195" s="300">
        <v>45383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spans="1:46" ht="17.25" hidden="1" customHeight="1">
      <c r="A196" s="93">
        <v>1</v>
      </c>
      <c r="B196" s="304" t="s">
        <v>49</v>
      </c>
      <c r="C196" s="95" t="s">
        <v>588</v>
      </c>
      <c r="D196" s="95" t="s">
        <v>589</v>
      </c>
      <c r="E196" s="96" t="s">
        <v>189</v>
      </c>
      <c r="F196" s="97">
        <v>43630</v>
      </c>
      <c r="G196" s="98" t="s">
        <v>590</v>
      </c>
      <c r="H196" s="95">
        <v>5109444628</v>
      </c>
      <c r="I196" s="98" t="s">
        <v>591</v>
      </c>
      <c r="J196" s="97">
        <v>45170</v>
      </c>
      <c r="K196" s="98"/>
      <c r="L196" s="98"/>
      <c r="M196" s="98" t="s">
        <v>592</v>
      </c>
      <c r="N196" s="94" t="s">
        <v>35</v>
      </c>
      <c r="O196" s="100">
        <v>45413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spans="1:46" ht="17.25" hidden="1" customHeight="1">
      <c r="A197" s="93">
        <v>2</v>
      </c>
      <c r="B197" s="94" t="s">
        <v>49</v>
      </c>
      <c r="C197" s="111" t="s">
        <v>242</v>
      </c>
      <c r="D197" s="111" t="s">
        <v>477</v>
      </c>
      <c r="E197" s="93" t="s">
        <v>125</v>
      </c>
      <c r="F197" s="112">
        <v>42943</v>
      </c>
      <c r="G197" s="109" t="s">
        <v>593</v>
      </c>
      <c r="H197" s="111">
        <v>5103035129</v>
      </c>
      <c r="I197" s="122" t="s">
        <v>594</v>
      </c>
      <c r="J197" s="112">
        <v>44728</v>
      </c>
      <c r="K197" s="109"/>
      <c r="L197" s="109"/>
      <c r="M197" s="109" t="s">
        <v>595</v>
      </c>
      <c r="N197" s="94" t="s">
        <v>35</v>
      </c>
      <c r="O197" s="100">
        <v>45413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spans="1:46" ht="17.25" hidden="1" customHeight="1">
      <c r="A198" s="93">
        <v>3</v>
      </c>
      <c r="B198" s="94" t="s">
        <v>89</v>
      </c>
      <c r="C198" s="111" t="s">
        <v>242</v>
      </c>
      <c r="D198" s="111" t="s">
        <v>477</v>
      </c>
      <c r="E198" s="93" t="s">
        <v>125</v>
      </c>
      <c r="F198" s="112">
        <v>42943</v>
      </c>
      <c r="G198" s="109" t="s">
        <v>593</v>
      </c>
      <c r="H198" s="111">
        <v>5103035129</v>
      </c>
      <c r="I198" s="122" t="s">
        <v>594</v>
      </c>
      <c r="J198" s="112">
        <v>44728</v>
      </c>
      <c r="K198" s="109"/>
      <c r="L198" s="109"/>
      <c r="M198" s="109" t="s">
        <v>595</v>
      </c>
      <c r="N198" s="94" t="s">
        <v>35</v>
      </c>
      <c r="O198" s="100">
        <v>45413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spans="1:46" ht="17.25" hidden="1" customHeight="1">
      <c r="A199" s="259">
        <v>4</v>
      </c>
      <c r="B199" s="305" t="s">
        <v>49</v>
      </c>
      <c r="C199" s="306" t="s">
        <v>289</v>
      </c>
      <c r="D199" s="306" t="s">
        <v>115</v>
      </c>
      <c r="E199" s="307" t="s">
        <v>125</v>
      </c>
      <c r="F199" s="308">
        <v>43274</v>
      </c>
      <c r="G199" s="309" t="s">
        <v>290</v>
      </c>
      <c r="H199" s="306">
        <v>2544004292</v>
      </c>
      <c r="I199" s="309" t="s">
        <v>291</v>
      </c>
      <c r="J199" s="308">
        <v>45185</v>
      </c>
      <c r="K199" s="309"/>
      <c r="L199" s="309"/>
      <c r="M199" s="309" t="s">
        <v>596</v>
      </c>
      <c r="N199" s="260" t="s">
        <v>35</v>
      </c>
      <c r="O199" s="310">
        <v>45413</v>
      </c>
      <c r="P199" s="258"/>
      <c r="Q199" s="258"/>
      <c r="R199" s="258"/>
      <c r="S199" s="258"/>
      <c r="T199" s="258"/>
      <c r="U199" s="258"/>
      <c r="V199" s="258"/>
      <c r="W199" s="258"/>
      <c r="X199" s="258"/>
      <c r="Y199" s="258"/>
      <c r="Z199" s="258"/>
      <c r="AA199" s="258"/>
      <c r="AB199" s="258"/>
      <c r="AC199" s="258"/>
      <c r="AD199" s="258"/>
      <c r="AE199" s="258"/>
      <c r="AF199" s="258"/>
      <c r="AG199" s="258"/>
      <c r="AH199" s="258"/>
      <c r="AI199" s="258"/>
      <c r="AJ199" s="258"/>
      <c r="AK199" s="258"/>
      <c r="AL199" s="258"/>
      <c r="AM199" s="258"/>
      <c r="AN199" s="258"/>
      <c r="AO199" s="258"/>
      <c r="AP199" s="258"/>
      <c r="AQ199" s="258"/>
      <c r="AR199" s="258"/>
      <c r="AS199" s="258"/>
      <c r="AT199" s="258"/>
    </row>
    <row r="200" spans="1:46" ht="17.25" hidden="1" customHeight="1">
      <c r="A200" s="93">
        <v>5</v>
      </c>
      <c r="B200" s="94" t="s">
        <v>49</v>
      </c>
      <c r="C200" s="111" t="s">
        <v>597</v>
      </c>
      <c r="D200" s="111" t="s">
        <v>598</v>
      </c>
      <c r="E200" s="93">
        <v>3</v>
      </c>
      <c r="F200" s="112">
        <v>42182</v>
      </c>
      <c r="G200" s="109" t="s">
        <v>599</v>
      </c>
      <c r="H200" s="111">
        <v>4085948203</v>
      </c>
      <c r="I200" s="109" t="s">
        <v>600</v>
      </c>
      <c r="J200" s="112">
        <v>45215</v>
      </c>
      <c r="K200" s="109"/>
      <c r="L200" s="109"/>
      <c r="M200" s="109"/>
      <c r="N200" s="94" t="s">
        <v>35</v>
      </c>
      <c r="O200" s="100">
        <v>45413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spans="1:46" ht="17.25" hidden="1" customHeight="1">
      <c r="A201" s="93">
        <v>6</v>
      </c>
      <c r="B201" s="94" t="s">
        <v>49</v>
      </c>
      <c r="C201" s="111" t="s">
        <v>601</v>
      </c>
      <c r="D201" s="111" t="s">
        <v>602</v>
      </c>
      <c r="E201" s="93">
        <v>6</v>
      </c>
      <c r="F201" s="112">
        <v>41089</v>
      </c>
      <c r="G201" s="98" t="s">
        <v>603</v>
      </c>
      <c r="H201" s="98">
        <v>4085819618</v>
      </c>
      <c r="I201" s="98" t="s">
        <v>604</v>
      </c>
      <c r="J201" s="112">
        <v>45329</v>
      </c>
      <c r="K201" s="109"/>
      <c r="L201" s="109"/>
      <c r="M201" s="109"/>
      <c r="N201" s="94" t="s">
        <v>35</v>
      </c>
      <c r="O201" s="100">
        <v>45413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spans="1:46" ht="17.25" hidden="1" customHeight="1">
      <c r="A202" s="93">
        <v>7</v>
      </c>
      <c r="B202" s="94" t="s">
        <v>89</v>
      </c>
      <c r="C202" s="111" t="s">
        <v>601</v>
      </c>
      <c r="D202" s="111" t="s">
        <v>602</v>
      </c>
      <c r="E202" s="93">
        <v>6</v>
      </c>
      <c r="F202" s="112">
        <v>41089</v>
      </c>
      <c r="G202" s="98" t="s">
        <v>603</v>
      </c>
      <c r="H202" s="98">
        <v>4085819618</v>
      </c>
      <c r="I202" s="98" t="s">
        <v>604</v>
      </c>
      <c r="J202" s="112">
        <v>45329</v>
      </c>
      <c r="K202" s="109"/>
      <c r="L202" s="109"/>
      <c r="M202" s="109"/>
      <c r="N202" s="94" t="s">
        <v>35</v>
      </c>
      <c r="O202" s="100">
        <v>45413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spans="1:46" ht="17.25" hidden="1" customHeight="1">
      <c r="A203" s="93">
        <v>8</v>
      </c>
      <c r="B203" s="94" t="s">
        <v>49</v>
      </c>
      <c r="C203" s="95" t="s">
        <v>370</v>
      </c>
      <c r="D203" s="95" t="s">
        <v>605</v>
      </c>
      <c r="E203" s="96">
        <v>2</v>
      </c>
      <c r="F203" s="97">
        <v>42516</v>
      </c>
      <c r="G203" s="98" t="s">
        <v>606</v>
      </c>
      <c r="H203" s="95">
        <v>6318770767</v>
      </c>
      <c r="I203" s="98" t="s">
        <v>607</v>
      </c>
      <c r="J203" s="97">
        <v>45156</v>
      </c>
      <c r="K203" s="98"/>
      <c r="L203" s="98"/>
      <c r="M203" s="98" t="s">
        <v>595</v>
      </c>
      <c r="N203" s="94" t="s">
        <v>35</v>
      </c>
      <c r="O203" s="100">
        <v>45413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1:46" ht="17.25" hidden="1" customHeight="1">
      <c r="A204" s="93">
        <v>9</v>
      </c>
      <c r="B204" s="94" t="s">
        <v>89</v>
      </c>
      <c r="C204" s="111" t="s">
        <v>370</v>
      </c>
      <c r="D204" s="111" t="s">
        <v>605</v>
      </c>
      <c r="E204" s="93">
        <v>2</v>
      </c>
      <c r="F204" s="112">
        <v>42516</v>
      </c>
      <c r="G204" s="109" t="s">
        <v>606</v>
      </c>
      <c r="H204" s="111">
        <v>6318770767</v>
      </c>
      <c r="I204" s="109" t="s">
        <v>607</v>
      </c>
      <c r="J204" s="112">
        <v>410535</v>
      </c>
      <c r="K204" s="98"/>
      <c r="L204" s="98"/>
      <c r="M204" s="98" t="s">
        <v>595</v>
      </c>
      <c r="N204" s="94" t="s">
        <v>35</v>
      </c>
      <c r="O204" s="100">
        <v>45413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spans="1:46" ht="17.25" hidden="1" customHeight="1">
      <c r="A205" s="259">
        <v>10</v>
      </c>
      <c r="B205" s="260" t="s">
        <v>89</v>
      </c>
      <c r="C205" s="306" t="s">
        <v>608</v>
      </c>
      <c r="D205" s="306" t="s">
        <v>609</v>
      </c>
      <c r="E205" s="307">
        <v>3</v>
      </c>
      <c r="F205" s="308">
        <v>42124</v>
      </c>
      <c r="G205" s="309" t="s">
        <v>610</v>
      </c>
      <c r="H205" s="306">
        <v>4085076346</v>
      </c>
      <c r="I205" s="309" t="s">
        <v>412</v>
      </c>
      <c r="J205" s="308">
        <v>45159</v>
      </c>
      <c r="K205" s="309"/>
      <c r="L205" s="309"/>
      <c r="M205" s="309"/>
      <c r="N205" s="260" t="s">
        <v>35</v>
      </c>
      <c r="O205" s="310">
        <v>45413</v>
      </c>
      <c r="P205" s="258"/>
      <c r="Q205" s="258"/>
      <c r="R205" s="258"/>
      <c r="S205" s="258"/>
      <c r="T205" s="258"/>
      <c r="U205" s="258"/>
      <c r="V205" s="258"/>
      <c r="W205" s="258"/>
      <c r="X205" s="258"/>
      <c r="Y205" s="258"/>
      <c r="Z205" s="258"/>
      <c r="AA205" s="258"/>
      <c r="AB205" s="258"/>
      <c r="AC205" s="258"/>
      <c r="AD205" s="258"/>
      <c r="AE205" s="258"/>
      <c r="AF205" s="258"/>
      <c r="AG205" s="258"/>
      <c r="AH205" s="258"/>
      <c r="AI205" s="258"/>
      <c r="AJ205" s="258"/>
      <c r="AK205" s="258"/>
      <c r="AL205" s="258"/>
      <c r="AM205" s="258"/>
      <c r="AN205" s="258"/>
      <c r="AO205" s="258"/>
      <c r="AP205" s="258"/>
      <c r="AQ205" s="258"/>
      <c r="AR205" s="258"/>
      <c r="AS205" s="258"/>
      <c r="AT205" s="258"/>
    </row>
    <row r="206" spans="1:46" ht="17.25" hidden="1" customHeight="1">
      <c r="A206" s="259">
        <v>11</v>
      </c>
      <c r="B206" s="260" t="s">
        <v>89</v>
      </c>
      <c r="C206" s="306" t="s">
        <v>608</v>
      </c>
      <c r="D206" s="306" t="s">
        <v>611</v>
      </c>
      <c r="E206" s="307">
        <v>3</v>
      </c>
      <c r="F206" s="308">
        <v>42124</v>
      </c>
      <c r="G206" s="309" t="s">
        <v>610</v>
      </c>
      <c r="H206" s="306">
        <v>4085076346</v>
      </c>
      <c r="I206" s="309" t="s">
        <v>412</v>
      </c>
      <c r="J206" s="308">
        <v>45159</v>
      </c>
      <c r="K206" s="309"/>
      <c r="L206" s="309"/>
      <c r="M206" s="309"/>
      <c r="N206" s="260" t="s">
        <v>35</v>
      </c>
      <c r="O206" s="310">
        <v>45413</v>
      </c>
      <c r="P206" s="258"/>
      <c r="Q206" s="258"/>
      <c r="R206" s="258"/>
      <c r="S206" s="258"/>
      <c r="T206" s="258"/>
      <c r="U206" s="258"/>
      <c r="V206" s="258"/>
      <c r="W206" s="258"/>
      <c r="X206" s="258"/>
      <c r="Y206" s="258"/>
      <c r="Z206" s="258"/>
      <c r="AA206" s="258"/>
      <c r="AB206" s="258"/>
      <c r="AC206" s="258"/>
      <c r="AD206" s="258"/>
      <c r="AE206" s="258"/>
      <c r="AF206" s="258"/>
      <c r="AG206" s="258"/>
      <c r="AH206" s="258"/>
      <c r="AI206" s="258"/>
      <c r="AJ206" s="258"/>
      <c r="AK206" s="258"/>
      <c r="AL206" s="258"/>
      <c r="AM206" s="258"/>
      <c r="AN206" s="258"/>
      <c r="AO206" s="258"/>
      <c r="AP206" s="258"/>
      <c r="AQ206" s="258"/>
      <c r="AR206" s="258"/>
      <c r="AS206" s="258"/>
      <c r="AT206" s="258"/>
    </row>
    <row r="207" spans="1:46" ht="17.25" hidden="1" customHeight="1">
      <c r="A207" s="93">
        <v>12</v>
      </c>
      <c r="B207" s="94" t="s">
        <v>49</v>
      </c>
      <c r="C207" s="111" t="s">
        <v>612</v>
      </c>
      <c r="D207" s="111" t="s">
        <v>349</v>
      </c>
      <c r="E207" s="93" t="s">
        <v>154</v>
      </c>
      <c r="F207" s="112">
        <v>42940</v>
      </c>
      <c r="G207" s="109" t="s">
        <v>613</v>
      </c>
      <c r="H207" s="111">
        <v>5105090555</v>
      </c>
      <c r="I207" s="109" t="s">
        <v>614</v>
      </c>
      <c r="J207" s="112">
        <v>44723</v>
      </c>
      <c r="K207" s="109"/>
      <c r="L207" s="109"/>
      <c r="M207" s="109" t="s">
        <v>615</v>
      </c>
      <c r="N207" s="94" t="s">
        <v>35</v>
      </c>
      <c r="O207" s="100">
        <v>45413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1:46" ht="17.25" hidden="1" customHeight="1">
      <c r="A208" s="93">
        <v>13</v>
      </c>
      <c r="B208" s="94" t="s">
        <v>89</v>
      </c>
      <c r="C208" s="111" t="s">
        <v>612</v>
      </c>
      <c r="D208" s="111" t="s">
        <v>349</v>
      </c>
      <c r="E208" s="93" t="s">
        <v>154</v>
      </c>
      <c r="F208" s="112">
        <v>42940</v>
      </c>
      <c r="G208" s="109" t="s">
        <v>613</v>
      </c>
      <c r="H208" s="111">
        <v>5105090555</v>
      </c>
      <c r="I208" s="109" t="s">
        <v>614</v>
      </c>
      <c r="J208" s="112">
        <v>44723</v>
      </c>
      <c r="K208" s="109"/>
      <c r="L208" s="109"/>
      <c r="M208" s="109" t="s">
        <v>615</v>
      </c>
      <c r="N208" s="94" t="s">
        <v>35</v>
      </c>
      <c r="O208" s="100">
        <v>45413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:46" ht="17.25" hidden="1" customHeight="1">
      <c r="A209" s="93">
        <v>14</v>
      </c>
      <c r="B209" s="94" t="s">
        <v>49</v>
      </c>
      <c r="C209" s="111" t="s">
        <v>612</v>
      </c>
      <c r="D209" s="111" t="s">
        <v>616</v>
      </c>
      <c r="E209" s="93">
        <v>5</v>
      </c>
      <c r="F209" s="112">
        <v>40745</v>
      </c>
      <c r="G209" s="109" t="s">
        <v>617</v>
      </c>
      <c r="H209" s="111">
        <v>5105090555</v>
      </c>
      <c r="I209" s="109" t="s">
        <v>614</v>
      </c>
      <c r="J209" s="111" t="s">
        <v>618</v>
      </c>
      <c r="K209" s="109"/>
      <c r="L209" s="109"/>
      <c r="M209" s="109" t="s">
        <v>615</v>
      </c>
      <c r="N209" s="94" t="s">
        <v>35</v>
      </c>
      <c r="O209" s="100">
        <v>45413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spans="1:46" ht="17.25" hidden="1" customHeight="1">
      <c r="A210" s="93">
        <v>15</v>
      </c>
      <c r="B210" s="94" t="s">
        <v>89</v>
      </c>
      <c r="C210" s="111" t="s">
        <v>612</v>
      </c>
      <c r="D210" s="111" t="s">
        <v>616</v>
      </c>
      <c r="E210" s="93">
        <v>5</v>
      </c>
      <c r="F210" s="112">
        <v>40745</v>
      </c>
      <c r="G210" s="109" t="s">
        <v>617</v>
      </c>
      <c r="H210" s="111">
        <v>5105090555</v>
      </c>
      <c r="I210" s="109" t="s">
        <v>614</v>
      </c>
      <c r="J210" s="111" t="s">
        <v>618</v>
      </c>
      <c r="K210" s="109"/>
      <c r="L210" s="109"/>
      <c r="M210" s="109" t="s">
        <v>615</v>
      </c>
      <c r="N210" s="94" t="s">
        <v>35</v>
      </c>
      <c r="O210" s="100">
        <v>45413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:46" ht="17.25" hidden="1" customHeight="1">
      <c r="A211" s="269">
        <v>1</v>
      </c>
      <c r="B211" s="270" t="s">
        <v>49</v>
      </c>
      <c r="C211" s="277" t="s">
        <v>619</v>
      </c>
      <c r="D211" s="277" t="s">
        <v>620</v>
      </c>
      <c r="E211" s="269">
        <v>2</v>
      </c>
      <c r="F211" s="278">
        <v>42279</v>
      </c>
      <c r="G211" s="279" t="s">
        <v>621</v>
      </c>
      <c r="H211" s="277">
        <v>4256334423</v>
      </c>
      <c r="I211" s="279" t="s">
        <v>622</v>
      </c>
      <c r="J211" s="278">
        <v>45231</v>
      </c>
      <c r="K211" s="279"/>
      <c r="L211" s="279"/>
      <c r="M211" s="279" t="s">
        <v>623</v>
      </c>
      <c r="N211" s="270" t="s">
        <v>35</v>
      </c>
      <c r="O211" s="275">
        <v>45444</v>
      </c>
      <c r="P211" s="276"/>
      <c r="Q211" s="276"/>
      <c r="R211" s="276"/>
      <c r="S211" s="276"/>
      <c r="T211" s="276"/>
      <c r="U211" s="276"/>
      <c r="V211" s="276"/>
      <c r="W211" s="276"/>
      <c r="X211" s="276"/>
      <c r="Y211" s="276"/>
      <c r="Z211" s="276"/>
      <c r="AA211" s="276"/>
      <c r="AB211" s="276"/>
      <c r="AC211" s="276"/>
      <c r="AD211" s="276"/>
      <c r="AE211" s="276"/>
      <c r="AF211" s="276"/>
      <c r="AG211" s="276"/>
      <c r="AH211" s="276"/>
      <c r="AI211" s="276"/>
      <c r="AJ211" s="276"/>
      <c r="AK211" s="276"/>
      <c r="AL211" s="276"/>
      <c r="AM211" s="276"/>
      <c r="AN211" s="276"/>
      <c r="AO211" s="276"/>
      <c r="AP211" s="276"/>
      <c r="AQ211" s="276"/>
      <c r="AR211" s="276"/>
      <c r="AS211" s="276"/>
      <c r="AT211" s="276"/>
    </row>
    <row r="212" spans="1:46" ht="17.25" hidden="1" customHeight="1">
      <c r="A212" s="269">
        <v>2</v>
      </c>
      <c r="B212" s="270" t="s">
        <v>49</v>
      </c>
      <c r="C212" s="271" t="s">
        <v>556</v>
      </c>
      <c r="D212" s="271" t="s">
        <v>624</v>
      </c>
      <c r="E212" s="272">
        <v>2</v>
      </c>
      <c r="F212" s="273">
        <v>42301</v>
      </c>
      <c r="G212" s="274" t="s">
        <v>558</v>
      </c>
      <c r="H212" s="271">
        <v>6503358676</v>
      </c>
      <c r="I212" s="274" t="s">
        <v>559</v>
      </c>
      <c r="J212" s="273">
        <v>45159</v>
      </c>
      <c r="K212" s="274"/>
      <c r="L212" s="274"/>
      <c r="M212" s="274"/>
      <c r="N212" s="270" t="s">
        <v>35</v>
      </c>
      <c r="O212" s="275">
        <v>45444</v>
      </c>
      <c r="P212" s="276"/>
      <c r="Q212" s="276"/>
      <c r="R212" s="276"/>
      <c r="S212" s="276"/>
      <c r="T212" s="276"/>
      <c r="U212" s="276"/>
      <c r="V212" s="276"/>
      <c r="W212" s="276"/>
      <c r="X212" s="276"/>
      <c r="Y212" s="276"/>
      <c r="Z212" s="276"/>
      <c r="AA212" s="276"/>
      <c r="AB212" s="276"/>
      <c r="AC212" s="276"/>
      <c r="AD212" s="276"/>
      <c r="AE212" s="276"/>
      <c r="AF212" s="276"/>
      <c r="AG212" s="276"/>
      <c r="AH212" s="276"/>
      <c r="AI212" s="276"/>
      <c r="AJ212" s="276"/>
      <c r="AK212" s="276"/>
      <c r="AL212" s="276"/>
      <c r="AM212" s="276"/>
      <c r="AN212" s="276"/>
      <c r="AO212" s="276"/>
      <c r="AP212" s="276"/>
      <c r="AQ212" s="276"/>
      <c r="AR212" s="276"/>
      <c r="AS212" s="276"/>
      <c r="AT212" s="276"/>
    </row>
    <row r="213" spans="1:46" ht="17.25" hidden="1" customHeight="1">
      <c r="A213" s="269">
        <v>3</v>
      </c>
      <c r="B213" s="270" t="s">
        <v>89</v>
      </c>
      <c r="C213" s="271" t="s">
        <v>556</v>
      </c>
      <c r="D213" s="271" t="s">
        <v>624</v>
      </c>
      <c r="E213" s="272">
        <v>2</v>
      </c>
      <c r="F213" s="273">
        <v>42301</v>
      </c>
      <c r="G213" s="274" t="s">
        <v>558</v>
      </c>
      <c r="H213" s="271">
        <v>6503358676</v>
      </c>
      <c r="I213" s="274" t="s">
        <v>559</v>
      </c>
      <c r="J213" s="273">
        <v>45159</v>
      </c>
      <c r="K213" s="274"/>
      <c r="L213" s="274"/>
      <c r="M213" s="274"/>
      <c r="N213" s="270" t="s">
        <v>35</v>
      </c>
      <c r="O213" s="275">
        <v>45444</v>
      </c>
      <c r="P213" s="276"/>
      <c r="Q213" s="276"/>
      <c r="R213" s="276"/>
      <c r="S213" s="276"/>
      <c r="T213" s="276"/>
      <c r="U213" s="276"/>
      <c r="V213" s="276"/>
      <c r="W213" s="276"/>
      <c r="X213" s="276"/>
      <c r="Y213" s="276"/>
      <c r="Z213" s="276"/>
      <c r="AA213" s="276"/>
      <c r="AB213" s="276"/>
      <c r="AC213" s="276"/>
      <c r="AD213" s="276"/>
      <c r="AE213" s="276"/>
      <c r="AF213" s="276"/>
      <c r="AG213" s="276"/>
      <c r="AH213" s="276"/>
      <c r="AI213" s="276"/>
      <c r="AJ213" s="276"/>
      <c r="AK213" s="276"/>
      <c r="AL213" s="276"/>
      <c r="AM213" s="276"/>
      <c r="AN213" s="276"/>
      <c r="AO213" s="276"/>
      <c r="AP213" s="276"/>
      <c r="AQ213" s="276"/>
      <c r="AR213" s="276"/>
      <c r="AS213" s="276"/>
      <c r="AT213" s="276"/>
    </row>
    <row r="214" spans="1:46" ht="17.25" hidden="1" customHeight="1">
      <c r="A214" s="259">
        <v>4</v>
      </c>
      <c r="B214" s="305" t="s">
        <v>49</v>
      </c>
      <c r="C214" s="306" t="s">
        <v>348</v>
      </c>
      <c r="D214" s="306" t="s">
        <v>349</v>
      </c>
      <c r="E214" s="307">
        <v>2</v>
      </c>
      <c r="F214" s="308">
        <v>42348</v>
      </c>
      <c r="G214" s="309" t="s">
        <v>350</v>
      </c>
      <c r="H214" s="306">
        <v>4157228574</v>
      </c>
      <c r="I214" s="309" t="s">
        <v>351</v>
      </c>
      <c r="J214" s="308">
        <v>45170</v>
      </c>
      <c r="K214" s="309"/>
      <c r="L214" s="309"/>
      <c r="M214" s="309" t="s">
        <v>625</v>
      </c>
      <c r="N214" s="260" t="s">
        <v>35</v>
      </c>
      <c r="O214" s="264">
        <v>45444</v>
      </c>
      <c r="P214" s="258"/>
      <c r="Q214" s="258"/>
      <c r="R214" s="258"/>
      <c r="S214" s="258"/>
      <c r="T214" s="258"/>
      <c r="U214" s="258"/>
      <c r="V214" s="258"/>
      <c r="W214" s="258"/>
      <c r="X214" s="258"/>
      <c r="Y214" s="258"/>
      <c r="Z214" s="258"/>
      <c r="AA214" s="258"/>
      <c r="AB214" s="258"/>
      <c r="AC214" s="258"/>
      <c r="AD214" s="258"/>
      <c r="AE214" s="258"/>
      <c r="AF214" s="258"/>
      <c r="AG214" s="258"/>
      <c r="AH214" s="258"/>
      <c r="AI214" s="258"/>
      <c r="AJ214" s="258"/>
      <c r="AK214" s="258"/>
      <c r="AL214" s="258"/>
      <c r="AM214" s="258"/>
      <c r="AN214" s="258"/>
      <c r="AO214" s="258"/>
      <c r="AP214" s="258"/>
      <c r="AQ214" s="258"/>
      <c r="AR214" s="258"/>
      <c r="AS214" s="258"/>
      <c r="AT214" s="258"/>
    </row>
    <row r="215" spans="1:46" ht="17.25" hidden="1" customHeight="1">
      <c r="A215" s="259">
        <v>5</v>
      </c>
      <c r="B215" s="305" t="s">
        <v>89</v>
      </c>
      <c r="C215" s="306" t="s">
        <v>348</v>
      </c>
      <c r="D215" s="306" t="s">
        <v>349</v>
      </c>
      <c r="E215" s="307">
        <v>2</v>
      </c>
      <c r="F215" s="308">
        <v>42348</v>
      </c>
      <c r="G215" s="309" t="s">
        <v>350</v>
      </c>
      <c r="H215" s="306">
        <v>4157228574</v>
      </c>
      <c r="I215" s="309" t="s">
        <v>351</v>
      </c>
      <c r="J215" s="308">
        <v>45170</v>
      </c>
      <c r="K215" s="309"/>
      <c r="L215" s="309"/>
      <c r="M215" s="309" t="s">
        <v>625</v>
      </c>
      <c r="N215" s="260" t="s">
        <v>35</v>
      </c>
      <c r="O215" s="264">
        <v>45444</v>
      </c>
      <c r="P215" s="258"/>
      <c r="Q215" s="258"/>
      <c r="R215" s="258"/>
      <c r="S215" s="258"/>
      <c r="T215" s="258"/>
      <c r="U215" s="258"/>
      <c r="V215" s="258"/>
      <c r="W215" s="258"/>
      <c r="X215" s="258"/>
      <c r="Y215" s="258"/>
      <c r="Z215" s="258"/>
      <c r="AA215" s="258"/>
      <c r="AB215" s="258"/>
      <c r="AC215" s="258"/>
      <c r="AD215" s="258"/>
      <c r="AE215" s="258"/>
      <c r="AF215" s="258"/>
      <c r="AG215" s="258"/>
      <c r="AH215" s="258"/>
      <c r="AI215" s="258"/>
      <c r="AJ215" s="258"/>
      <c r="AK215" s="258"/>
      <c r="AL215" s="258"/>
      <c r="AM215" s="258"/>
      <c r="AN215" s="258"/>
      <c r="AO215" s="258"/>
      <c r="AP215" s="258"/>
      <c r="AQ215" s="258"/>
      <c r="AR215" s="258"/>
      <c r="AS215" s="258"/>
      <c r="AT215" s="258"/>
    </row>
    <row r="216" spans="1:46" ht="17.25" hidden="1" customHeight="1">
      <c r="A216" s="269">
        <v>6</v>
      </c>
      <c r="B216" s="270" t="s">
        <v>49</v>
      </c>
      <c r="C216" s="271" t="s">
        <v>626</v>
      </c>
      <c r="D216" s="271" t="s">
        <v>349</v>
      </c>
      <c r="E216" s="272">
        <v>4</v>
      </c>
      <c r="F216" s="273">
        <v>41745</v>
      </c>
      <c r="G216" s="274" t="s">
        <v>627</v>
      </c>
      <c r="H216" s="271">
        <v>5102828122</v>
      </c>
      <c r="I216" s="274" t="s">
        <v>628</v>
      </c>
      <c r="J216" s="273">
        <v>45159</v>
      </c>
      <c r="K216" s="274"/>
      <c r="L216" s="274"/>
      <c r="M216" s="274"/>
      <c r="N216" s="270" t="s">
        <v>35</v>
      </c>
      <c r="O216" s="275">
        <v>45444</v>
      </c>
      <c r="P216" s="276"/>
      <c r="Q216" s="276"/>
      <c r="R216" s="276"/>
      <c r="S216" s="276"/>
      <c r="T216" s="276"/>
      <c r="U216" s="276"/>
      <c r="V216" s="276"/>
      <c r="W216" s="276"/>
      <c r="X216" s="276"/>
      <c r="Y216" s="276"/>
      <c r="Z216" s="276"/>
      <c r="AA216" s="276"/>
      <c r="AB216" s="276"/>
      <c r="AC216" s="276"/>
      <c r="AD216" s="276"/>
      <c r="AE216" s="276"/>
      <c r="AF216" s="276"/>
      <c r="AG216" s="276"/>
      <c r="AH216" s="276"/>
      <c r="AI216" s="276"/>
      <c r="AJ216" s="276"/>
      <c r="AK216" s="276"/>
      <c r="AL216" s="276"/>
      <c r="AM216" s="276"/>
      <c r="AN216" s="276"/>
      <c r="AO216" s="276"/>
      <c r="AP216" s="276"/>
      <c r="AQ216" s="276"/>
      <c r="AR216" s="276"/>
      <c r="AS216" s="276"/>
      <c r="AT216" s="276"/>
    </row>
    <row r="217" spans="1:46" ht="17.25" hidden="1" customHeight="1">
      <c r="A217" s="269">
        <v>7</v>
      </c>
      <c r="B217" s="270" t="s">
        <v>89</v>
      </c>
      <c r="C217" s="271" t="s">
        <v>626</v>
      </c>
      <c r="D217" s="271" t="s">
        <v>629</v>
      </c>
      <c r="E217" s="272">
        <v>4</v>
      </c>
      <c r="F217" s="273">
        <v>41745</v>
      </c>
      <c r="G217" s="274" t="s">
        <v>627</v>
      </c>
      <c r="H217" s="271">
        <v>5102828122</v>
      </c>
      <c r="I217" s="274" t="s">
        <v>628</v>
      </c>
      <c r="J217" s="273">
        <v>45159</v>
      </c>
      <c r="K217" s="274"/>
      <c r="L217" s="274"/>
      <c r="M217" s="274"/>
      <c r="N217" s="270" t="s">
        <v>35</v>
      </c>
      <c r="O217" s="275">
        <v>45444</v>
      </c>
      <c r="P217" s="276"/>
      <c r="Q217" s="276"/>
      <c r="R217" s="276"/>
      <c r="S217" s="276"/>
      <c r="T217" s="276"/>
      <c r="U217" s="276"/>
      <c r="V217" s="276"/>
      <c r="W217" s="276"/>
      <c r="X217" s="276"/>
      <c r="Y217" s="276"/>
      <c r="Z217" s="276"/>
      <c r="AA217" s="276"/>
      <c r="AB217" s="276"/>
      <c r="AC217" s="276"/>
      <c r="AD217" s="276"/>
      <c r="AE217" s="276"/>
      <c r="AF217" s="276"/>
      <c r="AG217" s="276"/>
      <c r="AH217" s="276"/>
      <c r="AI217" s="276"/>
      <c r="AJ217" s="276"/>
      <c r="AK217" s="276"/>
      <c r="AL217" s="276"/>
      <c r="AM217" s="276"/>
      <c r="AN217" s="276"/>
      <c r="AO217" s="276"/>
      <c r="AP217" s="276"/>
      <c r="AQ217" s="276"/>
      <c r="AR217" s="276"/>
      <c r="AS217" s="276"/>
      <c r="AT217" s="276"/>
    </row>
    <row r="218" spans="1:46" ht="17.25" hidden="1" customHeight="1">
      <c r="A218" s="259">
        <v>8</v>
      </c>
      <c r="B218" s="260" t="s">
        <v>49</v>
      </c>
      <c r="C218" s="261" t="s">
        <v>143</v>
      </c>
      <c r="D218" s="261" t="s">
        <v>144</v>
      </c>
      <c r="E218" s="259">
        <v>1</v>
      </c>
      <c r="F218" s="262">
        <v>41922</v>
      </c>
      <c r="G218" s="263" t="s">
        <v>630</v>
      </c>
      <c r="H218" s="261" t="s">
        <v>631</v>
      </c>
      <c r="I218" s="263" t="s">
        <v>147</v>
      </c>
      <c r="J218" s="262">
        <v>44795</v>
      </c>
      <c r="K218" s="263"/>
      <c r="L218" s="263"/>
      <c r="M218" s="263" t="s">
        <v>632</v>
      </c>
      <c r="N218" s="260" t="s">
        <v>35</v>
      </c>
      <c r="O218" s="264">
        <v>45444</v>
      </c>
      <c r="P218" s="258"/>
      <c r="Q218" s="258"/>
      <c r="R218" s="258"/>
      <c r="S218" s="258"/>
      <c r="T218" s="258"/>
      <c r="U218" s="258"/>
      <c r="V218" s="258"/>
      <c r="W218" s="258"/>
      <c r="X218" s="258"/>
      <c r="Y218" s="258"/>
      <c r="Z218" s="258"/>
      <c r="AA218" s="258"/>
      <c r="AB218" s="258"/>
      <c r="AC218" s="258"/>
      <c r="AD218" s="258"/>
      <c r="AE218" s="258"/>
      <c r="AF218" s="258"/>
      <c r="AG218" s="258"/>
      <c r="AH218" s="258"/>
      <c r="AI218" s="258"/>
      <c r="AJ218" s="258"/>
      <c r="AK218" s="258"/>
      <c r="AL218" s="258"/>
      <c r="AM218" s="258"/>
      <c r="AN218" s="258"/>
      <c r="AO218" s="258"/>
      <c r="AP218" s="258"/>
      <c r="AQ218" s="258"/>
      <c r="AR218" s="258"/>
      <c r="AS218" s="258"/>
      <c r="AT218" s="258"/>
    </row>
    <row r="219" spans="1:46" ht="17.25" hidden="1" customHeight="1">
      <c r="A219" s="259">
        <v>9</v>
      </c>
      <c r="B219" s="260" t="s">
        <v>89</v>
      </c>
      <c r="C219" s="261" t="s">
        <v>143</v>
      </c>
      <c r="D219" s="261" t="s">
        <v>144</v>
      </c>
      <c r="E219" s="259">
        <v>1</v>
      </c>
      <c r="F219" s="262">
        <v>41922</v>
      </c>
      <c r="G219" s="263" t="s">
        <v>630</v>
      </c>
      <c r="H219" s="261" t="s">
        <v>631</v>
      </c>
      <c r="I219" s="263" t="s">
        <v>147</v>
      </c>
      <c r="J219" s="262">
        <v>44795</v>
      </c>
      <c r="K219" s="263"/>
      <c r="L219" s="263"/>
      <c r="M219" s="263" t="s">
        <v>632</v>
      </c>
      <c r="N219" s="260" t="s">
        <v>35</v>
      </c>
      <c r="O219" s="264">
        <v>45444</v>
      </c>
      <c r="P219" s="258"/>
      <c r="Q219" s="258"/>
      <c r="R219" s="258"/>
      <c r="S219" s="258"/>
      <c r="T219" s="258"/>
      <c r="U219" s="258"/>
      <c r="V219" s="258"/>
      <c r="W219" s="258"/>
      <c r="X219" s="258"/>
      <c r="Y219" s="258"/>
      <c r="Z219" s="258"/>
      <c r="AA219" s="258"/>
      <c r="AB219" s="258"/>
      <c r="AC219" s="258"/>
      <c r="AD219" s="258"/>
      <c r="AE219" s="258"/>
      <c r="AF219" s="258"/>
      <c r="AG219" s="258"/>
      <c r="AH219" s="258"/>
      <c r="AI219" s="258"/>
      <c r="AJ219" s="258"/>
      <c r="AK219" s="258"/>
      <c r="AL219" s="258"/>
      <c r="AM219" s="258"/>
      <c r="AN219" s="258"/>
      <c r="AO219" s="258"/>
      <c r="AP219" s="258"/>
      <c r="AQ219" s="258"/>
      <c r="AR219" s="258"/>
      <c r="AS219" s="258"/>
      <c r="AT219" s="258"/>
    </row>
    <row r="220" spans="1:46" ht="17.25" hidden="1" customHeight="1">
      <c r="A220" s="269">
        <v>10</v>
      </c>
      <c r="B220" s="270" t="s">
        <v>89</v>
      </c>
      <c r="C220" s="271" t="s">
        <v>348</v>
      </c>
      <c r="D220" s="271" t="s">
        <v>633</v>
      </c>
      <c r="E220" s="272">
        <v>1</v>
      </c>
      <c r="F220" s="273">
        <v>42962</v>
      </c>
      <c r="G220" s="274" t="s">
        <v>634</v>
      </c>
      <c r="H220" s="271">
        <v>4087189860</v>
      </c>
      <c r="I220" s="274" t="s">
        <v>635</v>
      </c>
      <c r="J220" s="273">
        <v>45156</v>
      </c>
      <c r="K220" s="274"/>
      <c r="L220" s="274"/>
      <c r="M220" s="274"/>
      <c r="N220" s="270" t="s">
        <v>35</v>
      </c>
      <c r="O220" s="275">
        <v>45444</v>
      </c>
      <c r="P220" s="276"/>
      <c r="Q220" s="276"/>
      <c r="R220" s="276"/>
      <c r="S220" s="276"/>
      <c r="T220" s="276"/>
      <c r="U220" s="276"/>
      <c r="V220" s="276"/>
      <c r="W220" s="276"/>
      <c r="X220" s="276"/>
      <c r="Y220" s="276"/>
      <c r="Z220" s="276"/>
      <c r="AA220" s="276"/>
      <c r="AB220" s="276"/>
      <c r="AC220" s="276"/>
      <c r="AD220" s="276"/>
      <c r="AE220" s="276"/>
      <c r="AF220" s="276"/>
      <c r="AG220" s="276"/>
      <c r="AH220" s="276"/>
      <c r="AI220" s="276"/>
      <c r="AJ220" s="276"/>
      <c r="AK220" s="276"/>
      <c r="AL220" s="276"/>
      <c r="AM220" s="276"/>
      <c r="AN220" s="276"/>
      <c r="AO220" s="276"/>
      <c r="AP220" s="276"/>
      <c r="AQ220" s="276"/>
      <c r="AR220" s="276"/>
      <c r="AS220" s="276"/>
      <c r="AT220" s="276"/>
    </row>
    <row r="221" spans="1:46" ht="17.25" hidden="1" customHeight="1">
      <c r="A221" s="269">
        <v>11</v>
      </c>
      <c r="B221" s="270" t="s">
        <v>49</v>
      </c>
      <c r="C221" s="271" t="s">
        <v>636</v>
      </c>
      <c r="D221" s="271" t="s">
        <v>633</v>
      </c>
      <c r="E221" s="272">
        <v>1</v>
      </c>
      <c r="F221" s="273">
        <v>42962</v>
      </c>
      <c r="G221" s="274" t="s">
        <v>634</v>
      </c>
      <c r="H221" s="271">
        <v>4087189860</v>
      </c>
      <c r="I221" s="274" t="s">
        <v>635</v>
      </c>
      <c r="J221" s="273">
        <v>45156</v>
      </c>
      <c r="K221" s="274"/>
      <c r="L221" s="274"/>
      <c r="M221" s="274"/>
      <c r="N221" s="270" t="s">
        <v>35</v>
      </c>
      <c r="O221" s="275">
        <v>45444</v>
      </c>
      <c r="P221" s="276"/>
      <c r="Q221" s="276"/>
      <c r="R221" s="276"/>
      <c r="S221" s="276"/>
      <c r="T221" s="276"/>
      <c r="U221" s="276"/>
      <c r="V221" s="276"/>
      <c r="W221" s="276"/>
      <c r="X221" s="276"/>
      <c r="Y221" s="276"/>
      <c r="Z221" s="276"/>
      <c r="AA221" s="276"/>
      <c r="AB221" s="276"/>
      <c r="AC221" s="276"/>
      <c r="AD221" s="276"/>
      <c r="AE221" s="276"/>
      <c r="AF221" s="276"/>
      <c r="AG221" s="276"/>
      <c r="AH221" s="276"/>
      <c r="AI221" s="276"/>
      <c r="AJ221" s="276"/>
      <c r="AK221" s="276"/>
      <c r="AL221" s="276"/>
      <c r="AM221" s="276"/>
      <c r="AN221" s="276"/>
      <c r="AO221" s="276"/>
      <c r="AP221" s="276"/>
      <c r="AQ221" s="276"/>
      <c r="AR221" s="276"/>
      <c r="AS221" s="276"/>
      <c r="AT221" s="276"/>
    </row>
    <row r="222" spans="1:46" ht="17.25" hidden="1" customHeight="1">
      <c r="A222" s="269">
        <v>12</v>
      </c>
      <c r="B222" s="270" t="s">
        <v>49</v>
      </c>
      <c r="C222" s="271" t="s">
        <v>637</v>
      </c>
      <c r="D222" s="271" t="s">
        <v>633</v>
      </c>
      <c r="E222" s="272">
        <v>1</v>
      </c>
      <c r="F222" s="273">
        <v>44927</v>
      </c>
      <c r="G222" s="274" t="s">
        <v>638</v>
      </c>
      <c r="H222" s="271">
        <v>5108813622</v>
      </c>
      <c r="I222" s="274" t="s">
        <v>639</v>
      </c>
      <c r="J222" s="273">
        <v>45154</v>
      </c>
      <c r="K222" s="274"/>
      <c r="L222" s="274"/>
      <c r="M222" s="274"/>
      <c r="N222" s="270" t="s">
        <v>35</v>
      </c>
      <c r="O222" s="275">
        <v>45444</v>
      </c>
      <c r="P222" s="276"/>
      <c r="Q222" s="276"/>
      <c r="R222" s="276"/>
      <c r="S222" s="276"/>
      <c r="T222" s="276"/>
      <c r="U222" s="276"/>
      <c r="V222" s="276"/>
      <c r="W222" s="276"/>
      <c r="X222" s="276"/>
      <c r="Y222" s="276"/>
      <c r="Z222" s="276"/>
      <c r="AA222" s="276"/>
      <c r="AB222" s="276"/>
      <c r="AC222" s="276"/>
      <c r="AD222" s="276"/>
      <c r="AE222" s="276"/>
      <c r="AF222" s="276"/>
      <c r="AG222" s="276"/>
      <c r="AH222" s="276"/>
      <c r="AI222" s="276"/>
      <c r="AJ222" s="276"/>
      <c r="AK222" s="276"/>
      <c r="AL222" s="276"/>
      <c r="AM222" s="276"/>
      <c r="AN222" s="276"/>
      <c r="AO222" s="276"/>
      <c r="AP222" s="276"/>
      <c r="AQ222" s="276"/>
      <c r="AR222" s="276"/>
      <c r="AS222" s="276"/>
      <c r="AT222" s="276"/>
    </row>
    <row r="223" spans="1:46" ht="17.25" hidden="1" customHeight="1">
      <c r="A223" s="269">
        <v>13</v>
      </c>
      <c r="B223" s="270" t="s">
        <v>89</v>
      </c>
      <c r="C223" s="271" t="s">
        <v>637</v>
      </c>
      <c r="D223" s="271" t="s">
        <v>633</v>
      </c>
      <c r="E223" s="272">
        <v>1</v>
      </c>
      <c r="F223" s="273">
        <v>44927</v>
      </c>
      <c r="G223" s="274" t="s">
        <v>638</v>
      </c>
      <c r="H223" s="271">
        <v>5108813622</v>
      </c>
      <c r="I223" s="274" t="s">
        <v>639</v>
      </c>
      <c r="J223" s="273">
        <v>45154</v>
      </c>
      <c r="K223" s="274"/>
      <c r="L223" s="274"/>
      <c r="M223" s="274"/>
      <c r="N223" s="270" t="s">
        <v>35</v>
      </c>
      <c r="O223" s="275">
        <v>45444</v>
      </c>
      <c r="P223" s="276"/>
      <c r="Q223" s="276"/>
      <c r="R223" s="276"/>
      <c r="S223" s="276"/>
      <c r="T223" s="276"/>
      <c r="U223" s="276"/>
      <c r="V223" s="276"/>
      <c r="W223" s="276"/>
      <c r="X223" s="276"/>
      <c r="Y223" s="276"/>
      <c r="Z223" s="276"/>
      <c r="AA223" s="276"/>
      <c r="AB223" s="276"/>
      <c r="AC223" s="276"/>
      <c r="AD223" s="276"/>
      <c r="AE223" s="276"/>
      <c r="AF223" s="276"/>
      <c r="AG223" s="276"/>
      <c r="AH223" s="276"/>
      <c r="AI223" s="276"/>
      <c r="AJ223" s="276"/>
      <c r="AK223" s="276"/>
      <c r="AL223" s="276"/>
      <c r="AM223" s="276"/>
      <c r="AN223" s="276"/>
      <c r="AO223" s="276"/>
      <c r="AP223" s="276"/>
      <c r="AQ223" s="276"/>
      <c r="AR223" s="276"/>
      <c r="AS223" s="276"/>
      <c r="AT223" s="276"/>
    </row>
    <row r="224" spans="1:46" ht="17.25" hidden="1" customHeight="1">
      <c r="A224" s="269">
        <v>14</v>
      </c>
      <c r="B224" s="270" t="s">
        <v>49</v>
      </c>
      <c r="C224" s="271" t="s">
        <v>640</v>
      </c>
      <c r="D224" s="271" t="s">
        <v>641</v>
      </c>
      <c r="E224" s="272">
        <v>3</v>
      </c>
      <c r="F224" s="273">
        <v>42125</v>
      </c>
      <c r="G224" s="274" t="s">
        <v>642</v>
      </c>
      <c r="H224" s="271">
        <v>5105795250</v>
      </c>
      <c r="I224" s="274" t="s">
        <v>643</v>
      </c>
      <c r="J224" s="273">
        <v>45156</v>
      </c>
      <c r="K224" s="274"/>
      <c r="L224" s="274"/>
      <c r="M224" s="274"/>
      <c r="N224" s="270" t="s">
        <v>35</v>
      </c>
      <c r="O224" s="275">
        <v>45444</v>
      </c>
      <c r="P224" s="276"/>
      <c r="Q224" s="276"/>
      <c r="R224" s="276"/>
      <c r="S224" s="276"/>
      <c r="T224" s="276"/>
      <c r="U224" s="276"/>
      <c r="V224" s="276"/>
      <c r="W224" s="276"/>
      <c r="X224" s="276"/>
      <c r="Y224" s="276"/>
      <c r="Z224" s="276"/>
      <c r="AA224" s="276"/>
      <c r="AB224" s="276"/>
      <c r="AC224" s="276"/>
      <c r="AD224" s="276"/>
      <c r="AE224" s="276"/>
      <c r="AF224" s="276"/>
      <c r="AG224" s="276"/>
      <c r="AH224" s="276"/>
      <c r="AI224" s="276"/>
      <c r="AJ224" s="276"/>
      <c r="AK224" s="276"/>
      <c r="AL224" s="276"/>
      <c r="AM224" s="276"/>
      <c r="AN224" s="276"/>
      <c r="AO224" s="276"/>
      <c r="AP224" s="276"/>
      <c r="AQ224" s="276"/>
      <c r="AR224" s="276"/>
      <c r="AS224" s="276"/>
      <c r="AT224" s="276"/>
    </row>
    <row r="225" spans="1:46" ht="17.25" hidden="1" customHeight="1">
      <c r="A225" s="269">
        <v>15</v>
      </c>
      <c r="B225" s="270" t="s">
        <v>89</v>
      </c>
      <c r="C225" s="271" t="s">
        <v>640</v>
      </c>
      <c r="D225" s="271" t="s">
        <v>641</v>
      </c>
      <c r="E225" s="272">
        <v>3</v>
      </c>
      <c r="F225" s="273">
        <v>42125</v>
      </c>
      <c r="G225" s="274" t="s">
        <v>642</v>
      </c>
      <c r="H225" s="271">
        <v>5105795250</v>
      </c>
      <c r="I225" s="274" t="s">
        <v>643</v>
      </c>
      <c r="J225" s="273">
        <v>45156</v>
      </c>
      <c r="K225" s="274"/>
      <c r="L225" s="274"/>
      <c r="M225" s="274"/>
      <c r="N225" s="270" t="s">
        <v>35</v>
      </c>
      <c r="O225" s="275">
        <v>45444</v>
      </c>
      <c r="P225" s="276"/>
      <c r="Q225" s="276"/>
      <c r="R225" s="276"/>
      <c r="S225" s="276"/>
      <c r="T225" s="276"/>
      <c r="U225" s="276"/>
      <c r="V225" s="276"/>
      <c r="W225" s="276"/>
      <c r="X225" s="276"/>
      <c r="Y225" s="276"/>
      <c r="Z225" s="276"/>
      <c r="AA225" s="276"/>
      <c r="AB225" s="276"/>
      <c r="AC225" s="276"/>
      <c r="AD225" s="276"/>
      <c r="AE225" s="276"/>
      <c r="AF225" s="276"/>
      <c r="AG225" s="276"/>
      <c r="AH225" s="276"/>
      <c r="AI225" s="276"/>
      <c r="AJ225" s="276"/>
      <c r="AK225" s="276"/>
      <c r="AL225" s="276"/>
      <c r="AM225" s="276"/>
      <c r="AN225" s="276"/>
      <c r="AO225" s="276"/>
      <c r="AP225" s="276"/>
      <c r="AQ225" s="276"/>
      <c r="AR225" s="276"/>
      <c r="AS225" s="276"/>
      <c r="AT225" s="276"/>
    </row>
    <row r="226" spans="1:46" ht="17.25" hidden="1" customHeight="1">
      <c r="A226" s="269">
        <v>16</v>
      </c>
      <c r="B226" s="270" t="s">
        <v>49</v>
      </c>
      <c r="C226" s="277" t="s">
        <v>644</v>
      </c>
      <c r="D226" s="277" t="s">
        <v>645</v>
      </c>
      <c r="E226" s="269">
        <v>3</v>
      </c>
      <c r="F226" s="278">
        <v>42162</v>
      </c>
      <c r="G226" s="279" t="s">
        <v>646</v>
      </c>
      <c r="H226" s="277">
        <v>4087992378</v>
      </c>
      <c r="I226" s="279" t="s">
        <v>647</v>
      </c>
      <c r="J226" s="278">
        <v>45383</v>
      </c>
      <c r="K226" s="279"/>
      <c r="L226" s="279"/>
      <c r="M226" s="279"/>
      <c r="N226" s="270" t="s">
        <v>35</v>
      </c>
      <c r="O226" s="275">
        <v>45444</v>
      </c>
      <c r="P226" s="276"/>
      <c r="Q226" s="276"/>
      <c r="R226" s="276"/>
      <c r="S226" s="276"/>
      <c r="T226" s="276"/>
      <c r="U226" s="276"/>
      <c r="V226" s="276"/>
      <c r="W226" s="276"/>
      <c r="X226" s="276"/>
      <c r="Y226" s="276"/>
      <c r="Z226" s="276"/>
      <c r="AA226" s="276"/>
      <c r="AB226" s="276"/>
      <c r="AC226" s="276"/>
      <c r="AD226" s="276"/>
      <c r="AE226" s="276"/>
      <c r="AF226" s="276"/>
      <c r="AG226" s="276"/>
      <c r="AH226" s="276"/>
      <c r="AI226" s="276"/>
      <c r="AJ226" s="276"/>
      <c r="AK226" s="276"/>
      <c r="AL226" s="276"/>
      <c r="AM226" s="276"/>
      <c r="AN226" s="276"/>
      <c r="AO226" s="276"/>
      <c r="AP226" s="276"/>
      <c r="AQ226" s="276"/>
      <c r="AR226" s="276"/>
      <c r="AS226" s="276"/>
      <c r="AT226" s="276"/>
    </row>
    <row r="227" spans="1:46" ht="17.25" hidden="1" customHeight="1">
      <c r="A227" s="269">
        <v>17</v>
      </c>
      <c r="B227" s="270" t="s">
        <v>89</v>
      </c>
      <c r="C227" s="277" t="s">
        <v>644</v>
      </c>
      <c r="D227" s="277" t="s">
        <v>645</v>
      </c>
      <c r="E227" s="269">
        <v>3</v>
      </c>
      <c r="F227" s="278">
        <v>42162</v>
      </c>
      <c r="G227" s="279" t="s">
        <v>646</v>
      </c>
      <c r="H227" s="277">
        <v>4087992378</v>
      </c>
      <c r="I227" s="279" t="s">
        <v>647</v>
      </c>
      <c r="J227" s="278">
        <v>45383</v>
      </c>
      <c r="K227" s="279"/>
      <c r="L227" s="279"/>
      <c r="M227" s="279"/>
      <c r="N227" s="270" t="s">
        <v>35</v>
      </c>
      <c r="O227" s="275">
        <v>45444</v>
      </c>
      <c r="P227" s="276"/>
      <c r="Q227" s="276"/>
      <c r="R227" s="276"/>
      <c r="S227" s="276"/>
      <c r="T227" s="276"/>
      <c r="U227" s="276"/>
      <c r="V227" s="276"/>
      <c r="W227" s="276"/>
      <c r="X227" s="276"/>
      <c r="Y227" s="276"/>
      <c r="Z227" s="276"/>
      <c r="AA227" s="276"/>
      <c r="AB227" s="276"/>
      <c r="AC227" s="276"/>
      <c r="AD227" s="276"/>
      <c r="AE227" s="276"/>
      <c r="AF227" s="276"/>
      <c r="AG227" s="276"/>
      <c r="AH227" s="276"/>
      <c r="AI227" s="276"/>
      <c r="AJ227" s="276"/>
      <c r="AK227" s="276"/>
      <c r="AL227" s="276"/>
      <c r="AM227" s="276"/>
      <c r="AN227" s="276"/>
      <c r="AO227" s="276"/>
      <c r="AP227" s="276"/>
      <c r="AQ227" s="276"/>
      <c r="AR227" s="276"/>
      <c r="AS227" s="276"/>
      <c r="AT227" s="276"/>
    </row>
    <row r="228" spans="1:46" ht="17.25" hidden="1" customHeight="1">
      <c r="A228" s="269">
        <v>18</v>
      </c>
      <c r="B228" s="270" t="s">
        <v>49</v>
      </c>
      <c r="C228" s="271" t="s">
        <v>648</v>
      </c>
      <c r="D228" s="271" t="s">
        <v>649</v>
      </c>
      <c r="E228" s="272" t="s">
        <v>125</v>
      </c>
      <c r="F228" s="273">
        <v>43210</v>
      </c>
      <c r="G228" s="274" t="s">
        <v>650</v>
      </c>
      <c r="H228" s="271">
        <v>4089133406</v>
      </c>
      <c r="I228" s="274" t="s">
        <v>651</v>
      </c>
      <c r="J228" s="273">
        <v>45154</v>
      </c>
      <c r="K228" s="274"/>
      <c r="L228" s="274"/>
      <c r="M228" s="274"/>
      <c r="N228" s="270" t="s">
        <v>35</v>
      </c>
      <c r="O228" s="275">
        <v>45444</v>
      </c>
      <c r="P228" s="276"/>
      <c r="Q228" s="276"/>
      <c r="R228" s="276"/>
      <c r="S228" s="276"/>
      <c r="T228" s="276"/>
      <c r="U228" s="276"/>
      <c r="V228" s="276"/>
      <c r="W228" s="276"/>
      <c r="X228" s="276"/>
      <c r="Y228" s="276"/>
      <c r="Z228" s="276"/>
      <c r="AA228" s="276"/>
      <c r="AB228" s="276"/>
      <c r="AC228" s="276"/>
      <c r="AD228" s="276"/>
      <c r="AE228" s="276"/>
      <c r="AF228" s="276"/>
      <c r="AG228" s="276"/>
      <c r="AH228" s="276"/>
      <c r="AI228" s="276"/>
      <c r="AJ228" s="276"/>
      <c r="AK228" s="276"/>
      <c r="AL228" s="276"/>
      <c r="AM228" s="276"/>
      <c r="AN228" s="276"/>
      <c r="AO228" s="276"/>
      <c r="AP228" s="276"/>
      <c r="AQ228" s="276"/>
      <c r="AR228" s="276"/>
      <c r="AS228" s="276"/>
      <c r="AT228" s="276"/>
    </row>
    <row r="229" spans="1:46" ht="17.25" hidden="1" customHeight="1">
      <c r="A229" s="269">
        <v>19</v>
      </c>
      <c r="B229" s="270" t="s">
        <v>89</v>
      </c>
      <c r="C229" s="271" t="s">
        <v>648</v>
      </c>
      <c r="D229" s="271" t="s">
        <v>649</v>
      </c>
      <c r="E229" s="272" t="s">
        <v>125</v>
      </c>
      <c r="F229" s="273">
        <v>43210</v>
      </c>
      <c r="G229" s="274" t="s">
        <v>650</v>
      </c>
      <c r="H229" s="271">
        <v>4089133406</v>
      </c>
      <c r="I229" s="274" t="s">
        <v>651</v>
      </c>
      <c r="J229" s="273">
        <v>45154</v>
      </c>
      <c r="K229" s="274"/>
      <c r="L229" s="274"/>
      <c r="M229" s="274"/>
      <c r="N229" s="270" t="s">
        <v>35</v>
      </c>
      <c r="O229" s="275">
        <v>45444</v>
      </c>
      <c r="P229" s="276"/>
      <c r="Q229" s="276"/>
      <c r="R229" s="276"/>
      <c r="S229" s="276"/>
      <c r="T229" s="276"/>
      <c r="U229" s="276"/>
      <c r="V229" s="276"/>
      <c r="W229" s="276"/>
      <c r="X229" s="276"/>
      <c r="Y229" s="276"/>
      <c r="Z229" s="276"/>
      <c r="AA229" s="276"/>
      <c r="AB229" s="276"/>
      <c r="AC229" s="276"/>
      <c r="AD229" s="276"/>
      <c r="AE229" s="276"/>
      <c r="AF229" s="276"/>
      <c r="AG229" s="276"/>
      <c r="AH229" s="276"/>
      <c r="AI229" s="276"/>
      <c r="AJ229" s="276"/>
      <c r="AK229" s="276"/>
      <c r="AL229" s="276"/>
      <c r="AM229" s="276"/>
      <c r="AN229" s="276"/>
      <c r="AO229" s="276"/>
      <c r="AP229" s="276"/>
      <c r="AQ229" s="276"/>
      <c r="AR229" s="276"/>
      <c r="AS229" s="276"/>
      <c r="AT229" s="276"/>
    </row>
    <row r="230" spans="1:46" ht="17.25" hidden="1" customHeight="1">
      <c r="A230" s="269">
        <v>20</v>
      </c>
      <c r="B230" s="270" t="s">
        <v>49</v>
      </c>
      <c r="C230" s="271" t="s">
        <v>652</v>
      </c>
      <c r="D230" s="271" t="s">
        <v>653</v>
      </c>
      <c r="E230" s="272">
        <v>1</v>
      </c>
      <c r="F230" s="273">
        <v>42828</v>
      </c>
      <c r="G230" s="274" t="s">
        <v>654</v>
      </c>
      <c r="H230" s="271">
        <v>5109196544</v>
      </c>
      <c r="I230" s="274" t="s">
        <v>655</v>
      </c>
      <c r="J230" s="273">
        <v>45159</v>
      </c>
      <c r="K230" s="274"/>
      <c r="L230" s="274"/>
      <c r="M230" s="274"/>
      <c r="N230" s="270" t="s">
        <v>35</v>
      </c>
      <c r="O230" s="275">
        <v>45444</v>
      </c>
      <c r="P230" s="276"/>
      <c r="Q230" s="276"/>
      <c r="R230" s="276"/>
      <c r="S230" s="276"/>
      <c r="T230" s="276"/>
      <c r="U230" s="276"/>
      <c r="V230" s="276"/>
      <c r="W230" s="276"/>
      <c r="X230" s="276"/>
      <c r="Y230" s="276"/>
      <c r="Z230" s="276"/>
      <c r="AA230" s="276"/>
      <c r="AB230" s="276"/>
      <c r="AC230" s="276"/>
      <c r="AD230" s="276"/>
      <c r="AE230" s="276"/>
      <c r="AF230" s="276"/>
      <c r="AG230" s="276"/>
      <c r="AH230" s="276"/>
      <c r="AI230" s="276"/>
      <c r="AJ230" s="276"/>
      <c r="AK230" s="276"/>
      <c r="AL230" s="276"/>
      <c r="AM230" s="276"/>
      <c r="AN230" s="276"/>
      <c r="AO230" s="276"/>
      <c r="AP230" s="276"/>
      <c r="AQ230" s="276"/>
      <c r="AR230" s="276"/>
      <c r="AS230" s="276"/>
      <c r="AT230" s="276"/>
    </row>
    <row r="231" spans="1:46" ht="17.25" hidden="1" customHeight="1">
      <c r="A231" s="269">
        <v>21</v>
      </c>
      <c r="B231" s="270" t="s">
        <v>89</v>
      </c>
      <c r="C231" s="271" t="s">
        <v>656</v>
      </c>
      <c r="D231" s="271" t="s">
        <v>653</v>
      </c>
      <c r="E231" s="272">
        <v>1</v>
      </c>
      <c r="F231" s="273">
        <v>42828</v>
      </c>
      <c r="G231" s="274" t="s">
        <v>654</v>
      </c>
      <c r="H231" s="271">
        <v>5109196544</v>
      </c>
      <c r="I231" s="274" t="s">
        <v>655</v>
      </c>
      <c r="J231" s="273">
        <v>45159</v>
      </c>
      <c r="K231" s="274"/>
      <c r="L231" s="274"/>
      <c r="M231" s="274"/>
      <c r="N231" s="270" t="s">
        <v>35</v>
      </c>
      <c r="O231" s="275">
        <v>45444</v>
      </c>
      <c r="P231" s="276"/>
      <c r="Q231" s="276"/>
      <c r="R231" s="276"/>
      <c r="S231" s="276"/>
      <c r="T231" s="276"/>
      <c r="U231" s="276"/>
      <c r="V231" s="276"/>
      <c r="W231" s="276"/>
      <c r="X231" s="276"/>
      <c r="Y231" s="276"/>
      <c r="Z231" s="276"/>
      <c r="AA231" s="276"/>
      <c r="AB231" s="276"/>
      <c r="AC231" s="276"/>
      <c r="AD231" s="276"/>
      <c r="AE231" s="276"/>
      <c r="AF231" s="276"/>
      <c r="AG231" s="276"/>
      <c r="AH231" s="276"/>
      <c r="AI231" s="276"/>
      <c r="AJ231" s="276"/>
      <c r="AK231" s="276"/>
      <c r="AL231" s="276"/>
      <c r="AM231" s="276"/>
      <c r="AN231" s="276"/>
      <c r="AO231" s="276"/>
      <c r="AP231" s="276"/>
      <c r="AQ231" s="276"/>
      <c r="AR231" s="276"/>
      <c r="AS231" s="276"/>
      <c r="AT231" s="276"/>
    </row>
    <row r="232" spans="1:46" ht="17.25" hidden="1" customHeight="1">
      <c r="A232" s="259">
        <v>22</v>
      </c>
      <c r="B232" s="260" t="s">
        <v>49</v>
      </c>
      <c r="C232" s="261" t="s">
        <v>608</v>
      </c>
      <c r="D232" s="261" t="s">
        <v>609</v>
      </c>
      <c r="E232" s="259">
        <v>3</v>
      </c>
      <c r="F232" s="262">
        <v>42124</v>
      </c>
      <c r="G232" s="263" t="s">
        <v>610</v>
      </c>
      <c r="H232" s="261">
        <v>4085076346</v>
      </c>
      <c r="I232" s="263" t="s">
        <v>412</v>
      </c>
      <c r="J232" s="262">
        <v>45293</v>
      </c>
      <c r="K232" s="309"/>
      <c r="L232" s="309"/>
      <c r="M232" s="309" t="s">
        <v>632</v>
      </c>
      <c r="N232" s="260" t="s">
        <v>35</v>
      </c>
      <c r="O232" s="264">
        <v>45444</v>
      </c>
      <c r="P232" s="258"/>
      <c r="Q232" s="258"/>
      <c r="R232" s="258"/>
      <c r="S232" s="258"/>
      <c r="T232" s="258"/>
      <c r="U232" s="258"/>
      <c r="V232" s="258"/>
      <c r="W232" s="258"/>
      <c r="X232" s="258"/>
      <c r="Y232" s="258"/>
      <c r="Z232" s="258"/>
      <c r="AA232" s="258"/>
      <c r="AB232" s="258"/>
      <c r="AC232" s="258"/>
      <c r="AD232" s="258"/>
      <c r="AE232" s="258"/>
      <c r="AF232" s="258"/>
      <c r="AG232" s="258"/>
      <c r="AH232" s="258"/>
      <c r="AI232" s="258"/>
      <c r="AJ232" s="258"/>
      <c r="AK232" s="258"/>
      <c r="AL232" s="258"/>
      <c r="AM232" s="258"/>
      <c r="AN232" s="258"/>
      <c r="AO232" s="258"/>
      <c r="AP232" s="258"/>
      <c r="AQ232" s="258"/>
      <c r="AR232" s="258"/>
      <c r="AS232" s="258"/>
      <c r="AT232" s="258"/>
    </row>
    <row r="233" spans="1:46" ht="16.5" hidden="1" customHeight="1">
      <c r="A233" s="269">
        <v>23</v>
      </c>
      <c r="B233" s="270" t="s">
        <v>49</v>
      </c>
      <c r="C233" s="271" t="s">
        <v>657</v>
      </c>
      <c r="D233" s="271" t="s">
        <v>658</v>
      </c>
      <c r="E233" s="272">
        <v>2</v>
      </c>
      <c r="F233" s="273">
        <v>42534</v>
      </c>
      <c r="G233" s="274" t="s">
        <v>659</v>
      </c>
      <c r="H233" s="271">
        <v>6188035803</v>
      </c>
      <c r="I233" s="274" t="s">
        <v>660</v>
      </c>
      <c r="J233" s="273">
        <v>45161</v>
      </c>
      <c r="K233" s="274"/>
      <c r="L233" s="274"/>
      <c r="M233" s="274"/>
      <c r="N233" s="270" t="s">
        <v>35</v>
      </c>
      <c r="O233" s="275">
        <v>45444</v>
      </c>
      <c r="P233" s="276"/>
      <c r="Q233" s="276"/>
      <c r="R233" s="276"/>
      <c r="S233" s="276"/>
      <c r="T233" s="276"/>
      <c r="U233" s="276"/>
      <c r="V233" s="276"/>
      <c r="W233" s="276"/>
      <c r="X233" s="276"/>
      <c r="Y233" s="276"/>
      <c r="Z233" s="276"/>
      <c r="AA233" s="276"/>
      <c r="AB233" s="276"/>
      <c r="AC233" s="276"/>
      <c r="AD233" s="276"/>
      <c r="AE233" s="276"/>
      <c r="AF233" s="276"/>
      <c r="AG233" s="276"/>
      <c r="AH233" s="276"/>
      <c r="AI233" s="276"/>
      <c r="AJ233" s="276"/>
      <c r="AK233" s="276"/>
      <c r="AL233" s="276"/>
      <c r="AM233" s="276"/>
      <c r="AN233" s="276"/>
      <c r="AO233" s="276"/>
      <c r="AP233" s="276"/>
      <c r="AQ233" s="276"/>
      <c r="AR233" s="276"/>
      <c r="AS233" s="276"/>
      <c r="AT233" s="276"/>
    </row>
    <row r="234" spans="1:46" ht="17.25" hidden="1" customHeight="1">
      <c r="A234" s="269">
        <v>24</v>
      </c>
      <c r="B234" s="270" t="s">
        <v>89</v>
      </c>
      <c r="C234" s="271" t="s">
        <v>657</v>
      </c>
      <c r="D234" s="271" t="s">
        <v>658</v>
      </c>
      <c r="E234" s="272">
        <v>2</v>
      </c>
      <c r="F234" s="273">
        <v>42534</v>
      </c>
      <c r="G234" s="274" t="s">
        <v>659</v>
      </c>
      <c r="H234" s="271">
        <v>6188035803</v>
      </c>
      <c r="I234" s="274" t="s">
        <v>660</v>
      </c>
      <c r="J234" s="273">
        <v>45161</v>
      </c>
      <c r="K234" s="274"/>
      <c r="L234" s="274"/>
      <c r="M234" s="274"/>
      <c r="N234" s="270" t="s">
        <v>35</v>
      </c>
      <c r="O234" s="275">
        <v>45444</v>
      </c>
      <c r="P234" s="276"/>
      <c r="Q234" s="276"/>
      <c r="R234" s="276"/>
      <c r="S234" s="276"/>
      <c r="T234" s="276"/>
      <c r="U234" s="276"/>
      <c r="V234" s="276"/>
      <c r="W234" s="276"/>
      <c r="X234" s="276"/>
      <c r="Y234" s="276"/>
      <c r="Z234" s="276"/>
      <c r="AA234" s="276"/>
      <c r="AB234" s="276"/>
      <c r="AC234" s="276"/>
      <c r="AD234" s="276"/>
      <c r="AE234" s="276"/>
      <c r="AF234" s="276"/>
      <c r="AG234" s="276"/>
      <c r="AH234" s="276"/>
      <c r="AI234" s="276"/>
      <c r="AJ234" s="276"/>
      <c r="AK234" s="276"/>
      <c r="AL234" s="276"/>
      <c r="AM234" s="276"/>
      <c r="AN234" s="276"/>
      <c r="AO234" s="276"/>
      <c r="AP234" s="276"/>
      <c r="AQ234" s="276"/>
      <c r="AR234" s="276"/>
      <c r="AS234" s="276"/>
      <c r="AT234" s="276"/>
    </row>
    <row r="235" spans="1:46" ht="17.25" hidden="1" customHeight="1">
      <c r="A235" s="269">
        <v>25</v>
      </c>
      <c r="B235" s="270" t="s">
        <v>89</v>
      </c>
      <c r="C235" s="277" t="s">
        <v>661</v>
      </c>
      <c r="D235" s="277" t="s">
        <v>662</v>
      </c>
      <c r="E235" s="269">
        <v>5</v>
      </c>
      <c r="F235" s="278">
        <v>41363</v>
      </c>
      <c r="G235" s="274" t="s">
        <v>663</v>
      </c>
      <c r="H235" s="274">
        <v>4082064921</v>
      </c>
      <c r="I235" s="274" t="s">
        <v>664</v>
      </c>
      <c r="J235" s="278">
        <v>45352</v>
      </c>
      <c r="K235" s="279"/>
      <c r="L235" s="279"/>
      <c r="M235" s="279"/>
      <c r="N235" s="270" t="s">
        <v>35</v>
      </c>
      <c r="O235" s="275">
        <v>45444</v>
      </c>
      <c r="P235" s="276"/>
      <c r="Q235" s="276"/>
      <c r="R235" s="276"/>
      <c r="S235" s="276"/>
      <c r="T235" s="276"/>
      <c r="U235" s="276"/>
      <c r="V235" s="276"/>
      <c r="W235" s="276"/>
      <c r="X235" s="276"/>
      <c r="Y235" s="276"/>
      <c r="Z235" s="276"/>
      <c r="AA235" s="276"/>
      <c r="AB235" s="276"/>
      <c r="AC235" s="276"/>
      <c r="AD235" s="276"/>
      <c r="AE235" s="276"/>
      <c r="AF235" s="276"/>
      <c r="AG235" s="276"/>
      <c r="AH235" s="276"/>
      <c r="AI235" s="276"/>
      <c r="AJ235" s="276"/>
      <c r="AK235" s="276"/>
      <c r="AL235" s="276"/>
      <c r="AM235" s="276"/>
      <c r="AN235" s="276"/>
      <c r="AO235" s="276"/>
      <c r="AP235" s="276"/>
      <c r="AQ235" s="276"/>
      <c r="AR235" s="276"/>
      <c r="AS235" s="276"/>
      <c r="AT235" s="276"/>
    </row>
    <row r="236" spans="1:46" ht="17.25" hidden="1" customHeight="1">
      <c r="A236" s="269">
        <v>26</v>
      </c>
      <c r="B236" s="270" t="s">
        <v>49</v>
      </c>
      <c r="C236" s="271" t="s">
        <v>665</v>
      </c>
      <c r="D236" s="271" t="s">
        <v>666</v>
      </c>
      <c r="E236" s="272">
        <v>1</v>
      </c>
      <c r="F236" s="273">
        <v>42820</v>
      </c>
      <c r="G236" s="274" t="s">
        <v>667</v>
      </c>
      <c r="H236" s="271">
        <v>6692526762</v>
      </c>
      <c r="I236" s="274" t="s">
        <v>668</v>
      </c>
      <c r="J236" s="273">
        <v>45159</v>
      </c>
      <c r="K236" s="274"/>
      <c r="L236" s="274"/>
      <c r="M236" s="274"/>
      <c r="N236" s="270" t="s">
        <v>35</v>
      </c>
      <c r="O236" s="275">
        <v>45444</v>
      </c>
      <c r="P236" s="276"/>
      <c r="Q236" s="276"/>
      <c r="R236" s="276"/>
      <c r="S236" s="276"/>
      <c r="T236" s="276"/>
      <c r="U236" s="276"/>
      <c r="V236" s="276"/>
      <c r="W236" s="276"/>
      <c r="X236" s="276"/>
      <c r="Y236" s="276"/>
      <c r="Z236" s="276"/>
      <c r="AA236" s="276"/>
      <c r="AB236" s="276"/>
      <c r="AC236" s="276"/>
      <c r="AD236" s="276"/>
      <c r="AE236" s="276"/>
      <c r="AF236" s="276"/>
      <c r="AG236" s="276"/>
      <c r="AH236" s="276"/>
      <c r="AI236" s="276"/>
      <c r="AJ236" s="276"/>
      <c r="AK236" s="276"/>
      <c r="AL236" s="276"/>
      <c r="AM236" s="276"/>
      <c r="AN236" s="276"/>
      <c r="AO236" s="276"/>
      <c r="AP236" s="276"/>
      <c r="AQ236" s="276"/>
      <c r="AR236" s="276"/>
      <c r="AS236" s="276"/>
      <c r="AT236" s="276"/>
    </row>
    <row r="237" spans="1:46" ht="17.25" hidden="1" customHeight="1">
      <c r="A237" s="269">
        <v>27</v>
      </c>
      <c r="B237" s="270" t="s">
        <v>89</v>
      </c>
      <c r="C237" s="271" t="s">
        <v>665</v>
      </c>
      <c r="D237" s="271" t="s">
        <v>666</v>
      </c>
      <c r="E237" s="272">
        <v>1</v>
      </c>
      <c r="F237" s="273">
        <v>42820</v>
      </c>
      <c r="G237" s="274" t="s">
        <v>667</v>
      </c>
      <c r="H237" s="271">
        <v>6692526762</v>
      </c>
      <c r="I237" s="274" t="s">
        <v>668</v>
      </c>
      <c r="J237" s="273">
        <v>45159</v>
      </c>
      <c r="K237" s="274"/>
      <c r="L237" s="274"/>
      <c r="M237" s="274"/>
      <c r="N237" s="270" t="s">
        <v>35</v>
      </c>
      <c r="O237" s="275">
        <v>45444</v>
      </c>
      <c r="P237" s="276"/>
      <c r="Q237" s="276"/>
      <c r="R237" s="276"/>
      <c r="S237" s="276"/>
      <c r="T237" s="276"/>
      <c r="U237" s="276"/>
      <c r="V237" s="276"/>
      <c r="W237" s="276"/>
      <c r="X237" s="276"/>
      <c r="Y237" s="276"/>
      <c r="Z237" s="276"/>
      <c r="AA237" s="276"/>
      <c r="AB237" s="276"/>
      <c r="AC237" s="276"/>
      <c r="AD237" s="276"/>
      <c r="AE237" s="276"/>
      <c r="AF237" s="276"/>
      <c r="AG237" s="276"/>
      <c r="AH237" s="276"/>
      <c r="AI237" s="276"/>
      <c r="AJ237" s="276"/>
      <c r="AK237" s="276"/>
      <c r="AL237" s="276"/>
      <c r="AM237" s="276"/>
      <c r="AN237" s="276"/>
      <c r="AO237" s="276"/>
      <c r="AP237" s="276"/>
      <c r="AQ237" s="276"/>
      <c r="AR237" s="276"/>
      <c r="AS237" s="276"/>
      <c r="AT237" s="276"/>
    </row>
    <row r="238" spans="1:46" ht="17.25" hidden="1" customHeight="1">
      <c r="A238" s="259">
        <v>28</v>
      </c>
      <c r="B238" s="260" t="s">
        <v>89</v>
      </c>
      <c r="C238" s="306" t="s">
        <v>395</v>
      </c>
      <c r="D238" s="306" t="s">
        <v>115</v>
      </c>
      <c r="E238" s="307">
        <v>1</v>
      </c>
      <c r="F238" s="308">
        <v>42822</v>
      </c>
      <c r="G238" s="309" t="s">
        <v>669</v>
      </c>
      <c r="H238" s="306">
        <v>4087591928</v>
      </c>
      <c r="I238" s="309" t="s">
        <v>398</v>
      </c>
      <c r="J238" s="308">
        <v>45246</v>
      </c>
      <c r="K238" s="309"/>
      <c r="L238" s="309"/>
      <c r="M238" s="309" t="s">
        <v>670</v>
      </c>
      <c r="N238" s="260" t="s">
        <v>35</v>
      </c>
      <c r="O238" s="264">
        <v>45444</v>
      </c>
      <c r="P238" s="258"/>
      <c r="Q238" s="258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B238" s="258"/>
      <c r="AC238" s="258"/>
      <c r="AD238" s="258"/>
      <c r="AE238" s="258"/>
      <c r="AF238" s="258"/>
      <c r="AG238" s="258"/>
      <c r="AH238" s="258"/>
      <c r="AI238" s="258"/>
      <c r="AJ238" s="258"/>
      <c r="AK238" s="258"/>
      <c r="AL238" s="258"/>
      <c r="AM238" s="258"/>
      <c r="AN238" s="258"/>
      <c r="AO238" s="258"/>
      <c r="AP238" s="258"/>
      <c r="AQ238" s="258"/>
      <c r="AR238" s="258"/>
      <c r="AS238" s="258"/>
      <c r="AT238" s="258"/>
    </row>
    <row r="239" spans="1:46" ht="17.25" hidden="1" customHeight="1">
      <c r="A239" s="269">
        <v>29</v>
      </c>
      <c r="B239" s="270" t="s">
        <v>49</v>
      </c>
      <c r="C239" s="277" t="s">
        <v>242</v>
      </c>
      <c r="D239" s="277" t="s">
        <v>248</v>
      </c>
      <c r="E239" s="269">
        <v>2</v>
      </c>
      <c r="F239" s="278">
        <v>42511</v>
      </c>
      <c r="G239" s="279" t="s">
        <v>671</v>
      </c>
      <c r="H239" s="277">
        <v>5103336666</v>
      </c>
      <c r="I239" s="279" t="s">
        <v>251</v>
      </c>
      <c r="J239" s="277" t="s">
        <v>672</v>
      </c>
      <c r="K239" s="279"/>
      <c r="L239" s="279"/>
      <c r="M239" s="279" t="s">
        <v>632</v>
      </c>
      <c r="N239" s="270" t="s">
        <v>35</v>
      </c>
      <c r="O239" s="275">
        <v>45444</v>
      </c>
      <c r="P239" s="276"/>
      <c r="Q239" s="276"/>
      <c r="R239" s="276"/>
      <c r="S239" s="276"/>
      <c r="T239" s="276"/>
      <c r="U239" s="276"/>
      <c r="V239" s="276"/>
      <c r="W239" s="276"/>
      <c r="X239" s="276"/>
      <c r="Y239" s="276"/>
      <c r="Z239" s="276"/>
      <c r="AA239" s="276"/>
      <c r="AB239" s="276"/>
      <c r="AC239" s="276"/>
      <c r="AD239" s="276"/>
      <c r="AE239" s="276"/>
      <c r="AF239" s="276"/>
      <c r="AG239" s="276"/>
      <c r="AH239" s="276"/>
      <c r="AI239" s="276"/>
      <c r="AJ239" s="276"/>
      <c r="AK239" s="276"/>
      <c r="AL239" s="276"/>
      <c r="AM239" s="276"/>
      <c r="AN239" s="276"/>
      <c r="AO239" s="276"/>
      <c r="AP239" s="276"/>
      <c r="AQ239" s="276"/>
      <c r="AR239" s="276"/>
      <c r="AS239" s="276"/>
      <c r="AT239" s="276"/>
    </row>
    <row r="240" spans="1:46" ht="17.25" hidden="1" customHeight="1">
      <c r="A240" s="269">
        <v>30</v>
      </c>
      <c r="B240" s="270" t="s">
        <v>49</v>
      </c>
      <c r="C240" s="277" t="s">
        <v>529</v>
      </c>
      <c r="D240" s="277" t="s">
        <v>530</v>
      </c>
      <c r="E240" s="269">
        <v>2</v>
      </c>
      <c r="F240" s="278">
        <v>42388</v>
      </c>
      <c r="G240" s="274" t="s">
        <v>673</v>
      </c>
      <c r="H240" s="274">
        <v>4087977701</v>
      </c>
      <c r="I240" s="274" t="s">
        <v>532</v>
      </c>
      <c r="J240" s="278">
        <v>45323</v>
      </c>
      <c r="K240" s="279"/>
      <c r="L240" s="279"/>
      <c r="M240" s="279" t="s">
        <v>674</v>
      </c>
      <c r="N240" s="270" t="s">
        <v>35</v>
      </c>
      <c r="O240" s="275">
        <v>45444</v>
      </c>
      <c r="P240" s="276"/>
      <c r="Q240" s="276"/>
      <c r="R240" s="276"/>
      <c r="S240" s="276"/>
      <c r="T240" s="276"/>
      <c r="U240" s="276"/>
      <c r="V240" s="276"/>
      <c r="W240" s="276"/>
      <c r="X240" s="276"/>
      <c r="Y240" s="276"/>
      <c r="Z240" s="276"/>
      <c r="AA240" s="276"/>
      <c r="AB240" s="276"/>
      <c r="AC240" s="276"/>
      <c r="AD240" s="276"/>
      <c r="AE240" s="276"/>
      <c r="AF240" s="276"/>
      <c r="AG240" s="276"/>
      <c r="AH240" s="276"/>
      <c r="AI240" s="276"/>
      <c r="AJ240" s="276"/>
      <c r="AK240" s="276"/>
      <c r="AL240" s="276"/>
      <c r="AM240" s="276"/>
      <c r="AN240" s="276"/>
      <c r="AO240" s="276"/>
      <c r="AP240" s="276"/>
      <c r="AQ240" s="276"/>
      <c r="AR240" s="276"/>
      <c r="AS240" s="276"/>
      <c r="AT240" s="276"/>
    </row>
    <row r="241" spans="1:46" ht="17.25" hidden="1" customHeight="1">
      <c r="A241" s="269">
        <v>31</v>
      </c>
      <c r="B241" s="311" t="s">
        <v>49</v>
      </c>
      <c r="C241" s="271" t="s">
        <v>123</v>
      </c>
      <c r="D241" s="271" t="s">
        <v>675</v>
      </c>
      <c r="E241" s="272">
        <v>5</v>
      </c>
      <c r="F241" s="273">
        <v>41514</v>
      </c>
      <c r="G241" s="274" t="s">
        <v>676</v>
      </c>
      <c r="H241" s="271">
        <v>5107883613</v>
      </c>
      <c r="I241" s="274" t="s">
        <v>677</v>
      </c>
      <c r="J241" s="273">
        <v>45189</v>
      </c>
      <c r="K241" s="274"/>
      <c r="L241" s="274"/>
      <c r="M241" s="274"/>
      <c r="N241" s="270" t="s">
        <v>35</v>
      </c>
      <c r="O241" s="275">
        <v>45444</v>
      </c>
      <c r="P241" s="276"/>
      <c r="Q241" s="276"/>
      <c r="R241" s="276"/>
      <c r="S241" s="276"/>
      <c r="T241" s="276"/>
      <c r="U241" s="276"/>
      <c r="V241" s="276"/>
      <c r="W241" s="276"/>
      <c r="X241" s="276"/>
      <c r="Y241" s="276"/>
      <c r="Z241" s="276"/>
      <c r="AA241" s="276"/>
      <c r="AB241" s="276"/>
      <c r="AC241" s="276"/>
      <c r="AD241" s="276"/>
      <c r="AE241" s="276"/>
      <c r="AF241" s="276"/>
      <c r="AG241" s="276"/>
      <c r="AH241" s="276"/>
      <c r="AI241" s="276"/>
      <c r="AJ241" s="276"/>
      <c r="AK241" s="276"/>
      <c r="AL241" s="276"/>
      <c r="AM241" s="276"/>
      <c r="AN241" s="276"/>
      <c r="AO241" s="276"/>
      <c r="AP241" s="276"/>
      <c r="AQ241" s="276"/>
      <c r="AR241" s="276"/>
      <c r="AS241" s="276"/>
      <c r="AT241" s="276"/>
    </row>
    <row r="242" spans="1:46" ht="17.25" hidden="1" customHeight="1">
      <c r="A242" s="269">
        <v>32</v>
      </c>
      <c r="B242" s="311" t="s">
        <v>89</v>
      </c>
      <c r="C242" s="271" t="s">
        <v>123</v>
      </c>
      <c r="D242" s="271" t="s">
        <v>675</v>
      </c>
      <c r="E242" s="272">
        <v>5</v>
      </c>
      <c r="F242" s="273">
        <v>41514</v>
      </c>
      <c r="G242" s="274" t="s">
        <v>676</v>
      </c>
      <c r="H242" s="271">
        <v>5107883613</v>
      </c>
      <c r="I242" s="274" t="s">
        <v>677</v>
      </c>
      <c r="J242" s="273">
        <v>45189</v>
      </c>
      <c r="K242" s="274"/>
      <c r="L242" s="274"/>
      <c r="M242" s="274"/>
      <c r="N242" s="270" t="s">
        <v>35</v>
      </c>
      <c r="O242" s="275">
        <v>45444</v>
      </c>
      <c r="P242" s="276"/>
      <c r="Q242" s="276"/>
      <c r="R242" s="276"/>
      <c r="S242" s="276"/>
      <c r="T242" s="276"/>
      <c r="U242" s="276"/>
      <c r="V242" s="276"/>
      <c r="W242" s="276"/>
      <c r="X242" s="276"/>
      <c r="Y242" s="276"/>
      <c r="Z242" s="276"/>
      <c r="AA242" s="276"/>
      <c r="AB242" s="276"/>
      <c r="AC242" s="276"/>
      <c r="AD242" s="276"/>
      <c r="AE242" s="276"/>
      <c r="AF242" s="276"/>
      <c r="AG242" s="276"/>
      <c r="AH242" s="276"/>
      <c r="AI242" s="276"/>
      <c r="AJ242" s="276"/>
      <c r="AK242" s="276"/>
      <c r="AL242" s="276"/>
      <c r="AM242" s="276"/>
      <c r="AN242" s="276"/>
      <c r="AO242" s="276"/>
      <c r="AP242" s="276"/>
      <c r="AQ242" s="276"/>
      <c r="AR242" s="276"/>
      <c r="AS242" s="276"/>
      <c r="AT242" s="276"/>
    </row>
    <row r="243" spans="1:46" ht="17.25" hidden="1" customHeight="1">
      <c r="A243" s="269">
        <v>33</v>
      </c>
      <c r="B243" s="270" t="s">
        <v>49</v>
      </c>
      <c r="C243" s="271" t="s">
        <v>678</v>
      </c>
      <c r="D243" s="271" t="s">
        <v>679</v>
      </c>
      <c r="E243" s="272">
        <v>4</v>
      </c>
      <c r="F243" s="273">
        <v>41619</v>
      </c>
      <c r="G243" s="274" t="s">
        <v>680</v>
      </c>
      <c r="H243" s="271">
        <v>6264658590</v>
      </c>
      <c r="I243" s="274" t="s">
        <v>681</v>
      </c>
      <c r="J243" s="273">
        <v>45154</v>
      </c>
      <c r="K243" s="274"/>
      <c r="L243" s="274"/>
      <c r="M243" s="274"/>
      <c r="N243" s="270" t="s">
        <v>35</v>
      </c>
      <c r="O243" s="275">
        <v>45444</v>
      </c>
      <c r="P243" s="276"/>
      <c r="Q243" s="276"/>
      <c r="R243" s="276"/>
      <c r="S243" s="276"/>
      <c r="T243" s="276"/>
      <c r="U243" s="276"/>
      <c r="V243" s="276"/>
      <c r="W243" s="276"/>
      <c r="X243" s="276"/>
      <c r="Y243" s="276"/>
      <c r="Z243" s="276"/>
      <c r="AA243" s="276"/>
      <c r="AB243" s="276"/>
      <c r="AC243" s="276"/>
      <c r="AD243" s="276"/>
      <c r="AE243" s="276"/>
      <c r="AF243" s="276"/>
      <c r="AG243" s="276"/>
      <c r="AH243" s="276"/>
      <c r="AI243" s="276"/>
      <c r="AJ243" s="276"/>
      <c r="AK243" s="276"/>
      <c r="AL243" s="276"/>
      <c r="AM243" s="276"/>
      <c r="AN243" s="276"/>
      <c r="AO243" s="276"/>
      <c r="AP243" s="276"/>
      <c r="AQ243" s="276"/>
      <c r="AR243" s="276"/>
      <c r="AS243" s="276"/>
      <c r="AT243" s="276"/>
    </row>
    <row r="244" spans="1:46" ht="17.25" hidden="1" customHeight="1">
      <c r="A244" s="269">
        <v>34</v>
      </c>
      <c r="B244" s="270" t="s">
        <v>89</v>
      </c>
      <c r="C244" s="271" t="s">
        <v>678</v>
      </c>
      <c r="D244" s="271" t="s">
        <v>679</v>
      </c>
      <c r="E244" s="272">
        <v>4</v>
      </c>
      <c r="F244" s="273">
        <v>41619</v>
      </c>
      <c r="G244" s="274" t="s">
        <v>680</v>
      </c>
      <c r="H244" s="271">
        <v>6264658590</v>
      </c>
      <c r="I244" s="274" t="s">
        <v>681</v>
      </c>
      <c r="J244" s="273">
        <v>45154</v>
      </c>
      <c r="K244" s="274"/>
      <c r="L244" s="274"/>
      <c r="M244" s="274"/>
      <c r="N244" s="270" t="s">
        <v>35</v>
      </c>
      <c r="O244" s="275">
        <v>45444</v>
      </c>
      <c r="P244" s="276"/>
      <c r="Q244" s="276"/>
      <c r="R244" s="276"/>
      <c r="S244" s="276"/>
      <c r="T244" s="276"/>
      <c r="U244" s="276"/>
      <c r="V244" s="276"/>
      <c r="W244" s="276"/>
      <c r="X244" s="276"/>
      <c r="Y244" s="276"/>
      <c r="Z244" s="276"/>
      <c r="AA244" s="276"/>
      <c r="AB244" s="276"/>
      <c r="AC244" s="276"/>
      <c r="AD244" s="276"/>
      <c r="AE244" s="276"/>
      <c r="AF244" s="276"/>
      <c r="AG244" s="276"/>
      <c r="AH244" s="276"/>
      <c r="AI244" s="276"/>
      <c r="AJ244" s="276"/>
      <c r="AK244" s="276"/>
      <c r="AL244" s="276"/>
      <c r="AM244" s="276"/>
      <c r="AN244" s="276"/>
      <c r="AO244" s="276"/>
      <c r="AP244" s="276"/>
      <c r="AQ244" s="276"/>
      <c r="AR244" s="276"/>
      <c r="AS244" s="276"/>
      <c r="AT244" s="276"/>
    </row>
    <row r="245" spans="1:46" ht="17.25" hidden="1" customHeight="1">
      <c r="A245" s="259">
        <v>35</v>
      </c>
      <c r="B245" s="260" t="s">
        <v>49</v>
      </c>
      <c r="C245" s="306" t="s">
        <v>370</v>
      </c>
      <c r="D245" s="306" t="s">
        <v>389</v>
      </c>
      <c r="E245" s="307">
        <v>1</v>
      </c>
      <c r="F245" s="308">
        <v>42122</v>
      </c>
      <c r="G245" s="309" t="s">
        <v>682</v>
      </c>
      <c r="H245" s="306" t="s">
        <v>683</v>
      </c>
      <c r="I245" s="309" t="s">
        <v>684</v>
      </c>
      <c r="J245" s="308">
        <v>45154</v>
      </c>
      <c r="K245" s="309"/>
      <c r="L245" s="309"/>
      <c r="M245" s="309" t="s">
        <v>632</v>
      </c>
      <c r="N245" s="260" t="s">
        <v>35</v>
      </c>
      <c r="O245" s="264">
        <v>45444</v>
      </c>
      <c r="P245" s="258"/>
      <c r="Q245" s="258"/>
      <c r="R245" s="258"/>
      <c r="S245" s="258"/>
      <c r="T245" s="258"/>
      <c r="U245" s="258"/>
      <c r="V245" s="258"/>
      <c r="W245" s="258"/>
      <c r="X245" s="258"/>
      <c r="Y245" s="258"/>
      <c r="Z245" s="258"/>
      <c r="AA245" s="258"/>
      <c r="AB245" s="258"/>
      <c r="AC245" s="258"/>
      <c r="AD245" s="258"/>
      <c r="AE245" s="258"/>
      <c r="AF245" s="258"/>
      <c r="AG245" s="258"/>
      <c r="AH245" s="258"/>
      <c r="AI245" s="258"/>
      <c r="AJ245" s="258"/>
      <c r="AK245" s="258"/>
      <c r="AL245" s="258"/>
      <c r="AM245" s="258"/>
      <c r="AN245" s="258"/>
      <c r="AO245" s="258"/>
      <c r="AP245" s="258"/>
      <c r="AQ245" s="258"/>
      <c r="AR245" s="258"/>
      <c r="AS245" s="258"/>
      <c r="AT245" s="258"/>
    </row>
    <row r="246" spans="1:46" ht="17.25" hidden="1" customHeight="1">
      <c r="A246" s="259">
        <v>36</v>
      </c>
      <c r="B246" s="260" t="s">
        <v>89</v>
      </c>
      <c r="C246" s="306" t="s">
        <v>370</v>
      </c>
      <c r="D246" s="306" t="s">
        <v>389</v>
      </c>
      <c r="E246" s="307">
        <v>1</v>
      </c>
      <c r="F246" s="308">
        <v>42122</v>
      </c>
      <c r="G246" s="309" t="s">
        <v>682</v>
      </c>
      <c r="H246" s="306" t="s">
        <v>683</v>
      </c>
      <c r="I246" s="309" t="s">
        <v>684</v>
      </c>
      <c r="J246" s="308">
        <v>45154</v>
      </c>
      <c r="K246" s="309"/>
      <c r="L246" s="309"/>
      <c r="M246" s="309" t="s">
        <v>632</v>
      </c>
      <c r="N246" s="260" t="s">
        <v>35</v>
      </c>
      <c r="O246" s="264">
        <v>45444</v>
      </c>
      <c r="P246" s="258"/>
      <c r="Q246" s="258"/>
      <c r="R246" s="258"/>
      <c r="S246" s="258"/>
      <c r="T246" s="258"/>
      <c r="U246" s="258"/>
      <c r="V246" s="258"/>
      <c r="W246" s="258"/>
      <c r="X246" s="258"/>
      <c r="Y246" s="258"/>
      <c r="Z246" s="258"/>
      <c r="AA246" s="258"/>
      <c r="AB246" s="258"/>
      <c r="AC246" s="258"/>
      <c r="AD246" s="258"/>
      <c r="AE246" s="258"/>
      <c r="AF246" s="258"/>
      <c r="AG246" s="258"/>
      <c r="AH246" s="258"/>
      <c r="AI246" s="258"/>
      <c r="AJ246" s="258"/>
      <c r="AK246" s="258"/>
      <c r="AL246" s="258"/>
      <c r="AM246" s="258"/>
      <c r="AN246" s="258"/>
      <c r="AO246" s="258"/>
      <c r="AP246" s="258"/>
      <c r="AQ246" s="258"/>
      <c r="AR246" s="258"/>
      <c r="AS246" s="258"/>
      <c r="AT246" s="258"/>
    </row>
    <row r="247" spans="1:46" ht="17.25" hidden="1" customHeight="1">
      <c r="A247" s="269">
        <v>37</v>
      </c>
      <c r="B247" s="270" t="s">
        <v>49</v>
      </c>
      <c r="C247" s="271" t="s">
        <v>626</v>
      </c>
      <c r="D247" s="271" t="s">
        <v>343</v>
      </c>
      <c r="E247" s="272">
        <v>1</v>
      </c>
      <c r="F247" s="273">
        <v>42954</v>
      </c>
      <c r="G247" s="274" t="s">
        <v>685</v>
      </c>
      <c r="H247" s="271">
        <v>5105656975</v>
      </c>
      <c r="I247" s="274" t="s">
        <v>686</v>
      </c>
      <c r="J247" s="273">
        <v>45159</v>
      </c>
      <c r="K247" s="274"/>
      <c r="L247" s="274"/>
      <c r="M247" s="274" t="s">
        <v>632</v>
      </c>
      <c r="N247" s="270" t="s">
        <v>35</v>
      </c>
      <c r="O247" s="275">
        <v>45444</v>
      </c>
      <c r="P247" s="276"/>
      <c r="Q247" s="276"/>
      <c r="R247" s="276"/>
      <c r="S247" s="276"/>
      <c r="T247" s="276"/>
      <c r="U247" s="276"/>
      <c r="V247" s="276"/>
      <c r="W247" s="276"/>
      <c r="X247" s="276"/>
      <c r="Y247" s="276"/>
      <c r="Z247" s="276"/>
      <c r="AA247" s="276"/>
      <c r="AB247" s="276"/>
      <c r="AC247" s="276"/>
      <c r="AD247" s="276"/>
      <c r="AE247" s="276"/>
      <c r="AF247" s="276"/>
      <c r="AG247" s="276"/>
      <c r="AH247" s="276"/>
      <c r="AI247" s="276"/>
      <c r="AJ247" s="276"/>
      <c r="AK247" s="276"/>
      <c r="AL247" s="276"/>
      <c r="AM247" s="276"/>
      <c r="AN247" s="276"/>
      <c r="AO247" s="276"/>
      <c r="AP247" s="276"/>
      <c r="AQ247" s="276"/>
      <c r="AR247" s="276"/>
      <c r="AS247" s="276"/>
      <c r="AT247" s="276"/>
    </row>
    <row r="248" spans="1:46" ht="17.25" hidden="1" customHeight="1">
      <c r="A248" s="269">
        <v>38</v>
      </c>
      <c r="B248" s="270" t="s">
        <v>89</v>
      </c>
      <c r="C248" s="271" t="s">
        <v>626</v>
      </c>
      <c r="D248" s="271" t="s">
        <v>343</v>
      </c>
      <c r="E248" s="272">
        <v>1</v>
      </c>
      <c r="F248" s="273">
        <v>42954</v>
      </c>
      <c r="G248" s="274" t="s">
        <v>685</v>
      </c>
      <c r="H248" s="271">
        <v>5105656975</v>
      </c>
      <c r="I248" s="274" t="s">
        <v>686</v>
      </c>
      <c r="J248" s="273">
        <v>45159</v>
      </c>
      <c r="K248" s="274"/>
      <c r="L248" s="274"/>
      <c r="M248" s="274" t="s">
        <v>632</v>
      </c>
      <c r="N248" s="270" t="s">
        <v>35</v>
      </c>
      <c r="O248" s="275">
        <v>45444</v>
      </c>
      <c r="P248" s="276"/>
      <c r="Q248" s="276"/>
      <c r="R248" s="276"/>
      <c r="S248" s="276"/>
      <c r="T248" s="276"/>
      <c r="U248" s="276"/>
      <c r="V248" s="276"/>
      <c r="W248" s="276"/>
      <c r="X248" s="276"/>
      <c r="Y248" s="276"/>
      <c r="Z248" s="276"/>
      <c r="AA248" s="276"/>
      <c r="AB248" s="276"/>
      <c r="AC248" s="276"/>
      <c r="AD248" s="276"/>
      <c r="AE248" s="276"/>
      <c r="AF248" s="276"/>
      <c r="AG248" s="276"/>
      <c r="AH248" s="276"/>
      <c r="AI248" s="276"/>
      <c r="AJ248" s="276"/>
      <c r="AK248" s="276"/>
      <c r="AL248" s="276"/>
      <c r="AM248" s="276"/>
      <c r="AN248" s="276"/>
      <c r="AO248" s="276"/>
      <c r="AP248" s="276"/>
      <c r="AQ248" s="276"/>
      <c r="AR248" s="276"/>
      <c r="AS248" s="276"/>
      <c r="AT248" s="276"/>
    </row>
    <row r="249" spans="1:46" ht="17.25" hidden="1" customHeight="1">
      <c r="A249" s="269">
        <v>39</v>
      </c>
      <c r="B249" s="270" t="s">
        <v>49</v>
      </c>
      <c r="C249" s="271" t="s">
        <v>648</v>
      </c>
      <c r="D249" s="271" t="s">
        <v>687</v>
      </c>
      <c r="E249" s="272">
        <v>1</v>
      </c>
      <c r="F249" s="273">
        <v>42810</v>
      </c>
      <c r="G249" s="274" t="s">
        <v>688</v>
      </c>
      <c r="H249" s="271">
        <v>5103742897</v>
      </c>
      <c r="I249" s="274" t="s">
        <v>689</v>
      </c>
      <c r="J249" s="273">
        <v>45154</v>
      </c>
      <c r="K249" s="274"/>
      <c r="L249" s="274"/>
      <c r="M249" s="274"/>
      <c r="N249" s="270" t="s">
        <v>35</v>
      </c>
      <c r="O249" s="275">
        <v>45444</v>
      </c>
      <c r="P249" s="276"/>
      <c r="Q249" s="276"/>
      <c r="R249" s="276"/>
      <c r="S249" s="276"/>
      <c r="T249" s="276"/>
      <c r="U249" s="276"/>
      <c r="V249" s="276"/>
      <c r="W249" s="276"/>
      <c r="X249" s="276"/>
      <c r="Y249" s="276"/>
      <c r="Z249" s="276"/>
      <c r="AA249" s="276"/>
      <c r="AB249" s="276"/>
      <c r="AC249" s="276"/>
      <c r="AD249" s="276"/>
      <c r="AE249" s="276"/>
      <c r="AF249" s="276"/>
      <c r="AG249" s="276"/>
      <c r="AH249" s="276"/>
      <c r="AI249" s="276"/>
      <c r="AJ249" s="276"/>
      <c r="AK249" s="276"/>
      <c r="AL249" s="276"/>
      <c r="AM249" s="276"/>
      <c r="AN249" s="276"/>
      <c r="AO249" s="276"/>
      <c r="AP249" s="276"/>
      <c r="AQ249" s="276"/>
      <c r="AR249" s="276"/>
      <c r="AS249" s="276"/>
      <c r="AT249" s="276"/>
    </row>
    <row r="250" spans="1:46" ht="17.25" hidden="1" customHeight="1">
      <c r="A250" s="269">
        <v>40</v>
      </c>
      <c r="B250" s="270" t="s">
        <v>89</v>
      </c>
      <c r="C250" s="277" t="s">
        <v>648</v>
      </c>
      <c r="D250" s="277" t="s">
        <v>687</v>
      </c>
      <c r="E250" s="269">
        <v>1</v>
      </c>
      <c r="F250" s="278">
        <v>42810</v>
      </c>
      <c r="G250" s="279" t="s">
        <v>688</v>
      </c>
      <c r="H250" s="277">
        <v>5103742897</v>
      </c>
      <c r="I250" s="279" t="s">
        <v>689</v>
      </c>
      <c r="J250" s="278">
        <v>45293</v>
      </c>
      <c r="K250" s="279"/>
      <c r="L250" s="279"/>
      <c r="M250" s="279"/>
      <c r="N250" s="270" t="s">
        <v>35</v>
      </c>
      <c r="O250" s="275">
        <v>45444</v>
      </c>
      <c r="P250" s="276"/>
      <c r="Q250" s="276"/>
      <c r="R250" s="276"/>
      <c r="S250" s="276"/>
      <c r="T250" s="276"/>
      <c r="U250" s="276"/>
      <c r="V250" s="276"/>
      <c r="W250" s="276"/>
      <c r="X250" s="276"/>
      <c r="Y250" s="276"/>
      <c r="Z250" s="276"/>
      <c r="AA250" s="276"/>
      <c r="AB250" s="276"/>
      <c r="AC250" s="276"/>
      <c r="AD250" s="276"/>
      <c r="AE250" s="276"/>
      <c r="AF250" s="276"/>
      <c r="AG250" s="276"/>
      <c r="AH250" s="276"/>
      <c r="AI250" s="276"/>
      <c r="AJ250" s="276"/>
      <c r="AK250" s="276"/>
      <c r="AL250" s="276"/>
      <c r="AM250" s="276"/>
      <c r="AN250" s="276"/>
      <c r="AO250" s="276"/>
      <c r="AP250" s="276"/>
      <c r="AQ250" s="276"/>
      <c r="AR250" s="276"/>
      <c r="AS250" s="276"/>
      <c r="AT250" s="276"/>
    </row>
    <row r="251" spans="1:46" ht="17.25" hidden="1" customHeight="1">
      <c r="A251" s="269">
        <v>41</v>
      </c>
      <c r="B251" s="270" t="s">
        <v>89</v>
      </c>
      <c r="C251" s="271" t="s">
        <v>690</v>
      </c>
      <c r="D251" s="271" t="s">
        <v>691</v>
      </c>
      <c r="E251" s="272">
        <v>7</v>
      </c>
      <c r="F251" s="273">
        <v>40748</v>
      </c>
      <c r="G251" s="274" t="s">
        <v>692</v>
      </c>
      <c r="H251" s="271" t="s">
        <v>693</v>
      </c>
      <c r="I251" s="274" t="s">
        <v>694</v>
      </c>
      <c r="J251" s="273">
        <v>45154</v>
      </c>
      <c r="K251" s="274"/>
      <c r="L251" s="274"/>
      <c r="M251" s="274"/>
      <c r="N251" s="270" t="s">
        <v>35</v>
      </c>
      <c r="O251" s="275">
        <v>45444</v>
      </c>
      <c r="P251" s="276"/>
      <c r="Q251" s="276"/>
      <c r="R251" s="276"/>
      <c r="S251" s="276"/>
      <c r="T251" s="276"/>
      <c r="U251" s="276"/>
      <c r="V251" s="276"/>
      <c r="W251" s="276"/>
      <c r="X251" s="276"/>
      <c r="Y251" s="276"/>
      <c r="Z251" s="276"/>
      <c r="AA251" s="276"/>
      <c r="AB251" s="276"/>
      <c r="AC251" s="276"/>
      <c r="AD251" s="276"/>
      <c r="AE251" s="276"/>
      <c r="AF251" s="276"/>
      <c r="AG251" s="276"/>
      <c r="AH251" s="276"/>
      <c r="AI251" s="276"/>
      <c r="AJ251" s="276"/>
      <c r="AK251" s="276"/>
      <c r="AL251" s="276"/>
      <c r="AM251" s="276"/>
      <c r="AN251" s="276"/>
      <c r="AO251" s="276"/>
      <c r="AP251" s="276"/>
      <c r="AQ251" s="276"/>
      <c r="AR251" s="276"/>
      <c r="AS251" s="276"/>
      <c r="AT251" s="276"/>
    </row>
    <row r="252" spans="1:46" ht="17.25" hidden="1" customHeight="1">
      <c r="A252" s="269">
        <v>42</v>
      </c>
      <c r="B252" s="270" t="s">
        <v>49</v>
      </c>
      <c r="C252" s="271" t="s">
        <v>690</v>
      </c>
      <c r="D252" s="271" t="s">
        <v>695</v>
      </c>
      <c r="E252" s="272">
        <v>7</v>
      </c>
      <c r="F252" s="273">
        <v>40748</v>
      </c>
      <c r="G252" s="274" t="s">
        <v>692</v>
      </c>
      <c r="H252" s="271" t="s">
        <v>693</v>
      </c>
      <c r="I252" s="274" t="s">
        <v>694</v>
      </c>
      <c r="J252" s="273">
        <v>45154</v>
      </c>
      <c r="K252" s="274"/>
      <c r="L252" s="274"/>
      <c r="M252" s="274"/>
      <c r="N252" s="270" t="s">
        <v>35</v>
      </c>
      <c r="O252" s="275">
        <v>45444</v>
      </c>
      <c r="P252" s="276"/>
      <c r="Q252" s="276"/>
      <c r="R252" s="276"/>
      <c r="S252" s="276"/>
      <c r="T252" s="276"/>
      <c r="U252" s="276"/>
      <c r="V252" s="276"/>
      <c r="W252" s="276"/>
      <c r="X252" s="276"/>
      <c r="Y252" s="276"/>
      <c r="Z252" s="276"/>
      <c r="AA252" s="276"/>
      <c r="AB252" s="276"/>
      <c r="AC252" s="276"/>
      <c r="AD252" s="276"/>
      <c r="AE252" s="276"/>
      <c r="AF252" s="276"/>
      <c r="AG252" s="276"/>
      <c r="AH252" s="276"/>
      <c r="AI252" s="276"/>
      <c r="AJ252" s="276"/>
      <c r="AK252" s="276"/>
      <c r="AL252" s="276"/>
      <c r="AM252" s="276"/>
      <c r="AN252" s="276"/>
      <c r="AO252" s="276"/>
      <c r="AP252" s="276"/>
      <c r="AQ252" s="276"/>
      <c r="AR252" s="276"/>
      <c r="AS252" s="276"/>
      <c r="AT252" s="276"/>
    </row>
    <row r="253" spans="1:46" ht="17.25" hidden="1" customHeight="1">
      <c r="A253" s="269">
        <v>43</v>
      </c>
      <c r="B253" s="270" t="s">
        <v>49</v>
      </c>
      <c r="C253" s="271" t="s">
        <v>678</v>
      </c>
      <c r="D253" s="271" t="s">
        <v>696</v>
      </c>
      <c r="E253" s="272">
        <v>7</v>
      </c>
      <c r="F253" s="273">
        <v>40732</v>
      </c>
      <c r="G253" s="274" t="s">
        <v>680</v>
      </c>
      <c r="H253" s="277">
        <v>6264658590</v>
      </c>
      <c r="I253" s="274" t="s">
        <v>681</v>
      </c>
      <c r="J253" s="273">
        <v>45154</v>
      </c>
      <c r="K253" s="274"/>
      <c r="L253" s="274"/>
      <c r="M253" s="274"/>
      <c r="N253" s="270" t="s">
        <v>35</v>
      </c>
      <c r="O253" s="275">
        <v>45444</v>
      </c>
      <c r="P253" s="276"/>
      <c r="Q253" s="276"/>
      <c r="R253" s="276"/>
      <c r="S253" s="276"/>
      <c r="T253" s="276"/>
      <c r="U253" s="276"/>
      <c r="V253" s="276"/>
      <c r="W253" s="276"/>
      <c r="X253" s="276"/>
      <c r="Y253" s="276"/>
      <c r="Z253" s="276"/>
      <c r="AA253" s="276"/>
      <c r="AB253" s="276"/>
      <c r="AC253" s="276"/>
      <c r="AD253" s="276"/>
      <c r="AE253" s="276"/>
      <c r="AF253" s="276"/>
      <c r="AG253" s="276"/>
      <c r="AH253" s="276"/>
      <c r="AI253" s="276"/>
      <c r="AJ253" s="276"/>
      <c r="AK253" s="276"/>
      <c r="AL253" s="276"/>
      <c r="AM253" s="276"/>
      <c r="AN253" s="276"/>
      <c r="AO253" s="276"/>
      <c r="AP253" s="276"/>
      <c r="AQ253" s="276"/>
      <c r="AR253" s="276"/>
      <c r="AS253" s="276"/>
      <c r="AT253" s="276"/>
    </row>
    <row r="254" spans="1:46" ht="17.25" hidden="1" customHeight="1">
      <c r="A254" s="269">
        <v>44</v>
      </c>
      <c r="B254" s="270" t="s">
        <v>89</v>
      </c>
      <c r="C254" s="271" t="s">
        <v>678</v>
      </c>
      <c r="D254" s="271" t="s">
        <v>696</v>
      </c>
      <c r="E254" s="272">
        <v>7</v>
      </c>
      <c r="F254" s="273">
        <v>40732</v>
      </c>
      <c r="G254" s="274" t="s">
        <v>680</v>
      </c>
      <c r="H254" s="277">
        <v>6264658590</v>
      </c>
      <c r="I254" s="274" t="s">
        <v>681</v>
      </c>
      <c r="J254" s="273">
        <v>45154</v>
      </c>
      <c r="K254" s="274"/>
      <c r="L254" s="274"/>
      <c r="M254" s="274"/>
      <c r="N254" s="270" t="s">
        <v>35</v>
      </c>
      <c r="O254" s="275">
        <v>45444</v>
      </c>
      <c r="P254" s="276"/>
      <c r="Q254" s="276"/>
      <c r="R254" s="276"/>
      <c r="S254" s="276"/>
      <c r="T254" s="276"/>
      <c r="U254" s="276"/>
      <c r="V254" s="276"/>
      <c r="W254" s="276"/>
      <c r="X254" s="276"/>
      <c r="Y254" s="276"/>
      <c r="Z254" s="276"/>
      <c r="AA254" s="276"/>
      <c r="AB254" s="276"/>
      <c r="AC254" s="276"/>
      <c r="AD254" s="276"/>
      <c r="AE254" s="276"/>
      <c r="AF254" s="276"/>
      <c r="AG254" s="276"/>
      <c r="AH254" s="276"/>
      <c r="AI254" s="276"/>
      <c r="AJ254" s="276"/>
      <c r="AK254" s="276"/>
      <c r="AL254" s="276"/>
      <c r="AM254" s="276"/>
      <c r="AN254" s="276"/>
      <c r="AO254" s="276"/>
      <c r="AP254" s="276"/>
      <c r="AQ254" s="276"/>
      <c r="AR254" s="276"/>
      <c r="AS254" s="276"/>
      <c r="AT254" s="276"/>
    </row>
    <row r="255" spans="1:46" ht="17.25" hidden="1" customHeight="1">
      <c r="A255" s="259">
        <v>45</v>
      </c>
      <c r="B255" s="260" t="s">
        <v>49</v>
      </c>
      <c r="C255" s="306" t="s">
        <v>534</v>
      </c>
      <c r="D255" s="306" t="s">
        <v>401</v>
      </c>
      <c r="E255" s="307">
        <v>1</v>
      </c>
      <c r="F255" s="308">
        <v>42947</v>
      </c>
      <c r="G255" s="309" t="s">
        <v>535</v>
      </c>
      <c r="H255" s="306">
        <v>4085108805</v>
      </c>
      <c r="I255" s="309" t="s">
        <v>404</v>
      </c>
      <c r="J255" s="308">
        <v>45160</v>
      </c>
      <c r="K255" s="309"/>
      <c r="L255" s="309"/>
      <c r="M255" s="309" t="s">
        <v>632</v>
      </c>
      <c r="N255" s="260" t="s">
        <v>35</v>
      </c>
      <c r="O255" s="264">
        <v>45444</v>
      </c>
      <c r="P255" s="258"/>
      <c r="Q255" s="258"/>
      <c r="R255" s="258"/>
      <c r="S255" s="258"/>
      <c r="T255" s="258"/>
      <c r="U255" s="258"/>
      <c r="V255" s="258"/>
      <c r="W255" s="258"/>
      <c r="X255" s="258"/>
      <c r="Y255" s="258"/>
      <c r="Z255" s="258"/>
      <c r="AA255" s="258"/>
      <c r="AB255" s="258"/>
      <c r="AC255" s="258"/>
      <c r="AD255" s="258"/>
      <c r="AE255" s="258"/>
      <c r="AF255" s="258"/>
      <c r="AG255" s="258"/>
      <c r="AH255" s="258"/>
      <c r="AI255" s="258"/>
      <c r="AJ255" s="258"/>
      <c r="AK255" s="258"/>
      <c r="AL255" s="258"/>
      <c r="AM255" s="258"/>
      <c r="AN255" s="258"/>
      <c r="AO255" s="258"/>
      <c r="AP255" s="258"/>
      <c r="AQ255" s="258"/>
      <c r="AR255" s="258"/>
      <c r="AS255" s="258"/>
      <c r="AT255" s="258"/>
    </row>
    <row r="256" spans="1:46" ht="17.25" hidden="1" customHeight="1">
      <c r="A256" s="259">
        <v>46</v>
      </c>
      <c r="B256" s="260" t="s">
        <v>89</v>
      </c>
      <c r="C256" s="306" t="s">
        <v>534</v>
      </c>
      <c r="D256" s="306" t="s">
        <v>401</v>
      </c>
      <c r="E256" s="307">
        <v>1</v>
      </c>
      <c r="F256" s="308">
        <v>42947</v>
      </c>
      <c r="G256" s="309" t="s">
        <v>535</v>
      </c>
      <c r="H256" s="306">
        <v>4085108805</v>
      </c>
      <c r="I256" s="309" t="s">
        <v>404</v>
      </c>
      <c r="J256" s="308">
        <v>45383</v>
      </c>
      <c r="K256" s="309"/>
      <c r="L256" s="309"/>
      <c r="M256" s="309" t="s">
        <v>632</v>
      </c>
      <c r="N256" s="260" t="s">
        <v>35</v>
      </c>
      <c r="O256" s="264">
        <v>45444</v>
      </c>
      <c r="P256" s="258"/>
      <c r="Q256" s="258"/>
      <c r="R256" s="258"/>
      <c r="S256" s="258"/>
      <c r="T256" s="258"/>
      <c r="U256" s="258"/>
      <c r="V256" s="258"/>
      <c r="W256" s="258"/>
      <c r="X256" s="258"/>
      <c r="Y256" s="258"/>
      <c r="Z256" s="258"/>
      <c r="AA256" s="258"/>
      <c r="AB256" s="258"/>
      <c r="AC256" s="258"/>
      <c r="AD256" s="258"/>
      <c r="AE256" s="258"/>
      <c r="AF256" s="258"/>
      <c r="AG256" s="258"/>
      <c r="AH256" s="258"/>
      <c r="AI256" s="258"/>
      <c r="AJ256" s="258"/>
      <c r="AK256" s="258"/>
      <c r="AL256" s="258"/>
      <c r="AM256" s="258"/>
      <c r="AN256" s="258"/>
      <c r="AO256" s="258"/>
      <c r="AP256" s="258"/>
      <c r="AQ256" s="258"/>
      <c r="AR256" s="258"/>
      <c r="AS256" s="258"/>
      <c r="AT256" s="258"/>
    </row>
    <row r="257" spans="1:46" ht="17.25" hidden="1" customHeight="1">
      <c r="A257" s="269">
        <v>47</v>
      </c>
      <c r="B257" s="270" t="s">
        <v>49</v>
      </c>
      <c r="C257" s="277" t="s">
        <v>370</v>
      </c>
      <c r="D257" s="277" t="s">
        <v>697</v>
      </c>
      <c r="E257" s="269" t="s">
        <v>125</v>
      </c>
      <c r="F257" s="278">
        <v>42902</v>
      </c>
      <c r="G257" s="279" t="s">
        <v>698</v>
      </c>
      <c r="H257" s="277">
        <v>4352252200</v>
      </c>
      <c r="I257" s="279" t="s">
        <v>699</v>
      </c>
      <c r="J257" s="278">
        <v>44835</v>
      </c>
      <c r="K257" s="274"/>
      <c r="L257" s="274"/>
      <c r="M257" s="274" t="s">
        <v>632</v>
      </c>
      <c r="N257" s="270" t="s">
        <v>35</v>
      </c>
      <c r="O257" s="275">
        <v>45444</v>
      </c>
      <c r="P257" s="276"/>
      <c r="Q257" s="276"/>
      <c r="R257" s="276"/>
      <c r="S257" s="276"/>
      <c r="T257" s="276"/>
      <c r="U257" s="276"/>
      <c r="V257" s="276"/>
      <c r="W257" s="276"/>
      <c r="X257" s="276"/>
      <c r="Y257" s="276"/>
      <c r="Z257" s="276"/>
      <c r="AA257" s="276"/>
      <c r="AB257" s="276"/>
      <c r="AC257" s="276"/>
      <c r="AD257" s="276"/>
      <c r="AE257" s="276"/>
      <c r="AF257" s="276"/>
      <c r="AG257" s="276"/>
      <c r="AH257" s="276"/>
      <c r="AI257" s="276"/>
      <c r="AJ257" s="276"/>
      <c r="AK257" s="276"/>
      <c r="AL257" s="276"/>
      <c r="AM257" s="276"/>
      <c r="AN257" s="276"/>
      <c r="AO257" s="276"/>
      <c r="AP257" s="276"/>
      <c r="AQ257" s="276"/>
      <c r="AR257" s="276"/>
      <c r="AS257" s="276"/>
      <c r="AT257" s="276"/>
    </row>
    <row r="258" spans="1:46" ht="17.25" hidden="1" customHeight="1">
      <c r="A258" s="269">
        <v>48</v>
      </c>
      <c r="B258" s="270" t="s">
        <v>89</v>
      </c>
      <c r="C258" s="277" t="s">
        <v>370</v>
      </c>
      <c r="D258" s="277" t="s">
        <v>697</v>
      </c>
      <c r="E258" s="269" t="s">
        <v>125</v>
      </c>
      <c r="F258" s="278">
        <v>42902</v>
      </c>
      <c r="G258" s="279" t="s">
        <v>698</v>
      </c>
      <c r="H258" s="277">
        <v>4352252200</v>
      </c>
      <c r="I258" s="279" t="s">
        <v>699</v>
      </c>
      <c r="J258" s="278">
        <v>45078</v>
      </c>
      <c r="K258" s="274"/>
      <c r="L258" s="274"/>
      <c r="M258" s="274" t="s">
        <v>632</v>
      </c>
      <c r="N258" s="270" t="s">
        <v>35</v>
      </c>
      <c r="O258" s="275">
        <v>45444</v>
      </c>
      <c r="P258" s="276"/>
      <c r="Q258" s="276"/>
      <c r="R258" s="276"/>
      <c r="S258" s="276"/>
      <c r="T258" s="276"/>
      <c r="U258" s="276"/>
      <c r="V258" s="276"/>
      <c r="W258" s="276"/>
      <c r="X258" s="276"/>
      <c r="Y258" s="276"/>
      <c r="Z258" s="276"/>
      <c r="AA258" s="276"/>
      <c r="AB258" s="276"/>
      <c r="AC258" s="276"/>
      <c r="AD258" s="276"/>
      <c r="AE258" s="276"/>
      <c r="AF258" s="276"/>
      <c r="AG258" s="276"/>
      <c r="AH258" s="276"/>
      <c r="AI258" s="276"/>
      <c r="AJ258" s="276"/>
      <c r="AK258" s="276"/>
      <c r="AL258" s="276"/>
      <c r="AM258" s="276"/>
      <c r="AN258" s="276"/>
      <c r="AO258" s="276"/>
      <c r="AP258" s="276"/>
      <c r="AQ258" s="276"/>
      <c r="AR258" s="276"/>
      <c r="AS258" s="276"/>
      <c r="AT258" s="276"/>
    </row>
    <row r="259" spans="1:46" ht="17.25" hidden="1" customHeight="1">
      <c r="A259" s="269">
        <v>49</v>
      </c>
      <c r="B259" s="270" t="s">
        <v>49</v>
      </c>
      <c r="C259" s="277" t="s">
        <v>217</v>
      </c>
      <c r="D259" s="277" t="s">
        <v>700</v>
      </c>
      <c r="E259" s="269">
        <v>4</v>
      </c>
      <c r="F259" s="278">
        <v>40736</v>
      </c>
      <c r="G259" s="279" t="s">
        <v>701</v>
      </c>
      <c r="H259" s="277">
        <v>4083321491</v>
      </c>
      <c r="I259" s="279" t="s">
        <v>702</v>
      </c>
      <c r="J259" s="278">
        <v>44004</v>
      </c>
      <c r="K259" s="279"/>
      <c r="L259" s="279"/>
      <c r="M259" s="279"/>
      <c r="N259" s="270" t="s">
        <v>35</v>
      </c>
      <c r="O259" s="275">
        <v>45444</v>
      </c>
      <c r="P259" s="276"/>
      <c r="Q259" s="276"/>
      <c r="R259" s="276"/>
      <c r="S259" s="276"/>
      <c r="T259" s="276"/>
      <c r="U259" s="276"/>
      <c r="V259" s="276"/>
      <c r="W259" s="276"/>
      <c r="X259" s="276"/>
      <c r="Y259" s="276"/>
      <c r="Z259" s="276"/>
      <c r="AA259" s="276"/>
      <c r="AB259" s="276"/>
      <c r="AC259" s="276"/>
      <c r="AD259" s="276"/>
      <c r="AE259" s="276"/>
      <c r="AF259" s="276"/>
      <c r="AG259" s="276"/>
      <c r="AH259" s="276"/>
      <c r="AI259" s="276"/>
      <c r="AJ259" s="276"/>
      <c r="AK259" s="276"/>
      <c r="AL259" s="276"/>
      <c r="AM259" s="276"/>
      <c r="AN259" s="276"/>
      <c r="AO259" s="276"/>
      <c r="AP259" s="276"/>
      <c r="AQ259" s="276"/>
      <c r="AR259" s="276"/>
      <c r="AS259" s="276"/>
      <c r="AT259" s="276"/>
    </row>
    <row r="260" spans="1:46" ht="17.25" hidden="1" customHeight="1">
      <c r="A260" s="269">
        <v>50</v>
      </c>
      <c r="B260" s="270" t="s">
        <v>89</v>
      </c>
      <c r="C260" s="277" t="s">
        <v>217</v>
      </c>
      <c r="D260" s="277" t="s">
        <v>700</v>
      </c>
      <c r="E260" s="269">
        <v>4</v>
      </c>
      <c r="F260" s="278">
        <v>40736</v>
      </c>
      <c r="G260" s="279" t="s">
        <v>701</v>
      </c>
      <c r="H260" s="277">
        <v>4083321491</v>
      </c>
      <c r="I260" s="279" t="s">
        <v>702</v>
      </c>
      <c r="J260" s="278">
        <v>44004</v>
      </c>
      <c r="K260" s="279"/>
      <c r="L260" s="279"/>
      <c r="M260" s="279"/>
      <c r="N260" s="270" t="s">
        <v>35</v>
      </c>
      <c r="O260" s="275">
        <v>45444</v>
      </c>
      <c r="P260" s="276"/>
      <c r="Q260" s="276"/>
      <c r="R260" s="276"/>
      <c r="S260" s="276"/>
      <c r="T260" s="276"/>
      <c r="U260" s="276"/>
      <c r="V260" s="276"/>
      <c r="W260" s="276"/>
      <c r="X260" s="276"/>
      <c r="Y260" s="276"/>
      <c r="Z260" s="276"/>
      <c r="AA260" s="276"/>
      <c r="AB260" s="276"/>
      <c r="AC260" s="276"/>
      <c r="AD260" s="276"/>
      <c r="AE260" s="276"/>
      <c r="AF260" s="276"/>
      <c r="AG260" s="276"/>
      <c r="AH260" s="276"/>
      <c r="AI260" s="276"/>
      <c r="AJ260" s="276"/>
      <c r="AK260" s="276"/>
      <c r="AL260" s="276"/>
      <c r="AM260" s="276"/>
      <c r="AN260" s="276"/>
      <c r="AO260" s="276"/>
      <c r="AP260" s="276"/>
      <c r="AQ260" s="276"/>
      <c r="AR260" s="276"/>
      <c r="AS260" s="276"/>
      <c r="AT260" s="276"/>
    </row>
    <row r="261" spans="1:46" ht="17.25" hidden="1" customHeight="1">
      <c r="A261" s="269">
        <v>51</v>
      </c>
      <c r="B261" s="311" t="s">
        <v>49</v>
      </c>
      <c r="C261" s="271" t="s">
        <v>447</v>
      </c>
      <c r="D261" s="271" t="s">
        <v>448</v>
      </c>
      <c r="E261" s="272">
        <v>2</v>
      </c>
      <c r="F261" s="273">
        <v>42342</v>
      </c>
      <c r="G261" s="274" t="s">
        <v>703</v>
      </c>
      <c r="H261" s="271">
        <v>4084214334</v>
      </c>
      <c r="I261" s="274" t="s">
        <v>450</v>
      </c>
      <c r="J261" s="273">
        <v>45170</v>
      </c>
      <c r="K261" s="274"/>
      <c r="L261" s="274"/>
      <c r="M261" s="274" t="s">
        <v>704</v>
      </c>
      <c r="N261" s="270" t="s">
        <v>35</v>
      </c>
      <c r="O261" s="275">
        <v>45444</v>
      </c>
      <c r="P261" s="276"/>
      <c r="Q261" s="276"/>
      <c r="R261" s="276"/>
      <c r="S261" s="276"/>
      <c r="T261" s="276"/>
      <c r="U261" s="276"/>
      <c r="V261" s="276"/>
      <c r="W261" s="276"/>
      <c r="X261" s="276"/>
      <c r="Y261" s="276"/>
      <c r="Z261" s="276"/>
      <c r="AA261" s="276"/>
      <c r="AB261" s="276"/>
      <c r="AC261" s="276"/>
      <c r="AD261" s="276"/>
      <c r="AE261" s="276"/>
      <c r="AF261" s="276"/>
      <c r="AG261" s="276"/>
      <c r="AH261" s="276"/>
      <c r="AI261" s="276"/>
      <c r="AJ261" s="276"/>
      <c r="AK261" s="276"/>
      <c r="AL261" s="276"/>
      <c r="AM261" s="276"/>
      <c r="AN261" s="276"/>
      <c r="AO261" s="276"/>
      <c r="AP261" s="276"/>
      <c r="AQ261" s="276"/>
      <c r="AR261" s="276"/>
      <c r="AS261" s="276"/>
      <c r="AT261" s="276"/>
    </row>
    <row r="262" spans="1:46" ht="17.25" hidden="1" customHeight="1">
      <c r="A262" s="269">
        <v>52</v>
      </c>
      <c r="B262" s="311" t="s">
        <v>89</v>
      </c>
      <c r="C262" s="271" t="s">
        <v>447</v>
      </c>
      <c r="D262" s="271" t="s">
        <v>448</v>
      </c>
      <c r="E262" s="272">
        <v>2</v>
      </c>
      <c r="F262" s="273">
        <v>42342</v>
      </c>
      <c r="G262" s="274" t="s">
        <v>703</v>
      </c>
      <c r="H262" s="271">
        <v>4084214334</v>
      </c>
      <c r="I262" s="274" t="s">
        <v>450</v>
      </c>
      <c r="J262" s="273">
        <v>45170</v>
      </c>
      <c r="K262" s="274"/>
      <c r="L262" s="274"/>
      <c r="M262" s="274" t="s">
        <v>704</v>
      </c>
      <c r="N262" s="270" t="s">
        <v>35</v>
      </c>
      <c r="O262" s="275">
        <v>45444</v>
      </c>
      <c r="P262" s="276"/>
      <c r="Q262" s="276"/>
      <c r="R262" s="276"/>
      <c r="S262" s="276"/>
      <c r="T262" s="276"/>
      <c r="U262" s="276"/>
      <c r="V262" s="276"/>
      <c r="W262" s="276"/>
      <c r="X262" s="276"/>
      <c r="Y262" s="276"/>
      <c r="Z262" s="276"/>
      <c r="AA262" s="276"/>
      <c r="AB262" s="276"/>
      <c r="AC262" s="276"/>
      <c r="AD262" s="276"/>
      <c r="AE262" s="276"/>
      <c r="AF262" s="276"/>
      <c r="AG262" s="276"/>
      <c r="AH262" s="276"/>
      <c r="AI262" s="276"/>
      <c r="AJ262" s="276"/>
      <c r="AK262" s="276"/>
      <c r="AL262" s="276"/>
      <c r="AM262" s="276"/>
      <c r="AN262" s="276"/>
      <c r="AO262" s="276"/>
      <c r="AP262" s="276"/>
      <c r="AQ262" s="276"/>
      <c r="AR262" s="276"/>
      <c r="AS262" s="276"/>
      <c r="AT262" s="276"/>
    </row>
    <row r="263" spans="1:46" ht="17.25" hidden="1" customHeight="1">
      <c r="A263" s="259">
        <v>53</v>
      </c>
      <c r="B263" s="260" t="s">
        <v>49</v>
      </c>
      <c r="C263" s="261" t="s">
        <v>705</v>
      </c>
      <c r="D263" s="261" t="s">
        <v>706</v>
      </c>
      <c r="E263" s="259">
        <v>1</v>
      </c>
      <c r="F263" s="262">
        <v>42177</v>
      </c>
      <c r="G263" s="309" t="s">
        <v>707</v>
      </c>
      <c r="H263" s="309">
        <v>4436532199</v>
      </c>
      <c r="I263" s="309" t="s">
        <v>323</v>
      </c>
      <c r="J263" s="262">
        <v>45154</v>
      </c>
      <c r="K263" s="263"/>
      <c r="L263" s="263"/>
      <c r="M263" s="263" t="s">
        <v>632</v>
      </c>
      <c r="N263" s="260" t="s">
        <v>35</v>
      </c>
      <c r="O263" s="264">
        <v>45444</v>
      </c>
      <c r="P263" s="258"/>
      <c r="Q263" s="258"/>
      <c r="R263" s="258"/>
      <c r="S263" s="258"/>
      <c r="T263" s="258"/>
      <c r="U263" s="258"/>
      <c r="V263" s="258"/>
      <c r="W263" s="258"/>
      <c r="X263" s="258"/>
      <c r="Y263" s="258"/>
      <c r="Z263" s="258"/>
      <c r="AA263" s="258"/>
      <c r="AB263" s="258"/>
      <c r="AC263" s="258"/>
      <c r="AD263" s="258"/>
      <c r="AE263" s="258"/>
      <c r="AF263" s="258"/>
      <c r="AG263" s="258"/>
      <c r="AH263" s="258"/>
      <c r="AI263" s="258"/>
      <c r="AJ263" s="258"/>
      <c r="AK263" s="258"/>
      <c r="AL263" s="258"/>
      <c r="AM263" s="258"/>
      <c r="AN263" s="258"/>
      <c r="AO263" s="258"/>
      <c r="AP263" s="258"/>
      <c r="AQ263" s="258"/>
      <c r="AR263" s="258"/>
      <c r="AS263" s="258"/>
      <c r="AT263" s="258"/>
    </row>
    <row r="264" spans="1:46" ht="17.25" hidden="1" customHeight="1">
      <c r="A264" s="259">
        <v>54</v>
      </c>
      <c r="B264" s="260" t="s">
        <v>89</v>
      </c>
      <c r="C264" s="261" t="s">
        <v>705</v>
      </c>
      <c r="D264" s="261" t="s">
        <v>706</v>
      </c>
      <c r="E264" s="259">
        <v>1</v>
      </c>
      <c r="F264" s="262">
        <v>42177</v>
      </c>
      <c r="G264" s="309" t="s">
        <v>707</v>
      </c>
      <c r="H264" s="309">
        <v>4436532199</v>
      </c>
      <c r="I264" s="309" t="s">
        <v>323</v>
      </c>
      <c r="J264" s="262">
        <v>45154</v>
      </c>
      <c r="K264" s="263"/>
      <c r="L264" s="263"/>
      <c r="M264" s="263" t="s">
        <v>632</v>
      </c>
      <c r="N264" s="260" t="s">
        <v>35</v>
      </c>
      <c r="O264" s="264">
        <v>45444</v>
      </c>
      <c r="P264" s="258"/>
      <c r="Q264" s="258"/>
      <c r="R264" s="258"/>
      <c r="S264" s="258"/>
      <c r="T264" s="258"/>
      <c r="U264" s="258"/>
      <c r="V264" s="258"/>
      <c r="W264" s="258"/>
      <c r="X264" s="258"/>
      <c r="Y264" s="258"/>
      <c r="Z264" s="258"/>
      <c r="AA264" s="258"/>
      <c r="AB264" s="258"/>
      <c r="AC264" s="258"/>
      <c r="AD264" s="258"/>
      <c r="AE264" s="258"/>
      <c r="AF264" s="258"/>
      <c r="AG264" s="258"/>
      <c r="AH264" s="258"/>
      <c r="AI264" s="258"/>
      <c r="AJ264" s="258"/>
      <c r="AK264" s="258"/>
      <c r="AL264" s="258"/>
      <c r="AM264" s="258"/>
      <c r="AN264" s="258"/>
      <c r="AO264" s="258"/>
      <c r="AP264" s="258"/>
      <c r="AQ264" s="258"/>
      <c r="AR264" s="258"/>
      <c r="AS264" s="258"/>
      <c r="AT264" s="258"/>
    </row>
    <row r="265" spans="1:46" ht="17.25" hidden="1" customHeight="1">
      <c r="A265" s="269">
        <v>55</v>
      </c>
      <c r="B265" s="270" t="s">
        <v>49</v>
      </c>
      <c r="C265" s="277" t="s">
        <v>370</v>
      </c>
      <c r="D265" s="277" t="s">
        <v>582</v>
      </c>
      <c r="E265" s="269" t="s">
        <v>125</v>
      </c>
      <c r="F265" s="278">
        <v>42902</v>
      </c>
      <c r="G265" s="279" t="s">
        <v>698</v>
      </c>
      <c r="H265" s="277">
        <v>4352252200</v>
      </c>
      <c r="I265" s="279" t="s">
        <v>699</v>
      </c>
      <c r="J265" s="278">
        <v>44835</v>
      </c>
      <c r="K265" s="279"/>
      <c r="L265" s="279"/>
      <c r="M265" s="279"/>
      <c r="N265" s="270" t="s">
        <v>35</v>
      </c>
      <c r="O265" s="275">
        <v>45444</v>
      </c>
      <c r="P265" s="276"/>
      <c r="Q265" s="276"/>
      <c r="R265" s="276"/>
      <c r="S265" s="276"/>
      <c r="T265" s="276"/>
      <c r="U265" s="276"/>
      <c r="V265" s="276"/>
      <c r="W265" s="276"/>
      <c r="X265" s="276"/>
      <c r="Y265" s="276"/>
      <c r="Z265" s="276"/>
      <c r="AA265" s="276"/>
      <c r="AB265" s="276"/>
      <c r="AC265" s="276"/>
      <c r="AD265" s="276"/>
      <c r="AE265" s="276"/>
      <c r="AF265" s="276"/>
      <c r="AG265" s="276"/>
      <c r="AH265" s="276"/>
      <c r="AI265" s="276"/>
      <c r="AJ265" s="276"/>
      <c r="AK265" s="276"/>
      <c r="AL265" s="276"/>
      <c r="AM265" s="276"/>
      <c r="AN265" s="276"/>
      <c r="AO265" s="276"/>
      <c r="AP265" s="276"/>
      <c r="AQ265" s="276"/>
      <c r="AR265" s="276"/>
      <c r="AS265" s="276"/>
      <c r="AT265" s="276"/>
    </row>
    <row r="266" spans="1:46" ht="17.25" hidden="1" customHeight="1">
      <c r="A266" s="269">
        <v>56</v>
      </c>
      <c r="B266" s="270" t="s">
        <v>89</v>
      </c>
      <c r="C266" s="277" t="s">
        <v>370</v>
      </c>
      <c r="D266" s="277" t="s">
        <v>582</v>
      </c>
      <c r="E266" s="269" t="s">
        <v>125</v>
      </c>
      <c r="F266" s="278">
        <v>42902</v>
      </c>
      <c r="G266" s="279" t="s">
        <v>698</v>
      </c>
      <c r="H266" s="277">
        <v>4352252200</v>
      </c>
      <c r="I266" s="279" t="s">
        <v>699</v>
      </c>
      <c r="J266" s="278">
        <v>45078</v>
      </c>
      <c r="K266" s="279"/>
      <c r="L266" s="279"/>
      <c r="M266" s="279"/>
      <c r="N266" s="270" t="s">
        <v>35</v>
      </c>
      <c r="O266" s="275">
        <v>45444</v>
      </c>
      <c r="P266" s="276"/>
      <c r="Q266" s="276"/>
      <c r="R266" s="276"/>
      <c r="S266" s="276"/>
      <c r="T266" s="276"/>
      <c r="U266" s="276"/>
      <c r="V266" s="276"/>
      <c r="W266" s="276"/>
      <c r="X266" s="276"/>
      <c r="Y266" s="276"/>
      <c r="Z266" s="276"/>
      <c r="AA266" s="276"/>
      <c r="AB266" s="276"/>
      <c r="AC266" s="276"/>
      <c r="AD266" s="276"/>
      <c r="AE266" s="276"/>
      <c r="AF266" s="276"/>
      <c r="AG266" s="276"/>
      <c r="AH266" s="276"/>
      <c r="AI266" s="276"/>
      <c r="AJ266" s="276"/>
      <c r="AK266" s="276"/>
      <c r="AL266" s="276"/>
      <c r="AM266" s="276"/>
      <c r="AN266" s="276"/>
      <c r="AO266" s="276"/>
      <c r="AP266" s="276"/>
      <c r="AQ266" s="276"/>
      <c r="AR266" s="276"/>
      <c r="AS266" s="276"/>
      <c r="AT266" s="276"/>
    </row>
    <row r="267" spans="1:46" ht="17.25" hidden="1" customHeight="1">
      <c r="A267" s="269">
        <v>57</v>
      </c>
      <c r="B267" s="270" t="s">
        <v>49</v>
      </c>
      <c r="C267" s="277" t="s">
        <v>561</v>
      </c>
      <c r="D267" s="277" t="s">
        <v>708</v>
      </c>
      <c r="E267" s="269">
        <v>1</v>
      </c>
      <c r="F267" s="278">
        <v>42568</v>
      </c>
      <c r="G267" s="274" t="s">
        <v>563</v>
      </c>
      <c r="H267" s="274" t="s">
        <v>564</v>
      </c>
      <c r="I267" s="274" t="s">
        <v>565</v>
      </c>
      <c r="J267" s="278">
        <v>45110</v>
      </c>
      <c r="K267" s="279"/>
      <c r="L267" s="279"/>
      <c r="M267" s="279"/>
      <c r="N267" s="270" t="s">
        <v>35</v>
      </c>
      <c r="O267" s="275">
        <v>45444</v>
      </c>
      <c r="P267" s="276"/>
      <c r="Q267" s="276"/>
      <c r="R267" s="276"/>
      <c r="S267" s="276"/>
      <c r="T267" s="276"/>
      <c r="U267" s="276"/>
      <c r="V267" s="276"/>
      <c r="W267" s="276"/>
      <c r="X267" s="276"/>
      <c r="Y267" s="276"/>
      <c r="Z267" s="276"/>
      <c r="AA267" s="276"/>
      <c r="AB267" s="276"/>
      <c r="AC267" s="276"/>
      <c r="AD267" s="276"/>
      <c r="AE267" s="276"/>
      <c r="AF267" s="276"/>
      <c r="AG267" s="276"/>
      <c r="AH267" s="276"/>
      <c r="AI267" s="276"/>
      <c r="AJ267" s="276"/>
      <c r="AK267" s="276"/>
      <c r="AL267" s="276"/>
      <c r="AM267" s="276"/>
      <c r="AN267" s="276"/>
      <c r="AO267" s="276"/>
      <c r="AP267" s="276"/>
      <c r="AQ267" s="276"/>
      <c r="AR267" s="276"/>
      <c r="AS267" s="276"/>
      <c r="AT267" s="276"/>
    </row>
    <row r="268" spans="1:46" ht="17.25" hidden="1" customHeight="1">
      <c r="A268" s="269">
        <v>58</v>
      </c>
      <c r="B268" s="270" t="s">
        <v>89</v>
      </c>
      <c r="C268" s="277" t="s">
        <v>561</v>
      </c>
      <c r="D268" s="277" t="s">
        <v>708</v>
      </c>
      <c r="E268" s="269">
        <v>1</v>
      </c>
      <c r="F268" s="278">
        <v>42568</v>
      </c>
      <c r="G268" s="274" t="s">
        <v>566</v>
      </c>
      <c r="H268" s="274" t="s">
        <v>567</v>
      </c>
      <c r="I268" s="274" t="s">
        <v>565</v>
      </c>
      <c r="J268" s="278">
        <v>45110</v>
      </c>
      <c r="K268" s="279"/>
      <c r="L268" s="279"/>
      <c r="M268" s="279"/>
      <c r="N268" s="270" t="s">
        <v>35</v>
      </c>
      <c r="O268" s="275">
        <v>45444</v>
      </c>
      <c r="P268" s="276"/>
      <c r="Q268" s="276"/>
      <c r="R268" s="276"/>
      <c r="S268" s="276"/>
      <c r="T268" s="276"/>
      <c r="U268" s="276"/>
      <c r="V268" s="276"/>
      <c r="W268" s="276"/>
      <c r="X268" s="276"/>
      <c r="Y268" s="276"/>
      <c r="Z268" s="276"/>
      <c r="AA268" s="276"/>
      <c r="AB268" s="276"/>
      <c r="AC268" s="276"/>
      <c r="AD268" s="276"/>
      <c r="AE268" s="276"/>
      <c r="AF268" s="276"/>
      <c r="AG268" s="276"/>
      <c r="AH268" s="276"/>
      <c r="AI268" s="276"/>
      <c r="AJ268" s="276"/>
      <c r="AK268" s="276"/>
      <c r="AL268" s="276"/>
      <c r="AM268" s="276"/>
      <c r="AN268" s="276"/>
      <c r="AO268" s="276"/>
      <c r="AP268" s="276"/>
      <c r="AQ268" s="276"/>
      <c r="AR268" s="276"/>
      <c r="AS268" s="276"/>
      <c r="AT268" s="276"/>
    </row>
    <row r="269" spans="1:46" ht="17.25" hidden="1" customHeight="1">
      <c r="A269" s="259">
        <v>59</v>
      </c>
      <c r="B269" s="260" t="s">
        <v>49</v>
      </c>
      <c r="C269" s="261" t="s">
        <v>608</v>
      </c>
      <c r="D269" s="261" t="s">
        <v>611</v>
      </c>
      <c r="E269" s="259">
        <v>3</v>
      </c>
      <c r="F269" s="262">
        <v>42124</v>
      </c>
      <c r="G269" s="263" t="s">
        <v>610</v>
      </c>
      <c r="H269" s="261">
        <v>4085076346</v>
      </c>
      <c r="I269" s="263" t="s">
        <v>412</v>
      </c>
      <c r="J269" s="262">
        <v>45293</v>
      </c>
      <c r="K269" s="309"/>
      <c r="L269" s="309"/>
      <c r="M269" s="309" t="s">
        <v>632</v>
      </c>
      <c r="N269" s="260" t="s">
        <v>35</v>
      </c>
      <c r="O269" s="264">
        <v>45444</v>
      </c>
      <c r="P269" s="258"/>
      <c r="Q269" s="258"/>
      <c r="R269" s="258"/>
      <c r="S269" s="258"/>
      <c r="T269" s="258"/>
      <c r="U269" s="258"/>
      <c r="V269" s="258"/>
      <c r="W269" s="258"/>
      <c r="X269" s="258"/>
      <c r="Y269" s="258"/>
      <c r="Z269" s="258"/>
      <c r="AA269" s="258"/>
      <c r="AB269" s="258"/>
      <c r="AC269" s="258"/>
      <c r="AD269" s="258"/>
      <c r="AE269" s="258"/>
      <c r="AF269" s="258"/>
      <c r="AG269" s="258"/>
      <c r="AH269" s="258"/>
      <c r="AI269" s="258"/>
      <c r="AJ269" s="258"/>
      <c r="AK269" s="258"/>
      <c r="AL269" s="258"/>
      <c r="AM269" s="258"/>
      <c r="AN269" s="258"/>
      <c r="AO269" s="258"/>
      <c r="AP269" s="258"/>
      <c r="AQ269" s="258"/>
      <c r="AR269" s="258"/>
      <c r="AS269" s="258"/>
      <c r="AT269" s="258"/>
    </row>
    <row r="270" spans="1:46" ht="17.25" hidden="1" customHeight="1">
      <c r="A270" s="269">
        <v>60</v>
      </c>
      <c r="B270" s="270" t="s">
        <v>49</v>
      </c>
      <c r="C270" s="271" t="s">
        <v>556</v>
      </c>
      <c r="D270" s="271" t="s">
        <v>557</v>
      </c>
      <c r="E270" s="272">
        <v>1</v>
      </c>
      <c r="F270" s="273">
        <v>42894</v>
      </c>
      <c r="G270" s="274" t="s">
        <v>558</v>
      </c>
      <c r="H270" s="271">
        <v>6503358676</v>
      </c>
      <c r="I270" s="274" t="s">
        <v>559</v>
      </c>
      <c r="J270" s="273">
        <v>45159</v>
      </c>
      <c r="K270" s="274"/>
      <c r="L270" s="274"/>
      <c r="M270" s="274"/>
      <c r="N270" s="270" t="s">
        <v>35</v>
      </c>
      <c r="O270" s="275">
        <v>45444</v>
      </c>
      <c r="P270" s="276"/>
      <c r="Q270" s="276"/>
      <c r="R270" s="276"/>
      <c r="S270" s="276"/>
      <c r="T270" s="276"/>
      <c r="U270" s="276"/>
      <c r="V270" s="276"/>
      <c r="W270" s="276"/>
      <c r="X270" s="276"/>
      <c r="Y270" s="276"/>
      <c r="Z270" s="276"/>
      <c r="AA270" s="276"/>
      <c r="AB270" s="276"/>
      <c r="AC270" s="276"/>
      <c r="AD270" s="276"/>
      <c r="AE270" s="276"/>
      <c r="AF270" s="276"/>
      <c r="AG270" s="276"/>
      <c r="AH270" s="276"/>
      <c r="AI270" s="276"/>
      <c r="AJ270" s="276"/>
      <c r="AK270" s="276"/>
      <c r="AL270" s="276"/>
      <c r="AM270" s="276"/>
      <c r="AN270" s="276"/>
      <c r="AO270" s="276"/>
      <c r="AP270" s="276"/>
      <c r="AQ270" s="276"/>
      <c r="AR270" s="276"/>
      <c r="AS270" s="276"/>
      <c r="AT270" s="276"/>
    </row>
    <row r="271" spans="1:46" ht="17.25" hidden="1" customHeight="1">
      <c r="A271" s="269">
        <v>61</v>
      </c>
      <c r="B271" s="270" t="s">
        <v>49</v>
      </c>
      <c r="C271" s="277" t="s">
        <v>709</v>
      </c>
      <c r="D271" s="277" t="s">
        <v>710</v>
      </c>
      <c r="E271" s="269">
        <v>4</v>
      </c>
      <c r="F271" s="278">
        <v>41881</v>
      </c>
      <c r="G271" s="274" t="s">
        <v>711</v>
      </c>
      <c r="H271" s="274">
        <v>5103587899</v>
      </c>
      <c r="I271" s="274" t="s">
        <v>712</v>
      </c>
      <c r="J271" s="278">
        <v>45159</v>
      </c>
      <c r="K271" s="279"/>
      <c r="L271" s="279"/>
      <c r="M271" s="279"/>
      <c r="N271" s="270" t="s">
        <v>35</v>
      </c>
      <c r="O271" s="275">
        <v>45444</v>
      </c>
      <c r="P271" s="276"/>
      <c r="Q271" s="276"/>
      <c r="R271" s="276"/>
      <c r="S271" s="276"/>
      <c r="T271" s="276"/>
      <c r="U271" s="276"/>
      <c r="V271" s="276"/>
      <c r="W271" s="276"/>
      <c r="X271" s="276"/>
      <c r="Y271" s="276"/>
      <c r="Z271" s="276"/>
      <c r="AA271" s="276"/>
      <c r="AB271" s="276"/>
      <c r="AC271" s="276"/>
      <c r="AD271" s="276"/>
      <c r="AE271" s="276"/>
      <c r="AF271" s="276"/>
      <c r="AG271" s="276"/>
      <c r="AH271" s="276"/>
      <c r="AI271" s="276"/>
      <c r="AJ271" s="276"/>
      <c r="AK271" s="276"/>
      <c r="AL271" s="276"/>
      <c r="AM271" s="276"/>
      <c r="AN271" s="276"/>
      <c r="AO271" s="276"/>
      <c r="AP271" s="276"/>
      <c r="AQ271" s="276"/>
      <c r="AR271" s="276"/>
      <c r="AS271" s="276"/>
      <c r="AT271" s="276"/>
    </row>
    <row r="272" spans="1:46" ht="17.25" hidden="1" customHeight="1">
      <c r="A272" s="269">
        <v>62</v>
      </c>
      <c r="B272" s="270" t="s">
        <v>89</v>
      </c>
      <c r="C272" s="271" t="s">
        <v>709</v>
      </c>
      <c r="D272" s="271" t="s">
        <v>710</v>
      </c>
      <c r="E272" s="272">
        <v>4</v>
      </c>
      <c r="F272" s="273">
        <v>41881</v>
      </c>
      <c r="G272" s="274" t="s">
        <v>711</v>
      </c>
      <c r="H272" s="271">
        <v>5103587899</v>
      </c>
      <c r="I272" s="274" t="s">
        <v>712</v>
      </c>
      <c r="J272" s="273">
        <v>45159</v>
      </c>
      <c r="K272" s="274"/>
      <c r="L272" s="274"/>
      <c r="M272" s="274"/>
      <c r="N272" s="270" t="s">
        <v>35</v>
      </c>
      <c r="O272" s="275">
        <v>45444</v>
      </c>
      <c r="P272" s="276"/>
      <c r="Q272" s="276"/>
      <c r="R272" s="276"/>
      <c r="S272" s="276"/>
      <c r="T272" s="276"/>
      <c r="U272" s="276"/>
      <c r="V272" s="276"/>
      <c r="W272" s="276"/>
      <c r="X272" s="276"/>
      <c r="Y272" s="276"/>
      <c r="Z272" s="276"/>
      <c r="AA272" s="276"/>
      <c r="AB272" s="276"/>
      <c r="AC272" s="276"/>
      <c r="AD272" s="276"/>
      <c r="AE272" s="276"/>
      <c r="AF272" s="276"/>
      <c r="AG272" s="276"/>
      <c r="AH272" s="276"/>
      <c r="AI272" s="276"/>
      <c r="AJ272" s="276"/>
      <c r="AK272" s="276"/>
      <c r="AL272" s="276"/>
      <c r="AM272" s="276"/>
      <c r="AN272" s="276"/>
      <c r="AO272" s="276"/>
      <c r="AP272" s="276"/>
      <c r="AQ272" s="276"/>
      <c r="AR272" s="276"/>
      <c r="AS272" s="276"/>
      <c r="AT272" s="276"/>
    </row>
    <row r="273" spans="1:46" ht="17.25" hidden="1" customHeight="1">
      <c r="A273" s="269">
        <v>63</v>
      </c>
      <c r="B273" s="270" t="s">
        <v>49</v>
      </c>
      <c r="C273" s="277" t="s">
        <v>661</v>
      </c>
      <c r="D273" s="277" t="s">
        <v>713</v>
      </c>
      <c r="E273" s="269">
        <v>1</v>
      </c>
      <c r="F273" s="278">
        <v>42637</v>
      </c>
      <c r="G273" s="274" t="s">
        <v>663</v>
      </c>
      <c r="H273" s="274">
        <v>4082064921</v>
      </c>
      <c r="I273" s="274" t="s">
        <v>664</v>
      </c>
      <c r="J273" s="278">
        <v>45352</v>
      </c>
      <c r="K273" s="279"/>
      <c r="L273" s="279"/>
      <c r="M273" s="279"/>
      <c r="N273" s="270" t="s">
        <v>35</v>
      </c>
      <c r="O273" s="275">
        <v>45444</v>
      </c>
      <c r="P273" s="276"/>
      <c r="Q273" s="276"/>
      <c r="R273" s="276"/>
      <c r="S273" s="276"/>
      <c r="T273" s="276"/>
      <c r="U273" s="276"/>
      <c r="V273" s="276"/>
      <c r="W273" s="276"/>
      <c r="X273" s="276"/>
      <c r="Y273" s="276"/>
      <c r="Z273" s="276"/>
      <c r="AA273" s="276"/>
      <c r="AB273" s="276"/>
      <c r="AC273" s="276"/>
      <c r="AD273" s="276"/>
      <c r="AE273" s="276"/>
      <c r="AF273" s="276"/>
      <c r="AG273" s="276"/>
      <c r="AH273" s="276"/>
      <c r="AI273" s="276"/>
      <c r="AJ273" s="276"/>
      <c r="AK273" s="276"/>
      <c r="AL273" s="276"/>
      <c r="AM273" s="276"/>
      <c r="AN273" s="276"/>
      <c r="AO273" s="276"/>
      <c r="AP273" s="276"/>
      <c r="AQ273" s="276"/>
      <c r="AR273" s="276"/>
      <c r="AS273" s="276"/>
      <c r="AT273" s="276"/>
    </row>
    <row r="274" spans="1:46" ht="17.25" hidden="1" customHeight="1">
      <c r="A274" s="269">
        <v>64</v>
      </c>
      <c r="B274" s="270" t="s">
        <v>89</v>
      </c>
      <c r="C274" s="271" t="s">
        <v>370</v>
      </c>
      <c r="D274" s="271" t="s">
        <v>509</v>
      </c>
      <c r="E274" s="272">
        <v>1</v>
      </c>
      <c r="F274" s="273">
        <v>42483</v>
      </c>
      <c r="G274" s="274" t="s">
        <v>510</v>
      </c>
      <c r="H274" s="271">
        <v>6692460021</v>
      </c>
      <c r="I274" s="274" t="s">
        <v>511</v>
      </c>
      <c r="J274" s="273">
        <v>45174</v>
      </c>
      <c r="K274" s="274"/>
      <c r="L274" s="274"/>
      <c r="M274" s="274"/>
      <c r="N274" s="270" t="s">
        <v>35</v>
      </c>
      <c r="O274" s="275">
        <v>45444</v>
      </c>
      <c r="P274" s="276"/>
      <c r="Q274" s="276"/>
      <c r="R274" s="276"/>
      <c r="S274" s="276"/>
      <c r="T274" s="276"/>
      <c r="U274" s="276"/>
      <c r="V274" s="276"/>
      <c r="W274" s="276"/>
      <c r="X274" s="276"/>
      <c r="Y274" s="276"/>
      <c r="Z274" s="276"/>
      <c r="AA274" s="276"/>
      <c r="AB274" s="276"/>
      <c r="AC274" s="276"/>
      <c r="AD274" s="276"/>
      <c r="AE274" s="276"/>
      <c r="AF274" s="276"/>
      <c r="AG274" s="276"/>
      <c r="AH274" s="276"/>
      <c r="AI274" s="276"/>
      <c r="AJ274" s="276"/>
      <c r="AK274" s="276"/>
      <c r="AL274" s="276"/>
      <c r="AM274" s="276"/>
      <c r="AN274" s="276"/>
      <c r="AO274" s="276"/>
      <c r="AP274" s="276"/>
      <c r="AQ274" s="276"/>
      <c r="AR274" s="276"/>
      <c r="AS274" s="276"/>
      <c r="AT274" s="276"/>
    </row>
    <row r="275" spans="1:46" ht="17.25" hidden="1" customHeight="1">
      <c r="A275" s="259">
        <v>65</v>
      </c>
      <c r="B275" s="260" t="s">
        <v>49</v>
      </c>
      <c r="C275" s="306" t="s">
        <v>534</v>
      </c>
      <c r="D275" s="306" t="s">
        <v>714</v>
      </c>
      <c r="E275" s="307">
        <v>3</v>
      </c>
      <c r="F275" s="308">
        <v>42077</v>
      </c>
      <c r="G275" s="309" t="s">
        <v>535</v>
      </c>
      <c r="H275" s="306">
        <v>4085108805</v>
      </c>
      <c r="I275" s="309" t="s">
        <v>404</v>
      </c>
      <c r="J275" s="308">
        <v>45160</v>
      </c>
      <c r="K275" s="309"/>
      <c r="L275" s="309"/>
      <c r="M275" s="309" t="s">
        <v>632</v>
      </c>
      <c r="N275" s="260" t="s">
        <v>35</v>
      </c>
      <c r="O275" s="264">
        <v>45444</v>
      </c>
      <c r="P275" s="258"/>
      <c r="Q275" s="258"/>
      <c r="R275" s="258"/>
      <c r="S275" s="258"/>
      <c r="T275" s="258"/>
      <c r="U275" s="258"/>
      <c r="V275" s="258"/>
      <c r="W275" s="258"/>
      <c r="X275" s="258"/>
      <c r="Y275" s="258"/>
      <c r="Z275" s="258"/>
      <c r="AA275" s="258"/>
      <c r="AB275" s="258"/>
      <c r="AC275" s="258"/>
      <c r="AD275" s="258"/>
      <c r="AE275" s="258"/>
      <c r="AF275" s="258"/>
      <c r="AG275" s="258"/>
      <c r="AH275" s="258"/>
      <c r="AI275" s="258"/>
      <c r="AJ275" s="258"/>
      <c r="AK275" s="258"/>
      <c r="AL275" s="258"/>
      <c r="AM275" s="258"/>
      <c r="AN275" s="258"/>
      <c r="AO275" s="258"/>
      <c r="AP275" s="258"/>
      <c r="AQ275" s="258"/>
      <c r="AR275" s="258"/>
      <c r="AS275" s="258"/>
      <c r="AT275" s="258"/>
    </row>
    <row r="276" spans="1:46" ht="17.25" hidden="1" customHeight="1">
      <c r="A276" s="259">
        <v>66</v>
      </c>
      <c r="B276" s="260" t="s">
        <v>89</v>
      </c>
      <c r="C276" s="306" t="s">
        <v>534</v>
      </c>
      <c r="D276" s="306" t="s">
        <v>714</v>
      </c>
      <c r="E276" s="307">
        <v>3</v>
      </c>
      <c r="F276" s="308">
        <v>42077</v>
      </c>
      <c r="G276" s="309" t="s">
        <v>535</v>
      </c>
      <c r="H276" s="306">
        <v>4085108805</v>
      </c>
      <c r="I276" s="309" t="s">
        <v>404</v>
      </c>
      <c r="J276" s="308">
        <v>45160</v>
      </c>
      <c r="K276" s="309"/>
      <c r="L276" s="309"/>
      <c r="M276" s="309" t="s">
        <v>632</v>
      </c>
      <c r="N276" s="260" t="s">
        <v>35</v>
      </c>
      <c r="O276" s="264">
        <v>45444</v>
      </c>
      <c r="P276" s="258"/>
      <c r="Q276" s="258"/>
      <c r="R276" s="258"/>
      <c r="S276" s="258"/>
      <c r="T276" s="258"/>
      <c r="U276" s="258"/>
      <c r="V276" s="258"/>
      <c r="W276" s="258"/>
      <c r="X276" s="258"/>
      <c r="Y276" s="258"/>
      <c r="Z276" s="258"/>
      <c r="AA276" s="258"/>
      <c r="AB276" s="258"/>
      <c r="AC276" s="258"/>
      <c r="AD276" s="258"/>
      <c r="AE276" s="258"/>
      <c r="AF276" s="258"/>
      <c r="AG276" s="258"/>
      <c r="AH276" s="258"/>
      <c r="AI276" s="258"/>
      <c r="AJ276" s="258"/>
      <c r="AK276" s="258"/>
      <c r="AL276" s="258"/>
      <c r="AM276" s="258"/>
      <c r="AN276" s="258"/>
      <c r="AO276" s="258"/>
      <c r="AP276" s="258"/>
      <c r="AQ276" s="258"/>
      <c r="AR276" s="258"/>
      <c r="AS276" s="258"/>
      <c r="AT276" s="258"/>
    </row>
    <row r="277" spans="1:46" ht="17.25" hidden="1" customHeight="1">
      <c r="A277" s="269">
        <v>67</v>
      </c>
      <c r="B277" s="270" t="s">
        <v>49</v>
      </c>
      <c r="C277" s="271" t="s">
        <v>637</v>
      </c>
      <c r="D277" s="271" t="s">
        <v>715</v>
      </c>
      <c r="E277" s="272">
        <v>6</v>
      </c>
      <c r="F277" s="273">
        <v>41153</v>
      </c>
      <c r="G277" s="274" t="s">
        <v>638</v>
      </c>
      <c r="H277" s="271">
        <v>5108813622</v>
      </c>
      <c r="I277" s="274" t="s">
        <v>639</v>
      </c>
      <c r="J277" s="273">
        <v>45154</v>
      </c>
      <c r="K277" s="274"/>
      <c r="L277" s="274"/>
      <c r="M277" s="274"/>
      <c r="N277" s="270" t="s">
        <v>35</v>
      </c>
      <c r="O277" s="275">
        <v>45444</v>
      </c>
      <c r="P277" s="276"/>
      <c r="Q277" s="276"/>
      <c r="R277" s="276"/>
      <c r="S277" s="276"/>
      <c r="T277" s="276"/>
      <c r="U277" s="276"/>
      <c r="V277" s="276"/>
      <c r="W277" s="276"/>
      <c r="X277" s="276"/>
      <c r="Y277" s="276"/>
      <c r="Z277" s="276"/>
      <c r="AA277" s="276"/>
      <c r="AB277" s="276"/>
      <c r="AC277" s="276"/>
      <c r="AD277" s="276"/>
      <c r="AE277" s="276"/>
      <c r="AF277" s="276"/>
      <c r="AG277" s="276"/>
      <c r="AH277" s="276"/>
      <c r="AI277" s="276"/>
      <c r="AJ277" s="276"/>
      <c r="AK277" s="276"/>
      <c r="AL277" s="276"/>
      <c r="AM277" s="276"/>
      <c r="AN277" s="276"/>
      <c r="AO277" s="276"/>
      <c r="AP277" s="276"/>
      <c r="AQ277" s="276"/>
      <c r="AR277" s="276"/>
      <c r="AS277" s="276"/>
      <c r="AT277" s="276"/>
    </row>
    <row r="278" spans="1:46" ht="17.25" hidden="1" customHeight="1">
      <c r="A278" s="269">
        <v>68</v>
      </c>
      <c r="B278" s="270" t="s">
        <v>89</v>
      </c>
      <c r="C278" s="271" t="s">
        <v>637</v>
      </c>
      <c r="D278" s="271" t="s">
        <v>715</v>
      </c>
      <c r="E278" s="272">
        <v>6</v>
      </c>
      <c r="F278" s="273">
        <v>41153</v>
      </c>
      <c r="G278" s="274" t="s">
        <v>638</v>
      </c>
      <c r="H278" s="271">
        <v>5108813622</v>
      </c>
      <c r="I278" s="274" t="s">
        <v>639</v>
      </c>
      <c r="J278" s="273">
        <v>45154</v>
      </c>
      <c r="K278" s="274"/>
      <c r="L278" s="274"/>
      <c r="M278" s="274"/>
      <c r="N278" s="270" t="s">
        <v>35</v>
      </c>
      <c r="O278" s="275">
        <v>45444</v>
      </c>
      <c r="P278" s="276"/>
      <c r="Q278" s="276"/>
      <c r="R278" s="276"/>
      <c r="S278" s="276"/>
      <c r="T278" s="276"/>
      <c r="U278" s="276"/>
      <c r="V278" s="276"/>
      <c r="W278" s="276"/>
      <c r="X278" s="276"/>
      <c r="Y278" s="276"/>
      <c r="Z278" s="276"/>
      <c r="AA278" s="276"/>
      <c r="AB278" s="276"/>
      <c r="AC278" s="276"/>
      <c r="AD278" s="276"/>
      <c r="AE278" s="276"/>
      <c r="AF278" s="276"/>
      <c r="AG278" s="276"/>
      <c r="AH278" s="276"/>
      <c r="AI278" s="276"/>
      <c r="AJ278" s="276"/>
      <c r="AK278" s="276"/>
      <c r="AL278" s="276"/>
      <c r="AM278" s="276"/>
      <c r="AN278" s="276"/>
      <c r="AO278" s="276"/>
      <c r="AP278" s="276"/>
      <c r="AQ278" s="276"/>
      <c r="AR278" s="276"/>
      <c r="AS278" s="276"/>
      <c r="AT278" s="276"/>
    </row>
    <row r="279" spans="1:46" ht="17.25" hidden="1" customHeight="1">
      <c r="A279" s="259">
        <v>69</v>
      </c>
      <c r="B279" s="260" t="s">
        <v>89</v>
      </c>
      <c r="C279" s="306" t="s">
        <v>395</v>
      </c>
      <c r="D279" s="306" t="s">
        <v>399</v>
      </c>
      <c r="E279" s="307">
        <v>3</v>
      </c>
      <c r="F279" s="308">
        <v>42122</v>
      </c>
      <c r="G279" s="309" t="s">
        <v>669</v>
      </c>
      <c r="H279" s="306">
        <v>4087591928</v>
      </c>
      <c r="I279" s="309" t="s">
        <v>398</v>
      </c>
      <c r="J279" s="308">
        <v>45246</v>
      </c>
      <c r="K279" s="309"/>
      <c r="L279" s="309"/>
      <c r="M279" s="309" t="s">
        <v>670</v>
      </c>
      <c r="N279" s="260" t="s">
        <v>35</v>
      </c>
      <c r="O279" s="264">
        <v>45444</v>
      </c>
      <c r="P279" s="258"/>
      <c r="Q279" s="258"/>
      <c r="R279" s="258"/>
      <c r="S279" s="258"/>
      <c r="T279" s="258"/>
      <c r="U279" s="258"/>
      <c r="V279" s="258"/>
      <c r="W279" s="258"/>
      <c r="X279" s="258"/>
      <c r="Y279" s="258"/>
      <c r="Z279" s="258"/>
      <c r="AA279" s="258"/>
      <c r="AB279" s="258"/>
      <c r="AC279" s="258"/>
      <c r="AD279" s="258"/>
      <c r="AE279" s="258"/>
      <c r="AF279" s="258"/>
      <c r="AG279" s="258"/>
      <c r="AH279" s="258"/>
      <c r="AI279" s="258"/>
      <c r="AJ279" s="258"/>
      <c r="AK279" s="258"/>
      <c r="AL279" s="258"/>
      <c r="AM279" s="258"/>
      <c r="AN279" s="258"/>
      <c r="AO279" s="258"/>
      <c r="AP279" s="258"/>
      <c r="AQ279" s="258"/>
      <c r="AR279" s="258"/>
      <c r="AS279" s="258"/>
      <c r="AT279" s="258"/>
    </row>
    <row r="280" spans="1:46" ht="17.25" hidden="1" customHeight="1">
      <c r="A280" s="269">
        <v>70</v>
      </c>
      <c r="B280" s="270" t="s">
        <v>89</v>
      </c>
      <c r="C280" s="277" t="s">
        <v>529</v>
      </c>
      <c r="D280" s="277" t="s">
        <v>538</v>
      </c>
      <c r="E280" s="269">
        <v>6</v>
      </c>
      <c r="F280" s="278">
        <v>40961</v>
      </c>
      <c r="G280" s="274" t="s">
        <v>673</v>
      </c>
      <c r="H280" s="274">
        <v>4087977701</v>
      </c>
      <c r="I280" s="274" t="s">
        <v>532</v>
      </c>
      <c r="J280" s="278">
        <v>45323</v>
      </c>
      <c r="K280" s="279"/>
      <c r="L280" s="279"/>
      <c r="M280" s="279" t="s">
        <v>674</v>
      </c>
      <c r="N280" s="270" t="s">
        <v>35</v>
      </c>
      <c r="O280" s="275">
        <v>45444</v>
      </c>
      <c r="P280" s="276"/>
      <c r="Q280" s="276"/>
      <c r="R280" s="276"/>
      <c r="S280" s="276"/>
      <c r="T280" s="276"/>
      <c r="U280" s="276"/>
      <c r="V280" s="276"/>
      <c r="W280" s="276"/>
      <c r="X280" s="276"/>
      <c r="Y280" s="276"/>
      <c r="Z280" s="276"/>
      <c r="AA280" s="276"/>
      <c r="AB280" s="276"/>
      <c r="AC280" s="276"/>
      <c r="AD280" s="276"/>
      <c r="AE280" s="276"/>
      <c r="AF280" s="276"/>
      <c r="AG280" s="276"/>
      <c r="AH280" s="276"/>
      <c r="AI280" s="276"/>
      <c r="AJ280" s="276"/>
      <c r="AK280" s="276"/>
      <c r="AL280" s="276"/>
      <c r="AM280" s="276"/>
      <c r="AN280" s="276"/>
      <c r="AO280" s="276"/>
      <c r="AP280" s="276"/>
      <c r="AQ280" s="276"/>
      <c r="AR280" s="276"/>
      <c r="AS280" s="276"/>
      <c r="AT280" s="276"/>
    </row>
    <row r="281" spans="1:46" ht="17.25" customHeight="1">
      <c r="A281" s="93">
        <v>1</v>
      </c>
      <c r="B281" s="94" t="s">
        <v>49</v>
      </c>
      <c r="C281" s="283" t="s">
        <v>425</v>
      </c>
      <c r="D281" s="283" t="s">
        <v>716</v>
      </c>
      <c r="E281" s="93">
        <v>3</v>
      </c>
      <c r="F281" s="112">
        <v>42387</v>
      </c>
      <c r="G281" s="109" t="s">
        <v>717</v>
      </c>
      <c r="H281" s="111">
        <v>9258603355</v>
      </c>
      <c r="I281" s="109" t="s">
        <v>718</v>
      </c>
      <c r="J281" s="112">
        <v>45231</v>
      </c>
      <c r="K281" s="109"/>
      <c r="L281" s="109"/>
      <c r="M281" s="109" t="s">
        <v>719</v>
      </c>
      <c r="N281" s="94" t="s">
        <v>35</v>
      </c>
      <c r="O281" s="100">
        <v>45474</v>
      </c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</row>
    <row r="282" spans="1:46" ht="17.25" customHeight="1">
      <c r="A282" s="93">
        <v>2</v>
      </c>
      <c r="B282" s="94" t="s">
        <v>89</v>
      </c>
      <c r="C282" s="283" t="s">
        <v>425</v>
      </c>
      <c r="D282" s="283" t="s">
        <v>716</v>
      </c>
      <c r="E282" s="93">
        <v>3</v>
      </c>
      <c r="F282" s="112">
        <v>42387</v>
      </c>
      <c r="G282" s="109" t="s">
        <v>717</v>
      </c>
      <c r="H282" s="111">
        <v>9258603355</v>
      </c>
      <c r="I282" s="109" t="s">
        <v>718</v>
      </c>
      <c r="J282" s="112">
        <v>45231</v>
      </c>
      <c r="K282" s="109"/>
      <c r="L282" s="109"/>
      <c r="M282" s="109" t="s">
        <v>719</v>
      </c>
      <c r="N282" s="94" t="s">
        <v>35</v>
      </c>
      <c r="O282" s="100">
        <v>45474</v>
      </c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</row>
    <row r="283" spans="1:46" ht="17.25" customHeight="1">
      <c r="A283" s="93">
        <v>3</v>
      </c>
      <c r="B283" s="94" t="s">
        <v>49</v>
      </c>
      <c r="C283" s="95" t="s">
        <v>720</v>
      </c>
      <c r="D283" s="95" t="s">
        <v>721</v>
      </c>
      <c r="E283" s="96">
        <v>2</v>
      </c>
      <c r="F283" s="97">
        <v>42521</v>
      </c>
      <c r="G283" s="98" t="s">
        <v>722</v>
      </c>
      <c r="H283" s="95">
        <v>4089311977</v>
      </c>
      <c r="I283" s="98" t="s">
        <v>723</v>
      </c>
      <c r="J283" s="97">
        <v>45161</v>
      </c>
      <c r="K283" s="98"/>
      <c r="L283" s="98"/>
      <c r="M283" s="98" t="s">
        <v>724</v>
      </c>
      <c r="N283" s="94" t="s">
        <v>35</v>
      </c>
      <c r="O283" s="100">
        <v>45474</v>
      </c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</row>
    <row r="284" spans="1:46" ht="17.25" customHeight="1">
      <c r="A284" s="93">
        <v>4</v>
      </c>
      <c r="B284" s="94" t="s">
        <v>89</v>
      </c>
      <c r="C284" s="95" t="s">
        <v>720</v>
      </c>
      <c r="D284" s="95" t="s">
        <v>721</v>
      </c>
      <c r="E284" s="96">
        <v>2</v>
      </c>
      <c r="F284" s="97">
        <v>42521</v>
      </c>
      <c r="G284" s="98" t="s">
        <v>722</v>
      </c>
      <c r="H284" s="95">
        <v>4089311977</v>
      </c>
      <c r="I284" s="98" t="s">
        <v>723</v>
      </c>
      <c r="J284" s="97">
        <v>45161</v>
      </c>
      <c r="K284" s="98"/>
      <c r="L284" s="98"/>
      <c r="M284" s="98" t="s">
        <v>724</v>
      </c>
      <c r="N284" s="94" t="s">
        <v>35</v>
      </c>
      <c r="O284" s="100">
        <v>45474</v>
      </c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</row>
    <row r="285" spans="1:46" ht="17.25" customHeight="1">
      <c r="A285" s="93">
        <v>5</v>
      </c>
      <c r="B285" s="94" t="s">
        <v>49</v>
      </c>
      <c r="C285" s="95" t="s">
        <v>725</v>
      </c>
      <c r="D285" s="95" t="s">
        <v>726</v>
      </c>
      <c r="E285" s="96">
        <v>1</v>
      </c>
      <c r="F285" s="97" t="s">
        <v>727</v>
      </c>
      <c r="G285" s="98" t="s">
        <v>728</v>
      </c>
      <c r="H285" s="95">
        <v>5105654841</v>
      </c>
      <c r="I285" s="98" t="s">
        <v>729</v>
      </c>
      <c r="J285" s="97" t="s">
        <v>280</v>
      </c>
      <c r="K285" s="98"/>
      <c r="L285" s="98"/>
      <c r="M285" s="98"/>
      <c r="N285" s="94" t="s">
        <v>35</v>
      </c>
      <c r="O285" s="100">
        <v>45474</v>
      </c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</row>
    <row r="286" spans="1:46" ht="17.25" customHeight="1">
      <c r="A286" s="93">
        <v>6</v>
      </c>
      <c r="B286" s="94" t="s">
        <v>89</v>
      </c>
      <c r="C286" s="95" t="s">
        <v>725</v>
      </c>
      <c r="D286" s="95" t="s">
        <v>726</v>
      </c>
      <c r="E286" s="96">
        <v>1</v>
      </c>
      <c r="F286" s="97" t="s">
        <v>727</v>
      </c>
      <c r="G286" s="98" t="s">
        <v>728</v>
      </c>
      <c r="H286" s="95">
        <v>5105654841</v>
      </c>
      <c r="I286" s="98" t="s">
        <v>729</v>
      </c>
      <c r="J286" s="97" t="s">
        <v>280</v>
      </c>
      <c r="K286" s="98"/>
      <c r="L286" s="98"/>
      <c r="M286" s="98"/>
      <c r="N286" s="94" t="s">
        <v>35</v>
      </c>
      <c r="O286" s="100">
        <v>45474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 spans="1:46" ht="17.25" customHeight="1">
      <c r="A287" s="312">
        <v>7</v>
      </c>
      <c r="B287" s="145" t="s">
        <v>49</v>
      </c>
      <c r="C287" s="313" t="s">
        <v>227</v>
      </c>
      <c r="D287" s="313" t="s">
        <v>228</v>
      </c>
      <c r="E287" s="312">
        <v>2</v>
      </c>
      <c r="F287" s="314">
        <v>42933</v>
      </c>
      <c r="G287" s="141" t="s">
        <v>229</v>
      </c>
      <c r="H287" s="141">
        <v>4083986905</v>
      </c>
      <c r="I287" s="141" t="s">
        <v>230</v>
      </c>
      <c r="J287" s="314">
        <v>45323</v>
      </c>
      <c r="K287" s="315"/>
      <c r="L287" s="315"/>
      <c r="M287" s="315" t="s">
        <v>233</v>
      </c>
      <c r="N287" s="145" t="s">
        <v>35</v>
      </c>
      <c r="O287" s="144">
        <v>45474</v>
      </c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209"/>
      <c r="AT287" s="209"/>
    </row>
    <row r="288" spans="1:46" ht="17.25" customHeight="1">
      <c r="A288" s="312">
        <v>8</v>
      </c>
      <c r="B288" s="145" t="s">
        <v>89</v>
      </c>
      <c r="C288" s="313" t="s">
        <v>227</v>
      </c>
      <c r="D288" s="313" t="s">
        <v>228</v>
      </c>
      <c r="E288" s="312">
        <v>2</v>
      </c>
      <c r="F288" s="314">
        <v>42933</v>
      </c>
      <c r="G288" s="141" t="s">
        <v>229</v>
      </c>
      <c r="H288" s="141">
        <v>4083986905</v>
      </c>
      <c r="I288" s="141" t="s">
        <v>230</v>
      </c>
      <c r="J288" s="314">
        <v>45323</v>
      </c>
      <c r="K288" s="315"/>
      <c r="L288" s="315"/>
      <c r="M288" s="315" t="s">
        <v>233</v>
      </c>
      <c r="N288" s="145" t="s">
        <v>35</v>
      </c>
      <c r="O288" s="144">
        <v>45474</v>
      </c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209"/>
      <c r="AT288" s="209"/>
    </row>
    <row r="289" spans="1:46" ht="17.25" customHeight="1">
      <c r="A289" s="312">
        <v>9</v>
      </c>
      <c r="B289" s="145" t="s">
        <v>49</v>
      </c>
      <c r="C289" s="313" t="s">
        <v>326</v>
      </c>
      <c r="D289" s="313" t="s">
        <v>330</v>
      </c>
      <c r="E289" s="312" t="s">
        <v>125</v>
      </c>
      <c r="F289" s="314">
        <v>42867</v>
      </c>
      <c r="G289" s="141" t="s">
        <v>331</v>
      </c>
      <c r="H289" s="141">
        <v>4086432868</v>
      </c>
      <c r="I289" s="141" t="s">
        <v>332</v>
      </c>
      <c r="J289" s="314">
        <v>45154</v>
      </c>
      <c r="K289" s="315"/>
      <c r="L289" s="315"/>
      <c r="M289" s="315" t="s">
        <v>333</v>
      </c>
      <c r="N289" s="145" t="s">
        <v>35</v>
      </c>
      <c r="O289" s="144">
        <v>45474</v>
      </c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209"/>
      <c r="AT289" s="209"/>
    </row>
    <row r="290" spans="1:46" ht="17.25" customHeight="1">
      <c r="A290" s="312">
        <v>10</v>
      </c>
      <c r="B290" s="145" t="s">
        <v>89</v>
      </c>
      <c r="C290" s="313" t="s">
        <v>326</v>
      </c>
      <c r="D290" s="313" t="s">
        <v>330</v>
      </c>
      <c r="E290" s="312" t="s">
        <v>125</v>
      </c>
      <c r="F290" s="314">
        <v>42867</v>
      </c>
      <c r="G290" s="141" t="s">
        <v>331</v>
      </c>
      <c r="H290" s="141">
        <v>4086432868</v>
      </c>
      <c r="I290" s="141" t="s">
        <v>332</v>
      </c>
      <c r="J290" s="314">
        <v>45154</v>
      </c>
      <c r="K290" s="315"/>
      <c r="L290" s="315"/>
      <c r="M290" s="315" t="s">
        <v>233</v>
      </c>
      <c r="N290" s="145" t="s">
        <v>35</v>
      </c>
      <c r="O290" s="144">
        <v>45474</v>
      </c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209"/>
      <c r="AT290" s="209"/>
    </row>
    <row r="291" spans="1:46" ht="17.25" customHeight="1">
      <c r="A291" s="93">
        <v>11</v>
      </c>
      <c r="B291" s="94" t="s">
        <v>49</v>
      </c>
      <c r="C291" s="283" t="s">
        <v>415</v>
      </c>
      <c r="D291" s="283" t="s">
        <v>730</v>
      </c>
      <c r="E291" s="93">
        <v>5</v>
      </c>
      <c r="F291" s="112">
        <v>41298</v>
      </c>
      <c r="G291" s="109" t="s">
        <v>731</v>
      </c>
      <c r="H291" s="111">
        <v>7138395988</v>
      </c>
      <c r="I291" s="109" t="s">
        <v>732</v>
      </c>
      <c r="J291" s="112">
        <v>45124</v>
      </c>
      <c r="K291" s="109"/>
      <c r="L291" s="109"/>
      <c r="M291" s="109" t="s">
        <v>733</v>
      </c>
      <c r="N291" s="94" t="s">
        <v>35</v>
      </c>
      <c r="O291" s="100">
        <v>45474</v>
      </c>
      <c r="P291" s="316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  <c r="AF291" s="98"/>
      <c r="AG291" s="98"/>
      <c r="AH291" s="98"/>
      <c r="AI291" s="98"/>
      <c r="AJ291" s="98"/>
      <c r="AK291" s="98"/>
      <c r="AL291" s="98"/>
      <c r="AM291" s="98"/>
      <c r="AN291" s="98"/>
      <c r="AO291" s="98"/>
      <c r="AP291" s="98"/>
      <c r="AQ291" s="98"/>
      <c r="AR291" s="98"/>
      <c r="AS291" s="98"/>
      <c r="AT291" s="98"/>
    </row>
    <row r="292" spans="1:46" ht="17.25" customHeight="1">
      <c r="A292" s="93">
        <v>12</v>
      </c>
      <c r="B292" s="94" t="s">
        <v>89</v>
      </c>
      <c r="C292" s="283" t="s">
        <v>415</v>
      </c>
      <c r="D292" s="283" t="s">
        <v>730</v>
      </c>
      <c r="E292" s="93">
        <v>5</v>
      </c>
      <c r="F292" s="112">
        <v>41298</v>
      </c>
      <c r="G292" s="109" t="s">
        <v>731</v>
      </c>
      <c r="H292" s="111">
        <v>7138395988</v>
      </c>
      <c r="I292" s="109" t="s">
        <v>732</v>
      </c>
      <c r="J292" s="112">
        <v>45124</v>
      </c>
      <c r="K292" s="109"/>
      <c r="L292" s="109"/>
      <c r="M292" s="109" t="s">
        <v>733</v>
      </c>
      <c r="N292" s="94" t="s">
        <v>35</v>
      </c>
      <c r="O292" s="100">
        <v>45474</v>
      </c>
      <c r="P292" s="316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  <c r="AE292" s="98"/>
      <c r="AF292" s="98"/>
      <c r="AG292" s="98"/>
      <c r="AH292" s="98"/>
      <c r="AI292" s="98"/>
      <c r="AJ292" s="98"/>
      <c r="AK292" s="98"/>
      <c r="AL292" s="98"/>
      <c r="AM292" s="98"/>
      <c r="AN292" s="98"/>
      <c r="AO292" s="98"/>
      <c r="AP292" s="98"/>
      <c r="AQ292" s="98"/>
      <c r="AR292" s="98"/>
      <c r="AS292" s="98"/>
      <c r="AT292" s="98"/>
    </row>
    <row r="293" spans="1:46" ht="17.25" customHeight="1">
      <c r="A293" s="317">
        <v>1</v>
      </c>
      <c r="B293" s="318" t="s">
        <v>49</v>
      </c>
      <c r="C293" s="319" t="s">
        <v>133</v>
      </c>
      <c r="D293" s="319" t="s">
        <v>734</v>
      </c>
      <c r="E293" s="320">
        <v>5</v>
      </c>
      <c r="F293" s="321" t="s">
        <v>735</v>
      </c>
      <c r="G293" s="322" t="s">
        <v>736</v>
      </c>
      <c r="H293" s="319">
        <v>6506053215</v>
      </c>
      <c r="I293" s="322" t="s">
        <v>737</v>
      </c>
      <c r="J293" s="321" t="s">
        <v>738</v>
      </c>
      <c r="K293" s="322"/>
      <c r="L293" s="322"/>
      <c r="M293" s="322"/>
      <c r="N293" s="318" t="s">
        <v>35</v>
      </c>
      <c r="O293" s="323">
        <v>45505</v>
      </c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 spans="1:46" ht="17.25" customHeight="1">
      <c r="A294" s="317">
        <v>2</v>
      </c>
      <c r="B294" s="318" t="s">
        <v>89</v>
      </c>
      <c r="C294" s="319" t="s">
        <v>133</v>
      </c>
      <c r="D294" s="319" t="s">
        <v>734</v>
      </c>
      <c r="E294" s="320">
        <v>5</v>
      </c>
      <c r="F294" s="321" t="s">
        <v>735</v>
      </c>
      <c r="G294" s="322" t="s">
        <v>736</v>
      </c>
      <c r="H294" s="319">
        <v>6506053215</v>
      </c>
      <c r="I294" s="322" t="s">
        <v>737</v>
      </c>
      <c r="J294" s="321" t="s">
        <v>738</v>
      </c>
      <c r="K294" s="322"/>
      <c r="L294" s="322"/>
      <c r="M294" s="322" t="s">
        <v>142</v>
      </c>
      <c r="N294" s="318" t="s">
        <v>35</v>
      </c>
      <c r="O294" s="323">
        <v>45505</v>
      </c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</row>
    <row r="295" spans="1:46" ht="17.25" customHeight="1">
      <c r="A295" s="312">
        <v>3</v>
      </c>
      <c r="B295" s="145" t="s">
        <v>49</v>
      </c>
      <c r="C295" s="207" t="s">
        <v>429</v>
      </c>
      <c r="D295" s="207" t="s">
        <v>430</v>
      </c>
      <c r="E295" s="140">
        <v>6</v>
      </c>
      <c r="F295" s="142" t="s">
        <v>431</v>
      </c>
      <c r="G295" s="141" t="s">
        <v>432</v>
      </c>
      <c r="H295" s="207" t="s">
        <v>433</v>
      </c>
      <c r="I295" s="141" t="s">
        <v>434</v>
      </c>
      <c r="J295" s="142" t="s">
        <v>739</v>
      </c>
      <c r="K295" s="141"/>
      <c r="L295" s="141"/>
      <c r="M295" s="141" t="s">
        <v>436</v>
      </c>
      <c r="N295" s="145" t="s">
        <v>35</v>
      </c>
      <c r="O295" s="144">
        <v>45505</v>
      </c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209"/>
      <c r="AT295" s="209"/>
    </row>
    <row r="296" spans="1:46" ht="17.25" customHeight="1">
      <c r="A296" s="317">
        <v>4</v>
      </c>
      <c r="B296" s="318" t="s">
        <v>89</v>
      </c>
      <c r="C296" s="319" t="s">
        <v>429</v>
      </c>
      <c r="D296" s="319" t="s">
        <v>430</v>
      </c>
      <c r="E296" s="320">
        <v>6</v>
      </c>
      <c r="F296" s="321" t="s">
        <v>431</v>
      </c>
      <c r="G296" s="322" t="s">
        <v>432</v>
      </c>
      <c r="H296" s="319" t="s">
        <v>433</v>
      </c>
      <c r="I296" s="322" t="s">
        <v>434</v>
      </c>
      <c r="J296" s="321" t="s">
        <v>739</v>
      </c>
      <c r="K296" s="322"/>
      <c r="L296" s="322"/>
      <c r="M296" s="322" t="s">
        <v>436</v>
      </c>
      <c r="N296" s="318" t="s">
        <v>35</v>
      </c>
      <c r="O296" s="323">
        <v>45505</v>
      </c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</row>
    <row r="297" spans="1:46" ht="17.25" customHeight="1">
      <c r="A297" s="317">
        <v>5</v>
      </c>
      <c r="B297" s="318" t="s">
        <v>49</v>
      </c>
      <c r="C297" s="319" t="s">
        <v>429</v>
      </c>
      <c r="D297" s="319" t="s">
        <v>437</v>
      </c>
      <c r="E297" s="320">
        <v>9</v>
      </c>
      <c r="F297" s="321" t="s">
        <v>438</v>
      </c>
      <c r="G297" s="322" t="s">
        <v>432</v>
      </c>
      <c r="H297" s="319" t="s">
        <v>433</v>
      </c>
      <c r="I297" s="322" t="s">
        <v>434</v>
      </c>
      <c r="J297" s="321" t="s">
        <v>739</v>
      </c>
      <c r="K297" s="322"/>
      <c r="L297" s="322"/>
      <c r="M297" s="322" t="s">
        <v>436</v>
      </c>
      <c r="N297" s="318" t="s">
        <v>35</v>
      </c>
      <c r="O297" s="323">
        <v>45505</v>
      </c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 spans="1:46" ht="17.25" customHeight="1">
      <c r="A298" s="312">
        <v>6</v>
      </c>
      <c r="B298" s="145" t="s">
        <v>89</v>
      </c>
      <c r="C298" s="207" t="s">
        <v>429</v>
      </c>
      <c r="D298" s="207" t="s">
        <v>437</v>
      </c>
      <c r="E298" s="140">
        <v>9</v>
      </c>
      <c r="F298" s="142" t="s">
        <v>438</v>
      </c>
      <c r="G298" s="141" t="s">
        <v>432</v>
      </c>
      <c r="H298" s="207" t="s">
        <v>433</v>
      </c>
      <c r="I298" s="141" t="s">
        <v>434</v>
      </c>
      <c r="J298" s="142" t="s">
        <v>739</v>
      </c>
      <c r="K298" s="141"/>
      <c r="L298" s="141"/>
      <c r="M298" s="141" t="s">
        <v>436</v>
      </c>
      <c r="N298" s="145" t="s">
        <v>35</v>
      </c>
      <c r="O298" s="144">
        <v>45505</v>
      </c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209"/>
      <c r="AT298" s="209"/>
    </row>
    <row r="299" spans="1:46" ht="17.25" customHeight="1">
      <c r="A299" s="317">
        <v>7</v>
      </c>
      <c r="B299" s="318" t="s">
        <v>49</v>
      </c>
      <c r="C299" s="319" t="s">
        <v>740</v>
      </c>
      <c r="D299" s="319" t="s">
        <v>741</v>
      </c>
      <c r="E299" s="320">
        <v>1</v>
      </c>
      <c r="F299" s="321" t="s">
        <v>742</v>
      </c>
      <c r="G299" s="322" t="s">
        <v>743</v>
      </c>
      <c r="H299" s="319" t="s">
        <v>744</v>
      </c>
      <c r="I299" s="322" t="s">
        <v>745</v>
      </c>
      <c r="J299" s="321" t="s">
        <v>746</v>
      </c>
      <c r="K299" s="322"/>
      <c r="L299" s="322"/>
      <c r="M299" s="322" t="s">
        <v>495</v>
      </c>
      <c r="N299" s="318" t="s">
        <v>35</v>
      </c>
      <c r="O299" s="323">
        <v>45505</v>
      </c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</row>
    <row r="300" spans="1:46" ht="17.25" customHeight="1">
      <c r="A300" s="317">
        <v>8</v>
      </c>
      <c r="B300" s="318" t="s">
        <v>89</v>
      </c>
      <c r="C300" s="319" t="s">
        <v>740</v>
      </c>
      <c r="D300" s="319" t="s">
        <v>741</v>
      </c>
      <c r="E300" s="320">
        <v>1</v>
      </c>
      <c r="F300" s="321" t="s">
        <v>742</v>
      </c>
      <c r="G300" s="322" t="s">
        <v>743</v>
      </c>
      <c r="H300" s="319" t="s">
        <v>744</v>
      </c>
      <c r="I300" s="322" t="s">
        <v>745</v>
      </c>
      <c r="J300" s="321" t="s">
        <v>746</v>
      </c>
      <c r="K300" s="322"/>
      <c r="L300" s="322"/>
      <c r="M300" s="322" t="s">
        <v>495</v>
      </c>
      <c r="N300" s="318" t="s">
        <v>35</v>
      </c>
      <c r="O300" s="323">
        <v>45505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 spans="1:46" ht="17.25" customHeight="1">
      <c r="A301" s="312">
        <v>9</v>
      </c>
      <c r="B301" s="145" t="s">
        <v>49</v>
      </c>
      <c r="C301" s="207" t="s">
        <v>348</v>
      </c>
      <c r="D301" s="207" t="s">
        <v>465</v>
      </c>
      <c r="E301" s="140">
        <v>1</v>
      </c>
      <c r="F301" s="142">
        <v>42086</v>
      </c>
      <c r="G301" s="141" t="s">
        <v>466</v>
      </c>
      <c r="H301" s="207">
        <v>5109848496</v>
      </c>
      <c r="I301" s="141" t="s">
        <v>467</v>
      </c>
      <c r="J301" s="142">
        <v>45174</v>
      </c>
      <c r="K301" s="141"/>
      <c r="L301" s="141"/>
      <c r="M301" s="141" t="s">
        <v>469</v>
      </c>
      <c r="N301" s="145" t="s">
        <v>35</v>
      </c>
      <c r="O301" s="144">
        <v>45505</v>
      </c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209"/>
      <c r="AT301" s="209"/>
    </row>
    <row r="302" spans="1:46" ht="17.25" customHeight="1">
      <c r="A302" s="312">
        <v>10</v>
      </c>
      <c r="B302" s="145" t="s">
        <v>89</v>
      </c>
      <c r="C302" s="207" t="s">
        <v>348</v>
      </c>
      <c r="D302" s="207" t="s">
        <v>465</v>
      </c>
      <c r="E302" s="140">
        <v>1</v>
      </c>
      <c r="F302" s="142">
        <v>42086</v>
      </c>
      <c r="G302" s="141" t="s">
        <v>466</v>
      </c>
      <c r="H302" s="207">
        <v>5109848496</v>
      </c>
      <c r="I302" s="141" t="s">
        <v>467</v>
      </c>
      <c r="J302" s="142">
        <v>45174</v>
      </c>
      <c r="K302" s="141"/>
      <c r="L302" s="141"/>
      <c r="M302" s="141" t="s">
        <v>469</v>
      </c>
      <c r="N302" s="145" t="s">
        <v>35</v>
      </c>
      <c r="O302" s="144">
        <v>45505</v>
      </c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  <c r="AA302" s="209"/>
      <c r="AB302" s="209"/>
      <c r="AC302" s="209"/>
      <c r="AD302" s="209"/>
      <c r="AE302" s="209"/>
      <c r="AF302" s="209"/>
      <c r="AG302" s="209"/>
      <c r="AH302" s="209"/>
      <c r="AI302" s="209"/>
      <c r="AJ302" s="209"/>
      <c r="AK302" s="209"/>
      <c r="AL302" s="209"/>
      <c r="AM302" s="209"/>
      <c r="AN302" s="209"/>
      <c r="AO302" s="209"/>
      <c r="AP302" s="209"/>
      <c r="AQ302" s="209"/>
      <c r="AR302" s="209"/>
      <c r="AS302" s="209"/>
      <c r="AT302" s="209"/>
    </row>
    <row r="303" spans="1:46" ht="17.25" customHeight="1">
      <c r="A303" s="317">
        <v>11</v>
      </c>
      <c r="B303" s="318" t="s">
        <v>49</v>
      </c>
      <c r="C303" s="319" t="s">
        <v>747</v>
      </c>
      <c r="D303" s="319" t="s">
        <v>748</v>
      </c>
      <c r="E303" s="320">
        <v>5</v>
      </c>
      <c r="F303" s="321" t="s">
        <v>749</v>
      </c>
      <c r="G303" s="322" t="s">
        <v>750</v>
      </c>
      <c r="H303" s="319">
        <v>5105098478</v>
      </c>
      <c r="I303" s="322" t="s">
        <v>751</v>
      </c>
      <c r="J303" s="321" t="s">
        <v>752</v>
      </c>
      <c r="K303" s="322"/>
      <c r="L303" s="322"/>
      <c r="M303" s="322"/>
      <c r="N303" s="318" t="s">
        <v>35</v>
      </c>
      <c r="O303" s="323">
        <v>45505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 spans="1:46" ht="17.25" customHeight="1">
      <c r="A304" s="317">
        <v>12</v>
      </c>
      <c r="B304" s="318" t="s">
        <v>89</v>
      </c>
      <c r="C304" s="319" t="s">
        <v>747</v>
      </c>
      <c r="D304" s="319" t="s">
        <v>748</v>
      </c>
      <c r="E304" s="320">
        <v>5</v>
      </c>
      <c r="F304" s="321" t="s">
        <v>749</v>
      </c>
      <c r="G304" s="322" t="s">
        <v>750</v>
      </c>
      <c r="H304" s="319">
        <v>5105098478</v>
      </c>
      <c r="I304" s="322" t="s">
        <v>751</v>
      </c>
      <c r="J304" s="321" t="s">
        <v>752</v>
      </c>
      <c r="K304" s="322"/>
      <c r="L304" s="322"/>
      <c r="M304" s="322" t="s">
        <v>142</v>
      </c>
      <c r="N304" s="318" t="s">
        <v>35</v>
      </c>
      <c r="O304" s="323">
        <v>45505</v>
      </c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 spans="1:46" ht="17.25" customHeight="1">
      <c r="A305" s="83"/>
      <c r="B305" s="11"/>
      <c r="C305" s="79"/>
      <c r="D305" s="79"/>
      <c r="E305" s="11"/>
      <c r="F305" s="79"/>
      <c r="G305" s="79"/>
      <c r="H305" s="79"/>
      <c r="I305" s="33"/>
      <c r="J305" s="79"/>
      <c r="K305" s="79"/>
      <c r="L305" s="79"/>
      <c r="M305" s="79"/>
      <c r="N305" s="11"/>
      <c r="O305" s="8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ht="17.25" customHeight="1">
      <c r="A306" s="83"/>
      <c r="B306" s="11"/>
      <c r="C306" s="79"/>
      <c r="D306" s="79"/>
      <c r="E306" s="11"/>
      <c r="F306" s="79"/>
      <c r="G306" s="79"/>
      <c r="H306" s="79"/>
      <c r="I306" s="33"/>
      <c r="J306" s="79"/>
      <c r="K306" s="79"/>
      <c r="L306" s="79"/>
      <c r="M306" s="79"/>
      <c r="N306" s="11"/>
      <c r="O306" s="8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ht="17.25" customHeight="1">
      <c r="A307" s="83"/>
      <c r="B307" s="11"/>
      <c r="C307" s="79"/>
      <c r="D307" s="79"/>
      <c r="E307" s="11"/>
      <c r="F307" s="79"/>
      <c r="G307" s="79"/>
      <c r="H307" s="79"/>
      <c r="I307" s="33"/>
      <c r="J307" s="79"/>
      <c r="K307" s="79"/>
      <c r="L307" s="79"/>
      <c r="M307" s="79"/>
      <c r="N307" s="11"/>
      <c r="O307" s="8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ht="17.25" customHeight="1">
      <c r="A308" s="83"/>
      <c r="B308" s="11"/>
      <c r="C308" s="79"/>
      <c r="D308" s="79"/>
      <c r="E308" s="11"/>
      <c r="F308" s="79"/>
      <c r="G308" s="79"/>
      <c r="H308" s="79"/>
      <c r="I308" s="33"/>
      <c r="J308" s="79"/>
      <c r="K308" s="79"/>
      <c r="L308" s="79"/>
      <c r="M308" s="79"/>
      <c r="N308" s="11"/>
      <c r="O308" s="8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ht="17.25" customHeight="1">
      <c r="A309" s="83"/>
      <c r="B309" s="11"/>
      <c r="C309" s="79"/>
      <c r="D309" s="79"/>
      <c r="E309" s="11"/>
      <c r="F309" s="79"/>
      <c r="G309" s="79"/>
      <c r="H309" s="79"/>
      <c r="I309" s="33"/>
      <c r="J309" s="79"/>
      <c r="K309" s="79"/>
      <c r="L309" s="79"/>
      <c r="M309" s="79"/>
      <c r="N309" s="11"/>
      <c r="O309" s="8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7.25" customHeight="1">
      <c r="A310" s="83"/>
      <c r="B310" s="11"/>
      <c r="C310" s="79"/>
      <c r="D310" s="79"/>
      <c r="E310" s="11"/>
      <c r="F310" s="79"/>
      <c r="G310" s="79"/>
      <c r="H310" s="79"/>
      <c r="I310" s="33"/>
      <c r="J310" s="79"/>
      <c r="K310" s="79"/>
      <c r="L310" s="79"/>
      <c r="M310" s="79"/>
      <c r="N310" s="11"/>
      <c r="O310" s="8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7.25" customHeight="1">
      <c r="A311" s="83"/>
      <c r="B311" s="11"/>
      <c r="C311" s="79"/>
      <c r="D311" s="79"/>
      <c r="E311" s="11"/>
      <c r="F311" s="79"/>
      <c r="G311" s="79"/>
      <c r="H311" s="79"/>
      <c r="I311" s="33"/>
      <c r="J311" s="79"/>
      <c r="K311" s="79"/>
      <c r="L311" s="79"/>
      <c r="M311" s="79"/>
      <c r="N311" s="11"/>
      <c r="O311" s="8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7.25" customHeight="1">
      <c r="A312" s="83"/>
      <c r="B312" s="11"/>
      <c r="C312" s="79"/>
      <c r="D312" s="79"/>
      <c r="E312" s="11"/>
      <c r="F312" s="79"/>
      <c r="G312" s="79"/>
      <c r="H312" s="79"/>
      <c r="I312" s="33"/>
      <c r="J312" s="79"/>
      <c r="K312" s="79"/>
      <c r="L312" s="79"/>
      <c r="M312" s="79"/>
      <c r="N312" s="11"/>
      <c r="O312" s="8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7.25" customHeight="1">
      <c r="A313" s="83"/>
      <c r="B313" s="11"/>
      <c r="C313" s="79"/>
      <c r="D313" s="79"/>
      <c r="E313" s="11"/>
      <c r="F313" s="79"/>
      <c r="G313" s="79"/>
      <c r="H313" s="79"/>
      <c r="I313" s="33"/>
      <c r="J313" s="79"/>
      <c r="K313" s="79"/>
      <c r="L313" s="79"/>
      <c r="M313" s="79"/>
      <c r="N313" s="11"/>
      <c r="O313" s="8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7.25" customHeight="1">
      <c r="A314" s="83"/>
      <c r="B314" s="11"/>
      <c r="C314" s="79"/>
      <c r="D314" s="79"/>
      <c r="E314" s="11"/>
      <c r="F314" s="79"/>
      <c r="G314" s="79"/>
      <c r="H314" s="79"/>
      <c r="I314" s="33"/>
      <c r="J314" s="79"/>
      <c r="K314" s="79"/>
      <c r="L314" s="79"/>
      <c r="M314" s="79"/>
      <c r="N314" s="11"/>
      <c r="O314" s="8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7.25" customHeight="1">
      <c r="A315" s="83"/>
      <c r="B315" s="11"/>
      <c r="C315" s="79"/>
      <c r="D315" s="79"/>
      <c r="E315" s="11"/>
      <c r="F315" s="79"/>
      <c r="G315" s="79"/>
      <c r="H315" s="79"/>
      <c r="I315" s="33"/>
      <c r="J315" s="79"/>
      <c r="K315" s="79"/>
      <c r="L315" s="79"/>
      <c r="M315" s="79"/>
      <c r="N315" s="11"/>
      <c r="O315" s="8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7.25" customHeight="1">
      <c r="A316" s="83"/>
      <c r="B316" s="11"/>
      <c r="C316" s="79"/>
      <c r="D316" s="79"/>
      <c r="E316" s="11"/>
      <c r="F316" s="79"/>
      <c r="G316" s="79"/>
      <c r="H316" s="79"/>
      <c r="I316" s="33"/>
      <c r="J316" s="79"/>
      <c r="K316" s="79"/>
      <c r="L316" s="79"/>
      <c r="M316" s="79"/>
      <c r="N316" s="11"/>
      <c r="O316" s="8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7.25" customHeight="1">
      <c r="A317" s="83"/>
      <c r="B317" s="11"/>
      <c r="C317" s="79"/>
      <c r="D317" s="79"/>
      <c r="E317" s="11"/>
      <c r="F317" s="79"/>
      <c r="G317" s="79"/>
      <c r="H317" s="79"/>
      <c r="I317" s="33"/>
      <c r="J317" s="79"/>
      <c r="K317" s="79"/>
      <c r="L317" s="79"/>
      <c r="M317" s="79"/>
      <c r="N317" s="11"/>
      <c r="O317" s="8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7.25" customHeight="1">
      <c r="A318" s="83"/>
      <c r="B318" s="11"/>
      <c r="C318" s="79"/>
      <c r="D318" s="79"/>
      <c r="E318" s="11"/>
      <c r="F318" s="79"/>
      <c r="G318" s="79"/>
      <c r="H318" s="79"/>
      <c r="I318" s="33"/>
      <c r="J318" s="79"/>
      <c r="K318" s="79"/>
      <c r="L318" s="79"/>
      <c r="M318" s="79"/>
      <c r="N318" s="11"/>
      <c r="O318" s="8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7.25" customHeight="1">
      <c r="A319" s="83"/>
      <c r="B319" s="11"/>
      <c r="C319" s="79"/>
      <c r="D319" s="79"/>
      <c r="E319" s="11"/>
      <c r="F319" s="79"/>
      <c r="G319" s="79"/>
      <c r="H319" s="79"/>
      <c r="I319" s="33"/>
      <c r="J319" s="79"/>
      <c r="K319" s="79"/>
      <c r="L319" s="79"/>
      <c r="M319" s="79"/>
      <c r="N319" s="11"/>
      <c r="O319" s="8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7.25" customHeight="1">
      <c r="A320" s="83"/>
      <c r="B320" s="11"/>
      <c r="C320" s="79"/>
      <c r="D320" s="79"/>
      <c r="E320" s="11"/>
      <c r="F320" s="79"/>
      <c r="G320" s="79"/>
      <c r="H320" s="79"/>
      <c r="I320" s="33"/>
      <c r="J320" s="79"/>
      <c r="K320" s="79"/>
      <c r="L320" s="79"/>
      <c r="M320" s="79"/>
      <c r="N320" s="11"/>
      <c r="O320" s="8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7.25" customHeight="1">
      <c r="A321" s="83"/>
      <c r="B321" s="11"/>
      <c r="C321" s="79"/>
      <c r="D321" s="79"/>
      <c r="E321" s="11"/>
      <c r="F321" s="79"/>
      <c r="G321" s="79"/>
      <c r="H321" s="79"/>
      <c r="I321" s="33"/>
      <c r="J321" s="79"/>
      <c r="K321" s="79"/>
      <c r="L321" s="79"/>
      <c r="M321" s="79"/>
      <c r="N321" s="11"/>
      <c r="O321" s="8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7.25" customHeight="1">
      <c r="A322" s="83"/>
      <c r="B322" s="11"/>
      <c r="C322" s="79"/>
      <c r="D322" s="79"/>
      <c r="E322" s="11"/>
      <c r="F322" s="79"/>
      <c r="G322" s="79"/>
      <c r="H322" s="79"/>
      <c r="I322" s="33"/>
      <c r="J322" s="79"/>
      <c r="K322" s="79"/>
      <c r="L322" s="79"/>
      <c r="M322" s="79"/>
      <c r="N322" s="11"/>
      <c r="O322" s="8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7.25" customHeight="1">
      <c r="A323" s="83"/>
      <c r="B323" s="11"/>
      <c r="C323" s="79"/>
      <c r="D323" s="79"/>
      <c r="E323" s="11"/>
      <c r="F323" s="79"/>
      <c r="G323" s="79"/>
      <c r="H323" s="79"/>
      <c r="I323" s="33"/>
      <c r="J323" s="79"/>
      <c r="K323" s="79"/>
      <c r="L323" s="79"/>
      <c r="M323" s="79"/>
      <c r="N323" s="11"/>
      <c r="O323" s="8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7.25" customHeight="1">
      <c r="A324" s="83"/>
      <c r="B324" s="11"/>
      <c r="C324" s="79"/>
      <c r="D324" s="79"/>
      <c r="E324" s="11"/>
      <c r="F324" s="79"/>
      <c r="G324" s="79"/>
      <c r="H324" s="79"/>
      <c r="I324" s="33"/>
      <c r="J324" s="79"/>
      <c r="K324" s="79"/>
      <c r="L324" s="79"/>
      <c r="M324" s="79"/>
      <c r="N324" s="11"/>
      <c r="O324" s="8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7.25" customHeight="1">
      <c r="A325" s="83"/>
      <c r="B325" s="11"/>
      <c r="C325" s="79"/>
      <c r="D325" s="79"/>
      <c r="E325" s="11"/>
      <c r="F325" s="79"/>
      <c r="G325" s="79"/>
      <c r="H325" s="79"/>
      <c r="I325" s="33"/>
      <c r="J325" s="79"/>
      <c r="K325" s="79"/>
      <c r="L325" s="79"/>
      <c r="M325" s="79"/>
      <c r="N325" s="11"/>
      <c r="O325" s="8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7.25" customHeight="1">
      <c r="A326" s="83"/>
      <c r="B326" s="11"/>
      <c r="C326" s="79"/>
      <c r="D326" s="79"/>
      <c r="E326" s="11"/>
      <c r="F326" s="79"/>
      <c r="G326" s="79"/>
      <c r="H326" s="79"/>
      <c r="I326" s="33"/>
      <c r="J326" s="79"/>
      <c r="K326" s="79"/>
      <c r="L326" s="79"/>
      <c r="M326" s="79"/>
      <c r="N326" s="11"/>
      <c r="O326" s="8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7.25" customHeight="1">
      <c r="A327" s="83"/>
      <c r="B327" s="11"/>
      <c r="C327" s="79"/>
      <c r="D327" s="79"/>
      <c r="E327" s="11"/>
      <c r="F327" s="79"/>
      <c r="G327" s="79"/>
      <c r="H327" s="79"/>
      <c r="I327" s="33"/>
      <c r="J327" s="79"/>
      <c r="K327" s="79"/>
      <c r="L327" s="79"/>
      <c r="M327" s="79"/>
      <c r="N327" s="11"/>
      <c r="O327" s="8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7.25" customHeight="1">
      <c r="A328" s="83"/>
      <c r="B328" s="11"/>
      <c r="C328" s="79"/>
      <c r="D328" s="79"/>
      <c r="E328" s="11"/>
      <c r="F328" s="79"/>
      <c r="G328" s="79"/>
      <c r="H328" s="79"/>
      <c r="I328" s="33"/>
      <c r="J328" s="79"/>
      <c r="K328" s="79"/>
      <c r="L328" s="79"/>
      <c r="M328" s="79"/>
      <c r="N328" s="11"/>
      <c r="O328" s="8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7.25" customHeight="1">
      <c r="A329" s="83"/>
      <c r="B329" s="11"/>
      <c r="C329" s="79"/>
      <c r="D329" s="79"/>
      <c r="E329" s="11"/>
      <c r="F329" s="79"/>
      <c r="G329" s="79"/>
      <c r="H329" s="79"/>
      <c r="I329" s="33"/>
      <c r="J329" s="79"/>
      <c r="K329" s="79"/>
      <c r="L329" s="79"/>
      <c r="M329" s="79"/>
      <c r="N329" s="11"/>
      <c r="O329" s="8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7.25" customHeight="1">
      <c r="A330" s="83"/>
      <c r="B330" s="11"/>
      <c r="C330" s="79"/>
      <c r="D330" s="79"/>
      <c r="E330" s="11"/>
      <c r="F330" s="79"/>
      <c r="G330" s="79"/>
      <c r="H330" s="79"/>
      <c r="I330" s="33"/>
      <c r="J330" s="79"/>
      <c r="K330" s="79"/>
      <c r="L330" s="79"/>
      <c r="M330" s="79"/>
      <c r="N330" s="11"/>
      <c r="O330" s="8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7.25" customHeight="1">
      <c r="A331" s="83"/>
      <c r="B331" s="11"/>
      <c r="C331" s="79"/>
      <c r="D331" s="79"/>
      <c r="E331" s="11"/>
      <c r="F331" s="79"/>
      <c r="G331" s="79"/>
      <c r="H331" s="79"/>
      <c r="I331" s="33"/>
      <c r="J331" s="79"/>
      <c r="K331" s="79"/>
      <c r="L331" s="79"/>
      <c r="M331" s="79"/>
      <c r="N331" s="11"/>
      <c r="O331" s="8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7.25" customHeight="1">
      <c r="A332" s="83"/>
      <c r="B332" s="11"/>
      <c r="C332" s="79"/>
      <c r="D332" s="79"/>
      <c r="E332" s="11"/>
      <c r="F332" s="79"/>
      <c r="G332" s="79"/>
      <c r="H332" s="79"/>
      <c r="I332" s="33"/>
      <c r="J332" s="79"/>
      <c r="K332" s="79"/>
      <c r="L332" s="79"/>
      <c r="M332" s="79"/>
      <c r="N332" s="11"/>
      <c r="O332" s="8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7.25" customHeight="1">
      <c r="A333" s="83"/>
      <c r="B333" s="11"/>
      <c r="C333" s="79"/>
      <c r="D333" s="79"/>
      <c r="E333" s="11"/>
      <c r="F333" s="79"/>
      <c r="G333" s="79"/>
      <c r="H333" s="79"/>
      <c r="I333" s="33"/>
      <c r="J333" s="79"/>
      <c r="K333" s="79"/>
      <c r="L333" s="79"/>
      <c r="M333" s="79"/>
      <c r="N333" s="11"/>
      <c r="O333" s="8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7.25" customHeight="1">
      <c r="A334" s="83"/>
      <c r="B334" s="11"/>
      <c r="C334" s="79"/>
      <c r="D334" s="79"/>
      <c r="E334" s="11"/>
      <c r="F334" s="79"/>
      <c r="G334" s="79"/>
      <c r="H334" s="79"/>
      <c r="I334" s="33"/>
      <c r="J334" s="79"/>
      <c r="K334" s="79"/>
      <c r="L334" s="79"/>
      <c r="M334" s="79"/>
      <c r="N334" s="11"/>
      <c r="O334" s="8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7.25" customHeight="1">
      <c r="A335" s="83"/>
      <c r="B335" s="11"/>
      <c r="C335" s="79"/>
      <c r="D335" s="79"/>
      <c r="E335" s="11"/>
      <c r="F335" s="79"/>
      <c r="G335" s="79"/>
      <c r="H335" s="79"/>
      <c r="I335" s="33"/>
      <c r="J335" s="79"/>
      <c r="K335" s="79"/>
      <c r="L335" s="79"/>
      <c r="M335" s="79"/>
      <c r="N335" s="11"/>
      <c r="O335" s="8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7.25" customHeight="1">
      <c r="A336" s="83"/>
      <c r="B336" s="11"/>
      <c r="C336" s="79"/>
      <c r="D336" s="79"/>
      <c r="E336" s="11"/>
      <c r="F336" s="79"/>
      <c r="G336" s="79"/>
      <c r="H336" s="79"/>
      <c r="I336" s="33"/>
      <c r="J336" s="79"/>
      <c r="K336" s="79"/>
      <c r="L336" s="79"/>
      <c r="M336" s="79"/>
      <c r="N336" s="11"/>
      <c r="O336" s="8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7.25" customHeight="1">
      <c r="A337" s="83"/>
      <c r="B337" s="11"/>
      <c r="C337" s="79"/>
      <c r="D337" s="79"/>
      <c r="E337" s="11"/>
      <c r="F337" s="79"/>
      <c r="G337" s="79"/>
      <c r="H337" s="79"/>
      <c r="I337" s="33"/>
      <c r="J337" s="79"/>
      <c r="K337" s="79"/>
      <c r="L337" s="79"/>
      <c r="M337" s="79"/>
      <c r="N337" s="11"/>
      <c r="O337" s="8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7.25" customHeight="1">
      <c r="A338" s="83"/>
      <c r="B338" s="11"/>
      <c r="C338" s="79"/>
      <c r="D338" s="79"/>
      <c r="E338" s="11"/>
      <c r="F338" s="79"/>
      <c r="G338" s="79"/>
      <c r="H338" s="79"/>
      <c r="I338" s="33"/>
      <c r="J338" s="79"/>
      <c r="K338" s="79"/>
      <c r="L338" s="79"/>
      <c r="M338" s="79"/>
      <c r="N338" s="11"/>
      <c r="O338" s="8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7.25" customHeight="1">
      <c r="A339" s="83"/>
      <c r="B339" s="11"/>
      <c r="C339" s="79"/>
      <c r="D339" s="79"/>
      <c r="E339" s="11"/>
      <c r="F339" s="79"/>
      <c r="G339" s="79"/>
      <c r="H339" s="79"/>
      <c r="I339" s="33"/>
      <c r="J339" s="79"/>
      <c r="K339" s="79"/>
      <c r="L339" s="79"/>
      <c r="M339" s="79"/>
      <c r="N339" s="11"/>
      <c r="O339" s="8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7.25" customHeight="1">
      <c r="A340" s="83"/>
      <c r="B340" s="11"/>
      <c r="C340" s="79"/>
      <c r="D340" s="79"/>
      <c r="E340" s="11"/>
      <c r="F340" s="79"/>
      <c r="G340" s="79"/>
      <c r="H340" s="79"/>
      <c r="I340" s="33"/>
      <c r="J340" s="79"/>
      <c r="K340" s="79"/>
      <c r="L340" s="79"/>
      <c r="M340" s="79"/>
      <c r="N340" s="11"/>
      <c r="O340" s="8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7.25" customHeight="1">
      <c r="A341" s="83"/>
      <c r="B341" s="11"/>
      <c r="C341" s="79"/>
      <c r="D341" s="79"/>
      <c r="E341" s="11"/>
      <c r="F341" s="79"/>
      <c r="G341" s="79"/>
      <c r="H341" s="79"/>
      <c r="I341" s="33"/>
      <c r="J341" s="79"/>
      <c r="K341" s="79"/>
      <c r="L341" s="79"/>
      <c r="M341" s="79"/>
      <c r="N341" s="11"/>
      <c r="O341" s="8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7.25" customHeight="1">
      <c r="A342" s="83"/>
      <c r="B342" s="11"/>
      <c r="C342" s="79"/>
      <c r="D342" s="79"/>
      <c r="E342" s="11"/>
      <c r="F342" s="79"/>
      <c r="G342" s="79"/>
      <c r="H342" s="79"/>
      <c r="I342" s="33"/>
      <c r="J342" s="79"/>
      <c r="K342" s="79"/>
      <c r="L342" s="79"/>
      <c r="M342" s="79"/>
      <c r="N342" s="11"/>
      <c r="O342" s="8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7.25" customHeight="1">
      <c r="A343" s="83"/>
      <c r="B343" s="11"/>
      <c r="C343" s="79"/>
      <c r="D343" s="79"/>
      <c r="E343" s="11"/>
      <c r="F343" s="79"/>
      <c r="G343" s="79"/>
      <c r="H343" s="79"/>
      <c r="I343" s="33"/>
      <c r="J343" s="79"/>
      <c r="K343" s="79"/>
      <c r="L343" s="79"/>
      <c r="M343" s="79"/>
      <c r="N343" s="11"/>
      <c r="O343" s="8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7.25" customHeight="1">
      <c r="A344" s="83"/>
      <c r="B344" s="11"/>
      <c r="C344" s="79"/>
      <c r="D344" s="79"/>
      <c r="E344" s="11"/>
      <c r="F344" s="79"/>
      <c r="G344" s="79"/>
      <c r="H344" s="79"/>
      <c r="I344" s="33"/>
      <c r="J344" s="79"/>
      <c r="K344" s="79"/>
      <c r="L344" s="79"/>
      <c r="M344" s="79"/>
      <c r="N344" s="11"/>
      <c r="O344" s="8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7.25" customHeight="1">
      <c r="A345" s="83"/>
      <c r="B345" s="11"/>
      <c r="C345" s="79"/>
      <c r="D345" s="79"/>
      <c r="E345" s="11"/>
      <c r="F345" s="79"/>
      <c r="G345" s="79"/>
      <c r="H345" s="79"/>
      <c r="I345" s="33"/>
      <c r="J345" s="79"/>
      <c r="K345" s="79"/>
      <c r="L345" s="79"/>
      <c r="M345" s="79"/>
      <c r="N345" s="11"/>
      <c r="O345" s="8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7.25" customHeight="1">
      <c r="A346" s="83"/>
      <c r="B346" s="11"/>
      <c r="C346" s="79"/>
      <c r="D346" s="79"/>
      <c r="E346" s="11"/>
      <c r="F346" s="79"/>
      <c r="G346" s="79"/>
      <c r="H346" s="79"/>
      <c r="I346" s="33"/>
      <c r="J346" s="79"/>
      <c r="K346" s="79"/>
      <c r="L346" s="79"/>
      <c r="M346" s="79"/>
      <c r="N346" s="11"/>
      <c r="O346" s="8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7.25" customHeight="1">
      <c r="A347" s="83"/>
      <c r="B347" s="11"/>
      <c r="C347" s="79"/>
      <c r="D347" s="79"/>
      <c r="E347" s="11"/>
      <c r="F347" s="79"/>
      <c r="G347" s="79"/>
      <c r="H347" s="79"/>
      <c r="I347" s="33"/>
      <c r="J347" s="79"/>
      <c r="K347" s="79"/>
      <c r="L347" s="79"/>
      <c r="M347" s="79"/>
      <c r="N347" s="11"/>
      <c r="O347" s="8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7.25" customHeight="1">
      <c r="A348" s="83"/>
      <c r="B348" s="11"/>
      <c r="C348" s="79"/>
      <c r="D348" s="79"/>
      <c r="E348" s="11"/>
      <c r="F348" s="79"/>
      <c r="G348" s="79"/>
      <c r="H348" s="79"/>
      <c r="I348" s="33"/>
      <c r="J348" s="79"/>
      <c r="K348" s="79"/>
      <c r="L348" s="79"/>
      <c r="M348" s="79"/>
      <c r="N348" s="11"/>
      <c r="O348" s="8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7.25" customHeight="1">
      <c r="A349" s="83"/>
      <c r="B349" s="11"/>
      <c r="C349" s="79"/>
      <c r="D349" s="79"/>
      <c r="E349" s="11"/>
      <c r="F349" s="79"/>
      <c r="G349" s="79"/>
      <c r="H349" s="79"/>
      <c r="I349" s="33"/>
      <c r="J349" s="79"/>
      <c r="K349" s="79"/>
      <c r="L349" s="79"/>
      <c r="M349" s="79"/>
      <c r="N349" s="11"/>
      <c r="O349" s="8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7.25" customHeight="1">
      <c r="A350" s="83"/>
      <c r="B350" s="11"/>
      <c r="C350" s="79"/>
      <c r="D350" s="79"/>
      <c r="E350" s="11"/>
      <c r="F350" s="79"/>
      <c r="G350" s="79"/>
      <c r="H350" s="79"/>
      <c r="I350" s="33"/>
      <c r="J350" s="79"/>
      <c r="K350" s="79"/>
      <c r="L350" s="79"/>
      <c r="M350" s="79"/>
      <c r="N350" s="11"/>
      <c r="O350" s="8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7.25" customHeight="1">
      <c r="A351" s="83"/>
      <c r="B351" s="11"/>
      <c r="C351" s="79"/>
      <c r="D351" s="79"/>
      <c r="E351" s="11"/>
      <c r="F351" s="79"/>
      <c r="G351" s="79"/>
      <c r="H351" s="79"/>
      <c r="I351" s="33"/>
      <c r="J351" s="79"/>
      <c r="K351" s="79"/>
      <c r="L351" s="79"/>
      <c r="M351" s="79"/>
      <c r="N351" s="11"/>
      <c r="O351" s="8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7.25" customHeight="1">
      <c r="A352" s="83"/>
      <c r="B352" s="11"/>
      <c r="C352" s="79"/>
      <c r="D352" s="79"/>
      <c r="E352" s="11"/>
      <c r="F352" s="79"/>
      <c r="G352" s="79"/>
      <c r="H352" s="79"/>
      <c r="I352" s="33"/>
      <c r="J352" s="79"/>
      <c r="K352" s="79"/>
      <c r="L352" s="79"/>
      <c r="M352" s="79"/>
      <c r="N352" s="11"/>
      <c r="O352" s="8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7.25" customHeight="1">
      <c r="A353" s="83"/>
      <c r="B353" s="11"/>
      <c r="C353" s="79"/>
      <c r="D353" s="79"/>
      <c r="E353" s="11"/>
      <c r="F353" s="79"/>
      <c r="G353" s="79"/>
      <c r="H353" s="79"/>
      <c r="I353" s="33"/>
      <c r="J353" s="79"/>
      <c r="K353" s="79"/>
      <c r="L353" s="79"/>
      <c r="M353" s="79"/>
      <c r="N353" s="11"/>
      <c r="O353" s="8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7.25" customHeight="1">
      <c r="A354" s="83"/>
      <c r="B354" s="11"/>
      <c r="C354" s="79"/>
      <c r="D354" s="79"/>
      <c r="E354" s="11"/>
      <c r="F354" s="79"/>
      <c r="G354" s="79"/>
      <c r="H354" s="79"/>
      <c r="I354" s="33"/>
      <c r="J354" s="79"/>
      <c r="K354" s="79"/>
      <c r="L354" s="79"/>
      <c r="M354" s="79"/>
      <c r="N354" s="11"/>
      <c r="O354" s="8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7.25" customHeight="1">
      <c r="A355" s="83"/>
      <c r="B355" s="11"/>
      <c r="C355" s="79"/>
      <c r="D355" s="79"/>
      <c r="E355" s="11"/>
      <c r="F355" s="79"/>
      <c r="G355" s="79"/>
      <c r="H355" s="79"/>
      <c r="I355" s="33"/>
      <c r="J355" s="79"/>
      <c r="K355" s="79"/>
      <c r="L355" s="79"/>
      <c r="M355" s="79"/>
      <c r="N355" s="11"/>
      <c r="O355" s="8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7.25" customHeight="1">
      <c r="A356" s="83"/>
      <c r="B356" s="11"/>
      <c r="C356" s="79"/>
      <c r="D356" s="79"/>
      <c r="E356" s="11"/>
      <c r="F356" s="79"/>
      <c r="G356" s="79"/>
      <c r="H356" s="79"/>
      <c r="I356" s="33"/>
      <c r="J356" s="79"/>
      <c r="K356" s="79"/>
      <c r="L356" s="79"/>
      <c r="M356" s="79"/>
      <c r="N356" s="11"/>
      <c r="O356" s="8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7.25" customHeight="1">
      <c r="A357" s="83"/>
      <c r="B357" s="11"/>
      <c r="C357" s="79"/>
      <c r="D357" s="79"/>
      <c r="E357" s="11"/>
      <c r="F357" s="79"/>
      <c r="G357" s="79"/>
      <c r="H357" s="79"/>
      <c r="I357" s="33"/>
      <c r="J357" s="79"/>
      <c r="K357" s="79"/>
      <c r="L357" s="79"/>
      <c r="M357" s="79"/>
      <c r="N357" s="11"/>
      <c r="O357" s="8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7.25" customHeight="1">
      <c r="A358" s="83"/>
      <c r="B358" s="11"/>
      <c r="C358" s="79"/>
      <c r="D358" s="79"/>
      <c r="E358" s="11"/>
      <c r="F358" s="79"/>
      <c r="G358" s="79"/>
      <c r="H358" s="79"/>
      <c r="I358" s="33"/>
      <c r="J358" s="79"/>
      <c r="K358" s="79"/>
      <c r="L358" s="79"/>
      <c r="M358" s="79"/>
      <c r="N358" s="11"/>
      <c r="O358" s="8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7.25" customHeight="1">
      <c r="A359" s="83"/>
      <c r="B359" s="11"/>
      <c r="C359" s="79"/>
      <c r="D359" s="79"/>
      <c r="E359" s="11"/>
      <c r="F359" s="79"/>
      <c r="G359" s="79"/>
      <c r="H359" s="79"/>
      <c r="I359" s="33"/>
      <c r="J359" s="79"/>
      <c r="K359" s="79"/>
      <c r="L359" s="79"/>
      <c r="M359" s="79"/>
      <c r="N359" s="11"/>
      <c r="O359" s="8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7.25" customHeight="1">
      <c r="A360" s="83"/>
      <c r="B360" s="11"/>
      <c r="C360" s="79"/>
      <c r="D360" s="79"/>
      <c r="E360" s="11"/>
      <c r="F360" s="79"/>
      <c r="G360" s="79"/>
      <c r="H360" s="79"/>
      <c r="I360" s="33"/>
      <c r="J360" s="79"/>
      <c r="K360" s="79"/>
      <c r="L360" s="79"/>
      <c r="M360" s="79"/>
      <c r="N360" s="11"/>
      <c r="O360" s="8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7.25" customHeight="1">
      <c r="A361" s="83"/>
      <c r="B361" s="11"/>
      <c r="C361" s="79"/>
      <c r="D361" s="79"/>
      <c r="E361" s="11"/>
      <c r="F361" s="79"/>
      <c r="G361" s="79"/>
      <c r="H361" s="79"/>
      <c r="I361" s="33"/>
      <c r="J361" s="79"/>
      <c r="K361" s="79"/>
      <c r="L361" s="79"/>
      <c r="M361" s="79"/>
      <c r="N361" s="11"/>
      <c r="O361" s="8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7.25" customHeight="1">
      <c r="A362" s="83"/>
      <c r="B362" s="11"/>
      <c r="C362" s="79"/>
      <c r="D362" s="79"/>
      <c r="E362" s="11"/>
      <c r="F362" s="79"/>
      <c r="G362" s="79"/>
      <c r="H362" s="79"/>
      <c r="I362" s="33"/>
      <c r="J362" s="79"/>
      <c r="K362" s="79"/>
      <c r="L362" s="79"/>
      <c r="M362" s="79"/>
      <c r="N362" s="11"/>
      <c r="O362" s="8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7.25" customHeight="1">
      <c r="A363" s="83"/>
      <c r="B363" s="11"/>
      <c r="C363" s="79"/>
      <c r="D363" s="79"/>
      <c r="E363" s="11"/>
      <c r="F363" s="79"/>
      <c r="G363" s="79"/>
      <c r="H363" s="79"/>
      <c r="I363" s="33"/>
      <c r="J363" s="79"/>
      <c r="K363" s="79"/>
      <c r="L363" s="79"/>
      <c r="M363" s="79"/>
      <c r="N363" s="11"/>
      <c r="O363" s="8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7.25" customHeight="1">
      <c r="A364" s="83"/>
      <c r="B364" s="11"/>
      <c r="C364" s="79"/>
      <c r="D364" s="79"/>
      <c r="E364" s="11"/>
      <c r="F364" s="79"/>
      <c r="G364" s="79"/>
      <c r="H364" s="79"/>
      <c r="I364" s="33"/>
      <c r="J364" s="79"/>
      <c r="K364" s="79"/>
      <c r="L364" s="79"/>
      <c r="M364" s="79"/>
      <c r="N364" s="11"/>
      <c r="O364" s="8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7.25" customHeight="1">
      <c r="A365" s="83"/>
      <c r="B365" s="11"/>
      <c r="C365" s="79"/>
      <c r="D365" s="79"/>
      <c r="E365" s="11"/>
      <c r="F365" s="79"/>
      <c r="G365" s="79"/>
      <c r="H365" s="79"/>
      <c r="I365" s="33"/>
      <c r="J365" s="79"/>
      <c r="K365" s="79"/>
      <c r="L365" s="79"/>
      <c r="M365" s="79"/>
      <c r="N365" s="11"/>
      <c r="O365" s="8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7.25" customHeight="1">
      <c r="A366" s="83"/>
      <c r="B366" s="11"/>
      <c r="C366" s="79"/>
      <c r="D366" s="79"/>
      <c r="E366" s="11"/>
      <c r="F366" s="79"/>
      <c r="G366" s="79"/>
      <c r="H366" s="79"/>
      <c r="I366" s="33"/>
      <c r="J366" s="79"/>
      <c r="K366" s="79"/>
      <c r="L366" s="79"/>
      <c r="M366" s="79"/>
      <c r="N366" s="11"/>
      <c r="O366" s="8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7.25" customHeight="1">
      <c r="A367" s="83"/>
      <c r="B367" s="11"/>
      <c r="C367" s="79"/>
      <c r="D367" s="79"/>
      <c r="E367" s="11"/>
      <c r="F367" s="79"/>
      <c r="G367" s="79"/>
      <c r="H367" s="79"/>
      <c r="I367" s="33"/>
      <c r="J367" s="79"/>
      <c r="K367" s="79"/>
      <c r="L367" s="79"/>
      <c r="M367" s="79"/>
      <c r="N367" s="11"/>
      <c r="O367" s="8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7.25" customHeight="1">
      <c r="A368" s="83"/>
      <c r="B368" s="11"/>
      <c r="C368" s="79"/>
      <c r="D368" s="79"/>
      <c r="E368" s="11"/>
      <c r="F368" s="79"/>
      <c r="G368" s="79"/>
      <c r="H368" s="79"/>
      <c r="I368" s="33"/>
      <c r="J368" s="79"/>
      <c r="K368" s="79"/>
      <c r="L368" s="79"/>
      <c r="M368" s="79"/>
      <c r="N368" s="11"/>
      <c r="O368" s="8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7.25" customHeight="1">
      <c r="A369" s="83"/>
      <c r="B369" s="11"/>
      <c r="C369" s="79"/>
      <c r="D369" s="79"/>
      <c r="E369" s="11"/>
      <c r="F369" s="79"/>
      <c r="G369" s="79"/>
      <c r="H369" s="79"/>
      <c r="I369" s="33"/>
      <c r="J369" s="79"/>
      <c r="K369" s="79"/>
      <c r="L369" s="79"/>
      <c r="M369" s="79"/>
      <c r="N369" s="11"/>
      <c r="O369" s="8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7.25" customHeight="1">
      <c r="A370" s="83"/>
      <c r="B370" s="11"/>
      <c r="C370" s="79"/>
      <c r="D370" s="79"/>
      <c r="E370" s="11"/>
      <c r="F370" s="79"/>
      <c r="G370" s="79"/>
      <c r="H370" s="79"/>
      <c r="I370" s="33"/>
      <c r="J370" s="79"/>
      <c r="K370" s="79"/>
      <c r="L370" s="79"/>
      <c r="M370" s="79"/>
      <c r="N370" s="11"/>
      <c r="O370" s="8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7.25" customHeight="1">
      <c r="A371" s="83"/>
      <c r="B371" s="11"/>
      <c r="C371" s="79"/>
      <c r="D371" s="79"/>
      <c r="E371" s="11"/>
      <c r="F371" s="79"/>
      <c r="G371" s="79"/>
      <c r="H371" s="79"/>
      <c r="I371" s="33"/>
      <c r="J371" s="79"/>
      <c r="K371" s="79"/>
      <c r="L371" s="79"/>
      <c r="M371" s="79"/>
      <c r="N371" s="11"/>
      <c r="O371" s="8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7.25" customHeight="1">
      <c r="A372" s="83"/>
      <c r="B372" s="11"/>
      <c r="C372" s="79"/>
      <c r="D372" s="79"/>
      <c r="E372" s="11"/>
      <c r="F372" s="79"/>
      <c r="G372" s="79"/>
      <c r="H372" s="79"/>
      <c r="I372" s="33"/>
      <c r="J372" s="79"/>
      <c r="K372" s="79"/>
      <c r="L372" s="79"/>
      <c r="M372" s="79"/>
      <c r="N372" s="11"/>
      <c r="O372" s="8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7.25" customHeight="1">
      <c r="A373" s="83"/>
      <c r="B373" s="11"/>
      <c r="C373" s="79"/>
      <c r="D373" s="79"/>
      <c r="E373" s="11"/>
      <c r="F373" s="79"/>
      <c r="G373" s="79"/>
      <c r="H373" s="79"/>
      <c r="I373" s="33"/>
      <c r="J373" s="79"/>
      <c r="K373" s="79"/>
      <c r="L373" s="79"/>
      <c r="M373" s="79"/>
      <c r="N373" s="11"/>
      <c r="O373" s="8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7.25" customHeight="1">
      <c r="A374" s="83"/>
      <c r="B374" s="11"/>
      <c r="C374" s="79"/>
      <c r="D374" s="79"/>
      <c r="E374" s="11"/>
      <c r="F374" s="79"/>
      <c r="G374" s="79"/>
      <c r="H374" s="79"/>
      <c r="I374" s="33"/>
      <c r="J374" s="79"/>
      <c r="K374" s="79"/>
      <c r="L374" s="79"/>
      <c r="M374" s="79"/>
      <c r="N374" s="11"/>
      <c r="O374" s="8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7.25" customHeight="1">
      <c r="A375" s="83"/>
      <c r="B375" s="11"/>
      <c r="C375" s="79"/>
      <c r="D375" s="79"/>
      <c r="E375" s="11"/>
      <c r="F375" s="79"/>
      <c r="G375" s="79"/>
      <c r="H375" s="79"/>
      <c r="I375" s="33"/>
      <c r="J375" s="79"/>
      <c r="K375" s="79"/>
      <c r="L375" s="79"/>
      <c r="M375" s="79"/>
      <c r="N375" s="11"/>
      <c r="O375" s="8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7.25" customHeight="1">
      <c r="A376" s="83"/>
      <c r="B376" s="11"/>
      <c r="C376" s="79"/>
      <c r="D376" s="79"/>
      <c r="E376" s="11"/>
      <c r="F376" s="79"/>
      <c r="G376" s="79"/>
      <c r="H376" s="79"/>
      <c r="I376" s="33"/>
      <c r="J376" s="79"/>
      <c r="K376" s="79"/>
      <c r="L376" s="79"/>
      <c r="M376" s="79"/>
      <c r="N376" s="11"/>
      <c r="O376" s="8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7.25" customHeight="1">
      <c r="A377" s="83"/>
      <c r="B377" s="11"/>
      <c r="C377" s="79"/>
      <c r="D377" s="79"/>
      <c r="E377" s="11"/>
      <c r="F377" s="79"/>
      <c r="G377" s="79"/>
      <c r="H377" s="79"/>
      <c r="I377" s="33"/>
      <c r="J377" s="79"/>
      <c r="K377" s="79"/>
      <c r="L377" s="79"/>
      <c r="M377" s="79"/>
      <c r="N377" s="11"/>
      <c r="O377" s="8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7.25" customHeight="1">
      <c r="A378" s="83"/>
      <c r="B378" s="11"/>
      <c r="C378" s="79"/>
      <c r="D378" s="79"/>
      <c r="E378" s="11"/>
      <c r="F378" s="79"/>
      <c r="G378" s="79"/>
      <c r="H378" s="79"/>
      <c r="I378" s="33"/>
      <c r="J378" s="79"/>
      <c r="K378" s="79"/>
      <c r="L378" s="79"/>
      <c r="M378" s="79"/>
      <c r="N378" s="11"/>
      <c r="O378" s="8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7.25" customHeight="1">
      <c r="A379" s="83"/>
      <c r="B379" s="11"/>
      <c r="C379" s="79"/>
      <c r="D379" s="79"/>
      <c r="E379" s="11"/>
      <c r="F379" s="79"/>
      <c r="G379" s="79"/>
      <c r="H379" s="79"/>
      <c r="I379" s="33"/>
      <c r="J379" s="79"/>
      <c r="K379" s="79"/>
      <c r="L379" s="79"/>
      <c r="M379" s="79"/>
      <c r="N379" s="11"/>
      <c r="O379" s="8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7.25" customHeight="1">
      <c r="A380" s="83"/>
      <c r="B380" s="11"/>
      <c r="C380" s="79"/>
      <c r="D380" s="79"/>
      <c r="E380" s="11"/>
      <c r="F380" s="79"/>
      <c r="G380" s="79"/>
      <c r="H380" s="79"/>
      <c r="I380" s="33"/>
      <c r="J380" s="79"/>
      <c r="K380" s="79"/>
      <c r="L380" s="79"/>
      <c r="M380" s="79"/>
      <c r="N380" s="11"/>
      <c r="O380" s="8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7.25" customHeight="1">
      <c r="A381" s="83"/>
      <c r="B381" s="11"/>
      <c r="C381" s="79"/>
      <c r="D381" s="79"/>
      <c r="E381" s="11"/>
      <c r="F381" s="79"/>
      <c r="G381" s="79"/>
      <c r="H381" s="79"/>
      <c r="I381" s="33"/>
      <c r="J381" s="79"/>
      <c r="K381" s="79"/>
      <c r="L381" s="79"/>
      <c r="M381" s="79"/>
      <c r="N381" s="11"/>
      <c r="O381" s="8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7.25" customHeight="1">
      <c r="A382" s="83"/>
      <c r="B382" s="11"/>
      <c r="C382" s="79"/>
      <c r="D382" s="79"/>
      <c r="E382" s="11"/>
      <c r="F382" s="79"/>
      <c r="G382" s="79"/>
      <c r="H382" s="79"/>
      <c r="I382" s="33"/>
      <c r="J382" s="79"/>
      <c r="K382" s="79"/>
      <c r="L382" s="79"/>
      <c r="M382" s="79"/>
      <c r="N382" s="11"/>
      <c r="O382" s="8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7.25" customHeight="1">
      <c r="A383" s="83"/>
      <c r="B383" s="11"/>
      <c r="C383" s="79"/>
      <c r="D383" s="79"/>
      <c r="E383" s="11"/>
      <c r="F383" s="79"/>
      <c r="G383" s="79"/>
      <c r="H383" s="79"/>
      <c r="I383" s="33"/>
      <c r="J383" s="79"/>
      <c r="K383" s="79"/>
      <c r="L383" s="79"/>
      <c r="M383" s="79"/>
      <c r="N383" s="11"/>
      <c r="O383" s="8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7.25" customHeight="1">
      <c r="A384" s="83"/>
      <c r="B384" s="11"/>
      <c r="C384" s="79"/>
      <c r="D384" s="79"/>
      <c r="E384" s="11"/>
      <c r="F384" s="79"/>
      <c r="G384" s="79"/>
      <c r="H384" s="79"/>
      <c r="I384" s="33"/>
      <c r="J384" s="79"/>
      <c r="K384" s="79"/>
      <c r="L384" s="79"/>
      <c r="M384" s="79"/>
      <c r="N384" s="11"/>
      <c r="O384" s="8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7.25" customHeight="1">
      <c r="A385" s="83"/>
      <c r="B385" s="11"/>
      <c r="C385" s="79"/>
      <c r="D385" s="79"/>
      <c r="E385" s="11"/>
      <c r="F385" s="79"/>
      <c r="G385" s="79"/>
      <c r="H385" s="79"/>
      <c r="I385" s="33"/>
      <c r="J385" s="79"/>
      <c r="K385" s="79"/>
      <c r="L385" s="79"/>
      <c r="M385" s="79"/>
      <c r="N385" s="11"/>
      <c r="O385" s="8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7.25" customHeight="1">
      <c r="A386" s="83"/>
      <c r="B386" s="11"/>
      <c r="C386" s="79"/>
      <c r="D386" s="79"/>
      <c r="E386" s="11"/>
      <c r="F386" s="79"/>
      <c r="G386" s="79"/>
      <c r="H386" s="79"/>
      <c r="I386" s="33"/>
      <c r="J386" s="79"/>
      <c r="K386" s="79"/>
      <c r="L386" s="79"/>
      <c r="M386" s="79"/>
      <c r="N386" s="11"/>
      <c r="O386" s="8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7.25" customHeight="1">
      <c r="A387" s="83"/>
      <c r="B387" s="11"/>
      <c r="C387" s="79"/>
      <c r="D387" s="79"/>
      <c r="E387" s="11"/>
      <c r="F387" s="79"/>
      <c r="G387" s="79"/>
      <c r="H387" s="79"/>
      <c r="I387" s="33"/>
      <c r="J387" s="79"/>
      <c r="K387" s="79"/>
      <c r="L387" s="79"/>
      <c r="M387" s="79"/>
      <c r="N387" s="11"/>
      <c r="O387" s="8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7.25" customHeight="1">
      <c r="A388" s="83"/>
      <c r="B388" s="11"/>
      <c r="C388" s="79"/>
      <c r="D388" s="79"/>
      <c r="E388" s="11"/>
      <c r="F388" s="79"/>
      <c r="G388" s="79"/>
      <c r="H388" s="79"/>
      <c r="I388" s="33"/>
      <c r="J388" s="79"/>
      <c r="K388" s="79"/>
      <c r="L388" s="79"/>
      <c r="M388" s="79"/>
      <c r="N388" s="11"/>
      <c r="O388" s="8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7.25" customHeight="1">
      <c r="A389" s="83"/>
      <c r="B389" s="11"/>
      <c r="C389" s="79"/>
      <c r="D389" s="79"/>
      <c r="E389" s="11"/>
      <c r="F389" s="79"/>
      <c r="G389" s="79"/>
      <c r="H389" s="79"/>
      <c r="I389" s="33"/>
      <c r="J389" s="79"/>
      <c r="K389" s="79"/>
      <c r="L389" s="79"/>
      <c r="M389" s="79"/>
      <c r="N389" s="11"/>
      <c r="O389" s="8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7.25" customHeight="1">
      <c r="A390" s="83"/>
      <c r="B390" s="11"/>
      <c r="C390" s="79"/>
      <c r="D390" s="79"/>
      <c r="E390" s="11"/>
      <c r="F390" s="79"/>
      <c r="G390" s="79"/>
      <c r="H390" s="79"/>
      <c r="I390" s="33"/>
      <c r="J390" s="79"/>
      <c r="K390" s="79"/>
      <c r="L390" s="79"/>
      <c r="M390" s="79"/>
      <c r="N390" s="11"/>
      <c r="O390" s="8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7.25" customHeight="1">
      <c r="A391" s="83"/>
      <c r="B391" s="11"/>
      <c r="C391" s="79"/>
      <c r="D391" s="79"/>
      <c r="E391" s="11"/>
      <c r="F391" s="79"/>
      <c r="G391" s="79"/>
      <c r="H391" s="79"/>
      <c r="I391" s="33"/>
      <c r="J391" s="79"/>
      <c r="K391" s="79"/>
      <c r="L391" s="79"/>
      <c r="M391" s="79"/>
      <c r="N391" s="11"/>
      <c r="O391" s="8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7.25" customHeight="1">
      <c r="A392" s="83"/>
      <c r="B392" s="11"/>
      <c r="C392" s="79"/>
      <c r="D392" s="79"/>
      <c r="E392" s="11"/>
      <c r="F392" s="79"/>
      <c r="G392" s="79"/>
      <c r="H392" s="79"/>
      <c r="I392" s="33"/>
      <c r="J392" s="79"/>
      <c r="K392" s="79"/>
      <c r="L392" s="79"/>
      <c r="M392" s="79"/>
      <c r="N392" s="11"/>
      <c r="O392" s="8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7.25" customHeight="1">
      <c r="A393" s="83"/>
      <c r="B393" s="11"/>
      <c r="C393" s="79"/>
      <c r="D393" s="79"/>
      <c r="E393" s="11"/>
      <c r="F393" s="79"/>
      <c r="G393" s="79"/>
      <c r="H393" s="79"/>
      <c r="I393" s="33"/>
      <c r="J393" s="79"/>
      <c r="K393" s="79"/>
      <c r="L393" s="79"/>
      <c r="M393" s="79"/>
      <c r="N393" s="11"/>
      <c r="O393" s="8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7.25" customHeight="1">
      <c r="A394" s="83"/>
      <c r="B394" s="11"/>
      <c r="C394" s="79"/>
      <c r="D394" s="79"/>
      <c r="E394" s="11"/>
      <c r="F394" s="79"/>
      <c r="G394" s="79"/>
      <c r="H394" s="79"/>
      <c r="I394" s="33"/>
      <c r="J394" s="79"/>
      <c r="K394" s="79"/>
      <c r="L394" s="79"/>
      <c r="M394" s="79"/>
      <c r="N394" s="11"/>
      <c r="O394" s="8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7.25" customHeight="1">
      <c r="A395" s="83"/>
      <c r="B395" s="11"/>
      <c r="C395" s="79"/>
      <c r="D395" s="79"/>
      <c r="E395" s="11"/>
      <c r="F395" s="79"/>
      <c r="G395" s="79"/>
      <c r="H395" s="79"/>
      <c r="I395" s="33"/>
      <c r="J395" s="79"/>
      <c r="K395" s="79"/>
      <c r="L395" s="79"/>
      <c r="M395" s="79"/>
      <c r="N395" s="11"/>
      <c r="O395" s="8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7.25" customHeight="1">
      <c r="A396" s="83"/>
      <c r="B396" s="11"/>
      <c r="C396" s="79"/>
      <c r="D396" s="79"/>
      <c r="E396" s="11"/>
      <c r="F396" s="79"/>
      <c r="G396" s="79"/>
      <c r="H396" s="79"/>
      <c r="I396" s="33"/>
      <c r="J396" s="79"/>
      <c r="K396" s="79"/>
      <c r="L396" s="79"/>
      <c r="M396" s="79"/>
      <c r="N396" s="11"/>
      <c r="O396" s="8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7.25" customHeight="1">
      <c r="A397" s="83"/>
      <c r="B397" s="11"/>
      <c r="C397" s="79"/>
      <c r="D397" s="79"/>
      <c r="E397" s="11"/>
      <c r="F397" s="79"/>
      <c r="G397" s="79"/>
      <c r="H397" s="79"/>
      <c r="I397" s="33"/>
      <c r="J397" s="79"/>
      <c r="K397" s="79"/>
      <c r="L397" s="79"/>
      <c r="M397" s="79"/>
      <c r="N397" s="11"/>
      <c r="O397" s="8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7.25" customHeight="1">
      <c r="A398" s="83"/>
      <c r="B398" s="11"/>
      <c r="C398" s="79"/>
      <c r="D398" s="79"/>
      <c r="E398" s="11"/>
      <c r="F398" s="79"/>
      <c r="G398" s="79"/>
      <c r="H398" s="79"/>
      <c r="I398" s="33"/>
      <c r="J398" s="79"/>
      <c r="K398" s="79"/>
      <c r="L398" s="79"/>
      <c r="M398" s="79"/>
      <c r="N398" s="11"/>
      <c r="O398" s="8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7.25" customHeight="1">
      <c r="A399" s="83"/>
      <c r="B399" s="11"/>
      <c r="C399" s="79"/>
      <c r="D399" s="79"/>
      <c r="E399" s="11"/>
      <c r="F399" s="79"/>
      <c r="G399" s="79"/>
      <c r="H399" s="79"/>
      <c r="I399" s="33"/>
      <c r="J399" s="79"/>
      <c r="K399" s="79"/>
      <c r="L399" s="79"/>
      <c r="M399" s="79"/>
      <c r="N399" s="11"/>
      <c r="O399" s="8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7.25" customHeight="1">
      <c r="A400" s="83"/>
      <c r="B400" s="11"/>
      <c r="C400" s="79"/>
      <c r="D400" s="79"/>
      <c r="E400" s="11"/>
      <c r="F400" s="79"/>
      <c r="G400" s="79"/>
      <c r="H400" s="79"/>
      <c r="I400" s="33"/>
      <c r="J400" s="79"/>
      <c r="K400" s="79"/>
      <c r="L400" s="79"/>
      <c r="M400" s="79"/>
      <c r="N400" s="11"/>
      <c r="O400" s="8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>
      <c r="A401" s="83"/>
      <c r="B401" s="11"/>
      <c r="C401" s="79"/>
      <c r="D401" s="79"/>
      <c r="E401" s="11"/>
      <c r="F401" s="79"/>
      <c r="G401" s="79"/>
      <c r="H401" s="79"/>
      <c r="I401" s="33"/>
      <c r="J401" s="79"/>
      <c r="K401" s="79"/>
      <c r="L401" s="79"/>
      <c r="M401" s="79"/>
      <c r="N401" s="11"/>
      <c r="O401" s="8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>
      <c r="A402" s="83"/>
      <c r="B402" s="11"/>
      <c r="C402" s="79"/>
      <c r="D402" s="79"/>
      <c r="E402" s="11"/>
      <c r="F402" s="79"/>
      <c r="G402" s="79"/>
      <c r="H402" s="79"/>
      <c r="I402" s="33"/>
      <c r="J402" s="79"/>
      <c r="K402" s="79"/>
      <c r="L402" s="79"/>
      <c r="M402" s="79"/>
      <c r="N402" s="11"/>
      <c r="O402" s="8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>
      <c r="A403" s="83"/>
      <c r="B403" s="11"/>
      <c r="C403" s="79"/>
      <c r="D403" s="79"/>
      <c r="E403" s="11"/>
      <c r="F403" s="79"/>
      <c r="G403" s="79"/>
      <c r="H403" s="79"/>
      <c r="I403" s="33"/>
      <c r="J403" s="79"/>
      <c r="K403" s="79"/>
      <c r="L403" s="79"/>
      <c r="M403" s="79"/>
      <c r="N403" s="11"/>
      <c r="O403" s="8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>
      <c r="A404" s="83"/>
      <c r="B404" s="11"/>
      <c r="C404" s="79"/>
      <c r="D404" s="79"/>
      <c r="E404" s="11"/>
      <c r="F404" s="79"/>
      <c r="G404" s="79"/>
      <c r="H404" s="79"/>
      <c r="I404" s="33"/>
      <c r="J404" s="79"/>
      <c r="K404" s="79"/>
      <c r="L404" s="79"/>
      <c r="M404" s="79"/>
      <c r="N404" s="11"/>
      <c r="O404" s="8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>
      <c r="A405" s="83"/>
      <c r="B405" s="11"/>
      <c r="C405" s="79"/>
      <c r="D405" s="79"/>
      <c r="E405" s="11"/>
      <c r="F405" s="79"/>
      <c r="G405" s="79"/>
      <c r="H405" s="79"/>
      <c r="I405" s="33"/>
      <c r="J405" s="79"/>
      <c r="K405" s="79"/>
      <c r="L405" s="79"/>
      <c r="M405" s="79"/>
      <c r="N405" s="11"/>
      <c r="O405" s="8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>
      <c r="A406" s="83"/>
      <c r="B406" s="11"/>
      <c r="C406" s="79"/>
      <c r="D406" s="79"/>
      <c r="E406" s="11"/>
      <c r="F406" s="79"/>
      <c r="G406" s="79"/>
      <c r="H406" s="79"/>
      <c r="I406" s="33"/>
      <c r="J406" s="79"/>
      <c r="K406" s="79"/>
      <c r="L406" s="79"/>
      <c r="M406" s="79"/>
      <c r="N406" s="11"/>
      <c r="O406" s="8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>
      <c r="A407" s="83"/>
      <c r="B407" s="11"/>
      <c r="C407" s="79"/>
      <c r="D407" s="79"/>
      <c r="E407" s="11"/>
      <c r="F407" s="79"/>
      <c r="G407" s="79"/>
      <c r="H407" s="79"/>
      <c r="I407" s="33"/>
      <c r="J407" s="79"/>
      <c r="K407" s="79"/>
      <c r="L407" s="79"/>
      <c r="M407" s="79"/>
      <c r="N407" s="11"/>
      <c r="O407" s="8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>
      <c r="A408" s="83"/>
      <c r="B408" s="11"/>
      <c r="C408" s="79"/>
      <c r="D408" s="79"/>
      <c r="E408" s="11"/>
      <c r="F408" s="79"/>
      <c r="G408" s="79"/>
      <c r="H408" s="79"/>
      <c r="I408" s="33"/>
      <c r="J408" s="79"/>
      <c r="K408" s="79"/>
      <c r="L408" s="79"/>
      <c r="M408" s="79"/>
      <c r="N408" s="11"/>
      <c r="O408" s="8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>
      <c r="A409" s="83"/>
      <c r="B409" s="11"/>
      <c r="C409" s="79"/>
      <c r="D409" s="79"/>
      <c r="E409" s="11"/>
      <c r="F409" s="79"/>
      <c r="G409" s="79"/>
      <c r="H409" s="79"/>
      <c r="I409" s="33"/>
      <c r="J409" s="79"/>
      <c r="K409" s="79"/>
      <c r="L409" s="79"/>
      <c r="M409" s="79"/>
      <c r="N409" s="11"/>
      <c r="O409" s="8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>
      <c r="A410" s="83"/>
      <c r="B410" s="11"/>
      <c r="C410" s="79"/>
      <c r="D410" s="79"/>
      <c r="E410" s="11"/>
      <c r="F410" s="79"/>
      <c r="G410" s="79"/>
      <c r="H410" s="79"/>
      <c r="I410" s="33"/>
      <c r="J410" s="79"/>
      <c r="K410" s="79"/>
      <c r="L410" s="79"/>
      <c r="M410" s="79"/>
      <c r="N410" s="11"/>
      <c r="O410" s="8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>
      <c r="A411" s="83"/>
      <c r="B411" s="11"/>
      <c r="C411" s="79"/>
      <c r="D411" s="79"/>
      <c r="E411" s="11"/>
      <c r="F411" s="79"/>
      <c r="G411" s="79"/>
      <c r="H411" s="79"/>
      <c r="I411" s="33"/>
      <c r="J411" s="79"/>
      <c r="K411" s="79"/>
      <c r="L411" s="79"/>
      <c r="M411" s="79"/>
      <c r="N411" s="11"/>
      <c r="O411" s="8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>
      <c r="A412" s="83"/>
      <c r="B412" s="11"/>
      <c r="C412" s="79"/>
      <c r="D412" s="79"/>
      <c r="E412" s="11"/>
      <c r="F412" s="79"/>
      <c r="G412" s="79"/>
      <c r="H412" s="79"/>
      <c r="I412" s="33"/>
      <c r="J412" s="79"/>
      <c r="K412" s="79"/>
      <c r="L412" s="79"/>
      <c r="M412" s="79"/>
      <c r="N412" s="11"/>
      <c r="O412" s="8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>
      <c r="A413" s="83"/>
      <c r="B413" s="11"/>
      <c r="C413" s="79"/>
      <c r="D413" s="79"/>
      <c r="E413" s="11"/>
      <c r="F413" s="79"/>
      <c r="G413" s="79"/>
      <c r="H413" s="79"/>
      <c r="I413" s="33"/>
      <c r="J413" s="79"/>
      <c r="K413" s="79"/>
      <c r="L413" s="79"/>
      <c r="M413" s="79"/>
      <c r="N413" s="11"/>
      <c r="O413" s="8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>
      <c r="A414" s="83"/>
      <c r="B414" s="11"/>
      <c r="C414" s="79"/>
      <c r="D414" s="79"/>
      <c r="E414" s="11"/>
      <c r="F414" s="79"/>
      <c r="G414" s="79"/>
      <c r="H414" s="79"/>
      <c r="I414" s="33"/>
      <c r="J414" s="79"/>
      <c r="K414" s="79"/>
      <c r="L414" s="79"/>
      <c r="M414" s="79"/>
      <c r="N414" s="11"/>
      <c r="O414" s="8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>
      <c r="A415" s="83"/>
      <c r="B415" s="11"/>
      <c r="C415" s="79"/>
      <c r="D415" s="79"/>
      <c r="E415" s="11"/>
      <c r="F415" s="79"/>
      <c r="G415" s="79"/>
      <c r="H415" s="79"/>
      <c r="I415" s="33"/>
      <c r="J415" s="79"/>
      <c r="K415" s="79"/>
      <c r="L415" s="79"/>
      <c r="M415" s="79"/>
      <c r="N415" s="11"/>
      <c r="O415" s="8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>
      <c r="A416" s="83"/>
      <c r="B416" s="11"/>
      <c r="C416" s="79"/>
      <c r="D416" s="79"/>
      <c r="E416" s="11"/>
      <c r="F416" s="79"/>
      <c r="G416" s="79"/>
      <c r="H416" s="79"/>
      <c r="I416" s="33"/>
      <c r="J416" s="79"/>
      <c r="K416" s="79"/>
      <c r="L416" s="79"/>
      <c r="M416" s="79"/>
      <c r="N416" s="11"/>
      <c r="O416" s="8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>
      <c r="A417" s="83"/>
      <c r="B417" s="11"/>
      <c r="C417" s="79"/>
      <c r="D417" s="79"/>
      <c r="E417" s="11"/>
      <c r="F417" s="79"/>
      <c r="G417" s="79"/>
      <c r="H417" s="79"/>
      <c r="I417" s="33"/>
      <c r="J417" s="79"/>
      <c r="K417" s="79"/>
      <c r="L417" s="79"/>
      <c r="M417" s="79"/>
      <c r="N417" s="11"/>
      <c r="O417" s="8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>
      <c r="A418" s="83"/>
      <c r="B418" s="11"/>
      <c r="C418" s="79"/>
      <c r="D418" s="79"/>
      <c r="E418" s="11"/>
      <c r="F418" s="79"/>
      <c r="G418" s="79"/>
      <c r="H418" s="79"/>
      <c r="I418" s="33"/>
      <c r="J418" s="79"/>
      <c r="K418" s="79"/>
      <c r="L418" s="79"/>
      <c r="M418" s="79"/>
      <c r="N418" s="11"/>
      <c r="O418" s="8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>
      <c r="A419" s="83"/>
      <c r="B419" s="11"/>
      <c r="C419" s="79"/>
      <c r="D419" s="79"/>
      <c r="E419" s="11"/>
      <c r="F419" s="79"/>
      <c r="G419" s="79"/>
      <c r="H419" s="79"/>
      <c r="I419" s="33"/>
      <c r="J419" s="79"/>
      <c r="K419" s="79"/>
      <c r="L419" s="79"/>
      <c r="M419" s="79"/>
      <c r="N419" s="11"/>
      <c r="O419" s="8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>
      <c r="A420" s="83"/>
      <c r="B420" s="11"/>
      <c r="C420" s="79"/>
      <c r="D420" s="79"/>
      <c r="E420" s="11"/>
      <c r="F420" s="79"/>
      <c r="G420" s="79"/>
      <c r="H420" s="79"/>
      <c r="I420" s="33"/>
      <c r="J420" s="79"/>
      <c r="K420" s="79"/>
      <c r="L420" s="79"/>
      <c r="M420" s="79"/>
      <c r="N420" s="11"/>
      <c r="O420" s="8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>
      <c r="A421" s="83"/>
      <c r="B421" s="11"/>
      <c r="C421" s="79"/>
      <c r="D421" s="79"/>
      <c r="E421" s="11"/>
      <c r="F421" s="79"/>
      <c r="G421" s="79"/>
      <c r="H421" s="79"/>
      <c r="I421" s="33"/>
      <c r="J421" s="79"/>
      <c r="K421" s="79"/>
      <c r="L421" s="79"/>
      <c r="M421" s="79"/>
      <c r="N421" s="11"/>
      <c r="O421" s="8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>
      <c r="A422" s="83"/>
      <c r="B422" s="11"/>
      <c r="C422" s="79"/>
      <c r="D422" s="79"/>
      <c r="E422" s="11"/>
      <c r="F422" s="79"/>
      <c r="G422" s="79"/>
      <c r="H422" s="79"/>
      <c r="I422" s="33"/>
      <c r="J422" s="79"/>
      <c r="K422" s="79"/>
      <c r="L422" s="79"/>
      <c r="M422" s="79"/>
      <c r="N422" s="11"/>
      <c r="O422" s="8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>
      <c r="A423" s="83"/>
      <c r="B423" s="11"/>
      <c r="C423" s="79"/>
      <c r="D423" s="79"/>
      <c r="E423" s="11"/>
      <c r="F423" s="79"/>
      <c r="G423" s="79"/>
      <c r="H423" s="79"/>
      <c r="I423" s="33"/>
      <c r="J423" s="79"/>
      <c r="K423" s="79"/>
      <c r="L423" s="79"/>
      <c r="M423" s="79"/>
      <c r="N423" s="11"/>
      <c r="O423" s="8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>
      <c r="A424" s="83"/>
      <c r="B424" s="11"/>
      <c r="C424" s="79"/>
      <c r="D424" s="79"/>
      <c r="E424" s="11"/>
      <c r="F424" s="79"/>
      <c r="G424" s="79"/>
      <c r="H424" s="79"/>
      <c r="I424" s="33"/>
      <c r="J424" s="79"/>
      <c r="K424" s="79"/>
      <c r="L424" s="79"/>
      <c r="M424" s="79"/>
      <c r="N424" s="11"/>
      <c r="O424" s="8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>
      <c r="A425" s="83"/>
      <c r="B425" s="11"/>
      <c r="C425" s="79"/>
      <c r="D425" s="79"/>
      <c r="E425" s="11"/>
      <c r="F425" s="79"/>
      <c r="G425" s="79"/>
      <c r="H425" s="79"/>
      <c r="I425" s="33"/>
      <c r="J425" s="79"/>
      <c r="K425" s="79"/>
      <c r="L425" s="79"/>
      <c r="M425" s="79"/>
      <c r="N425" s="11"/>
      <c r="O425" s="8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>
      <c r="A426" s="83"/>
      <c r="B426" s="11"/>
      <c r="C426" s="79"/>
      <c r="D426" s="79"/>
      <c r="E426" s="11"/>
      <c r="F426" s="79"/>
      <c r="G426" s="79"/>
      <c r="H426" s="79"/>
      <c r="I426" s="33"/>
      <c r="J426" s="79"/>
      <c r="K426" s="79"/>
      <c r="L426" s="79"/>
      <c r="M426" s="79"/>
      <c r="N426" s="11"/>
      <c r="O426" s="8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>
      <c r="A427" s="83"/>
      <c r="B427" s="11"/>
      <c r="C427" s="79"/>
      <c r="D427" s="79"/>
      <c r="E427" s="11"/>
      <c r="F427" s="79"/>
      <c r="G427" s="79"/>
      <c r="H427" s="79"/>
      <c r="I427" s="33"/>
      <c r="J427" s="79"/>
      <c r="K427" s="79"/>
      <c r="L427" s="79"/>
      <c r="M427" s="79"/>
      <c r="N427" s="11"/>
      <c r="O427" s="8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>
      <c r="A428" s="83"/>
      <c r="B428" s="11"/>
      <c r="C428" s="79"/>
      <c r="D428" s="79"/>
      <c r="E428" s="11"/>
      <c r="F428" s="79"/>
      <c r="G428" s="79"/>
      <c r="H428" s="79"/>
      <c r="I428" s="33"/>
      <c r="J428" s="79"/>
      <c r="K428" s="79"/>
      <c r="L428" s="79"/>
      <c r="M428" s="79"/>
      <c r="N428" s="11"/>
      <c r="O428" s="8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>
      <c r="A429" s="83"/>
      <c r="B429" s="11"/>
      <c r="C429" s="79"/>
      <c r="D429" s="79"/>
      <c r="E429" s="11"/>
      <c r="F429" s="79"/>
      <c r="G429" s="79"/>
      <c r="H429" s="79"/>
      <c r="I429" s="33"/>
      <c r="J429" s="79"/>
      <c r="K429" s="79"/>
      <c r="L429" s="79"/>
      <c r="M429" s="79"/>
      <c r="N429" s="11"/>
      <c r="O429" s="8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>
      <c r="A430" s="83"/>
      <c r="B430" s="11"/>
      <c r="C430" s="79"/>
      <c r="D430" s="79"/>
      <c r="E430" s="11"/>
      <c r="F430" s="79"/>
      <c r="G430" s="79"/>
      <c r="H430" s="79"/>
      <c r="I430" s="33"/>
      <c r="J430" s="79"/>
      <c r="K430" s="79"/>
      <c r="L430" s="79"/>
      <c r="M430" s="79"/>
      <c r="N430" s="11"/>
      <c r="O430" s="8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>
      <c r="A431" s="83"/>
      <c r="B431" s="11"/>
      <c r="C431" s="79"/>
      <c r="D431" s="79"/>
      <c r="E431" s="11"/>
      <c r="F431" s="79"/>
      <c r="G431" s="79"/>
      <c r="H431" s="79"/>
      <c r="I431" s="33"/>
      <c r="J431" s="79"/>
      <c r="K431" s="79"/>
      <c r="L431" s="79"/>
      <c r="M431" s="79"/>
      <c r="N431" s="11"/>
      <c r="O431" s="8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>
      <c r="A432" s="83"/>
      <c r="B432" s="11"/>
      <c r="C432" s="79"/>
      <c r="D432" s="79"/>
      <c r="E432" s="11"/>
      <c r="F432" s="79"/>
      <c r="G432" s="79"/>
      <c r="H432" s="79"/>
      <c r="I432" s="33"/>
      <c r="J432" s="79"/>
      <c r="K432" s="79"/>
      <c r="L432" s="79"/>
      <c r="M432" s="79"/>
      <c r="N432" s="11"/>
      <c r="O432" s="8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>
      <c r="A433" s="83"/>
      <c r="B433" s="11"/>
      <c r="C433" s="79"/>
      <c r="D433" s="79"/>
      <c r="E433" s="11"/>
      <c r="F433" s="79"/>
      <c r="G433" s="79"/>
      <c r="H433" s="79"/>
      <c r="I433" s="33"/>
      <c r="J433" s="79"/>
      <c r="K433" s="79"/>
      <c r="L433" s="79"/>
      <c r="M433" s="79"/>
      <c r="N433" s="11"/>
      <c r="O433" s="8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>
      <c r="A434" s="83"/>
      <c r="B434" s="11"/>
      <c r="C434" s="79"/>
      <c r="D434" s="79"/>
      <c r="E434" s="11"/>
      <c r="F434" s="79"/>
      <c r="G434" s="79"/>
      <c r="H434" s="79"/>
      <c r="I434" s="33"/>
      <c r="J434" s="79"/>
      <c r="K434" s="79"/>
      <c r="L434" s="79"/>
      <c r="M434" s="79"/>
      <c r="N434" s="11"/>
      <c r="O434" s="8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>
      <c r="A435" s="83"/>
      <c r="B435" s="11"/>
      <c r="C435" s="79"/>
      <c r="D435" s="79"/>
      <c r="E435" s="11"/>
      <c r="F435" s="79"/>
      <c r="G435" s="79"/>
      <c r="H435" s="79"/>
      <c r="I435" s="33"/>
      <c r="J435" s="79"/>
      <c r="K435" s="79"/>
      <c r="L435" s="79"/>
      <c r="M435" s="79"/>
      <c r="N435" s="11"/>
      <c r="O435" s="8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>
      <c r="A436" s="83"/>
      <c r="B436" s="11"/>
      <c r="C436" s="79"/>
      <c r="D436" s="79"/>
      <c r="E436" s="11"/>
      <c r="F436" s="79"/>
      <c r="G436" s="79"/>
      <c r="H436" s="79"/>
      <c r="I436" s="33"/>
      <c r="J436" s="79"/>
      <c r="K436" s="79"/>
      <c r="L436" s="79"/>
      <c r="M436" s="79"/>
      <c r="N436" s="11"/>
      <c r="O436" s="8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>
      <c r="A437" s="83"/>
      <c r="B437" s="11"/>
      <c r="C437" s="79"/>
      <c r="D437" s="79"/>
      <c r="E437" s="11"/>
      <c r="F437" s="79"/>
      <c r="G437" s="79"/>
      <c r="H437" s="79"/>
      <c r="I437" s="33"/>
      <c r="J437" s="79"/>
      <c r="K437" s="79"/>
      <c r="L437" s="79"/>
      <c r="M437" s="79"/>
      <c r="N437" s="11"/>
      <c r="O437" s="8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>
      <c r="A438" s="83"/>
      <c r="B438" s="11"/>
      <c r="C438" s="79"/>
      <c r="D438" s="79"/>
      <c r="E438" s="11"/>
      <c r="F438" s="79"/>
      <c r="G438" s="79"/>
      <c r="H438" s="79"/>
      <c r="I438" s="33"/>
      <c r="J438" s="79"/>
      <c r="K438" s="79"/>
      <c r="L438" s="79"/>
      <c r="M438" s="79"/>
      <c r="N438" s="11"/>
      <c r="O438" s="8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>
      <c r="A439" s="83"/>
      <c r="B439" s="11"/>
      <c r="C439" s="79"/>
      <c r="D439" s="79"/>
      <c r="E439" s="11"/>
      <c r="F439" s="79"/>
      <c r="G439" s="79"/>
      <c r="H439" s="79"/>
      <c r="I439" s="33"/>
      <c r="J439" s="79"/>
      <c r="K439" s="79"/>
      <c r="L439" s="79"/>
      <c r="M439" s="79"/>
      <c r="N439" s="11"/>
      <c r="O439" s="8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>
      <c r="A440" s="83"/>
      <c r="B440" s="11"/>
      <c r="C440" s="79"/>
      <c r="D440" s="79"/>
      <c r="E440" s="11"/>
      <c r="F440" s="79"/>
      <c r="G440" s="79"/>
      <c r="H440" s="79"/>
      <c r="I440" s="33"/>
      <c r="J440" s="79"/>
      <c r="K440" s="79"/>
      <c r="L440" s="79"/>
      <c r="M440" s="79"/>
      <c r="N440" s="11"/>
      <c r="O440" s="8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>
      <c r="A441" s="83"/>
      <c r="B441" s="11"/>
      <c r="C441" s="79"/>
      <c r="D441" s="79"/>
      <c r="E441" s="11"/>
      <c r="F441" s="79"/>
      <c r="G441" s="79"/>
      <c r="H441" s="79"/>
      <c r="I441" s="33"/>
      <c r="J441" s="79"/>
      <c r="K441" s="79"/>
      <c r="L441" s="79"/>
      <c r="M441" s="79"/>
      <c r="N441" s="11"/>
      <c r="O441" s="8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>
      <c r="A442" s="83"/>
      <c r="B442" s="11"/>
      <c r="C442" s="79"/>
      <c r="D442" s="79"/>
      <c r="E442" s="11"/>
      <c r="F442" s="79"/>
      <c r="G442" s="79"/>
      <c r="H442" s="79"/>
      <c r="I442" s="33"/>
      <c r="J442" s="79"/>
      <c r="K442" s="79"/>
      <c r="L442" s="79"/>
      <c r="M442" s="79"/>
      <c r="N442" s="11"/>
      <c r="O442" s="8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>
      <c r="A443" s="83"/>
      <c r="B443" s="11"/>
      <c r="C443" s="79"/>
      <c r="D443" s="79"/>
      <c r="E443" s="11"/>
      <c r="F443" s="79"/>
      <c r="G443" s="79"/>
      <c r="H443" s="79"/>
      <c r="I443" s="33"/>
      <c r="J443" s="79"/>
      <c r="K443" s="79"/>
      <c r="L443" s="79"/>
      <c r="M443" s="79"/>
      <c r="N443" s="11"/>
      <c r="O443" s="8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>
      <c r="A444" s="83"/>
      <c r="B444" s="11"/>
      <c r="C444" s="79"/>
      <c r="D444" s="79"/>
      <c r="E444" s="11"/>
      <c r="F444" s="79"/>
      <c r="G444" s="79"/>
      <c r="H444" s="79"/>
      <c r="I444" s="33"/>
      <c r="J444" s="79"/>
      <c r="K444" s="79"/>
      <c r="L444" s="79"/>
      <c r="M444" s="79"/>
      <c r="N444" s="11"/>
      <c r="O444" s="8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>
      <c r="A445" s="83"/>
      <c r="B445" s="11"/>
      <c r="C445" s="79"/>
      <c r="D445" s="79"/>
      <c r="E445" s="11"/>
      <c r="F445" s="79"/>
      <c r="G445" s="79"/>
      <c r="H445" s="79"/>
      <c r="I445" s="33"/>
      <c r="J445" s="79"/>
      <c r="K445" s="79"/>
      <c r="L445" s="79"/>
      <c r="M445" s="79"/>
      <c r="N445" s="11"/>
      <c r="O445" s="8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>
      <c r="A446" s="83"/>
      <c r="B446" s="11"/>
      <c r="C446" s="79"/>
      <c r="D446" s="79"/>
      <c r="E446" s="11"/>
      <c r="F446" s="79"/>
      <c r="G446" s="79"/>
      <c r="H446" s="79"/>
      <c r="I446" s="33"/>
      <c r="J446" s="79"/>
      <c r="K446" s="79"/>
      <c r="L446" s="79"/>
      <c r="M446" s="79"/>
      <c r="N446" s="11"/>
      <c r="O446" s="8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>
      <c r="A447" s="83"/>
      <c r="B447" s="11"/>
      <c r="C447" s="79"/>
      <c r="D447" s="79"/>
      <c r="E447" s="11"/>
      <c r="F447" s="79"/>
      <c r="G447" s="79"/>
      <c r="H447" s="79"/>
      <c r="I447" s="33"/>
      <c r="J447" s="79"/>
      <c r="K447" s="79"/>
      <c r="L447" s="79"/>
      <c r="M447" s="79"/>
      <c r="N447" s="11"/>
      <c r="O447" s="8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>
      <c r="A448" s="83"/>
      <c r="B448" s="11"/>
      <c r="C448" s="79"/>
      <c r="D448" s="79"/>
      <c r="E448" s="11"/>
      <c r="F448" s="79"/>
      <c r="G448" s="79"/>
      <c r="H448" s="79"/>
      <c r="I448" s="33"/>
      <c r="J448" s="79"/>
      <c r="K448" s="79"/>
      <c r="L448" s="79"/>
      <c r="M448" s="79"/>
      <c r="N448" s="11"/>
      <c r="O448" s="8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>
      <c r="A449" s="83"/>
      <c r="B449" s="11"/>
      <c r="C449" s="79"/>
      <c r="D449" s="79"/>
      <c r="E449" s="11"/>
      <c r="F449" s="79"/>
      <c r="G449" s="79"/>
      <c r="H449" s="79"/>
      <c r="I449" s="33"/>
      <c r="J449" s="79"/>
      <c r="K449" s="79"/>
      <c r="L449" s="79"/>
      <c r="M449" s="79"/>
      <c r="N449" s="11"/>
      <c r="O449" s="8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>
      <c r="A450" s="83"/>
      <c r="B450" s="11"/>
      <c r="C450" s="79"/>
      <c r="D450" s="79"/>
      <c r="E450" s="11"/>
      <c r="F450" s="79"/>
      <c r="G450" s="79"/>
      <c r="H450" s="79"/>
      <c r="I450" s="33"/>
      <c r="J450" s="79"/>
      <c r="K450" s="79"/>
      <c r="L450" s="79"/>
      <c r="M450" s="79"/>
      <c r="N450" s="11"/>
      <c r="O450" s="8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>
      <c r="A451" s="83"/>
      <c r="B451" s="11"/>
      <c r="C451" s="79"/>
      <c r="D451" s="79"/>
      <c r="E451" s="11"/>
      <c r="F451" s="79"/>
      <c r="G451" s="79"/>
      <c r="H451" s="79"/>
      <c r="I451" s="33"/>
      <c r="J451" s="79"/>
      <c r="K451" s="79"/>
      <c r="L451" s="79"/>
      <c r="M451" s="79"/>
      <c r="N451" s="11"/>
      <c r="O451" s="8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>
      <c r="A452" s="83"/>
      <c r="B452" s="11"/>
      <c r="C452" s="79"/>
      <c r="D452" s="79"/>
      <c r="E452" s="11"/>
      <c r="F452" s="79"/>
      <c r="G452" s="79"/>
      <c r="H452" s="79"/>
      <c r="I452" s="33"/>
      <c r="J452" s="79"/>
      <c r="K452" s="79"/>
      <c r="L452" s="79"/>
      <c r="M452" s="79"/>
      <c r="N452" s="11"/>
      <c r="O452" s="8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>
      <c r="A453" s="83"/>
      <c r="B453" s="11"/>
      <c r="C453" s="79"/>
      <c r="D453" s="79"/>
      <c r="E453" s="11"/>
      <c r="F453" s="79"/>
      <c r="G453" s="79"/>
      <c r="H453" s="79"/>
      <c r="I453" s="33"/>
      <c r="J453" s="79"/>
      <c r="K453" s="79"/>
      <c r="L453" s="79"/>
      <c r="M453" s="79"/>
      <c r="N453" s="11"/>
      <c r="O453" s="8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>
      <c r="A454" s="83"/>
      <c r="B454" s="11"/>
      <c r="C454" s="79"/>
      <c r="D454" s="79"/>
      <c r="E454" s="11"/>
      <c r="F454" s="79"/>
      <c r="G454" s="79"/>
      <c r="H454" s="79"/>
      <c r="I454" s="33"/>
      <c r="J454" s="79"/>
      <c r="K454" s="79"/>
      <c r="L454" s="79"/>
      <c r="M454" s="79"/>
      <c r="N454" s="11"/>
      <c r="O454" s="8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>
      <c r="A455" s="83"/>
      <c r="B455" s="11"/>
      <c r="C455" s="79"/>
      <c r="D455" s="79"/>
      <c r="E455" s="11"/>
      <c r="F455" s="79"/>
      <c r="G455" s="79"/>
      <c r="H455" s="79"/>
      <c r="I455" s="33"/>
      <c r="J455" s="79"/>
      <c r="K455" s="79"/>
      <c r="L455" s="79"/>
      <c r="M455" s="79"/>
      <c r="N455" s="11"/>
      <c r="O455" s="8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>
      <c r="A456" s="83"/>
      <c r="B456" s="11"/>
      <c r="C456" s="79"/>
      <c r="D456" s="79"/>
      <c r="E456" s="11"/>
      <c r="F456" s="79"/>
      <c r="G456" s="79"/>
      <c r="H456" s="79"/>
      <c r="I456" s="33"/>
      <c r="J456" s="79"/>
      <c r="K456" s="79"/>
      <c r="L456" s="79"/>
      <c r="M456" s="79"/>
      <c r="N456" s="11"/>
      <c r="O456" s="8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>
      <c r="A457" s="83"/>
      <c r="B457" s="11"/>
      <c r="C457" s="79"/>
      <c r="D457" s="79"/>
      <c r="E457" s="11"/>
      <c r="F457" s="79"/>
      <c r="G457" s="79"/>
      <c r="H457" s="79"/>
      <c r="I457" s="33"/>
      <c r="J457" s="79"/>
      <c r="K457" s="79"/>
      <c r="L457" s="79"/>
      <c r="M457" s="79"/>
      <c r="N457" s="11"/>
      <c r="O457" s="8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>
      <c r="A458" s="83"/>
      <c r="B458" s="11"/>
      <c r="C458" s="79"/>
      <c r="D458" s="79"/>
      <c r="E458" s="11"/>
      <c r="F458" s="79"/>
      <c r="G458" s="79"/>
      <c r="H458" s="79"/>
      <c r="I458" s="33"/>
      <c r="J458" s="79"/>
      <c r="K458" s="79"/>
      <c r="L458" s="79"/>
      <c r="M458" s="79"/>
      <c r="N458" s="11"/>
      <c r="O458" s="8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>
      <c r="A459" s="83"/>
      <c r="B459" s="11"/>
      <c r="C459" s="79"/>
      <c r="D459" s="79"/>
      <c r="E459" s="11"/>
      <c r="F459" s="79"/>
      <c r="G459" s="79"/>
      <c r="H459" s="79"/>
      <c r="I459" s="33"/>
      <c r="J459" s="79"/>
      <c r="K459" s="79"/>
      <c r="L459" s="79"/>
      <c r="M459" s="79"/>
      <c r="N459" s="11"/>
      <c r="O459" s="8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>
      <c r="A460" s="83"/>
      <c r="B460" s="11"/>
      <c r="C460" s="79"/>
      <c r="D460" s="79"/>
      <c r="E460" s="11"/>
      <c r="F460" s="79"/>
      <c r="G460" s="79"/>
      <c r="H460" s="79"/>
      <c r="I460" s="33"/>
      <c r="J460" s="79"/>
      <c r="K460" s="79"/>
      <c r="L460" s="79"/>
      <c r="M460" s="79"/>
      <c r="N460" s="11"/>
      <c r="O460" s="8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>
      <c r="A461" s="83"/>
      <c r="B461" s="11"/>
      <c r="C461" s="79"/>
      <c r="D461" s="79"/>
      <c r="E461" s="11"/>
      <c r="F461" s="79"/>
      <c r="G461" s="79"/>
      <c r="H461" s="79"/>
      <c r="I461" s="33"/>
      <c r="J461" s="79"/>
      <c r="K461" s="79"/>
      <c r="L461" s="79"/>
      <c r="M461" s="79"/>
      <c r="N461" s="11"/>
      <c r="O461" s="8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>
      <c r="A462" s="83"/>
      <c r="B462" s="11"/>
      <c r="C462" s="79"/>
      <c r="D462" s="79"/>
      <c r="E462" s="11"/>
      <c r="F462" s="79"/>
      <c r="G462" s="79"/>
      <c r="H462" s="79"/>
      <c r="I462" s="33"/>
      <c r="J462" s="79"/>
      <c r="K462" s="79"/>
      <c r="L462" s="79"/>
      <c r="M462" s="79"/>
      <c r="N462" s="11"/>
      <c r="O462" s="8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>
      <c r="A463" s="83"/>
      <c r="B463" s="11"/>
      <c r="C463" s="79"/>
      <c r="D463" s="79"/>
      <c r="E463" s="11"/>
      <c r="F463" s="79"/>
      <c r="G463" s="79"/>
      <c r="H463" s="79"/>
      <c r="I463" s="33"/>
      <c r="J463" s="79"/>
      <c r="K463" s="79"/>
      <c r="L463" s="79"/>
      <c r="M463" s="79"/>
      <c r="N463" s="11"/>
      <c r="O463" s="8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>
      <c r="A464" s="83"/>
      <c r="B464" s="11"/>
      <c r="C464" s="79"/>
      <c r="D464" s="79"/>
      <c r="E464" s="11"/>
      <c r="F464" s="79"/>
      <c r="G464" s="79"/>
      <c r="H464" s="79"/>
      <c r="I464" s="33"/>
      <c r="J464" s="79"/>
      <c r="K464" s="79"/>
      <c r="L464" s="79"/>
      <c r="M464" s="79"/>
      <c r="N464" s="11"/>
      <c r="O464" s="8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>
      <c r="A465" s="83"/>
      <c r="B465" s="11"/>
      <c r="C465" s="79"/>
      <c r="D465" s="79"/>
      <c r="E465" s="11"/>
      <c r="F465" s="79"/>
      <c r="G465" s="79"/>
      <c r="H465" s="79"/>
      <c r="I465" s="33"/>
      <c r="J465" s="79"/>
      <c r="K465" s="79"/>
      <c r="L465" s="79"/>
      <c r="M465" s="79"/>
      <c r="N465" s="11"/>
      <c r="O465" s="8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>
      <c r="A466" s="83"/>
      <c r="B466" s="11"/>
      <c r="C466" s="79"/>
      <c r="D466" s="79"/>
      <c r="E466" s="11"/>
      <c r="F466" s="79"/>
      <c r="G466" s="79"/>
      <c r="H466" s="79"/>
      <c r="I466" s="33"/>
      <c r="J466" s="79"/>
      <c r="K466" s="79"/>
      <c r="L466" s="79"/>
      <c r="M466" s="79"/>
      <c r="N466" s="11"/>
      <c r="O466" s="8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>
      <c r="A467" s="83"/>
      <c r="B467" s="11"/>
      <c r="C467" s="79"/>
      <c r="D467" s="79"/>
      <c r="E467" s="11"/>
      <c r="F467" s="79"/>
      <c r="G467" s="79"/>
      <c r="H467" s="79"/>
      <c r="I467" s="33"/>
      <c r="J467" s="79"/>
      <c r="K467" s="79"/>
      <c r="L467" s="79"/>
      <c r="M467" s="79"/>
      <c r="N467" s="11"/>
      <c r="O467" s="8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>
      <c r="A468" s="83"/>
      <c r="B468" s="11"/>
      <c r="C468" s="79"/>
      <c r="D468" s="79"/>
      <c r="E468" s="11"/>
      <c r="F468" s="79"/>
      <c r="G468" s="79"/>
      <c r="H468" s="79"/>
      <c r="I468" s="33"/>
      <c r="J468" s="79"/>
      <c r="K468" s="79"/>
      <c r="L468" s="79"/>
      <c r="M468" s="79"/>
      <c r="N468" s="11"/>
      <c r="O468" s="8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>
      <c r="A469" s="83"/>
      <c r="B469" s="11"/>
      <c r="C469" s="79"/>
      <c r="D469" s="79"/>
      <c r="E469" s="11"/>
      <c r="F469" s="79"/>
      <c r="G469" s="79"/>
      <c r="H469" s="79"/>
      <c r="I469" s="33"/>
      <c r="J469" s="79"/>
      <c r="K469" s="79"/>
      <c r="L469" s="79"/>
      <c r="M469" s="79"/>
      <c r="N469" s="11"/>
      <c r="O469" s="8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>
      <c r="A470" s="83"/>
      <c r="B470" s="11"/>
      <c r="C470" s="79"/>
      <c r="D470" s="79"/>
      <c r="E470" s="11"/>
      <c r="F470" s="79"/>
      <c r="G470" s="79"/>
      <c r="H470" s="79"/>
      <c r="I470" s="33"/>
      <c r="J470" s="79"/>
      <c r="K470" s="79"/>
      <c r="L470" s="79"/>
      <c r="M470" s="79"/>
      <c r="N470" s="11"/>
      <c r="O470" s="8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>
      <c r="A471" s="83"/>
      <c r="B471" s="11"/>
      <c r="C471" s="79"/>
      <c r="D471" s="79"/>
      <c r="E471" s="11"/>
      <c r="F471" s="79"/>
      <c r="G471" s="79"/>
      <c r="H471" s="79"/>
      <c r="I471" s="33"/>
      <c r="J471" s="79"/>
      <c r="K471" s="79"/>
      <c r="L471" s="79"/>
      <c r="M471" s="79"/>
      <c r="N471" s="11"/>
      <c r="O471" s="8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>
      <c r="A472" s="83"/>
      <c r="B472" s="11"/>
      <c r="C472" s="79"/>
      <c r="D472" s="79"/>
      <c r="E472" s="11"/>
      <c r="F472" s="79"/>
      <c r="G472" s="79"/>
      <c r="H472" s="79"/>
      <c r="I472" s="33"/>
      <c r="J472" s="79"/>
      <c r="K472" s="79"/>
      <c r="L472" s="79"/>
      <c r="M472" s="79"/>
      <c r="N472" s="11"/>
      <c r="O472" s="8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>
      <c r="A473" s="83"/>
      <c r="B473" s="11"/>
      <c r="C473" s="79"/>
      <c r="D473" s="79"/>
      <c r="E473" s="11"/>
      <c r="F473" s="79"/>
      <c r="G473" s="79"/>
      <c r="H473" s="79"/>
      <c r="I473" s="33"/>
      <c r="J473" s="79"/>
      <c r="K473" s="79"/>
      <c r="L473" s="79"/>
      <c r="M473" s="79"/>
      <c r="N473" s="11"/>
      <c r="O473" s="8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>
      <c r="A474" s="83"/>
      <c r="B474" s="11"/>
      <c r="C474" s="79"/>
      <c r="D474" s="79"/>
      <c r="E474" s="11"/>
      <c r="F474" s="79"/>
      <c r="G474" s="79"/>
      <c r="H474" s="79"/>
      <c r="I474" s="33"/>
      <c r="J474" s="79"/>
      <c r="K474" s="79"/>
      <c r="L474" s="79"/>
      <c r="M474" s="79"/>
      <c r="N474" s="11"/>
      <c r="O474" s="8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>
      <c r="A475" s="83"/>
      <c r="B475" s="11"/>
      <c r="C475" s="79"/>
      <c r="D475" s="79"/>
      <c r="E475" s="11"/>
      <c r="F475" s="79"/>
      <c r="G475" s="79"/>
      <c r="H475" s="79"/>
      <c r="I475" s="33"/>
      <c r="J475" s="79"/>
      <c r="K475" s="79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>
      <c r="A476" s="83"/>
      <c r="B476" s="11"/>
      <c r="C476" s="79"/>
      <c r="D476" s="79"/>
      <c r="E476" s="11"/>
      <c r="F476" s="79"/>
      <c r="G476" s="79"/>
      <c r="H476" s="79"/>
      <c r="I476" s="33"/>
      <c r="J476" s="79"/>
      <c r="K476" s="79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>
      <c r="A477" s="83"/>
      <c r="B477" s="11"/>
      <c r="C477" s="79"/>
      <c r="D477" s="79"/>
      <c r="E477" s="11"/>
      <c r="F477" s="79"/>
      <c r="G477" s="79"/>
      <c r="H477" s="79"/>
      <c r="I477" s="33"/>
      <c r="J477" s="79"/>
      <c r="K477" s="79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>
      <c r="A478" s="83"/>
      <c r="B478" s="11"/>
      <c r="C478" s="79"/>
      <c r="D478" s="79"/>
      <c r="E478" s="11"/>
      <c r="F478" s="79"/>
      <c r="G478" s="79"/>
      <c r="H478" s="79"/>
      <c r="I478" s="33"/>
      <c r="J478" s="79"/>
      <c r="K478" s="79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>
      <c r="A479" s="83"/>
      <c r="B479" s="11"/>
      <c r="C479" s="79"/>
      <c r="D479" s="79"/>
      <c r="E479" s="11"/>
      <c r="F479" s="79"/>
      <c r="G479" s="79"/>
      <c r="H479" s="79"/>
      <c r="I479" s="33"/>
      <c r="J479" s="79"/>
      <c r="K479" s="79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>
      <c r="A480" s="83"/>
      <c r="B480" s="11"/>
      <c r="C480" s="79"/>
      <c r="D480" s="79"/>
      <c r="E480" s="11"/>
      <c r="F480" s="79"/>
      <c r="G480" s="79"/>
      <c r="H480" s="79"/>
      <c r="I480" s="33"/>
      <c r="J480" s="79"/>
      <c r="K480" s="79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>
      <c r="A481" s="83"/>
      <c r="B481" s="11"/>
      <c r="C481" s="79"/>
      <c r="D481" s="79"/>
      <c r="E481" s="11"/>
      <c r="F481" s="79"/>
      <c r="G481" s="79"/>
      <c r="H481" s="79"/>
      <c r="I481" s="33"/>
      <c r="J481" s="79"/>
      <c r="K481" s="79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>
      <c r="A482" s="83"/>
      <c r="B482" s="11"/>
      <c r="C482" s="79"/>
      <c r="D482" s="79"/>
      <c r="E482" s="11"/>
      <c r="F482" s="79"/>
      <c r="G482" s="79"/>
      <c r="H482" s="79"/>
      <c r="I482" s="33"/>
      <c r="J482" s="79"/>
      <c r="K482" s="79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>
      <c r="A483" s="83"/>
      <c r="B483" s="11"/>
      <c r="C483" s="79"/>
      <c r="D483" s="79"/>
      <c r="E483" s="11"/>
      <c r="F483" s="79"/>
      <c r="G483" s="79"/>
      <c r="H483" s="79"/>
      <c r="I483" s="33"/>
      <c r="J483" s="79"/>
      <c r="K483" s="79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>
      <c r="A484" s="83"/>
      <c r="B484" s="11"/>
      <c r="C484" s="79"/>
      <c r="D484" s="79"/>
      <c r="E484" s="11"/>
      <c r="F484" s="79"/>
      <c r="G484" s="79"/>
      <c r="H484" s="79"/>
      <c r="I484" s="33"/>
      <c r="J484" s="79"/>
      <c r="K484" s="79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>
      <c r="A485" s="83"/>
      <c r="B485" s="11"/>
      <c r="C485" s="79"/>
      <c r="D485" s="79"/>
      <c r="E485" s="11"/>
      <c r="F485" s="79"/>
      <c r="G485" s="79"/>
      <c r="H485" s="79"/>
      <c r="I485" s="33"/>
      <c r="J485" s="79"/>
      <c r="K485" s="79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>
      <c r="A486" s="83"/>
      <c r="B486" s="11"/>
      <c r="C486" s="79"/>
      <c r="D486" s="79"/>
      <c r="E486" s="11"/>
      <c r="F486" s="79"/>
      <c r="G486" s="79"/>
      <c r="H486" s="79"/>
      <c r="I486" s="33"/>
      <c r="J486" s="79"/>
      <c r="K486" s="79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>
      <c r="A487" s="83"/>
      <c r="B487" s="11"/>
      <c r="C487" s="79"/>
      <c r="D487" s="79"/>
      <c r="E487" s="11"/>
      <c r="F487" s="79"/>
      <c r="G487" s="79"/>
      <c r="H487" s="79"/>
      <c r="I487" s="33"/>
      <c r="J487" s="79"/>
      <c r="K487" s="79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>
      <c r="A488" s="83"/>
      <c r="B488" s="11"/>
      <c r="C488" s="79"/>
      <c r="D488" s="79"/>
      <c r="E488" s="11"/>
      <c r="F488" s="79"/>
      <c r="G488" s="79"/>
      <c r="H488" s="79"/>
      <c r="I488" s="33"/>
      <c r="J488" s="79"/>
      <c r="K488" s="79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>
      <c r="A489" s="83"/>
      <c r="B489" s="11"/>
      <c r="C489" s="79"/>
      <c r="D489" s="79"/>
      <c r="E489" s="11"/>
      <c r="F489" s="79"/>
      <c r="G489" s="79"/>
      <c r="H489" s="79"/>
      <c r="I489" s="33"/>
      <c r="J489" s="79"/>
      <c r="K489" s="79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>
      <c r="A490" s="83"/>
      <c r="B490" s="11"/>
      <c r="C490" s="79"/>
      <c r="D490" s="79"/>
      <c r="E490" s="11"/>
      <c r="F490" s="79"/>
      <c r="G490" s="79"/>
      <c r="H490" s="79"/>
      <c r="I490" s="33"/>
      <c r="J490" s="79"/>
      <c r="K490" s="79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>
      <c r="A491" s="83"/>
      <c r="B491" s="11"/>
      <c r="C491" s="79"/>
      <c r="D491" s="79"/>
      <c r="E491" s="11"/>
      <c r="F491" s="79"/>
      <c r="G491" s="79"/>
      <c r="H491" s="79"/>
      <c r="I491" s="33"/>
      <c r="J491" s="79"/>
      <c r="K491" s="79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>
      <c r="A492" s="83"/>
      <c r="B492" s="11"/>
      <c r="C492" s="79"/>
      <c r="D492" s="79"/>
      <c r="E492" s="11"/>
      <c r="F492" s="79"/>
      <c r="G492" s="79"/>
      <c r="H492" s="79"/>
      <c r="I492" s="33"/>
      <c r="J492" s="79"/>
      <c r="K492" s="79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5.75" customHeight="1">
      <c r="N493" s="324"/>
    </row>
    <row r="494" spans="1:46" ht="15.75" customHeight="1">
      <c r="N494" s="324"/>
    </row>
    <row r="495" spans="1:46" ht="15.75" customHeight="1">
      <c r="N495" s="324"/>
    </row>
    <row r="496" spans="1:46" ht="15.75" customHeight="1">
      <c r="N496" s="324"/>
    </row>
    <row r="497" spans="14:14" ht="15.75" customHeight="1">
      <c r="N497" s="324"/>
    </row>
    <row r="498" spans="14:14" ht="15.75" customHeight="1">
      <c r="N498" s="324"/>
    </row>
    <row r="499" spans="14:14" ht="15.75" customHeight="1">
      <c r="N499" s="324"/>
    </row>
    <row r="500" spans="14:14" ht="15.75" customHeight="1">
      <c r="N500" s="324"/>
    </row>
    <row r="501" spans="14:14" ht="15.75" customHeight="1">
      <c r="N501" s="324"/>
    </row>
    <row r="502" spans="14:14" ht="15.75" customHeight="1">
      <c r="N502" s="324"/>
    </row>
    <row r="503" spans="14:14" ht="15.75" customHeight="1">
      <c r="N503" s="324"/>
    </row>
    <row r="504" spans="14:14" ht="15.75" customHeight="1">
      <c r="N504" s="324"/>
    </row>
    <row r="505" spans="14:14" ht="15.75" customHeight="1">
      <c r="N505" s="324"/>
    </row>
    <row r="506" spans="14:14" ht="15.75" customHeight="1">
      <c r="N506" s="324"/>
    </row>
    <row r="507" spans="14:14" ht="15.75" customHeight="1">
      <c r="N507" s="324"/>
    </row>
    <row r="508" spans="14:14" ht="15.75" customHeight="1">
      <c r="N508" s="324"/>
    </row>
    <row r="509" spans="14:14" ht="15.75" customHeight="1">
      <c r="N509" s="324"/>
    </row>
    <row r="510" spans="14:14" ht="15.75" customHeight="1">
      <c r="N510" s="324"/>
    </row>
    <row r="511" spans="14:14" ht="15.75" customHeight="1">
      <c r="N511" s="324"/>
    </row>
    <row r="512" spans="14:14" ht="15.75" customHeight="1">
      <c r="N512" s="324"/>
    </row>
    <row r="513" spans="14:14" ht="15.75" customHeight="1">
      <c r="N513" s="324"/>
    </row>
    <row r="514" spans="14:14" ht="15.75" customHeight="1">
      <c r="N514" s="324"/>
    </row>
    <row r="515" spans="14:14" ht="15.75" customHeight="1">
      <c r="N515" s="324"/>
    </row>
    <row r="516" spans="14:14" ht="15.75" customHeight="1">
      <c r="N516" s="324"/>
    </row>
    <row r="517" spans="14:14" ht="15.75" customHeight="1">
      <c r="N517" s="324"/>
    </row>
    <row r="518" spans="14:14" ht="15.75" customHeight="1">
      <c r="N518" s="324"/>
    </row>
    <row r="519" spans="14:14" ht="15.75" customHeight="1">
      <c r="N519" s="324"/>
    </row>
    <row r="520" spans="14:14" ht="15.75" customHeight="1">
      <c r="N520" s="324"/>
    </row>
    <row r="521" spans="14:14" ht="15.75" customHeight="1">
      <c r="N521" s="324"/>
    </row>
    <row r="522" spans="14:14" ht="15.75" customHeight="1">
      <c r="N522" s="324"/>
    </row>
    <row r="523" spans="14:14" ht="15.75" customHeight="1">
      <c r="N523" s="324"/>
    </row>
    <row r="524" spans="14:14" ht="15.75" customHeight="1">
      <c r="N524" s="324"/>
    </row>
    <row r="525" spans="14:14" ht="15.75" customHeight="1">
      <c r="N525" s="324"/>
    </row>
    <row r="526" spans="14:14" ht="15.75" customHeight="1">
      <c r="N526" s="324"/>
    </row>
    <row r="527" spans="14:14" ht="15.75" customHeight="1">
      <c r="N527" s="324"/>
    </row>
    <row r="528" spans="14:14" ht="15.75" customHeight="1">
      <c r="N528" s="324"/>
    </row>
    <row r="529" spans="14:14" ht="15.75" customHeight="1">
      <c r="N529" s="324"/>
    </row>
    <row r="530" spans="14:14" ht="15.75" customHeight="1">
      <c r="N530" s="324"/>
    </row>
    <row r="531" spans="14:14" ht="15.75" customHeight="1">
      <c r="N531" s="324"/>
    </row>
    <row r="532" spans="14:14" ht="15.75" customHeight="1">
      <c r="N532" s="324"/>
    </row>
    <row r="533" spans="14:14" ht="15.75" customHeight="1">
      <c r="N533" s="324"/>
    </row>
    <row r="534" spans="14:14" ht="15.75" customHeight="1">
      <c r="N534" s="324"/>
    </row>
    <row r="535" spans="14:14" ht="15.75" customHeight="1">
      <c r="N535" s="324"/>
    </row>
    <row r="536" spans="14:14" ht="15.75" customHeight="1">
      <c r="N536" s="324"/>
    </row>
    <row r="537" spans="14:14" ht="15.75" customHeight="1">
      <c r="N537" s="324"/>
    </row>
    <row r="538" spans="14:14" ht="15.75" customHeight="1">
      <c r="N538" s="324"/>
    </row>
    <row r="539" spans="14:14" ht="15.75" customHeight="1">
      <c r="N539" s="324"/>
    </row>
    <row r="540" spans="14:14" ht="15.75" customHeight="1">
      <c r="N540" s="324"/>
    </row>
    <row r="541" spans="14:14" ht="15.75" customHeight="1">
      <c r="N541" s="324"/>
    </row>
    <row r="542" spans="14:14" ht="15.75" customHeight="1">
      <c r="N542" s="324"/>
    </row>
    <row r="543" spans="14:14" ht="15.75" customHeight="1">
      <c r="N543" s="324"/>
    </row>
    <row r="544" spans="14:14" ht="15.75" customHeight="1">
      <c r="N544" s="324"/>
    </row>
    <row r="545" spans="14:14" ht="15.75" customHeight="1">
      <c r="N545" s="324"/>
    </row>
    <row r="546" spans="14:14" ht="15.75" customHeight="1">
      <c r="N546" s="324"/>
    </row>
    <row r="547" spans="14:14" ht="15.75" customHeight="1">
      <c r="N547" s="324"/>
    </row>
    <row r="548" spans="14:14" ht="15.75" customHeight="1">
      <c r="N548" s="324"/>
    </row>
    <row r="549" spans="14:14" ht="15.75" customHeight="1">
      <c r="N549" s="324"/>
    </row>
    <row r="550" spans="14:14" ht="15.75" customHeight="1">
      <c r="N550" s="324"/>
    </row>
    <row r="551" spans="14:14" ht="15.75" customHeight="1">
      <c r="N551" s="324"/>
    </row>
    <row r="552" spans="14:14" ht="15.75" customHeight="1">
      <c r="N552" s="324"/>
    </row>
    <row r="553" spans="14:14" ht="15.75" customHeight="1">
      <c r="N553" s="324"/>
    </row>
    <row r="554" spans="14:14" ht="15.75" customHeight="1">
      <c r="N554" s="324"/>
    </row>
    <row r="555" spans="14:14" ht="15.75" customHeight="1">
      <c r="N555" s="324"/>
    </row>
    <row r="556" spans="14:14" ht="15.75" customHeight="1">
      <c r="N556" s="324"/>
    </row>
    <row r="557" spans="14:14" ht="15.75" customHeight="1">
      <c r="N557" s="324"/>
    </row>
    <row r="558" spans="14:14" ht="15.75" customHeight="1">
      <c r="N558" s="324"/>
    </row>
    <row r="559" spans="14:14" ht="15.75" customHeight="1">
      <c r="N559" s="324"/>
    </row>
    <row r="560" spans="14:14" ht="15.75" customHeight="1">
      <c r="N560" s="324"/>
    </row>
    <row r="561" spans="14:14" ht="15.75" customHeight="1">
      <c r="N561" s="324"/>
    </row>
    <row r="562" spans="14:14" ht="15.75" customHeight="1">
      <c r="N562" s="324"/>
    </row>
    <row r="563" spans="14:14" ht="15.75" customHeight="1">
      <c r="N563" s="324"/>
    </row>
    <row r="564" spans="14:14" ht="15.75" customHeight="1">
      <c r="N564" s="324"/>
    </row>
    <row r="565" spans="14:14" ht="15.75" customHeight="1">
      <c r="N565" s="324"/>
    </row>
    <row r="566" spans="14:14" ht="15.75" customHeight="1">
      <c r="N566" s="324"/>
    </row>
    <row r="567" spans="14:14" ht="15.75" customHeight="1">
      <c r="N567" s="324"/>
    </row>
    <row r="568" spans="14:14" ht="15.75" customHeight="1">
      <c r="N568" s="324"/>
    </row>
    <row r="569" spans="14:14" ht="15.75" customHeight="1">
      <c r="N569" s="324"/>
    </row>
    <row r="570" spans="14:14" ht="15.75" customHeight="1">
      <c r="N570" s="324"/>
    </row>
    <row r="571" spans="14:14" ht="15.75" customHeight="1">
      <c r="N571" s="324"/>
    </row>
    <row r="572" spans="14:14" ht="15.75" customHeight="1">
      <c r="N572" s="324"/>
    </row>
    <row r="573" spans="14:14" ht="15.75" customHeight="1">
      <c r="N573" s="324"/>
    </row>
    <row r="574" spans="14:14" ht="15.75" customHeight="1">
      <c r="N574" s="324"/>
    </row>
    <row r="575" spans="14:14" ht="15.75" customHeight="1">
      <c r="N575" s="324"/>
    </row>
    <row r="576" spans="14:14" ht="15.75" customHeight="1">
      <c r="N576" s="324"/>
    </row>
    <row r="577" spans="14:14" ht="15.75" customHeight="1">
      <c r="N577" s="324"/>
    </row>
    <row r="578" spans="14:14" ht="15.75" customHeight="1">
      <c r="N578" s="324"/>
    </row>
    <row r="579" spans="14:14" ht="15.75" customHeight="1">
      <c r="N579" s="324"/>
    </row>
    <row r="580" spans="14:14" ht="15.75" customHeight="1">
      <c r="N580" s="324"/>
    </row>
    <row r="581" spans="14:14" ht="15.75" customHeight="1">
      <c r="N581" s="324"/>
    </row>
    <row r="582" spans="14:14" ht="15.75" customHeight="1">
      <c r="N582" s="324"/>
    </row>
    <row r="583" spans="14:14" ht="15.75" customHeight="1">
      <c r="N583" s="324"/>
    </row>
    <row r="584" spans="14:14" ht="15.75" customHeight="1">
      <c r="N584" s="324"/>
    </row>
    <row r="585" spans="14:14" ht="15.75" customHeight="1">
      <c r="N585" s="324"/>
    </row>
    <row r="586" spans="14:14" ht="15.75" customHeight="1">
      <c r="N586" s="324"/>
    </row>
    <row r="587" spans="14:14" ht="15.75" customHeight="1">
      <c r="N587" s="324"/>
    </row>
    <row r="588" spans="14:14" ht="15.75" customHeight="1">
      <c r="N588" s="324"/>
    </row>
    <row r="589" spans="14:14" ht="15.75" customHeight="1">
      <c r="N589" s="324"/>
    </row>
    <row r="590" spans="14:14" ht="15.75" customHeight="1">
      <c r="N590" s="324"/>
    </row>
    <row r="591" spans="14:14" ht="15.75" customHeight="1">
      <c r="N591" s="324"/>
    </row>
    <row r="592" spans="14:14" ht="15.75" customHeight="1">
      <c r="N592" s="324"/>
    </row>
    <row r="593" spans="14:14" ht="15.75" customHeight="1">
      <c r="N593" s="324"/>
    </row>
    <row r="594" spans="14:14" ht="15.75" customHeight="1">
      <c r="N594" s="324"/>
    </row>
    <row r="595" spans="14:14" ht="15.75" customHeight="1">
      <c r="N595" s="324"/>
    </row>
    <row r="596" spans="14:14" ht="15.75" customHeight="1">
      <c r="N596" s="324"/>
    </row>
    <row r="597" spans="14:14" ht="15.75" customHeight="1">
      <c r="N597" s="324"/>
    </row>
    <row r="598" spans="14:14" ht="15.75" customHeight="1">
      <c r="N598" s="324"/>
    </row>
    <row r="599" spans="14:14" ht="15.75" customHeight="1">
      <c r="N599" s="324"/>
    </row>
    <row r="600" spans="14:14" ht="15.75" customHeight="1">
      <c r="N600" s="324"/>
    </row>
    <row r="601" spans="14:14" ht="15.75" customHeight="1">
      <c r="N601" s="324"/>
    </row>
    <row r="602" spans="14:14" ht="15.75" customHeight="1">
      <c r="N602" s="324"/>
    </row>
    <row r="603" spans="14:14" ht="15.75" customHeight="1">
      <c r="N603" s="324"/>
    </row>
    <row r="604" spans="14:14" ht="15.75" customHeight="1">
      <c r="N604" s="324"/>
    </row>
    <row r="605" spans="14:14" ht="15.75" customHeight="1">
      <c r="N605" s="324"/>
    </row>
    <row r="606" spans="14:14" ht="15.75" customHeight="1">
      <c r="N606" s="324"/>
    </row>
    <row r="607" spans="14:14" ht="15.75" customHeight="1">
      <c r="N607" s="324"/>
    </row>
    <row r="608" spans="14:14" ht="15.75" customHeight="1">
      <c r="N608" s="324"/>
    </row>
    <row r="609" spans="14:14" ht="15.75" customHeight="1">
      <c r="N609" s="324"/>
    </row>
    <row r="610" spans="14:14" ht="15.75" customHeight="1">
      <c r="N610" s="324"/>
    </row>
    <row r="611" spans="14:14" ht="15.75" customHeight="1">
      <c r="N611" s="324"/>
    </row>
    <row r="612" spans="14:14" ht="15.75" customHeight="1">
      <c r="N612" s="324"/>
    </row>
    <row r="613" spans="14:14" ht="15.75" customHeight="1">
      <c r="N613" s="324"/>
    </row>
    <row r="614" spans="14:14" ht="15.75" customHeight="1">
      <c r="N614" s="324"/>
    </row>
    <row r="615" spans="14:14" ht="15.75" customHeight="1">
      <c r="N615" s="324"/>
    </row>
    <row r="616" spans="14:14" ht="15.75" customHeight="1">
      <c r="N616" s="324"/>
    </row>
    <row r="617" spans="14:14" ht="15.75" customHeight="1">
      <c r="N617" s="324"/>
    </row>
    <row r="618" spans="14:14" ht="15.75" customHeight="1">
      <c r="N618" s="324"/>
    </row>
    <row r="619" spans="14:14" ht="15.75" customHeight="1">
      <c r="N619" s="324"/>
    </row>
    <row r="620" spans="14:14" ht="15.75" customHeight="1">
      <c r="N620" s="324"/>
    </row>
    <row r="621" spans="14:14" ht="15.75" customHeight="1">
      <c r="N621" s="324"/>
    </row>
    <row r="622" spans="14:14" ht="15.75" customHeight="1">
      <c r="N622" s="324"/>
    </row>
    <row r="623" spans="14:14" ht="15.75" customHeight="1">
      <c r="N623" s="324"/>
    </row>
    <row r="624" spans="14:14" ht="15.75" customHeight="1">
      <c r="N624" s="324"/>
    </row>
    <row r="625" spans="14:14" ht="15.75" customHeight="1">
      <c r="N625" s="324"/>
    </row>
    <row r="626" spans="14:14" ht="15.75" customHeight="1">
      <c r="N626" s="324"/>
    </row>
    <row r="627" spans="14:14" ht="15.75" customHeight="1">
      <c r="N627" s="324"/>
    </row>
    <row r="628" spans="14:14" ht="15.75" customHeight="1">
      <c r="N628" s="324"/>
    </row>
    <row r="629" spans="14:14" ht="15.75" customHeight="1">
      <c r="N629" s="324"/>
    </row>
    <row r="630" spans="14:14" ht="15.75" customHeight="1">
      <c r="N630" s="324"/>
    </row>
    <row r="631" spans="14:14" ht="15.75" customHeight="1">
      <c r="N631" s="324"/>
    </row>
    <row r="632" spans="14:14" ht="15.75" customHeight="1">
      <c r="N632" s="324"/>
    </row>
    <row r="633" spans="14:14" ht="15.75" customHeight="1">
      <c r="N633" s="324"/>
    </row>
    <row r="634" spans="14:14" ht="15.75" customHeight="1">
      <c r="N634" s="324"/>
    </row>
    <row r="635" spans="14:14" ht="15.75" customHeight="1">
      <c r="N635" s="324"/>
    </row>
    <row r="636" spans="14:14" ht="15.75" customHeight="1">
      <c r="N636" s="324"/>
    </row>
    <row r="637" spans="14:14" ht="15.75" customHeight="1">
      <c r="N637" s="324"/>
    </row>
    <row r="638" spans="14:14" ht="15.75" customHeight="1">
      <c r="N638" s="324"/>
    </row>
    <row r="639" spans="14:14" ht="15.75" customHeight="1">
      <c r="N639" s="324"/>
    </row>
    <row r="640" spans="14:14" ht="15.75" customHeight="1">
      <c r="N640" s="324"/>
    </row>
    <row r="641" spans="14:14" ht="15.75" customHeight="1">
      <c r="N641" s="324"/>
    </row>
    <row r="642" spans="14:14" ht="15.75" customHeight="1">
      <c r="N642" s="324"/>
    </row>
    <row r="643" spans="14:14" ht="15.75" customHeight="1">
      <c r="N643" s="324"/>
    </row>
    <row r="644" spans="14:14" ht="15.75" customHeight="1">
      <c r="N644" s="324"/>
    </row>
    <row r="645" spans="14:14" ht="15.75" customHeight="1">
      <c r="N645" s="324"/>
    </row>
    <row r="646" spans="14:14" ht="15.75" customHeight="1">
      <c r="N646" s="324"/>
    </row>
    <row r="647" spans="14:14" ht="15.75" customHeight="1">
      <c r="N647" s="324"/>
    </row>
    <row r="648" spans="14:14" ht="15.75" customHeight="1">
      <c r="N648" s="324"/>
    </row>
    <row r="649" spans="14:14" ht="15.75" customHeight="1">
      <c r="N649" s="324"/>
    </row>
    <row r="650" spans="14:14" ht="15.75" customHeight="1">
      <c r="N650" s="324"/>
    </row>
    <row r="651" spans="14:14" ht="15.75" customHeight="1">
      <c r="N651" s="324"/>
    </row>
    <row r="652" spans="14:14" ht="15.75" customHeight="1">
      <c r="N652" s="324"/>
    </row>
    <row r="653" spans="14:14" ht="15.75" customHeight="1">
      <c r="N653" s="324"/>
    </row>
    <row r="654" spans="14:14" ht="15.75" customHeight="1">
      <c r="N654" s="324"/>
    </row>
    <row r="655" spans="14:14" ht="15.75" customHeight="1">
      <c r="N655" s="324"/>
    </row>
    <row r="656" spans="14:14" ht="15.75" customHeight="1">
      <c r="N656" s="324"/>
    </row>
    <row r="657" spans="14:14" ht="15.75" customHeight="1">
      <c r="N657" s="324"/>
    </row>
    <row r="658" spans="14:14" ht="15.75" customHeight="1">
      <c r="N658" s="324"/>
    </row>
    <row r="659" spans="14:14" ht="15.75" customHeight="1">
      <c r="N659" s="324"/>
    </row>
    <row r="660" spans="14:14" ht="15.75" customHeight="1">
      <c r="N660" s="324"/>
    </row>
    <row r="661" spans="14:14" ht="15.75" customHeight="1">
      <c r="N661" s="324"/>
    </row>
    <row r="662" spans="14:14" ht="15.75" customHeight="1">
      <c r="N662" s="324"/>
    </row>
    <row r="663" spans="14:14" ht="15.75" customHeight="1">
      <c r="N663" s="324"/>
    </row>
    <row r="664" spans="14:14" ht="15.75" customHeight="1">
      <c r="N664" s="324"/>
    </row>
    <row r="665" spans="14:14" ht="15.75" customHeight="1">
      <c r="N665" s="324"/>
    </row>
    <row r="666" spans="14:14" ht="15.75" customHeight="1">
      <c r="N666" s="324"/>
    </row>
    <row r="667" spans="14:14" ht="15.75" customHeight="1">
      <c r="N667" s="324"/>
    </row>
    <row r="668" spans="14:14" ht="15.75" customHeight="1">
      <c r="N668" s="324"/>
    </row>
    <row r="669" spans="14:14" ht="15.75" customHeight="1">
      <c r="N669" s="324"/>
    </row>
    <row r="670" spans="14:14" ht="15.75" customHeight="1">
      <c r="N670" s="324"/>
    </row>
    <row r="671" spans="14:14" ht="15.75" customHeight="1">
      <c r="N671" s="324"/>
    </row>
    <row r="672" spans="14:14" ht="15.75" customHeight="1">
      <c r="N672" s="324"/>
    </row>
    <row r="673" spans="14:14" ht="15.75" customHeight="1">
      <c r="N673" s="324"/>
    </row>
    <row r="674" spans="14:14" ht="15.75" customHeight="1">
      <c r="N674" s="324"/>
    </row>
    <row r="675" spans="14:14" ht="15.75" customHeight="1">
      <c r="N675" s="324"/>
    </row>
    <row r="676" spans="14:14" ht="15.75" customHeight="1">
      <c r="N676" s="324"/>
    </row>
    <row r="677" spans="14:14" ht="15.75" customHeight="1">
      <c r="N677" s="324"/>
    </row>
    <row r="678" spans="14:14" ht="15.75" customHeight="1">
      <c r="N678" s="324"/>
    </row>
    <row r="679" spans="14:14" ht="15.75" customHeight="1">
      <c r="N679" s="324"/>
    </row>
    <row r="680" spans="14:14" ht="15.75" customHeight="1">
      <c r="N680" s="324"/>
    </row>
    <row r="681" spans="14:14" ht="15.75" customHeight="1">
      <c r="N681" s="324"/>
    </row>
    <row r="682" spans="14:14" ht="15.75" customHeight="1">
      <c r="N682" s="324"/>
    </row>
    <row r="683" spans="14:14" ht="15.75" customHeight="1">
      <c r="N683" s="324"/>
    </row>
    <row r="684" spans="14:14" ht="15.75" customHeight="1">
      <c r="N684" s="324"/>
    </row>
    <row r="685" spans="14:14" ht="15.75" customHeight="1">
      <c r="N685" s="324"/>
    </row>
    <row r="686" spans="14:14" ht="15.75" customHeight="1">
      <c r="N686" s="324"/>
    </row>
    <row r="687" spans="14:14" ht="15.75" customHeight="1">
      <c r="N687" s="324"/>
    </row>
    <row r="688" spans="14:14" ht="15.75" customHeight="1">
      <c r="N688" s="324"/>
    </row>
    <row r="689" spans="14:14" ht="15.75" customHeight="1">
      <c r="N689" s="324"/>
    </row>
    <row r="690" spans="14:14" ht="15.75" customHeight="1">
      <c r="N690" s="324"/>
    </row>
    <row r="691" spans="14:14" ht="15.75" customHeight="1">
      <c r="N691" s="324"/>
    </row>
    <row r="692" spans="14:14" ht="15.75" customHeight="1">
      <c r="N692" s="324"/>
    </row>
    <row r="693" spans="14:14" ht="15.75" customHeight="1">
      <c r="N693" s="324"/>
    </row>
    <row r="694" spans="14:14" ht="15.75" customHeight="1">
      <c r="N694" s="324"/>
    </row>
    <row r="695" spans="14:14" ht="15.75" customHeight="1">
      <c r="N695" s="324"/>
    </row>
    <row r="696" spans="14:14" ht="15.75" customHeight="1">
      <c r="N696" s="324"/>
    </row>
    <row r="697" spans="14:14" ht="15.75" customHeight="1">
      <c r="N697" s="324"/>
    </row>
    <row r="698" spans="14:14" ht="15.75" customHeight="1">
      <c r="N698" s="324"/>
    </row>
    <row r="699" spans="14:14" ht="15.75" customHeight="1">
      <c r="N699" s="324"/>
    </row>
    <row r="700" spans="14:14" ht="15.75" customHeight="1">
      <c r="N700" s="324"/>
    </row>
    <row r="701" spans="14:14" ht="15.75" customHeight="1">
      <c r="N701" s="324"/>
    </row>
    <row r="702" spans="14:14" ht="15.75" customHeight="1">
      <c r="N702" s="324"/>
    </row>
    <row r="703" spans="14:14" ht="15.75" customHeight="1">
      <c r="N703" s="324"/>
    </row>
    <row r="704" spans="14:14" ht="15.75" customHeight="1">
      <c r="N704" s="324"/>
    </row>
    <row r="705" spans="14:14" ht="15.75" customHeight="1">
      <c r="N705" s="324"/>
    </row>
    <row r="706" spans="14:14" ht="15.75" customHeight="1">
      <c r="N706" s="324"/>
    </row>
    <row r="707" spans="14:14" ht="15.75" customHeight="1">
      <c r="N707" s="324"/>
    </row>
    <row r="708" spans="14:14" ht="15.75" customHeight="1">
      <c r="N708" s="324"/>
    </row>
    <row r="709" spans="14:14" ht="15.75" customHeight="1">
      <c r="N709" s="324"/>
    </row>
    <row r="710" spans="14:14" ht="15.75" customHeight="1">
      <c r="N710" s="324"/>
    </row>
    <row r="711" spans="14:14" ht="15.75" customHeight="1">
      <c r="N711" s="324"/>
    </row>
    <row r="712" spans="14:14" ht="15.75" customHeight="1">
      <c r="N712" s="324"/>
    </row>
    <row r="713" spans="14:14" ht="15.75" customHeight="1">
      <c r="N713" s="324"/>
    </row>
    <row r="714" spans="14:14" ht="15.75" customHeight="1">
      <c r="N714" s="324"/>
    </row>
    <row r="715" spans="14:14" ht="15.75" customHeight="1">
      <c r="N715" s="324"/>
    </row>
    <row r="716" spans="14:14" ht="15.75" customHeight="1">
      <c r="N716" s="324"/>
    </row>
    <row r="717" spans="14:14" ht="15.75" customHeight="1">
      <c r="N717" s="324"/>
    </row>
    <row r="718" spans="14:14" ht="15.75" customHeight="1">
      <c r="N718" s="324"/>
    </row>
    <row r="719" spans="14:14" ht="15.75" customHeight="1">
      <c r="N719" s="324"/>
    </row>
    <row r="720" spans="14:14" ht="15.75" customHeight="1">
      <c r="N720" s="324"/>
    </row>
    <row r="721" spans="14:14" ht="15.75" customHeight="1">
      <c r="N721" s="324"/>
    </row>
    <row r="722" spans="14:14" ht="15.75" customHeight="1">
      <c r="N722" s="324"/>
    </row>
    <row r="723" spans="14:14" ht="15.75" customHeight="1">
      <c r="N723" s="324"/>
    </row>
    <row r="724" spans="14:14" ht="15.75" customHeight="1">
      <c r="N724" s="324"/>
    </row>
    <row r="725" spans="14:14" ht="15.75" customHeight="1">
      <c r="N725" s="324"/>
    </row>
    <row r="726" spans="14:14" ht="15.75" customHeight="1">
      <c r="N726" s="324"/>
    </row>
    <row r="727" spans="14:14" ht="15.75" customHeight="1">
      <c r="N727" s="324"/>
    </row>
    <row r="728" spans="14:14" ht="15.75" customHeight="1">
      <c r="N728" s="324"/>
    </row>
    <row r="729" spans="14:14" ht="15.75" customHeight="1">
      <c r="N729" s="324"/>
    </row>
    <row r="730" spans="14:14" ht="15.75" customHeight="1">
      <c r="N730" s="324"/>
    </row>
    <row r="731" spans="14:14" ht="15.75" customHeight="1">
      <c r="N731" s="324"/>
    </row>
    <row r="732" spans="14:14" ht="15.75" customHeight="1">
      <c r="N732" s="324"/>
    </row>
    <row r="733" spans="14:14" ht="15.75" customHeight="1">
      <c r="N733" s="324"/>
    </row>
    <row r="734" spans="14:14" ht="15.75" customHeight="1">
      <c r="N734" s="324"/>
    </row>
    <row r="735" spans="14:14" ht="15.75" customHeight="1">
      <c r="N735" s="324"/>
    </row>
    <row r="736" spans="14:14" ht="15.75" customHeight="1">
      <c r="N736" s="324"/>
    </row>
    <row r="737" spans="14:14" ht="15.75" customHeight="1">
      <c r="N737" s="324"/>
    </row>
    <row r="738" spans="14:14" ht="15.75" customHeight="1">
      <c r="N738" s="324"/>
    </row>
    <row r="739" spans="14:14" ht="15.75" customHeight="1">
      <c r="N739" s="324"/>
    </row>
    <row r="740" spans="14:14" ht="15.75" customHeight="1">
      <c r="N740" s="324"/>
    </row>
    <row r="741" spans="14:14" ht="15.75" customHeight="1">
      <c r="N741" s="324"/>
    </row>
    <row r="742" spans="14:14" ht="15.75" customHeight="1">
      <c r="N742" s="324"/>
    </row>
    <row r="743" spans="14:14" ht="15.75" customHeight="1">
      <c r="N743" s="324"/>
    </row>
    <row r="744" spans="14:14" ht="15.75" customHeight="1">
      <c r="N744" s="324"/>
    </row>
    <row r="745" spans="14:14" ht="15.75" customHeight="1">
      <c r="N745" s="324"/>
    </row>
    <row r="746" spans="14:14" ht="15.75" customHeight="1">
      <c r="N746" s="324"/>
    </row>
    <row r="747" spans="14:14" ht="15.75" customHeight="1">
      <c r="N747" s="324"/>
    </row>
    <row r="748" spans="14:14" ht="15.75" customHeight="1">
      <c r="N748" s="324"/>
    </row>
    <row r="749" spans="14:14" ht="15.75" customHeight="1">
      <c r="N749" s="324"/>
    </row>
    <row r="750" spans="14:14" ht="15.75" customHeight="1">
      <c r="N750" s="324"/>
    </row>
    <row r="751" spans="14:14" ht="15.75" customHeight="1">
      <c r="N751" s="324"/>
    </row>
    <row r="752" spans="14:14" ht="15.75" customHeight="1">
      <c r="N752" s="324"/>
    </row>
    <row r="753" spans="14:14" ht="15.75" customHeight="1">
      <c r="N753" s="324"/>
    </row>
    <row r="754" spans="14:14" ht="15.75" customHeight="1">
      <c r="N754" s="324"/>
    </row>
    <row r="755" spans="14:14" ht="15.75" customHeight="1">
      <c r="N755" s="324"/>
    </row>
    <row r="756" spans="14:14" ht="15.75" customHeight="1">
      <c r="N756" s="324"/>
    </row>
    <row r="757" spans="14:14" ht="15.75" customHeight="1">
      <c r="N757" s="324"/>
    </row>
    <row r="758" spans="14:14" ht="15.75" customHeight="1">
      <c r="N758" s="324"/>
    </row>
    <row r="759" spans="14:14" ht="15.75" customHeight="1">
      <c r="N759" s="324"/>
    </row>
    <row r="760" spans="14:14" ht="15.75" customHeight="1">
      <c r="N760" s="324"/>
    </row>
    <row r="761" spans="14:14" ht="15.75" customHeight="1">
      <c r="N761" s="324"/>
    </row>
    <row r="762" spans="14:14" ht="15.75" customHeight="1">
      <c r="N762" s="324"/>
    </row>
    <row r="763" spans="14:14" ht="15.75" customHeight="1">
      <c r="N763" s="324"/>
    </row>
    <row r="764" spans="14:14" ht="15.75" customHeight="1">
      <c r="N764" s="324"/>
    </row>
    <row r="765" spans="14:14" ht="15.75" customHeight="1">
      <c r="N765" s="324"/>
    </row>
    <row r="766" spans="14:14" ht="15.75" customHeight="1">
      <c r="N766" s="324"/>
    </row>
    <row r="767" spans="14:14" ht="15.75" customHeight="1">
      <c r="N767" s="324"/>
    </row>
    <row r="768" spans="14:14" ht="15.75" customHeight="1">
      <c r="N768" s="324"/>
    </row>
    <row r="769" spans="14:14" ht="15.75" customHeight="1">
      <c r="N769" s="324"/>
    </row>
    <row r="770" spans="14:14" ht="15.75" customHeight="1">
      <c r="N770" s="324"/>
    </row>
    <row r="771" spans="14:14" ht="15.75" customHeight="1">
      <c r="N771" s="324"/>
    </row>
    <row r="772" spans="14:14" ht="15.75" customHeight="1">
      <c r="N772" s="324"/>
    </row>
    <row r="773" spans="14:14" ht="15.75" customHeight="1">
      <c r="N773" s="324"/>
    </row>
    <row r="774" spans="14:14" ht="15.75" customHeight="1">
      <c r="N774" s="324"/>
    </row>
    <row r="775" spans="14:14" ht="15.75" customHeight="1">
      <c r="N775" s="324"/>
    </row>
    <row r="776" spans="14:14" ht="15.75" customHeight="1">
      <c r="N776" s="324"/>
    </row>
    <row r="777" spans="14:14" ht="15.75" customHeight="1">
      <c r="N777" s="324"/>
    </row>
    <row r="778" spans="14:14" ht="15.75" customHeight="1">
      <c r="N778" s="324"/>
    </row>
    <row r="779" spans="14:14" ht="15.75" customHeight="1">
      <c r="N779" s="324"/>
    </row>
    <row r="780" spans="14:14" ht="15.75" customHeight="1">
      <c r="N780" s="324"/>
    </row>
    <row r="781" spans="14:14" ht="15.75" customHeight="1">
      <c r="N781" s="324"/>
    </row>
    <row r="782" spans="14:14" ht="15.75" customHeight="1">
      <c r="N782" s="324"/>
    </row>
    <row r="783" spans="14:14" ht="15.75" customHeight="1">
      <c r="N783" s="324"/>
    </row>
    <row r="784" spans="14:14" ht="15.75" customHeight="1">
      <c r="N784" s="324"/>
    </row>
    <row r="785" spans="14:14" ht="15.75" customHeight="1">
      <c r="N785" s="324"/>
    </row>
    <row r="786" spans="14:14" ht="15.75" customHeight="1">
      <c r="N786" s="324"/>
    </row>
    <row r="787" spans="14:14" ht="15.75" customHeight="1">
      <c r="N787" s="324"/>
    </row>
    <row r="788" spans="14:14" ht="15.75" customHeight="1">
      <c r="N788" s="324"/>
    </row>
    <row r="789" spans="14:14" ht="15.75" customHeight="1">
      <c r="N789" s="324"/>
    </row>
    <row r="790" spans="14:14" ht="15.75" customHeight="1">
      <c r="N790" s="324"/>
    </row>
    <row r="791" spans="14:14" ht="15.75" customHeight="1">
      <c r="N791" s="324"/>
    </row>
    <row r="792" spans="14:14" ht="15.75" customHeight="1">
      <c r="N792" s="324"/>
    </row>
    <row r="793" spans="14:14" ht="15.75" customHeight="1">
      <c r="N793" s="324"/>
    </row>
    <row r="794" spans="14:14" ht="15.75" customHeight="1">
      <c r="N794" s="324"/>
    </row>
    <row r="795" spans="14:14" ht="15.75" customHeight="1">
      <c r="N795" s="324"/>
    </row>
    <row r="796" spans="14:14" ht="15.75" customHeight="1">
      <c r="N796" s="324"/>
    </row>
    <row r="797" spans="14:14" ht="15.75" customHeight="1">
      <c r="N797" s="324"/>
    </row>
    <row r="798" spans="14:14" ht="15.75" customHeight="1">
      <c r="N798" s="324"/>
    </row>
    <row r="799" spans="14:14" ht="15.75" customHeight="1">
      <c r="N799" s="324"/>
    </row>
    <row r="800" spans="14:14" ht="15.75" customHeight="1">
      <c r="N800" s="324"/>
    </row>
    <row r="801" spans="14:14" ht="15.75" customHeight="1">
      <c r="N801" s="324"/>
    </row>
    <row r="802" spans="14:14" ht="15.75" customHeight="1">
      <c r="N802" s="324"/>
    </row>
    <row r="803" spans="14:14" ht="15.75" customHeight="1">
      <c r="N803" s="324"/>
    </row>
    <row r="804" spans="14:14" ht="15.75" customHeight="1">
      <c r="N804" s="324"/>
    </row>
    <row r="805" spans="14:14" ht="15.75" customHeight="1">
      <c r="N805" s="324"/>
    </row>
    <row r="806" spans="14:14" ht="15.75" customHeight="1">
      <c r="N806" s="324"/>
    </row>
    <row r="807" spans="14:14" ht="15.75" customHeight="1">
      <c r="N807" s="324"/>
    </row>
    <row r="808" spans="14:14" ht="15.75" customHeight="1">
      <c r="N808" s="324"/>
    </row>
    <row r="809" spans="14:14" ht="15.75" customHeight="1">
      <c r="N809" s="324"/>
    </row>
    <row r="810" spans="14:14" ht="15.75" customHeight="1">
      <c r="N810" s="324"/>
    </row>
    <row r="811" spans="14:14" ht="15.75" customHeight="1">
      <c r="N811" s="324"/>
    </row>
    <row r="812" spans="14:14" ht="15.75" customHeight="1">
      <c r="N812" s="324"/>
    </row>
    <row r="813" spans="14:14" ht="15.75" customHeight="1">
      <c r="N813" s="324"/>
    </row>
    <row r="814" spans="14:14" ht="15.75" customHeight="1">
      <c r="N814" s="324"/>
    </row>
    <row r="815" spans="14:14" ht="15.75" customHeight="1">
      <c r="N815" s="324"/>
    </row>
    <row r="816" spans="14:14" ht="15.75" customHeight="1">
      <c r="N816" s="324"/>
    </row>
    <row r="817" spans="14:14" ht="15.75" customHeight="1">
      <c r="N817" s="324"/>
    </row>
    <row r="818" spans="14:14" ht="15.75" customHeight="1">
      <c r="N818" s="324"/>
    </row>
    <row r="819" spans="14:14" ht="15.75" customHeight="1">
      <c r="N819" s="324"/>
    </row>
    <row r="820" spans="14:14" ht="15.75" customHeight="1">
      <c r="N820" s="324"/>
    </row>
    <row r="821" spans="14:14" ht="15.75" customHeight="1">
      <c r="N821" s="324"/>
    </row>
    <row r="822" spans="14:14" ht="15.75" customHeight="1">
      <c r="N822" s="324"/>
    </row>
    <row r="823" spans="14:14" ht="15.75" customHeight="1">
      <c r="N823" s="324"/>
    </row>
    <row r="824" spans="14:14" ht="15.75" customHeight="1">
      <c r="N824" s="324"/>
    </row>
    <row r="825" spans="14:14" ht="15.75" customHeight="1">
      <c r="N825" s="324"/>
    </row>
    <row r="826" spans="14:14" ht="15.75" customHeight="1">
      <c r="N826" s="324"/>
    </row>
    <row r="827" spans="14:14" ht="15.75" customHeight="1">
      <c r="N827" s="324"/>
    </row>
    <row r="828" spans="14:14" ht="15.75" customHeight="1">
      <c r="N828" s="324"/>
    </row>
    <row r="829" spans="14:14" ht="15.75" customHeight="1">
      <c r="N829" s="324"/>
    </row>
    <row r="830" spans="14:14" ht="15.75" customHeight="1">
      <c r="N830" s="324"/>
    </row>
    <row r="831" spans="14:14" ht="15.75" customHeight="1">
      <c r="N831" s="324"/>
    </row>
    <row r="832" spans="14:14" ht="15.75" customHeight="1">
      <c r="N832" s="324"/>
    </row>
    <row r="833" spans="14:14" ht="15.75" customHeight="1">
      <c r="N833" s="324"/>
    </row>
    <row r="834" spans="14:14" ht="15.75" customHeight="1">
      <c r="N834" s="324"/>
    </row>
    <row r="835" spans="14:14" ht="15.75" customHeight="1">
      <c r="N835" s="324"/>
    </row>
    <row r="836" spans="14:14" ht="15.75" customHeight="1">
      <c r="N836" s="324"/>
    </row>
    <row r="837" spans="14:14" ht="15.75" customHeight="1">
      <c r="N837" s="324"/>
    </row>
    <row r="838" spans="14:14" ht="15.75" customHeight="1">
      <c r="N838" s="324"/>
    </row>
    <row r="839" spans="14:14" ht="15.75" customHeight="1">
      <c r="N839" s="324"/>
    </row>
    <row r="840" spans="14:14" ht="15.75" customHeight="1">
      <c r="N840" s="324"/>
    </row>
    <row r="841" spans="14:14" ht="15.75" customHeight="1">
      <c r="N841" s="324"/>
    </row>
    <row r="842" spans="14:14" ht="15.75" customHeight="1">
      <c r="N842" s="324"/>
    </row>
    <row r="843" spans="14:14" ht="15.75" customHeight="1">
      <c r="N843" s="324"/>
    </row>
    <row r="844" spans="14:14" ht="15.75" customHeight="1">
      <c r="N844" s="324"/>
    </row>
    <row r="845" spans="14:14" ht="15.75" customHeight="1">
      <c r="N845" s="324"/>
    </row>
    <row r="846" spans="14:14" ht="15.75" customHeight="1">
      <c r="N846" s="324"/>
    </row>
    <row r="847" spans="14:14" ht="15.75" customHeight="1">
      <c r="N847" s="324"/>
    </row>
    <row r="848" spans="14:14" ht="15.75" customHeight="1">
      <c r="N848" s="324"/>
    </row>
    <row r="849" spans="14:14" ht="15.75" customHeight="1">
      <c r="N849" s="324"/>
    </row>
    <row r="850" spans="14:14" ht="15.75" customHeight="1">
      <c r="N850" s="324"/>
    </row>
    <row r="851" spans="14:14" ht="15.75" customHeight="1">
      <c r="N851" s="324"/>
    </row>
    <row r="852" spans="14:14" ht="15.75" customHeight="1">
      <c r="N852" s="324"/>
    </row>
    <row r="853" spans="14:14" ht="15.75" customHeight="1">
      <c r="N853" s="324"/>
    </row>
    <row r="854" spans="14:14" ht="15.75" customHeight="1">
      <c r="N854" s="324"/>
    </row>
    <row r="855" spans="14:14" ht="15.75" customHeight="1">
      <c r="N855" s="324"/>
    </row>
    <row r="856" spans="14:14" ht="15.75" customHeight="1">
      <c r="N856" s="324"/>
    </row>
    <row r="857" spans="14:14" ht="15.75" customHeight="1">
      <c r="N857" s="324"/>
    </row>
    <row r="858" spans="14:14" ht="15.75" customHeight="1">
      <c r="N858" s="324"/>
    </row>
    <row r="859" spans="14:14" ht="15.75" customHeight="1">
      <c r="N859" s="324"/>
    </row>
    <row r="860" spans="14:14" ht="15.75" customHeight="1">
      <c r="N860" s="324"/>
    </row>
    <row r="861" spans="14:14" ht="15.75" customHeight="1">
      <c r="N861" s="324"/>
    </row>
    <row r="862" spans="14:14" ht="15.75" customHeight="1">
      <c r="N862" s="324"/>
    </row>
    <row r="863" spans="14:14" ht="15.75" customHeight="1">
      <c r="N863" s="324"/>
    </row>
    <row r="864" spans="14:14" ht="15.75" customHeight="1">
      <c r="N864" s="324"/>
    </row>
    <row r="865" spans="14:14" ht="15.75" customHeight="1">
      <c r="N865" s="324"/>
    </row>
    <row r="866" spans="14:14" ht="15.75" customHeight="1">
      <c r="N866" s="324"/>
    </row>
    <row r="867" spans="14:14" ht="15.75" customHeight="1">
      <c r="N867" s="324"/>
    </row>
    <row r="868" spans="14:14" ht="15.75" customHeight="1">
      <c r="N868" s="324"/>
    </row>
    <row r="869" spans="14:14" ht="15.75" customHeight="1">
      <c r="N869" s="324"/>
    </row>
    <row r="870" spans="14:14" ht="15.75" customHeight="1">
      <c r="N870" s="324"/>
    </row>
    <row r="871" spans="14:14" ht="15.75" customHeight="1">
      <c r="N871" s="324"/>
    </row>
    <row r="872" spans="14:14" ht="15.75" customHeight="1">
      <c r="N872" s="324"/>
    </row>
    <row r="873" spans="14:14" ht="15.75" customHeight="1">
      <c r="N873" s="324"/>
    </row>
    <row r="874" spans="14:14" ht="15.75" customHeight="1">
      <c r="N874" s="324"/>
    </row>
    <row r="875" spans="14:14" ht="15.75" customHeight="1">
      <c r="N875" s="324"/>
    </row>
    <row r="876" spans="14:14" ht="15.75" customHeight="1">
      <c r="N876" s="324"/>
    </row>
    <row r="877" spans="14:14" ht="15.75" customHeight="1">
      <c r="N877" s="324"/>
    </row>
    <row r="878" spans="14:14" ht="15.75" customHeight="1">
      <c r="N878" s="324"/>
    </row>
    <row r="879" spans="14:14" ht="15.75" customHeight="1">
      <c r="N879" s="324"/>
    </row>
    <row r="880" spans="14:14" ht="15.75" customHeight="1">
      <c r="N880" s="324"/>
    </row>
    <row r="881" spans="14:14" ht="15.75" customHeight="1">
      <c r="N881" s="324"/>
    </row>
    <row r="882" spans="14:14" ht="15.75" customHeight="1">
      <c r="N882" s="324"/>
    </row>
    <row r="883" spans="14:14" ht="15.75" customHeight="1">
      <c r="N883" s="324"/>
    </row>
    <row r="884" spans="14:14" ht="15.75" customHeight="1">
      <c r="N884" s="324"/>
    </row>
    <row r="885" spans="14:14" ht="15.75" customHeight="1">
      <c r="N885" s="324"/>
    </row>
    <row r="886" spans="14:14" ht="15.75" customHeight="1">
      <c r="N886" s="324"/>
    </row>
    <row r="887" spans="14:14" ht="15.75" customHeight="1">
      <c r="N887" s="324"/>
    </row>
    <row r="888" spans="14:14" ht="15.75" customHeight="1">
      <c r="N888" s="324"/>
    </row>
    <row r="889" spans="14:14" ht="15.75" customHeight="1">
      <c r="N889" s="324"/>
    </row>
    <row r="890" spans="14:14" ht="15.75" customHeight="1">
      <c r="N890" s="324"/>
    </row>
    <row r="891" spans="14:14" ht="15.75" customHeight="1">
      <c r="N891" s="324"/>
    </row>
    <row r="892" spans="14:14" ht="15.75" customHeight="1">
      <c r="N892" s="324"/>
    </row>
    <row r="893" spans="14:14" ht="15.75" customHeight="1">
      <c r="N893" s="324"/>
    </row>
    <row r="894" spans="14:14" ht="15.75" customHeight="1">
      <c r="N894" s="324"/>
    </row>
    <row r="895" spans="14:14" ht="15.75" customHeight="1">
      <c r="N895" s="324"/>
    </row>
    <row r="896" spans="14:14" ht="15.75" customHeight="1">
      <c r="N896" s="324"/>
    </row>
    <row r="897" spans="14:14" ht="15.75" customHeight="1">
      <c r="N897" s="324"/>
    </row>
    <row r="898" spans="14:14" ht="15.75" customHeight="1">
      <c r="N898" s="324"/>
    </row>
    <row r="899" spans="14:14" ht="15.75" customHeight="1">
      <c r="N899" s="324"/>
    </row>
    <row r="900" spans="14:14" ht="15.75" customHeight="1">
      <c r="N900" s="324"/>
    </row>
    <row r="901" spans="14:14" ht="15.75" customHeight="1">
      <c r="N901" s="324"/>
    </row>
    <row r="902" spans="14:14" ht="15.75" customHeight="1">
      <c r="N902" s="324"/>
    </row>
    <row r="903" spans="14:14" ht="15.75" customHeight="1">
      <c r="N903" s="324"/>
    </row>
    <row r="904" spans="14:14" ht="15.75" customHeight="1">
      <c r="N904" s="324"/>
    </row>
    <row r="905" spans="14:14" ht="15.75" customHeight="1">
      <c r="N905" s="324"/>
    </row>
    <row r="906" spans="14:14" ht="15.75" customHeight="1">
      <c r="N906" s="324"/>
    </row>
    <row r="907" spans="14:14" ht="15.75" customHeight="1">
      <c r="N907" s="324"/>
    </row>
    <row r="908" spans="14:14" ht="15.75" customHeight="1">
      <c r="N908" s="324"/>
    </row>
    <row r="909" spans="14:14" ht="15.75" customHeight="1">
      <c r="N909" s="324"/>
    </row>
    <row r="910" spans="14:14" ht="15.75" customHeight="1">
      <c r="N910" s="324"/>
    </row>
    <row r="911" spans="14:14" ht="15.75" customHeight="1">
      <c r="N911" s="324"/>
    </row>
    <row r="912" spans="14:14" ht="15.75" customHeight="1">
      <c r="N912" s="324"/>
    </row>
    <row r="913" spans="14:14" ht="15.75" customHeight="1">
      <c r="N913" s="324"/>
    </row>
    <row r="914" spans="14:14" ht="15.75" customHeight="1">
      <c r="N914" s="324"/>
    </row>
    <row r="915" spans="14:14" ht="15.75" customHeight="1">
      <c r="N915" s="324"/>
    </row>
    <row r="916" spans="14:14" ht="15.75" customHeight="1">
      <c r="N916" s="324"/>
    </row>
    <row r="917" spans="14:14" ht="15.75" customHeight="1">
      <c r="N917" s="324"/>
    </row>
    <row r="918" spans="14:14" ht="15.75" customHeight="1">
      <c r="N918" s="324"/>
    </row>
    <row r="919" spans="14:14" ht="15.75" customHeight="1">
      <c r="N919" s="324"/>
    </row>
    <row r="920" spans="14:14" ht="15.75" customHeight="1">
      <c r="N920" s="324"/>
    </row>
    <row r="921" spans="14:14" ht="15.75" customHeight="1">
      <c r="N921" s="324"/>
    </row>
    <row r="922" spans="14:14" ht="15.75" customHeight="1">
      <c r="N922" s="324"/>
    </row>
    <row r="923" spans="14:14" ht="15.75" customHeight="1">
      <c r="N923" s="324"/>
    </row>
    <row r="924" spans="14:14" ht="15.75" customHeight="1">
      <c r="N924" s="324"/>
    </row>
    <row r="925" spans="14:14" ht="15.75" customHeight="1">
      <c r="N925" s="324"/>
    </row>
    <row r="926" spans="14:14" ht="15.75" customHeight="1">
      <c r="N926" s="324"/>
    </row>
    <row r="927" spans="14:14" ht="15.75" customHeight="1">
      <c r="N927" s="324"/>
    </row>
    <row r="928" spans="14:14" ht="15.75" customHeight="1">
      <c r="N928" s="324"/>
    </row>
    <row r="929" spans="14:14" ht="15.75" customHeight="1">
      <c r="N929" s="324"/>
    </row>
    <row r="930" spans="14:14" ht="15.75" customHeight="1">
      <c r="N930" s="324"/>
    </row>
    <row r="931" spans="14:14" ht="15.75" customHeight="1">
      <c r="N931" s="324"/>
    </row>
    <row r="932" spans="14:14" ht="15.75" customHeight="1">
      <c r="N932" s="324"/>
    </row>
    <row r="933" spans="14:14" ht="15.75" customHeight="1">
      <c r="N933" s="324"/>
    </row>
    <row r="934" spans="14:14" ht="15.75" customHeight="1">
      <c r="N934" s="324"/>
    </row>
    <row r="935" spans="14:14" ht="15.75" customHeight="1">
      <c r="N935" s="324"/>
    </row>
    <row r="936" spans="14:14" ht="15.75" customHeight="1">
      <c r="N936" s="324"/>
    </row>
    <row r="937" spans="14:14" ht="15.75" customHeight="1">
      <c r="N937" s="324"/>
    </row>
    <row r="938" spans="14:14" ht="15.75" customHeight="1">
      <c r="N938" s="324"/>
    </row>
    <row r="939" spans="14:14" ht="15.75" customHeight="1">
      <c r="N939" s="324"/>
    </row>
    <row r="940" spans="14:14" ht="15.75" customHeight="1">
      <c r="N940" s="324"/>
    </row>
    <row r="941" spans="14:14" ht="15.75" customHeight="1">
      <c r="N941" s="324"/>
    </row>
    <row r="942" spans="14:14" ht="15.75" customHeight="1">
      <c r="N942" s="324"/>
    </row>
    <row r="943" spans="14:14" ht="15.75" customHeight="1">
      <c r="N943" s="324"/>
    </row>
    <row r="944" spans="14:14" ht="15.75" customHeight="1">
      <c r="N944" s="324"/>
    </row>
    <row r="945" spans="14:14" ht="15.75" customHeight="1">
      <c r="N945" s="324"/>
    </row>
    <row r="946" spans="14:14" ht="15.75" customHeight="1">
      <c r="N946" s="324"/>
    </row>
    <row r="947" spans="14:14" ht="15.75" customHeight="1">
      <c r="N947" s="324"/>
    </row>
    <row r="948" spans="14:14" ht="15.75" customHeight="1">
      <c r="N948" s="324"/>
    </row>
    <row r="949" spans="14:14" ht="15.75" customHeight="1">
      <c r="N949" s="324"/>
    </row>
    <row r="950" spans="14:14" ht="15.75" customHeight="1">
      <c r="N950" s="324"/>
    </row>
    <row r="951" spans="14:14" ht="15.75" customHeight="1">
      <c r="N951" s="324"/>
    </row>
    <row r="952" spans="14:14" ht="15.75" customHeight="1">
      <c r="N952" s="324"/>
    </row>
    <row r="953" spans="14:14" ht="15.75" customHeight="1">
      <c r="N953" s="324"/>
    </row>
    <row r="954" spans="14:14" ht="15.75" customHeight="1">
      <c r="N954" s="324"/>
    </row>
    <row r="955" spans="14:14" ht="15.75" customHeight="1">
      <c r="N955" s="324"/>
    </row>
    <row r="956" spans="14:14" ht="15.75" customHeight="1">
      <c r="N956" s="324"/>
    </row>
    <row r="957" spans="14:14" ht="15.75" customHeight="1">
      <c r="N957" s="324"/>
    </row>
    <row r="958" spans="14:14" ht="15.75" customHeight="1">
      <c r="N958" s="324"/>
    </row>
    <row r="959" spans="14:14" ht="15.75" customHeight="1">
      <c r="N959" s="324"/>
    </row>
    <row r="960" spans="14:14" ht="15.75" customHeight="1">
      <c r="N960" s="324"/>
    </row>
    <row r="961" spans="14:14" ht="15.75" customHeight="1">
      <c r="N961" s="324"/>
    </row>
    <row r="962" spans="14:14" ht="15.75" customHeight="1">
      <c r="N962" s="324"/>
    </row>
    <row r="963" spans="14:14" ht="15.75" customHeight="1">
      <c r="N963" s="324"/>
    </row>
    <row r="964" spans="14:14" ht="15.75" customHeight="1">
      <c r="N964" s="324"/>
    </row>
    <row r="965" spans="14:14" ht="15.75" customHeight="1">
      <c r="N965" s="324"/>
    </row>
    <row r="966" spans="14:14" ht="15.75" customHeight="1">
      <c r="N966" s="324"/>
    </row>
    <row r="967" spans="14:14" ht="15.75" customHeight="1">
      <c r="N967" s="324"/>
    </row>
    <row r="968" spans="14:14" ht="15.75" customHeight="1">
      <c r="N968" s="324"/>
    </row>
    <row r="969" spans="14:14" ht="15.75" customHeight="1">
      <c r="N969" s="324"/>
    </row>
    <row r="970" spans="14:14" ht="15.75" customHeight="1">
      <c r="N970" s="324"/>
    </row>
    <row r="971" spans="14:14" ht="15.75" customHeight="1">
      <c r="N971" s="324"/>
    </row>
    <row r="972" spans="14:14" ht="15.75" customHeight="1">
      <c r="N972" s="324"/>
    </row>
    <row r="973" spans="14:14" ht="15.75" customHeight="1">
      <c r="N973" s="324"/>
    </row>
    <row r="974" spans="14:14" ht="15.75" customHeight="1">
      <c r="N974" s="324"/>
    </row>
    <row r="975" spans="14:14" ht="15.75" customHeight="1">
      <c r="N975" s="324"/>
    </row>
    <row r="976" spans="14:14" ht="15.75" customHeight="1">
      <c r="N976" s="324"/>
    </row>
    <row r="977" spans="14:14" ht="15.75" customHeight="1">
      <c r="N977" s="324"/>
    </row>
    <row r="978" spans="14:14" ht="15.75" customHeight="1">
      <c r="N978" s="324"/>
    </row>
    <row r="979" spans="14:14" ht="15.75" customHeight="1">
      <c r="N979" s="324"/>
    </row>
    <row r="980" spans="14:14" ht="15.75" customHeight="1">
      <c r="N980" s="324"/>
    </row>
    <row r="981" spans="14:14" ht="15.75" customHeight="1">
      <c r="N981" s="324"/>
    </row>
    <row r="982" spans="14:14" ht="15.75" customHeight="1">
      <c r="N982" s="324"/>
    </row>
    <row r="983" spans="14:14" ht="15.75" customHeight="1">
      <c r="N983" s="324"/>
    </row>
    <row r="984" spans="14:14" ht="15.75" customHeight="1">
      <c r="N984" s="324"/>
    </row>
    <row r="985" spans="14:14" ht="15.75" customHeight="1">
      <c r="N985" s="324"/>
    </row>
    <row r="986" spans="14:14" ht="15.75" customHeight="1">
      <c r="N986" s="324"/>
    </row>
    <row r="987" spans="14:14" ht="15.75" customHeight="1">
      <c r="N987" s="324"/>
    </row>
  </sheetData>
  <hyperlinks>
    <hyperlink ref="I29" r:id="rId1" xr:uid="{00000000-0004-0000-0100-000000000000}"/>
    <hyperlink ref="I176" r:id="rId2" xr:uid="{00000000-0004-0000-0100-000001000000}"/>
    <hyperlink ref="I197" r:id="rId3" xr:uid="{00000000-0004-0000-0100-000002000000}"/>
    <hyperlink ref="I198" r:id="rId4" xr:uid="{00000000-0004-0000-0100-000003000000}"/>
  </hyperlinks>
  <pageMargins left="0.25" right="0.25" top="0.75" bottom="0.75" header="0" footer="0"/>
  <pageSetup orientation="portrait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2024-10-27T01:20:44Z</dcterms:modified>
</cp:coreProperties>
</file>