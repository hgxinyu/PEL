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Fremont/"/>
    </mc:Choice>
  </mc:AlternateContent>
  <xr:revisionPtr revIDLastSave="0" documentId="13_ncr:1_{8B41F6FD-DE79-8147-8DDB-049A7E0B80A0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P" sheetId="1" r:id="rId1"/>
    <sheet name="S" sheetId="2" r:id="rId2"/>
    <sheet name="n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NEQcumg6wpA3TQ0ktSuIPY4RxbOYqKQIsoVHlbnQbw="/>
    </ext>
  </extLst>
</workbook>
</file>

<file path=xl/calcChain.xml><?xml version="1.0" encoding="utf-8"?>
<calcChain xmlns="http://schemas.openxmlformats.org/spreadsheetml/2006/main">
  <c r="T12" i="2" l="1"/>
  <c r="T11" i="2"/>
  <c r="W3" i="2"/>
  <c r="V3" i="2"/>
  <c r="U3" i="2"/>
  <c r="T3" i="2"/>
  <c r="S3" i="2"/>
  <c r="AB3" i="2" s="1"/>
  <c r="R3" i="2"/>
  <c r="Z3" i="2" s="1"/>
  <c r="C3" i="2"/>
  <c r="W2" i="2"/>
  <c r="W4" i="2" s="1"/>
  <c r="V2" i="2"/>
  <c r="V4" i="2" s="1"/>
  <c r="U2" i="2"/>
  <c r="U4" i="2" s="1"/>
  <c r="T2" i="2"/>
  <c r="T4" i="2" s="1"/>
  <c r="S2" i="2"/>
  <c r="S4" i="2" s="1"/>
  <c r="R2" i="2"/>
  <c r="Z2" i="2" s="1"/>
  <c r="M2" i="2"/>
  <c r="C2" i="2"/>
  <c r="M1" i="2"/>
  <c r="C54" i="1"/>
  <c r="D13" i="1" s="1"/>
  <c r="E13" i="1" s="1"/>
  <c r="C50" i="1"/>
  <c r="C44" i="1"/>
  <c r="D44" i="1" s="1"/>
  <c r="C43" i="1"/>
  <c r="C49" i="1" s="1"/>
  <c r="L42" i="1"/>
  <c r="I42" i="1"/>
  <c r="C52" i="1" s="1"/>
  <c r="L41" i="1"/>
  <c r="C53" i="1" s="1"/>
  <c r="D12" i="1" s="1"/>
  <c r="E12" i="1" s="1"/>
  <c r="I41" i="1"/>
  <c r="D16" i="1" s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C16" i="1"/>
  <c r="E16" i="1" s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E15" i="1" l="1"/>
  <c r="E14" i="1"/>
  <c r="Z4" i="2"/>
  <c r="E26" i="1"/>
  <c r="E31" i="1" s="1"/>
  <c r="C56" i="1"/>
  <c r="AB2" i="2"/>
  <c r="X3" i="2"/>
  <c r="R4" i="2"/>
  <c r="C51" i="1"/>
  <c r="C55" i="1" s="1"/>
  <c r="D9" i="1" s="1"/>
  <c r="X2" i="2"/>
  <c r="Y3" i="2"/>
  <c r="Y2" i="2"/>
  <c r="Y4" i="2" s="1"/>
  <c r="D56" i="1" l="1"/>
  <c r="D10" i="1"/>
  <c r="X4" i="2"/>
  <c r="S5" i="2" s="1"/>
</calcChain>
</file>

<file path=xl/sharedStrings.xml><?xml version="1.0" encoding="utf-8"?>
<sst xmlns="http://schemas.openxmlformats.org/spreadsheetml/2006/main" count="3799" uniqueCount="1076">
  <si>
    <t xml:space="preserve">  </t>
  </si>
  <si>
    <t>Due by: 12/1/25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</si>
  <si>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</si>
  <si>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</si>
  <si>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</si>
  <si>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</si>
  <si>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</si>
  <si>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</si>
  <si>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</si>
  <si>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</si>
  <si>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</si>
  <si>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</si>
  <si>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</si>
  <si>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</si>
  <si>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</si>
  <si>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</si>
  <si>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</si>
  <si>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</si>
  <si>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</si>
  <si>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</si>
  <si>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</si>
  <si>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</si>
  <si>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</si>
  <si>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</si>
  <si>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</si>
  <si>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</si>
  <si>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</si>
  <si>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</si>
  <si>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</si>
  <si>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</si>
  <si>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12/10/25)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</si>
  <si>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</si>
  <si>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</si>
  <si>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</si>
  <si>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</si>
  <si>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</si>
  <si>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</si>
  <si>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</si>
  <si>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</si>
  <si>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</si>
  <si>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</si>
  <si>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</si>
  <si>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</si>
  <si>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</si>
  <si>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</si>
  <si>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</si>
  <si>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</si>
  <si>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</si>
  <si>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</si>
  <si>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</si>
  <si>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</si>
  <si>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</si>
  <si>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</si>
  <si>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</si>
  <si>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</si>
  <si>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</si>
  <si>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</si>
  <si>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</si>
  <si>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</si>
  <si>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</si>
  <si>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</si>
  <si>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</si>
  <si>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</si>
  <si>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</si>
  <si>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</si>
  <si>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</si>
  <si>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</si>
  <si>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</si>
  <si>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</si>
  <si>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</si>
  <si>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</si>
  <si>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</si>
  <si>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</si>
  <si>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</si>
  <si>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</si>
  <si>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</si>
  <si>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</si>
  <si>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</si>
  <si>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</si>
  <si>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</si>
  <si>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</si>
  <si>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</si>
  <si>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</si>
  <si>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</si>
  <si>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</si>
  <si>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</si>
  <si>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</si>
  <si>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</si>
  <si>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</si>
  <si>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</si>
  <si>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</si>
  <si>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</si>
  <si>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</si>
  <si>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</si>
  <si>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</si>
  <si>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</si>
  <si>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</si>
  <si>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</si>
  <si>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</si>
  <si>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</si>
  <si>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</si>
  <si>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Oct. WKS Lv</t>
  </si>
  <si>
    <t>Oct. WKS #</t>
  </si>
  <si>
    <t>Notes</t>
  </si>
  <si>
    <t>Code                  (C, N, A, R)</t>
  </si>
  <si>
    <t>Mth Absent</t>
  </si>
  <si>
    <t xml:space="preserve">Abigail </t>
  </si>
  <si>
    <t>Lee</t>
  </si>
  <si>
    <t>46180 Sentinel Drive</t>
  </si>
  <si>
    <t>vannguy+pel@gmail.com</t>
  </si>
  <si>
    <t>EG3</t>
  </si>
  <si>
    <t>Quit will be back in summer</t>
  </si>
  <si>
    <t>Adalynn</t>
  </si>
  <si>
    <t>46182 Sentinel Drive</t>
  </si>
  <si>
    <t>EG6</t>
  </si>
  <si>
    <t xml:space="preserve">Quit </t>
  </si>
  <si>
    <t>46183 Sentinel Drive</t>
  </si>
  <si>
    <t>MG9</t>
  </si>
  <si>
    <t>Quit</t>
  </si>
  <si>
    <t>Ashwin</t>
  </si>
  <si>
    <t>Advith</t>
  </si>
  <si>
    <t>48815 Big Horn Court, Fremont</t>
  </si>
  <si>
    <t>408-981-5120</t>
  </si>
  <si>
    <t>archana.ashwin@gmail.com</t>
  </si>
  <si>
    <t>MG5</t>
  </si>
  <si>
    <t>EG2B</t>
  </si>
  <si>
    <t>Avyakth</t>
  </si>
  <si>
    <t>Sridhar</t>
  </si>
  <si>
    <t>3690 Innovation way</t>
  </si>
  <si>
    <t>reechshree@gmail.com</t>
  </si>
  <si>
    <t>MG6</t>
  </si>
  <si>
    <t>Bansal</t>
  </si>
  <si>
    <t>Aashvi</t>
  </si>
  <si>
    <t>K</t>
  </si>
  <si>
    <t>47908 Wabana St</t>
  </si>
  <si>
    <t>adeetikaushal@gmail.com</t>
  </si>
  <si>
    <t>MG4</t>
  </si>
  <si>
    <t>EK5</t>
  </si>
  <si>
    <t>Cai</t>
  </si>
  <si>
    <t>Ethan</t>
  </si>
  <si>
    <t>10/16/2013</t>
  </si>
  <si>
    <t>136 Gamma Grass terFremontCA94539</t>
  </si>
  <si>
    <t>zoelulu9898@gmail.com</t>
  </si>
  <si>
    <t>7/22/2024</t>
  </si>
  <si>
    <t>MM2</t>
  </si>
  <si>
    <t>EM1</t>
  </si>
  <si>
    <t>Chan</t>
  </si>
  <si>
    <t xml:space="preserve">Samuel </t>
  </si>
  <si>
    <t>3685 Integration CommonFremontCA94538</t>
  </si>
  <si>
    <t>lipriss@gmail.com</t>
  </si>
  <si>
    <t>MG7</t>
  </si>
  <si>
    <t>Chang</t>
  </si>
  <si>
    <t>Raeya</t>
  </si>
  <si>
    <t>3909 Engage Ter Unit 301</t>
  </si>
  <si>
    <t>lcleeman@gmail.com</t>
  </si>
  <si>
    <t>Absent in Dec - Returning Jan.</t>
  </si>
  <si>
    <t>3910 Engage Ter Unit 301</t>
  </si>
  <si>
    <t>Chen</t>
  </si>
  <si>
    <t>Charlene</t>
  </si>
  <si>
    <t>46 Eagle Green, Fremont, CA</t>
  </si>
  <si>
    <t>bettyguan1990@gmail.com</t>
  </si>
  <si>
    <t>Ian</t>
  </si>
  <si>
    <t>473 Craycroft DrFremontCA94539</t>
  </si>
  <si>
    <t>victor_chen82@yahoo.com</t>
  </si>
  <si>
    <t>EK2</t>
  </si>
  <si>
    <t>MG2</t>
  </si>
  <si>
    <t>Kaylee</t>
  </si>
  <si>
    <t>11/25/2017</t>
  </si>
  <si>
    <t>EG5</t>
  </si>
  <si>
    <t>Ryan</t>
  </si>
  <si>
    <t>EK4</t>
  </si>
  <si>
    <t>Yansu</t>
  </si>
  <si>
    <t>45060 Synergy st</t>
  </si>
  <si>
    <t>Tengyh1989@gmail.com</t>
  </si>
  <si>
    <t>EG2</t>
  </si>
  <si>
    <t>CHENG</t>
  </si>
  <si>
    <t>PHOEBE</t>
  </si>
  <si>
    <t>6/2/2017</t>
  </si>
  <si>
    <t>46710 crawford St</t>
  </si>
  <si>
    <t>nancyw0602@gmail.com</t>
  </si>
  <si>
    <t>06/1/2024</t>
  </si>
  <si>
    <t>EG4</t>
  </si>
  <si>
    <t>Chinta</t>
  </si>
  <si>
    <t>Medha</t>
  </si>
  <si>
    <t>752 McDuff Avenue</t>
  </si>
  <si>
    <t>maddywared@gmail.com</t>
  </si>
  <si>
    <t>No English from Nov.</t>
  </si>
  <si>
    <t>Cho</t>
  </si>
  <si>
    <t>Eaint Khun(Hazel)</t>
  </si>
  <si>
    <t>5/17/2015</t>
  </si>
  <si>
    <t>49002 Cinnamon Fern Common</t>
  </si>
  <si>
    <t>hsumon.tarm@gmail.com</t>
  </si>
  <si>
    <t>12/9/2024</t>
  </si>
  <si>
    <t>EG8</t>
  </si>
  <si>
    <t>Choudhary</t>
  </si>
  <si>
    <t>Pryansh</t>
  </si>
  <si>
    <t>48175 Leigh St, Fremont</t>
  </si>
  <si>
    <t xml:space="preserve">	amit.2105@gmail.com</t>
  </si>
  <si>
    <t>MG8</t>
  </si>
  <si>
    <t>Chow</t>
  </si>
  <si>
    <t>Aileen</t>
  </si>
  <si>
    <t>10/10/2014</t>
  </si>
  <si>
    <t>506 Bristle Grass TerraceFremontCA94539</t>
  </si>
  <si>
    <t>ginah.kid@gmail.com</t>
  </si>
  <si>
    <t>EG7</t>
  </si>
  <si>
    <t>MG10</t>
  </si>
  <si>
    <t>Coodnapur</t>
  </si>
  <si>
    <t>Samarth</t>
  </si>
  <si>
    <t>47631 Gridley court</t>
  </si>
  <si>
    <t>rashmihholla@gmail.com</t>
  </si>
  <si>
    <t>Coondapur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</si>
  <si>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</si>
  <si>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</si>
  <si>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</si>
  <si>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</si>
  <si>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</si>
  <si>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</si>
  <si>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Dutia</t>
  </si>
  <si>
    <t>Manay</t>
  </si>
  <si>
    <t>k</t>
  </si>
  <si>
    <t>12/26/2018</t>
  </si>
  <si>
    <t>3848 Advancement Ter, Unit 1000</t>
  </si>
  <si>
    <t>Jinal.jani@gmail.com</t>
  </si>
  <si>
    <t>Absent in Dec - Returning Feb.</t>
  </si>
  <si>
    <t>Fan</t>
  </si>
  <si>
    <t>Angela</t>
  </si>
  <si>
    <t>295 Fusteria Ct., Fremont, CA</t>
  </si>
  <si>
    <t>fwentao@gmail.com</t>
  </si>
  <si>
    <t>EM3</t>
  </si>
  <si>
    <t>Gao</t>
  </si>
  <si>
    <t>Mira</t>
  </si>
  <si>
    <t>4534 SANDRA CTUNION CITYCA94587</t>
  </si>
  <si>
    <t>pei.3.1415926@gmail.com</t>
  </si>
  <si>
    <t>will add math</t>
  </si>
  <si>
    <t>Golla</t>
  </si>
  <si>
    <t>Kanishk</t>
  </si>
  <si>
    <t>48943 Air fern common</t>
  </si>
  <si>
    <t xml:space="preserve">harish.golla@gmail.com
</t>
  </si>
  <si>
    <t>harish.golla@gmail.com</t>
  </si>
  <si>
    <t>Gong</t>
  </si>
  <si>
    <t>Lingxi</t>
  </si>
  <si>
    <t>48055 Purpleleaf St</t>
  </si>
  <si>
    <t>ameliaou1008@gmail.com</t>
  </si>
  <si>
    <t>EK1</t>
  </si>
  <si>
    <t>Monica</t>
  </si>
  <si>
    <t>EG1b</t>
  </si>
  <si>
    <t>Gu</t>
  </si>
  <si>
    <t>Mark</t>
  </si>
  <si>
    <t xml:space="preserve">	3909 Adams Ave, Fremont, CA</t>
  </si>
  <si>
    <t>(510)6737301</t>
  </si>
  <si>
    <t>qinlingli1985@gmail.com</t>
  </si>
  <si>
    <t>Hanumanula</t>
  </si>
  <si>
    <t>Vishnu Vardhan</t>
  </si>
  <si>
    <t>48907 Air Fern CommonFremontCA94539</t>
  </si>
  <si>
    <t>karempudi.bhavya@gmail.com</t>
  </si>
  <si>
    <t>Held</t>
  </si>
  <si>
    <t>Matthew</t>
  </si>
  <si>
    <t>Warm Spring Fremotn Ca 94540</t>
  </si>
  <si>
    <t>Zhuxi@hotmail.com</t>
  </si>
  <si>
    <t>MHT</t>
  </si>
  <si>
    <t>Michael</t>
  </si>
  <si>
    <t>Warm Spring, Fremont,CA</t>
  </si>
  <si>
    <t>EG10</t>
  </si>
  <si>
    <t>Hsieh</t>
  </si>
  <si>
    <t>Lawrence</t>
  </si>
  <si>
    <t>PK</t>
  </si>
  <si>
    <t>50 ESMERELDA FALLS TERRACE, Fremont, CA</t>
  </si>
  <si>
    <t>songjinglan@hotmail.com</t>
  </si>
  <si>
    <t>Melody</t>
  </si>
  <si>
    <t>51 ESMERELDA FALLS TERRACE</t>
  </si>
  <si>
    <t>50 ESMERELDA FALLS TERRACE</t>
  </si>
  <si>
    <t>Ivaturi</t>
  </si>
  <si>
    <t>Suhan</t>
  </si>
  <si>
    <t>49017 Wedge Grass Terrace</t>
  </si>
  <si>
    <t>408-613-3466</t>
  </si>
  <si>
    <t>swethaivaturi05@gmail.com</t>
  </si>
  <si>
    <t>Jain</t>
  </si>
  <si>
    <t>Aahana</t>
  </si>
  <si>
    <t>47646 Mardis St, Fremont CA 94539</t>
  </si>
  <si>
    <t>preetma.mishra@gmail.com</t>
  </si>
  <si>
    <t>Karnam</t>
  </si>
  <si>
    <t>Spruha</t>
  </si>
  <si>
    <t>3819 improvement ter</t>
  </si>
  <si>
    <t>sree.2k@gmail.com</t>
  </si>
  <si>
    <t>3820 improvement ter</t>
  </si>
  <si>
    <t>MG1</t>
  </si>
  <si>
    <t>Karthik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</si>
  <si>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</si>
  <si>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</si>
  <si>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</si>
  <si>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</si>
  <si>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</si>
  <si>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</si>
  <si>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>LeBeuf</t>
  </si>
  <si>
    <t>Liam</t>
  </si>
  <si>
    <t>47500 Kinner Falls Cmn, Fremont, CA 94539</t>
  </si>
  <si>
    <t>hulanb@icloud.com</t>
  </si>
  <si>
    <t>Leo</t>
  </si>
  <si>
    <t>Tang</t>
  </si>
  <si>
    <t>2021 N Milpitas Blvd</t>
  </si>
  <si>
    <t>anglilly95@gmail.com</t>
  </si>
  <si>
    <t>Li</t>
  </si>
  <si>
    <t>Eli</t>
  </si>
  <si>
    <t>7/3/2020</t>
  </si>
  <si>
    <t>5431 shattuck aveFremontCA94555</t>
  </si>
  <si>
    <t>yoyomaidongxi@gmail.com</t>
  </si>
  <si>
    <t>12/5/2017</t>
  </si>
  <si>
    <t>Lin</t>
  </si>
  <si>
    <t>Leyi</t>
  </si>
  <si>
    <t>294 Washington Dr.MilpitasCA95035</t>
  </si>
  <si>
    <t>jinfenghu42@gmail.com</t>
  </si>
  <si>
    <t>LIN</t>
  </si>
  <si>
    <t>YUENING</t>
  </si>
  <si>
    <t>6/24/2018</t>
  </si>
  <si>
    <t>44908 Wisdom rd</t>
  </si>
  <si>
    <t>flora.qu@compass.com</t>
  </si>
  <si>
    <t>44909 Wisdom rd</t>
  </si>
  <si>
    <t>liu</t>
  </si>
  <si>
    <t>Evan</t>
  </si>
  <si>
    <t>5/21/2016</t>
  </si>
  <si>
    <t>5480 borgia roadFremontCA94538</t>
  </si>
  <si>
    <t>liusheng188888@gmail.com</t>
  </si>
  <si>
    <t>QUIT</t>
  </si>
  <si>
    <t>Liu</t>
  </si>
  <si>
    <t>Jasper</t>
  </si>
  <si>
    <t>455 Tonopah Drive, Fremont, CA</t>
  </si>
  <si>
    <t>xyanglove@gmail.com</t>
  </si>
  <si>
    <t>Jeremy</t>
  </si>
  <si>
    <t>455 Tonopah Drive, Fremont</t>
  </si>
  <si>
    <t>EH2</t>
  </si>
  <si>
    <t>Paisley</t>
  </si>
  <si>
    <t>5626 SNOWFLAKE CMNFremontCA94538</t>
  </si>
  <si>
    <t>zizizhong@yahoo.com</t>
  </si>
  <si>
    <t xml:space="preserve">Zeming </t>
  </si>
  <si>
    <t>3465 inspiration way</t>
  </si>
  <si>
    <t>Qinyuannie@hotmail.com</t>
  </si>
  <si>
    <t xml:space="preserve"> EG1b</t>
  </si>
  <si>
    <t>Madhavan</t>
  </si>
  <si>
    <t>Avika</t>
  </si>
  <si>
    <t>47675 Mardis Street</t>
  </si>
  <si>
    <t>madhavans007@gmail.com</t>
  </si>
  <si>
    <t>47676 Mardis Street</t>
  </si>
  <si>
    <t>Mehta</t>
  </si>
  <si>
    <t>Maahi</t>
  </si>
  <si>
    <t>362 sequim cmn</t>
  </si>
  <si>
    <t>Viralmeh@gmail.com</t>
  </si>
  <si>
    <t>EG1B</t>
  </si>
  <si>
    <t xml:space="preserve">Maahi </t>
  </si>
  <si>
    <t>363 sequim cmn</t>
  </si>
  <si>
    <t>Mekala</t>
  </si>
  <si>
    <t>Prahan</t>
  </si>
  <si>
    <t>7/16/2019</t>
  </si>
  <si>
    <t>285 hackamore cmnfremontCA94539</t>
  </si>
  <si>
    <t>prashanthreddykm@gmail.com</t>
  </si>
  <si>
    <t>Munir</t>
  </si>
  <si>
    <t>Maaz</t>
  </si>
  <si>
    <t>464 Chardonnay drFremontCA94539</t>
  </si>
  <si>
    <t>adil_muneer@hotmail.com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</si>
  <si>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</si>
  <si>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</si>
  <si>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</si>
  <si>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</si>
  <si>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</si>
  <si>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</si>
  <si>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</si>
  <si>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</si>
  <si>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</si>
  <si>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</si>
  <si>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</si>
  <si>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</si>
  <si>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MG11</t>
  </si>
  <si>
    <t>RUBY</t>
  </si>
  <si>
    <t>Niu</t>
  </si>
  <si>
    <t>3871 Vanguard Cmn 1001, Fremont, CA, 94538</t>
  </si>
  <si>
    <t>nkniuchao@gmail.com</t>
  </si>
  <si>
    <t>Pan</t>
  </si>
  <si>
    <t>Winnie</t>
  </si>
  <si>
    <t>327 Bead Grass TerFremontCA94539</t>
  </si>
  <si>
    <t>emiliehua1981@gmail.com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</si>
  <si>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</si>
  <si>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</si>
  <si>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</si>
  <si>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</si>
  <si>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</si>
  <si>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</si>
  <si>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</si>
  <si>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</si>
  <si>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</si>
  <si>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Pei</t>
  </si>
  <si>
    <t>Amy</t>
  </si>
  <si>
    <t>4503 longview ter</t>
  </si>
  <si>
    <t>otto28082008@gmail.com</t>
  </si>
  <si>
    <t>Rajvaidya</t>
  </si>
  <si>
    <t>Shagun</t>
  </si>
  <si>
    <t>230 Acoma WayFremontCA94539</t>
  </si>
  <si>
    <t>sudhanshur@gmail.com</t>
  </si>
  <si>
    <t>MG3</t>
  </si>
  <si>
    <t>Vihaan</t>
  </si>
  <si>
    <t>Reya</t>
  </si>
  <si>
    <t xml:space="preserve">389 Starlite Way, Fremont, CA </t>
  </si>
  <si>
    <t>sumitj@gmail.com</t>
  </si>
  <si>
    <t>Absent</t>
  </si>
  <si>
    <t>back in Feb.</t>
  </si>
  <si>
    <t>Shoeb</t>
  </si>
  <si>
    <t>Arisha</t>
  </si>
  <si>
    <t>401 little foot drive</t>
  </si>
  <si>
    <t>sarah.shoeb1@gmail.com</t>
  </si>
  <si>
    <t>Zohan</t>
  </si>
  <si>
    <t>402 little foot drive</t>
  </si>
  <si>
    <t>403 little foot drive</t>
  </si>
  <si>
    <t>Sindri</t>
  </si>
  <si>
    <t>Vora</t>
  </si>
  <si>
    <t>44153 Boitano dr</t>
  </si>
  <si>
    <t>lindsayvora@gmail.com</t>
  </si>
  <si>
    <t>Singh</t>
  </si>
  <si>
    <t>Shivansh</t>
  </si>
  <si>
    <t>30 Washington Square</t>
  </si>
  <si>
    <t>aks.bitsg@gmail.com</t>
  </si>
  <si>
    <t>absent in Nov. Returning in Dec.</t>
  </si>
  <si>
    <t>Xinyan</t>
  </si>
  <si>
    <t>39230 Sundale Dr</t>
  </si>
  <si>
    <t>tangj6784@gmail.com</t>
  </si>
  <si>
    <t>EG1</t>
  </si>
  <si>
    <t>Yixing</t>
  </si>
  <si>
    <t>Yixuan</t>
  </si>
  <si>
    <t>Tanutama</t>
  </si>
  <si>
    <t>Kai</t>
  </si>
  <si>
    <t>328 Grafton Terrace</t>
  </si>
  <si>
    <t>intanlilyana@gmail.com</t>
  </si>
  <si>
    <t>Vaddiraju</t>
  </si>
  <si>
    <t>Sahasra</t>
  </si>
  <si>
    <t>4/4/2017</t>
  </si>
  <si>
    <t>49062 Tickle Grass TerrFremontCA94539</t>
  </si>
  <si>
    <t>vaddirajs@yahoo.com</t>
  </si>
  <si>
    <t>Virani</t>
  </si>
  <si>
    <t>Ezar</t>
  </si>
  <si>
    <t>48867 Sauvignon Ct Fremont CA  94539</t>
  </si>
  <si>
    <t>sonia.12t@gmail.com</t>
  </si>
  <si>
    <t>MK3</t>
  </si>
  <si>
    <t>Vu</t>
  </si>
  <si>
    <t>Daniela</t>
  </si>
  <si>
    <t>2519 Riparian CtSan JoseCA95133</t>
  </si>
  <si>
    <t>mmindyvu@gmail.com</t>
  </si>
  <si>
    <t>Dean</t>
  </si>
  <si>
    <t>Wang</t>
  </si>
  <si>
    <t>Eric</t>
  </si>
  <si>
    <t>5/1/2015</t>
  </si>
  <si>
    <t>251 Bunch Grass TerFremontCA94539</t>
  </si>
  <si>
    <t>mail.liang.wang@gmail.com</t>
  </si>
  <si>
    <t>8/1/2024</t>
  </si>
  <si>
    <t>EM5</t>
  </si>
  <si>
    <t>1326 Nelson Way</t>
  </si>
  <si>
    <t>lianzhigu5@gmail.com</t>
  </si>
  <si>
    <t>Vera</t>
  </si>
  <si>
    <t>1/1/2017</t>
  </si>
  <si>
    <t>Yvonne</t>
  </si>
  <si>
    <t>87 delta green</t>
  </si>
  <si>
    <t>mei5206543@gmail.com</t>
  </si>
  <si>
    <t>EK3</t>
  </si>
  <si>
    <t>88 delta green</t>
  </si>
  <si>
    <t>Xu</t>
  </si>
  <si>
    <t>Cindy</t>
  </si>
  <si>
    <t>4092 Central Ave Fremont Ca 94536</t>
  </si>
  <si>
    <t>taozi5963527@outlook.com</t>
  </si>
  <si>
    <t>7/31/2017</t>
  </si>
  <si>
    <t>235 Lippert AveFremontCA94539</t>
  </si>
  <si>
    <t>bjunzhang@gmail.com</t>
  </si>
  <si>
    <t>Leo2</t>
  </si>
  <si>
    <t>4093 Central Ave Fremont Ca 94536</t>
  </si>
  <si>
    <t>Lucas</t>
  </si>
  <si>
    <t>46913 Fernald Common</t>
  </si>
  <si>
    <t>panpanfu1986@gmail.com</t>
  </si>
  <si>
    <t>Luna</t>
  </si>
  <si>
    <t>46912 Fernald Common</t>
  </si>
  <si>
    <t>Timothy</t>
  </si>
  <si>
    <t>3/14/2015</t>
  </si>
  <si>
    <t>MHG</t>
  </si>
  <si>
    <t>Yi</t>
  </si>
  <si>
    <t>Zijin (Leo)</t>
  </si>
  <si>
    <t>392 Farley common, Fremont, CA 94539</t>
  </si>
  <si>
    <t>Liuxin170619@gmail.com</t>
  </si>
  <si>
    <t>Yin</t>
  </si>
  <si>
    <t>Cherie</t>
  </si>
  <si>
    <t>4157 Redstone Ter</t>
  </si>
  <si>
    <t>chialingwynn@gmail.com</t>
  </si>
  <si>
    <t>exchange first and last name</t>
  </si>
  <si>
    <t xml:space="preserve">Kyrie </t>
  </si>
  <si>
    <t>4159 Redstone Ter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</si>
  <si>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</si>
  <si>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</si>
  <si>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</si>
  <si>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</si>
  <si>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</si>
  <si>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</si>
  <si>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</si>
  <si>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MH1</t>
  </si>
  <si>
    <t>Patrick</t>
  </si>
  <si>
    <t>MH4</t>
  </si>
  <si>
    <t>Zeya</t>
  </si>
  <si>
    <t>Jayden</t>
  </si>
  <si>
    <t>3848 Advancement TerUnit 1009FremontCA94538</t>
  </si>
  <si>
    <t>saizeya@gmail.com</t>
  </si>
  <si>
    <t xml:space="preserve">no math </t>
  </si>
  <si>
    <t>Zhu</t>
  </si>
  <si>
    <t>Braden</t>
  </si>
  <si>
    <t>4589 Bianca Drive, Fremont</t>
  </si>
  <si>
    <t>510-673-8505</t>
  </si>
  <si>
    <t>winnybear@gmail.com</t>
  </si>
  <si>
    <t>Danyka Zhu</t>
  </si>
  <si>
    <t>Agnihotri</t>
  </si>
  <si>
    <t>Aarav</t>
  </si>
  <si>
    <t>49022 Meadowfaire Cmn</t>
  </si>
  <si>
    <t>amaragni78@gmail.com</t>
  </si>
  <si>
    <t>first joined 6/16/2025; to Fremont on 10/1/25</t>
  </si>
  <si>
    <t>moved to Fremont on 10/1/25</t>
  </si>
  <si>
    <t>Yuehang</t>
  </si>
  <si>
    <t>294 Washington Dr. Milpitas, CA 95035</t>
  </si>
  <si>
    <t>chunmeixie15@gmail.com</t>
  </si>
  <si>
    <t>first joined 7/28/2025; to Fremont on 10/1/25</t>
  </si>
  <si>
    <t>Sarathkumar</t>
  </si>
  <si>
    <t xml:space="preserve">Raghav </t>
  </si>
  <si>
    <t>832 North Abbott Ave</t>
  </si>
  <si>
    <t>sharathrajkumar@gmail.com</t>
  </si>
  <si>
    <t xml:space="preserve">first joined 3/3/2025; </t>
  </si>
  <si>
    <t xml:space="preserve">Alagusakthi </t>
  </si>
  <si>
    <t>Inbaa</t>
  </si>
  <si>
    <t>45078 Fremont blvd</t>
  </si>
  <si>
    <t>Mohanakandavel@gmail.com</t>
  </si>
  <si>
    <t>Lau</t>
  </si>
  <si>
    <t>Aria</t>
  </si>
  <si>
    <t>47560 Kinner Falls Cmn</t>
  </si>
  <si>
    <t>danlau168@gmail.com</t>
  </si>
  <si>
    <t>Nguyen</t>
  </si>
  <si>
    <t>Tiffany</t>
  </si>
  <si>
    <t>4044 PAPILLON TER</t>
  </si>
  <si>
    <t>donguyen64@gmail.com</t>
  </si>
  <si>
    <t>4045 PAPILLON TER</t>
  </si>
  <si>
    <t xml:space="preserve">Tang </t>
  </si>
  <si>
    <t>Aiden</t>
  </si>
  <si>
    <t>44642 Gabrielino Way</t>
  </si>
  <si>
    <t>etang@pacbell.net</t>
  </si>
  <si>
    <t>EG9</t>
  </si>
  <si>
    <t>2nd subject</t>
  </si>
  <si>
    <t>Test</t>
  </si>
  <si>
    <t>Erick</t>
  </si>
  <si>
    <t>322 Hiddenlake Dr.</t>
  </si>
  <si>
    <t>wangyi.ethan@gmail.com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</si>
  <si>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</si>
  <si>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</si>
  <si>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</si>
  <si>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</si>
  <si>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</si>
  <si>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</si>
  <si>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</si>
  <si>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</si>
  <si>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</si>
  <si>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</si>
  <si>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</si>
  <si>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</si>
  <si>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</si>
  <si>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</si>
  <si>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</si>
  <si>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</si>
  <si>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</si>
  <si>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</si>
  <si>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</si>
  <si>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</si>
  <si>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</si>
  <si>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</si>
  <si>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</si>
  <si>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</si>
  <si>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</si>
  <si>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</si>
  <si>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</si>
  <si>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</si>
  <si>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</si>
  <si>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</si>
  <si>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</si>
  <si>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</si>
  <si>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</si>
  <si>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</si>
  <si>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</si>
  <si>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</si>
  <si>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</si>
  <si>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</si>
  <si>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Zhang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</si>
  <si>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</si>
  <si>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</si>
  <si>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</si>
  <si>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</si>
  <si>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</si>
  <si>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</si>
  <si>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</si>
  <si>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</si>
  <si>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</si>
  <si>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</si>
  <si>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</si>
  <si>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</si>
  <si>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</si>
  <si>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</si>
  <si>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</si>
  <si>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</si>
  <si>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</si>
  <si>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</si>
  <si>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</si>
  <si>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</si>
  <si>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</si>
  <si>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</si>
  <si>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</si>
  <si>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</si>
  <si>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</si>
  <si>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</si>
  <si>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</si>
  <si>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</si>
  <si>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</si>
  <si>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</si>
  <si>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</si>
  <si>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</si>
  <si>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</si>
  <si>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</si>
  <si>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</si>
  <si>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</si>
  <si>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</si>
  <si>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</si>
  <si>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</si>
  <si>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</si>
  <si>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</si>
  <si>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</si>
  <si>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</si>
  <si>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</si>
  <si>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</si>
  <si>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</si>
  <si>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</si>
  <si>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</si>
  <si>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</si>
  <si>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</si>
  <si>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</si>
  <si>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</si>
  <si>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</si>
  <si>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</si>
  <si>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Zhao</t>
  </si>
  <si>
    <t>Chloe</t>
  </si>
  <si>
    <t>382 Wheat Grass Ter, Fremont, CA 94539</t>
  </si>
  <si>
    <t>screwyterror83@gmail.com</t>
  </si>
  <si>
    <t xml:space="preserve">Feng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</si>
  <si>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</si>
  <si>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</si>
  <si>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</si>
  <si>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</si>
  <si>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</si>
  <si>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</si>
  <si>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</si>
  <si>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</si>
  <si>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</si>
  <si>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</si>
  <si>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</si>
  <si>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</si>
  <si>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</si>
  <si>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</si>
  <si>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</si>
  <si>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</si>
  <si>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</si>
  <si>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</si>
  <si>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</si>
  <si>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</si>
  <si>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</si>
  <si>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</si>
  <si>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</si>
  <si>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</si>
  <si>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</si>
  <si>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</si>
  <si>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</si>
  <si>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</si>
  <si>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</si>
  <si>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</si>
  <si>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</si>
  <si>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</si>
  <si>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</si>
  <si>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</si>
  <si>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</si>
  <si>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</si>
  <si>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</si>
  <si>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</si>
  <si>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</si>
  <si>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</si>
  <si>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</si>
  <si>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</si>
  <si>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</si>
  <si>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</si>
  <si>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</si>
  <si>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</si>
  <si>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</si>
  <si>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</si>
  <si>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</si>
  <si>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</si>
  <si>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</si>
  <si>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</si>
  <si>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</si>
  <si>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</si>
  <si>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</si>
  <si>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</si>
  <si>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</si>
  <si>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</si>
  <si>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</si>
  <si>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</si>
  <si>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</si>
  <si>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</si>
  <si>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</si>
  <si>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</si>
  <si>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</si>
  <si>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</si>
  <si>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</si>
  <si>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44642 Gabrielino Way, Fremont, CA, 94539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</si>
  <si>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</si>
  <si>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</si>
  <si>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</si>
  <si>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</si>
  <si>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</si>
  <si>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</si>
  <si>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</si>
  <si>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</si>
  <si>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</si>
  <si>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</si>
  <si>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</si>
  <si>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</si>
  <si>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</si>
  <si>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</si>
  <si>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</si>
  <si>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</si>
  <si>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</si>
  <si>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</si>
  <si>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</si>
  <si>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</si>
  <si>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</si>
  <si>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</si>
  <si>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</si>
  <si>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</si>
  <si>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</si>
  <si>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</si>
  <si>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</si>
  <si>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</si>
  <si>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</si>
  <si>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</si>
  <si>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</si>
  <si>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</si>
  <si>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</si>
  <si>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</si>
  <si>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</si>
  <si>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</si>
  <si>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</si>
  <si>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</si>
  <si>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</si>
  <si>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</si>
  <si>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</si>
  <si>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</si>
  <si>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</si>
  <si>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</si>
  <si>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</si>
  <si>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</si>
  <si>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</si>
  <si>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</si>
  <si>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</si>
  <si>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</si>
  <si>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</si>
  <si>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</si>
  <si>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</si>
  <si>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</si>
  <si>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</si>
  <si>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</si>
  <si>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</si>
  <si>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</si>
  <si>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</si>
  <si>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</si>
  <si>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</si>
  <si>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</si>
  <si>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 xml:space="preserve">Jayden 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</si>
  <si>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</si>
  <si>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</si>
  <si>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</si>
  <si>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</si>
  <si>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</si>
  <si>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</si>
  <si>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</si>
  <si>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</si>
  <si>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</si>
  <si>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</si>
  <si>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</si>
  <si>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</si>
  <si>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</si>
  <si>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</si>
  <si>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</si>
  <si>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</si>
  <si>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</si>
  <si>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</si>
  <si>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</si>
  <si>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</si>
  <si>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</si>
  <si>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</si>
  <si>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</si>
  <si>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</si>
  <si>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</si>
  <si>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</si>
  <si>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</si>
  <si>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</si>
  <si>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</si>
  <si>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</si>
  <si>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</si>
  <si>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</si>
  <si>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</si>
  <si>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</si>
  <si>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</si>
  <si>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</si>
  <si>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</si>
  <si>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</si>
  <si>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</si>
  <si>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</si>
  <si>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</si>
  <si>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</si>
  <si>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</si>
  <si>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</si>
  <si>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</si>
  <si>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</si>
  <si>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</si>
  <si>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</si>
  <si>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</si>
  <si>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</si>
  <si>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</si>
  <si>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</si>
  <si>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</si>
  <si>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</si>
  <si>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</si>
  <si>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</si>
  <si>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</si>
  <si>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</si>
  <si>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</si>
  <si>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</si>
  <si>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</si>
  <si>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</si>
  <si>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</si>
  <si>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</si>
  <si>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</si>
  <si>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</si>
  <si>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</si>
  <si>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</si>
  <si>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</si>
  <si>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</si>
  <si>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</si>
  <si>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</si>
  <si>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</si>
  <si>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</si>
  <si>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</si>
  <si>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</si>
  <si>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</si>
  <si>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</si>
  <si>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</si>
  <si>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</si>
  <si>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</si>
  <si>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</si>
  <si>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</si>
  <si>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</si>
  <si>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</si>
  <si>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</si>
  <si>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</si>
  <si>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</si>
  <si>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</si>
  <si>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</si>
  <si>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</si>
  <si>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</si>
  <si>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</si>
  <si>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</si>
  <si>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</si>
  <si>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</si>
  <si>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</si>
  <si>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</si>
  <si>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</si>
  <si>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</si>
  <si>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</si>
  <si>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</si>
  <si>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</si>
  <si>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</si>
  <si>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06/05/2024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</si>
  <si>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</si>
  <si>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</si>
  <si>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</si>
  <si>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</si>
  <si>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</si>
  <si>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</si>
  <si>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</si>
  <si>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</si>
  <si>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</si>
  <si>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</si>
  <si>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</si>
  <si>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</si>
  <si>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</si>
  <si>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</si>
  <si>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</si>
  <si>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</si>
  <si>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</si>
  <si>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</si>
  <si>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</si>
  <si>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</si>
  <si>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</si>
  <si>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</si>
  <si>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</si>
  <si>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</si>
  <si>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</si>
  <si>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</si>
  <si>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</si>
  <si>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</si>
  <si>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</si>
  <si>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</si>
  <si>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</si>
  <si>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</si>
  <si>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</si>
  <si>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</si>
  <si>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</si>
  <si>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</si>
  <si>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</si>
  <si>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</si>
  <si>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</si>
  <si>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</si>
  <si>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</si>
  <si>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</si>
  <si>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</si>
  <si>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</si>
  <si>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</si>
  <si>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</si>
  <si>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</si>
  <si>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</si>
  <si>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</si>
  <si>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</si>
  <si>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</si>
  <si>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</si>
  <si>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</si>
  <si>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</si>
  <si>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86P</t>
  </si>
  <si>
    <t>8/21/2024</t>
  </si>
  <si>
    <t xml:space="preserve">will be back </t>
  </si>
  <si>
    <t>back in Aug.</t>
  </si>
  <si>
    <t>Bhatti</t>
  </si>
  <si>
    <t>6/12/2014</t>
  </si>
  <si>
    <t>48016 leontine ctFremontCA94539</t>
  </si>
  <si>
    <t>Vaishali221@gmail.com</t>
  </si>
  <si>
    <t>7/23/2024</t>
  </si>
  <si>
    <t>QUIT leave after May</t>
  </si>
  <si>
    <t>MM3</t>
  </si>
  <si>
    <t>4/5/2015</t>
  </si>
  <si>
    <t>382 Wheat Grass TerFremontCA94539</t>
  </si>
  <si>
    <t>8/20/2024</t>
  </si>
  <si>
    <t>3/28/2017</t>
  </si>
  <si>
    <t>47260 Havasu StreetFremontCA94539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</si>
  <si>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</si>
  <si>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</si>
  <si>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</si>
  <si>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</si>
  <si>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</si>
  <si>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</si>
  <si>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</si>
  <si>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</si>
  <si>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</si>
  <si>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</si>
  <si>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</si>
  <si>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</si>
  <si>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</si>
  <si>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</si>
  <si>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Kyna</t>
  </si>
  <si>
    <t>49119 Rose Ter Fremont Ca 94539</t>
  </si>
  <si>
    <t>gcychen@outlook.com</t>
  </si>
  <si>
    <t>8/19/2024</t>
  </si>
  <si>
    <t>MM1</t>
  </si>
  <si>
    <t>MH3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</si>
  <si>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</si>
  <si>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</si>
  <si>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</si>
  <si>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</si>
  <si>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</si>
  <si>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</si>
  <si>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</si>
  <si>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</si>
  <si>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</si>
  <si>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</si>
  <si>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</si>
  <si>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</si>
  <si>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</si>
  <si>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</si>
  <si>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</si>
  <si>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11/16/2024</t>
  </si>
  <si>
    <t>EM2</t>
  </si>
  <si>
    <t>8931 Wave Cove Way</t>
  </si>
  <si>
    <t>6/24/2019</t>
  </si>
  <si>
    <t>8/30/2024</t>
  </si>
  <si>
    <t>back in Sep</t>
  </si>
  <si>
    <t xml:space="preserve">Alysia </t>
  </si>
  <si>
    <t>10/5/1018</t>
  </si>
  <si>
    <t>47074 Palo Amarillo Dr, , Fremont, CA</t>
  </si>
  <si>
    <t>danlirealty@gmail.com</t>
  </si>
  <si>
    <t xml:space="preserve"> Vengalam</t>
  </si>
  <si>
    <t>753 Nodaway Ave</t>
  </si>
  <si>
    <t>njayanthi@gmail.com</t>
  </si>
  <si>
    <t>from Milpitas</t>
  </si>
  <si>
    <t>4158 Redstone Ter</t>
  </si>
  <si>
    <t>4160 Redstone Ter</t>
  </si>
  <si>
    <t>Second Subject.</t>
  </si>
  <si>
    <t>Chandra</t>
  </si>
  <si>
    <t>Vivaan</t>
  </si>
  <si>
    <t>6/23/2017</t>
  </si>
  <si>
    <t>3465 Inspiration Way #205</t>
  </si>
  <si>
    <t>vishsan06@gmail.com</t>
  </si>
  <si>
    <t>12/10/2024</t>
  </si>
  <si>
    <t>Chao</t>
  </si>
  <si>
    <t>Raydon</t>
  </si>
  <si>
    <t>1884 Travertine Way Union City CA</t>
  </si>
  <si>
    <t>wmaung07@gmail.com</t>
  </si>
  <si>
    <t>1885 Travertine Way Union City CA</t>
  </si>
  <si>
    <t>Hang</t>
  </si>
  <si>
    <t>Kate</t>
  </si>
  <si>
    <t>9/1/2014</t>
  </si>
  <si>
    <t>310 Stocker Ct，Fremont</t>
  </si>
  <si>
    <t>leeliantan@gmail.com</t>
  </si>
  <si>
    <t>9/2/2014</t>
  </si>
  <si>
    <t>311 Stocker Ct，Fremont</t>
  </si>
  <si>
    <t>Ivan</t>
  </si>
  <si>
    <t>4207 Ogden</t>
  </si>
  <si>
    <t>kathy09041101@gmail.com</t>
  </si>
  <si>
    <t>4208 Ogden</t>
  </si>
  <si>
    <t>6/30/0202</t>
  </si>
  <si>
    <t>Johnny</t>
  </si>
  <si>
    <t>Cheng</t>
  </si>
  <si>
    <t>4207 Ogden Drive</t>
  </si>
  <si>
    <t>Babality_4u@yahoo.com</t>
  </si>
  <si>
    <t>4208 Ogden Drive</t>
  </si>
  <si>
    <t>Kaiden Wong</t>
  </si>
  <si>
    <t>Wong</t>
  </si>
  <si>
    <t>47644 Bannon Ct, Fremont</t>
  </si>
  <si>
    <t>kcwong2002@gmail.com</t>
  </si>
  <si>
    <t>Kaiya</t>
  </si>
  <si>
    <t>Hooks</t>
  </si>
  <si>
    <t>34196 Rowland Dr</t>
  </si>
  <si>
    <t>aong47@yahoo.com</t>
  </si>
  <si>
    <t>34197 Rowland Dr</t>
  </si>
  <si>
    <t>Helena</t>
  </si>
  <si>
    <t xml:space="preserve">Sharma </t>
  </si>
  <si>
    <t>Haanish</t>
  </si>
  <si>
    <t>3229 accelerator avn. Unit 1000</t>
  </si>
  <si>
    <t>Sharma.dipika5@gmail.com</t>
  </si>
  <si>
    <t>Siddharth</t>
  </si>
  <si>
    <t>Darshan</t>
  </si>
  <si>
    <t>49114 Rose Ter</t>
  </si>
  <si>
    <t>darshan.d.komarlu@gmail.com</t>
  </si>
  <si>
    <t>736 Maya Ct. Fremont, CA 94539</t>
  </si>
  <si>
    <t>jinghuazhao950@gmail.com</t>
  </si>
  <si>
    <t xml:space="preserve">Taluna </t>
  </si>
  <si>
    <t>519 Mayten Way</t>
  </si>
  <si>
    <t>520 Mayten Way</t>
  </si>
  <si>
    <t xml:space="preserve">Tan </t>
  </si>
  <si>
    <t>48404 Ursa Dr, , Fremont, CA</t>
  </si>
  <si>
    <t>mingao168@yahoo.com</t>
  </si>
  <si>
    <t xml:space="preserve">Vivaan </t>
  </si>
  <si>
    <t>47613 MARDIS STREET</t>
  </si>
  <si>
    <t>vishwajit.kumaratsf@yahoo.com</t>
  </si>
  <si>
    <t>5630 central pkwy</t>
  </si>
  <si>
    <t>469 268 9535</t>
  </si>
  <si>
    <t>wenwen179505@gmail.com</t>
  </si>
  <si>
    <t>Dang</t>
  </si>
  <si>
    <t>Deion</t>
  </si>
  <si>
    <t>40989 Pajaro Dr</t>
  </si>
  <si>
    <t>bkmlxx@yahoo.com</t>
  </si>
  <si>
    <t xml:space="preserve">absent from Oct. </t>
  </si>
  <si>
    <t>No Math, mistake, will add math later</t>
  </si>
  <si>
    <t>no math, level too hard MH5</t>
  </si>
  <si>
    <t xml:space="preserve">Dec. </t>
  </si>
  <si>
    <t>Sophia</t>
  </si>
  <si>
    <t>Kim</t>
  </si>
  <si>
    <t>YUVIKSHA</t>
  </si>
  <si>
    <t>PRABHU YAMUNA</t>
  </si>
  <si>
    <t xml:space="preserve">Jan,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</si>
</sst>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"/>
    <numFmt numFmtId="166" formatCode="yyyy\-mmm\-d"/>
    <numFmt numFmtId="167" formatCode="yyyy\-mmm\-dd"/>
    <numFmt numFmtId="168" formatCode="yyyy\-mmmm\-dd"/>
    <numFmt numFmtId="169" formatCode="mmm\ d\,\ yyyy\ h:mm\ AM/PM"/>
    <numFmt numFmtId="170" formatCode="mmmm\ d\,\ yyyy"/>
    <numFmt numFmtId="171" formatCode="mmmm\ d\,\ yyyy\ h:mm\ AM/PM"/>
  </numFmts>
  <fonts count="36">
    <font>
      <sz val="11"/>
      <color theme="1"/>
      <name val="Calibri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b/>
      <i/>
      <sz val="12"/>
      <color theme="5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9C0006"/>
      <name val="Century Gothic"/>
      <family val="1"/>
    </font>
    <font>
      <sz val="12"/>
      <color rgb="FF333333"/>
      <name val="Century Gothic"/>
      <family val="1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entury Gothic"/>
      <family val="1"/>
    </font>
    <font>
      <b/>
      <sz val="11"/>
      <color theme="1"/>
      <name val="Century Gothic"/>
      <family val="1"/>
    </font>
    <font>
      <sz val="11"/>
      <color rgb="FF333333"/>
      <name val="Open Sans"/>
    </font>
    <font>
      <b/>
      <sz val="11"/>
      <color theme="1"/>
      <name val="Calibri"/>
      <family val="2"/>
    </font>
    <font>
      <u/>
      <sz val="12"/>
      <color theme="1"/>
      <name val="Century Gothic"/>
      <family val="1"/>
    </font>
    <font>
      <sz val="12"/>
      <color rgb="FF006100"/>
      <name val="Calibri"/>
      <family val="2"/>
    </font>
    <font>
      <u/>
      <sz val="12"/>
      <color rgb="FF0000FF"/>
      <name val="Century Gothic"/>
      <family val="1"/>
    </font>
    <font>
      <sz val="11"/>
      <color rgb="FF333333"/>
      <name val="&quot;Open Sans&quot;"/>
    </font>
    <font>
      <u/>
      <sz val="12"/>
      <color rgb="FF333333"/>
      <name val="Century Gothic"/>
      <family val="1"/>
    </font>
    <font>
      <b/>
      <sz val="12"/>
      <color rgb="FF333333"/>
      <name val="Century Gothic"/>
      <family val="1"/>
    </font>
    <font>
      <b/>
      <sz val="11"/>
      <color rgb="FF333333"/>
      <name val="Open Sans"/>
    </font>
    <font>
      <u/>
      <sz val="11"/>
      <color rgb="FF0000FF"/>
      <name val="Century Gothic"/>
      <family val="1"/>
    </font>
    <font>
      <u/>
      <sz val="11"/>
      <color rgb="FF0000FF"/>
      <name val="Century Gothic"/>
      <family val="1"/>
    </font>
    <font>
      <sz val="11"/>
      <color rgb="FF000000"/>
      <name val="Century Gothic"/>
      <family val="1"/>
    </font>
    <font>
      <sz val="11"/>
      <color rgb="FF9C0006"/>
      <name val="Calibri"/>
      <family val="2"/>
    </font>
    <font>
      <u/>
      <sz val="12"/>
      <color theme="1"/>
      <name val="Century Gothic"/>
      <family val="1"/>
    </font>
    <font>
      <sz val="13"/>
      <color theme="1"/>
      <name val="Century Gothic"/>
      <family val="1"/>
    </font>
    <font>
      <sz val="12"/>
      <color rgb="FF333333"/>
      <name val="Open Sans"/>
    </font>
    <font>
      <sz val="11"/>
      <color theme="1"/>
      <name val="Calibri"/>
      <family val="2"/>
      <scheme val="minor"/>
    </font>
    <font>
      <sz val="11"/>
      <color rgb="FF344563"/>
      <name val="&quot;Open Sans&quot;"/>
    </font>
  </fonts>
  <fills count="2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4F7F9"/>
        <bgColor rgb="FFF4F7F9"/>
      </patternFill>
    </fill>
    <fill>
      <patternFill patternType="solid">
        <fgColor rgb="FFDAE3FF"/>
        <bgColor rgb="FFDAE3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9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10" borderId="5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0" fontId="13" fillId="10" borderId="5" xfId="0" applyFont="1" applyFill="1" applyBorder="1"/>
    <xf numFmtId="14" fontId="3" fillId="10" borderId="5" xfId="0" applyNumberFormat="1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14" fontId="3" fillId="10" borderId="5" xfId="0" applyNumberFormat="1" applyFont="1" applyFill="1" applyBorder="1" applyAlignment="1">
      <alignment wrapText="1"/>
    </xf>
    <xf numFmtId="0" fontId="3" fillId="10" borderId="17" xfId="0" applyFont="1" applyFill="1" applyBorder="1"/>
    <xf numFmtId="0" fontId="14" fillId="10" borderId="17" xfId="0" applyFont="1" applyFill="1" applyBorder="1"/>
    <xf numFmtId="0" fontId="3" fillId="0" borderId="5" xfId="0" applyFont="1" applyBorder="1" applyAlignment="1">
      <alignment horizontal="center" wrapText="1"/>
    </xf>
    <xf numFmtId="0" fontId="3" fillId="11" borderId="5" xfId="0" applyFont="1" applyFill="1" applyBorder="1" applyAlignment="1">
      <alignment horizontal="center"/>
    </xf>
    <xf numFmtId="0" fontId="13" fillId="11" borderId="5" xfId="0" applyFont="1" applyFill="1" applyBorder="1" applyAlignment="1">
      <alignment horizontal="left"/>
    </xf>
    <xf numFmtId="0" fontId="3" fillId="11" borderId="5" xfId="0" applyFont="1" applyFill="1" applyBorder="1" applyAlignment="1">
      <alignment horizontal="left"/>
    </xf>
    <xf numFmtId="165" fontId="13" fillId="11" borderId="5" xfId="0" applyNumberFormat="1" applyFont="1" applyFill="1" applyBorder="1" applyAlignment="1">
      <alignment horizontal="right"/>
    </xf>
    <xf numFmtId="0" fontId="13" fillId="11" borderId="5" xfId="0" applyFont="1" applyFill="1" applyBorder="1"/>
    <xf numFmtId="14" fontId="3" fillId="11" borderId="5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 vertical="center"/>
    </xf>
    <xf numFmtId="0" fontId="3" fillId="11" borderId="5" xfId="0" applyFont="1" applyFill="1" applyBorder="1"/>
    <xf numFmtId="0" fontId="3" fillId="11" borderId="5" xfId="0" applyFont="1" applyFill="1" applyBorder="1" applyAlignment="1">
      <alignment horizontal="center" vertical="center" wrapText="1"/>
    </xf>
    <xf numFmtId="0" fontId="15" fillId="11" borderId="17" xfId="0" applyFont="1" applyFill="1" applyBorder="1"/>
    <xf numFmtId="0" fontId="15" fillId="0" borderId="0" xfId="0" applyFont="1"/>
    <xf numFmtId="14" fontId="3" fillId="11" borderId="5" xfId="0" applyNumberFormat="1" applyFont="1" applyFill="1" applyBorder="1"/>
    <xf numFmtId="14" fontId="3" fillId="11" borderId="5" xfId="0" applyNumberFormat="1" applyFont="1" applyFill="1" applyBorder="1" applyAlignment="1">
      <alignment horizontal="left"/>
    </xf>
    <xf numFmtId="0" fontId="16" fillId="11" borderId="17" xfId="0" applyFont="1" applyFill="1" applyBorder="1"/>
    <xf numFmtId="0" fontId="14" fillId="11" borderId="17" xfId="0" applyFont="1" applyFill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13" fillId="0" borderId="5" xfId="0" applyFont="1" applyBorder="1"/>
    <xf numFmtId="14" fontId="3" fillId="0" borderId="5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4" fontId="3" fillId="0" borderId="5" xfId="0" applyNumberFormat="1" applyFont="1" applyBorder="1" applyAlignment="1">
      <alignment wrapText="1"/>
    </xf>
    <xf numFmtId="0" fontId="3" fillId="11" borderId="17" xfId="0" applyFont="1" applyFill="1" applyBorder="1"/>
    <xf numFmtId="0" fontId="3" fillId="12" borderId="5" xfId="0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center"/>
    </xf>
    <xf numFmtId="0" fontId="3" fillId="12" borderId="5" xfId="0" applyFont="1" applyFill="1" applyBorder="1"/>
    <xf numFmtId="0" fontId="3" fillId="12" borderId="5" xfId="0" applyFont="1" applyFill="1" applyBorder="1" applyAlignment="1">
      <alignment horizontal="left"/>
    </xf>
    <xf numFmtId="14" fontId="3" fillId="12" borderId="5" xfId="0" applyNumberFormat="1" applyFont="1" applyFill="1" applyBorder="1"/>
    <xf numFmtId="0" fontId="13" fillId="12" borderId="5" xfId="0" applyFont="1" applyFill="1" applyBorder="1"/>
    <xf numFmtId="14" fontId="3" fillId="12" borderId="5" xfId="0" applyNumberFormat="1" applyFont="1" applyFill="1" applyBorder="1" applyAlignment="1">
      <alignment horizontal="left" vertical="center"/>
    </xf>
    <xf numFmtId="0" fontId="3" fillId="12" borderId="5" xfId="0" applyFont="1" applyFill="1" applyBorder="1" applyAlignment="1">
      <alignment horizontal="left" vertical="center"/>
    </xf>
    <xf numFmtId="0" fontId="3" fillId="12" borderId="5" xfId="0" applyFont="1" applyFill="1" applyBorder="1" applyAlignment="1">
      <alignment horizontal="center" vertical="center" wrapText="1"/>
    </xf>
    <xf numFmtId="0" fontId="15" fillId="12" borderId="17" xfId="0" applyFont="1" applyFill="1" applyBorder="1"/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1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3" fillId="12" borderId="17" xfId="0" applyFont="1" applyFill="1" applyBorder="1"/>
    <xf numFmtId="0" fontId="14" fillId="12" borderId="17" xfId="0" applyFont="1" applyFill="1" applyBorder="1"/>
    <xf numFmtId="0" fontId="13" fillId="0" borderId="5" xfId="0" applyFont="1" applyBorder="1" applyAlignment="1">
      <alignment horizontal="left"/>
    </xf>
    <xf numFmtId="166" fontId="3" fillId="0" borderId="5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wrapText="1"/>
    </xf>
    <xf numFmtId="0" fontId="17" fillId="11" borderId="17" xfId="0" applyFont="1" applyFill="1" applyBorder="1"/>
    <xf numFmtId="0" fontId="18" fillId="11" borderId="17" xfId="0" applyFont="1" applyFill="1" applyBorder="1" applyAlignment="1">
      <alignment horizontal="left"/>
    </xf>
    <xf numFmtId="165" fontId="18" fillId="11" borderId="17" xfId="0" applyNumberFormat="1" applyFont="1" applyFill="1" applyBorder="1" applyAlignment="1">
      <alignment horizontal="right"/>
    </xf>
    <xf numFmtId="0" fontId="17" fillId="13" borderId="17" xfId="0" applyFont="1" applyFill="1" applyBorder="1"/>
    <xf numFmtId="0" fontId="19" fillId="13" borderId="17" xfId="0" applyFont="1" applyFill="1" applyBorder="1"/>
    <xf numFmtId="14" fontId="3" fillId="0" borderId="5" xfId="0" applyNumberFormat="1" applyFont="1" applyBorder="1"/>
    <xf numFmtId="0" fontId="3" fillId="13" borderId="17" xfId="0" applyFont="1" applyFill="1" applyBorder="1"/>
    <xf numFmtId="0" fontId="14" fillId="13" borderId="17" xfId="0" applyFont="1" applyFill="1" applyBorder="1"/>
    <xf numFmtId="0" fontId="3" fillId="14" borderId="17" xfId="0" applyFont="1" applyFill="1" applyBorder="1"/>
    <xf numFmtId="0" fontId="14" fillId="14" borderId="17" xfId="0" applyFont="1" applyFill="1" applyBorder="1"/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/>
    <xf numFmtId="0" fontId="3" fillId="10" borderId="5" xfId="0" applyFont="1" applyFill="1" applyBorder="1" applyAlignment="1">
      <alignment horizontal="left"/>
    </xf>
    <xf numFmtId="14" fontId="3" fillId="10" borderId="5" xfId="0" applyNumberFormat="1" applyFont="1" applyFill="1" applyBorder="1"/>
    <xf numFmtId="14" fontId="3" fillId="10" borderId="5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 vertical="center"/>
    </xf>
    <xf numFmtId="0" fontId="15" fillId="10" borderId="17" xfId="0" applyFont="1" applyFill="1" applyBorder="1"/>
    <xf numFmtId="0" fontId="16" fillId="13" borderId="17" xfId="0" applyFont="1" applyFill="1" applyBorder="1"/>
    <xf numFmtId="0" fontId="17" fillId="0" borderId="0" xfId="0" applyFont="1"/>
    <xf numFmtId="0" fontId="19" fillId="0" borderId="0" xfId="0" applyFont="1"/>
    <xf numFmtId="0" fontId="3" fillId="0" borderId="5" xfId="0" applyFont="1" applyBorder="1" applyAlignment="1">
      <alignment horizontal="center"/>
    </xf>
    <xf numFmtId="0" fontId="20" fillId="0" borderId="5" xfId="0" applyFont="1" applyBorder="1" applyAlignment="1">
      <alignment horizontal="left"/>
    </xf>
    <xf numFmtId="167" fontId="3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17" fillId="14" borderId="17" xfId="0" applyFont="1" applyFill="1" applyBorder="1"/>
    <xf numFmtId="0" fontId="19" fillId="14" borderId="17" xfId="0" applyFont="1" applyFill="1" applyBorder="1"/>
    <xf numFmtId="0" fontId="3" fillId="10" borderId="5" xfId="0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left"/>
    </xf>
    <xf numFmtId="0" fontId="18" fillId="10" borderId="17" xfId="0" applyFont="1" applyFill="1" applyBorder="1" applyAlignment="1">
      <alignment horizontal="left"/>
    </xf>
    <xf numFmtId="165" fontId="18" fillId="10" borderId="17" xfId="0" applyNumberFormat="1" applyFont="1" applyFill="1" applyBorder="1" applyAlignment="1">
      <alignment horizontal="right"/>
    </xf>
    <xf numFmtId="0" fontId="15" fillId="11" borderId="0" xfId="0" applyFont="1" applyFill="1"/>
    <xf numFmtId="0" fontId="3" fillId="11" borderId="5" xfId="0" applyFont="1" applyFill="1" applyBorder="1" applyAlignment="1">
      <alignment horizontal="center" vertical="center"/>
    </xf>
    <xf numFmtId="14" fontId="3" fillId="11" borderId="5" xfId="0" applyNumberFormat="1" applyFont="1" applyFill="1" applyBorder="1" applyAlignment="1">
      <alignment horizontal="center"/>
    </xf>
    <xf numFmtId="14" fontId="3" fillId="11" borderId="5" xfId="0" applyNumberFormat="1" applyFont="1" applyFill="1" applyBorder="1" applyAlignment="1">
      <alignment wrapText="1"/>
    </xf>
    <xf numFmtId="165" fontId="3" fillId="0" borderId="5" xfId="0" applyNumberFormat="1" applyFont="1" applyBorder="1" applyAlignment="1">
      <alignment horizontal="left"/>
    </xf>
    <xf numFmtId="0" fontId="15" fillId="11" borderId="18" xfId="0" applyFont="1" applyFill="1" applyBorder="1"/>
    <xf numFmtId="0" fontId="16" fillId="11" borderId="18" xfId="0" applyFont="1" applyFill="1" applyBorder="1"/>
    <xf numFmtId="0" fontId="3" fillId="11" borderId="18" xfId="0" applyFont="1" applyFill="1" applyBorder="1"/>
    <xf numFmtId="0" fontId="15" fillId="14" borderId="17" xfId="0" applyFont="1" applyFill="1" applyBorder="1"/>
    <xf numFmtId="0" fontId="15" fillId="12" borderId="18" xfId="0" applyFont="1" applyFill="1" applyBorder="1"/>
    <xf numFmtId="0" fontId="18" fillId="11" borderId="18" xfId="0" applyFont="1" applyFill="1" applyBorder="1" applyAlignment="1">
      <alignment horizontal="left"/>
    </xf>
    <xf numFmtId="165" fontId="18" fillId="11" borderId="18" xfId="0" applyNumberFormat="1" applyFont="1" applyFill="1" applyBorder="1" applyAlignment="1">
      <alignment horizontal="right"/>
    </xf>
    <xf numFmtId="0" fontId="13" fillId="10" borderId="5" xfId="0" applyFont="1" applyFill="1" applyBorder="1" applyAlignment="1">
      <alignment horizontal="left"/>
    </xf>
    <xf numFmtId="168" fontId="3" fillId="10" borderId="5" xfId="0" applyNumberFormat="1" applyFont="1" applyFill="1" applyBorder="1" applyAlignment="1">
      <alignment horizontal="left"/>
    </xf>
    <xf numFmtId="14" fontId="2" fillId="10" borderId="5" xfId="0" applyNumberFormat="1" applyFont="1" applyFill="1" applyBorder="1" applyAlignment="1">
      <alignment wrapText="1"/>
    </xf>
    <xf numFmtId="0" fontId="17" fillId="10" borderId="17" xfId="0" applyFont="1" applyFill="1" applyBorder="1"/>
    <xf numFmtId="0" fontId="18" fillId="10" borderId="18" xfId="0" applyFont="1" applyFill="1" applyBorder="1" applyAlignment="1">
      <alignment horizontal="left"/>
    </xf>
    <xf numFmtId="165" fontId="18" fillId="10" borderId="18" xfId="0" applyNumberFormat="1" applyFont="1" applyFill="1" applyBorder="1" applyAlignment="1">
      <alignment horizontal="right"/>
    </xf>
    <xf numFmtId="0" fontId="19" fillId="10" borderId="17" xfId="0" applyFont="1" applyFill="1" applyBorder="1"/>
    <xf numFmtId="166" fontId="3" fillId="10" borderId="5" xfId="0" applyNumberFormat="1" applyFont="1" applyFill="1" applyBorder="1" applyAlignment="1">
      <alignment horizontal="left"/>
    </xf>
    <xf numFmtId="0" fontId="14" fillId="0" borderId="0" xfId="0" applyFont="1"/>
    <xf numFmtId="0" fontId="16" fillId="12" borderId="17" xfId="0" applyFont="1" applyFill="1" applyBorder="1"/>
    <xf numFmtId="0" fontId="14" fillId="11" borderId="18" xfId="0" applyFont="1" applyFill="1" applyBorder="1"/>
    <xf numFmtId="0" fontId="21" fillId="11" borderId="17" xfId="0" applyFont="1" applyFill="1" applyBorder="1"/>
    <xf numFmtId="0" fontId="21" fillId="11" borderId="18" xfId="0" applyFont="1" applyFill="1" applyBorder="1"/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2" fillId="0" borderId="5" xfId="0" applyFont="1" applyBorder="1" applyAlignment="1">
      <alignment wrapText="1"/>
    </xf>
    <xf numFmtId="1" fontId="3" fillId="0" borderId="5" xfId="0" applyNumberFormat="1" applyFont="1" applyBorder="1" applyAlignment="1">
      <alignment horizont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left" wrapText="1"/>
    </xf>
    <xf numFmtId="14" fontId="3" fillId="13" borderId="19" xfId="0" applyNumberFormat="1" applyFont="1" applyFill="1" applyBorder="1" applyAlignment="1">
      <alignment horizontal="left" wrapText="1"/>
    </xf>
    <xf numFmtId="0" fontId="23" fillId="13" borderId="5" xfId="0" applyFont="1" applyFill="1" applyBorder="1"/>
    <xf numFmtId="0" fontId="13" fillId="13" borderId="20" xfId="0" applyFont="1" applyFill="1" applyBorder="1"/>
    <xf numFmtId="14" fontId="3" fillId="13" borderId="5" xfId="0" applyNumberFormat="1" applyFont="1" applyFill="1" applyBorder="1" applyAlignment="1">
      <alignment horizontal="left" vertical="center" wrapText="1"/>
    </xf>
    <xf numFmtId="0" fontId="3" fillId="13" borderId="5" xfId="0" applyFont="1" applyFill="1" applyBorder="1" applyAlignment="1">
      <alignment horizontal="left" vertical="center" wrapText="1"/>
    </xf>
    <xf numFmtId="0" fontId="3" fillId="13" borderId="5" xfId="0" applyFont="1" applyFill="1" applyBorder="1"/>
    <xf numFmtId="14" fontId="3" fillId="13" borderId="5" xfId="0" applyNumberFormat="1" applyFont="1" applyFill="1" applyBorder="1" applyAlignment="1">
      <alignment wrapText="1"/>
    </xf>
    <xf numFmtId="0" fontId="3" fillId="13" borderId="18" xfId="0" applyFont="1" applyFill="1" applyBorder="1"/>
    <xf numFmtId="0" fontId="24" fillId="13" borderId="20" xfId="0" applyFont="1" applyFill="1" applyBorder="1"/>
    <xf numFmtId="0" fontId="3" fillId="11" borderId="5" xfId="0" applyFont="1" applyFill="1" applyBorder="1" applyAlignment="1">
      <alignment horizontal="center" wrapText="1"/>
    </xf>
    <xf numFmtId="0" fontId="14" fillId="0" borderId="5" xfId="0" applyFont="1" applyBorder="1"/>
    <xf numFmtId="0" fontId="15" fillId="0" borderId="21" xfId="0" applyFont="1" applyBorder="1"/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left" wrapText="1"/>
    </xf>
    <xf numFmtId="0" fontId="25" fillId="0" borderId="5" xfId="0" applyFont="1" applyBorder="1"/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left" wrapText="1"/>
    </xf>
    <xf numFmtId="0" fontId="26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1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0" borderId="22" xfId="0" applyFont="1" applyFill="1" applyBorder="1" applyAlignment="1">
      <alignment horizontal="center" wrapText="1"/>
    </xf>
    <xf numFmtId="0" fontId="4" fillId="10" borderId="23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left" wrapText="1"/>
    </xf>
    <xf numFmtId="0" fontId="4" fillId="10" borderId="23" xfId="0" applyFont="1" applyFill="1" applyBorder="1" applyAlignment="1">
      <alignment horizontal="center" wrapText="1"/>
    </xf>
    <xf numFmtId="14" fontId="4" fillId="10" borderId="23" xfId="0" applyNumberFormat="1" applyFont="1" applyFill="1" applyBorder="1" applyAlignment="1">
      <alignment horizontal="left" wrapText="1"/>
    </xf>
    <xf numFmtId="0" fontId="4" fillId="10" borderId="23" xfId="0" applyFont="1" applyFill="1" applyBorder="1" applyAlignment="1">
      <alignment wrapText="1"/>
    </xf>
    <xf numFmtId="14" fontId="4" fillId="10" borderId="23" xfId="0" applyNumberFormat="1" applyFont="1" applyFill="1" applyBorder="1" applyAlignment="1">
      <alignment wrapText="1"/>
    </xf>
    <xf numFmtId="0" fontId="4" fillId="10" borderId="24" xfId="0" applyFont="1" applyFill="1" applyBorder="1" applyAlignment="1">
      <alignment horizontal="center" wrapText="1"/>
    </xf>
    <xf numFmtId="0" fontId="4" fillId="10" borderId="25" xfId="0" applyFont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left" wrapText="1"/>
    </xf>
    <xf numFmtId="0" fontId="4" fillId="10" borderId="25" xfId="0" applyFont="1" applyFill="1" applyBorder="1" applyAlignment="1">
      <alignment horizontal="center" wrapText="1"/>
    </xf>
    <xf numFmtId="14" fontId="4" fillId="10" borderId="25" xfId="0" applyNumberFormat="1" applyFont="1" applyFill="1" applyBorder="1" applyAlignment="1">
      <alignment horizontal="left" wrapText="1"/>
    </xf>
    <xf numFmtId="0" fontId="4" fillId="10" borderId="25" xfId="0" applyFont="1" applyFill="1" applyBorder="1" applyAlignment="1">
      <alignment wrapText="1"/>
    </xf>
    <xf numFmtId="0" fontId="4" fillId="10" borderId="17" xfId="0" applyFont="1" applyFill="1" applyBorder="1"/>
    <xf numFmtId="0" fontId="4" fillId="15" borderId="24" xfId="0" applyFont="1" applyFill="1" applyBorder="1" applyAlignment="1">
      <alignment horizontal="center" wrapText="1"/>
    </xf>
    <xf numFmtId="0" fontId="4" fillId="15" borderId="25" xfId="0" applyFont="1" applyFill="1" applyBorder="1" applyAlignment="1">
      <alignment horizontal="center" vertical="center" wrapText="1"/>
    </xf>
    <xf numFmtId="0" fontId="4" fillId="15" borderId="25" xfId="0" applyFont="1" applyFill="1" applyBorder="1" applyAlignment="1">
      <alignment horizontal="left" wrapText="1"/>
    </xf>
    <xf numFmtId="0" fontId="4" fillId="15" borderId="25" xfId="0" applyFont="1" applyFill="1" applyBorder="1" applyAlignment="1">
      <alignment horizontal="center" wrapText="1"/>
    </xf>
    <xf numFmtId="14" fontId="4" fillId="15" borderId="25" xfId="0" applyNumberFormat="1" applyFont="1" applyFill="1" applyBorder="1" applyAlignment="1">
      <alignment horizontal="left" wrapText="1"/>
    </xf>
    <xf numFmtId="0" fontId="4" fillId="15" borderId="25" xfId="0" applyFont="1" applyFill="1" applyBorder="1" applyAlignment="1">
      <alignment wrapText="1"/>
    </xf>
    <xf numFmtId="14" fontId="4" fillId="15" borderId="23" xfId="0" applyNumberFormat="1" applyFont="1" applyFill="1" applyBorder="1" applyAlignment="1">
      <alignment wrapText="1"/>
    </xf>
    <xf numFmtId="0" fontId="4" fillId="15" borderId="17" xfId="0" applyFont="1" applyFill="1" applyBorder="1"/>
    <xf numFmtId="0" fontId="4" fillId="12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14" fontId="4" fillId="12" borderId="5" xfId="0" applyNumberFormat="1" applyFont="1" applyFill="1" applyBorder="1" applyAlignment="1">
      <alignment wrapText="1"/>
    </xf>
    <xf numFmtId="0" fontId="4" fillId="12" borderId="17" xfId="0" applyFont="1" applyFill="1" applyBorder="1"/>
    <xf numFmtId="0" fontId="4" fillId="16" borderId="17" xfId="0" applyFont="1" applyFill="1" applyBorder="1"/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14" fontId="4" fillId="15" borderId="5" xfId="0" applyNumberFormat="1" applyFont="1" applyFill="1" applyBorder="1" applyAlignment="1">
      <alignment wrapText="1"/>
    </xf>
    <xf numFmtId="0" fontId="4" fillId="12" borderId="5" xfId="0" applyFont="1" applyFill="1" applyBorder="1" applyAlignment="1">
      <alignment horizontal="left" vertical="center" wrapText="1"/>
    </xf>
    <xf numFmtId="14" fontId="4" fillId="12" borderId="5" xfId="0" applyNumberFormat="1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vertical="center" wrapText="1"/>
    </xf>
    <xf numFmtId="0" fontId="4" fillId="12" borderId="1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 vertical="center" wrapText="1"/>
    </xf>
    <xf numFmtId="14" fontId="4" fillId="10" borderId="5" xfId="0" applyNumberFormat="1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0" borderId="5" xfId="0" applyFont="1" applyFill="1" applyBorder="1" applyAlignment="1">
      <alignment horizontal="center" wrapText="1"/>
    </xf>
    <xf numFmtId="0" fontId="4" fillId="10" borderId="17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wrapText="1"/>
    </xf>
    <xf numFmtId="0" fontId="27" fillId="10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vertical="center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0" fontId="4" fillId="17" borderId="5" xfId="0" applyFont="1" applyFill="1" applyBorder="1" applyAlignment="1">
      <alignment horizontal="center" vertical="center" wrapText="1"/>
    </xf>
    <xf numFmtId="14" fontId="4" fillId="17" borderId="5" xfId="0" applyNumberFormat="1" applyFont="1" applyFill="1" applyBorder="1"/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14" fontId="4" fillId="15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4" borderId="17" xfId="0" applyFont="1" applyFill="1" applyBorder="1"/>
    <xf numFmtId="0" fontId="4" fillId="3" borderId="17" xfId="0" applyFont="1" applyFill="1" applyBorder="1"/>
    <xf numFmtId="0" fontId="17" fillId="3" borderId="17" xfId="0" applyFont="1" applyFill="1" applyBorder="1"/>
    <xf numFmtId="0" fontId="29" fillId="10" borderId="17" xfId="0" applyFont="1" applyFill="1" applyBorder="1"/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/>
    <xf numFmtId="0" fontId="4" fillId="14" borderId="5" xfId="0" applyFont="1" applyFill="1" applyBorder="1" applyAlignment="1">
      <alignment wrapText="1"/>
    </xf>
    <xf numFmtId="14" fontId="4" fillId="14" borderId="5" xfId="0" applyNumberFormat="1" applyFont="1" applyFill="1" applyBorder="1"/>
    <xf numFmtId="0" fontId="12" fillId="8" borderId="17" xfId="0" applyFont="1" applyFill="1" applyBorder="1"/>
    <xf numFmtId="0" fontId="4" fillId="0" borderId="20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30" fillId="0" borderId="0" xfId="0" applyFont="1"/>
    <xf numFmtId="0" fontId="30" fillId="8" borderId="17" xfId="0" applyFont="1" applyFill="1" applyBorder="1"/>
    <xf numFmtId="0" fontId="16" fillId="10" borderId="17" xfId="0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19" borderId="5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 applyAlignment="1">
      <alignment horizontal="right" wrapText="1"/>
    </xf>
    <xf numFmtId="0" fontId="3" fillId="19" borderId="17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left" vertical="center"/>
    </xf>
    <xf numFmtId="0" fontId="3" fillId="19" borderId="17" xfId="0" applyFont="1" applyFill="1" applyBorder="1" applyAlignment="1">
      <alignment vertical="center"/>
    </xf>
    <xf numFmtId="0" fontId="3" fillId="19" borderId="5" xfId="0" applyFont="1" applyFill="1" applyBorder="1"/>
    <xf numFmtId="0" fontId="3" fillId="19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/>
    <xf numFmtId="0" fontId="16" fillId="2" borderId="5" xfId="0" applyFont="1" applyFill="1" applyBorder="1" applyAlignment="1">
      <alignment horizontal="center"/>
    </xf>
    <xf numFmtId="14" fontId="16" fillId="2" borderId="5" xfId="0" applyNumberFormat="1" applyFont="1" applyFill="1" applyBorder="1"/>
    <xf numFmtId="0" fontId="16" fillId="2" borderId="5" xfId="0" applyFont="1" applyFill="1" applyBorder="1" applyAlignment="1">
      <alignment horizontal="right"/>
    </xf>
    <xf numFmtId="0" fontId="16" fillId="2" borderId="5" xfId="0" applyFont="1" applyFill="1" applyBorder="1" applyAlignment="1">
      <alignment horizontal="left"/>
    </xf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26" xfId="0" applyFont="1" applyBorder="1" applyAlignment="1">
      <alignment horizontal="center" wrapText="1"/>
    </xf>
    <xf numFmtId="0" fontId="12" fillId="8" borderId="27" xfId="0" applyFont="1" applyFill="1" applyBorder="1" applyAlignment="1">
      <alignment horizontal="center" vertical="center" wrapText="1"/>
    </xf>
    <xf numFmtId="0" fontId="12" fillId="8" borderId="27" xfId="0" applyFont="1" applyFill="1" applyBorder="1" applyAlignment="1">
      <alignment horizontal="left" wrapText="1"/>
    </xf>
    <xf numFmtId="0" fontId="12" fillId="8" borderId="27" xfId="0" applyFont="1" applyFill="1" applyBorder="1" applyAlignment="1">
      <alignment horizontal="center" wrapText="1"/>
    </xf>
    <xf numFmtId="14" fontId="12" fillId="8" borderId="27" xfId="0" applyNumberFormat="1" applyFont="1" applyFill="1" applyBorder="1" applyAlignment="1">
      <alignment horizontal="left" wrapText="1"/>
    </xf>
    <xf numFmtId="0" fontId="12" fillId="8" borderId="27" xfId="0" applyFont="1" applyFill="1" applyBorder="1"/>
    <xf numFmtId="0" fontId="12" fillId="8" borderId="27" xfId="0" applyFont="1" applyFill="1" applyBorder="1" applyAlignment="1">
      <alignment horizontal="right"/>
    </xf>
    <xf numFmtId="0" fontId="12" fillId="8" borderId="27" xfId="0" applyFont="1" applyFill="1" applyBorder="1" applyAlignment="1">
      <alignment wrapText="1"/>
    </xf>
    <xf numFmtId="14" fontId="12" fillId="8" borderId="27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horizontal="right"/>
    </xf>
    <xf numFmtId="0" fontId="31" fillId="10" borderId="5" xfId="0" applyFont="1" applyFill="1" applyBorder="1"/>
    <xf numFmtId="14" fontId="3" fillId="10" borderId="5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wrapText="1"/>
    </xf>
    <xf numFmtId="0" fontId="3" fillId="10" borderId="5" xfId="0" applyFont="1" applyFill="1" applyBorder="1" applyAlignment="1">
      <alignment horizontal="right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vertical="center"/>
    </xf>
    <xf numFmtId="0" fontId="3" fillId="17" borderId="5" xfId="0" applyFont="1" applyFill="1" applyBorder="1"/>
    <xf numFmtId="0" fontId="3" fillId="17" borderId="5" xfId="0" applyFont="1" applyFill="1" applyBorder="1" applyAlignment="1">
      <alignment horizontal="center"/>
    </xf>
    <xf numFmtId="14" fontId="3" fillId="17" borderId="5" xfId="0" applyNumberFormat="1" applyFont="1" applyFill="1" applyBorder="1" applyAlignment="1">
      <alignment horizontal="left"/>
    </xf>
    <xf numFmtId="14" fontId="3" fillId="17" borderId="5" xfId="0" applyNumberFormat="1" applyFont="1" applyFill="1" applyBorder="1" applyAlignment="1">
      <alignment horizontal="center"/>
    </xf>
    <xf numFmtId="0" fontId="3" fillId="17" borderId="5" xfId="0" applyFont="1" applyFill="1" applyBorder="1" applyAlignment="1">
      <alignment horizontal="left"/>
    </xf>
    <xf numFmtId="0" fontId="3" fillId="17" borderId="5" xfId="0" applyFont="1" applyFill="1" applyBorder="1" applyAlignment="1">
      <alignment horizontal="center" vertical="center" wrapText="1"/>
    </xf>
    <xf numFmtId="14" fontId="12" fillId="17" borderId="5" xfId="0" applyNumberFormat="1" applyFont="1" applyFill="1" applyBorder="1"/>
    <xf numFmtId="0" fontId="3" fillId="17" borderId="5" xfId="0" applyFont="1" applyFill="1" applyBorder="1" applyAlignment="1">
      <alignment horizontal="right"/>
    </xf>
    <xf numFmtId="0" fontId="3" fillId="17" borderId="5" xfId="0" applyFont="1" applyFill="1" applyBorder="1" applyAlignment="1">
      <alignment wrapText="1"/>
    </xf>
    <xf numFmtId="14" fontId="3" fillId="17" borderId="5" xfId="0" applyNumberFormat="1" applyFont="1" applyFill="1" applyBorder="1" applyAlignment="1">
      <alignment wrapText="1"/>
    </xf>
    <xf numFmtId="0" fontId="3" fillId="17" borderId="5" xfId="0" applyFont="1" applyFill="1" applyBorder="1" applyAlignment="1">
      <alignment horizontal="right" wrapText="1"/>
    </xf>
    <xf numFmtId="14" fontId="3" fillId="17" borderId="5" xfId="0" applyNumberFormat="1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left"/>
    </xf>
    <xf numFmtId="14" fontId="3" fillId="14" borderId="5" xfId="0" applyNumberFormat="1" applyFont="1" applyFill="1" applyBorder="1" applyAlignment="1">
      <alignment horizontal="left"/>
    </xf>
    <xf numFmtId="0" fontId="3" fillId="14" borderId="5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/>
    <xf numFmtId="0" fontId="16" fillId="10" borderId="5" xfId="0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wrapText="1"/>
    </xf>
    <xf numFmtId="0" fontId="3" fillId="20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left"/>
    </xf>
    <xf numFmtId="14" fontId="3" fillId="20" borderId="5" xfId="0" applyNumberFormat="1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vertical="center" wrapText="1"/>
    </xf>
    <xf numFmtId="14" fontId="3" fillId="20" borderId="5" xfId="0" applyNumberFormat="1" applyFont="1" applyFill="1" applyBorder="1"/>
    <xf numFmtId="0" fontId="3" fillId="20" borderId="17" xfId="0" applyFont="1" applyFill="1" applyBorder="1"/>
    <xf numFmtId="0" fontId="15" fillId="20" borderId="17" xfId="0" applyFont="1" applyFill="1" applyBorder="1"/>
    <xf numFmtId="0" fontId="14" fillId="10" borderId="5" xfId="0" applyFont="1" applyFill="1" applyBorder="1" applyAlignment="1">
      <alignment horizontal="left"/>
    </xf>
    <xf numFmtId="0" fontId="15" fillId="14" borderId="5" xfId="0" applyFont="1" applyFill="1" applyBorder="1"/>
    <xf numFmtId="0" fontId="3" fillId="14" borderId="5" xfId="0" applyFont="1" applyFill="1" applyBorder="1" applyAlignment="1">
      <alignment horizontal="center"/>
    </xf>
    <xf numFmtId="0" fontId="3" fillId="14" borderId="5" xfId="0" applyFont="1" applyFill="1" applyBorder="1"/>
    <xf numFmtId="0" fontId="13" fillId="14" borderId="5" xfId="0" applyFont="1" applyFill="1" applyBorder="1"/>
    <xf numFmtId="0" fontId="16" fillId="14" borderId="17" xfId="0" applyFont="1" applyFill="1" applyBorder="1"/>
    <xf numFmtId="0" fontId="32" fillId="0" borderId="5" xfId="0" applyFont="1" applyBorder="1"/>
    <xf numFmtId="0" fontId="33" fillId="0" borderId="5" xfId="0" applyFont="1" applyBorder="1"/>
    <xf numFmtId="0" fontId="21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4" fillId="0" borderId="0" xfId="0" applyFont="1"/>
    <xf numFmtId="0" fontId="23" fillId="11" borderId="21" xfId="0" applyFont="1" applyFill="1" applyBorder="1" applyAlignment="1">
      <alignment horizontal="left"/>
    </xf>
    <xf numFmtId="0" fontId="35" fillId="21" borderId="28" xfId="0" applyFont="1" applyFill="1" applyBorder="1" applyAlignment="1">
      <alignment horizontal="left" vertical="top"/>
    </xf>
    <xf numFmtId="0" fontId="35" fillId="21" borderId="29" xfId="0" applyFont="1" applyFill="1" applyBorder="1" applyAlignment="1">
      <alignment horizontal="left" vertical="top"/>
    </xf>
    <xf numFmtId="0" fontId="23" fillId="11" borderId="21" xfId="0" applyFont="1" applyFill="1" applyBorder="1" applyAlignment="1">
      <alignment horizontal="right"/>
    </xf>
    <xf numFmtId="165" fontId="23" fillId="11" borderId="21" xfId="0" applyNumberFormat="1" applyFont="1" applyFill="1" applyBorder="1" applyAlignment="1">
      <alignment horizontal="right"/>
    </xf>
    <xf numFmtId="169" fontId="23" fillId="11" borderId="21" xfId="0" applyNumberFormat="1" applyFont="1" applyFill="1" applyBorder="1" applyAlignment="1">
      <alignment horizontal="left"/>
    </xf>
    <xf numFmtId="0" fontId="23" fillId="22" borderId="21" xfId="0" applyFont="1" applyFill="1" applyBorder="1" applyAlignment="1">
      <alignment horizontal="left"/>
    </xf>
    <xf numFmtId="0" fontId="23" fillId="22" borderId="21" xfId="0" applyFont="1" applyFill="1" applyBorder="1" applyAlignment="1">
      <alignment horizontal="right"/>
    </xf>
    <xf numFmtId="165" fontId="23" fillId="22" borderId="21" xfId="0" applyNumberFormat="1" applyFont="1" applyFill="1" applyBorder="1" applyAlignment="1">
      <alignment horizontal="right"/>
    </xf>
    <xf numFmtId="169" fontId="23" fillId="22" borderId="21" xfId="0" applyNumberFormat="1" applyFont="1" applyFill="1" applyBorder="1" applyAlignment="1">
      <alignment horizontal="left"/>
    </xf>
    <xf numFmtId="170" fontId="23" fillId="11" borderId="21" xfId="0" applyNumberFormat="1" applyFont="1" applyFill="1" applyBorder="1" applyAlignment="1">
      <alignment horizontal="right"/>
    </xf>
    <xf numFmtId="171" fontId="23" fillId="11" borderId="21" xfId="0" applyNumberFormat="1" applyFont="1" applyFill="1" applyBorder="1" applyAlignment="1">
      <alignment horizontal="left"/>
    </xf>
    <xf numFmtId="0" fontId="23" fillId="11" borderId="0" xfId="0" applyFont="1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f426@hotmail.com" TargetMode="External"/><Relationship Id="rId3" Type="http://schemas.openxmlformats.org/officeDocument/2006/relationships/hyperlink" Target="mailto:chunmeixie15@gmail.com" TargetMode="External"/><Relationship Id="rId7" Type="http://schemas.openxmlformats.org/officeDocument/2006/relationships/hyperlink" Target="mailto:janezh3080@gmail.com" TargetMode="External"/><Relationship Id="rId2" Type="http://schemas.openxmlformats.org/officeDocument/2006/relationships/hyperlink" Target="mailto:chunmeixie15@g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hyperlink" Target="mailto:janezh3080@gmail.com" TargetMode="Externa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qinlingli1985@gmail.com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D25" sqref="D25"/>
    </sheetView>
  </sheetViews>
  <sheetFormatPr baseColWidth="10" defaultColWidth="14.5" defaultRowHeight="15" customHeight="1"/>
  <cols>
    <col min="1" max="1" width="16.6640625" customWidth="1"/>
    <col min="2" max="2" width="65.6640625" customWidth="1"/>
    <col min="3" max="4" width="10.5" customWidth="1"/>
    <col min="5" max="5" width="24" customWidth="1"/>
    <col min="6" max="6" width="12.6640625" customWidth="1"/>
    <col min="7" max="7" width="8.6640625" customWidth="1"/>
    <col min="8" max="8" width="36.5" customWidth="1"/>
    <col min="9" max="10" width="8.6640625" customWidth="1"/>
    <col min="11" max="11" width="41.6640625" customWidth="1"/>
    <col min="12" max="26" width="8.6640625" customWidth="1"/>
  </cols>
  <sheetData>
    <row r="1" spans="1:26" ht="25">
      <c r="A1" s="497" t="s">
        <v>0</v>
      </c>
      <c r="B1" s="498"/>
      <c r="C1" s="498"/>
      <c r="D1" s="498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45991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45991</v>
      </c>
      <c r="B9" s="18" t="s">
        <v>15</v>
      </c>
      <c r="C9" s="18"/>
      <c r="D9" s="19">
        <f t="shared" ref="D9:D10" si="1">C55</f>
        <v>71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45991</v>
      </c>
      <c r="B10" s="18" t="s">
        <v>16</v>
      </c>
      <c r="C10" s="18"/>
      <c r="D10" s="19">
        <f t="shared" si="1"/>
        <v>90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45991</v>
      </c>
      <c r="B11" s="18" t="s">
        <v>17</v>
      </c>
      <c r="C11" s="21">
        <v>25</v>
      </c>
      <c r="D11" s="19">
        <f>SUM(C37:C40)</f>
        <v>10</v>
      </c>
      <c r="E11" s="22">
        <f t="shared" ref="E11:E25" si="2">C11*D11</f>
        <v>250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45991</v>
      </c>
      <c r="B12" s="18" t="s">
        <v>18</v>
      </c>
      <c r="C12" s="21">
        <v>22</v>
      </c>
      <c r="D12" s="19">
        <f t="shared" ref="D12:D13" si="3">C35+C37-C41-C53</f>
        <v>71</v>
      </c>
      <c r="E12" s="22">
        <f t="shared" si="2"/>
        <v>1562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45991</v>
      </c>
      <c r="B13" s="18" t="s">
        <v>19</v>
      </c>
      <c r="C13" s="21">
        <v>22</v>
      </c>
      <c r="D13" s="19">
        <f t="shared" si="3"/>
        <v>90</v>
      </c>
      <c r="E13" s="22">
        <f t="shared" si="2"/>
        <v>1980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45991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45991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45991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45991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45991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45991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45991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45991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45991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45991</v>
      </c>
      <c r="B23" s="29" t="s">
        <v>25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45991</v>
      </c>
      <c r="B24" s="29" t="s">
        <v>26</v>
      </c>
      <c r="C24" s="21">
        <v>-25</v>
      </c>
      <c r="D24" s="19">
        <v>5</v>
      </c>
      <c r="E24" s="30">
        <f t="shared" si="2"/>
        <v>-125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45991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45991</v>
      </c>
      <c r="B26" s="18" t="s">
        <v>27</v>
      </c>
      <c r="C26" s="21"/>
      <c r="D26" s="21"/>
      <c r="E26" s="22">
        <f>SUM(E11:E25)</f>
        <v>3817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45991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45991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45991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45991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45991</v>
      </c>
      <c r="B31" s="42" t="s">
        <v>30</v>
      </c>
      <c r="C31" s="21"/>
      <c r="D31" s="22"/>
      <c r="E31" s="43">
        <f>E26+E27+E28+E29-E30</f>
        <v>3817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34</v>
      </c>
      <c r="B35" s="51" t="s">
        <v>35</v>
      </c>
      <c r="C35" s="52">
        <v>69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37</v>
      </c>
      <c r="B36" s="53" t="s">
        <v>38</v>
      </c>
      <c r="C36" s="54">
        <v>94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40</v>
      </c>
      <c r="B37" s="55" t="s">
        <v>41</v>
      </c>
      <c r="C37" s="56">
        <v>6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44</v>
      </c>
      <c r="B38" s="59" t="s">
        <v>45</v>
      </c>
      <c r="C38" s="60">
        <v>4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48</v>
      </c>
      <c r="B39" s="55" t="s">
        <v>49</v>
      </c>
      <c r="C39" s="56">
        <v>0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52</v>
      </c>
      <c r="B40" s="59" t="s">
        <v>53</v>
      </c>
      <c r="C40" s="60">
        <v>0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56</v>
      </c>
      <c r="B41" s="57" t="s">
        <v>43</v>
      </c>
      <c r="C41" s="60">
        <v>4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60</v>
      </c>
      <c r="B42" s="61" t="s">
        <v>47</v>
      </c>
      <c r="C42" s="60">
        <v>8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65</v>
      </c>
      <c r="B43" s="63" t="s">
        <v>58</v>
      </c>
      <c r="C43" s="64">
        <f t="shared" ref="C43:C44" si="10">C35+C37+C39-C41</f>
        <v>71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66</v>
      </c>
      <c r="B44" s="65" t="s">
        <v>62</v>
      </c>
      <c r="C44" s="66">
        <f t="shared" si="10"/>
        <v>90</v>
      </c>
      <c r="D44" s="2">
        <f>C44+C43</f>
        <v>161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 t="s">
        <v>68</v>
      </c>
      <c r="C49" s="70">
        <f t="shared" ref="C49:C50" si="11">C43-I41-L41</f>
        <v>71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71" t="s">
        <v>69</v>
      </c>
      <c r="C50" s="70">
        <f t="shared" si="11"/>
        <v>90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3" t="s">
        <v>58</v>
      </c>
      <c r="C55" s="64">
        <f t="shared" ref="C55:C56" si="14">C49+C51+C53</f>
        <v>71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5" t="s">
        <v>62</v>
      </c>
      <c r="C56" s="66">
        <f t="shared" si="14"/>
        <v>90</v>
      </c>
      <c r="D56" s="2">
        <f>C56+C55</f>
        <v>161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608"/>
  <sheetViews>
    <sheetView workbookViewId="0">
      <pane xSplit="4" ySplit="5" topLeftCell="I161" activePane="bottomRight" state="frozen"/>
      <selection pane="topRight" activeCell="E1" sqref="E1"/>
      <selection pane="bottomLeft" activeCell="A6" sqref="A6"/>
      <selection pane="bottomRight" activeCell="X3" sqref="X3"/>
    </sheetView>
  </sheetViews>
  <sheetFormatPr baseColWidth="10" defaultColWidth="14.5" defaultRowHeight="15" customHeight="1"/>
  <cols>
    <col min="1" max="1" width="9.5" customWidth="1"/>
    <col min="2" max="2" width="7" customWidth="1"/>
    <col min="3" max="3" width="12.5" customWidth="1"/>
    <col min="4" max="4" width="17.6640625" customWidth="1"/>
    <col min="5" max="5" width="8.5" customWidth="1"/>
    <col min="6" max="6" width="14.83203125" customWidth="1"/>
    <col min="7" max="7" width="51.5" customWidth="1"/>
    <col min="8" max="8" width="14.1640625" customWidth="1"/>
    <col min="9" max="9" width="32" customWidth="1"/>
    <col min="10" max="10" width="13.5" customWidth="1"/>
    <col min="11" max="11" width="12.5" customWidth="1"/>
    <col min="12" max="12" width="11.6640625" customWidth="1"/>
    <col min="13" max="13" width="38.5" customWidth="1"/>
    <col min="14" max="14" width="6.6640625" customWidth="1"/>
    <col min="15" max="15" width="12.6640625" customWidth="1"/>
    <col min="16" max="16" width="3.1640625" customWidth="1"/>
    <col min="17" max="26" width="5.83203125" customWidth="1"/>
    <col min="27" max="27" width="5.5" customWidth="1"/>
    <col min="28" max="46" width="8.6640625" customWidth="1"/>
  </cols>
  <sheetData>
    <row r="1" spans="1:48" ht="17.25" customHeight="1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 t="s">
        <v>82</v>
      </c>
      <c r="K1" s="79"/>
      <c r="L1" s="79"/>
      <c r="M1" s="79" t="str">
        <f>P!E1</f>
        <v>Due by: 12/1/25</v>
      </c>
      <c r="N1" s="11"/>
      <c r="O1" s="80"/>
      <c r="P1" s="2"/>
      <c r="Q1" s="81"/>
      <c r="R1" s="81" t="s">
        <v>40</v>
      </c>
      <c r="S1" s="81" t="s">
        <v>83</v>
      </c>
      <c r="T1" s="81" t="s">
        <v>34</v>
      </c>
      <c r="U1" s="81" t="s">
        <v>52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45991</v>
      </c>
      <c r="N2" s="11"/>
      <c r="O2" s="80"/>
      <c r="P2" s="2"/>
      <c r="Q2" s="86" t="s">
        <v>89</v>
      </c>
      <c r="R2" s="87">
        <f>COUNTIFS(N6:N199,"=C",B6:B199,"=M")</f>
        <v>65</v>
      </c>
      <c r="S2" s="87">
        <f>COUNTIFS(N6:N199,"=N",B6:B199,"=M")</f>
        <v>6</v>
      </c>
      <c r="T2" s="87">
        <f>COUNTIFS(N6:N199,"=a",B6:B199,"=M")</f>
        <v>4</v>
      </c>
      <c r="U2" s="87">
        <f>COUNTIFS(N6:N199,"=F",B6:B199,"=M")</f>
        <v>0</v>
      </c>
      <c r="V2" s="87">
        <f>COUNTIFS(N6:N199,"=R",B6:B199,"=M")</f>
        <v>0</v>
      </c>
      <c r="W2" s="87">
        <f>COUNTIFS(N6:N199,"=IT",B6:B199,"=M")</f>
        <v>0</v>
      </c>
      <c r="X2" s="87">
        <f t="shared" ref="X2:X3" si="0">R2+T2+U2</f>
        <v>69</v>
      </c>
      <c r="Y2" s="87">
        <f t="shared" ref="Y2:Y3" si="1">R2+S2+U2+W2+V2</f>
        <v>71</v>
      </c>
      <c r="Z2" s="87">
        <f t="shared" ref="Z2:Z3" si="2">R2+S2+T2+U2+W2+V2</f>
        <v>75</v>
      </c>
      <c r="AA2" s="2"/>
      <c r="AB2" s="2">
        <f t="shared" ref="AB2:AB3" si="3">S2+V2+W2</f>
        <v>6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90</v>
      </c>
      <c r="N3" s="11"/>
      <c r="O3" s="80"/>
      <c r="P3" s="2"/>
      <c r="Q3" s="81" t="s">
        <v>48</v>
      </c>
      <c r="R3" s="87">
        <f>COUNTIFS(N6:N199,"=C",B6:B199,"=E")</f>
        <v>86</v>
      </c>
      <c r="S3" s="87">
        <f>COUNTIFS(N6:N199,"=N",B6:B199,"=E")</f>
        <v>4</v>
      </c>
      <c r="T3" s="87">
        <f>COUNTIFS(N6:N199,"=a",B6:B199,"=e")</f>
        <v>8</v>
      </c>
      <c r="U3" s="87">
        <f>COUNTIFS(N6:N199,"=F",B6:B199,"=E")</f>
        <v>0</v>
      </c>
      <c r="V3" s="87">
        <f>COUNTIFS(N6:N199,"=R",B6:B199,"=E")</f>
        <v>0</v>
      </c>
      <c r="W3" s="87">
        <f>COUNTIFS(N6:N199,"=IT",B6:B199,"=E")</f>
        <v>0</v>
      </c>
      <c r="X3" s="87">
        <f t="shared" si="0"/>
        <v>94</v>
      </c>
      <c r="Y3" s="87">
        <f t="shared" si="1"/>
        <v>90</v>
      </c>
      <c r="Z3" s="87">
        <f t="shared" si="2"/>
        <v>98</v>
      </c>
      <c r="AA3" s="2"/>
      <c r="AB3" s="2">
        <f t="shared" si="3"/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91</v>
      </c>
      <c r="R4" s="88">
        <f t="shared" ref="R4:Z4" si="4">R2+R3</f>
        <v>151</v>
      </c>
      <c r="S4" s="88">
        <f t="shared" si="4"/>
        <v>10</v>
      </c>
      <c r="T4" s="88">
        <f t="shared" si="4"/>
        <v>12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163</v>
      </c>
      <c r="Y4" s="88">
        <f t="shared" si="4"/>
        <v>161</v>
      </c>
      <c r="Z4" s="86">
        <f t="shared" si="4"/>
        <v>173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51">
      <c r="A5" s="89" t="s">
        <v>13</v>
      </c>
      <c r="B5" s="89" t="s">
        <v>92</v>
      </c>
      <c r="C5" s="90" t="s">
        <v>93</v>
      </c>
      <c r="D5" s="90" t="s">
        <v>94</v>
      </c>
      <c r="E5" s="89" t="s">
        <v>95</v>
      </c>
      <c r="F5" s="90" t="s">
        <v>96</v>
      </c>
      <c r="G5" s="89" t="s">
        <v>97</v>
      </c>
      <c r="H5" s="90" t="s">
        <v>98</v>
      </c>
      <c r="I5" s="89" t="s">
        <v>99</v>
      </c>
      <c r="J5" s="90" t="s">
        <v>100</v>
      </c>
      <c r="K5" s="89" t="s">
        <v>101</v>
      </c>
      <c r="L5" s="89" t="s">
        <v>102</v>
      </c>
      <c r="M5" s="89" t="s">
        <v>103</v>
      </c>
      <c r="N5" s="89" t="s">
        <v>104</v>
      </c>
      <c r="O5" s="91" t="s">
        <v>105</v>
      </c>
      <c r="P5" s="92"/>
      <c r="Q5" s="92"/>
      <c r="R5" s="92"/>
      <c r="S5" s="92">
        <f>Y4-X4</f>
        <v>-2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" customHeight="1">
      <c r="A6" s="93">
        <v>1</v>
      </c>
      <c r="B6" s="94" t="s">
        <v>48</v>
      </c>
      <c r="C6" s="95" t="s">
        <v>106</v>
      </c>
      <c r="D6" s="95" t="s">
        <v>107</v>
      </c>
      <c r="E6" s="95">
        <v>2</v>
      </c>
      <c r="F6" s="96">
        <v>43249</v>
      </c>
      <c r="G6" s="97" t="s">
        <v>108</v>
      </c>
      <c r="H6" s="97">
        <v>5103033485</v>
      </c>
      <c r="I6" s="97" t="s">
        <v>109</v>
      </c>
      <c r="J6" s="98">
        <v>45829</v>
      </c>
      <c r="K6" s="99" t="s">
        <v>110</v>
      </c>
      <c r="L6" s="99"/>
      <c r="M6" s="95" t="s">
        <v>111</v>
      </c>
      <c r="N6" s="94" t="s">
        <v>34</v>
      </c>
      <c r="O6" s="100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2"/>
      <c r="AV6" s="102"/>
    </row>
    <row r="7" spans="1:48" ht="15" customHeight="1">
      <c r="A7" s="93">
        <v>2</v>
      </c>
      <c r="B7" s="94" t="s">
        <v>48</v>
      </c>
      <c r="C7" s="95" t="s">
        <v>112</v>
      </c>
      <c r="D7" s="95" t="s">
        <v>107</v>
      </c>
      <c r="E7" s="95">
        <v>4</v>
      </c>
      <c r="F7" s="96">
        <v>42320</v>
      </c>
      <c r="G7" s="97" t="s">
        <v>113</v>
      </c>
      <c r="H7" s="97">
        <v>5103033485</v>
      </c>
      <c r="I7" s="97" t="s">
        <v>109</v>
      </c>
      <c r="J7" s="98">
        <v>45829</v>
      </c>
      <c r="K7" s="99" t="s">
        <v>114</v>
      </c>
      <c r="L7" s="99"/>
      <c r="M7" s="95" t="s">
        <v>115</v>
      </c>
      <c r="N7" s="94" t="s">
        <v>34</v>
      </c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2"/>
      <c r="AV7" s="102"/>
    </row>
    <row r="8" spans="1:48" ht="15" customHeight="1">
      <c r="A8" s="93">
        <v>3</v>
      </c>
      <c r="B8" s="94" t="s">
        <v>89</v>
      </c>
      <c r="C8" s="95" t="s">
        <v>112</v>
      </c>
      <c r="D8" s="95" t="s">
        <v>107</v>
      </c>
      <c r="E8" s="95">
        <v>4</v>
      </c>
      <c r="F8" s="96">
        <v>42320</v>
      </c>
      <c r="G8" s="97" t="s">
        <v>116</v>
      </c>
      <c r="H8" s="97">
        <v>5103033485</v>
      </c>
      <c r="I8" s="97" t="s">
        <v>109</v>
      </c>
      <c r="J8" s="98">
        <v>45829</v>
      </c>
      <c r="K8" s="99" t="s">
        <v>117</v>
      </c>
      <c r="L8" s="99"/>
      <c r="M8" s="95" t="s">
        <v>118</v>
      </c>
      <c r="N8" s="94" t="s">
        <v>34</v>
      </c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2"/>
      <c r="AV8" s="102"/>
    </row>
    <row r="9" spans="1:48" ht="15" customHeight="1">
      <c r="A9" s="103">
        <v>4</v>
      </c>
      <c r="B9" s="104" t="s">
        <v>89</v>
      </c>
      <c r="C9" s="105" t="s">
        <v>119</v>
      </c>
      <c r="D9" s="105" t="s">
        <v>120</v>
      </c>
      <c r="E9" s="106">
        <v>2</v>
      </c>
      <c r="F9" s="107">
        <v>43030</v>
      </c>
      <c r="G9" s="108" t="s">
        <v>121</v>
      </c>
      <c r="H9" s="108" t="s">
        <v>122</v>
      </c>
      <c r="I9" s="108" t="s">
        <v>123</v>
      </c>
      <c r="J9" s="109">
        <v>45916</v>
      </c>
      <c r="K9" s="110" t="s">
        <v>124</v>
      </c>
      <c r="L9" s="110">
        <v>81</v>
      </c>
      <c r="M9" s="111"/>
      <c r="N9" s="112" t="s">
        <v>40</v>
      </c>
      <c r="O9" s="111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</row>
    <row r="10" spans="1:48" ht="15" customHeight="1">
      <c r="A10" s="103">
        <v>5</v>
      </c>
      <c r="B10" s="104" t="s">
        <v>48</v>
      </c>
      <c r="C10" s="105" t="s">
        <v>119</v>
      </c>
      <c r="D10" s="105" t="s">
        <v>120</v>
      </c>
      <c r="E10" s="106">
        <v>2</v>
      </c>
      <c r="F10" s="107">
        <v>43030</v>
      </c>
      <c r="G10" s="108" t="s">
        <v>121</v>
      </c>
      <c r="H10" s="108" t="s">
        <v>122</v>
      </c>
      <c r="I10" s="108" t="s">
        <v>123</v>
      </c>
      <c r="J10" s="109">
        <v>45916</v>
      </c>
      <c r="K10" s="110" t="s">
        <v>125</v>
      </c>
      <c r="L10" s="110">
        <v>56</v>
      </c>
      <c r="M10" s="111"/>
      <c r="N10" s="112" t="s">
        <v>40</v>
      </c>
      <c r="O10" s="111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</row>
    <row r="11" spans="1:48" ht="15" customHeight="1">
      <c r="A11" s="103">
        <v>6</v>
      </c>
      <c r="B11" s="104" t="s">
        <v>89</v>
      </c>
      <c r="C11" s="111" t="s">
        <v>126</v>
      </c>
      <c r="D11" s="111" t="s">
        <v>127</v>
      </c>
      <c r="E11" s="106">
        <v>3</v>
      </c>
      <c r="F11" s="115">
        <v>42661</v>
      </c>
      <c r="G11" s="108" t="s">
        <v>128</v>
      </c>
      <c r="H11" s="108">
        <v>4083320446</v>
      </c>
      <c r="I11" s="108" t="s">
        <v>129</v>
      </c>
      <c r="J11" s="109">
        <v>45810</v>
      </c>
      <c r="K11" s="110" t="s">
        <v>130</v>
      </c>
      <c r="L11" s="110">
        <v>61</v>
      </c>
      <c r="M11" s="116"/>
      <c r="N11" s="112" t="s">
        <v>40</v>
      </c>
      <c r="O11" s="115"/>
      <c r="P11" s="117"/>
      <c r="Q11" s="117"/>
      <c r="R11" s="117"/>
      <c r="S11" s="117"/>
      <c r="T11" s="117">
        <f t="shared" ref="T11:T12" si="5">V499+S499</f>
        <v>0</v>
      </c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8"/>
      <c r="AV11" s="118"/>
    </row>
    <row r="12" spans="1:48" ht="15" customHeight="1">
      <c r="A12" s="103">
        <v>7</v>
      </c>
      <c r="B12" s="119" t="s">
        <v>48</v>
      </c>
      <c r="C12" s="120" t="s">
        <v>126</v>
      </c>
      <c r="D12" s="120" t="s">
        <v>127</v>
      </c>
      <c r="E12" s="120">
        <v>3</v>
      </c>
      <c r="F12" s="121">
        <v>42661</v>
      </c>
      <c r="G12" s="122" t="s">
        <v>128</v>
      </c>
      <c r="H12" s="122">
        <v>4083320446</v>
      </c>
      <c r="I12" s="122" t="s">
        <v>129</v>
      </c>
      <c r="J12" s="123">
        <v>45810</v>
      </c>
      <c r="K12" s="124" t="s">
        <v>125</v>
      </c>
      <c r="L12" s="124">
        <v>101</v>
      </c>
      <c r="M12" s="120"/>
      <c r="N12" s="119" t="s">
        <v>40</v>
      </c>
      <c r="O12" s="125"/>
      <c r="P12" s="126"/>
      <c r="Q12" s="126"/>
      <c r="R12" s="126"/>
      <c r="S12" s="126"/>
      <c r="T12" s="117">
        <f t="shared" si="5"/>
        <v>0</v>
      </c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18"/>
      <c r="AV12" s="118"/>
    </row>
    <row r="13" spans="1:48" ht="15" customHeight="1">
      <c r="A13" s="127">
        <v>8</v>
      </c>
      <c r="B13" s="128" t="s">
        <v>89</v>
      </c>
      <c r="C13" s="129" t="s">
        <v>131</v>
      </c>
      <c r="D13" s="129" t="s">
        <v>132</v>
      </c>
      <c r="E13" s="130" t="s">
        <v>133</v>
      </c>
      <c r="F13" s="131">
        <v>44026</v>
      </c>
      <c r="G13" s="132" t="s">
        <v>134</v>
      </c>
      <c r="H13" s="132">
        <v>5103714349</v>
      </c>
      <c r="I13" s="132" t="s">
        <v>135</v>
      </c>
      <c r="J13" s="133">
        <v>45901</v>
      </c>
      <c r="K13" s="134" t="s">
        <v>136</v>
      </c>
      <c r="L13" s="134">
        <v>101</v>
      </c>
      <c r="M13" s="129"/>
      <c r="N13" s="135" t="s">
        <v>40</v>
      </c>
      <c r="O13" s="129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</row>
    <row r="14" spans="1:48" ht="15" customHeight="1">
      <c r="A14" s="103">
        <v>9</v>
      </c>
      <c r="B14" s="128" t="s">
        <v>48</v>
      </c>
      <c r="C14" s="129" t="s">
        <v>131</v>
      </c>
      <c r="D14" s="129" t="s">
        <v>132</v>
      </c>
      <c r="E14" s="130" t="s">
        <v>133</v>
      </c>
      <c r="F14" s="131">
        <v>44026</v>
      </c>
      <c r="G14" s="132" t="s">
        <v>134</v>
      </c>
      <c r="H14" s="132">
        <v>5103714349</v>
      </c>
      <c r="I14" s="132" t="s">
        <v>135</v>
      </c>
      <c r="J14" s="133">
        <v>45901</v>
      </c>
      <c r="K14" s="134" t="s">
        <v>137</v>
      </c>
      <c r="L14" s="134">
        <v>101</v>
      </c>
      <c r="M14" s="129"/>
      <c r="N14" s="135" t="s">
        <v>40</v>
      </c>
      <c r="O14" s="129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</row>
    <row r="15" spans="1:48" ht="15" customHeight="1">
      <c r="A15" s="103">
        <v>10</v>
      </c>
      <c r="B15" s="88" t="s">
        <v>89</v>
      </c>
      <c r="C15" s="137" t="s">
        <v>138</v>
      </c>
      <c r="D15" s="137" t="s">
        <v>139</v>
      </c>
      <c r="E15" s="137">
        <v>5</v>
      </c>
      <c r="F15" s="138" t="s">
        <v>140</v>
      </c>
      <c r="G15" s="137" t="s">
        <v>141</v>
      </c>
      <c r="H15" s="137">
        <v>5103665279</v>
      </c>
      <c r="I15" s="137" t="s">
        <v>142</v>
      </c>
      <c r="J15" s="139" t="s">
        <v>143</v>
      </c>
      <c r="K15" s="140" t="s">
        <v>144</v>
      </c>
      <c r="L15" s="140">
        <v>46</v>
      </c>
      <c r="M15" s="137"/>
      <c r="N15" s="119" t="s">
        <v>40</v>
      </c>
      <c r="O15" s="141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3"/>
      <c r="AV15" s="143"/>
    </row>
    <row r="16" spans="1:48" ht="15" customHeight="1">
      <c r="A16" s="103">
        <v>11</v>
      </c>
      <c r="B16" s="88" t="s">
        <v>48</v>
      </c>
      <c r="C16" s="137" t="s">
        <v>138</v>
      </c>
      <c r="D16" s="137" t="s">
        <v>139</v>
      </c>
      <c r="E16" s="137">
        <v>5</v>
      </c>
      <c r="F16" s="138" t="s">
        <v>140</v>
      </c>
      <c r="G16" s="137" t="s">
        <v>141</v>
      </c>
      <c r="H16" s="137">
        <v>5103665279</v>
      </c>
      <c r="I16" s="137" t="s">
        <v>142</v>
      </c>
      <c r="J16" s="139">
        <v>45536</v>
      </c>
      <c r="K16" s="140" t="s">
        <v>145</v>
      </c>
      <c r="L16" s="140">
        <v>91</v>
      </c>
      <c r="M16" s="137"/>
      <c r="N16" s="119" t="s">
        <v>40</v>
      </c>
      <c r="O16" s="141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3"/>
      <c r="AV16" s="143"/>
    </row>
    <row r="17" spans="1:48" ht="15" customHeight="1">
      <c r="A17" s="103">
        <v>12</v>
      </c>
      <c r="B17" s="88" t="s">
        <v>48</v>
      </c>
      <c r="C17" s="144" t="s">
        <v>146</v>
      </c>
      <c r="D17" s="144" t="s">
        <v>147</v>
      </c>
      <c r="E17" s="137">
        <v>3</v>
      </c>
      <c r="F17" s="145">
        <v>42726</v>
      </c>
      <c r="G17" s="137" t="s">
        <v>148</v>
      </c>
      <c r="H17" s="137">
        <v>6502553705</v>
      </c>
      <c r="I17" s="137" t="s">
        <v>149</v>
      </c>
      <c r="J17" s="139">
        <v>45888</v>
      </c>
      <c r="K17" s="140" t="s">
        <v>125</v>
      </c>
      <c r="L17" s="140">
        <v>100</v>
      </c>
      <c r="M17" s="137"/>
      <c r="N17" s="119" t="s">
        <v>40</v>
      </c>
      <c r="O17" s="146"/>
      <c r="P17" s="147"/>
      <c r="Q17" s="147"/>
      <c r="R17" s="147"/>
      <c r="S17" s="147"/>
      <c r="T17" s="148"/>
      <c r="U17" s="148"/>
      <c r="V17" s="149"/>
      <c r="W17" s="147"/>
      <c r="X17" s="147"/>
      <c r="Y17" s="147"/>
      <c r="Z17" s="147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1"/>
      <c r="AV17" s="151"/>
    </row>
    <row r="18" spans="1:48" ht="15" customHeight="1">
      <c r="A18" s="127">
        <v>13</v>
      </c>
      <c r="B18" s="88" t="s">
        <v>89</v>
      </c>
      <c r="C18" s="144" t="s">
        <v>146</v>
      </c>
      <c r="D18" s="144" t="s">
        <v>147</v>
      </c>
      <c r="E18" s="137">
        <v>3</v>
      </c>
      <c r="F18" s="145">
        <v>42726</v>
      </c>
      <c r="G18" s="137" t="s">
        <v>148</v>
      </c>
      <c r="H18" s="137">
        <v>6502553705</v>
      </c>
      <c r="I18" s="137" t="s">
        <v>149</v>
      </c>
      <c r="J18" s="139">
        <v>45888</v>
      </c>
      <c r="K18" s="140" t="s">
        <v>150</v>
      </c>
      <c r="L18" s="140">
        <v>26</v>
      </c>
      <c r="M18" s="137"/>
      <c r="N18" s="119" t="s">
        <v>40</v>
      </c>
      <c r="O18" s="146"/>
      <c r="P18" s="147"/>
      <c r="Q18" s="147"/>
      <c r="R18" s="147"/>
      <c r="S18" s="147"/>
      <c r="T18" s="148"/>
      <c r="U18" s="148"/>
      <c r="V18" s="149"/>
      <c r="W18" s="147"/>
      <c r="X18" s="147"/>
      <c r="Y18" s="147"/>
      <c r="Z18" s="147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1"/>
      <c r="AV18" s="151"/>
    </row>
    <row r="19" spans="1:48" ht="15" customHeight="1">
      <c r="A19" s="103">
        <v>14</v>
      </c>
      <c r="B19" s="103" t="s">
        <v>48</v>
      </c>
      <c r="C19" s="120" t="s">
        <v>151</v>
      </c>
      <c r="D19" s="120" t="s">
        <v>152</v>
      </c>
      <c r="E19" s="120">
        <v>1</v>
      </c>
      <c r="F19" s="121">
        <v>43285</v>
      </c>
      <c r="G19" s="144" t="s">
        <v>153</v>
      </c>
      <c r="H19" s="144">
        <v>8584722267</v>
      </c>
      <c r="I19" s="144" t="s">
        <v>154</v>
      </c>
      <c r="J19" s="139">
        <v>45717</v>
      </c>
      <c r="K19" s="124" t="s">
        <v>125</v>
      </c>
      <c r="L19" s="124">
        <v>58</v>
      </c>
      <c r="M19" s="137" t="s">
        <v>155</v>
      </c>
      <c r="N19" s="119" t="s">
        <v>40</v>
      </c>
      <c r="O19" s="152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8"/>
      <c r="AV19" s="118"/>
    </row>
    <row r="20" spans="1:48" ht="15" customHeight="1">
      <c r="A20" s="103">
        <v>15</v>
      </c>
      <c r="B20" s="103" t="s">
        <v>89</v>
      </c>
      <c r="C20" s="120" t="s">
        <v>151</v>
      </c>
      <c r="D20" s="120" t="s">
        <v>152</v>
      </c>
      <c r="E20" s="120">
        <v>1</v>
      </c>
      <c r="F20" s="121">
        <v>43285</v>
      </c>
      <c r="G20" s="144" t="s">
        <v>156</v>
      </c>
      <c r="H20" s="144">
        <v>8584722267</v>
      </c>
      <c r="I20" s="144" t="s">
        <v>154</v>
      </c>
      <c r="J20" s="139">
        <v>45717</v>
      </c>
      <c r="K20" s="124" t="s">
        <v>130</v>
      </c>
      <c r="L20" s="124">
        <v>110</v>
      </c>
      <c r="M20" s="137" t="s">
        <v>155</v>
      </c>
      <c r="N20" s="119" t="s">
        <v>40</v>
      </c>
      <c r="O20" s="152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8"/>
      <c r="AV20" s="118"/>
    </row>
    <row r="21" spans="1:48" ht="15" customHeight="1">
      <c r="A21" s="103">
        <v>16</v>
      </c>
      <c r="B21" s="88" t="s">
        <v>48</v>
      </c>
      <c r="C21" s="137" t="s">
        <v>157</v>
      </c>
      <c r="D21" s="137" t="s">
        <v>158</v>
      </c>
      <c r="E21" s="137">
        <v>1</v>
      </c>
      <c r="F21" s="138">
        <v>43091</v>
      </c>
      <c r="G21" s="137" t="s">
        <v>159</v>
      </c>
      <c r="H21" s="137">
        <v>6509967701</v>
      </c>
      <c r="I21" s="137" t="s">
        <v>160</v>
      </c>
      <c r="J21" s="139">
        <v>45537</v>
      </c>
      <c r="K21" s="140" t="s">
        <v>125</v>
      </c>
      <c r="L21" s="140">
        <v>51</v>
      </c>
      <c r="M21" s="137"/>
      <c r="N21" s="119" t="s">
        <v>40</v>
      </c>
      <c r="O21" s="141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3"/>
      <c r="AV21" s="143"/>
    </row>
    <row r="22" spans="1:48" ht="15" customHeight="1">
      <c r="A22" s="103">
        <v>17</v>
      </c>
      <c r="B22" s="88" t="s">
        <v>89</v>
      </c>
      <c r="C22" s="137" t="s">
        <v>157</v>
      </c>
      <c r="D22" s="137" t="s">
        <v>158</v>
      </c>
      <c r="E22" s="137">
        <v>1</v>
      </c>
      <c r="F22" s="138">
        <v>43091</v>
      </c>
      <c r="G22" s="137" t="s">
        <v>159</v>
      </c>
      <c r="H22" s="137">
        <v>6509967701</v>
      </c>
      <c r="I22" s="137" t="s">
        <v>160</v>
      </c>
      <c r="J22" s="139">
        <v>45537</v>
      </c>
      <c r="K22" s="140" t="s">
        <v>130</v>
      </c>
      <c r="L22" s="140">
        <v>23</v>
      </c>
      <c r="M22" s="137"/>
      <c r="N22" s="119" t="s">
        <v>40</v>
      </c>
      <c r="O22" s="141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3"/>
      <c r="AV22" s="143"/>
    </row>
    <row r="23" spans="1:48" ht="15" customHeight="1">
      <c r="A23" s="127">
        <v>18</v>
      </c>
      <c r="B23" s="119" t="s">
        <v>48</v>
      </c>
      <c r="C23" s="120" t="s">
        <v>157</v>
      </c>
      <c r="D23" s="120" t="s">
        <v>161</v>
      </c>
      <c r="E23" s="120" t="s">
        <v>133</v>
      </c>
      <c r="F23" s="121">
        <v>44197</v>
      </c>
      <c r="G23" s="137" t="s">
        <v>162</v>
      </c>
      <c r="H23" s="137">
        <v>2177211536</v>
      </c>
      <c r="I23" s="137" t="s">
        <v>163</v>
      </c>
      <c r="J23" s="139">
        <v>45881</v>
      </c>
      <c r="K23" s="124" t="s">
        <v>164</v>
      </c>
      <c r="L23" s="124">
        <v>51</v>
      </c>
      <c r="M23" s="120"/>
      <c r="N23" s="119" t="s">
        <v>40</v>
      </c>
      <c r="O23" s="125"/>
      <c r="P23" s="126"/>
      <c r="Q23" s="126"/>
      <c r="R23" s="126"/>
      <c r="S23" s="126"/>
      <c r="T23" s="148"/>
      <c r="U23" s="148"/>
      <c r="V23" s="149"/>
      <c r="W23" s="126"/>
      <c r="X23" s="126"/>
      <c r="Y23" s="126"/>
      <c r="Z23" s="126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4"/>
      <c r="AV23" s="154"/>
    </row>
    <row r="24" spans="1:48" ht="15" customHeight="1">
      <c r="A24" s="103">
        <v>19</v>
      </c>
      <c r="B24" s="119" t="s">
        <v>89</v>
      </c>
      <c r="C24" s="120" t="s">
        <v>157</v>
      </c>
      <c r="D24" s="120" t="s">
        <v>161</v>
      </c>
      <c r="E24" s="120" t="s">
        <v>133</v>
      </c>
      <c r="F24" s="121">
        <v>44197</v>
      </c>
      <c r="G24" s="137" t="s">
        <v>162</v>
      </c>
      <c r="H24" s="137">
        <v>2177211536</v>
      </c>
      <c r="I24" s="137" t="s">
        <v>163</v>
      </c>
      <c r="J24" s="139">
        <v>45881</v>
      </c>
      <c r="K24" s="124" t="s">
        <v>165</v>
      </c>
      <c r="L24" s="124">
        <v>61</v>
      </c>
      <c r="M24" s="120"/>
      <c r="N24" s="119" t="s">
        <v>40</v>
      </c>
      <c r="O24" s="125"/>
      <c r="P24" s="126"/>
      <c r="Q24" s="126"/>
      <c r="R24" s="126"/>
      <c r="S24" s="126"/>
      <c r="T24" s="148"/>
      <c r="U24" s="148"/>
      <c r="V24" s="149"/>
      <c r="W24" s="126"/>
      <c r="X24" s="126"/>
      <c r="Y24" s="126"/>
      <c r="Z24" s="126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4"/>
      <c r="AV24" s="154"/>
    </row>
    <row r="25" spans="1:48" ht="15" customHeight="1">
      <c r="A25" s="103">
        <v>20</v>
      </c>
      <c r="B25" s="119" t="s">
        <v>48</v>
      </c>
      <c r="C25" s="120" t="s">
        <v>157</v>
      </c>
      <c r="D25" s="120" t="s">
        <v>166</v>
      </c>
      <c r="E25" s="120">
        <v>2</v>
      </c>
      <c r="F25" s="138" t="s">
        <v>167</v>
      </c>
      <c r="G25" s="137" t="s">
        <v>162</v>
      </c>
      <c r="H25" s="137">
        <v>2177211536</v>
      </c>
      <c r="I25" s="137" t="s">
        <v>163</v>
      </c>
      <c r="J25" s="139">
        <v>45888</v>
      </c>
      <c r="K25" s="124" t="s">
        <v>168</v>
      </c>
      <c r="L25" s="124">
        <v>88</v>
      </c>
      <c r="M25" s="120"/>
      <c r="N25" s="119" t="s">
        <v>40</v>
      </c>
      <c r="O25" s="152"/>
      <c r="P25" s="126"/>
      <c r="Q25" s="126"/>
      <c r="R25" s="126"/>
      <c r="S25" s="126"/>
      <c r="T25" s="148"/>
      <c r="U25" s="148"/>
      <c r="V25" s="149"/>
      <c r="W25" s="126"/>
      <c r="X25" s="126"/>
      <c r="Y25" s="126"/>
      <c r="Z25" s="126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6"/>
      <c r="AV25" s="156"/>
    </row>
    <row r="26" spans="1:48" ht="15" customHeight="1">
      <c r="A26" s="103">
        <v>21</v>
      </c>
      <c r="B26" s="119" t="s">
        <v>89</v>
      </c>
      <c r="C26" s="120" t="s">
        <v>157</v>
      </c>
      <c r="D26" s="120" t="s">
        <v>166</v>
      </c>
      <c r="E26" s="120">
        <v>2</v>
      </c>
      <c r="F26" s="138" t="s">
        <v>167</v>
      </c>
      <c r="G26" s="137" t="s">
        <v>162</v>
      </c>
      <c r="H26" s="137">
        <v>2177211536</v>
      </c>
      <c r="I26" s="137" t="s">
        <v>163</v>
      </c>
      <c r="J26" s="139">
        <v>45888</v>
      </c>
      <c r="K26" s="124" t="s">
        <v>117</v>
      </c>
      <c r="L26" s="124">
        <v>85</v>
      </c>
      <c r="M26" s="120"/>
      <c r="N26" s="119" t="s">
        <v>40</v>
      </c>
      <c r="O26" s="152"/>
      <c r="P26" s="126"/>
      <c r="Q26" s="126"/>
      <c r="R26" s="126"/>
      <c r="S26" s="126"/>
      <c r="T26" s="148"/>
      <c r="U26" s="148"/>
      <c r="V26" s="149"/>
      <c r="W26" s="126"/>
      <c r="X26" s="126"/>
      <c r="Y26" s="126"/>
      <c r="Z26" s="126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6"/>
      <c r="AV26" s="156"/>
    </row>
    <row r="27" spans="1:48" ht="15" customHeight="1">
      <c r="A27" s="103">
        <v>22</v>
      </c>
      <c r="B27" s="119" t="s">
        <v>48</v>
      </c>
      <c r="C27" s="120" t="s">
        <v>157</v>
      </c>
      <c r="D27" s="120" t="s">
        <v>169</v>
      </c>
      <c r="E27" s="120" t="s">
        <v>133</v>
      </c>
      <c r="F27" s="121">
        <v>44197</v>
      </c>
      <c r="G27" s="137" t="s">
        <v>162</v>
      </c>
      <c r="H27" s="137">
        <v>2177211536</v>
      </c>
      <c r="I27" s="137" t="s">
        <v>163</v>
      </c>
      <c r="J27" s="139">
        <v>45881</v>
      </c>
      <c r="K27" s="124" t="s">
        <v>170</v>
      </c>
      <c r="L27" s="124">
        <v>21</v>
      </c>
      <c r="M27" s="120"/>
      <c r="N27" s="119" t="s">
        <v>40</v>
      </c>
      <c r="O27" s="125"/>
      <c r="P27" s="126"/>
      <c r="Q27" s="126"/>
      <c r="R27" s="126"/>
      <c r="S27" s="126"/>
      <c r="T27" s="148"/>
      <c r="U27" s="148"/>
      <c r="V27" s="149"/>
      <c r="W27" s="126"/>
      <c r="X27" s="126"/>
      <c r="Y27" s="126"/>
      <c r="Z27" s="126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4"/>
      <c r="AV27" s="154"/>
    </row>
    <row r="28" spans="1:48" ht="15" customHeight="1">
      <c r="A28" s="127">
        <v>23</v>
      </c>
      <c r="B28" s="119" t="s">
        <v>89</v>
      </c>
      <c r="C28" s="120" t="s">
        <v>157</v>
      </c>
      <c r="D28" s="120" t="s">
        <v>169</v>
      </c>
      <c r="E28" s="120" t="s">
        <v>133</v>
      </c>
      <c r="F28" s="121">
        <v>44197</v>
      </c>
      <c r="G28" s="137" t="s">
        <v>162</v>
      </c>
      <c r="H28" s="137">
        <v>2177211536</v>
      </c>
      <c r="I28" s="137" t="s">
        <v>163</v>
      </c>
      <c r="J28" s="139">
        <v>45881</v>
      </c>
      <c r="K28" s="124" t="s">
        <v>165</v>
      </c>
      <c r="L28" s="124">
        <v>51</v>
      </c>
      <c r="M28" s="120"/>
      <c r="N28" s="119" t="s">
        <v>40</v>
      </c>
      <c r="O28" s="125"/>
      <c r="P28" s="126"/>
      <c r="Q28" s="126"/>
      <c r="R28" s="126"/>
      <c r="S28" s="126"/>
      <c r="T28" s="148"/>
      <c r="U28" s="148"/>
      <c r="V28" s="149"/>
      <c r="W28" s="126"/>
      <c r="X28" s="126"/>
      <c r="Y28" s="126"/>
      <c r="Z28" s="126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4"/>
      <c r="AV28" s="154"/>
    </row>
    <row r="29" spans="1:48" ht="15" customHeight="1">
      <c r="A29" s="103">
        <v>24</v>
      </c>
      <c r="B29" s="128" t="s">
        <v>48</v>
      </c>
      <c r="C29" s="129" t="s">
        <v>157</v>
      </c>
      <c r="D29" s="129" t="s">
        <v>171</v>
      </c>
      <c r="E29" s="130">
        <v>5</v>
      </c>
      <c r="F29" s="131">
        <v>42047</v>
      </c>
      <c r="G29" s="132" t="s">
        <v>172</v>
      </c>
      <c r="H29" s="132">
        <v>5109803448</v>
      </c>
      <c r="I29" s="132" t="s">
        <v>173</v>
      </c>
      <c r="J29" s="133">
        <v>45917</v>
      </c>
      <c r="K29" s="134" t="s">
        <v>174</v>
      </c>
      <c r="L29" s="134">
        <v>1</v>
      </c>
      <c r="M29" s="129"/>
      <c r="N29" s="135" t="s">
        <v>40</v>
      </c>
      <c r="O29" s="129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</row>
    <row r="30" spans="1:48" ht="15" customHeight="1">
      <c r="A30" s="103">
        <v>25</v>
      </c>
      <c r="B30" s="88" t="s">
        <v>48</v>
      </c>
      <c r="C30" s="137" t="s">
        <v>175</v>
      </c>
      <c r="D30" s="137" t="s">
        <v>176</v>
      </c>
      <c r="E30" s="137">
        <v>1</v>
      </c>
      <c r="F30" s="138" t="s">
        <v>177</v>
      </c>
      <c r="G30" s="137" t="s">
        <v>178</v>
      </c>
      <c r="H30" s="137">
        <v>6282247551</v>
      </c>
      <c r="I30" s="137" t="s">
        <v>179</v>
      </c>
      <c r="J30" s="139" t="s">
        <v>180</v>
      </c>
      <c r="K30" s="140" t="s">
        <v>181</v>
      </c>
      <c r="L30" s="140">
        <v>106</v>
      </c>
      <c r="M30" s="137"/>
      <c r="N30" s="119" t="s">
        <v>40</v>
      </c>
      <c r="O30" s="141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18"/>
      <c r="AV30" s="118"/>
    </row>
    <row r="31" spans="1:48" ht="15" customHeight="1">
      <c r="A31" s="103">
        <v>26</v>
      </c>
      <c r="B31" s="88" t="s">
        <v>89</v>
      </c>
      <c r="C31" s="137" t="s">
        <v>175</v>
      </c>
      <c r="D31" s="137" t="s">
        <v>176</v>
      </c>
      <c r="E31" s="137">
        <v>1</v>
      </c>
      <c r="F31" s="138" t="s">
        <v>177</v>
      </c>
      <c r="G31" s="137" t="s">
        <v>178</v>
      </c>
      <c r="H31" s="137">
        <v>6282247551</v>
      </c>
      <c r="I31" s="137" t="s">
        <v>179</v>
      </c>
      <c r="J31" s="139" t="s">
        <v>180</v>
      </c>
      <c r="K31" s="140" t="s">
        <v>117</v>
      </c>
      <c r="L31" s="140">
        <v>35</v>
      </c>
      <c r="M31" s="137"/>
      <c r="N31" s="119" t="s">
        <v>40</v>
      </c>
      <c r="O31" s="141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18"/>
      <c r="AV31" s="118"/>
    </row>
    <row r="32" spans="1:48" ht="15" customHeight="1">
      <c r="A32" s="103">
        <v>27</v>
      </c>
      <c r="B32" s="104" t="s">
        <v>89</v>
      </c>
      <c r="C32" s="111" t="s">
        <v>182</v>
      </c>
      <c r="D32" s="111" t="s">
        <v>183</v>
      </c>
      <c r="E32" s="106">
        <v>3</v>
      </c>
      <c r="F32" s="115">
        <v>42875</v>
      </c>
      <c r="G32" s="108" t="s">
        <v>184</v>
      </c>
      <c r="H32" s="108">
        <v>6508805036</v>
      </c>
      <c r="I32" s="108" t="s">
        <v>185</v>
      </c>
      <c r="J32" s="109">
        <v>45901</v>
      </c>
      <c r="K32" s="110" t="s">
        <v>117</v>
      </c>
      <c r="L32" s="110">
        <v>5</v>
      </c>
      <c r="M32" s="111"/>
      <c r="N32" s="112" t="s">
        <v>40</v>
      </c>
      <c r="O32" s="111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</row>
    <row r="33" spans="1:48" ht="15" customHeight="1">
      <c r="A33" s="127">
        <v>28</v>
      </c>
      <c r="B33" s="157" t="s">
        <v>48</v>
      </c>
      <c r="C33" s="158" t="s">
        <v>182</v>
      </c>
      <c r="D33" s="158" t="s">
        <v>183</v>
      </c>
      <c r="E33" s="159">
        <v>3</v>
      </c>
      <c r="F33" s="160">
        <v>42875</v>
      </c>
      <c r="G33" s="97" t="s">
        <v>184</v>
      </c>
      <c r="H33" s="97">
        <v>6508805036</v>
      </c>
      <c r="I33" s="97" t="s">
        <v>185</v>
      </c>
      <c r="J33" s="161">
        <v>45901</v>
      </c>
      <c r="K33" s="162" t="s">
        <v>168</v>
      </c>
      <c r="L33" s="162">
        <v>51</v>
      </c>
      <c r="M33" s="158" t="s">
        <v>186</v>
      </c>
      <c r="N33" s="94" t="s">
        <v>34</v>
      </c>
      <c r="O33" s="158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</row>
    <row r="34" spans="1:48" ht="15" customHeight="1">
      <c r="A34" s="103">
        <v>29</v>
      </c>
      <c r="B34" s="88" t="s">
        <v>48</v>
      </c>
      <c r="C34" s="137" t="s">
        <v>187</v>
      </c>
      <c r="D34" s="137" t="s">
        <v>188</v>
      </c>
      <c r="E34" s="137">
        <v>4</v>
      </c>
      <c r="F34" s="138" t="s">
        <v>189</v>
      </c>
      <c r="G34" s="137" t="s">
        <v>190</v>
      </c>
      <c r="H34" s="137">
        <v>3415296214</v>
      </c>
      <c r="I34" s="137" t="s">
        <v>191</v>
      </c>
      <c r="J34" s="139" t="s">
        <v>192</v>
      </c>
      <c r="K34" s="140" t="s">
        <v>193</v>
      </c>
      <c r="L34" s="140">
        <v>11</v>
      </c>
      <c r="M34" s="137"/>
      <c r="N34" s="119" t="s">
        <v>40</v>
      </c>
      <c r="O34" s="141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3"/>
      <c r="AV34" s="143"/>
    </row>
    <row r="35" spans="1:48" ht="15" customHeight="1">
      <c r="A35" s="103">
        <v>30</v>
      </c>
      <c r="B35" s="88" t="s">
        <v>89</v>
      </c>
      <c r="C35" s="137" t="s">
        <v>187</v>
      </c>
      <c r="D35" s="137" t="s">
        <v>188</v>
      </c>
      <c r="E35" s="137">
        <v>4</v>
      </c>
      <c r="F35" s="138" t="s">
        <v>189</v>
      </c>
      <c r="G35" s="137" t="s">
        <v>190</v>
      </c>
      <c r="H35" s="137">
        <v>3415296214</v>
      </c>
      <c r="I35" s="137" t="s">
        <v>191</v>
      </c>
      <c r="J35" s="139" t="s">
        <v>192</v>
      </c>
      <c r="K35" s="140" t="s">
        <v>117</v>
      </c>
      <c r="L35" s="140">
        <v>76</v>
      </c>
      <c r="M35" s="137"/>
      <c r="N35" s="119" t="s">
        <v>40</v>
      </c>
      <c r="O35" s="141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3"/>
      <c r="AV35" s="143"/>
    </row>
    <row r="36" spans="1:48" ht="15" customHeight="1">
      <c r="A36" s="103">
        <v>31</v>
      </c>
      <c r="B36" s="88" t="s">
        <v>48</v>
      </c>
      <c r="C36" s="137" t="s">
        <v>194</v>
      </c>
      <c r="D36" s="137" t="s">
        <v>195</v>
      </c>
      <c r="E36" s="137">
        <v>2</v>
      </c>
      <c r="F36" s="138">
        <v>43107</v>
      </c>
      <c r="G36" s="137" t="s">
        <v>196</v>
      </c>
      <c r="H36" s="137">
        <v>6692516113</v>
      </c>
      <c r="I36" s="137" t="s">
        <v>197</v>
      </c>
      <c r="J36" s="139">
        <v>45566</v>
      </c>
      <c r="K36" s="140" t="s">
        <v>110</v>
      </c>
      <c r="L36" s="140">
        <v>96</v>
      </c>
      <c r="M36" s="137" t="s">
        <v>155</v>
      </c>
      <c r="N36" s="119" t="s">
        <v>40</v>
      </c>
      <c r="O36" s="141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18"/>
      <c r="AV36" s="118"/>
    </row>
    <row r="37" spans="1:48" ht="15" customHeight="1">
      <c r="A37" s="103">
        <v>32</v>
      </c>
      <c r="B37" s="88" t="s">
        <v>89</v>
      </c>
      <c r="C37" s="137" t="s">
        <v>194</v>
      </c>
      <c r="D37" s="137" t="s">
        <v>195</v>
      </c>
      <c r="E37" s="137">
        <v>2</v>
      </c>
      <c r="F37" s="138">
        <v>43107</v>
      </c>
      <c r="G37" s="137" t="s">
        <v>196</v>
      </c>
      <c r="H37" s="137">
        <v>6692516113</v>
      </c>
      <c r="I37" s="137" t="s">
        <v>197</v>
      </c>
      <c r="J37" s="139">
        <v>45889</v>
      </c>
      <c r="K37" s="140" t="s">
        <v>198</v>
      </c>
      <c r="L37" s="140">
        <v>61</v>
      </c>
      <c r="M37" s="137" t="s">
        <v>155</v>
      </c>
      <c r="N37" s="119" t="s">
        <v>40</v>
      </c>
      <c r="O37" s="152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54"/>
      <c r="AV37" s="154"/>
    </row>
    <row r="38" spans="1:48" ht="15" customHeight="1">
      <c r="A38" s="127">
        <v>33</v>
      </c>
      <c r="B38" s="88" t="s">
        <v>48</v>
      </c>
      <c r="C38" s="137" t="s">
        <v>199</v>
      </c>
      <c r="D38" s="137" t="s">
        <v>200</v>
      </c>
      <c r="E38" s="137">
        <v>4</v>
      </c>
      <c r="F38" s="138" t="s">
        <v>201</v>
      </c>
      <c r="G38" s="137" t="s">
        <v>202</v>
      </c>
      <c r="H38" s="137">
        <v>5102602020</v>
      </c>
      <c r="I38" s="137" t="s">
        <v>203</v>
      </c>
      <c r="J38" s="139">
        <v>45888</v>
      </c>
      <c r="K38" s="140" t="s">
        <v>204</v>
      </c>
      <c r="L38" s="140">
        <v>56</v>
      </c>
      <c r="M38" s="137"/>
      <c r="N38" s="119" t="s">
        <v>40</v>
      </c>
      <c r="O38" s="152"/>
      <c r="P38" s="147"/>
      <c r="Q38" s="147"/>
      <c r="R38" s="147"/>
      <c r="S38" s="147"/>
      <c r="T38" s="148"/>
      <c r="U38" s="148"/>
      <c r="V38" s="149"/>
      <c r="W38" s="147"/>
      <c r="X38" s="147"/>
      <c r="Y38" s="147"/>
      <c r="Z38" s="147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6"/>
      <c r="AV38" s="166"/>
    </row>
    <row r="39" spans="1:48" ht="15" customHeight="1">
      <c r="A39" s="103">
        <v>34</v>
      </c>
      <c r="B39" s="88" t="s">
        <v>89</v>
      </c>
      <c r="C39" s="137" t="s">
        <v>199</v>
      </c>
      <c r="D39" s="137" t="s">
        <v>200</v>
      </c>
      <c r="E39" s="137">
        <v>4</v>
      </c>
      <c r="F39" s="138" t="s">
        <v>201</v>
      </c>
      <c r="G39" s="137" t="s">
        <v>202</v>
      </c>
      <c r="H39" s="137">
        <v>5102602020</v>
      </c>
      <c r="I39" s="137" t="s">
        <v>203</v>
      </c>
      <c r="J39" s="139">
        <v>45888</v>
      </c>
      <c r="K39" s="140" t="s">
        <v>205</v>
      </c>
      <c r="L39" s="140">
        <v>106</v>
      </c>
      <c r="M39" s="137"/>
      <c r="N39" s="119" t="s">
        <v>40</v>
      </c>
      <c r="O39" s="152"/>
      <c r="P39" s="147"/>
      <c r="Q39" s="147"/>
      <c r="R39" s="147"/>
      <c r="S39" s="147"/>
      <c r="T39" s="148"/>
      <c r="U39" s="148"/>
      <c r="V39" s="149"/>
      <c r="W39" s="147"/>
      <c r="X39" s="147"/>
      <c r="Y39" s="147"/>
      <c r="Z39" s="147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6"/>
      <c r="AV39" s="166"/>
    </row>
    <row r="40" spans="1:48" ht="15" customHeight="1">
      <c r="A40" s="103">
        <v>35</v>
      </c>
      <c r="B40" s="167" t="s">
        <v>48</v>
      </c>
      <c r="C40" s="137" t="s">
        <v>206</v>
      </c>
      <c r="D40" s="137" t="s">
        <v>207</v>
      </c>
      <c r="E40" s="137" t="s">
        <v>133</v>
      </c>
      <c r="F40" s="138">
        <v>43556</v>
      </c>
      <c r="G40" s="137" t="s">
        <v>208</v>
      </c>
      <c r="H40" s="137">
        <v>2147624191</v>
      </c>
      <c r="I40" s="137" t="s">
        <v>209</v>
      </c>
      <c r="J40" s="139">
        <v>45740</v>
      </c>
      <c r="K40" s="140" t="s">
        <v>168</v>
      </c>
      <c r="L40" s="140">
        <v>110</v>
      </c>
      <c r="M40" s="120"/>
      <c r="N40" s="119" t="s">
        <v>40</v>
      </c>
      <c r="O40" s="152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8"/>
      <c r="AV40" s="118"/>
    </row>
    <row r="41" spans="1:48" ht="15" customHeight="1">
      <c r="A41" s="103">
        <v>36</v>
      </c>
      <c r="B41" s="167" t="s">
        <v>89</v>
      </c>
      <c r="C41" s="137" t="s">
        <v>210</v>
      </c>
      <c r="D41" s="137" t="s">
        <v>207</v>
      </c>
      <c r="E41" s="137" t="s">
        <v>133</v>
      </c>
      <c r="F41" s="138">
        <v>43556</v>
      </c>
      <c r="G41" s="137" t="s">
        <v>208</v>
      </c>
      <c r="H41" s="137">
        <v>2147624191</v>
      </c>
      <c r="I41" s="137" t="s">
        <v>209</v>
      </c>
      <c r="J41" s="139">
        <v>45740</v>
      </c>
      <c r="K41" s="140" t="s">
        <v>150</v>
      </c>
      <c r="L41" s="140">
        <v>78</v>
      </c>
      <c r="M41" s="120"/>
      <c r="N41" s="119" t="s">
        <v>40</v>
      </c>
      <c r="O41" s="152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8"/>
      <c r="AV41" s="118"/>
    </row>
    <row r="42" spans="1:48" ht="15" customHeight="1">
      <c r="A42" s="103">
        <v>37</v>
      </c>
      <c r="B42" s="88" t="s">
        <v>48</v>
      </c>
      <c r="C42" s="137" t="s">
        <v>211</v>
      </c>
      <c r="D42" s="137" t="s">
        <v>212</v>
      </c>
      <c r="E42" s="137">
        <v>4</v>
      </c>
      <c r="F42" s="138">
        <v>42277</v>
      </c>
      <c r="G42" s="137" t="s">
        <v>213</v>
      </c>
      <c r="H42" s="137">
        <v>3472777326</v>
      </c>
      <c r="I42" s="137" t="s">
        <v>214</v>
      </c>
      <c r="J42" s="139">
        <v>45536</v>
      </c>
      <c r="K42" s="140" t="s">
        <v>204</v>
      </c>
      <c r="L42" s="140">
        <v>101</v>
      </c>
      <c r="M42" s="137"/>
      <c r="N42" s="119" t="s">
        <v>40</v>
      </c>
      <c r="O42" s="141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18"/>
      <c r="AV42" s="118"/>
    </row>
    <row r="43" spans="1:48" ht="15" customHeight="1">
      <c r="A43" s="127">
        <v>38</v>
      </c>
      <c r="B43" s="88" t="s">
        <v>89</v>
      </c>
      <c r="C43" s="137" t="s">
        <v>211</v>
      </c>
      <c r="D43" s="137" t="s">
        <v>212</v>
      </c>
      <c r="E43" s="137">
        <v>4</v>
      </c>
      <c r="F43" s="138">
        <v>42277</v>
      </c>
      <c r="G43" s="137" t="s">
        <v>213</v>
      </c>
      <c r="H43" s="137">
        <v>3472777326</v>
      </c>
      <c r="I43" s="137" t="s">
        <v>214</v>
      </c>
      <c r="J43" s="139">
        <v>45536</v>
      </c>
      <c r="K43" s="140" t="s">
        <v>205</v>
      </c>
      <c r="L43" s="140">
        <v>66</v>
      </c>
      <c r="M43" s="137"/>
      <c r="N43" s="119" t="s">
        <v>40</v>
      </c>
      <c r="O43" s="141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18"/>
      <c r="AV43" s="118"/>
    </row>
    <row r="44" spans="1:48" ht="15" customHeight="1">
      <c r="A44" s="103">
        <v>39</v>
      </c>
      <c r="B44" s="88" t="s">
        <v>48</v>
      </c>
      <c r="C44" s="137" t="s">
        <v>211</v>
      </c>
      <c r="D44" s="137" t="s">
        <v>215</v>
      </c>
      <c r="E44" s="137">
        <v>1</v>
      </c>
      <c r="F44" s="138">
        <v>43431</v>
      </c>
      <c r="G44" s="137" t="s">
        <v>216</v>
      </c>
      <c r="H44" s="137">
        <v>3472777326</v>
      </c>
      <c r="I44" s="137" t="s">
        <v>214</v>
      </c>
      <c r="J44" s="139">
        <v>45536</v>
      </c>
      <c r="K44" s="140" t="s">
        <v>174</v>
      </c>
      <c r="L44" s="140">
        <v>78</v>
      </c>
      <c r="M44" s="137"/>
      <c r="N44" s="119" t="s">
        <v>40</v>
      </c>
      <c r="O44" s="141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18"/>
      <c r="AV44" s="118"/>
    </row>
    <row r="45" spans="1:48" ht="15" customHeight="1">
      <c r="A45" s="103">
        <v>40</v>
      </c>
      <c r="B45" s="88" t="s">
        <v>89</v>
      </c>
      <c r="C45" s="137" t="s">
        <v>211</v>
      </c>
      <c r="D45" s="137" t="s">
        <v>215</v>
      </c>
      <c r="E45" s="137">
        <v>1</v>
      </c>
      <c r="F45" s="138">
        <v>43431</v>
      </c>
      <c r="G45" s="137" t="s">
        <v>216</v>
      </c>
      <c r="H45" s="137">
        <v>3472777326</v>
      </c>
      <c r="I45" s="137" t="s">
        <v>214</v>
      </c>
      <c r="J45" s="139">
        <v>45536</v>
      </c>
      <c r="K45" s="140" t="s">
        <v>130</v>
      </c>
      <c r="L45" s="140">
        <v>55</v>
      </c>
      <c r="M45" s="137"/>
      <c r="N45" s="119" t="s">
        <v>40</v>
      </c>
      <c r="O45" s="141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18"/>
      <c r="AV45" s="118"/>
    </row>
    <row r="46" spans="1:48" ht="15" customHeight="1">
      <c r="A46" s="103">
        <v>41</v>
      </c>
      <c r="B46" s="88" t="s">
        <v>48</v>
      </c>
      <c r="C46" s="137" t="s">
        <v>217</v>
      </c>
      <c r="D46" s="137" t="s">
        <v>218</v>
      </c>
      <c r="E46" s="137" t="s">
        <v>219</v>
      </c>
      <c r="F46" s="138" t="s">
        <v>220</v>
      </c>
      <c r="G46" s="137" t="s">
        <v>221</v>
      </c>
      <c r="H46" s="137">
        <v>6176765481</v>
      </c>
      <c r="I46" s="137" t="s">
        <v>222</v>
      </c>
      <c r="J46" s="139">
        <v>45689</v>
      </c>
      <c r="K46" s="140" t="s">
        <v>174</v>
      </c>
      <c r="L46" s="140">
        <v>106</v>
      </c>
      <c r="M46" s="137" t="s">
        <v>223</v>
      </c>
      <c r="N46" s="119" t="s">
        <v>40</v>
      </c>
      <c r="O46" s="141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18"/>
      <c r="AV46" s="118"/>
    </row>
    <row r="47" spans="1:48" ht="15" customHeight="1">
      <c r="A47" s="103">
        <v>42</v>
      </c>
      <c r="B47" s="88" t="s">
        <v>89</v>
      </c>
      <c r="C47" s="137" t="s">
        <v>217</v>
      </c>
      <c r="D47" s="137" t="s">
        <v>218</v>
      </c>
      <c r="E47" s="137" t="s">
        <v>219</v>
      </c>
      <c r="F47" s="138" t="s">
        <v>220</v>
      </c>
      <c r="G47" s="137" t="s">
        <v>221</v>
      </c>
      <c r="H47" s="137">
        <v>6176765481</v>
      </c>
      <c r="I47" s="137" t="s">
        <v>222</v>
      </c>
      <c r="J47" s="139">
        <v>45689</v>
      </c>
      <c r="K47" s="140" t="s">
        <v>130</v>
      </c>
      <c r="L47" s="140">
        <v>91</v>
      </c>
      <c r="M47" s="137" t="s">
        <v>223</v>
      </c>
      <c r="N47" s="119" t="s">
        <v>40</v>
      </c>
      <c r="O47" s="141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18"/>
      <c r="AV47" s="118"/>
    </row>
    <row r="48" spans="1:48" ht="15" customHeight="1">
      <c r="A48" s="127">
        <v>43</v>
      </c>
      <c r="B48" s="88" t="s">
        <v>48</v>
      </c>
      <c r="C48" s="137" t="s">
        <v>224</v>
      </c>
      <c r="D48" s="137" t="s">
        <v>225</v>
      </c>
      <c r="E48" s="137">
        <v>2</v>
      </c>
      <c r="F48" s="138">
        <v>42045</v>
      </c>
      <c r="G48" s="137" t="s">
        <v>226</v>
      </c>
      <c r="H48" s="137">
        <v>6692138834</v>
      </c>
      <c r="I48" s="137" t="s">
        <v>227</v>
      </c>
      <c r="J48" s="139">
        <v>45293</v>
      </c>
      <c r="K48" s="140" t="s">
        <v>228</v>
      </c>
      <c r="L48" s="140">
        <v>76</v>
      </c>
      <c r="M48" s="137"/>
      <c r="N48" s="119" t="s">
        <v>40</v>
      </c>
      <c r="O48" s="141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18"/>
      <c r="AV48" s="118"/>
    </row>
    <row r="49" spans="1:48" ht="15" customHeight="1">
      <c r="A49" s="103">
        <v>44</v>
      </c>
      <c r="B49" s="88" t="s">
        <v>89</v>
      </c>
      <c r="C49" s="137" t="s">
        <v>224</v>
      </c>
      <c r="D49" s="137" t="s">
        <v>225</v>
      </c>
      <c r="E49" s="137">
        <v>2</v>
      </c>
      <c r="F49" s="138">
        <v>42045</v>
      </c>
      <c r="G49" s="137" t="s">
        <v>226</v>
      </c>
      <c r="H49" s="137">
        <v>6692138834</v>
      </c>
      <c r="I49" s="137" t="s">
        <v>227</v>
      </c>
      <c r="J49" s="139">
        <v>45293</v>
      </c>
      <c r="K49" s="140" t="s">
        <v>144</v>
      </c>
      <c r="L49" s="140">
        <v>61</v>
      </c>
      <c r="M49" s="137"/>
      <c r="N49" s="119" t="s">
        <v>40</v>
      </c>
      <c r="O49" s="141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18"/>
      <c r="AV49" s="118"/>
    </row>
    <row r="50" spans="1:48" ht="15" customHeight="1">
      <c r="A50" s="103">
        <v>45</v>
      </c>
      <c r="B50" s="88" t="s">
        <v>48</v>
      </c>
      <c r="C50" s="137" t="s">
        <v>229</v>
      </c>
      <c r="D50" s="137" t="s">
        <v>230</v>
      </c>
      <c r="E50" s="137">
        <v>2</v>
      </c>
      <c r="F50" s="145">
        <v>43341</v>
      </c>
      <c r="G50" s="137" t="s">
        <v>231</v>
      </c>
      <c r="H50" s="137">
        <v>9254515870</v>
      </c>
      <c r="I50" s="137" t="s">
        <v>232</v>
      </c>
      <c r="J50" s="139">
        <v>45888</v>
      </c>
      <c r="K50" s="140" t="s">
        <v>110</v>
      </c>
      <c r="L50" s="140">
        <v>61</v>
      </c>
      <c r="M50" s="137" t="s">
        <v>233</v>
      </c>
      <c r="N50" s="119" t="s">
        <v>40</v>
      </c>
      <c r="O50" s="146"/>
      <c r="P50" s="147"/>
      <c r="Q50" s="147"/>
      <c r="R50" s="147"/>
      <c r="S50" s="147"/>
      <c r="T50" s="113"/>
      <c r="U50" s="113"/>
      <c r="V50" s="113"/>
      <c r="W50" s="147"/>
      <c r="X50" s="147"/>
      <c r="Y50" s="147"/>
      <c r="Z50" s="147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1"/>
      <c r="AV50" s="151"/>
    </row>
    <row r="51" spans="1:48" ht="15" customHeight="1">
      <c r="A51" s="103">
        <v>46</v>
      </c>
      <c r="B51" s="88" t="s">
        <v>89</v>
      </c>
      <c r="C51" s="137" t="s">
        <v>234</v>
      </c>
      <c r="D51" s="137" t="s">
        <v>235</v>
      </c>
      <c r="E51" s="137">
        <v>1</v>
      </c>
      <c r="F51" s="138">
        <v>43329</v>
      </c>
      <c r="G51" s="137" t="s">
        <v>236</v>
      </c>
      <c r="H51" s="137">
        <v>6692438102</v>
      </c>
      <c r="I51" s="137" t="s">
        <v>237</v>
      </c>
      <c r="J51" s="139">
        <v>45536</v>
      </c>
      <c r="K51" s="140" t="s">
        <v>150</v>
      </c>
      <c r="L51" s="140">
        <v>46</v>
      </c>
      <c r="M51" s="137"/>
      <c r="N51" s="119" t="s">
        <v>40</v>
      </c>
      <c r="O51" s="141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18"/>
      <c r="AV51" s="118"/>
    </row>
    <row r="52" spans="1:48" ht="15" customHeight="1">
      <c r="A52" s="103">
        <v>47</v>
      </c>
      <c r="B52" s="88" t="s">
        <v>48</v>
      </c>
      <c r="C52" s="137" t="s">
        <v>234</v>
      </c>
      <c r="D52" s="137" t="s">
        <v>235</v>
      </c>
      <c r="E52" s="137">
        <v>1</v>
      </c>
      <c r="F52" s="138">
        <v>43329</v>
      </c>
      <c r="G52" s="137" t="s">
        <v>236</v>
      </c>
      <c r="H52" s="137">
        <v>6692438102</v>
      </c>
      <c r="I52" s="137" t="s">
        <v>238</v>
      </c>
      <c r="J52" s="139">
        <v>45536</v>
      </c>
      <c r="K52" s="140" t="s">
        <v>181</v>
      </c>
      <c r="L52" s="140">
        <v>91</v>
      </c>
      <c r="M52" s="137"/>
      <c r="N52" s="119" t="s">
        <v>40</v>
      </c>
      <c r="O52" s="141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18"/>
      <c r="AV52" s="118"/>
    </row>
    <row r="53" spans="1:48" ht="15" customHeight="1">
      <c r="A53" s="127">
        <v>48</v>
      </c>
      <c r="B53" s="128" t="s">
        <v>89</v>
      </c>
      <c r="C53" s="129" t="s">
        <v>239</v>
      </c>
      <c r="D53" s="129" t="s">
        <v>240</v>
      </c>
      <c r="E53" s="130">
        <v>1</v>
      </c>
      <c r="F53" s="131">
        <v>42827</v>
      </c>
      <c r="G53" s="132" t="s">
        <v>241</v>
      </c>
      <c r="H53" s="132">
        <v>5107898628</v>
      </c>
      <c r="I53" s="132" t="s">
        <v>242</v>
      </c>
      <c r="J53" s="133">
        <v>45917</v>
      </c>
      <c r="K53" s="134" t="s">
        <v>243</v>
      </c>
      <c r="L53" s="134">
        <v>91</v>
      </c>
      <c r="M53" s="129"/>
      <c r="N53" s="135" t="s">
        <v>40</v>
      </c>
      <c r="O53" s="129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</row>
    <row r="54" spans="1:48" ht="15" customHeight="1">
      <c r="A54" s="103">
        <v>49</v>
      </c>
      <c r="B54" s="128" t="s">
        <v>48</v>
      </c>
      <c r="C54" s="129" t="s">
        <v>239</v>
      </c>
      <c r="D54" s="129" t="s">
        <v>244</v>
      </c>
      <c r="E54" s="130">
        <v>3</v>
      </c>
      <c r="F54" s="131">
        <v>42827</v>
      </c>
      <c r="G54" s="132" t="s">
        <v>241</v>
      </c>
      <c r="H54" s="132">
        <v>5107898628</v>
      </c>
      <c r="I54" s="132" t="s">
        <v>242</v>
      </c>
      <c r="J54" s="133">
        <v>45917</v>
      </c>
      <c r="K54" s="134" t="s">
        <v>245</v>
      </c>
      <c r="L54" s="134">
        <v>56</v>
      </c>
      <c r="M54" s="129"/>
      <c r="N54" s="135" t="s">
        <v>40</v>
      </c>
      <c r="O54" s="129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</row>
    <row r="55" spans="1:48" ht="15" customHeight="1">
      <c r="A55" s="103">
        <v>50</v>
      </c>
      <c r="B55" s="88" t="s">
        <v>48</v>
      </c>
      <c r="C55" s="137" t="s">
        <v>246</v>
      </c>
      <c r="D55" s="137" t="s">
        <v>247</v>
      </c>
      <c r="E55" s="137">
        <v>5</v>
      </c>
      <c r="F55" s="138">
        <v>41852</v>
      </c>
      <c r="G55" s="137" t="s">
        <v>248</v>
      </c>
      <c r="H55" s="137" t="s">
        <v>249</v>
      </c>
      <c r="I55" s="168" t="s">
        <v>250</v>
      </c>
      <c r="J55" s="139">
        <v>45806</v>
      </c>
      <c r="K55" s="140" t="s">
        <v>181</v>
      </c>
      <c r="L55" s="140">
        <v>36</v>
      </c>
      <c r="M55" s="137"/>
      <c r="N55" s="119" t="s">
        <v>40</v>
      </c>
      <c r="O55" s="141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18"/>
      <c r="AV55" s="118"/>
    </row>
    <row r="56" spans="1:48" ht="15" customHeight="1">
      <c r="A56" s="103">
        <v>51</v>
      </c>
      <c r="B56" s="88" t="s">
        <v>48</v>
      </c>
      <c r="C56" s="144" t="s">
        <v>251</v>
      </c>
      <c r="D56" s="144" t="s">
        <v>252</v>
      </c>
      <c r="E56" s="137">
        <v>2</v>
      </c>
      <c r="F56" s="169">
        <v>43409</v>
      </c>
      <c r="G56" s="137" t="s">
        <v>253</v>
      </c>
      <c r="H56" s="137">
        <v>6507891500</v>
      </c>
      <c r="I56" s="137" t="s">
        <v>254</v>
      </c>
      <c r="J56" s="139">
        <v>45888</v>
      </c>
      <c r="K56" s="140" t="s">
        <v>125</v>
      </c>
      <c r="L56" s="140">
        <v>41</v>
      </c>
      <c r="M56" s="137"/>
      <c r="N56" s="119" t="s">
        <v>40</v>
      </c>
      <c r="O56" s="146"/>
      <c r="P56" s="147"/>
      <c r="Q56" s="147"/>
      <c r="R56" s="147"/>
      <c r="S56" s="147"/>
      <c r="T56" s="148"/>
      <c r="U56" s="148"/>
      <c r="V56" s="149"/>
      <c r="W56" s="147"/>
      <c r="X56" s="147"/>
      <c r="Y56" s="147"/>
      <c r="Z56" s="147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1"/>
      <c r="AV56" s="151"/>
    </row>
    <row r="57" spans="1:48" ht="15" customHeight="1">
      <c r="A57" s="103">
        <v>52</v>
      </c>
      <c r="B57" s="88" t="s">
        <v>89</v>
      </c>
      <c r="C57" s="144" t="s">
        <v>251</v>
      </c>
      <c r="D57" s="144" t="s">
        <v>252</v>
      </c>
      <c r="E57" s="137">
        <v>2</v>
      </c>
      <c r="F57" s="169">
        <v>43409</v>
      </c>
      <c r="G57" s="137" t="s">
        <v>253</v>
      </c>
      <c r="H57" s="137">
        <v>6507891500</v>
      </c>
      <c r="I57" s="137" t="s">
        <v>254</v>
      </c>
      <c r="J57" s="139">
        <v>45888</v>
      </c>
      <c r="K57" s="140" t="s">
        <v>130</v>
      </c>
      <c r="L57" s="140">
        <v>56</v>
      </c>
      <c r="M57" s="137"/>
      <c r="N57" s="119" t="s">
        <v>40</v>
      </c>
      <c r="O57" s="146"/>
      <c r="P57" s="147"/>
      <c r="Q57" s="147"/>
      <c r="R57" s="147"/>
      <c r="S57" s="147"/>
      <c r="T57" s="148"/>
      <c r="U57" s="148"/>
      <c r="V57" s="149"/>
      <c r="W57" s="147"/>
      <c r="X57" s="147"/>
      <c r="Y57" s="147"/>
      <c r="Z57" s="147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1"/>
      <c r="AV57" s="151"/>
    </row>
    <row r="58" spans="1:48" ht="15" customHeight="1">
      <c r="A58" s="127">
        <v>53</v>
      </c>
      <c r="B58" s="88" t="s">
        <v>89</v>
      </c>
      <c r="C58" s="137" t="s">
        <v>255</v>
      </c>
      <c r="D58" s="137" t="s">
        <v>256</v>
      </c>
      <c r="E58" s="137">
        <v>9</v>
      </c>
      <c r="F58" s="138">
        <v>40647</v>
      </c>
      <c r="G58" s="137" t="s">
        <v>257</v>
      </c>
      <c r="H58" s="137">
        <v>4084214334</v>
      </c>
      <c r="I58" s="137" t="s">
        <v>258</v>
      </c>
      <c r="J58" s="139">
        <v>45763</v>
      </c>
      <c r="K58" s="124" t="s">
        <v>259</v>
      </c>
      <c r="L58" s="140">
        <v>71</v>
      </c>
      <c r="M58" s="137"/>
      <c r="N58" s="119" t="s">
        <v>40</v>
      </c>
      <c r="O58" s="141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18"/>
      <c r="AV58" s="118"/>
    </row>
    <row r="59" spans="1:48" ht="15" customHeight="1">
      <c r="A59" s="103">
        <v>54</v>
      </c>
      <c r="B59" s="88" t="s">
        <v>48</v>
      </c>
      <c r="C59" s="137" t="s">
        <v>255</v>
      </c>
      <c r="D59" s="137" t="s">
        <v>260</v>
      </c>
      <c r="E59" s="137">
        <v>3</v>
      </c>
      <c r="F59" s="138">
        <v>42342</v>
      </c>
      <c r="G59" s="137" t="s">
        <v>261</v>
      </c>
      <c r="H59" s="137">
        <v>4084214334</v>
      </c>
      <c r="I59" s="137" t="s">
        <v>258</v>
      </c>
      <c r="J59" s="139">
        <v>45536</v>
      </c>
      <c r="K59" s="124" t="s">
        <v>262</v>
      </c>
      <c r="L59" s="140">
        <v>81</v>
      </c>
      <c r="M59" s="137"/>
      <c r="N59" s="119" t="s">
        <v>40</v>
      </c>
      <c r="O59" s="141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18"/>
      <c r="AV59" s="118"/>
    </row>
    <row r="60" spans="1:48" ht="15" customHeight="1">
      <c r="A60" s="103">
        <v>55</v>
      </c>
      <c r="B60" s="88" t="s">
        <v>89</v>
      </c>
      <c r="C60" s="137" t="s">
        <v>255</v>
      </c>
      <c r="D60" s="137" t="s">
        <v>260</v>
      </c>
      <c r="E60" s="137">
        <v>3</v>
      </c>
      <c r="F60" s="138">
        <v>42342</v>
      </c>
      <c r="G60" s="137" t="s">
        <v>261</v>
      </c>
      <c r="H60" s="137">
        <v>4084214334</v>
      </c>
      <c r="I60" s="137" t="s">
        <v>258</v>
      </c>
      <c r="J60" s="139">
        <v>45536</v>
      </c>
      <c r="K60" s="124" t="s">
        <v>144</v>
      </c>
      <c r="L60" s="140">
        <v>95</v>
      </c>
      <c r="M60" s="137"/>
      <c r="N60" s="119" t="s">
        <v>40</v>
      </c>
      <c r="O60" s="141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18"/>
      <c r="AV60" s="118"/>
    </row>
    <row r="61" spans="1:48" ht="15" customHeight="1">
      <c r="A61" s="103">
        <v>56</v>
      </c>
      <c r="B61" s="88" t="s">
        <v>48</v>
      </c>
      <c r="C61" s="137" t="s">
        <v>263</v>
      </c>
      <c r="D61" s="137" t="s">
        <v>264</v>
      </c>
      <c r="E61" s="137" t="s">
        <v>265</v>
      </c>
      <c r="F61" s="138">
        <v>43120</v>
      </c>
      <c r="G61" s="137" t="s">
        <v>266</v>
      </c>
      <c r="H61" s="137">
        <v>4158287529</v>
      </c>
      <c r="I61" s="137" t="s">
        <v>267</v>
      </c>
      <c r="J61" s="139">
        <v>45299</v>
      </c>
      <c r="K61" s="140" t="s">
        <v>168</v>
      </c>
      <c r="L61" s="140">
        <v>43</v>
      </c>
      <c r="M61" s="137"/>
      <c r="N61" s="119" t="s">
        <v>40</v>
      </c>
      <c r="O61" s="141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18"/>
      <c r="AV61" s="118"/>
    </row>
    <row r="62" spans="1:48" ht="15" customHeight="1">
      <c r="A62" s="103">
        <v>57</v>
      </c>
      <c r="B62" s="88" t="s">
        <v>89</v>
      </c>
      <c r="C62" s="137" t="s">
        <v>263</v>
      </c>
      <c r="D62" s="137" t="s">
        <v>264</v>
      </c>
      <c r="E62" s="137" t="s">
        <v>265</v>
      </c>
      <c r="F62" s="138">
        <v>43120</v>
      </c>
      <c r="G62" s="137" t="s">
        <v>266</v>
      </c>
      <c r="H62" s="137">
        <v>4158287529</v>
      </c>
      <c r="I62" s="137" t="s">
        <v>267</v>
      </c>
      <c r="J62" s="139">
        <v>45299</v>
      </c>
      <c r="K62" s="124" t="s">
        <v>117</v>
      </c>
      <c r="L62" s="140">
        <v>61</v>
      </c>
      <c r="M62" s="137"/>
      <c r="N62" s="119" t="s">
        <v>40</v>
      </c>
      <c r="O62" s="141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18"/>
      <c r="AV62" s="118"/>
    </row>
    <row r="63" spans="1:48" ht="15" customHeight="1">
      <c r="A63" s="127">
        <v>58</v>
      </c>
      <c r="B63" s="119" t="s">
        <v>89</v>
      </c>
      <c r="C63" s="120" t="s">
        <v>263</v>
      </c>
      <c r="D63" s="120" t="s">
        <v>268</v>
      </c>
      <c r="E63" s="120">
        <v>1</v>
      </c>
      <c r="F63" s="121">
        <v>43466</v>
      </c>
      <c r="G63" s="122" t="s">
        <v>269</v>
      </c>
      <c r="H63" s="122">
        <v>4158287529</v>
      </c>
      <c r="I63" s="122" t="s">
        <v>267</v>
      </c>
      <c r="J63" s="123">
        <v>45810</v>
      </c>
      <c r="K63" s="140" t="s">
        <v>124</v>
      </c>
      <c r="L63" s="124">
        <v>101</v>
      </c>
      <c r="M63" s="137"/>
      <c r="N63" s="119" t="s">
        <v>40</v>
      </c>
      <c r="O63" s="125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18"/>
      <c r="AV63" s="118"/>
    </row>
    <row r="64" spans="1:48" ht="15" customHeight="1">
      <c r="A64" s="103">
        <v>59</v>
      </c>
      <c r="B64" s="119" t="s">
        <v>48</v>
      </c>
      <c r="C64" s="120" t="s">
        <v>263</v>
      </c>
      <c r="D64" s="120" t="s">
        <v>268</v>
      </c>
      <c r="E64" s="120">
        <v>1</v>
      </c>
      <c r="F64" s="121">
        <v>43466</v>
      </c>
      <c r="G64" s="122" t="s">
        <v>270</v>
      </c>
      <c r="H64" s="122">
        <v>4158287529</v>
      </c>
      <c r="I64" s="122" t="s">
        <v>267</v>
      </c>
      <c r="J64" s="123">
        <v>45810</v>
      </c>
      <c r="K64" s="140" t="s">
        <v>137</v>
      </c>
      <c r="L64" s="124">
        <v>86</v>
      </c>
      <c r="M64" s="120"/>
      <c r="N64" s="119" t="s">
        <v>40</v>
      </c>
      <c r="O64" s="125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18"/>
      <c r="AV64" s="118"/>
    </row>
    <row r="65" spans="1:48" ht="15" customHeight="1">
      <c r="A65" s="103">
        <v>60</v>
      </c>
      <c r="B65" s="128" t="s">
        <v>48</v>
      </c>
      <c r="C65" s="129" t="s">
        <v>271</v>
      </c>
      <c r="D65" s="129" t="s">
        <v>272</v>
      </c>
      <c r="E65" s="130">
        <v>1</v>
      </c>
      <c r="F65" s="131">
        <v>43378</v>
      </c>
      <c r="G65" s="132" t="s">
        <v>273</v>
      </c>
      <c r="H65" s="132" t="s">
        <v>274</v>
      </c>
      <c r="I65" s="132" t="s">
        <v>275</v>
      </c>
      <c r="J65" s="133">
        <v>45916</v>
      </c>
      <c r="K65" s="134" t="s">
        <v>164</v>
      </c>
      <c r="L65" s="134">
        <v>91</v>
      </c>
      <c r="M65" s="129"/>
      <c r="N65" s="135" t="s">
        <v>40</v>
      </c>
      <c r="O65" s="129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</row>
    <row r="66" spans="1:48" ht="15" customHeight="1">
      <c r="A66" s="103">
        <v>61</v>
      </c>
      <c r="B66" s="128" t="s">
        <v>89</v>
      </c>
      <c r="C66" s="129" t="s">
        <v>271</v>
      </c>
      <c r="D66" s="129" t="s">
        <v>272</v>
      </c>
      <c r="E66" s="130">
        <v>1</v>
      </c>
      <c r="F66" s="131">
        <v>43378</v>
      </c>
      <c r="G66" s="132" t="s">
        <v>273</v>
      </c>
      <c r="H66" s="132" t="s">
        <v>274</v>
      </c>
      <c r="I66" s="132" t="s">
        <v>275</v>
      </c>
      <c r="J66" s="133">
        <v>45916</v>
      </c>
      <c r="K66" s="134" t="s">
        <v>165</v>
      </c>
      <c r="L66" s="134">
        <v>16</v>
      </c>
      <c r="M66" s="129"/>
      <c r="N66" s="135" t="s">
        <v>40</v>
      </c>
      <c r="O66" s="129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</row>
    <row r="67" spans="1:48" ht="15" customHeight="1">
      <c r="A67" s="103">
        <v>62</v>
      </c>
      <c r="B67" s="103" t="s">
        <v>48</v>
      </c>
      <c r="C67" s="120" t="s">
        <v>276</v>
      </c>
      <c r="D67" s="120" t="s">
        <v>277</v>
      </c>
      <c r="E67" s="120">
        <v>2</v>
      </c>
      <c r="F67" s="121">
        <v>43144</v>
      </c>
      <c r="G67" s="144" t="s">
        <v>278</v>
      </c>
      <c r="H67" s="144">
        <v>5102535893</v>
      </c>
      <c r="I67" s="144" t="s">
        <v>279</v>
      </c>
      <c r="J67" s="123">
        <v>45742</v>
      </c>
      <c r="K67" s="140" t="s">
        <v>110</v>
      </c>
      <c r="L67" s="140">
        <v>86</v>
      </c>
      <c r="M67" s="137"/>
      <c r="N67" s="119" t="s">
        <v>40</v>
      </c>
      <c r="O67" s="152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8"/>
      <c r="AV67" s="118"/>
    </row>
    <row r="68" spans="1:48" ht="15" customHeight="1">
      <c r="A68" s="127">
        <v>63</v>
      </c>
      <c r="B68" s="103" t="s">
        <v>89</v>
      </c>
      <c r="C68" s="120" t="s">
        <v>276</v>
      </c>
      <c r="D68" s="120" t="s">
        <v>277</v>
      </c>
      <c r="E68" s="120">
        <v>2</v>
      </c>
      <c r="F68" s="121">
        <v>43144</v>
      </c>
      <c r="G68" s="144" t="s">
        <v>278</v>
      </c>
      <c r="H68" s="144">
        <v>5102535893</v>
      </c>
      <c r="I68" s="144" t="s">
        <v>279</v>
      </c>
      <c r="J68" s="123">
        <v>45742</v>
      </c>
      <c r="K68" s="140" t="s">
        <v>117</v>
      </c>
      <c r="L68" s="140">
        <v>31</v>
      </c>
      <c r="M68" s="137"/>
      <c r="N68" s="119" t="s">
        <v>40</v>
      </c>
      <c r="O68" s="152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8"/>
      <c r="AV68" s="118"/>
    </row>
    <row r="69" spans="1:48" ht="15" customHeight="1">
      <c r="A69" s="103">
        <v>64</v>
      </c>
      <c r="B69" s="94" t="s">
        <v>48</v>
      </c>
      <c r="C69" s="95" t="s">
        <v>280</v>
      </c>
      <c r="D69" s="95" t="s">
        <v>281</v>
      </c>
      <c r="E69" s="95" t="s">
        <v>133</v>
      </c>
      <c r="F69" s="96">
        <v>43796</v>
      </c>
      <c r="G69" s="97" t="s">
        <v>282</v>
      </c>
      <c r="H69" s="97">
        <v>9195345417</v>
      </c>
      <c r="I69" s="97" t="s">
        <v>283</v>
      </c>
      <c r="J69" s="98">
        <v>45839</v>
      </c>
      <c r="K69" s="99" t="s">
        <v>170</v>
      </c>
      <c r="L69" s="99"/>
      <c r="M69" s="95" t="s">
        <v>118</v>
      </c>
      <c r="N69" s="94" t="s">
        <v>34</v>
      </c>
      <c r="O69" s="100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2"/>
      <c r="AV69" s="102"/>
    </row>
    <row r="70" spans="1:48" ht="15" customHeight="1">
      <c r="A70" s="103">
        <v>65</v>
      </c>
      <c r="B70" s="94" t="s">
        <v>89</v>
      </c>
      <c r="C70" s="95" t="s">
        <v>280</v>
      </c>
      <c r="D70" s="95" t="s">
        <v>281</v>
      </c>
      <c r="E70" s="95" t="s">
        <v>133</v>
      </c>
      <c r="F70" s="96">
        <v>43797</v>
      </c>
      <c r="G70" s="97" t="s">
        <v>284</v>
      </c>
      <c r="H70" s="97">
        <v>9195345417</v>
      </c>
      <c r="I70" s="97" t="s">
        <v>283</v>
      </c>
      <c r="J70" s="98">
        <v>45839</v>
      </c>
      <c r="K70" s="99" t="s">
        <v>285</v>
      </c>
      <c r="L70" s="99"/>
      <c r="M70" s="95" t="s">
        <v>118</v>
      </c>
      <c r="N70" s="94" t="s">
        <v>34</v>
      </c>
      <c r="O70" s="100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2"/>
      <c r="AV70" s="102"/>
    </row>
    <row r="71" spans="1:48" ht="15" customHeight="1">
      <c r="A71" s="103">
        <v>66</v>
      </c>
      <c r="B71" s="88" t="s">
        <v>48</v>
      </c>
      <c r="C71" s="137" t="s">
        <v>286</v>
      </c>
      <c r="D71" s="137" t="s">
        <v>287</v>
      </c>
      <c r="E71" s="137">
        <v>2</v>
      </c>
      <c r="F71" s="138" t="s">
        <v>288</v>
      </c>
      <c r="G71" s="137" t="s">
        <v>289</v>
      </c>
      <c r="H71" s="137">
        <v>5102989555</v>
      </c>
      <c r="I71" s="137" t="s">
        <v>290</v>
      </c>
      <c r="J71" s="139">
        <v>45888</v>
      </c>
      <c r="K71" s="140" t="s">
        <v>204</v>
      </c>
      <c r="L71" s="140">
        <v>66</v>
      </c>
      <c r="M71" s="137" t="s">
        <v>155</v>
      </c>
      <c r="N71" s="119" t="s">
        <v>40</v>
      </c>
      <c r="O71" s="152"/>
      <c r="P71" s="126"/>
      <c r="Q71" s="126"/>
      <c r="R71" s="126"/>
      <c r="S71" s="126"/>
      <c r="T71" s="148"/>
      <c r="U71" s="148"/>
      <c r="V71" s="149"/>
      <c r="W71" s="126"/>
      <c r="X71" s="126"/>
      <c r="Y71" s="126"/>
      <c r="Z71" s="126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6"/>
      <c r="AV71" s="156"/>
    </row>
    <row r="72" spans="1:48" ht="15" customHeight="1">
      <c r="A72" s="103">
        <v>67</v>
      </c>
      <c r="B72" s="88" t="s">
        <v>89</v>
      </c>
      <c r="C72" s="137" t="s">
        <v>286</v>
      </c>
      <c r="D72" s="137" t="s">
        <v>287</v>
      </c>
      <c r="E72" s="137">
        <v>2</v>
      </c>
      <c r="F72" s="138" t="s">
        <v>291</v>
      </c>
      <c r="G72" s="137" t="s">
        <v>292</v>
      </c>
      <c r="H72" s="137">
        <v>5102989555</v>
      </c>
      <c r="I72" s="137" t="s">
        <v>290</v>
      </c>
      <c r="J72" s="139">
        <v>45888</v>
      </c>
      <c r="K72" s="140" t="s">
        <v>205</v>
      </c>
      <c r="L72" s="140">
        <v>6</v>
      </c>
      <c r="M72" s="137" t="s">
        <v>155</v>
      </c>
      <c r="N72" s="119" t="s">
        <v>40</v>
      </c>
      <c r="O72" s="152"/>
      <c r="P72" s="126"/>
      <c r="Q72" s="126"/>
      <c r="R72" s="126"/>
      <c r="S72" s="126"/>
      <c r="T72" s="113"/>
      <c r="U72" s="113"/>
      <c r="V72" s="113"/>
      <c r="W72" s="126"/>
      <c r="X72" s="126"/>
      <c r="Y72" s="126"/>
      <c r="Z72" s="126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156"/>
      <c r="AV72" s="156"/>
    </row>
    <row r="73" spans="1:48" ht="15" customHeight="1">
      <c r="A73" s="127">
        <v>68</v>
      </c>
      <c r="B73" s="88" t="s">
        <v>48</v>
      </c>
      <c r="C73" s="137" t="s">
        <v>293</v>
      </c>
      <c r="D73" s="137" t="s">
        <v>294</v>
      </c>
      <c r="E73" s="137">
        <v>1</v>
      </c>
      <c r="F73" s="138">
        <v>43194</v>
      </c>
      <c r="G73" s="137" t="s">
        <v>295</v>
      </c>
      <c r="H73" s="137">
        <v>4155426994</v>
      </c>
      <c r="I73" s="137" t="s">
        <v>296</v>
      </c>
      <c r="J73" s="139">
        <v>45888</v>
      </c>
      <c r="K73" s="140" t="s">
        <v>125</v>
      </c>
      <c r="L73" s="140">
        <v>41</v>
      </c>
      <c r="M73" s="137"/>
      <c r="N73" s="119" t="s">
        <v>40</v>
      </c>
      <c r="O73" s="152"/>
      <c r="P73" s="126"/>
      <c r="Q73" s="126"/>
      <c r="R73" s="126"/>
      <c r="S73" s="126"/>
      <c r="T73" s="113"/>
      <c r="U73" s="113"/>
      <c r="V73" s="113"/>
      <c r="W73" s="126"/>
      <c r="X73" s="126"/>
      <c r="Y73" s="126"/>
      <c r="Z73" s="126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  <c r="AT73" s="155"/>
      <c r="AU73" s="156"/>
      <c r="AV73" s="156"/>
    </row>
    <row r="74" spans="1:48" ht="15" customHeight="1">
      <c r="A74" s="103">
        <v>69</v>
      </c>
      <c r="B74" s="88" t="s">
        <v>89</v>
      </c>
      <c r="C74" s="137" t="s">
        <v>293</v>
      </c>
      <c r="D74" s="137" t="s">
        <v>294</v>
      </c>
      <c r="E74" s="137">
        <v>1</v>
      </c>
      <c r="F74" s="138">
        <v>43194</v>
      </c>
      <c r="G74" s="137" t="s">
        <v>295</v>
      </c>
      <c r="H74" s="137">
        <v>4155426994</v>
      </c>
      <c r="I74" s="137" t="s">
        <v>296</v>
      </c>
      <c r="J74" s="139">
        <v>45888</v>
      </c>
      <c r="K74" s="140" t="s">
        <v>130</v>
      </c>
      <c r="L74" s="140">
        <v>71</v>
      </c>
      <c r="M74" s="137"/>
      <c r="N74" s="119" t="s">
        <v>40</v>
      </c>
      <c r="O74" s="152"/>
      <c r="P74" s="126"/>
      <c r="Q74" s="126"/>
      <c r="R74" s="126"/>
      <c r="S74" s="126"/>
      <c r="T74" s="113"/>
      <c r="U74" s="113"/>
      <c r="V74" s="113"/>
      <c r="W74" s="126"/>
      <c r="X74" s="126"/>
      <c r="Y74" s="126"/>
      <c r="Z74" s="126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6"/>
      <c r="AV74" s="156"/>
    </row>
    <row r="75" spans="1:48" ht="15" customHeight="1">
      <c r="A75" s="103">
        <v>70</v>
      </c>
      <c r="B75" s="167" t="s">
        <v>48</v>
      </c>
      <c r="C75" s="141" t="s">
        <v>297</v>
      </c>
      <c r="D75" s="141" t="s">
        <v>298</v>
      </c>
      <c r="E75" s="137">
        <v>5</v>
      </c>
      <c r="F75" s="152">
        <v>42124</v>
      </c>
      <c r="G75" s="141" t="s">
        <v>299</v>
      </c>
      <c r="H75" s="170">
        <v>4083948518</v>
      </c>
      <c r="I75" s="122" t="s">
        <v>300</v>
      </c>
      <c r="J75" s="139">
        <v>45817</v>
      </c>
      <c r="K75" s="140" t="s">
        <v>110</v>
      </c>
      <c r="L75" s="140">
        <v>76</v>
      </c>
      <c r="M75" s="138"/>
      <c r="N75" s="119" t="s">
        <v>40</v>
      </c>
      <c r="O75" s="152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8"/>
      <c r="AV75" s="118"/>
    </row>
    <row r="76" spans="1:48" ht="15" customHeight="1">
      <c r="A76" s="103">
        <v>71</v>
      </c>
      <c r="B76" s="88" t="s">
        <v>48</v>
      </c>
      <c r="C76" s="137" t="s">
        <v>301</v>
      </c>
      <c r="D76" s="137" t="s">
        <v>302</v>
      </c>
      <c r="E76" s="137" t="s">
        <v>133</v>
      </c>
      <c r="F76" s="138" t="s">
        <v>303</v>
      </c>
      <c r="G76" s="137" t="s">
        <v>304</v>
      </c>
      <c r="H76" s="137">
        <v>3233374665</v>
      </c>
      <c r="I76" s="137" t="s">
        <v>305</v>
      </c>
      <c r="J76" s="139">
        <v>45522</v>
      </c>
      <c r="K76" s="140" t="s">
        <v>164</v>
      </c>
      <c r="L76" s="140">
        <v>91</v>
      </c>
      <c r="M76" s="137"/>
      <c r="N76" s="119" t="s">
        <v>40</v>
      </c>
      <c r="O76" s="141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18"/>
      <c r="AV76" s="118"/>
    </row>
    <row r="77" spans="1:48" ht="15" customHeight="1">
      <c r="A77" s="103">
        <v>72</v>
      </c>
      <c r="B77" s="88" t="s">
        <v>48</v>
      </c>
      <c r="C77" s="137" t="s">
        <v>301</v>
      </c>
      <c r="D77" s="137" t="s">
        <v>161</v>
      </c>
      <c r="E77" s="137">
        <v>1</v>
      </c>
      <c r="F77" s="138" t="s">
        <v>306</v>
      </c>
      <c r="G77" s="137" t="s">
        <v>304</v>
      </c>
      <c r="H77" s="137">
        <v>3233374665</v>
      </c>
      <c r="I77" s="137" t="s">
        <v>305</v>
      </c>
      <c r="J77" s="139">
        <v>45522</v>
      </c>
      <c r="K77" s="140" t="s">
        <v>168</v>
      </c>
      <c r="L77" s="140">
        <v>31</v>
      </c>
      <c r="M77" s="137"/>
      <c r="N77" s="119" t="s">
        <v>40</v>
      </c>
      <c r="O77" s="141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18"/>
      <c r="AV77" s="118"/>
    </row>
    <row r="78" spans="1:48" ht="15" customHeight="1">
      <c r="A78" s="127">
        <v>73</v>
      </c>
      <c r="B78" s="88" t="s">
        <v>48</v>
      </c>
      <c r="C78" s="137" t="s">
        <v>307</v>
      </c>
      <c r="D78" s="137" t="s">
        <v>308</v>
      </c>
      <c r="E78" s="137">
        <v>5</v>
      </c>
      <c r="F78" s="145">
        <v>42178</v>
      </c>
      <c r="G78" s="137" t="s">
        <v>309</v>
      </c>
      <c r="H78" s="137">
        <v>6692331853</v>
      </c>
      <c r="I78" s="137" t="s">
        <v>310</v>
      </c>
      <c r="J78" s="139">
        <v>45888</v>
      </c>
      <c r="K78" s="140" t="s">
        <v>181</v>
      </c>
      <c r="L78" s="140">
        <v>85</v>
      </c>
      <c r="M78" s="137"/>
      <c r="N78" s="119" t="s">
        <v>40</v>
      </c>
      <c r="O78" s="146"/>
      <c r="P78" s="147"/>
      <c r="Q78" s="147"/>
      <c r="R78" s="147"/>
      <c r="S78" s="147"/>
      <c r="T78" s="113"/>
      <c r="U78" s="113"/>
      <c r="V78" s="113"/>
      <c r="W78" s="147"/>
      <c r="X78" s="147"/>
      <c r="Y78" s="147"/>
      <c r="Z78" s="147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1"/>
      <c r="AV78" s="151"/>
    </row>
    <row r="79" spans="1:48" ht="15" customHeight="1">
      <c r="A79" s="103">
        <v>74</v>
      </c>
      <c r="B79" s="88" t="s">
        <v>48</v>
      </c>
      <c r="C79" s="137" t="s">
        <v>307</v>
      </c>
      <c r="D79" s="137" t="s">
        <v>308</v>
      </c>
      <c r="E79" s="137">
        <v>5</v>
      </c>
      <c r="F79" s="145">
        <v>42178</v>
      </c>
      <c r="G79" s="137" t="s">
        <v>309</v>
      </c>
      <c r="H79" s="137">
        <v>6692331853</v>
      </c>
      <c r="I79" s="137" t="s">
        <v>310</v>
      </c>
      <c r="J79" s="139">
        <v>45888</v>
      </c>
      <c r="K79" s="140" t="s">
        <v>117</v>
      </c>
      <c r="L79" s="140">
        <v>35</v>
      </c>
      <c r="M79" s="137"/>
      <c r="N79" s="119" t="s">
        <v>40</v>
      </c>
      <c r="O79" s="146"/>
      <c r="P79" s="147"/>
      <c r="Q79" s="147"/>
      <c r="R79" s="147"/>
      <c r="S79" s="147"/>
      <c r="T79" s="113"/>
      <c r="U79" s="113"/>
      <c r="V79" s="113"/>
      <c r="W79" s="147"/>
      <c r="X79" s="147"/>
      <c r="Y79" s="147"/>
      <c r="Z79" s="147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1"/>
      <c r="AV79" s="151"/>
    </row>
    <row r="80" spans="1:48" ht="15" customHeight="1">
      <c r="A80" s="103">
        <v>75</v>
      </c>
      <c r="B80" s="88" t="s">
        <v>48</v>
      </c>
      <c r="C80" s="137" t="s">
        <v>311</v>
      </c>
      <c r="D80" s="137" t="s">
        <v>312</v>
      </c>
      <c r="E80" s="137">
        <v>2</v>
      </c>
      <c r="F80" s="138" t="s">
        <v>313</v>
      </c>
      <c r="G80" s="137" t="s">
        <v>314</v>
      </c>
      <c r="H80" s="137">
        <v>2016651117</v>
      </c>
      <c r="I80" s="137" t="s">
        <v>315</v>
      </c>
      <c r="J80" s="139">
        <v>45888</v>
      </c>
      <c r="K80" s="140" t="s">
        <v>125</v>
      </c>
      <c r="L80" s="140">
        <v>95</v>
      </c>
      <c r="M80" s="137"/>
      <c r="N80" s="119" t="s">
        <v>40</v>
      </c>
      <c r="O80" s="146"/>
      <c r="P80" s="147"/>
      <c r="Q80" s="147"/>
      <c r="R80" s="147"/>
      <c r="S80" s="147"/>
      <c r="T80" s="113"/>
      <c r="U80" s="113"/>
      <c r="V80" s="113"/>
      <c r="W80" s="147"/>
      <c r="X80" s="147"/>
      <c r="Y80" s="147"/>
      <c r="Z80" s="147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2"/>
      <c r="AV80" s="172"/>
    </row>
    <row r="81" spans="1:48" ht="15" customHeight="1">
      <c r="A81" s="103">
        <v>76</v>
      </c>
      <c r="B81" s="88" t="s">
        <v>89</v>
      </c>
      <c r="C81" s="137" t="s">
        <v>311</v>
      </c>
      <c r="D81" s="137" t="s">
        <v>312</v>
      </c>
      <c r="E81" s="137">
        <v>2</v>
      </c>
      <c r="F81" s="138" t="s">
        <v>313</v>
      </c>
      <c r="G81" s="137" t="s">
        <v>316</v>
      </c>
      <c r="H81" s="137">
        <v>2016651117</v>
      </c>
      <c r="I81" s="137" t="s">
        <v>315</v>
      </c>
      <c r="J81" s="139">
        <v>45888</v>
      </c>
      <c r="K81" s="140" t="s">
        <v>150</v>
      </c>
      <c r="L81" s="140">
        <v>48</v>
      </c>
      <c r="M81" s="137"/>
      <c r="N81" s="119" t="s">
        <v>40</v>
      </c>
      <c r="O81" s="146"/>
      <c r="P81" s="147"/>
      <c r="Q81" s="147"/>
      <c r="R81" s="147"/>
      <c r="S81" s="147"/>
      <c r="T81" s="113"/>
      <c r="U81" s="113"/>
      <c r="V81" s="113"/>
      <c r="W81" s="147"/>
      <c r="X81" s="147"/>
      <c r="Y81" s="147"/>
      <c r="Z81" s="147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2"/>
      <c r="AV81" s="172"/>
    </row>
    <row r="82" spans="1:48" ht="15" customHeight="1">
      <c r="A82" s="103">
        <v>77</v>
      </c>
      <c r="B82" s="173" t="s">
        <v>48</v>
      </c>
      <c r="C82" s="159" t="s">
        <v>317</v>
      </c>
      <c r="D82" s="159" t="s">
        <v>318</v>
      </c>
      <c r="E82" s="159">
        <v>3</v>
      </c>
      <c r="F82" s="174" t="s">
        <v>319</v>
      </c>
      <c r="G82" s="159" t="s">
        <v>320</v>
      </c>
      <c r="H82" s="159">
        <v>5103336666</v>
      </c>
      <c r="I82" s="159" t="s">
        <v>321</v>
      </c>
      <c r="J82" s="161">
        <v>45887</v>
      </c>
      <c r="K82" s="162" t="s">
        <v>204</v>
      </c>
      <c r="L82" s="162"/>
      <c r="M82" s="159" t="s">
        <v>322</v>
      </c>
      <c r="N82" s="94" t="s">
        <v>34</v>
      </c>
      <c r="O82" s="160"/>
      <c r="P82" s="101"/>
      <c r="Q82" s="101"/>
      <c r="R82" s="101"/>
      <c r="S82" s="101"/>
      <c r="T82" s="175"/>
      <c r="U82" s="175"/>
      <c r="V82" s="176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2"/>
      <c r="AV82" s="102"/>
    </row>
    <row r="83" spans="1:48" ht="15" customHeight="1">
      <c r="A83" s="127">
        <v>78</v>
      </c>
      <c r="B83" s="88" t="s">
        <v>48</v>
      </c>
      <c r="C83" s="137" t="s">
        <v>323</v>
      </c>
      <c r="D83" s="137" t="s">
        <v>324</v>
      </c>
      <c r="E83" s="137" t="s">
        <v>133</v>
      </c>
      <c r="F83" s="138">
        <v>43798</v>
      </c>
      <c r="G83" s="137" t="s">
        <v>325</v>
      </c>
      <c r="H83" s="137">
        <v>5102075030</v>
      </c>
      <c r="I83" s="137" t="s">
        <v>326</v>
      </c>
      <c r="J83" s="139">
        <v>45537</v>
      </c>
      <c r="K83" s="140" t="s">
        <v>110</v>
      </c>
      <c r="L83" s="140">
        <v>98</v>
      </c>
      <c r="M83" s="137"/>
      <c r="N83" s="119" t="s">
        <v>40</v>
      </c>
      <c r="O83" s="141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18"/>
      <c r="AV83" s="118"/>
    </row>
    <row r="84" spans="1:48" ht="15" customHeight="1">
      <c r="A84" s="103">
        <v>79</v>
      </c>
      <c r="B84" s="88" t="s">
        <v>89</v>
      </c>
      <c r="C84" s="137" t="s">
        <v>323</v>
      </c>
      <c r="D84" s="137" t="s">
        <v>324</v>
      </c>
      <c r="E84" s="137" t="s">
        <v>133</v>
      </c>
      <c r="F84" s="138">
        <v>43798</v>
      </c>
      <c r="G84" s="137" t="s">
        <v>325</v>
      </c>
      <c r="H84" s="137">
        <v>5102075030</v>
      </c>
      <c r="I84" s="137" t="s">
        <v>326</v>
      </c>
      <c r="J84" s="139">
        <v>45809</v>
      </c>
      <c r="K84" s="140" t="s">
        <v>150</v>
      </c>
      <c r="L84" s="140">
        <v>35</v>
      </c>
      <c r="M84" s="120"/>
      <c r="N84" s="119" t="s">
        <v>40</v>
      </c>
      <c r="O84" s="141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18"/>
      <c r="AV84" s="118"/>
    </row>
    <row r="85" spans="1:48" ht="15" customHeight="1">
      <c r="A85" s="103">
        <v>80</v>
      </c>
      <c r="B85" s="88" t="s">
        <v>48</v>
      </c>
      <c r="C85" s="137" t="s">
        <v>317</v>
      </c>
      <c r="D85" s="137" t="s">
        <v>327</v>
      </c>
      <c r="E85" s="137">
        <v>2</v>
      </c>
      <c r="F85" s="138">
        <v>42025</v>
      </c>
      <c r="G85" s="137" t="s">
        <v>328</v>
      </c>
      <c r="H85" s="137">
        <v>5102075030</v>
      </c>
      <c r="I85" s="137" t="s">
        <v>326</v>
      </c>
      <c r="J85" s="139">
        <v>45110</v>
      </c>
      <c r="K85" s="140" t="s">
        <v>329</v>
      </c>
      <c r="L85" s="140">
        <v>76</v>
      </c>
      <c r="M85" s="137"/>
      <c r="N85" s="119" t="s">
        <v>40</v>
      </c>
      <c r="O85" s="141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18"/>
      <c r="AV85" s="118"/>
    </row>
    <row r="86" spans="1:48" ht="15" customHeight="1">
      <c r="A86" s="103">
        <v>81</v>
      </c>
      <c r="B86" s="88" t="s">
        <v>48</v>
      </c>
      <c r="C86" s="137" t="s">
        <v>323</v>
      </c>
      <c r="D86" s="137" t="s">
        <v>330</v>
      </c>
      <c r="E86" s="137">
        <v>2</v>
      </c>
      <c r="F86" s="169">
        <v>43316</v>
      </c>
      <c r="G86" s="137" t="s">
        <v>331</v>
      </c>
      <c r="H86" s="137">
        <v>5103864479</v>
      </c>
      <c r="I86" s="137" t="s">
        <v>332</v>
      </c>
      <c r="J86" s="139">
        <v>45888</v>
      </c>
      <c r="K86" s="140" t="s">
        <v>125</v>
      </c>
      <c r="L86" s="140">
        <v>78</v>
      </c>
      <c r="M86" s="137"/>
      <c r="N86" s="119" t="s">
        <v>40</v>
      </c>
      <c r="O86" s="146"/>
      <c r="P86" s="147"/>
      <c r="Q86" s="147"/>
      <c r="R86" s="147"/>
      <c r="S86" s="147"/>
      <c r="T86" s="113"/>
      <c r="U86" s="113"/>
      <c r="V86" s="113"/>
      <c r="W86" s="147"/>
      <c r="X86" s="147"/>
      <c r="Y86" s="147"/>
      <c r="Z86" s="147"/>
      <c r="AA86" s="150"/>
      <c r="AB86" s="150"/>
      <c r="AC86" s="150"/>
      <c r="AD86" s="150"/>
      <c r="AE86" s="150"/>
      <c r="AF86" s="150"/>
      <c r="AG86" s="150"/>
      <c r="AH86" s="150"/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  <c r="AS86" s="150"/>
      <c r="AT86" s="150"/>
      <c r="AU86" s="151"/>
      <c r="AV86" s="151"/>
    </row>
    <row r="87" spans="1:48" ht="15" customHeight="1">
      <c r="A87" s="103">
        <v>82</v>
      </c>
      <c r="B87" s="111" t="s">
        <v>48</v>
      </c>
      <c r="C87" s="111" t="s">
        <v>323</v>
      </c>
      <c r="D87" s="111" t="s">
        <v>333</v>
      </c>
      <c r="E87" s="111">
        <v>4</v>
      </c>
      <c r="F87" s="115">
        <v>42586</v>
      </c>
      <c r="G87" s="108" t="s">
        <v>334</v>
      </c>
      <c r="H87" s="108">
        <v>4158663423</v>
      </c>
      <c r="I87" s="108" t="s">
        <v>335</v>
      </c>
      <c r="J87" s="109">
        <v>45931</v>
      </c>
      <c r="K87" s="110" t="s">
        <v>336</v>
      </c>
      <c r="L87" s="110">
        <v>56</v>
      </c>
      <c r="M87" s="111"/>
      <c r="N87" s="112" t="s">
        <v>40</v>
      </c>
      <c r="O87" s="111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</row>
    <row r="88" spans="1:48" ht="15" customHeight="1">
      <c r="A88" s="127">
        <v>83</v>
      </c>
      <c r="B88" s="112" t="s">
        <v>48</v>
      </c>
      <c r="C88" s="178" t="s">
        <v>337</v>
      </c>
      <c r="D88" s="111" t="s">
        <v>338</v>
      </c>
      <c r="E88" s="106" t="s">
        <v>133</v>
      </c>
      <c r="F88" s="179">
        <v>43744</v>
      </c>
      <c r="G88" s="105" t="s">
        <v>339</v>
      </c>
      <c r="H88" s="108">
        <v>4792681126</v>
      </c>
      <c r="I88" s="108" t="s">
        <v>340</v>
      </c>
      <c r="J88" s="109">
        <v>45845</v>
      </c>
      <c r="K88" s="110" t="s">
        <v>181</v>
      </c>
      <c r="L88" s="110">
        <v>91</v>
      </c>
      <c r="M88" s="111"/>
      <c r="N88" s="112" t="s">
        <v>40</v>
      </c>
      <c r="O88" s="180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18"/>
      <c r="AV88" s="118"/>
    </row>
    <row r="89" spans="1:48" ht="17.25" customHeight="1">
      <c r="A89" s="103">
        <v>84</v>
      </c>
      <c r="B89" s="112" t="s">
        <v>89</v>
      </c>
      <c r="C89" s="178" t="s">
        <v>337</v>
      </c>
      <c r="D89" s="111" t="s">
        <v>338</v>
      </c>
      <c r="E89" s="106" t="s">
        <v>133</v>
      </c>
      <c r="F89" s="179">
        <v>43744</v>
      </c>
      <c r="G89" s="105" t="s">
        <v>341</v>
      </c>
      <c r="H89" s="108">
        <v>4792681126</v>
      </c>
      <c r="I89" s="108" t="s">
        <v>340</v>
      </c>
      <c r="J89" s="109">
        <v>45845</v>
      </c>
      <c r="K89" s="110" t="s">
        <v>130</v>
      </c>
      <c r="L89" s="110">
        <v>46</v>
      </c>
      <c r="M89" s="111"/>
      <c r="N89" s="112" t="s">
        <v>40</v>
      </c>
      <c r="O89" s="180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18"/>
      <c r="AV89" s="118"/>
    </row>
    <row r="90" spans="1:48" ht="15" customHeight="1">
      <c r="A90" s="103">
        <v>85</v>
      </c>
      <c r="B90" s="111" t="s">
        <v>48</v>
      </c>
      <c r="C90" s="111" t="s">
        <v>342</v>
      </c>
      <c r="D90" s="111" t="s">
        <v>343</v>
      </c>
      <c r="E90" s="111">
        <v>2</v>
      </c>
      <c r="F90" s="115">
        <v>43245</v>
      </c>
      <c r="G90" s="108" t="s">
        <v>344</v>
      </c>
      <c r="H90" s="108">
        <v>8458253485</v>
      </c>
      <c r="I90" s="108" t="s">
        <v>345</v>
      </c>
      <c r="J90" s="109">
        <v>45931</v>
      </c>
      <c r="K90" s="110" t="s">
        <v>346</v>
      </c>
      <c r="L90" s="110">
        <v>41</v>
      </c>
      <c r="M90" s="111"/>
      <c r="N90" s="112" t="s">
        <v>40</v>
      </c>
      <c r="O90" s="111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</row>
    <row r="91" spans="1:48" ht="15" customHeight="1">
      <c r="A91" s="103">
        <v>86</v>
      </c>
      <c r="B91" s="111" t="s">
        <v>89</v>
      </c>
      <c r="C91" s="111" t="s">
        <v>342</v>
      </c>
      <c r="D91" s="111" t="s">
        <v>347</v>
      </c>
      <c r="E91" s="111">
        <v>2</v>
      </c>
      <c r="F91" s="115">
        <v>43246</v>
      </c>
      <c r="G91" s="108" t="s">
        <v>348</v>
      </c>
      <c r="H91" s="108">
        <v>8458253485</v>
      </c>
      <c r="I91" s="108" t="s">
        <v>345</v>
      </c>
      <c r="J91" s="109">
        <v>45931</v>
      </c>
      <c r="K91" s="110" t="s">
        <v>124</v>
      </c>
      <c r="L91" s="110">
        <v>91</v>
      </c>
      <c r="M91" s="111"/>
      <c r="N91" s="112" t="s">
        <v>40</v>
      </c>
      <c r="O91" s="111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</row>
    <row r="92" spans="1:48" ht="15" customHeight="1">
      <c r="A92" s="103">
        <v>87</v>
      </c>
      <c r="B92" s="88" t="s">
        <v>48</v>
      </c>
      <c r="C92" s="137" t="s">
        <v>349</v>
      </c>
      <c r="D92" s="137" t="s">
        <v>350</v>
      </c>
      <c r="E92" s="137" t="s">
        <v>133</v>
      </c>
      <c r="F92" s="138" t="s">
        <v>351</v>
      </c>
      <c r="G92" s="137" t="s">
        <v>352</v>
      </c>
      <c r="H92" s="137">
        <v>4083936870</v>
      </c>
      <c r="I92" s="137" t="s">
        <v>353</v>
      </c>
      <c r="J92" s="139">
        <v>45888</v>
      </c>
      <c r="K92" s="140" t="s">
        <v>174</v>
      </c>
      <c r="L92" s="140">
        <v>106</v>
      </c>
      <c r="M92" s="137" t="s">
        <v>155</v>
      </c>
      <c r="N92" s="119" t="s">
        <v>40</v>
      </c>
      <c r="O92" s="152"/>
      <c r="P92" s="147"/>
      <c r="Q92" s="147"/>
      <c r="R92" s="147"/>
      <c r="S92" s="147"/>
      <c r="T92" s="148"/>
      <c r="U92" s="148"/>
      <c r="V92" s="149"/>
      <c r="W92" s="147"/>
      <c r="X92" s="147"/>
      <c r="Y92" s="147"/>
      <c r="Z92" s="147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2"/>
      <c r="AV92" s="172"/>
    </row>
    <row r="93" spans="1:48" ht="15" customHeight="1">
      <c r="A93" s="127">
        <v>88</v>
      </c>
      <c r="B93" s="88" t="s">
        <v>89</v>
      </c>
      <c r="C93" s="137" t="s">
        <v>349</v>
      </c>
      <c r="D93" s="137" t="s">
        <v>350</v>
      </c>
      <c r="E93" s="137" t="s">
        <v>133</v>
      </c>
      <c r="F93" s="138" t="s">
        <v>351</v>
      </c>
      <c r="G93" s="137" t="s">
        <v>352</v>
      </c>
      <c r="H93" s="137">
        <v>4083936870</v>
      </c>
      <c r="I93" s="137" t="s">
        <v>353</v>
      </c>
      <c r="J93" s="139">
        <v>45888</v>
      </c>
      <c r="K93" s="140" t="s">
        <v>124</v>
      </c>
      <c r="L93" s="140">
        <v>91</v>
      </c>
      <c r="M93" s="137" t="s">
        <v>155</v>
      </c>
      <c r="N93" s="119" t="s">
        <v>40</v>
      </c>
      <c r="O93" s="152"/>
      <c r="P93" s="147"/>
      <c r="Q93" s="147"/>
      <c r="R93" s="147"/>
      <c r="S93" s="147"/>
      <c r="T93" s="148"/>
      <c r="U93" s="148"/>
      <c r="V93" s="149"/>
      <c r="W93" s="147"/>
      <c r="X93" s="147"/>
      <c r="Y93" s="147"/>
      <c r="Z93" s="147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2"/>
      <c r="AV93" s="172"/>
    </row>
    <row r="94" spans="1:48" ht="15" customHeight="1">
      <c r="A94" s="103">
        <v>89</v>
      </c>
      <c r="B94" s="88" t="s">
        <v>48</v>
      </c>
      <c r="C94" s="144" t="s">
        <v>354</v>
      </c>
      <c r="D94" s="144" t="s">
        <v>355</v>
      </c>
      <c r="E94" s="137" t="s">
        <v>133</v>
      </c>
      <c r="F94" s="145">
        <v>43876</v>
      </c>
      <c r="G94" s="137" t="s">
        <v>356</v>
      </c>
      <c r="H94" s="137">
        <v>4088297446</v>
      </c>
      <c r="I94" s="137" t="s">
        <v>357</v>
      </c>
      <c r="J94" s="139">
        <v>45888</v>
      </c>
      <c r="K94" s="140" t="s">
        <v>137</v>
      </c>
      <c r="L94" s="140">
        <v>101</v>
      </c>
      <c r="M94" s="137"/>
      <c r="N94" s="119" t="s">
        <v>40</v>
      </c>
      <c r="O94" s="146"/>
      <c r="P94" s="147"/>
      <c r="Q94" s="147"/>
      <c r="R94" s="147"/>
      <c r="S94" s="147"/>
      <c r="T94" s="148"/>
      <c r="U94" s="148"/>
      <c r="V94" s="149"/>
      <c r="W94" s="147"/>
      <c r="X94" s="147"/>
      <c r="Y94" s="147"/>
      <c r="Z94" s="147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150"/>
      <c r="AO94" s="150"/>
      <c r="AP94" s="150"/>
      <c r="AQ94" s="150"/>
      <c r="AR94" s="150"/>
      <c r="AS94" s="150"/>
      <c r="AT94" s="150"/>
      <c r="AU94" s="151"/>
      <c r="AV94" s="151"/>
    </row>
    <row r="95" spans="1:48" ht="15" customHeight="1">
      <c r="A95" s="103">
        <v>90</v>
      </c>
      <c r="B95" s="88" t="s">
        <v>89</v>
      </c>
      <c r="C95" s="137" t="s">
        <v>354</v>
      </c>
      <c r="D95" s="137" t="s">
        <v>355</v>
      </c>
      <c r="E95" s="137" t="s">
        <v>133</v>
      </c>
      <c r="F95" s="138">
        <v>43876</v>
      </c>
      <c r="G95" s="137" t="s">
        <v>356</v>
      </c>
      <c r="H95" s="137">
        <v>4088297446</v>
      </c>
      <c r="I95" s="137" t="s">
        <v>357</v>
      </c>
      <c r="J95" s="139">
        <v>45888</v>
      </c>
      <c r="K95" s="140" t="s">
        <v>130</v>
      </c>
      <c r="L95" s="140">
        <v>31</v>
      </c>
      <c r="M95" s="137"/>
      <c r="N95" s="119" t="s">
        <v>40</v>
      </c>
      <c r="O95" s="152"/>
      <c r="P95" s="147"/>
      <c r="Q95" s="147"/>
      <c r="R95" s="147"/>
      <c r="S95" s="147"/>
      <c r="T95" s="148"/>
      <c r="U95" s="148"/>
      <c r="V95" s="149"/>
      <c r="W95" s="147"/>
      <c r="X95" s="147"/>
      <c r="Y95" s="147"/>
      <c r="Z95" s="147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2"/>
      <c r="AV95" s="172"/>
    </row>
    <row r="96" spans="1:48" ht="15" customHeight="1">
      <c r="A96" s="103">
        <v>91</v>
      </c>
      <c r="B96" s="88" t="s">
        <v>48</v>
      </c>
      <c r="C96" s="144" t="s">
        <v>358</v>
      </c>
      <c r="D96" s="144" t="s">
        <v>359</v>
      </c>
      <c r="E96" s="137" t="s">
        <v>133</v>
      </c>
      <c r="F96" s="145" t="s">
        <v>360</v>
      </c>
      <c r="G96" s="137" t="s">
        <v>361</v>
      </c>
      <c r="H96" s="137">
        <v>4086054758</v>
      </c>
      <c r="I96" s="137" t="s">
        <v>362</v>
      </c>
      <c r="J96" s="139" t="s">
        <v>363</v>
      </c>
      <c r="K96" s="140" t="s">
        <v>181</v>
      </c>
      <c r="L96" s="140">
        <v>51</v>
      </c>
      <c r="M96" s="137"/>
      <c r="N96" s="119" t="s">
        <v>40</v>
      </c>
      <c r="O96" s="146"/>
      <c r="P96" s="147"/>
      <c r="Q96" s="147"/>
      <c r="R96" s="147"/>
      <c r="S96" s="147"/>
      <c r="T96" s="148"/>
      <c r="U96" s="148"/>
      <c r="V96" s="149"/>
      <c r="W96" s="147"/>
      <c r="X96" s="147"/>
      <c r="Y96" s="147"/>
      <c r="Z96" s="147"/>
      <c r="AA96" s="150"/>
      <c r="AB96" s="150"/>
      <c r="AC96" s="150"/>
      <c r="AD96" s="150"/>
      <c r="AE96" s="150"/>
      <c r="AF96" s="150"/>
      <c r="AG96" s="150"/>
      <c r="AH96" s="150"/>
      <c r="AI96" s="150"/>
      <c r="AJ96" s="150"/>
      <c r="AK96" s="150"/>
      <c r="AL96" s="150"/>
      <c r="AM96" s="150"/>
      <c r="AN96" s="150"/>
      <c r="AO96" s="150"/>
      <c r="AP96" s="150"/>
      <c r="AQ96" s="150"/>
      <c r="AR96" s="150"/>
      <c r="AS96" s="150"/>
      <c r="AT96" s="150"/>
      <c r="AU96" s="151"/>
      <c r="AV96" s="151"/>
    </row>
    <row r="97" spans="1:48" ht="15" customHeight="1">
      <c r="A97" s="103">
        <v>92</v>
      </c>
      <c r="B97" s="88" t="s">
        <v>48</v>
      </c>
      <c r="C97" s="137" t="s">
        <v>358</v>
      </c>
      <c r="D97" s="137" t="s">
        <v>359</v>
      </c>
      <c r="E97" s="137" t="s">
        <v>133</v>
      </c>
      <c r="F97" s="138" t="s">
        <v>360</v>
      </c>
      <c r="G97" s="137" t="s">
        <v>361</v>
      </c>
      <c r="H97" s="137">
        <v>4086054758</v>
      </c>
      <c r="I97" s="137" t="s">
        <v>362</v>
      </c>
      <c r="J97" s="139" t="s">
        <v>364</v>
      </c>
      <c r="K97" s="140" t="s">
        <v>198</v>
      </c>
      <c r="L97" s="140">
        <v>35</v>
      </c>
      <c r="M97" s="137" t="s">
        <v>365</v>
      </c>
      <c r="N97" s="119" t="s">
        <v>40</v>
      </c>
      <c r="O97" s="152"/>
      <c r="P97" s="147"/>
      <c r="Q97" s="147"/>
      <c r="R97" s="147"/>
      <c r="S97" s="147"/>
      <c r="T97" s="148"/>
      <c r="U97" s="148"/>
      <c r="V97" s="149"/>
      <c r="W97" s="147"/>
      <c r="X97" s="147"/>
      <c r="Y97" s="147"/>
      <c r="Z97" s="147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2"/>
      <c r="AV97" s="172"/>
    </row>
    <row r="98" spans="1:48" ht="15" customHeight="1">
      <c r="A98" s="127">
        <v>93</v>
      </c>
      <c r="B98" s="88" t="s">
        <v>48</v>
      </c>
      <c r="C98" s="144" t="s">
        <v>366</v>
      </c>
      <c r="D98" s="144" t="s">
        <v>367</v>
      </c>
      <c r="E98" s="137">
        <v>1</v>
      </c>
      <c r="F98" s="145">
        <v>42695</v>
      </c>
      <c r="G98" s="137" t="s">
        <v>368</v>
      </c>
      <c r="H98" s="137">
        <v>5103147991</v>
      </c>
      <c r="I98" s="137" t="s">
        <v>369</v>
      </c>
      <c r="J98" s="139">
        <v>45523</v>
      </c>
      <c r="K98" s="140" t="s">
        <v>114</v>
      </c>
      <c r="L98" s="140">
        <v>90</v>
      </c>
      <c r="M98" s="137"/>
      <c r="N98" s="119" t="s">
        <v>40</v>
      </c>
      <c r="O98" s="146"/>
      <c r="P98" s="147"/>
      <c r="Q98" s="147"/>
      <c r="R98" s="147"/>
      <c r="S98" s="147"/>
      <c r="T98" s="148"/>
      <c r="U98" s="148"/>
      <c r="V98" s="149"/>
      <c r="W98" s="147"/>
      <c r="X98" s="147"/>
      <c r="Y98" s="147"/>
      <c r="Z98" s="147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0"/>
      <c r="AP98" s="150"/>
      <c r="AQ98" s="150"/>
      <c r="AR98" s="150"/>
      <c r="AS98" s="150"/>
      <c r="AT98" s="150"/>
      <c r="AU98" s="151"/>
      <c r="AV98" s="151"/>
    </row>
    <row r="99" spans="1:48" ht="15" customHeight="1">
      <c r="A99" s="103">
        <v>94</v>
      </c>
      <c r="B99" s="88" t="s">
        <v>89</v>
      </c>
      <c r="C99" s="137" t="s">
        <v>366</v>
      </c>
      <c r="D99" s="137" t="s">
        <v>367</v>
      </c>
      <c r="E99" s="137">
        <v>1</v>
      </c>
      <c r="F99" s="138">
        <v>42695</v>
      </c>
      <c r="G99" s="137" t="s">
        <v>368</v>
      </c>
      <c r="H99" s="137">
        <v>5103147991</v>
      </c>
      <c r="I99" s="137" t="s">
        <v>369</v>
      </c>
      <c r="J99" s="139">
        <v>45523</v>
      </c>
      <c r="K99" s="140" t="s">
        <v>370</v>
      </c>
      <c r="L99" s="140">
        <v>20</v>
      </c>
      <c r="M99" s="137"/>
      <c r="N99" s="119" t="s">
        <v>40</v>
      </c>
      <c r="O99" s="152"/>
      <c r="P99" s="147"/>
      <c r="Q99" s="147"/>
      <c r="R99" s="147"/>
      <c r="S99" s="147"/>
      <c r="T99" s="148"/>
      <c r="U99" s="148"/>
      <c r="V99" s="149"/>
      <c r="W99" s="147"/>
      <c r="X99" s="147"/>
      <c r="Y99" s="147"/>
      <c r="Z99" s="147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2"/>
      <c r="AV99" s="172"/>
    </row>
    <row r="100" spans="1:48" ht="15" customHeight="1">
      <c r="A100" s="103">
        <v>95</v>
      </c>
      <c r="B100" s="88" t="s">
        <v>89</v>
      </c>
      <c r="C100" s="144" t="s">
        <v>366</v>
      </c>
      <c r="D100" s="144" t="s">
        <v>371</v>
      </c>
      <c r="E100" s="137">
        <v>1</v>
      </c>
      <c r="F100" s="145">
        <v>42695</v>
      </c>
      <c r="G100" s="137" t="s">
        <v>368</v>
      </c>
      <c r="H100" s="137">
        <v>5103147991</v>
      </c>
      <c r="I100" s="137" t="s">
        <v>369</v>
      </c>
      <c r="J100" s="139">
        <v>45523</v>
      </c>
      <c r="K100" s="140" t="s">
        <v>117</v>
      </c>
      <c r="L100" s="140">
        <v>55</v>
      </c>
      <c r="M100" s="137"/>
      <c r="N100" s="119" t="s">
        <v>40</v>
      </c>
      <c r="O100" s="146"/>
      <c r="P100" s="147"/>
      <c r="Q100" s="147"/>
      <c r="R100" s="147"/>
      <c r="S100" s="147"/>
      <c r="T100" s="148"/>
      <c r="U100" s="148"/>
      <c r="V100" s="149"/>
      <c r="W100" s="147"/>
      <c r="X100" s="147"/>
      <c r="Y100" s="147"/>
      <c r="Z100" s="147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1"/>
      <c r="AV100" s="151"/>
    </row>
    <row r="101" spans="1:48" ht="15" customHeight="1">
      <c r="A101" s="103">
        <v>96</v>
      </c>
      <c r="B101" s="88" t="s">
        <v>48</v>
      </c>
      <c r="C101" s="137" t="s">
        <v>366</v>
      </c>
      <c r="D101" s="137" t="s">
        <v>371</v>
      </c>
      <c r="E101" s="137">
        <v>1</v>
      </c>
      <c r="F101" s="138">
        <v>42695</v>
      </c>
      <c r="G101" s="137" t="s">
        <v>368</v>
      </c>
      <c r="H101" s="137">
        <v>5103147991</v>
      </c>
      <c r="I101" s="137" t="s">
        <v>369</v>
      </c>
      <c r="J101" s="139">
        <v>45523</v>
      </c>
      <c r="K101" s="140" t="s">
        <v>114</v>
      </c>
      <c r="L101" s="140">
        <v>36</v>
      </c>
      <c r="M101" s="137"/>
      <c r="N101" s="119" t="s">
        <v>40</v>
      </c>
      <c r="O101" s="141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18"/>
      <c r="AV101" s="118"/>
    </row>
    <row r="102" spans="1:48" ht="15" customHeight="1">
      <c r="A102" s="103">
        <v>97</v>
      </c>
      <c r="B102" s="88" t="s">
        <v>48</v>
      </c>
      <c r="C102" s="137" t="s">
        <v>372</v>
      </c>
      <c r="D102" s="137" t="s">
        <v>139</v>
      </c>
      <c r="E102" s="137" t="s">
        <v>133</v>
      </c>
      <c r="F102" s="138">
        <v>43274</v>
      </c>
      <c r="G102" s="137" t="s">
        <v>373</v>
      </c>
      <c r="H102" s="137">
        <v>2544004292</v>
      </c>
      <c r="I102" s="137" t="s">
        <v>374</v>
      </c>
      <c r="J102" s="139">
        <v>45870</v>
      </c>
      <c r="K102" s="140" t="s">
        <v>181</v>
      </c>
      <c r="L102" s="140">
        <v>51</v>
      </c>
      <c r="M102" s="137"/>
      <c r="N102" s="119" t="s">
        <v>40</v>
      </c>
      <c r="O102" s="152"/>
      <c r="P102" s="147"/>
      <c r="Q102" s="147"/>
      <c r="R102" s="147"/>
      <c r="S102" s="147"/>
      <c r="T102" s="148"/>
      <c r="U102" s="148"/>
      <c r="V102" s="149"/>
      <c r="W102" s="147"/>
      <c r="X102" s="147"/>
      <c r="Y102" s="147"/>
      <c r="Z102" s="147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6"/>
      <c r="AV102" s="166"/>
    </row>
    <row r="103" spans="1:48" ht="17.25" customHeight="1">
      <c r="A103" s="127">
        <v>98</v>
      </c>
      <c r="B103" s="88" t="s">
        <v>89</v>
      </c>
      <c r="C103" s="137" t="s">
        <v>372</v>
      </c>
      <c r="D103" s="137" t="s">
        <v>139</v>
      </c>
      <c r="E103" s="137" t="s">
        <v>133</v>
      </c>
      <c r="F103" s="138">
        <v>43274</v>
      </c>
      <c r="G103" s="137" t="s">
        <v>373</v>
      </c>
      <c r="H103" s="137">
        <v>2544004292</v>
      </c>
      <c r="I103" s="137" t="s">
        <v>374</v>
      </c>
      <c r="J103" s="139">
        <v>45870</v>
      </c>
      <c r="K103" s="140" t="s">
        <v>198</v>
      </c>
      <c r="L103" s="140">
        <v>101</v>
      </c>
      <c r="M103" s="137"/>
      <c r="N103" s="119" t="s">
        <v>40</v>
      </c>
      <c r="O103" s="152"/>
      <c r="P103" s="147"/>
      <c r="Q103" s="147"/>
      <c r="R103" s="147"/>
      <c r="S103" s="147"/>
      <c r="T103" s="148"/>
      <c r="U103" s="148"/>
      <c r="V103" s="149"/>
      <c r="W103" s="147"/>
      <c r="X103" s="147"/>
      <c r="Y103" s="147"/>
      <c r="Z103" s="147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6"/>
      <c r="AV103" s="166"/>
    </row>
    <row r="104" spans="1:48" ht="17.25" customHeight="1">
      <c r="A104" s="103">
        <v>99</v>
      </c>
      <c r="B104" s="88" t="s">
        <v>48</v>
      </c>
      <c r="C104" s="144" t="s">
        <v>375</v>
      </c>
      <c r="D104" s="144" t="s">
        <v>376</v>
      </c>
      <c r="E104" s="137">
        <v>3</v>
      </c>
      <c r="F104" s="145">
        <v>42836</v>
      </c>
      <c r="G104" s="137" t="s">
        <v>377</v>
      </c>
      <c r="H104" s="137">
        <v>9256635744</v>
      </c>
      <c r="I104" s="137" t="s">
        <v>378</v>
      </c>
      <c r="J104" s="139">
        <v>45888</v>
      </c>
      <c r="K104" s="140" t="s">
        <v>193</v>
      </c>
      <c r="L104" s="140">
        <v>6</v>
      </c>
      <c r="M104" s="137"/>
      <c r="N104" s="119" t="s">
        <v>40</v>
      </c>
      <c r="O104" s="146"/>
      <c r="P104" s="147"/>
      <c r="Q104" s="147"/>
      <c r="R104" s="147"/>
      <c r="S104" s="147"/>
      <c r="T104" s="148"/>
      <c r="U104" s="148"/>
      <c r="V104" s="149"/>
      <c r="W104" s="147"/>
      <c r="X104" s="147"/>
      <c r="Y104" s="147"/>
      <c r="Z104" s="147"/>
      <c r="AA104" s="150"/>
      <c r="AB104" s="150"/>
      <c r="AC104" s="150"/>
      <c r="AD104" s="150"/>
      <c r="AE104" s="150"/>
      <c r="AF104" s="150"/>
      <c r="AG104" s="150"/>
      <c r="AH104" s="150"/>
      <c r="AI104" s="150"/>
      <c r="AJ104" s="150"/>
      <c r="AK104" s="150"/>
      <c r="AL104" s="150"/>
      <c r="AM104" s="150"/>
      <c r="AN104" s="150"/>
      <c r="AO104" s="150"/>
      <c r="AP104" s="150"/>
      <c r="AQ104" s="150"/>
      <c r="AR104" s="150"/>
      <c r="AS104" s="150"/>
      <c r="AT104" s="150"/>
      <c r="AU104" s="151"/>
      <c r="AV104" s="151"/>
    </row>
    <row r="105" spans="1:48" ht="17.25" customHeight="1">
      <c r="A105" s="103">
        <v>100</v>
      </c>
      <c r="B105" s="88" t="s">
        <v>89</v>
      </c>
      <c r="C105" s="144" t="s">
        <v>375</v>
      </c>
      <c r="D105" s="144" t="s">
        <v>376</v>
      </c>
      <c r="E105" s="137">
        <v>3</v>
      </c>
      <c r="F105" s="145">
        <v>42836</v>
      </c>
      <c r="G105" s="137" t="s">
        <v>377</v>
      </c>
      <c r="H105" s="137">
        <v>9256635744</v>
      </c>
      <c r="I105" s="137" t="s">
        <v>378</v>
      </c>
      <c r="J105" s="139">
        <v>45888</v>
      </c>
      <c r="K105" s="140" t="s">
        <v>205</v>
      </c>
      <c r="L105" s="140">
        <v>66</v>
      </c>
      <c r="M105" s="137"/>
      <c r="N105" s="119" t="s">
        <v>40</v>
      </c>
      <c r="O105" s="146"/>
      <c r="P105" s="147"/>
      <c r="Q105" s="147"/>
      <c r="R105" s="147"/>
      <c r="S105" s="147"/>
      <c r="T105" s="148"/>
      <c r="U105" s="148"/>
      <c r="V105" s="149"/>
      <c r="W105" s="147"/>
      <c r="X105" s="147"/>
      <c r="Y105" s="147"/>
      <c r="Z105" s="147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1"/>
      <c r="AV105" s="151"/>
    </row>
    <row r="106" spans="1:48" ht="17.25" customHeight="1">
      <c r="A106" s="103">
        <v>101</v>
      </c>
      <c r="B106" s="88" t="s">
        <v>48</v>
      </c>
      <c r="C106" s="137" t="s">
        <v>379</v>
      </c>
      <c r="D106" s="137" t="s">
        <v>380</v>
      </c>
      <c r="E106" s="137" t="s">
        <v>219</v>
      </c>
      <c r="F106" s="138" t="s">
        <v>381</v>
      </c>
      <c r="G106" s="137" t="s">
        <v>382</v>
      </c>
      <c r="H106" s="137">
        <v>7063088178</v>
      </c>
      <c r="I106" s="137" t="s">
        <v>383</v>
      </c>
      <c r="J106" s="139">
        <v>45889</v>
      </c>
      <c r="K106" s="140" t="s">
        <v>125</v>
      </c>
      <c r="L106" s="140">
        <v>8</v>
      </c>
      <c r="M106" s="137"/>
      <c r="N106" s="119" t="s">
        <v>40</v>
      </c>
      <c r="O106" s="152"/>
      <c r="P106" s="126"/>
      <c r="Q106" s="126"/>
      <c r="R106" s="126"/>
      <c r="S106" s="126"/>
      <c r="T106" s="148"/>
      <c r="U106" s="148"/>
      <c r="V106" s="149"/>
      <c r="W106" s="126"/>
      <c r="X106" s="126"/>
      <c r="Y106" s="126"/>
      <c r="Z106" s="126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6"/>
      <c r="AV106" s="156"/>
    </row>
    <row r="107" spans="1:48" ht="17.25" customHeight="1">
      <c r="A107" s="103">
        <v>102</v>
      </c>
      <c r="B107" s="88" t="s">
        <v>89</v>
      </c>
      <c r="C107" s="137" t="s">
        <v>379</v>
      </c>
      <c r="D107" s="137" t="s">
        <v>380</v>
      </c>
      <c r="E107" s="137" t="s">
        <v>219</v>
      </c>
      <c r="F107" s="138" t="s">
        <v>381</v>
      </c>
      <c r="G107" s="137" t="s">
        <v>382</v>
      </c>
      <c r="H107" s="137">
        <v>7063088178</v>
      </c>
      <c r="I107" s="137" t="s">
        <v>383</v>
      </c>
      <c r="J107" s="139">
        <v>45888</v>
      </c>
      <c r="K107" s="140" t="s">
        <v>150</v>
      </c>
      <c r="L107" s="140">
        <v>21</v>
      </c>
      <c r="M107" s="137"/>
      <c r="N107" s="119" t="s">
        <v>40</v>
      </c>
      <c r="O107" s="152"/>
      <c r="P107" s="126"/>
      <c r="Q107" s="126"/>
      <c r="R107" s="126"/>
      <c r="S107" s="126"/>
      <c r="T107" s="148"/>
      <c r="U107" s="148"/>
      <c r="V107" s="149"/>
      <c r="W107" s="126"/>
      <c r="X107" s="126"/>
      <c r="Y107" s="126"/>
      <c r="Z107" s="126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  <c r="AK107" s="155"/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6"/>
      <c r="AV107" s="156"/>
    </row>
    <row r="108" spans="1:48" ht="17.25" customHeight="1">
      <c r="A108" s="127">
        <v>103</v>
      </c>
      <c r="B108" s="88" t="s">
        <v>48</v>
      </c>
      <c r="C108" s="137" t="s">
        <v>379</v>
      </c>
      <c r="D108" s="137" t="s">
        <v>384</v>
      </c>
      <c r="E108" s="137">
        <v>1</v>
      </c>
      <c r="F108" s="138" t="s">
        <v>385</v>
      </c>
      <c r="G108" s="137" t="s">
        <v>386</v>
      </c>
      <c r="H108" s="137">
        <v>4088390577</v>
      </c>
      <c r="I108" s="137" t="s">
        <v>387</v>
      </c>
      <c r="J108" s="139">
        <v>45887</v>
      </c>
      <c r="K108" s="140" t="s">
        <v>174</v>
      </c>
      <c r="L108" s="140">
        <v>88</v>
      </c>
      <c r="M108" s="137" t="s">
        <v>155</v>
      </c>
      <c r="N108" s="119" t="s">
        <v>40</v>
      </c>
      <c r="O108" s="152"/>
      <c r="P108" s="126"/>
      <c r="Q108" s="126"/>
      <c r="R108" s="126"/>
      <c r="S108" s="126"/>
      <c r="T108" s="148"/>
      <c r="U108" s="148"/>
      <c r="V108" s="149"/>
      <c r="W108" s="126"/>
      <c r="X108" s="126"/>
      <c r="Y108" s="126"/>
      <c r="Z108" s="126"/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  <c r="AK108" s="155"/>
      <c r="AL108" s="155"/>
      <c r="AM108" s="155"/>
      <c r="AN108" s="155"/>
      <c r="AO108" s="155"/>
      <c r="AP108" s="155"/>
      <c r="AQ108" s="155"/>
      <c r="AR108" s="155"/>
      <c r="AS108" s="155"/>
      <c r="AT108" s="155"/>
      <c r="AU108" s="156"/>
      <c r="AV108" s="156"/>
    </row>
    <row r="109" spans="1:48" ht="17.25" customHeight="1">
      <c r="A109" s="103">
        <v>104</v>
      </c>
      <c r="B109" s="88" t="s">
        <v>89</v>
      </c>
      <c r="C109" s="137" t="s">
        <v>379</v>
      </c>
      <c r="D109" s="137" t="s">
        <v>384</v>
      </c>
      <c r="E109" s="137">
        <v>1</v>
      </c>
      <c r="F109" s="138" t="s">
        <v>385</v>
      </c>
      <c r="G109" s="137" t="s">
        <v>386</v>
      </c>
      <c r="H109" s="137">
        <v>4088390577</v>
      </c>
      <c r="I109" s="137" t="s">
        <v>387</v>
      </c>
      <c r="J109" s="139">
        <v>45887</v>
      </c>
      <c r="K109" s="140" t="s">
        <v>130</v>
      </c>
      <c r="L109" s="140">
        <v>23</v>
      </c>
      <c r="M109" s="137" t="s">
        <v>155</v>
      </c>
      <c r="N109" s="119" t="s">
        <v>40</v>
      </c>
      <c r="O109" s="152"/>
      <c r="P109" s="126"/>
      <c r="Q109" s="126"/>
      <c r="R109" s="126"/>
      <c r="S109" s="126"/>
      <c r="T109" s="148"/>
      <c r="U109" s="148"/>
      <c r="V109" s="149"/>
      <c r="W109" s="126"/>
      <c r="X109" s="126"/>
      <c r="Y109" s="126"/>
      <c r="Z109" s="126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6"/>
      <c r="AV109" s="156"/>
    </row>
    <row r="110" spans="1:48" ht="17.25" customHeight="1">
      <c r="A110" s="103">
        <v>105</v>
      </c>
      <c r="B110" s="88" t="s">
        <v>48</v>
      </c>
      <c r="C110" s="137" t="s">
        <v>388</v>
      </c>
      <c r="D110" s="137" t="s">
        <v>389</v>
      </c>
      <c r="E110" s="137">
        <v>2</v>
      </c>
      <c r="F110" s="138">
        <v>42736</v>
      </c>
      <c r="G110" s="137" t="s">
        <v>390</v>
      </c>
      <c r="H110" s="137">
        <v>4088070200</v>
      </c>
      <c r="I110" s="137" t="s">
        <v>391</v>
      </c>
      <c r="J110" s="139">
        <v>45323</v>
      </c>
      <c r="K110" s="140" t="s">
        <v>114</v>
      </c>
      <c r="L110" s="140">
        <v>110</v>
      </c>
      <c r="M110" s="137"/>
      <c r="N110" s="119" t="s">
        <v>40</v>
      </c>
      <c r="O110" s="141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18"/>
      <c r="AV110" s="118"/>
    </row>
    <row r="111" spans="1:48" ht="17.25" customHeight="1">
      <c r="A111" s="103">
        <v>106</v>
      </c>
      <c r="B111" s="88" t="s">
        <v>89</v>
      </c>
      <c r="C111" s="137" t="s">
        <v>388</v>
      </c>
      <c r="D111" s="137" t="s">
        <v>389</v>
      </c>
      <c r="E111" s="137">
        <v>2</v>
      </c>
      <c r="F111" s="138">
        <v>42736</v>
      </c>
      <c r="G111" s="137" t="s">
        <v>390</v>
      </c>
      <c r="H111" s="137">
        <v>4088070200</v>
      </c>
      <c r="I111" s="137" t="s">
        <v>391</v>
      </c>
      <c r="J111" s="139">
        <v>45525</v>
      </c>
      <c r="K111" s="140" t="s">
        <v>117</v>
      </c>
      <c r="L111" s="140">
        <v>62</v>
      </c>
      <c r="M111" s="137"/>
      <c r="N111" s="119" t="s">
        <v>40</v>
      </c>
      <c r="O111" s="141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18"/>
      <c r="AV111" s="118"/>
    </row>
    <row r="112" spans="1:48" ht="17.25" customHeight="1">
      <c r="A112" s="103">
        <v>107</v>
      </c>
      <c r="B112" s="88" t="s">
        <v>48</v>
      </c>
      <c r="C112" s="144" t="s">
        <v>392</v>
      </c>
      <c r="D112" s="144" t="s">
        <v>393</v>
      </c>
      <c r="E112" s="137">
        <v>1</v>
      </c>
      <c r="F112" s="181">
        <v>43586</v>
      </c>
      <c r="G112" s="137" t="s">
        <v>394</v>
      </c>
      <c r="H112" s="137">
        <v>4088934895</v>
      </c>
      <c r="I112" s="137" t="s">
        <v>395</v>
      </c>
      <c r="J112" s="139">
        <v>45888</v>
      </c>
      <c r="K112" s="140" t="s">
        <v>346</v>
      </c>
      <c r="L112" s="140">
        <v>110</v>
      </c>
      <c r="M112" s="137"/>
      <c r="N112" s="119" t="s">
        <v>40</v>
      </c>
      <c r="O112" s="146"/>
      <c r="P112" s="147"/>
      <c r="Q112" s="147"/>
      <c r="R112" s="147"/>
      <c r="S112" s="147"/>
      <c r="T112" s="148"/>
      <c r="U112" s="148"/>
      <c r="V112" s="149"/>
      <c r="W112" s="147"/>
      <c r="X112" s="147"/>
      <c r="Y112" s="147"/>
      <c r="Z112" s="147"/>
      <c r="AA112" s="150"/>
      <c r="AB112" s="150"/>
      <c r="AC112" s="150"/>
      <c r="AD112" s="150"/>
      <c r="AE112" s="150"/>
      <c r="AF112" s="150"/>
      <c r="AG112" s="150"/>
      <c r="AH112" s="150"/>
      <c r="AI112" s="150"/>
      <c r="AJ112" s="150"/>
      <c r="AK112" s="150"/>
      <c r="AL112" s="150"/>
      <c r="AM112" s="150"/>
      <c r="AN112" s="150"/>
      <c r="AO112" s="150"/>
      <c r="AP112" s="150"/>
      <c r="AQ112" s="150"/>
      <c r="AR112" s="150"/>
      <c r="AS112" s="150"/>
      <c r="AT112" s="150"/>
      <c r="AU112" s="151"/>
      <c r="AV112" s="151"/>
    </row>
    <row r="113" spans="1:48" ht="17.25" customHeight="1">
      <c r="A113" s="127">
        <v>108</v>
      </c>
      <c r="B113" s="88" t="s">
        <v>89</v>
      </c>
      <c r="C113" s="144" t="s">
        <v>392</v>
      </c>
      <c r="D113" s="144" t="s">
        <v>393</v>
      </c>
      <c r="E113" s="137">
        <v>1</v>
      </c>
      <c r="F113" s="181">
        <v>43586</v>
      </c>
      <c r="G113" s="137" t="s">
        <v>394</v>
      </c>
      <c r="H113" s="137">
        <v>4088934895</v>
      </c>
      <c r="I113" s="137" t="s">
        <v>395</v>
      </c>
      <c r="J113" s="139">
        <v>45888</v>
      </c>
      <c r="K113" s="140" t="s">
        <v>396</v>
      </c>
      <c r="L113" s="140">
        <v>66</v>
      </c>
      <c r="M113" s="137"/>
      <c r="N113" s="119" t="s">
        <v>40</v>
      </c>
      <c r="O113" s="146"/>
      <c r="P113" s="147"/>
      <c r="Q113" s="147"/>
      <c r="R113" s="147"/>
      <c r="S113" s="147"/>
      <c r="T113" s="148"/>
      <c r="U113" s="148"/>
      <c r="V113" s="149"/>
      <c r="W113" s="147"/>
      <c r="X113" s="147"/>
      <c r="Y113" s="147"/>
      <c r="Z113" s="147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1"/>
      <c r="AV113" s="151"/>
    </row>
    <row r="114" spans="1:48" ht="17.25" customHeight="1">
      <c r="A114" s="103">
        <v>109</v>
      </c>
      <c r="B114" s="88" t="s">
        <v>48</v>
      </c>
      <c r="C114" s="144" t="s">
        <v>392</v>
      </c>
      <c r="D114" s="144" t="s">
        <v>397</v>
      </c>
      <c r="E114" s="137">
        <v>4</v>
      </c>
      <c r="F114" s="181">
        <v>42326</v>
      </c>
      <c r="G114" s="137" t="s">
        <v>394</v>
      </c>
      <c r="H114" s="137">
        <v>4088934895</v>
      </c>
      <c r="I114" s="137" t="s">
        <v>395</v>
      </c>
      <c r="J114" s="139">
        <v>45888</v>
      </c>
      <c r="K114" s="140" t="s">
        <v>114</v>
      </c>
      <c r="L114" s="140">
        <v>26</v>
      </c>
      <c r="M114" s="137"/>
      <c r="N114" s="119" t="s">
        <v>40</v>
      </c>
      <c r="O114" s="146"/>
      <c r="P114" s="147"/>
      <c r="Q114" s="147"/>
      <c r="R114" s="147"/>
      <c r="S114" s="147"/>
      <c r="T114" s="148"/>
      <c r="U114" s="148"/>
      <c r="V114" s="149"/>
      <c r="W114" s="147"/>
      <c r="X114" s="147"/>
      <c r="Y114" s="147"/>
      <c r="Z114" s="147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50"/>
      <c r="AK114" s="150"/>
      <c r="AL114" s="150"/>
      <c r="AM114" s="150"/>
      <c r="AN114" s="150"/>
      <c r="AO114" s="150"/>
      <c r="AP114" s="150"/>
      <c r="AQ114" s="150"/>
      <c r="AR114" s="150"/>
      <c r="AS114" s="150"/>
      <c r="AT114" s="150"/>
      <c r="AU114" s="151"/>
      <c r="AV114" s="151"/>
    </row>
    <row r="115" spans="1:48" ht="17.25" customHeight="1">
      <c r="A115" s="103">
        <v>110</v>
      </c>
      <c r="B115" s="88" t="s">
        <v>89</v>
      </c>
      <c r="C115" s="144" t="s">
        <v>392</v>
      </c>
      <c r="D115" s="144" t="s">
        <v>397</v>
      </c>
      <c r="E115" s="137">
        <v>4</v>
      </c>
      <c r="F115" s="181">
        <v>42326</v>
      </c>
      <c r="G115" s="137" t="s">
        <v>394</v>
      </c>
      <c r="H115" s="137">
        <v>4088934895</v>
      </c>
      <c r="I115" s="137" t="s">
        <v>395</v>
      </c>
      <c r="J115" s="139">
        <v>45888</v>
      </c>
      <c r="K115" s="140" t="s">
        <v>198</v>
      </c>
      <c r="L115" s="140">
        <v>91</v>
      </c>
      <c r="M115" s="137"/>
      <c r="N115" s="119" t="s">
        <v>40</v>
      </c>
      <c r="O115" s="146"/>
      <c r="P115" s="147"/>
      <c r="Q115" s="147"/>
      <c r="R115" s="147"/>
      <c r="S115" s="147"/>
      <c r="T115" s="148"/>
      <c r="U115" s="148"/>
      <c r="V115" s="149"/>
      <c r="W115" s="147"/>
      <c r="X115" s="147"/>
      <c r="Y115" s="147"/>
      <c r="Z115" s="147"/>
      <c r="AA115" s="150"/>
      <c r="AB115" s="150"/>
      <c r="AC115" s="150"/>
      <c r="AD115" s="150"/>
      <c r="AE115" s="150"/>
      <c r="AF115" s="150"/>
      <c r="AG115" s="150"/>
      <c r="AH115" s="150"/>
      <c r="AI115" s="150"/>
      <c r="AJ115" s="150"/>
      <c r="AK115" s="150"/>
      <c r="AL115" s="150"/>
      <c r="AM115" s="150"/>
      <c r="AN115" s="150"/>
      <c r="AO115" s="150"/>
      <c r="AP115" s="150"/>
      <c r="AQ115" s="150"/>
      <c r="AR115" s="150"/>
      <c r="AS115" s="150"/>
      <c r="AT115" s="150"/>
      <c r="AU115" s="151"/>
      <c r="AV115" s="151"/>
    </row>
    <row r="116" spans="1:48" ht="17.25" customHeight="1">
      <c r="A116" s="103">
        <v>111</v>
      </c>
      <c r="B116" s="94" t="s">
        <v>48</v>
      </c>
      <c r="C116" s="95" t="s">
        <v>398</v>
      </c>
      <c r="D116" s="95" t="s">
        <v>276</v>
      </c>
      <c r="E116" s="95">
        <v>1</v>
      </c>
      <c r="F116" s="96">
        <v>43614</v>
      </c>
      <c r="G116" s="97" t="s">
        <v>399</v>
      </c>
      <c r="H116" s="97">
        <v>5107177557</v>
      </c>
      <c r="I116" s="97" t="s">
        <v>400</v>
      </c>
      <c r="J116" s="98">
        <v>45861</v>
      </c>
      <c r="K116" s="99" t="s">
        <v>346</v>
      </c>
      <c r="L116" s="99" t="s">
        <v>401</v>
      </c>
      <c r="M116" s="95" t="s">
        <v>402</v>
      </c>
      <c r="N116" s="94" t="s">
        <v>34</v>
      </c>
      <c r="O116" s="100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2"/>
      <c r="AV116" s="102"/>
    </row>
    <row r="117" spans="1:48" ht="17.25" customHeight="1">
      <c r="A117" s="103">
        <v>112</v>
      </c>
      <c r="B117" s="111" t="s">
        <v>48</v>
      </c>
      <c r="C117" s="111" t="s">
        <v>403</v>
      </c>
      <c r="D117" s="111" t="s">
        <v>404</v>
      </c>
      <c r="E117" s="111">
        <v>5</v>
      </c>
      <c r="F117" s="115">
        <v>42279</v>
      </c>
      <c r="G117" s="108" t="s">
        <v>405</v>
      </c>
      <c r="H117" s="108">
        <v>3039316274</v>
      </c>
      <c r="I117" s="108" t="s">
        <v>406</v>
      </c>
      <c r="J117" s="109">
        <v>45936</v>
      </c>
      <c r="K117" s="110" t="s">
        <v>110</v>
      </c>
      <c r="L117" s="110">
        <v>71</v>
      </c>
      <c r="M117" s="111"/>
      <c r="N117" s="112" t="s">
        <v>40</v>
      </c>
      <c r="O117" s="111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</row>
    <row r="118" spans="1:48" ht="17.25" customHeight="1">
      <c r="A118" s="127">
        <v>113</v>
      </c>
      <c r="B118" s="111" t="s">
        <v>89</v>
      </c>
      <c r="C118" s="111" t="s">
        <v>403</v>
      </c>
      <c r="D118" s="111" t="s">
        <v>407</v>
      </c>
      <c r="E118" s="111">
        <v>2</v>
      </c>
      <c r="F118" s="115">
        <v>43058</v>
      </c>
      <c r="G118" s="108" t="s">
        <v>408</v>
      </c>
      <c r="H118" s="108">
        <v>3039316274</v>
      </c>
      <c r="I118" s="108" t="s">
        <v>406</v>
      </c>
      <c r="J118" s="109">
        <v>45936</v>
      </c>
      <c r="K118" s="110" t="s">
        <v>150</v>
      </c>
      <c r="L118" s="110">
        <v>91</v>
      </c>
      <c r="M118" s="111"/>
      <c r="N118" s="112" t="s">
        <v>40</v>
      </c>
      <c r="O118" s="111"/>
      <c r="P118" s="113"/>
      <c r="Q118" s="113"/>
      <c r="R118" s="113"/>
      <c r="S118" s="113"/>
      <c r="T118" s="182"/>
      <c r="U118" s="182"/>
      <c r="V118" s="182"/>
      <c r="W118" s="113"/>
      <c r="X118" s="113"/>
      <c r="Y118" s="113"/>
      <c r="Z118" s="113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</row>
    <row r="119" spans="1:48" ht="17.25" customHeight="1">
      <c r="A119" s="103">
        <v>114</v>
      </c>
      <c r="B119" s="111" t="s">
        <v>48</v>
      </c>
      <c r="C119" s="111" t="s">
        <v>403</v>
      </c>
      <c r="D119" s="111" t="s">
        <v>407</v>
      </c>
      <c r="E119" s="111">
        <v>2</v>
      </c>
      <c r="F119" s="115">
        <v>43059</v>
      </c>
      <c r="G119" s="108" t="s">
        <v>409</v>
      </c>
      <c r="H119" s="108">
        <v>3039316274</v>
      </c>
      <c r="I119" s="108" t="s">
        <v>406</v>
      </c>
      <c r="J119" s="109">
        <v>45936</v>
      </c>
      <c r="K119" s="110" t="s">
        <v>174</v>
      </c>
      <c r="L119" s="110">
        <v>51</v>
      </c>
      <c r="M119" s="111"/>
      <c r="N119" s="112" t="s">
        <v>40</v>
      </c>
      <c r="O119" s="111"/>
      <c r="P119" s="113"/>
      <c r="Q119" s="113"/>
      <c r="R119" s="113"/>
      <c r="S119" s="113"/>
      <c r="T119" s="182"/>
      <c r="U119" s="182"/>
      <c r="V119" s="182"/>
      <c r="W119" s="113"/>
      <c r="X119" s="113"/>
      <c r="Y119" s="113"/>
      <c r="Z119" s="113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</row>
    <row r="120" spans="1:48" ht="17.25" customHeight="1">
      <c r="A120" s="103">
        <v>115</v>
      </c>
      <c r="B120" s="167" t="s">
        <v>48</v>
      </c>
      <c r="C120" s="141" t="s">
        <v>410</v>
      </c>
      <c r="D120" s="141" t="s">
        <v>411</v>
      </c>
      <c r="E120" s="137">
        <v>1</v>
      </c>
      <c r="F120" s="152">
        <v>43613</v>
      </c>
      <c r="G120" s="122" t="s">
        <v>412</v>
      </c>
      <c r="H120" s="122">
        <v>6507406798</v>
      </c>
      <c r="I120" s="122" t="s">
        <v>413</v>
      </c>
      <c r="J120" s="139">
        <v>45809</v>
      </c>
      <c r="K120" s="140" t="s">
        <v>243</v>
      </c>
      <c r="L120" s="140">
        <v>76</v>
      </c>
      <c r="M120" s="138"/>
      <c r="N120" s="119" t="s">
        <v>40</v>
      </c>
      <c r="O120" s="152"/>
      <c r="P120" s="117"/>
      <c r="Q120" s="117"/>
      <c r="R120" s="117"/>
      <c r="S120" s="117"/>
      <c r="T120" s="183"/>
      <c r="U120" s="183"/>
      <c r="V120" s="183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  <c r="AU120" s="118"/>
      <c r="AV120" s="118"/>
    </row>
    <row r="121" spans="1:48" ht="17.25" customHeight="1">
      <c r="A121" s="103">
        <v>116</v>
      </c>
      <c r="B121" s="88" t="s">
        <v>48</v>
      </c>
      <c r="C121" s="137" t="s">
        <v>414</v>
      </c>
      <c r="D121" s="137" t="s">
        <v>415</v>
      </c>
      <c r="E121" s="137">
        <v>2</v>
      </c>
      <c r="F121" s="138">
        <v>42867</v>
      </c>
      <c r="G121" s="137" t="s">
        <v>416</v>
      </c>
      <c r="H121" s="137">
        <v>4086432868</v>
      </c>
      <c r="I121" s="137" t="s">
        <v>417</v>
      </c>
      <c r="J121" s="139">
        <v>45866</v>
      </c>
      <c r="K121" s="140" t="s">
        <v>204</v>
      </c>
      <c r="L121" s="140">
        <v>48</v>
      </c>
      <c r="M121" s="137" t="s">
        <v>418</v>
      </c>
      <c r="N121" s="119" t="s">
        <v>40</v>
      </c>
      <c r="O121" s="125"/>
      <c r="P121" s="126"/>
      <c r="Q121" s="126"/>
      <c r="R121" s="126"/>
      <c r="S121" s="126"/>
      <c r="T121" s="184"/>
      <c r="U121" s="184"/>
      <c r="V121" s="184"/>
      <c r="W121" s="126"/>
      <c r="X121" s="126"/>
      <c r="Y121" s="126"/>
      <c r="Z121" s="126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155"/>
      <c r="AT121" s="155"/>
      <c r="AU121" s="185"/>
      <c r="AV121" s="185"/>
    </row>
    <row r="122" spans="1:48" ht="17.25" customHeight="1">
      <c r="A122" s="103">
        <v>117</v>
      </c>
      <c r="B122" s="88" t="s">
        <v>89</v>
      </c>
      <c r="C122" s="137" t="s">
        <v>414</v>
      </c>
      <c r="D122" s="137" t="s">
        <v>415</v>
      </c>
      <c r="E122" s="137">
        <v>2</v>
      </c>
      <c r="F122" s="138">
        <v>42867</v>
      </c>
      <c r="G122" s="137" t="s">
        <v>416</v>
      </c>
      <c r="H122" s="137">
        <v>4086432868</v>
      </c>
      <c r="I122" s="137" t="s">
        <v>417</v>
      </c>
      <c r="J122" s="139">
        <v>45866</v>
      </c>
      <c r="K122" s="140" t="s">
        <v>370</v>
      </c>
      <c r="L122" s="140">
        <v>83</v>
      </c>
      <c r="M122" s="137" t="s">
        <v>418</v>
      </c>
      <c r="N122" s="119" t="s">
        <v>40</v>
      </c>
      <c r="O122" s="125"/>
      <c r="P122" s="126"/>
      <c r="Q122" s="126"/>
      <c r="R122" s="126"/>
      <c r="S122" s="126"/>
      <c r="T122" s="184"/>
      <c r="U122" s="184"/>
      <c r="V122" s="184"/>
      <c r="W122" s="126"/>
      <c r="X122" s="126"/>
      <c r="Y122" s="126"/>
      <c r="Z122" s="126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85"/>
      <c r="AV122" s="185"/>
    </row>
    <row r="123" spans="1:48" ht="17.25" customHeight="1">
      <c r="A123" s="127">
        <v>118</v>
      </c>
      <c r="B123" s="128" t="s">
        <v>48</v>
      </c>
      <c r="C123" s="129" t="s">
        <v>298</v>
      </c>
      <c r="D123" s="129" t="s">
        <v>419</v>
      </c>
      <c r="E123" s="130">
        <v>6</v>
      </c>
      <c r="F123" s="131">
        <v>41765</v>
      </c>
      <c r="G123" s="132" t="s">
        <v>420</v>
      </c>
      <c r="H123" s="132">
        <v>3413561987</v>
      </c>
      <c r="I123" s="132" t="s">
        <v>421</v>
      </c>
      <c r="J123" s="133">
        <v>45901</v>
      </c>
      <c r="K123" s="134" t="s">
        <v>422</v>
      </c>
      <c r="L123" s="134">
        <v>91</v>
      </c>
      <c r="M123" s="129"/>
      <c r="N123" s="135" t="s">
        <v>40</v>
      </c>
      <c r="O123" s="129"/>
      <c r="P123" s="136"/>
      <c r="Q123" s="136"/>
      <c r="R123" s="136"/>
      <c r="S123" s="136"/>
      <c r="T123" s="186"/>
      <c r="U123" s="186"/>
      <c r="V123" s="18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</row>
    <row r="124" spans="1:48" ht="17.25" customHeight="1">
      <c r="A124" s="103">
        <v>119</v>
      </c>
      <c r="B124" s="128" t="s">
        <v>48</v>
      </c>
      <c r="C124" s="129" t="s">
        <v>298</v>
      </c>
      <c r="D124" s="129" t="s">
        <v>423</v>
      </c>
      <c r="E124" s="130">
        <v>2</v>
      </c>
      <c r="F124" s="131">
        <v>43355</v>
      </c>
      <c r="G124" s="132" t="s">
        <v>420</v>
      </c>
      <c r="H124" s="132">
        <v>3413561987</v>
      </c>
      <c r="I124" s="132" t="s">
        <v>421</v>
      </c>
      <c r="J124" s="133">
        <v>45901</v>
      </c>
      <c r="K124" s="134" t="s">
        <v>164</v>
      </c>
      <c r="L124" s="134">
        <v>76</v>
      </c>
      <c r="M124" s="129"/>
      <c r="N124" s="135" t="s">
        <v>40</v>
      </c>
      <c r="O124" s="129"/>
      <c r="P124" s="136"/>
      <c r="Q124" s="136"/>
      <c r="R124" s="136"/>
      <c r="S124" s="136"/>
      <c r="T124" s="186"/>
      <c r="U124" s="186"/>
      <c r="V124" s="18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</row>
    <row r="125" spans="1:48" ht="17.25" customHeight="1">
      <c r="A125" s="103">
        <v>120</v>
      </c>
      <c r="B125" s="128" t="s">
        <v>48</v>
      </c>
      <c r="C125" s="129" t="s">
        <v>298</v>
      </c>
      <c r="D125" s="129" t="s">
        <v>424</v>
      </c>
      <c r="E125" s="130">
        <v>7</v>
      </c>
      <c r="F125" s="131">
        <v>41245</v>
      </c>
      <c r="G125" s="132" t="s">
        <v>420</v>
      </c>
      <c r="H125" s="132">
        <v>3413561987</v>
      </c>
      <c r="I125" s="132" t="s">
        <v>421</v>
      </c>
      <c r="J125" s="133">
        <v>45901</v>
      </c>
      <c r="K125" s="134" t="s">
        <v>346</v>
      </c>
      <c r="L125" s="134">
        <v>96</v>
      </c>
      <c r="M125" s="129"/>
      <c r="N125" s="135" t="s">
        <v>40</v>
      </c>
      <c r="O125" s="129"/>
      <c r="P125" s="136"/>
      <c r="Q125" s="136"/>
      <c r="R125" s="136"/>
      <c r="S125" s="136"/>
      <c r="T125" s="186"/>
      <c r="U125" s="186"/>
      <c r="V125" s="18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</row>
    <row r="126" spans="1:48" ht="17.25" customHeight="1">
      <c r="A126" s="103">
        <v>121</v>
      </c>
      <c r="B126" s="104" t="s">
        <v>48</v>
      </c>
      <c r="C126" s="111" t="s">
        <v>425</v>
      </c>
      <c r="D126" s="111" t="s">
        <v>426</v>
      </c>
      <c r="E126" s="106">
        <v>2</v>
      </c>
      <c r="F126" s="115">
        <v>43142</v>
      </c>
      <c r="G126" s="108" t="s">
        <v>427</v>
      </c>
      <c r="H126" s="108">
        <v>4083246817</v>
      </c>
      <c r="I126" s="108" t="s">
        <v>428</v>
      </c>
      <c r="J126" s="109">
        <v>45901</v>
      </c>
      <c r="K126" s="110" t="s">
        <v>181</v>
      </c>
      <c r="L126" s="110">
        <v>41</v>
      </c>
      <c r="M126" s="137"/>
      <c r="N126" s="112" t="s">
        <v>40</v>
      </c>
      <c r="O126" s="111"/>
      <c r="P126" s="113"/>
      <c r="Q126" s="113"/>
      <c r="R126" s="113"/>
      <c r="S126" s="113"/>
      <c r="T126" s="182"/>
      <c r="U126" s="182"/>
      <c r="V126" s="182"/>
      <c r="W126" s="113"/>
      <c r="X126" s="113"/>
      <c r="Y126" s="113"/>
      <c r="Z126" s="113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</row>
    <row r="127" spans="1:48" ht="17.25" customHeight="1">
      <c r="A127" s="103">
        <v>122</v>
      </c>
      <c r="B127" s="104" t="s">
        <v>89</v>
      </c>
      <c r="C127" s="111" t="s">
        <v>425</v>
      </c>
      <c r="D127" s="111" t="s">
        <v>426</v>
      </c>
      <c r="E127" s="106">
        <v>2</v>
      </c>
      <c r="F127" s="115">
        <v>43142</v>
      </c>
      <c r="G127" s="108" t="s">
        <v>427</v>
      </c>
      <c r="H127" s="108">
        <v>4083246817</v>
      </c>
      <c r="I127" s="108" t="s">
        <v>428</v>
      </c>
      <c r="J127" s="109">
        <v>45901</v>
      </c>
      <c r="K127" s="110" t="s">
        <v>117</v>
      </c>
      <c r="L127" s="110">
        <v>28</v>
      </c>
      <c r="M127" s="137"/>
      <c r="N127" s="112" t="s">
        <v>40</v>
      </c>
      <c r="O127" s="111"/>
      <c r="P127" s="113"/>
      <c r="Q127" s="113"/>
      <c r="R127" s="113"/>
      <c r="S127" s="113"/>
      <c r="T127" s="182"/>
      <c r="U127" s="182"/>
      <c r="V127" s="182"/>
      <c r="W127" s="113"/>
      <c r="X127" s="113"/>
      <c r="Y127" s="113"/>
      <c r="Z127" s="113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</row>
    <row r="128" spans="1:48" ht="17.25" customHeight="1">
      <c r="A128" s="127">
        <v>123</v>
      </c>
      <c r="B128" s="88" t="s">
        <v>48</v>
      </c>
      <c r="C128" s="137" t="s">
        <v>429</v>
      </c>
      <c r="D128" s="137" t="s">
        <v>430</v>
      </c>
      <c r="E128" s="137">
        <v>2</v>
      </c>
      <c r="F128" s="138" t="s">
        <v>431</v>
      </c>
      <c r="G128" s="137" t="s">
        <v>432</v>
      </c>
      <c r="H128" s="137">
        <v>3473220327</v>
      </c>
      <c r="I128" s="137" t="s">
        <v>433</v>
      </c>
      <c r="J128" s="139">
        <v>45887</v>
      </c>
      <c r="K128" s="140" t="s">
        <v>181</v>
      </c>
      <c r="L128" s="140">
        <v>106</v>
      </c>
      <c r="M128" s="137"/>
      <c r="N128" s="119" t="s">
        <v>40</v>
      </c>
      <c r="O128" s="152"/>
      <c r="P128" s="113"/>
      <c r="Q128" s="113"/>
      <c r="R128" s="113"/>
      <c r="S128" s="113"/>
      <c r="T128" s="187"/>
      <c r="U128" s="187"/>
      <c r="V128" s="188"/>
      <c r="W128" s="113"/>
      <c r="X128" s="113"/>
      <c r="Y128" s="113"/>
      <c r="Z128" s="113"/>
      <c r="AA128" s="185"/>
      <c r="AB128" s="185"/>
      <c r="AC128" s="185"/>
      <c r="AD128" s="185"/>
      <c r="AE128" s="185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</row>
    <row r="129" spans="1:48" ht="17.25" customHeight="1">
      <c r="A129" s="103">
        <v>124</v>
      </c>
      <c r="B129" s="88" t="s">
        <v>89</v>
      </c>
      <c r="C129" s="137" t="s">
        <v>429</v>
      </c>
      <c r="D129" s="137" t="s">
        <v>430</v>
      </c>
      <c r="E129" s="137">
        <v>2</v>
      </c>
      <c r="F129" s="138" t="s">
        <v>431</v>
      </c>
      <c r="G129" s="137" t="s">
        <v>432</v>
      </c>
      <c r="H129" s="137">
        <v>3473220327</v>
      </c>
      <c r="I129" s="137" t="s">
        <v>433</v>
      </c>
      <c r="J129" s="139">
        <v>45887</v>
      </c>
      <c r="K129" s="140" t="s">
        <v>198</v>
      </c>
      <c r="L129" s="140">
        <v>84</v>
      </c>
      <c r="M129" s="137"/>
      <c r="N129" s="119" t="s">
        <v>40</v>
      </c>
      <c r="O129" s="152"/>
      <c r="P129" s="113"/>
      <c r="Q129" s="113"/>
      <c r="R129" s="113"/>
      <c r="S129" s="113"/>
      <c r="T129" s="187"/>
      <c r="U129" s="187"/>
      <c r="V129" s="188"/>
      <c r="W129" s="113"/>
      <c r="X129" s="113"/>
      <c r="Y129" s="113"/>
      <c r="Z129" s="113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</row>
    <row r="130" spans="1:48" ht="17.25" customHeight="1">
      <c r="A130" s="103">
        <v>125</v>
      </c>
      <c r="B130" s="88" t="s">
        <v>89</v>
      </c>
      <c r="C130" s="137" t="s">
        <v>434</v>
      </c>
      <c r="D130" s="137" t="s">
        <v>435</v>
      </c>
      <c r="E130" s="137" t="s">
        <v>265</v>
      </c>
      <c r="F130" s="138">
        <v>44245</v>
      </c>
      <c r="G130" s="137" t="s">
        <v>436</v>
      </c>
      <c r="H130" s="137">
        <v>6503056008</v>
      </c>
      <c r="I130" s="137" t="s">
        <v>437</v>
      </c>
      <c r="J130" s="139">
        <v>45658</v>
      </c>
      <c r="K130" s="140" t="s">
        <v>438</v>
      </c>
      <c r="L130" s="140">
        <v>29</v>
      </c>
      <c r="M130" s="137"/>
      <c r="N130" s="119" t="s">
        <v>40</v>
      </c>
      <c r="O130" s="141"/>
      <c r="P130" s="126"/>
      <c r="Q130" s="126"/>
      <c r="R130" s="126"/>
      <c r="S130" s="126"/>
      <c r="T130" s="184"/>
      <c r="U130" s="184"/>
      <c r="V130" s="184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18"/>
      <c r="AV130" s="118"/>
    </row>
    <row r="131" spans="1:48" ht="17.25" customHeight="1">
      <c r="A131" s="103">
        <v>126</v>
      </c>
      <c r="B131" s="173" t="s">
        <v>48</v>
      </c>
      <c r="C131" s="189" t="s">
        <v>439</v>
      </c>
      <c r="D131" s="189" t="s">
        <v>440</v>
      </c>
      <c r="E131" s="189">
        <v>3</v>
      </c>
      <c r="F131" s="190">
        <v>42860</v>
      </c>
      <c r="G131" s="159" t="s">
        <v>441</v>
      </c>
      <c r="H131" s="159">
        <v>4086233244</v>
      </c>
      <c r="I131" s="159" t="s">
        <v>442</v>
      </c>
      <c r="J131" s="161">
        <v>45885</v>
      </c>
      <c r="K131" s="162" t="s">
        <v>181</v>
      </c>
      <c r="L131" s="162"/>
      <c r="M131" s="159" t="s">
        <v>118</v>
      </c>
      <c r="N131" s="94" t="s">
        <v>34</v>
      </c>
      <c r="O131" s="191"/>
      <c r="P131" s="192"/>
      <c r="Q131" s="192"/>
      <c r="R131" s="192"/>
      <c r="S131" s="192"/>
      <c r="T131" s="193"/>
      <c r="U131" s="193"/>
      <c r="V131" s="194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5"/>
      <c r="AV131" s="195"/>
    </row>
    <row r="132" spans="1:48" ht="17.25" customHeight="1">
      <c r="A132" s="103">
        <v>127</v>
      </c>
      <c r="B132" s="173" t="s">
        <v>89</v>
      </c>
      <c r="C132" s="189" t="s">
        <v>439</v>
      </c>
      <c r="D132" s="189" t="s">
        <v>440</v>
      </c>
      <c r="E132" s="189">
        <v>3</v>
      </c>
      <c r="F132" s="190">
        <v>42860</v>
      </c>
      <c r="G132" s="159" t="s">
        <v>441</v>
      </c>
      <c r="H132" s="159">
        <v>4086233244</v>
      </c>
      <c r="I132" s="159" t="s">
        <v>442</v>
      </c>
      <c r="J132" s="161">
        <v>45885</v>
      </c>
      <c r="K132" s="162" t="s">
        <v>150</v>
      </c>
      <c r="L132" s="162"/>
      <c r="M132" s="159" t="s">
        <v>118</v>
      </c>
      <c r="N132" s="94" t="s">
        <v>34</v>
      </c>
      <c r="O132" s="191"/>
      <c r="P132" s="192"/>
      <c r="Q132" s="192"/>
      <c r="R132" s="192"/>
      <c r="S132" s="192"/>
      <c r="T132" s="193"/>
      <c r="U132" s="193"/>
      <c r="V132" s="194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5"/>
      <c r="AV132" s="195"/>
    </row>
    <row r="133" spans="1:48" ht="17.25" customHeight="1">
      <c r="A133" s="127">
        <v>128</v>
      </c>
      <c r="B133" s="173" t="s">
        <v>48</v>
      </c>
      <c r="C133" s="189" t="s">
        <v>439</v>
      </c>
      <c r="D133" s="189" t="s">
        <v>443</v>
      </c>
      <c r="E133" s="189" t="s">
        <v>133</v>
      </c>
      <c r="F133" s="196">
        <v>43825</v>
      </c>
      <c r="G133" s="159" t="s">
        <v>441</v>
      </c>
      <c r="H133" s="159">
        <v>4086233244</v>
      </c>
      <c r="I133" s="159" t="s">
        <v>442</v>
      </c>
      <c r="J133" s="161">
        <v>45885</v>
      </c>
      <c r="K133" s="162" t="s">
        <v>422</v>
      </c>
      <c r="L133" s="162"/>
      <c r="M133" s="159" t="s">
        <v>118</v>
      </c>
      <c r="N133" s="94" t="s">
        <v>34</v>
      </c>
      <c r="O133" s="191"/>
      <c r="P133" s="192"/>
      <c r="Q133" s="192"/>
      <c r="R133" s="192"/>
      <c r="S133" s="192"/>
      <c r="T133" s="193"/>
      <c r="U133" s="193"/>
      <c r="V133" s="194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5"/>
      <c r="AV133" s="195"/>
    </row>
    <row r="134" spans="1:48" ht="17.25" customHeight="1">
      <c r="A134" s="103">
        <v>129</v>
      </c>
      <c r="B134" s="173" t="s">
        <v>89</v>
      </c>
      <c r="C134" s="189" t="s">
        <v>439</v>
      </c>
      <c r="D134" s="189" t="s">
        <v>443</v>
      </c>
      <c r="E134" s="189" t="s">
        <v>133</v>
      </c>
      <c r="F134" s="196">
        <v>43825</v>
      </c>
      <c r="G134" s="159" t="s">
        <v>441</v>
      </c>
      <c r="H134" s="159">
        <v>4086233244</v>
      </c>
      <c r="I134" s="159" t="s">
        <v>442</v>
      </c>
      <c r="J134" s="161">
        <v>45885</v>
      </c>
      <c r="K134" s="162" t="s">
        <v>285</v>
      </c>
      <c r="L134" s="162"/>
      <c r="M134" s="159" t="s">
        <v>118</v>
      </c>
      <c r="N134" s="94" t="s">
        <v>34</v>
      </c>
      <c r="O134" s="191"/>
      <c r="P134" s="192"/>
      <c r="Q134" s="192"/>
      <c r="R134" s="192"/>
      <c r="S134" s="192"/>
      <c r="T134" s="193"/>
      <c r="U134" s="193"/>
      <c r="V134" s="194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5"/>
      <c r="AV134" s="195"/>
    </row>
    <row r="135" spans="1:48" ht="17.25" customHeight="1">
      <c r="A135" s="103">
        <v>130</v>
      </c>
      <c r="B135" s="88" t="s">
        <v>48</v>
      </c>
      <c r="C135" s="137" t="s">
        <v>444</v>
      </c>
      <c r="D135" s="137" t="s">
        <v>445</v>
      </c>
      <c r="E135" s="137">
        <v>4</v>
      </c>
      <c r="F135" s="138" t="s">
        <v>446</v>
      </c>
      <c r="G135" s="137" t="s">
        <v>447</v>
      </c>
      <c r="H135" s="137">
        <v>6266790497</v>
      </c>
      <c r="I135" s="137" t="s">
        <v>448</v>
      </c>
      <c r="J135" s="139" t="s">
        <v>449</v>
      </c>
      <c r="K135" s="140" t="s">
        <v>450</v>
      </c>
      <c r="L135" s="140">
        <v>86</v>
      </c>
      <c r="M135" s="137"/>
      <c r="N135" s="119" t="s">
        <v>40</v>
      </c>
      <c r="O135" s="141"/>
      <c r="P135" s="126"/>
      <c r="Q135" s="126"/>
      <c r="R135" s="126"/>
      <c r="S135" s="126"/>
      <c r="T135" s="184"/>
      <c r="U135" s="184"/>
      <c r="V135" s="184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18"/>
      <c r="AV135" s="118"/>
    </row>
    <row r="136" spans="1:48" ht="17.25" customHeight="1">
      <c r="A136" s="103">
        <v>131</v>
      </c>
      <c r="B136" s="88" t="s">
        <v>89</v>
      </c>
      <c r="C136" s="137" t="s">
        <v>444</v>
      </c>
      <c r="D136" s="137" t="s">
        <v>445</v>
      </c>
      <c r="E136" s="137">
        <v>4</v>
      </c>
      <c r="F136" s="138" t="s">
        <v>446</v>
      </c>
      <c r="G136" s="137" t="s">
        <v>447</v>
      </c>
      <c r="H136" s="137">
        <v>6266790497</v>
      </c>
      <c r="I136" s="137" t="s">
        <v>448</v>
      </c>
      <c r="J136" s="139" t="s">
        <v>449</v>
      </c>
      <c r="K136" s="140" t="s">
        <v>144</v>
      </c>
      <c r="L136" s="140">
        <v>101</v>
      </c>
      <c r="M136" s="137"/>
      <c r="N136" s="119" t="s">
        <v>40</v>
      </c>
      <c r="O136" s="141"/>
      <c r="P136" s="126"/>
      <c r="Q136" s="126"/>
      <c r="R136" s="126"/>
      <c r="S136" s="126"/>
      <c r="T136" s="184"/>
      <c r="U136" s="184"/>
      <c r="V136" s="184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18"/>
      <c r="AV136" s="118"/>
    </row>
    <row r="137" spans="1:48" ht="17.25" customHeight="1">
      <c r="A137" s="103">
        <v>132</v>
      </c>
      <c r="B137" s="88" t="s">
        <v>48</v>
      </c>
      <c r="C137" s="137" t="s">
        <v>444</v>
      </c>
      <c r="D137" s="137" t="s">
        <v>139</v>
      </c>
      <c r="E137" s="137" t="s">
        <v>133</v>
      </c>
      <c r="F137" s="138">
        <v>42707</v>
      </c>
      <c r="G137" s="137" t="s">
        <v>451</v>
      </c>
      <c r="H137" s="137">
        <v>5108969910</v>
      </c>
      <c r="I137" s="137" t="s">
        <v>452</v>
      </c>
      <c r="J137" s="139">
        <v>44805</v>
      </c>
      <c r="K137" s="140" t="s">
        <v>168</v>
      </c>
      <c r="L137" s="140">
        <v>61</v>
      </c>
      <c r="M137" s="137"/>
      <c r="N137" s="119" t="s">
        <v>40</v>
      </c>
      <c r="O137" s="141"/>
      <c r="P137" s="126"/>
      <c r="Q137" s="126"/>
      <c r="R137" s="126"/>
      <c r="S137" s="126"/>
      <c r="T137" s="184"/>
      <c r="U137" s="184"/>
      <c r="V137" s="184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18"/>
      <c r="AV137" s="118"/>
    </row>
    <row r="138" spans="1:48" ht="17.25" customHeight="1">
      <c r="A138" s="127">
        <v>133</v>
      </c>
      <c r="B138" s="88" t="s">
        <v>89</v>
      </c>
      <c r="C138" s="137" t="s">
        <v>444</v>
      </c>
      <c r="D138" s="137" t="s">
        <v>139</v>
      </c>
      <c r="E138" s="137" t="s">
        <v>133</v>
      </c>
      <c r="F138" s="138">
        <v>42707</v>
      </c>
      <c r="G138" s="137" t="s">
        <v>451</v>
      </c>
      <c r="H138" s="137">
        <v>5108969910</v>
      </c>
      <c r="I138" s="137" t="s">
        <v>452</v>
      </c>
      <c r="J138" s="139">
        <v>44805</v>
      </c>
      <c r="K138" s="140" t="s">
        <v>117</v>
      </c>
      <c r="L138" s="140">
        <v>110</v>
      </c>
      <c r="M138" s="137"/>
      <c r="N138" s="119" t="s">
        <v>40</v>
      </c>
      <c r="O138" s="141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18"/>
      <c r="AV138" s="118"/>
    </row>
    <row r="139" spans="1:48" ht="17.25" customHeight="1">
      <c r="A139" s="103">
        <v>134</v>
      </c>
      <c r="B139" s="88" t="s">
        <v>48</v>
      </c>
      <c r="C139" s="137" t="s">
        <v>444</v>
      </c>
      <c r="D139" s="137" t="s">
        <v>453</v>
      </c>
      <c r="E139" s="137">
        <v>2</v>
      </c>
      <c r="F139" s="138" t="s">
        <v>454</v>
      </c>
      <c r="G139" s="137" t="s">
        <v>447</v>
      </c>
      <c r="H139" s="137">
        <v>6266790497</v>
      </c>
      <c r="I139" s="137" t="s">
        <v>448</v>
      </c>
      <c r="J139" s="139" t="s">
        <v>449</v>
      </c>
      <c r="K139" s="140" t="s">
        <v>262</v>
      </c>
      <c r="L139" s="140">
        <v>78</v>
      </c>
      <c r="M139" s="137"/>
      <c r="N139" s="119" t="s">
        <v>40</v>
      </c>
      <c r="O139" s="141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18"/>
      <c r="AV139" s="118"/>
    </row>
    <row r="140" spans="1:48" ht="17.25" customHeight="1">
      <c r="A140" s="103">
        <v>135</v>
      </c>
      <c r="B140" s="88" t="s">
        <v>89</v>
      </c>
      <c r="C140" s="137" t="s">
        <v>444</v>
      </c>
      <c r="D140" s="137" t="s">
        <v>453</v>
      </c>
      <c r="E140" s="137">
        <v>2</v>
      </c>
      <c r="F140" s="138" t="s">
        <v>454</v>
      </c>
      <c r="G140" s="137" t="s">
        <v>447</v>
      </c>
      <c r="H140" s="137">
        <v>6266790497</v>
      </c>
      <c r="I140" s="137" t="s">
        <v>448</v>
      </c>
      <c r="J140" s="139" t="s">
        <v>449</v>
      </c>
      <c r="K140" s="140" t="s">
        <v>370</v>
      </c>
      <c r="L140" s="140">
        <v>71</v>
      </c>
      <c r="M140" s="137"/>
      <c r="N140" s="119" t="s">
        <v>40</v>
      </c>
      <c r="O140" s="141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18"/>
      <c r="AV140" s="118"/>
    </row>
    <row r="141" spans="1:48" ht="17.25" customHeight="1">
      <c r="A141" s="103">
        <v>136</v>
      </c>
      <c r="B141" s="119" t="s">
        <v>48</v>
      </c>
      <c r="C141" s="120" t="s">
        <v>444</v>
      </c>
      <c r="D141" s="120" t="s">
        <v>455</v>
      </c>
      <c r="E141" s="120">
        <v>2</v>
      </c>
      <c r="F141" s="121">
        <v>43140</v>
      </c>
      <c r="G141" s="122" t="s">
        <v>456</v>
      </c>
      <c r="H141" s="122">
        <v>5109994555</v>
      </c>
      <c r="I141" s="122" t="s">
        <v>457</v>
      </c>
      <c r="J141" s="123">
        <v>45838</v>
      </c>
      <c r="K141" s="124" t="s">
        <v>458</v>
      </c>
      <c r="L141" s="124">
        <v>9</v>
      </c>
      <c r="M141" s="120"/>
      <c r="N141" s="119" t="s">
        <v>40</v>
      </c>
      <c r="O141" s="125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97"/>
      <c r="AV141" s="197"/>
    </row>
    <row r="142" spans="1:48" ht="17.25" customHeight="1">
      <c r="A142" s="103">
        <v>137</v>
      </c>
      <c r="B142" s="119" t="s">
        <v>89</v>
      </c>
      <c r="C142" s="120" t="s">
        <v>444</v>
      </c>
      <c r="D142" s="120" t="s">
        <v>455</v>
      </c>
      <c r="E142" s="120">
        <v>2</v>
      </c>
      <c r="F142" s="121">
        <v>43141</v>
      </c>
      <c r="G142" s="122" t="s">
        <v>459</v>
      </c>
      <c r="H142" s="122">
        <v>5109994555</v>
      </c>
      <c r="I142" s="122" t="s">
        <v>457</v>
      </c>
      <c r="J142" s="123">
        <v>45838</v>
      </c>
      <c r="K142" s="124" t="s">
        <v>285</v>
      </c>
      <c r="L142" s="124">
        <v>51</v>
      </c>
      <c r="M142" s="120"/>
      <c r="N142" s="119" t="s">
        <v>40</v>
      </c>
      <c r="O142" s="125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97"/>
      <c r="AV142" s="197"/>
    </row>
    <row r="143" spans="1:48" ht="17.25" customHeight="1">
      <c r="A143" s="127">
        <v>138</v>
      </c>
      <c r="B143" s="167" t="s">
        <v>48</v>
      </c>
      <c r="C143" s="141" t="s">
        <v>460</v>
      </c>
      <c r="D143" s="141" t="s">
        <v>461</v>
      </c>
      <c r="E143" s="137">
        <v>1</v>
      </c>
      <c r="F143" s="152">
        <v>43335</v>
      </c>
      <c r="G143" s="122" t="s">
        <v>462</v>
      </c>
      <c r="H143" s="122">
        <v>5105574675</v>
      </c>
      <c r="I143" s="122" t="s">
        <v>463</v>
      </c>
      <c r="J143" s="139">
        <v>45766</v>
      </c>
      <c r="K143" s="140" t="s">
        <v>346</v>
      </c>
      <c r="L143" s="140">
        <v>66</v>
      </c>
      <c r="M143" s="137"/>
      <c r="N143" s="119" t="s">
        <v>40</v>
      </c>
      <c r="O143" s="152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  <c r="AS143" s="198"/>
      <c r="AT143" s="198"/>
      <c r="AU143" s="143"/>
      <c r="AV143" s="143"/>
    </row>
    <row r="144" spans="1:48" ht="17.25" customHeight="1">
      <c r="A144" s="103">
        <v>139</v>
      </c>
      <c r="B144" s="88" t="s">
        <v>48</v>
      </c>
      <c r="C144" s="137" t="s">
        <v>460</v>
      </c>
      <c r="D144" s="137" t="s">
        <v>297</v>
      </c>
      <c r="E144" s="137">
        <v>2</v>
      </c>
      <c r="F144" s="138" t="s">
        <v>464</v>
      </c>
      <c r="G144" s="137" t="s">
        <v>465</v>
      </c>
      <c r="H144" s="137">
        <v>4085108805</v>
      </c>
      <c r="I144" s="137" t="s">
        <v>466</v>
      </c>
      <c r="J144" s="139">
        <v>45888</v>
      </c>
      <c r="K144" s="140" t="s">
        <v>114</v>
      </c>
      <c r="L144" s="140">
        <v>26</v>
      </c>
      <c r="M144" s="137"/>
      <c r="N144" s="119" t="s">
        <v>40</v>
      </c>
      <c r="O144" s="152"/>
      <c r="P144" s="113"/>
      <c r="Q144" s="113"/>
      <c r="R144" s="113"/>
      <c r="S144" s="113"/>
      <c r="T144" s="148"/>
      <c r="U144" s="148"/>
      <c r="V144" s="149"/>
      <c r="W144" s="113"/>
      <c r="X144" s="113"/>
      <c r="Y144" s="113"/>
      <c r="Z144" s="113"/>
      <c r="AA144" s="185"/>
      <c r="AB144" s="185"/>
      <c r="AC144" s="185"/>
      <c r="AD144" s="185"/>
      <c r="AE144" s="185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</row>
    <row r="145" spans="1:48" ht="17.25" customHeight="1">
      <c r="A145" s="103">
        <v>140</v>
      </c>
      <c r="B145" s="167" t="s">
        <v>89</v>
      </c>
      <c r="C145" s="141" t="s">
        <v>460</v>
      </c>
      <c r="D145" s="141" t="s">
        <v>297</v>
      </c>
      <c r="E145" s="137">
        <v>2</v>
      </c>
      <c r="F145" s="138" t="s">
        <v>464</v>
      </c>
      <c r="G145" s="137" t="s">
        <v>465</v>
      </c>
      <c r="H145" s="137">
        <v>4085108805</v>
      </c>
      <c r="I145" s="137" t="s">
        <v>466</v>
      </c>
      <c r="J145" s="139">
        <v>45888</v>
      </c>
      <c r="K145" s="140" t="s">
        <v>205</v>
      </c>
      <c r="L145" s="140">
        <v>11</v>
      </c>
      <c r="M145" s="137"/>
      <c r="N145" s="119" t="s">
        <v>40</v>
      </c>
      <c r="O145" s="152"/>
      <c r="P145" s="113"/>
      <c r="Q145" s="113"/>
      <c r="R145" s="113"/>
      <c r="S145" s="113"/>
      <c r="T145" s="187"/>
      <c r="U145" s="187"/>
      <c r="V145" s="188"/>
      <c r="W145" s="113"/>
      <c r="X145" s="113"/>
      <c r="Y145" s="113"/>
      <c r="Z145" s="113"/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</row>
    <row r="146" spans="1:48" ht="17.25" customHeight="1">
      <c r="A146" s="103">
        <v>141</v>
      </c>
      <c r="B146" s="88" t="s">
        <v>48</v>
      </c>
      <c r="C146" s="137" t="s">
        <v>460</v>
      </c>
      <c r="D146" s="137" t="s">
        <v>467</v>
      </c>
      <c r="E146" s="137">
        <v>3</v>
      </c>
      <c r="F146" s="152">
        <v>42620</v>
      </c>
      <c r="G146" s="122" t="s">
        <v>468</v>
      </c>
      <c r="H146" s="122">
        <v>5105574675</v>
      </c>
      <c r="I146" s="122" t="s">
        <v>463</v>
      </c>
      <c r="J146" s="139">
        <v>45766</v>
      </c>
      <c r="K146" s="140" t="s">
        <v>346</v>
      </c>
      <c r="L146" s="140">
        <v>110</v>
      </c>
      <c r="M146" s="137"/>
      <c r="N146" s="119" t="s">
        <v>40</v>
      </c>
      <c r="O146" s="141"/>
      <c r="P146" s="126"/>
      <c r="Q146" s="126"/>
      <c r="R146" s="126"/>
      <c r="S146" s="126"/>
      <c r="T146" s="184"/>
      <c r="U146" s="184"/>
      <c r="V146" s="184"/>
      <c r="W146" s="126"/>
      <c r="X146" s="126"/>
      <c r="Y146" s="126"/>
      <c r="Z146" s="126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2"/>
      <c r="AQ146" s="142"/>
      <c r="AR146" s="142"/>
      <c r="AS146" s="142"/>
      <c r="AT146" s="142"/>
      <c r="AU146" s="143"/>
      <c r="AV146" s="143"/>
    </row>
    <row r="147" spans="1:48" ht="17.25" customHeight="1">
      <c r="A147" s="103">
        <v>142</v>
      </c>
      <c r="B147" s="88" t="s">
        <v>48</v>
      </c>
      <c r="C147" s="141" t="s">
        <v>460</v>
      </c>
      <c r="D147" s="141" t="s">
        <v>469</v>
      </c>
      <c r="E147" s="137" t="s">
        <v>133</v>
      </c>
      <c r="F147" s="152">
        <v>43749</v>
      </c>
      <c r="G147" s="122" t="s">
        <v>470</v>
      </c>
      <c r="H147" s="122">
        <v>5109966295</v>
      </c>
      <c r="I147" s="122" t="s">
        <v>471</v>
      </c>
      <c r="J147" s="139">
        <v>45824</v>
      </c>
      <c r="K147" s="140" t="s">
        <v>346</v>
      </c>
      <c r="L147" s="140">
        <v>41</v>
      </c>
      <c r="M147" s="137"/>
      <c r="N147" s="119" t="s">
        <v>40</v>
      </c>
      <c r="O147" s="141"/>
      <c r="P147" s="118"/>
      <c r="Q147" s="118"/>
      <c r="R147" s="118"/>
      <c r="S147" s="118"/>
      <c r="T147" s="199"/>
      <c r="U147" s="199"/>
      <c r="V147" s="199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26"/>
      <c r="AV147" s="126"/>
    </row>
    <row r="148" spans="1:48" ht="17.25" customHeight="1">
      <c r="A148" s="127">
        <v>143</v>
      </c>
      <c r="B148" s="167" t="s">
        <v>48</v>
      </c>
      <c r="C148" s="141" t="s">
        <v>460</v>
      </c>
      <c r="D148" s="141" t="s">
        <v>472</v>
      </c>
      <c r="E148" s="137" t="s">
        <v>133</v>
      </c>
      <c r="F148" s="152">
        <v>43748</v>
      </c>
      <c r="G148" s="122" t="s">
        <v>473</v>
      </c>
      <c r="H148" s="122">
        <v>5109966295</v>
      </c>
      <c r="I148" s="122" t="s">
        <v>471</v>
      </c>
      <c r="J148" s="139">
        <v>45824</v>
      </c>
      <c r="K148" s="140" t="s">
        <v>346</v>
      </c>
      <c r="L148" s="140">
        <v>41</v>
      </c>
      <c r="M148" s="138"/>
      <c r="N148" s="119" t="s">
        <v>40</v>
      </c>
      <c r="O148" s="152"/>
      <c r="P148" s="117"/>
      <c r="Q148" s="117"/>
      <c r="R148" s="117"/>
      <c r="S148" s="117"/>
      <c r="T148" s="183"/>
      <c r="U148" s="183"/>
      <c r="V148" s="183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8"/>
      <c r="AV148" s="118"/>
    </row>
    <row r="149" spans="1:48" ht="17.25" customHeight="1">
      <c r="A149" s="103">
        <v>144</v>
      </c>
      <c r="B149" s="88" t="s">
        <v>48</v>
      </c>
      <c r="C149" s="137" t="s">
        <v>460</v>
      </c>
      <c r="D149" s="137" t="s">
        <v>474</v>
      </c>
      <c r="E149" s="137">
        <v>4</v>
      </c>
      <c r="F149" s="138" t="s">
        <v>475</v>
      </c>
      <c r="G149" s="137" t="s">
        <v>465</v>
      </c>
      <c r="H149" s="137">
        <v>4085108805</v>
      </c>
      <c r="I149" s="137" t="s">
        <v>466</v>
      </c>
      <c r="J149" s="139">
        <v>45888</v>
      </c>
      <c r="K149" s="140" t="s">
        <v>228</v>
      </c>
      <c r="L149" s="140">
        <v>61</v>
      </c>
      <c r="M149" s="137"/>
      <c r="N149" s="119" t="s">
        <v>40</v>
      </c>
      <c r="O149" s="152"/>
      <c r="P149" s="113"/>
      <c r="Q149" s="113"/>
      <c r="R149" s="113"/>
      <c r="S149" s="113"/>
      <c r="T149" s="187"/>
      <c r="U149" s="187"/>
      <c r="V149" s="188"/>
      <c r="W149" s="113"/>
      <c r="X149" s="113"/>
      <c r="Y149" s="113"/>
      <c r="Z149" s="113"/>
      <c r="AA149" s="185"/>
      <c r="AB149" s="185"/>
      <c r="AC149" s="185"/>
      <c r="AD149" s="185"/>
      <c r="AE149" s="185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</row>
    <row r="150" spans="1:48" ht="17.25" customHeight="1">
      <c r="A150" s="103">
        <v>145</v>
      </c>
      <c r="B150" s="88" t="s">
        <v>89</v>
      </c>
      <c r="C150" s="137" t="s">
        <v>460</v>
      </c>
      <c r="D150" s="137" t="s">
        <v>474</v>
      </c>
      <c r="E150" s="137">
        <v>4</v>
      </c>
      <c r="F150" s="138" t="s">
        <v>475</v>
      </c>
      <c r="G150" s="137" t="s">
        <v>465</v>
      </c>
      <c r="H150" s="137">
        <v>4085108805</v>
      </c>
      <c r="I150" s="137" t="s">
        <v>466</v>
      </c>
      <c r="J150" s="139">
        <v>45888</v>
      </c>
      <c r="K150" s="140" t="s">
        <v>476</v>
      </c>
      <c r="L150" s="140">
        <v>16</v>
      </c>
      <c r="M150" s="137"/>
      <c r="N150" s="119" t="s">
        <v>40</v>
      </c>
      <c r="O150" s="152"/>
      <c r="P150" s="113"/>
      <c r="Q150" s="113"/>
      <c r="R150" s="113"/>
      <c r="S150" s="113"/>
      <c r="T150" s="187"/>
      <c r="U150" s="187"/>
      <c r="V150" s="188"/>
      <c r="W150" s="113"/>
      <c r="X150" s="113"/>
      <c r="Y150" s="113"/>
      <c r="Z150" s="113"/>
      <c r="AA150" s="185"/>
      <c r="AB150" s="185"/>
      <c r="AC150" s="185"/>
      <c r="AD150" s="185"/>
      <c r="AE150" s="185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</row>
    <row r="151" spans="1:48" ht="17.25" customHeight="1">
      <c r="A151" s="103">
        <v>146</v>
      </c>
      <c r="B151" s="88" t="s">
        <v>48</v>
      </c>
      <c r="C151" s="137" t="s">
        <v>477</v>
      </c>
      <c r="D151" s="137" t="s">
        <v>478</v>
      </c>
      <c r="E151" s="137">
        <v>2</v>
      </c>
      <c r="F151" s="138">
        <v>42905</v>
      </c>
      <c r="G151" s="137" t="s">
        <v>479</v>
      </c>
      <c r="H151" s="137">
        <v>5303647578</v>
      </c>
      <c r="I151" s="137" t="s">
        <v>480</v>
      </c>
      <c r="J151" s="139">
        <v>45717</v>
      </c>
      <c r="K151" s="140" t="s">
        <v>181</v>
      </c>
      <c r="L151" s="140">
        <v>110</v>
      </c>
      <c r="M151" s="137"/>
      <c r="N151" s="119" t="s">
        <v>40</v>
      </c>
      <c r="O151" s="141"/>
      <c r="P151" s="126"/>
      <c r="Q151" s="126"/>
      <c r="R151" s="126"/>
      <c r="S151" s="126"/>
      <c r="T151" s="184"/>
      <c r="U151" s="184"/>
      <c r="V151" s="184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18"/>
      <c r="AV151" s="118"/>
    </row>
    <row r="152" spans="1:48" ht="17.25" customHeight="1">
      <c r="A152" s="103">
        <v>147</v>
      </c>
      <c r="B152" s="178" t="s">
        <v>89</v>
      </c>
      <c r="C152" s="111" t="s">
        <v>481</v>
      </c>
      <c r="D152" s="111" t="s">
        <v>482</v>
      </c>
      <c r="E152" s="106">
        <v>4</v>
      </c>
      <c r="F152" s="115">
        <v>42433</v>
      </c>
      <c r="G152" s="111" t="s">
        <v>483</v>
      </c>
      <c r="H152" s="108">
        <v>5105202610</v>
      </c>
      <c r="I152" s="108" t="s">
        <v>484</v>
      </c>
      <c r="J152" s="109">
        <v>45810</v>
      </c>
      <c r="K152" s="110" t="s">
        <v>204</v>
      </c>
      <c r="L152" s="110">
        <v>25</v>
      </c>
      <c r="M152" s="106" t="s">
        <v>485</v>
      </c>
      <c r="N152" s="112" t="s">
        <v>40</v>
      </c>
      <c r="O152" s="111"/>
      <c r="P152" s="118"/>
      <c r="Q152" s="118"/>
      <c r="R152" s="118"/>
      <c r="S152" s="118"/>
      <c r="T152" s="199"/>
      <c r="U152" s="199"/>
      <c r="V152" s="199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26"/>
      <c r="AV152" s="126"/>
    </row>
    <row r="153" spans="1:48" ht="17.25" customHeight="1">
      <c r="A153" s="127">
        <v>148</v>
      </c>
      <c r="B153" s="119" t="s">
        <v>48</v>
      </c>
      <c r="C153" s="137" t="s">
        <v>481</v>
      </c>
      <c r="D153" s="137" t="s">
        <v>486</v>
      </c>
      <c r="E153" s="137">
        <v>1</v>
      </c>
      <c r="F153" s="138">
        <v>43326</v>
      </c>
      <c r="G153" s="141" t="s">
        <v>487</v>
      </c>
      <c r="H153" s="122">
        <v>5105202610</v>
      </c>
      <c r="I153" s="122" t="s">
        <v>484</v>
      </c>
      <c r="J153" s="139">
        <v>45810</v>
      </c>
      <c r="K153" s="140" t="s">
        <v>125</v>
      </c>
      <c r="L153" s="140">
        <v>21</v>
      </c>
      <c r="M153" s="106" t="s">
        <v>485</v>
      </c>
      <c r="N153" s="119" t="s">
        <v>40</v>
      </c>
      <c r="O153" s="152"/>
      <c r="P153" s="200"/>
      <c r="Q153" s="200"/>
      <c r="R153" s="200"/>
      <c r="S153" s="200"/>
      <c r="T153" s="201"/>
      <c r="U153" s="201"/>
      <c r="V153" s="201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118"/>
      <c r="AV153" s="118"/>
    </row>
    <row r="154" spans="1:48" ht="17.25" customHeight="1">
      <c r="A154" s="103">
        <v>149</v>
      </c>
      <c r="B154" s="88" t="s">
        <v>48</v>
      </c>
      <c r="C154" s="137" t="s">
        <v>488</v>
      </c>
      <c r="D154" s="137" t="s">
        <v>489</v>
      </c>
      <c r="E154" s="137">
        <v>4</v>
      </c>
      <c r="F154" s="138" t="s">
        <v>490</v>
      </c>
      <c r="G154" s="137" t="s">
        <v>491</v>
      </c>
      <c r="H154" s="137">
        <v>4085076346</v>
      </c>
      <c r="I154" s="137" t="s">
        <v>492</v>
      </c>
      <c r="J154" s="139">
        <v>45887</v>
      </c>
      <c r="K154" s="140" t="s">
        <v>145</v>
      </c>
      <c r="L154" s="140">
        <v>36</v>
      </c>
      <c r="M154" s="137"/>
      <c r="N154" s="119" t="s">
        <v>40</v>
      </c>
      <c r="O154" s="152"/>
      <c r="P154" s="126"/>
      <c r="Q154" s="126"/>
      <c r="R154" s="126"/>
      <c r="S154" s="126"/>
      <c r="T154" s="187"/>
      <c r="U154" s="187"/>
      <c r="V154" s="188"/>
      <c r="W154" s="126"/>
      <c r="X154" s="126"/>
      <c r="Y154" s="126"/>
      <c r="Z154" s="126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6"/>
      <c r="AV154" s="156"/>
    </row>
    <row r="155" spans="1:48" ht="17.25" customHeight="1">
      <c r="A155" s="103">
        <v>150</v>
      </c>
      <c r="B155" s="88" t="s">
        <v>89</v>
      </c>
      <c r="C155" s="137" t="s">
        <v>488</v>
      </c>
      <c r="D155" s="137" t="s">
        <v>489</v>
      </c>
      <c r="E155" s="137">
        <v>4</v>
      </c>
      <c r="F155" s="138" t="s">
        <v>493</v>
      </c>
      <c r="G155" s="137" t="s">
        <v>494</v>
      </c>
      <c r="H155" s="137">
        <v>4085076346</v>
      </c>
      <c r="I155" s="137" t="s">
        <v>492</v>
      </c>
      <c r="J155" s="139">
        <v>45889</v>
      </c>
      <c r="K155" s="140" t="s">
        <v>495</v>
      </c>
      <c r="L155" s="140">
        <v>91</v>
      </c>
      <c r="M155" s="137"/>
      <c r="N155" s="119" t="s">
        <v>40</v>
      </c>
      <c r="O155" s="152"/>
      <c r="P155" s="126"/>
      <c r="Q155" s="126"/>
      <c r="R155" s="126"/>
      <c r="S155" s="126"/>
      <c r="T155" s="187"/>
      <c r="U155" s="187"/>
      <c r="V155" s="188"/>
      <c r="W155" s="126"/>
      <c r="X155" s="126"/>
      <c r="Y155" s="126"/>
      <c r="Z155" s="126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6"/>
      <c r="AV155" s="156"/>
    </row>
    <row r="156" spans="1:48" ht="17.25" customHeight="1">
      <c r="A156" s="103">
        <v>151</v>
      </c>
      <c r="B156" s="88" t="s">
        <v>48</v>
      </c>
      <c r="C156" s="137" t="s">
        <v>488</v>
      </c>
      <c r="D156" s="137" t="s">
        <v>496</v>
      </c>
      <c r="E156" s="137">
        <v>4</v>
      </c>
      <c r="F156" s="138" t="s">
        <v>490</v>
      </c>
      <c r="G156" s="137" t="s">
        <v>491</v>
      </c>
      <c r="H156" s="137">
        <v>4085076346</v>
      </c>
      <c r="I156" s="137" t="s">
        <v>492</v>
      </c>
      <c r="J156" s="139">
        <v>45888</v>
      </c>
      <c r="K156" s="140" t="s">
        <v>145</v>
      </c>
      <c r="L156" s="140">
        <v>16</v>
      </c>
      <c r="M156" s="137"/>
      <c r="N156" s="119" t="s">
        <v>40</v>
      </c>
      <c r="O156" s="152"/>
      <c r="P156" s="147"/>
      <c r="Q156" s="147"/>
      <c r="R156" s="147"/>
      <c r="S156" s="147"/>
      <c r="T156" s="182"/>
      <c r="U156" s="182"/>
      <c r="V156" s="182"/>
      <c r="W156" s="147"/>
      <c r="X156" s="147"/>
      <c r="Y156" s="147"/>
      <c r="Z156" s="147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2"/>
      <c r="AV156" s="172"/>
    </row>
    <row r="157" spans="1:48" ht="17.25" customHeight="1">
      <c r="A157" s="103">
        <v>152</v>
      </c>
      <c r="B157" s="88" t="s">
        <v>89</v>
      </c>
      <c r="C157" s="137" t="s">
        <v>488</v>
      </c>
      <c r="D157" s="137" t="s">
        <v>496</v>
      </c>
      <c r="E157" s="137">
        <v>4</v>
      </c>
      <c r="F157" s="138" t="s">
        <v>493</v>
      </c>
      <c r="G157" s="137" t="s">
        <v>494</v>
      </c>
      <c r="H157" s="137">
        <v>4085076346</v>
      </c>
      <c r="I157" s="137" t="s">
        <v>492</v>
      </c>
      <c r="J157" s="139">
        <v>45888</v>
      </c>
      <c r="K157" s="140" t="s">
        <v>497</v>
      </c>
      <c r="L157" s="140">
        <v>81</v>
      </c>
      <c r="M157" s="137"/>
      <c r="N157" s="119" t="s">
        <v>40</v>
      </c>
      <c r="O157" s="152"/>
      <c r="P157" s="147"/>
      <c r="Q157" s="147"/>
      <c r="R157" s="147"/>
      <c r="S157" s="147"/>
      <c r="T157" s="182"/>
      <c r="U157" s="182"/>
      <c r="V157" s="182"/>
      <c r="W157" s="147"/>
      <c r="X157" s="147"/>
      <c r="Y157" s="147"/>
      <c r="Z157" s="147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2"/>
      <c r="AV157" s="172"/>
    </row>
    <row r="158" spans="1:48" ht="17.25" customHeight="1">
      <c r="A158" s="127">
        <v>153</v>
      </c>
      <c r="B158" s="88" t="s">
        <v>48</v>
      </c>
      <c r="C158" s="144" t="s">
        <v>498</v>
      </c>
      <c r="D158" s="144" t="s">
        <v>499</v>
      </c>
      <c r="E158" s="137">
        <v>1</v>
      </c>
      <c r="F158" s="145">
        <v>43416</v>
      </c>
      <c r="G158" s="137" t="s">
        <v>500</v>
      </c>
      <c r="H158" s="137">
        <v>2394940438</v>
      </c>
      <c r="I158" s="137" t="s">
        <v>501</v>
      </c>
      <c r="J158" s="139">
        <v>45888</v>
      </c>
      <c r="K158" s="140" t="s">
        <v>346</v>
      </c>
      <c r="L158" s="140">
        <v>91</v>
      </c>
      <c r="M158" s="137"/>
      <c r="N158" s="119" t="s">
        <v>40</v>
      </c>
      <c r="O158" s="146"/>
      <c r="P158" s="147"/>
      <c r="Q158" s="147"/>
      <c r="R158" s="147"/>
      <c r="S158" s="147"/>
      <c r="T158" s="187"/>
      <c r="U158" s="187"/>
      <c r="V158" s="188"/>
      <c r="W158" s="147"/>
      <c r="X158" s="147"/>
      <c r="Y158" s="147"/>
      <c r="Z158" s="147"/>
      <c r="AA158" s="150"/>
      <c r="AB158" s="150"/>
      <c r="AC158" s="150"/>
      <c r="AD158" s="150"/>
      <c r="AE158" s="150"/>
      <c r="AF158" s="150"/>
      <c r="AG158" s="150"/>
      <c r="AH158" s="150"/>
      <c r="AI158" s="150"/>
      <c r="AJ158" s="150"/>
      <c r="AK158" s="150"/>
      <c r="AL158" s="150"/>
      <c r="AM158" s="150"/>
      <c r="AN158" s="150"/>
      <c r="AO158" s="150"/>
      <c r="AP158" s="150"/>
      <c r="AQ158" s="150"/>
      <c r="AR158" s="150"/>
      <c r="AS158" s="150"/>
      <c r="AT158" s="150"/>
      <c r="AU158" s="151"/>
      <c r="AV158" s="151"/>
    </row>
    <row r="159" spans="1:48" ht="17.25" customHeight="1">
      <c r="A159" s="103">
        <v>154</v>
      </c>
      <c r="B159" s="88" t="s">
        <v>89</v>
      </c>
      <c r="C159" s="144" t="s">
        <v>498</v>
      </c>
      <c r="D159" s="144" t="s">
        <v>499</v>
      </c>
      <c r="E159" s="137">
        <v>1</v>
      </c>
      <c r="F159" s="145">
        <v>43416</v>
      </c>
      <c r="G159" s="137" t="s">
        <v>500</v>
      </c>
      <c r="H159" s="137">
        <v>2394940438</v>
      </c>
      <c r="I159" s="137" t="s">
        <v>501</v>
      </c>
      <c r="J159" s="139">
        <v>45888</v>
      </c>
      <c r="K159" s="140" t="s">
        <v>165</v>
      </c>
      <c r="L159" s="140"/>
      <c r="M159" s="137" t="s">
        <v>502</v>
      </c>
      <c r="N159" s="119" t="s">
        <v>40</v>
      </c>
      <c r="O159" s="146"/>
      <c r="P159" s="147"/>
      <c r="Q159" s="147"/>
      <c r="R159" s="147"/>
      <c r="S159" s="147"/>
      <c r="T159" s="187"/>
      <c r="U159" s="187"/>
      <c r="V159" s="188"/>
      <c r="W159" s="147"/>
      <c r="X159" s="147"/>
      <c r="Y159" s="147"/>
      <c r="Z159" s="147"/>
      <c r="AA159" s="150"/>
      <c r="AB159" s="150"/>
      <c r="AC159" s="150"/>
      <c r="AD159" s="150"/>
      <c r="AE159" s="150"/>
      <c r="AF159" s="150"/>
      <c r="AG159" s="150"/>
      <c r="AH159" s="150"/>
      <c r="AI159" s="150"/>
      <c r="AJ159" s="150"/>
      <c r="AK159" s="150"/>
      <c r="AL159" s="150"/>
      <c r="AM159" s="150"/>
      <c r="AN159" s="150"/>
      <c r="AO159" s="150"/>
      <c r="AP159" s="150"/>
      <c r="AQ159" s="150"/>
      <c r="AR159" s="150"/>
      <c r="AS159" s="150"/>
      <c r="AT159" s="150"/>
      <c r="AU159" s="151"/>
      <c r="AV159" s="151"/>
    </row>
    <row r="160" spans="1:48" ht="17.25" customHeight="1">
      <c r="A160" s="103">
        <v>155</v>
      </c>
      <c r="B160" s="104" t="s">
        <v>48</v>
      </c>
      <c r="C160" s="111" t="s">
        <v>503</v>
      </c>
      <c r="D160" s="111" t="s">
        <v>504</v>
      </c>
      <c r="E160" s="106" t="s">
        <v>133</v>
      </c>
      <c r="F160" s="115">
        <v>43827</v>
      </c>
      <c r="G160" s="108" t="s">
        <v>505</v>
      </c>
      <c r="H160" s="108" t="s">
        <v>506</v>
      </c>
      <c r="I160" s="108" t="s">
        <v>507</v>
      </c>
      <c r="J160" s="109">
        <v>45901</v>
      </c>
      <c r="K160" s="110" t="s">
        <v>164</v>
      </c>
      <c r="L160" s="110">
        <v>5</v>
      </c>
      <c r="M160" s="111"/>
      <c r="N160" s="112" t="s">
        <v>40</v>
      </c>
      <c r="O160" s="111"/>
      <c r="P160" s="113"/>
      <c r="Q160" s="113"/>
      <c r="R160" s="113"/>
      <c r="S160" s="113"/>
      <c r="T160" s="182"/>
      <c r="U160" s="182"/>
      <c r="V160" s="182"/>
      <c r="W160" s="113"/>
      <c r="X160" s="113"/>
      <c r="Y160" s="113"/>
      <c r="Z160" s="113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</row>
    <row r="161" spans="1:48" ht="17.25" customHeight="1">
      <c r="A161" s="103">
        <v>156</v>
      </c>
      <c r="B161" s="104" t="s">
        <v>89</v>
      </c>
      <c r="C161" s="111" t="s">
        <v>503</v>
      </c>
      <c r="D161" s="111" t="s">
        <v>504</v>
      </c>
      <c r="E161" s="106" t="s">
        <v>133</v>
      </c>
      <c r="F161" s="115">
        <v>43827</v>
      </c>
      <c r="G161" s="108" t="s">
        <v>505</v>
      </c>
      <c r="H161" s="108" t="s">
        <v>506</v>
      </c>
      <c r="I161" s="108" t="s">
        <v>507</v>
      </c>
      <c r="J161" s="109">
        <v>45901</v>
      </c>
      <c r="K161" s="110" t="s">
        <v>165</v>
      </c>
      <c r="L161" s="110">
        <v>96</v>
      </c>
      <c r="M161" s="111"/>
      <c r="N161" s="112" t="s">
        <v>40</v>
      </c>
      <c r="O161" s="111"/>
      <c r="P161" s="136"/>
      <c r="Q161" s="136"/>
      <c r="R161" s="136"/>
      <c r="S161" s="136"/>
      <c r="T161" s="186"/>
      <c r="U161" s="186"/>
      <c r="V161" s="18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</row>
    <row r="162" spans="1:48" ht="17.25" customHeight="1">
      <c r="A162" s="103">
        <v>157</v>
      </c>
      <c r="B162" s="119" t="s">
        <v>48</v>
      </c>
      <c r="C162" s="120" t="s">
        <v>503</v>
      </c>
      <c r="D162" s="120" t="s">
        <v>508</v>
      </c>
      <c r="E162" s="120">
        <v>3</v>
      </c>
      <c r="F162" s="121">
        <v>42603</v>
      </c>
      <c r="G162" s="122" t="s">
        <v>505</v>
      </c>
      <c r="H162" s="122" t="s">
        <v>506</v>
      </c>
      <c r="I162" s="122" t="s">
        <v>507</v>
      </c>
      <c r="J162" s="123">
        <v>45859</v>
      </c>
      <c r="K162" s="124" t="s">
        <v>193</v>
      </c>
      <c r="L162" s="124">
        <v>75</v>
      </c>
      <c r="M162" s="120"/>
      <c r="N162" s="119" t="s">
        <v>40</v>
      </c>
      <c r="O162" s="125"/>
      <c r="P162" s="126"/>
      <c r="Q162" s="126"/>
      <c r="R162" s="126"/>
      <c r="S162" s="126"/>
      <c r="T162" s="184"/>
      <c r="U162" s="184"/>
      <c r="V162" s="184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18"/>
      <c r="AV162" s="118"/>
    </row>
    <row r="163" spans="1:48" ht="17.25" customHeight="1">
      <c r="A163" s="127">
        <v>158</v>
      </c>
      <c r="B163" s="119" t="s">
        <v>89</v>
      </c>
      <c r="C163" s="120" t="s">
        <v>503</v>
      </c>
      <c r="D163" s="120" t="s">
        <v>508</v>
      </c>
      <c r="E163" s="120">
        <v>3</v>
      </c>
      <c r="F163" s="121">
        <v>42603</v>
      </c>
      <c r="G163" s="122" t="s">
        <v>505</v>
      </c>
      <c r="H163" s="122" t="s">
        <v>506</v>
      </c>
      <c r="I163" s="122" t="s">
        <v>507</v>
      </c>
      <c r="J163" s="123">
        <v>45859</v>
      </c>
      <c r="K163" s="124" t="s">
        <v>205</v>
      </c>
      <c r="L163" s="124">
        <v>108</v>
      </c>
      <c r="M163" s="141"/>
      <c r="N163" s="119" t="s">
        <v>40</v>
      </c>
      <c r="O163" s="125"/>
      <c r="P163" s="126"/>
      <c r="Q163" s="126"/>
      <c r="R163" s="126"/>
      <c r="S163" s="126"/>
      <c r="T163" s="184"/>
      <c r="U163" s="184"/>
      <c r="V163" s="184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18"/>
      <c r="AV163" s="118"/>
    </row>
    <row r="164" spans="1:48" ht="17.25" customHeight="1">
      <c r="A164" s="103">
        <v>159</v>
      </c>
      <c r="B164" s="103" t="s">
        <v>48</v>
      </c>
      <c r="C164" s="103" t="s">
        <v>509</v>
      </c>
      <c r="D164" s="103" t="s">
        <v>510</v>
      </c>
      <c r="E164" s="103">
        <v>4</v>
      </c>
      <c r="F164" s="202">
        <v>42252</v>
      </c>
      <c r="G164" s="203" t="s">
        <v>511</v>
      </c>
      <c r="H164" s="203">
        <v>4083646794</v>
      </c>
      <c r="I164" s="203" t="s">
        <v>512</v>
      </c>
      <c r="J164" s="202">
        <v>45931</v>
      </c>
      <c r="K164" s="103" t="s">
        <v>181</v>
      </c>
      <c r="L164" s="167">
        <v>48</v>
      </c>
      <c r="M164" s="103" t="s">
        <v>513</v>
      </c>
      <c r="N164" s="119" t="s">
        <v>40</v>
      </c>
      <c r="O164" s="152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</row>
    <row r="165" spans="1:48" ht="17.25" customHeight="1">
      <c r="A165" s="103">
        <v>160</v>
      </c>
      <c r="B165" s="103" t="s">
        <v>89</v>
      </c>
      <c r="C165" s="103" t="s">
        <v>509</v>
      </c>
      <c r="D165" s="103" t="s">
        <v>510</v>
      </c>
      <c r="E165" s="103">
        <v>4</v>
      </c>
      <c r="F165" s="202">
        <v>42252</v>
      </c>
      <c r="G165" s="203" t="s">
        <v>511</v>
      </c>
      <c r="H165" s="203">
        <v>4083646794</v>
      </c>
      <c r="I165" s="203" t="s">
        <v>512</v>
      </c>
      <c r="J165" s="202">
        <v>45931</v>
      </c>
      <c r="K165" s="103" t="s">
        <v>150</v>
      </c>
      <c r="L165" s="167">
        <v>25</v>
      </c>
      <c r="M165" s="103" t="s">
        <v>514</v>
      </c>
      <c r="N165" s="119" t="s">
        <v>40</v>
      </c>
      <c r="O165" s="152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</row>
    <row r="166" spans="1:48" ht="17.25" customHeight="1">
      <c r="A166" s="103">
        <v>161</v>
      </c>
      <c r="B166" s="103" t="s">
        <v>48</v>
      </c>
      <c r="C166" s="103" t="s">
        <v>307</v>
      </c>
      <c r="D166" s="103" t="s">
        <v>515</v>
      </c>
      <c r="E166" s="103">
        <v>2</v>
      </c>
      <c r="F166" s="202">
        <v>43285</v>
      </c>
      <c r="G166" s="203" t="s">
        <v>516</v>
      </c>
      <c r="H166" s="204">
        <v>6692613159</v>
      </c>
      <c r="I166" s="204" t="s">
        <v>517</v>
      </c>
      <c r="J166" s="202">
        <v>45931</v>
      </c>
      <c r="K166" s="103" t="s">
        <v>245</v>
      </c>
      <c r="L166" s="205">
        <v>11</v>
      </c>
      <c r="M166" s="103" t="s">
        <v>518</v>
      </c>
      <c r="N166" s="119" t="s">
        <v>40</v>
      </c>
      <c r="O166" s="152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</row>
    <row r="167" spans="1:48" ht="17.25" customHeight="1">
      <c r="A167" s="103">
        <v>162</v>
      </c>
      <c r="B167" s="103" t="s">
        <v>48</v>
      </c>
      <c r="C167" s="103" t="s">
        <v>519</v>
      </c>
      <c r="D167" s="103" t="s">
        <v>520</v>
      </c>
      <c r="E167" s="103">
        <v>4</v>
      </c>
      <c r="F167" s="202">
        <v>42099</v>
      </c>
      <c r="G167" s="203" t="s">
        <v>521</v>
      </c>
      <c r="H167" s="203" t="s">
        <v>522</v>
      </c>
      <c r="I167" s="203" t="s">
        <v>522</v>
      </c>
      <c r="J167" s="202">
        <v>45931</v>
      </c>
      <c r="K167" s="202" t="s">
        <v>114</v>
      </c>
      <c r="L167" s="205">
        <v>51</v>
      </c>
      <c r="M167" s="103" t="s">
        <v>523</v>
      </c>
      <c r="N167" s="119" t="s">
        <v>40</v>
      </c>
      <c r="O167" s="152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</row>
    <row r="168" spans="1:48" ht="17.25" customHeight="1">
      <c r="A168" s="127">
        <v>163</v>
      </c>
      <c r="B168" s="103" t="s">
        <v>89</v>
      </c>
      <c r="C168" s="103" t="s">
        <v>519</v>
      </c>
      <c r="D168" s="103" t="s">
        <v>520</v>
      </c>
      <c r="E168" s="103">
        <v>4</v>
      </c>
      <c r="F168" s="202">
        <v>42099</v>
      </c>
      <c r="G168" s="203" t="s">
        <v>521</v>
      </c>
      <c r="H168" s="203" t="s">
        <v>522</v>
      </c>
      <c r="I168" s="203" t="s">
        <v>522</v>
      </c>
      <c r="J168" s="202">
        <v>45931</v>
      </c>
      <c r="K168" s="202" t="s">
        <v>198</v>
      </c>
      <c r="L168" s="205">
        <v>11</v>
      </c>
      <c r="M168" s="103" t="s">
        <v>514</v>
      </c>
      <c r="N168" s="119" t="s">
        <v>40</v>
      </c>
      <c r="O168" s="152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</row>
    <row r="169" spans="1:48" ht="17.25" customHeight="1">
      <c r="A169" s="103">
        <v>164</v>
      </c>
      <c r="B169" s="206" t="s">
        <v>48</v>
      </c>
      <c r="C169" s="207" t="s">
        <v>524</v>
      </c>
      <c r="D169" s="207" t="s">
        <v>525</v>
      </c>
      <c r="E169" s="207">
        <v>3</v>
      </c>
      <c r="F169" s="208">
        <v>42954</v>
      </c>
      <c r="G169" s="209" t="s">
        <v>526</v>
      </c>
      <c r="H169" s="209">
        <v>5712014277</v>
      </c>
      <c r="I169" s="210" t="s">
        <v>527</v>
      </c>
      <c r="J169" s="211">
        <v>45962</v>
      </c>
      <c r="K169" s="212" t="s">
        <v>243</v>
      </c>
      <c r="L169" s="212">
        <v>101</v>
      </c>
      <c r="M169" s="213"/>
      <c r="N169" s="206" t="s">
        <v>83</v>
      </c>
      <c r="O169" s="214"/>
      <c r="P169" s="153"/>
      <c r="Q169" s="153"/>
      <c r="R169" s="153"/>
      <c r="S169" s="153"/>
      <c r="T169" s="215"/>
      <c r="U169" s="215"/>
      <c r="V169" s="215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/>
      <c r="AS169" s="153"/>
      <c r="AT169" s="153"/>
      <c r="AU169" s="154"/>
      <c r="AV169" s="154"/>
    </row>
    <row r="170" spans="1:48" ht="17.25" customHeight="1">
      <c r="A170" s="103">
        <v>165</v>
      </c>
      <c r="B170" s="206" t="s">
        <v>48</v>
      </c>
      <c r="C170" s="207" t="s">
        <v>528</v>
      </c>
      <c r="D170" s="207" t="s">
        <v>529</v>
      </c>
      <c r="E170" s="207">
        <v>1</v>
      </c>
      <c r="F170" s="208">
        <v>43401</v>
      </c>
      <c r="G170" s="209" t="s">
        <v>530</v>
      </c>
      <c r="H170" s="209">
        <v>5104748909</v>
      </c>
      <c r="I170" s="210" t="s">
        <v>531</v>
      </c>
      <c r="J170" s="211">
        <v>45969</v>
      </c>
      <c r="K170" s="212" t="s">
        <v>346</v>
      </c>
      <c r="L170" s="212">
        <v>21</v>
      </c>
      <c r="M170" s="213"/>
      <c r="N170" s="206" t="s">
        <v>83</v>
      </c>
      <c r="O170" s="214"/>
      <c r="P170" s="153"/>
      <c r="Q170" s="153"/>
      <c r="R170" s="153"/>
      <c r="S170" s="153"/>
      <c r="T170" s="215"/>
      <c r="U170" s="215"/>
      <c r="V170" s="215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4"/>
      <c r="AV170" s="154"/>
    </row>
    <row r="171" spans="1:48" ht="17.25" customHeight="1">
      <c r="A171" s="103">
        <v>166</v>
      </c>
      <c r="B171" s="206" t="s">
        <v>48</v>
      </c>
      <c r="C171" s="207" t="s">
        <v>532</v>
      </c>
      <c r="D171" s="207" t="s">
        <v>533</v>
      </c>
      <c r="E171" s="207">
        <v>3</v>
      </c>
      <c r="F171" s="208">
        <v>42962</v>
      </c>
      <c r="G171" s="209" t="s">
        <v>534</v>
      </c>
      <c r="H171" s="209">
        <v>5103869058</v>
      </c>
      <c r="I171" s="210" t="s">
        <v>535</v>
      </c>
      <c r="J171" s="211">
        <v>45962</v>
      </c>
      <c r="K171" s="212" t="s">
        <v>422</v>
      </c>
      <c r="L171" s="212">
        <v>96</v>
      </c>
      <c r="M171" s="213"/>
      <c r="N171" s="206" t="s">
        <v>83</v>
      </c>
      <c r="O171" s="214"/>
      <c r="P171" s="153"/>
      <c r="Q171" s="153"/>
      <c r="R171" s="153"/>
      <c r="S171" s="153"/>
      <c r="T171" s="215"/>
      <c r="U171" s="215"/>
      <c r="V171" s="215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/>
      <c r="AO171" s="153"/>
      <c r="AP171" s="153"/>
      <c r="AQ171" s="153"/>
      <c r="AR171" s="153"/>
      <c r="AS171" s="153"/>
      <c r="AT171" s="153"/>
      <c r="AU171" s="154"/>
      <c r="AV171" s="154"/>
    </row>
    <row r="172" spans="1:48" ht="17.25" customHeight="1">
      <c r="A172" s="103">
        <v>167</v>
      </c>
      <c r="B172" s="206" t="s">
        <v>89</v>
      </c>
      <c r="C172" s="207" t="s">
        <v>532</v>
      </c>
      <c r="D172" s="207" t="s">
        <v>533</v>
      </c>
      <c r="E172" s="207">
        <v>3</v>
      </c>
      <c r="F172" s="208">
        <v>42963</v>
      </c>
      <c r="G172" s="209" t="s">
        <v>536</v>
      </c>
      <c r="H172" s="209">
        <v>5103869058</v>
      </c>
      <c r="I172" s="210" t="s">
        <v>535</v>
      </c>
      <c r="J172" s="211">
        <v>45963</v>
      </c>
      <c r="K172" s="212" t="s">
        <v>396</v>
      </c>
      <c r="L172" s="212">
        <v>36</v>
      </c>
      <c r="M172" s="213"/>
      <c r="N172" s="206" t="s">
        <v>83</v>
      </c>
      <c r="O172" s="214"/>
      <c r="P172" s="153"/>
      <c r="Q172" s="153"/>
      <c r="R172" s="153"/>
      <c r="S172" s="153"/>
      <c r="T172" s="215"/>
      <c r="U172" s="215"/>
      <c r="V172" s="215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4"/>
      <c r="AV172" s="154"/>
    </row>
    <row r="173" spans="1:48" ht="17.25" customHeight="1">
      <c r="A173" s="127">
        <v>168</v>
      </c>
      <c r="B173" s="206" t="s">
        <v>48</v>
      </c>
      <c r="C173" s="207" t="s">
        <v>537</v>
      </c>
      <c r="D173" s="207" t="s">
        <v>538</v>
      </c>
      <c r="E173" s="207">
        <v>4</v>
      </c>
      <c r="F173" s="208">
        <v>42348</v>
      </c>
      <c r="G173" s="209" t="s">
        <v>539</v>
      </c>
      <c r="H173" s="209">
        <v>4157228574</v>
      </c>
      <c r="I173" s="210" t="s">
        <v>540</v>
      </c>
      <c r="J173" s="211">
        <v>45962</v>
      </c>
      <c r="K173" s="212" t="s">
        <v>541</v>
      </c>
      <c r="L173" s="212">
        <v>21</v>
      </c>
      <c r="M173" s="213"/>
      <c r="N173" s="206" t="s">
        <v>83</v>
      </c>
      <c r="O173" s="214"/>
      <c r="P173" s="153"/>
      <c r="Q173" s="153"/>
      <c r="R173" s="153"/>
      <c r="S173" s="153"/>
      <c r="T173" s="215"/>
      <c r="U173" s="215"/>
      <c r="V173" s="215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/>
      <c r="AS173" s="153"/>
      <c r="AT173" s="153"/>
      <c r="AU173" s="154"/>
      <c r="AV173" s="154"/>
    </row>
    <row r="174" spans="1:48" ht="17.25" customHeight="1">
      <c r="A174" s="103">
        <v>169</v>
      </c>
      <c r="B174" s="206" t="s">
        <v>89</v>
      </c>
      <c r="C174" s="207" t="s">
        <v>537</v>
      </c>
      <c r="D174" s="207" t="s">
        <v>538</v>
      </c>
      <c r="E174" s="207">
        <v>4</v>
      </c>
      <c r="F174" s="208">
        <v>42348</v>
      </c>
      <c r="G174" s="209" t="s">
        <v>539</v>
      </c>
      <c r="H174" s="209">
        <v>4157228574</v>
      </c>
      <c r="I174" s="210" t="s">
        <v>540</v>
      </c>
      <c r="J174" s="211">
        <v>45962</v>
      </c>
      <c r="K174" s="212" t="s">
        <v>370</v>
      </c>
      <c r="L174" s="212">
        <v>56</v>
      </c>
      <c r="M174" s="213"/>
      <c r="N174" s="206" t="s">
        <v>83</v>
      </c>
      <c r="O174" s="214"/>
      <c r="P174" s="153"/>
      <c r="Q174" s="153"/>
      <c r="R174" s="153"/>
      <c r="S174" s="153"/>
      <c r="T174" s="215"/>
      <c r="U174" s="215"/>
      <c r="V174" s="215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  <c r="AU174" s="154"/>
      <c r="AV174" s="154"/>
    </row>
    <row r="175" spans="1:48" ht="17.25" customHeight="1">
      <c r="A175" s="103">
        <v>170</v>
      </c>
      <c r="B175" s="206" t="s">
        <v>89</v>
      </c>
      <c r="C175" s="207" t="s">
        <v>246</v>
      </c>
      <c r="D175" s="207" t="s">
        <v>247</v>
      </c>
      <c r="E175" s="207">
        <v>5</v>
      </c>
      <c r="F175" s="208">
        <v>41852</v>
      </c>
      <c r="G175" s="209" t="s">
        <v>248</v>
      </c>
      <c r="H175" s="209" t="s">
        <v>249</v>
      </c>
      <c r="I175" s="216" t="s">
        <v>250</v>
      </c>
      <c r="J175" s="211">
        <v>45962</v>
      </c>
      <c r="K175" s="212" t="s">
        <v>117</v>
      </c>
      <c r="L175" s="212">
        <v>31</v>
      </c>
      <c r="M175" s="213" t="s">
        <v>542</v>
      </c>
      <c r="N175" s="206" t="s">
        <v>83</v>
      </c>
      <c r="O175" s="214"/>
      <c r="P175" s="153"/>
      <c r="Q175" s="153"/>
      <c r="R175" s="153"/>
      <c r="S175" s="153"/>
      <c r="T175" s="215"/>
      <c r="U175" s="215"/>
      <c r="V175" s="215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  <c r="AU175" s="154"/>
      <c r="AV175" s="154"/>
    </row>
    <row r="176" spans="1:48" ht="17.25" customHeight="1">
      <c r="A176" s="103">
        <v>171</v>
      </c>
      <c r="B176" s="206" t="s">
        <v>89</v>
      </c>
      <c r="C176" s="207" t="s">
        <v>460</v>
      </c>
      <c r="D176" s="207" t="s">
        <v>469</v>
      </c>
      <c r="E176" s="207" t="s">
        <v>133</v>
      </c>
      <c r="F176" s="208">
        <v>43749</v>
      </c>
      <c r="G176" s="209" t="s">
        <v>470</v>
      </c>
      <c r="H176" s="209">
        <v>5109966295</v>
      </c>
      <c r="I176" s="210" t="s">
        <v>471</v>
      </c>
      <c r="J176" s="211">
        <v>45962</v>
      </c>
      <c r="K176" s="212" t="s">
        <v>136</v>
      </c>
      <c r="L176" s="212" t="s">
        <v>543</v>
      </c>
      <c r="M176" s="213" t="s">
        <v>542</v>
      </c>
      <c r="N176" s="206" t="s">
        <v>83</v>
      </c>
      <c r="O176" s="214"/>
      <c r="P176" s="153"/>
      <c r="Q176" s="153"/>
      <c r="R176" s="153"/>
      <c r="S176" s="153"/>
      <c r="T176" s="215"/>
      <c r="U176" s="215"/>
      <c r="V176" s="215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/>
      <c r="AS176" s="153"/>
      <c r="AT176" s="153"/>
      <c r="AU176" s="154"/>
      <c r="AV176" s="154"/>
    </row>
    <row r="177" spans="1:48" ht="17.25" customHeight="1">
      <c r="A177" s="103">
        <v>172</v>
      </c>
      <c r="B177" s="206" t="s">
        <v>89</v>
      </c>
      <c r="C177" s="207" t="s">
        <v>460</v>
      </c>
      <c r="D177" s="207" t="s">
        <v>472</v>
      </c>
      <c r="E177" s="207" t="s">
        <v>133</v>
      </c>
      <c r="F177" s="208">
        <v>43748</v>
      </c>
      <c r="G177" s="209" t="s">
        <v>473</v>
      </c>
      <c r="H177" s="209">
        <v>5109966295</v>
      </c>
      <c r="I177" s="210" t="s">
        <v>471</v>
      </c>
      <c r="J177" s="211">
        <v>45962</v>
      </c>
      <c r="K177" s="212" t="s">
        <v>136</v>
      </c>
      <c r="L177" s="212" t="s">
        <v>543</v>
      </c>
      <c r="M177" s="213" t="s">
        <v>542</v>
      </c>
      <c r="N177" s="206" t="s">
        <v>83</v>
      </c>
      <c r="O177" s="214"/>
      <c r="P177" s="153"/>
      <c r="Q177" s="153"/>
      <c r="R177" s="153"/>
      <c r="S177" s="153"/>
      <c r="T177" s="215"/>
      <c r="U177" s="215"/>
      <c r="V177" s="215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53"/>
      <c r="AS177" s="153"/>
      <c r="AT177" s="153"/>
      <c r="AU177" s="154"/>
      <c r="AV177" s="154"/>
    </row>
    <row r="178" spans="1:48" ht="17.25" customHeight="1">
      <c r="A178" s="127">
        <v>173</v>
      </c>
      <c r="B178" s="206" t="s">
        <v>89</v>
      </c>
      <c r="C178" s="207" t="s">
        <v>444</v>
      </c>
      <c r="D178" s="207" t="s">
        <v>544</v>
      </c>
      <c r="E178" s="207">
        <v>8</v>
      </c>
      <c r="F178" s="208">
        <v>40920</v>
      </c>
      <c r="G178" s="209" t="s">
        <v>545</v>
      </c>
      <c r="H178" s="209">
        <v>4083290431</v>
      </c>
      <c r="I178" s="210" t="s">
        <v>546</v>
      </c>
      <c r="J178" s="211">
        <v>45962</v>
      </c>
      <c r="K178" s="212" t="s">
        <v>117</v>
      </c>
      <c r="L178" s="212">
        <v>50</v>
      </c>
      <c r="M178" s="213"/>
      <c r="N178" s="206" t="s">
        <v>83</v>
      </c>
      <c r="O178" s="214"/>
      <c r="P178" s="153"/>
      <c r="Q178" s="153"/>
      <c r="R178" s="153"/>
      <c r="S178" s="153"/>
      <c r="T178" s="215"/>
      <c r="U178" s="215"/>
      <c r="V178" s="215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  <c r="AU178" s="154"/>
      <c r="AV178" s="154"/>
    </row>
    <row r="179" spans="1:48" ht="17.25" customHeight="1">
      <c r="A179" s="127">
        <v>174</v>
      </c>
      <c r="B179" s="119"/>
      <c r="C179" s="120"/>
      <c r="D179" s="120"/>
      <c r="E179" s="120"/>
      <c r="F179" s="121"/>
      <c r="G179" s="122"/>
      <c r="H179" s="122"/>
      <c r="I179" s="122"/>
      <c r="J179" s="123"/>
      <c r="K179" s="124"/>
      <c r="L179" s="124"/>
      <c r="M179" s="141"/>
      <c r="N179" s="119" t="s">
        <v>83</v>
      </c>
      <c r="O179" s="125"/>
      <c r="P179" s="126"/>
      <c r="Q179" s="126"/>
      <c r="R179" s="126"/>
      <c r="S179" s="126"/>
      <c r="T179" s="184"/>
      <c r="U179" s="184"/>
      <c r="V179" s="184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18"/>
      <c r="AV179" s="118"/>
    </row>
    <row r="180" spans="1:48" ht="17.25" customHeight="1">
      <c r="A180" s="217">
        <v>175</v>
      </c>
      <c r="B180" s="119"/>
      <c r="C180" s="120"/>
      <c r="D180" s="120"/>
      <c r="E180" s="120"/>
      <c r="F180" s="121"/>
      <c r="G180" s="122"/>
      <c r="H180" s="122"/>
      <c r="I180" s="122"/>
      <c r="J180" s="123"/>
      <c r="K180" s="124"/>
      <c r="L180" s="124"/>
      <c r="M180" s="141"/>
      <c r="N180" s="119" t="s">
        <v>83</v>
      </c>
      <c r="O180" s="125"/>
      <c r="P180" s="126"/>
      <c r="Q180" s="126"/>
      <c r="R180" s="126"/>
      <c r="S180" s="126"/>
      <c r="T180" s="184"/>
      <c r="U180" s="184"/>
      <c r="V180" s="184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18"/>
      <c r="AV180" s="118"/>
    </row>
    <row r="181" spans="1:48" ht="17.25" customHeight="1">
      <c r="A181" s="217">
        <v>176</v>
      </c>
      <c r="B181" s="119"/>
      <c r="C181" s="120"/>
      <c r="D181" s="120"/>
      <c r="E181" s="120"/>
      <c r="F181" s="121"/>
      <c r="G181" s="122"/>
      <c r="H181" s="122"/>
      <c r="I181" s="122"/>
      <c r="J181" s="123"/>
      <c r="K181" s="124"/>
      <c r="L181" s="124"/>
      <c r="M181" s="141"/>
      <c r="N181" s="119" t="s">
        <v>83</v>
      </c>
      <c r="O181" s="125"/>
      <c r="P181" s="126"/>
      <c r="Q181" s="126"/>
      <c r="R181" s="126"/>
      <c r="S181" s="126"/>
      <c r="T181" s="184"/>
      <c r="U181" s="184"/>
      <c r="V181" s="184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18"/>
      <c r="AV181" s="118"/>
    </row>
    <row r="182" spans="1:48" ht="17.25" customHeight="1">
      <c r="A182" s="217">
        <v>177</v>
      </c>
      <c r="B182" s="119"/>
      <c r="C182" s="120"/>
      <c r="D182" s="120"/>
      <c r="E182" s="120"/>
      <c r="F182" s="121"/>
      <c r="G182" s="122"/>
      <c r="H182" s="122"/>
      <c r="I182" s="122"/>
      <c r="J182" s="123"/>
      <c r="K182" s="124"/>
      <c r="L182" s="124"/>
      <c r="M182" s="141"/>
      <c r="N182" s="119" t="s">
        <v>83</v>
      </c>
      <c r="O182" s="125"/>
      <c r="P182" s="126"/>
      <c r="Q182" s="126"/>
      <c r="R182" s="126"/>
      <c r="S182" s="126"/>
      <c r="T182" s="184"/>
      <c r="U182" s="184"/>
      <c r="V182" s="184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18"/>
      <c r="AV182" s="118"/>
    </row>
    <row r="183" spans="1:48" ht="17.25" customHeight="1">
      <c r="A183" s="217">
        <v>178</v>
      </c>
      <c r="B183" s="119"/>
      <c r="C183" s="120"/>
      <c r="D183" s="120"/>
      <c r="E183" s="120"/>
      <c r="F183" s="121"/>
      <c r="G183" s="122"/>
      <c r="H183" s="122"/>
      <c r="I183" s="122"/>
      <c r="J183" s="123"/>
      <c r="K183" s="124"/>
      <c r="L183" s="124"/>
      <c r="M183" s="141"/>
      <c r="N183" s="119" t="s">
        <v>83</v>
      </c>
      <c r="O183" s="125"/>
      <c r="P183" s="126"/>
      <c r="Q183" s="126"/>
      <c r="R183" s="126"/>
      <c r="S183" s="126"/>
      <c r="T183" s="184"/>
      <c r="U183" s="184"/>
      <c r="V183" s="184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18"/>
      <c r="AV183" s="118"/>
    </row>
    <row r="184" spans="1:48" ht="17.25" customHeight="1">
      <c r="A184" s="103">
        <v>179</v>
      </c>
      <c r="B184" s="119"/>
      <c r="C184" s="120"/>
      <c r="D184" s="120"/>
      <c r="E184" s="120"/>
      <c r="F184" s="121"/>
      <c r="G184" s="122"/>
      <c r="H184" s="122"/>
      <c r="I184" s="122"/>
      <c r="J184" s="123"/>
      <c r="K184" s="124"/>
      <c r="L184" s="124"/>
      <c r="M184" s="141"/>
      <c r="N184" s="119" t="s">
        <v>83</v>
      </c>
      <c r="O184" s="125"/>
      <c r="P184" s="126"/>
      <c r="Q184" s="126"/>
      <c r="R184" s="126"/>
      <c r="S184" s="126"/>
      <c r="T184" s="184"/>
      <c r="U184" s="184"/>
      <c r="V184" s="184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18"/>
      <c r="AV184" s="118"/>
    </row>
    <row r="185" spans="1:48" ht="17.25" customHeight="1">
      <c r="A185" s="127">
        <v>180</v>
      </c>
      <c r="B185" s="119"/>
      <c r="C185" s="120"/>
      <c r="D185" s="120"/>
      <c r="E185" s="120"/>
      <c r="F185" s="121"/>
      <c r="G185" s="122"/>
      <c r="H185" s="122"/>
      <c r="I185" s="122"/>
      <c r="J185" s="123"/>
      <c r="K185" s="124"/>
      <c r="L185" s="124"/>
      <c r="M185" s="141"/>
      <c r="N185" s="119" t="s">
        <v>83</v>
      </c>
      <c r="O185" s="125"/>
      <c r="P185" s="126"/>
      <c r="Q185" s="126"/>
      <c r="R185" s="126"/>
      <c r="S185" s="126"/>
      <c r="T185" s="184"/>
      <c r="U185" s="184"/>
      <c r="V185" s="184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18"/>
      <c r="AV185" s="118"/>
    </row>
    <row r="186" spans="1:48" ht="17.25" customHeight="1">
      <c r="A186" s="127">
        <v>181</v>
      </c>
      <c r="B186" s="119"/>
      <c r="C186" s="120"/>
      <c r="D186" s="120"/>
      <c r="E186" s="120"/>
      <c r="F186" s="121"/>
      <c r="G186" s="122"/>
      <c r="H186" s="122"/>
      <c r="I186" s="122"/>
      <c r="J186" s="123"/>
      <c r="K186" s="124"/>
      <c r="L186" s="124"/>
      <c r="M186" s="141"/>
      <c r="N186" s="119" t="s">
        <v>83</v>
      </c>
      <c r="O186" s="125"/>
      <c r="P186" s="126"/>
      <c r="Q186" s="126"/>
      <c r="R186" s="126"/>
      <c r="S186" s="126"/>
      <c r="T186" s="184"/>
      <c r="U186" s="184"/>
      <c r="V186" s="184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18"/>
      <c r="AV186" s="118"/>
    </row>
    <row r="187" spans="1:48" ht="17.25" customHeight="1">
      <c r="A187" s="217">
        <v>182</v>
      </c>
      <c r="B187" s="119"/>
      <c r="C187" s="120"/>
      <c r="D187" s="120"/>
      <c r="E187" s="120"/>
      <c r="F187" s="121"/>
      <c r="G187" s="122"/>
      <c r="H187" s="122"/>
      <c r="I187" s="122"/>
      <c r="J187" s="123"/>
      <c r="K187" s="124"/>
      <c r="L187" s="124"/>
      <c r="M187" s="141"/>
      <c r="N187" s="119" t="s">
        <v>83</v>
      </c>
      <c r="O187" s="125"/>
      <c r="P187" s="126"/>
      <c r="Q187" s="126"/>
      <c r="R187" s="126"/>
      <c r="S187" s="126"/>
      <c r="T187" s="184"/>
      <c r="U187" s="184"/>
      <c r="V187" s="184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18"/>
      <c r="AV187" s="118"/>
    </row>
    <row r="188" spans="1:48" ht="17.25" customHeight="1">
      <c r="A188" s="217">
        <v>183</v>
      </c>
      <c r="B188" s="119"/>
      <c r="C188" s="120"/>
      <c r="D188" s="120"/>
      <c r="E188" s="120"/>
      <c r="F188" s="121"/>
      <c r="G188" s="122"/>
      <c r="H188" s="122"/>
      <c r="I188" s="122"/>
      <c r="J188" s="123"/>
      <c r="K188" s="124"/>
      <c r="L188" s="124"/>
      <c r="M188" s="141"/>
      <c r="N188" s="119" t="s">
        <v>83</v>
      </c>
      <c r="O188" s="125"/>
      <c r="P188" s="126"/>
      <c r="Q188" s="126"/>
      <c r="R188" s="126"/>
      <c r="S188" s="126"/>
      <c r="T188" s="184"/>
      <c r="U188" s="184"/>
      <c r="V188" s="184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18"/>
      <c r="AV188" s="118"/>
    </row>
    <row r="189" spans="1:48" ht="17.25" customHeight="1">
      <c r="A189" s="217">
        <v>184</v>
      </c>
      <c r="B189" s="119"/>
      <c r="C189" s="120"/>
      <c r="D189" s="120"/>
      <c r="E189" s="120"/>
      <c r="F189" s="121"/>
      <c r="G189" s="122"/>
      <c r="H189" s="122"/>
      <c r="I189" s="122"/>
      <c r="J189" s="123"/>
      <c r="K189" s="124"/>
      <c r="L189" s="124"/>
      <c r="M189" s="141"/>
      <c r="N189" s="119" t="s">
        <v>83</v>
      </c>
      <c r="O189" s="125"/>
      <c r="P189" s="126"/>
      <c r="Q189" s="126"/>
      <c r="R189" s="126"/>
      <c r="S189" s="126"/>
      <c r="T189" s="184"/>
      <c r="U189" s="184"/>
      <c r="V189" s="184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18"/>
      <c r="AV189" s="118"/>
    </row>
    <row r="190" spans="1:48" ht="17.25" customHeight="1">
      <c r="A190" s="217">
        <v>185</v>
      </c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119" t="s">
        <v>83</v>
      </c>
      <c r="O190" s="218"/>
      <c r="P190" s="114"/>
      <c r="Q190" s="114"/>
      <c r="R190" s="114"/>
      <c r="S190" s="114"/>
      <c r="T190" s="219"/>
      <c r="U190" s="219"/>
      <c r="V190" s="219"/>
      <c r="W190" s="114"/>
      <c r="X190" s="114"/>
      <c r="Y190" s="114"/>
      <c r="Z190" s="114"/>
    </row>
    <row r="191" spans="1:48" ht="17.25" customHeight="1">
      <c r="A191" s="103">
        <v>186</v>
      </c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119" t="s">
        <v>83</v>
      </c>
      <c r="O191" s="218"/>
      <c r="P191" s="114"/>
      <c r="Q191" s="114"/>
      <c r="R191" s="114"/>
      <c r="S191" s="114"/>
      <c r="T191" s="219"/>
      <c r="U191" s="219"/>
      <c r="V191" s="219"/>
      <c r="W191" s="114"/>
      <c r="X191" s="114"/>
      <c r="Y191" s="114"/>
      <c r="Z191" s="114"/>
    </row>
    <row r="192" spans="1:48" ht="17.25" customHeight="1">
      <c r="A192" s="127">
        <v>187</v>
      </c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119" t="s">
        <v>83</v>
      </c>
      <c r="O192" s="218"/>
      <c r="P192" s="114"/>
      <c r="Q192" s="114"/>
      <c r="R192" s="114"/>
      <c r="S192" s="114"/>
      <c r="T192" s="219"/>
      <c r="U192" s="219"/>
      <c r="V192" s="219"/>
      <c r="W192" s="114"/>
      <c r="X192" s="114"/>
      <c r="Y192" s="114"/>
      <c r="Z192" s="114"/>
    </row>
    <row r="193" spans="1:48" ht="15" customHeight="1">
      <c r="A193" s="127">
        <v>188</v>
      </c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119" t="s">
        <v>83</v>
      </c>
      <c r="O193" s="218"/>
    </row>
    <row r="194" spans="1:48" ht="15" customHeight="1">
      <c r="A194" s="217">
        <v>189</v>
      </c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119" t="s">
        <v>83</v>
      </c>
      <c r="O194" s="218"/>
    </row>
    <row r="195" spans="1:48" ht="15" customHeight="1">
      <c r="A195" s="217">
        <v>190</v>
      </c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119" t="s">
        <v>83</v>
      </c>
      <c r="O195" s="218"/>
    </row>
    <row r="196" spans="1:48" ht="15" customHeight="1">
      <c r="A196" s="217">
        <v>191</v>
      </c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119" t="s">
        <v>83</v>
      </c>
      <c r="O196" s="218"/>
    </row>
    <row r="197" spans="1:48" ht="15" customHeight="1">
      <c r="A197" s="217">
        <v>192</v>
      </c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119" t="s">
        <v>83</v>
      </c>
      <c r="O197" s="218"/>
    </row>
    <row r="198" spans="1:48" ht="17.25" customHeight="1">
      <c r="A198" s="103">
        <v>193</v>
      </c>
      <c r="B198" s="89"/>
      <c r="C198" s="220"/>
      <c r="D198" s="220"/>
      <c r="E198" s="221"/>
      <c r="F198" s="222"/>
      <c r="G198" s="223"/>
      <c r="H198" s="223"/>
      <c r="I198" s="223"/>
      <c r="J198" s="222"/>
      <c r="K198" s="224"/>
      <c r="L198" s="220"/>
      <c r="M198" s="220"/>
      <c r="N198" s="119" t="s">
        <v>83</v>
      </c>
      <c r="O198" s="146"/>
      <c r="P198" s="165"/>
      <c r="Q198" s="165"/>
      <c r="R198" s="165"/>
      <c r="S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6"/>
      <c r="AV198" s="166"/>
    </row>
    <row r="199" spans="1:48" ht="17.25" customHeight="1">
      <c r="A199" s="225"/>
      <c r="B199" s="92"/>
      <c r="C199" s="226"/>
      <c r="D199" s="226"/>
      <c r="E199" s="227"/>
      <c r="F199" s="228"/>
      <c r="G199" s="229"/>
      <c r="H199" s="229"/>
      <c r="I199" s="229"/>
      <c r="J199" s="228"/>
      <c r="K199" s="230"/>
      <c r="L199" s="226"/>
      <c r="M199" s="226"/>
      <c r="N199" s="231"/>
      <c r="O199" s="232"/>
      <c r="P199" s="165"/>
      <c r="Q199" s="165"/>
      <c r="R199" s="165"/>
      <c r="S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  <c r="AU199" s="166"/>
      <c r="AV199" s="166"/>
    </row>
    <row r="200" spans="1:48" ht="17.25" customHeight="1">
      <c r="A200" s="225"/>
      <c r="B200" s="92"/>
      <c r="C200" s="226"/>
      <c r="D200" s="226"/>
      <c r="E200" s="227"/>
      <c r="F200" s="228"/>
      <c r="G200" s="229"/>
      <c r="H200" s="229"/>
      <c r="I200" s="229"/>
      <c r="J200" s="228"/>
      <c r="K200" s="230"/>
      <c r="L200" s="226"/>
      <c r="M200" s="226"/>
      <c r="N200" s="231"/>
      <c r="O200" s="232"/>
      <c r="P200" s="165"/>
      <c r="Q200" s="165"/>
      <c r="R200" s="165"/>
      <c r="S200" s="165"/>
      <c r="T200" s="6"/>
      <c r="U200" s="6"/>
      <c r="V200" s="6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6"/>
      <c r="AV200" s="166"/>
    </row>
    <row r="201" spans="1:48" ht="17.25" customHeight="1">
      <c r="A201" s="233" t="s">
        <v>547</v>
      </c>
      <c r="B201" s="7"/>
      <c r="C201" s="234"/>
      <c r="D201" s="234"/>
      <c r="E201" s="7"/>
      <c r="F201" s="235"/>
      <c r="G201" s="235"/>
      <c r="H201" s="235"/>
      <c r="I201" s="236"/>
      <c r="J201" s="235"/>
      <c r="K201" s="235"/>
      <c r="L201" s="235"/>
      <c r="M201" s="235"/>
      <c r="N201" s="7"/>
      <c r="O201" s="23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8" ht="21" hidden="1" customHeight="1">
      <c r="A202" s="238">
        <v>1</v>
      </c>
      <c r="B202" s="239" t="s">
        <v>48</v>
      </c>
      <c r="C202" s="240" t="s">
        <v>548</v>
      </c>
      <c r="D202" s="240" t="s">
        <v>549</v>
      </c>
      <c r="E202" s="241">
        <v>5</v>
      </c>
      <c r="F202" s="242">
        <v>41297</v>
      </c>
      <c r="G202" s="243" t="s">
        <v>550</v>
      </c>
      <c r="H202" s="240">
        <v>5108288339</v>
      </c>
      <c r="I202" s="243" t="s">
        <v>551</v>
      </c>
      <c r="J202" s="242">
        <v>45082</v>
      </c>
      <c r="K202" s="243"/>
      <c r="L202" s="243"/>
      <c r="M202" s="240"/>
      <c r="N202" s="239" t="s">
        <v>34</v>
      </c>
      <c r="O202" s="244">
        <v>45108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8" ht="21" hidden="1" customHeight="1">
      <c r="A203" s="245">
        <v>2</v>
      </c>
      <c r="B203" s="246" t="s">
        <v>89</v>
      </c>
      <c r="C203" s="247" t="s">
        <v>548</v>
      </c>
      <c r="D203" s="247" t="s">
        <v>549</v>
      </c>
      <c r="E203" s="248">
        <v>5</v>
      </c>
      <c r="F203" s="249">
        <v>41297</v>
      </c>
      <c r="G203" s="250" t="s">
        <v>550</v>
      </c>
      <c r="H203" s="247">
        <v>5108288339</v>
      </c>
      <c r="I203" s="250" t="s">
        <v>551</v>
      </c>
      <c r="J203" s="249">
        <v>45082</v>
      </c>
      <c r="K203" s="250"/>
      <c r="L203" s="250"/>
      <c r="M203" s="247" t="s">
        <v>552</v>
      </c>
      <c r="N203" s="246" t="s">
        <v>34</v>
      </c>
      <c r="O203" s="244">
        <v>45108</v>
      </c>
      <c r="P203" s="6"/>
      <c r="Q203" s="6"/>
      <c r="R203" s="6"/>
      <c r="S203" s="6"/>
      <c r="T203" s="251"/>
      <c r="U203" s="251"/>
      <c r="V203" s="251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8" ht="21" hidden="1" customHeight="1">
      <c r="A204" s="252">
        <v>3</v>
      </c>
      <c r="B204" s="253" t="s">
        <v>48</v>
      </c>
      <c r="C204" s="254" t="s">
        <v>414</v>
      </c>
      <c r="D204" s="254" t="s">
        <v>415</v>
      </c>
      <c r="E204" s="255" t="s">
        <v>133</v>
      </c>
      <c r="F204" s="256">
        <v>42867</v>
      </c>
      <c r="G204" s="257" t="s">
        <v>416</v>
      </c>
      <c r="H204" s="254">
        <v>4086432868</v>
      </c>
      <c r="I204" s="257" t="s">
        <v>417</v>
      </c>
      <c r="J204" s="256">
        <v>44835</v>
      </c>
      <c r="K204" s="257"/>
      <c r="L204" s="257"/>
      <c r="M204" s="254" t="s">
        <v>553</v>
      </c>
      <c r="N204" s="253" t="s">
        <v>34</v>
      </c>
      <c r="O204" s="258">
        <v>45108</v>
      </c>
      <c r="P204" s="259"/>
      <c r="Q204" s="259"/>
      <c r="R204" s="259"/>
      <c r="S204" s="259"/>
      <c r="T204" s="251"/>
      <c r="U204" s="251"/>
      <c r="V204" s="251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</row>
    <row r="205" spans="1:48" ht="21" hidden="1" customHeight="1">
      <c r="A205" s="252">
        <v>4</v>
      </c>
      <c r="B205" s="253"/>
      <c r="C205" s="254" t="s">
        <v>414</v>
      </c>
      <c r="D205" s="254" t="s">
        <v>415</v>
      </c>
      <c r="E205" s="255" t="s">
        <v>133</v>
      </c>
      <c r="F205" s="256">
        <v>42867</v>
      </c>
      <c r="G205" s="257" t="s">
        <v>416</v>
      </c>
      <c r="H205" s="254">
        <v>4086432868</v>
      </c>
      <c r="I205" s="257" t="s">
        <v>417</v>
      </c>
      <c r="J205" s="256">
        <v>44958</v>
      </c>
      <c r="K205" s="257"/>
      <c r="L205" s="257"/>
      <c r="M205" s="254" t="s">
        <v>553</v>
      </c>
      <c r="N205" s="253" t="s">
        <v>34</v>
      </c>
      <c r="O205" s="258">
        <v>45108</v>
      </c>
      <c r="P205" s="259"/>
      <c r="Q205" s="259"/>
      <c r="R205" s="259"/>
      <c r="S205" s="259"/>
      <c r="T205" s="251"/>
      <c r="U205" s="251"/>
      <c r="V205" s="251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</row>
    <row r="206" spans="1:48" ht="17.25" hidden="1" customHeight="1">
      <c r="A206" s="260">
        <v>1</v>
      </c>
      <c r="B206" s="261" t="s">
        <v>48</v>
      </c>
      <c r="C206" s="262" t="s">
        <v>151</v>
      </c>
      <c r="D206" s="262" t="s">
        <v>554</v>
      </c>
      <c r="E206" s="260">
        <v>4</v>
      </c>
      <c r="F206" s="263">
        <v>41337</v>
      </c>
      <c r="G206" s="264" t="s">
        <v>555</v>
      </c>
      <c r="H206" s="262">
        <v>5103585536</v>
      </c>
      <c r="I206" s="264" t="s">
        <v>556</v>
      </c>
      <c r="J206" s="263">
        <v>44844</v>
      </c>
      <c r="K206" s="264"/>
      <c r="L206" s="264"/>
      <c r="M206" s="262"/>
      <c r="N206" s="261" t="s">
        <v>34</v>
      </c>
      <c r="O206" s="265">
        <v>45139</v>
      </c>
      <c r="P206" s="266"/>
      <c r="Q206" s="266"/>
      <c r="R206" s="266"/>
      <c r="S206" s="266"/>
      <c r="T206" s="251"/>
      <c r="U206" s="251"/>
      <c r="V206" s="251"/>
      <c r="W206" s="266"/>
      <c r="X206" s="266"/>
      <c r="Y206" s="266"/>
      <c r="Z206" s="266"/>
      <c r="AA206" s="266"/>
      <c r="AB206" s="266"/>
      <c r="AC206" s="266"/>
      <c r="AD206" s="266"/>
      <c r="AE206" s="266"/>
      <c r="AF206" s="266"/>
      <c r="AG206" s="266"/>
      <c r="AH206" s="266"/>
      <c r="AI206" s="266"/>
      <c r="AJ206" s="266"/>
      <c r="AK206" s="266"/>
      <c r="AL206" s="266"/>
      <c r="AM206" s="266"/>
      <c r="AN206" s="266"/>
      <c r="AO206" s="266"/>
      <c r="AP206" s="266"/>
      <c r="AQ206" s="266"/>
      <c r="AR206" s="266"/>
      <c r="AS206" s="266"/>
      <c r="AT206" s="266"/>
    </row>
    <row r="207" spans="1:48" ht="17.25" hidden="1" customHeight="1">
      <c r="A207" s="260">
        <v>2</v>
      </c>
      <c r="B207" s="261" t="s">
        <v>48</v>
      </c>
      <c r="C207" s="262" t="s">
        <v>557</v>
      </c>
      <c r="D207" s="262" t="s">
        <v>558</v>
      </c>
      <c r="E207" s="260">
        <v>1</v>
      </c>
      <c r="F207" s="263">
        <v>43061</v>
      </c>
      <c r="G207" s="264" t="s">
        <v>559</v>
      </c>
      <c r="H207" s="262">
        <v>4152449059</v>
      </c>
      <c r="I207" s="264" t="s">
        <v>560</v>
      </c>
      <c r="J207" s="263">
        <v>45082</v>
      </c>
      <c r="K207" s="264"/>
      <c r="L207" s="264"/>
      <c r="M207" s="262"/>
      <c r="N207" s="261" t="s">
        <v>34</v>
      </c>
      <c r="O207" s="265">
        <v>45139</v>
      </c>
      <c r="P207" s="266"/>
      <c r="Q207" s="266"/>
      <c r="R207" s="266"/>
      <c r="S207" s="266"/>
      <c r="T207" s="251"/>
      <c r="U207" s="251"/>
      <c r="V207" s="251"/>
      <c r="W207" s="266"/>
      <c r="X207" s="266"/>
      <c r="Y207" s="266"/>
      <c r="Z207" s="266"/>
      <c r="AA207" s="266"/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  <c r="AP207" s="266"/>
      <c r="AQ207" s="266"/>
      <c r="AR207" s="266"/>
      <c r="AS207" s="266"/>
      <c r="AT207" s="266"/>
    </row>
    <row r="208" spans="1:48" ht="17.25" hidden="1" customHeight="1">
      <c r="A208" s="260">
        <v>3</v>
      </c>
      <c r="B208" s="261" t="s">
        <v>89</v>
      </c>
      <c r="C208" s="262" t="s">
        <v>557</v>
      </c>
      <c r="D208" s="262" t="s">
        <v>558</v>
      </c>
      <c r="E208" s="260">
        <v>1</v>
      </c>
      <c r="F208" s="263">
        <v>43061</v>
      </c>
      <c r="G208" s="264" t="s">
        <v>559</v>
      </c>
      <c r="H208" s="262">
        <v>4152449059</v>
      </c>
      <c r="I208" s="264" t="s">
        <v>560</v>
      </c>
      <c r="J208" s="263">
        <v>45082</v>
      </c>
      <c r="K208" s="264"/>
      <c r="L208" s="264"/>
      <c r="M208" s="262" t="s">
        <v>552</v>
      </c>
      <c r="N208" s="261" t="s">
        <v>34</v>
      </c>
      <c r="O208" s="265">
        <v>45139</v>
      </c>
      <c r="P208" s="266"/>
      <c r="Q208" s="266"/>
      <c r="R208" s="266"/>
      <c r="S208" s="266"/>
      <c r="T208" s="267"/>
      <c r="U208" s="267"/>
      <c r="V208" s="267"/>
      <c r="W208" s="266"/>
      <c r="X208" s="266"/>
      <c r="Y208" s="266"/>
      <c r="Z208" s="266"/>
      <c r="AA208" s="266"/>
      <c r="AB208" s="266"/>
      <c r="AC208" s="266"/>
      <c r="AD208" s="266"/>
      <c r="AE208" s="266"/>
      <c r="AF208" s="266"/>
      <c r="AG208" s="266"/>
      <c r="AH208" s="266"/>
      <c r="AI208" s="266"/>
      <c r="AJ208" s="266"/>
      <c r="AK208" s="266"/>
      <c r="AL208" s="266"/>
      <c r="AM208" s="266"/>
      <c r="AN208" s="266"/>
      <c r="AO208" s="266"/>
      <c r="AP208" s="266"/>
      <c r="AQ208" s="266"/>
      <c r="AR208" s="266"/>
      <c r="AS208" s="266"/>
      <c r="AT208" s="266"/>
    </row>
    <row r="209" spans="1:46" ht="15" hidden="1" customHeight="1">
      <c r="A209" s="268">
        <v>4</v>
      </c>
      <c r="B209" s="269" t="s">
        <v>48</v>
      </c>
      <c r="C209" s="270" t="s">
        <v>301</v>
      </c>
      <c r="D209" s="270" t="s">
        <v>561</v>
      </c>
      <c r="E209" s="268">
        <v>3</v>
      </c>
      <c r="F209" s="271">
        <v>41924</v>
      </c>
      <c r="G209" s="272" t="s">
        <v>562</v>
      </c>
      <c r="H209" s="270">
        <v>5102921648</v>
      </c>
      <c r="I209" s="272" t="s">
        <v>563</v>
      </c>
      <c r="J209" s="271">
        <v>45093</v>
      </c>
      <c r="K209" s="272"/>
      <c r="L209" s="272"/>
      <c r="M209" s="270"/>
      <c r="N209" s="269" t="s">
        <v>34</v>
      </c>
      <c r="O209" s="273">
        <v>45139</v>
      </c>
      <c r="P209" s="259"/>
      <c r="Q209" s="259"/>
      <c r="R209" s="259"/>
      <c r="S209" s="259"/>
      <c r="T209" s="267"/>
      <c r="U209" s="267"/>
      <c r="V209" s="267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</row>
    <row r="210" spans="1:46" ht="17.25" hidden="1" customHeight="1">
      <c r="A210" s="260">
        <v>5</v>
      </c>
      <c r="B210" s="261" t="s">
        <v>48</v>
      </c>
      <c r="C210" s="262" t="s">
        <v>564</v>
      </c>
      <c r="D210" s="274" t="s">
        <v>565</v>
      </c>
      <c r="E210" s="260">
        <v>5</v>
      </c>
      <c r="F210" s="275">
        <v>40972</v>
      </c>
      <c r="G210" s="276" t="s">
        <v>566</v>
      </c>
      <c r="H210" s="274">
        <v>5105098418</v>
      </c>
      <c r="I210" s="276" t="s">
        <v>567</v>
      </c>
      <c r="J210" s="263">
        <v>45110</v>
      </c>
      <c r="K210" s="264"/>
      <c r="L210" s="264"/>
      <c r="M210" s="262"/>
      <c r="N210" s="261" t="s">
        <v>34</v>
      </c>
      <c r="O210" s="265">
        <v>45139</v>
      </c>
      <c r="P210" s="266"/>
      <c r="Q210" s="266"/>
      <c r="R210" s="266"/>
      <c r="S210" s="266"/>
      <c r="T210" s="251"/>
      <c r="U210" s="251"/>
      <c r="V210" s="251"/>
      <c r="W210" s="266"/>
      <c r="X210" s="266"/>
      <c r="Y210" s="266"/>
      <c r="Z210" s="266"/>
      <c r="AA210" s="266"/>
      <c r="AB210" s="266"/>
      <c r="AC210" s="266"/>
      <c r="AD210" s="266"/>
      <c r="AE210" s="266"/>
      <c r="AF210" s="266"/>
      <c r="AG210" s="266"/>
      <c r="AH210" s="266"/>
      <c r="AI210" s="266"/>
      <c r="AJ210" s="266"/>
      <c r="AK210" s="266"/>
      <c r="AL210" s="266"/>
      <c r="AM210" s="266"/>
      <c r="AN210" s="266"/>
      <c r="AO210" s="266"/>
      <c r="AP210" s="266"/>
      <c r="AQ210" s="266"/>
      <c r="AR210" s="266"/>
      <c r="AS210" s="266"/>
      <c r="AT210" s="266"/>
    </row>
    <row r="211" spans="1:46" ht="17.25" hidden="1" customHeight="1">
      <c r="A211" s="260">
        <v>6</v>
      </c>
      <c r="B211" s="261" t="s">
        <v>89</v>
      </c>
      <c r="C211" s="262" t="s">
        <v>564</v>
      </c>
      <c r="D211" s="274" t="s">
        <v>565</v>
      </c>
      <c r="E211" s="260">
        <v>5</v>
      </c>
      <c r="F211" s="275">
        <v>40972</v>
      </c>
      <c r="G211" s="276" t="s">
        <v>566</v>
      </c>
      <c r="H211" s="274">
        <v>5105098418</v>
      </c>
      <c r="I211" s="276" t="s">
        <v>567</v>
      </c>
      <c r="J211" s="263">
        <v>45110</v>
      </c>
      <c r="K211" s="264"/>
      <c r="L211" s="264"/>
      <c r="M211" s="262" t="s">
        <v>552</v>
      </c>
      <c r="N211" s="261" t="s">
        <v>34</v>
      </c>
      <c r="O211" s="265">
        <v>45139</v>
      </c>
      <c r="P211" s="277"/>
      <c r="Q211" s="277"/>
      <c r="R211" s="277"/>
      <c r="S211" s="277"/>
      <c r="T211" s="251"/>
      <c r="U211" s="251"/>
      <c r="V211" s="251"/>
      <c r="W211" s="277"/>
      <c r="X211" s="277"/>
      <c r="Y211" s="277"/>
      <c r="Z211" s="277"/>
      <c r="AA211" s="277"/>
      <c r="AB211" s="277"/>
      <c r="AC211" s="277"/>
      <c r="AD211" s="277"/>
      <c r="AE211" s="277"/>
      <c r="AF211" s="277"/>
      <c r="AG211" s="277"/>
      <c r="AH211" s="277"/>
      <c r="AI211" s="277"/>
      <c r="AJ211" s="277"/>
      <c r="AK211" s="277"/>
      <c r="AL211" s="277"/>
      <c r="AM211" s="277"/>
      <c r="AN211" s="277"/>
      <c r="AO211" s="277"/>
      <c r="AP211" s="277"/>
      <c r="AQ211" s="277"/>
      <c r="AR211" s="277"/>
      <c r="AS211" s="277"/>
      <c r="AT211" s="277"/>
    </row>
    <row r="212" spans="1:46" ht="17.25" hidden="1" customHeight="1">
      <c r="A212" s="260">
        <v>7</v>
      </c>
      <c r="B212" s="261" t="s">
        <v>48</v>
      </c>
      <c r="C212" s="274" t="s">
        <v>564</v>
      </c>
      <c r="D212" s="274" t="s">
        <v>139</v>
      </c>
      <c r="E212" s="260">
        <v>7</v>
      </c>
      <c r="F212" s="263">
        <v>40193</v>
      </c>
      <c r="G212" s="276" t="s">
        <v>566</v>
      </c>
      <c r="H212" s="274">
        <v>5105098418</v>
      </c>
      <c r="I212" s="276" t="s">
        <v>567</v>
      </c>
      <c r="J212" s="263">
        <v>45110</v>
      </c>
      <c r="K212" s="264"/>
      <c r="L212" s="264"/>
      <c r="M212" s="262"/>
      <c r="N212" s="261" t="s">
        <v>34</v>
      </c>
      <c r="O212" s="265">
        <v>45139</v>
      </c>
      <c r="P212" s="277"/>
      <c r="Q212" s="277"/>
      <c r="R212" s="277"/>
      <c r="S212" s="277"/>
      <c r="T212" s="6"/>
      <c r="U212" s="6"/>
      <c r="V212" s="6"/>
      <c r="W212" s="277"/>
      <c r="X212" s="277"/>
      <c r="Y212" s="277"/>
      <c r="Z212" s="277"/>
      <c r="AA212" s="277"/>
      <c r="AB212" s="277"/>
      <c r="AC212" s="277"/>
      <c r="AD212" s="277"/>
      <c r="AE212" s="277"/>
      <c r="AF212" s="277"/>
      <c r="AG212" s="277"/>
      <c r="AH212" s="277"/>
      <c r="AI212" s="277"/>
      <c r="AJ212" s="277"/>
      <c r="AK212" s="277"/>
      <c r="AL212" s="277"/>
      <c r="AM212" s="277"/>
      <c r="AN212" s="277"/>
      <c r="AO212" s="277"/>
      <c r="AP212" s="277"/>
      <c r="AQ212" s="277"/>
      <c r="AR212" s="277"/>
      <c r="AS212" s="277"/>
      <c r="AT212" s="277"/>
    </row>
    <row r="213" spans="1:46" ht="17.25" hidden="1" customHeight="1">
      <c r="A213" s="260">
        <v>8</v>
      </c>
      <c r="B213" s="261" t="s">
        <v>89</v>
      </c>
      <c r="C213" s="274" t="s">
        <v>564</v>
      </c>
      <c r="D213" s="274" t="s">
        <v>139</v>
      </c>
      <c r="E213" s="260">
        <v>7</v>
      </c>
      <c r="F213" s="263">
        <v>40193</v>
      </c>
      <c r="G213" s="276" t="s">
        <v>566</v>
      </c>
      <c r="H213" s="274">
        <v>5105098418</v>
      </c>
      <c r="I213" s="276" t="s">
        <v>567</v>
      </c>
      <c r="J213" s="263">
        <v>45110</v>
      </c>
      <c r="K213" s="264"/>
      <c r="L213" s="264"/>
      <c r="M213" s="262" t="s">
        <v>552</v>
      </c>
      <c r="N213" s="261" t="s">
        <v>34</v>
      </c>
      <c r="O213" s="265">
        <v>45139</v>
      </c>
      <c r="P213" s="266"/>
      <c r="Q213" s="266"/>
      <c r="R213" s="266"/>
      <c r="S213" s="266"/>
      <c r="T213" s="6"/>
      <c r="U213" s="6"/>
      <c r="V213" s="6"/>
      <c r="W213" s="266"/>
      <c r="X213" s="266"/>
      <c r="Y213" s="266"/>
      <c r="Z213" s="266"/>
      <c r="AA213" s="266"/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  <c r="AP213" s="266"/>
      <c r="AQ213" s="266"/>
      <c r="AR213" s="266"/>
      <c r="AS213" s="266"/>
      <c r="AT213" s="266"/>
    </row>
    <row r="214" spans="1:46" ht="17.25" hidden="1" customHeight="1">
      <c r="A214" s="268">
        <v>9</v>
      </c>
      <c r="B214" s="269" t="s">
        <v>48</v>
      </c>
      <c r="C214" s="270" t="s">
        <v>298</v>
      </c>
      <c r="D214" s="270" t="s">
        <v>568</v>
      </c>
      <c r="E214" s="268">
        <v>1</v>
      </c>
      <c r="F214" s="271">
        <v>42086</v>
      </c>
      <c r="G214" s="272" t="s">
        <v>569</v>
      </c>
      <c r="H214" s="270">
        <v>5109848496</v>
      </c>
      <c r="I214" s="272" t="s">
        <v>570</v>
      </c>
      <c r="J214" s="271">
        <v>44812</v>
      </c>
      <c r="K214" s="272"/>
      <c r="L214" s="272"/>
      <c r="M214" s="270" t="s">
        <v>571</v>
      </c>
      <c r="N214" s="269" t="s">
        <v>34</v>
      </c>
      <c r="O214" s="273">
        <v>45139</v>
      </c>
      <c r="P214" s="259"/>
      <c r="Q214" s="259"/>
      <c r="R214" s="259"/>
      <c r="S214" s="259"/>
      <c r="T214" s="6"/>
      <c r="U214" s="6"/>
      <c r="V214" s="6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</row>
    <row r="215" spans="1:46" ht="17.25" hidden="1" customHeight="1">
      <c r="A215" s="268">
        <v>10</v>
      </c>
      <c r="B215" s="269" t="s">
        <v>89</v>
      </c>
      <c r="C215" s="270" t="s">
        <v>298</v>
      </c>
      <c r="D215" s="270" t="s">
        <v>568</v>
      </c>
      <c r="E215" s="268">
        <v>1</v>
      </c>
      <c r="F215" s="271">
        <v>42086</v>
      </c>
      <c r="G215" s="272" t="s">
        <v>569</v>
      </c>
      <c r="H215" s="270">
        <v>5109848496</v>
      </c>
      <c r="I215" s="272" t="s">
        <v>570</v>
      </c>
      <c r="J215" s="271">
        <v>44812</v>
      </c>
      <c r="K215" s="272"/>
      <c r="L215" s="272"/>
      <c r="M215" s="270" t="s">
        <v>571</v>
      </c>
      <c r="N215" s="269" t="s">
        <v>34</v>
      </c>
      <c r="O215" s="273">
        <v>45139</v>
      </c>
      <c r="P215" s="259"/>
      <c r="Q215" s="259"/>
      <c r="R215" s="259"/>
      <c r="S215" s="259"/>
      <c r="T215" s="6"/>
      <c r="U215" s="6"/>
      <c r="V215" s="6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</row>
    <row r="216" spans="1:46" ht="17.25" hidden="1" customHeight="1">
      <c r="A216" s="260">
        <v>11</v>
      </c>
      <c r="B216" s="261" t="s">
        <v>48</v>
      </c>
      <c r="C216" s="262" t="s">
        <v>572</v>
      </c>
      <c r="D216" s="262" t="s">
        <v>389</v>
      </c>
      <c r="E216" s="260">
        <v>7</v>
      </c>
      <c r="F216" s="263">
        <v>40635</v>
      </c>
      <c r="G216" s="264" t="s">
        <v>573</v>
      </c>
      <c r="H216" s="262">
        <v>7605507063</v>
      </c>
      <c r="I216" s="264" t="s">
        <v>574</v>
      </c>
      <c r="J216" s="263">
        <v>45082</v>
      </c>
      <c r="K216" s="264"/>
      <c r="L216" s="264"/>
      <c r="M216" s="262" t="s">
        <v>575</v>
      </c>
      <c r="N216" s="261" t="s">
        <v>34</v>
      </c>
      <c r="O216" s="265">
        <v>45139</v>
      </c>
      <c r="P216" s="266"/>
      <c r="Q216" s="266"/>
      <c r="R216" s="266"/>
      <c r="S216" s="266"/>
      <c r="T216" s="6"/>
      <c r="U216" s="6"/>
      <c r="V216" s="6"/>
      <c r="W216" s="266"/>
      <c r="X216" s="266"/>
      <c r="Y216" s="266"/>
      <c r="Z216" s="266"/>
      <c r="AA216" s="266"/>
      <c r="AB216" s="266"/>
      <c r="AC216" s="266"/>
      <c r="AD216" s="266"/>
      <c r="AE216" s="266"/>
      <c r="AF216" s="266"/>
      <c r="AG216" s="266"/>
      <c r="AH216" s="266"/>
      <c r="AI216" s="266"/>
      <c r="AJ216" s="266"/>
      <c r="AK216" s="266"/>
      <c r="AL216" s="266"/>
      <c r="AM216" s="266"/>
      <c r="AN216" s="266"/>
      <c r="AO216" s="266"/>
      <c r="AP216" s="266"/>
      <c r="AQ216" s="266"/>
      <c r="AR216" s="266"/>
      <c r="AS216" s="266"/>
      <c r="AT216" s="266"/>
    </row>
    <row r="217" spans="1:46" ht="17.25" hidden="1" customHeight="1">
      <c r="A217" s="260">
        <v>12</v>
      </c>
      <c r="B217" s="261" t="s">
        <v>89</v>
      </c>
      <c r="C217" s="262" t="s">
        <v>572</v>
      </c>
      <c r="D217" s="262" t="s">
        <v>389</v>
      </c>
      <c r="E217" s="260">
        <v>7</v>
      </c>
      <c r="F217" s="263">
        <v>40635</v>
      </c>
      <c r="G217" s="264" t="s">
        <v>573</v>
      </c>
      <c r="H217" s="262">
        <v>7605507063</v>
      </c>
      <c r="I217" s="264" t="s">
        <v>574</v>
      </c>
      <c r="J217" s="263">
        <v>45082</v>
      </c>
      <c r="K217" s="264"/>
      <c r="L217" s="264"/>
      <c r="M217" s="262" t="s">
        <v>575</v>
      </c>
      <c r="N217" s="261" t="s">
        <v>34</v>
      </c>
      <c r="O217" s="265">
        <v>45139</v>
      </c>
      <c r="P217" s="266"/>
      <c r="Q217" s="266"/>
      <c r="R217" s="266"/>
      <c r="S217" s="266"/>
      <c r="T217" s="6"/>
      <c r="U217" s="6"/>
      <c r="V217" s="6"/>
      <c r="W217" s="266"/>
      <c r="X217" s="266"/>
      <c r="Y217" s="266"/>
      <c r="Z217" s="266"/>
      <c r="AA217" s="266"/>
      <c r="AB217" s="266"/>
      <c r="AC217" s="266"/>
      <c r="AD217" s="266"/>
      <c r="AE217" s="266"/>
      <c r="AF217" s="266"/>
      <c r="AG217" s="266"/>
      <c r="AH217" s="266"/>
      <c r="AI217" s="266"/>
      <c r="AJ217" s="266"/>
      <c r="AK217" s="266"/>
      <c r="AL217" s="266"/>
      <c r="AM217" s="266"/>
      <c r="AN217" s="266"/>
      <c r="AO217" s="266"/>
      <c r="AP217" s="266"/>
      <c r="AQ217" s="266"/>
      <c r="AR217" s="266"/>
      <c r="AS217" s="266"/>
      <c r="AT217" s="266"/>
    </row>
    <row r="218" spans="1:46" ht="17.25" hidden="1" customHeight="1">
      <c r="A218" s="260">
        <v>13</v>
      </c>
      <c r="B218" s="261" t="s">
        <v>48</v>
      </c>
      <c r="C218" s="262" t="s">
        <v>572</v>
      </c>
      <c r="D218" s="262" t="s">
        <v>576</v>
      </c>
      <c r="E218" s="260">
        <v>2</v>
      </c>
      <c r="F218" s="263">
        <v>42425</v>
      </c>
      <c r="G218" s="264" t="s">
        <v>573</v>
      </c>
      <c r="H218" s="262">
        <v>7605507063</v>
      </c>
      <c r="I218" s="264" t="s">
        <v>574</v>
      </c>
      <c r="J218" s="263">
        <v>45082</v>
      </c>
      <c r="K218" s="264"/>
      <c r="L218" s="264"/>
      <c r="M218" s="262" t="s">
        <v>575</v>
      </c>
      <c r="N218" s="261" t="s">
        <v>34</v>
      </c>
      <c r="O218" s="265">
        <v>45139</v>
      </c>
      <c r="P218" s="266"/>
      <c r="Q218" s="266"/>
      <c r="R218" s="266"/>
      <c r="S218" s="266"/>
      <c r="T218" s="6"/>
      <c r="U218" s="6"/>
      <c r="V218" s="6"/>
      <c r="W218" s="266"/>
      <c r="X218" s="266"/>
      <c r="Y218" s="266"/>
      <c r="Z218" s="266"/>
      <c r="AA218" s="266"/>
      <c r="AB218" s="266"/>
      <c r="AC218" s="266"/>
      <c r="AD218" s="266"/>
      <c r="AE218" s="266"/>
      <c r="AF218" s="266"/>
      <c r="AG218" s="266"/>
      <c r="AH218" s="266"/>
      <c r="AI218" s="266"/>
      <c r="AJ218" s="266"/>
      <c r="AK218" s="266"/>
      <c r="AL218" s="266"/>
      <c r="AM218" s="266"/>
      <c r="AN218" s="266"/>
      <c r="AO218" s="266"/>
      <c r="AP218" s="266"/>
      <c r="AQ218" s="266"/>
      <c r="AR218" s="266"/>
      <c r="AS218" s="266"/>
      <c r="AT218" s="266"/>
    </row>
    <row r="219" spans="1:46" ht="17.25" hidden="1" customHeight="1">
      <c r="A219" s="260">
        <v>14</v>
      </c>
      <c r="B219" s="261" t="s">
        <v>89</v>
      </c>
      <c r="C219" s="262" t="s">
        <v>572</v>
      </c>
      <c r="D219" s="262" t="s">
        <v>576</v>
      </c>
      <c r="E219" s="260">
        <v>2</v>
      </c>
      <c r="F219" s="263">
        <v>42425</v>
      </c>
      <c r="G219" s="264" t="s">
        <v>573</v>
      </c>
      <c r="H219" s="262">
        <v>7605507063</v>
      </c>
      <c r="I219" s="264" t="s">
        <v>574</v>
      </c>
      <c r="J219" s="263">
        <v>45082</v>
      </c>
      <c r="K219" s="264"/>
      <c r="L219" s="264"/>
      <c r="M219" s="262" t="s">
        <v>575</v>
      </c>
      <c r="N219" s="261" t="s">
        <v>34</v>
      </c>
      <c r="O219" s="265">
        <v>45139</v>
      </c>
      <c r="P219" s="266"/>
      <c r="Q219" s="266"/>
      <c r="R219" s="266"/>
      <c r="S219" s="266"/>
      <c r="T219" s="6"/>
      <c r="U219" s="6"/>
      <c r="V219" s="6"/>
      <c r="W219" s="266"/>
      <c r="X219" s="266"/>
      <c r="Y219" s="266"/>
      <c r="Z219" s="266"/>
      <c r="AA219" s="266"/>
      <c r="AB219" s="266"/>
      <c r="AC219" s="266"/>
      <c r="AD219" s="266"/>
      <c r="AE219" s="266"/>
      <c r="AF219" s="266"/>
      <c r="AG219" s="266"/>
      <c r="AH219" s="266"/>
      <c r="AI219" s="266"/>
      <c r="AJ219" s="266"/>
      <c r="AK219" s="266"/>
      <c r="AL219" s="266"/>
      <c r="AM219" s="266"/>
      <c r="AN219" s="266"/>
      <c r="AO219" s="266"/>
      <c r="AP219" s="266"/>
      <c r="AQ219" s="266"/>
      <c r="AR219" s="266"/>
      <c r="AS219" s="266"/>
      <c r="AT219" s="266"/>
    </row>
    <row r="220" spans="1:46" ht="17.25" hidden="1" customHeight="1">
      <c r="A220" s="260">
        <v>15</v>
      </c>
      <c r="B220" s="261" t="s">
        <v>48</v>
      </c>
      <c r="C220" s="262" t="s">
        <v>477</v>
      </c>
      <c r="D220" s="262" t="s">
        <v>478</v>
      </c>
      <c r="E220" s="260">
        <v>1</v>
      </c>
      <c r="F220" s="263">
        <v>42905</v>
      </c>
      <c r="G220" s="264" t="s">
        <v>479</v>
      </c>
      <c r="H220" s="262">
        <v>5303647578</v>
      </c>
      <c r="I220" s="264" t="s">
        <v>480</v>
      </c>
      <c r="J220" s="263">
        <v>45078</v>
      </c>
      <c r="K220" s="264"/>
      <c r="L220" s="264"/>
      <c r="M220" s="262" t="s">
        <v>577</v>
      </c>
      <c r="N220" s="261" t="s">
        <v>34</v>
      </c>
      <c r="O220" s="265">
        <v>45139</v>
      </c>
      <c r="P220" s="266"/>
      <c r="Q220" s="266"/>
      <c r="R220" s="266"/>
      <c r="S220" s="266"/>
      <c r="T220" s="6"/>
      <c r="U220" s="6"/>
      <c r="V220" s="6"/>
      <c r="W220" s="266"/>
      <c r="X220" s="266"/>
      <c r="Y220" s="266"/>
      <c r="Z220" s="266"/>
      <c r="AA220" s="266"/>
      <c r="AB220" s="266"/>
      <c r="AC220" s="266"/>
      <c r="AD220" s="266"/>
      <c r="AE220" s="266"/>
      <c r="AF220" s="266"/>
      <c r="AG220" s="266"/>
      <c r="AH220" s="266"/>
      <c r="AI220" s="266"/>
      <c r="AJ220" s="266"/>
      <c r="AK220" s="266"/>
      <c r="AL220" s="266"/>
      <c r="AM220" s="266"/>
      <c r="AN220" s="266"/>
      <c r="AO220" s="266"/>
      <c r="AP220" s="266"/>
      <c r="AQ220" s="266"/>
      <c r="AR220" s="266"/>
      <c r="AS220" s="266"/>
      <c r="AT220" s="266"/>
    </row>
    <row r="221" spans="1:46" ht="17.25" hidden="1" customHeight="1">
      <c r="A221" s="260">
        <v>16</v>
      </c>
      <c r="B221" s="261" t="s">
        <v>89</v>
      </c>
      <c r="C221" s="262" t="s">
        <v>477</v>
      </c>
      <c r="D221" s="262" t="s">
        <v>478</v>
      </c>
      <c r="E221" s="260">
        <v>1</v>
      </c>
      <c r="F221" s="263">
        <v>42905</v>
      </c>
      <c r="G221" s="264" t="s">
        <v>479</v>
      </c>
      <c r="H221" s="262">
        <v>5303647578</v>
      </c>
      <c r="I221" s="264" t="s">
        <v>480</v>
      </c>
      <c r="J221" s="263">
        <v>45078</v>
      </c>
      <c r="K221" s="264"/>
      <c r="L221" s="264"/>
      <c r="M221" s="262" t="s">
        <v>577</v>
      </c>
      <c r="N221" s="261" t="s">
        <v>34</v>
      </c>
      <c r="O221" s="265">
        <v>45139</v>
      </c>
      <c r="P221" s="266"/>
      <c r="Q221" s="266"/>
      <c r="R221" s="266"/>
      <c r="S221" s="266"/>
      <c r="T221" s="6"/>
      <c r="U221" s="6"/>
      <c r="V221" s="6"/>
      <c r="W221" s="266"/>
      <c r="X221" s="266"/>
      <c r="Y221" s="266"/>
      <c r="Z221" s="266"/>
      <c r="AA221" s="266"/>
      <c r="AB221" s="266"/>
      <c r="AC221" s="266"/>
      <c r="AD221" s="266"/>
      <c r="AE221" s="266"/>
      <c r="AF221" s="266"/>
      <c r="AG221" s="266"/>
      <c r="AH221" s="266"/>
      <c r="AI221" s="266"/>
      <c r="AJ221" s="266"/>
      <c r="AK221" s="266"/>
      <c r="AL221" s="266"/>
      <c r="AM221" s="266"/>
      <c r="AN221" s="266"/>
      <c r="AO221" s="266"/>
      <c r="AP221" s="266"/>
      <c r="AQ221" s="266"/>
      <c r="AR221" s="266"/>
      <c r="AS221" s="266"/>
      <c r="AT221" s="266"/>
    </row>
    <row r="222" spans="1:46" ht="17.25" hidden="1" customHeight="1">
      <c r="A222" s="260">
        <v>17</v>
      </c>
      <c r="B222" s="261" t="s">
        <v>48</v>
      </c>
      <c r="C222" s="262" t="s">
        <v>578</v>
      </c>
      <c r="D222" s="262" t="s">
        <v>579</v>
      </c>
      <c r="E222" s="260">
        <v>3</v>
      </c>
      <c r="F222" s="263">
        <v>41816</v>
      </c>
      <c r="G222" s="264" t="s">
        <v>580</v>
      </c>
      <c r="H222" s="262">
        <v>6692518555</v>
      </c>
      <c r="I222" s="264" t="s">
        <v>581</v>
      </c>
      <c r="J222" s="263">
        <v>45078</v>
      </c>
      <c r="K222" s="264"/>
      <c r="L222" s="264"/>
      <c r="M222" s="262" t="s">
        <v>582</v>
      </c>
      <c r="N222" s="261" t="s">
        <v>34</v>
      </c>
      <c r="O222" s="265">
        <v>45139</v>
      </c>
      <c r="P222" s="266"/>
      <c r="Q222" s="266"/>
      <c r="R222" s="266"/>
      <c r="S222" s="266"/>
      <c r="T222" s="6"/>
      <c r="U222" s="6"/>
      <c r="V222" s="6"/>
      <c r="W222" s="266"/>
      <c r="X222" s="266"/>
      <c r="Y222" s="266"/>
      <c r="Z222" s="266"/>
      <c r="AA222" s="266"/>
      <c r="AB222" s="266"/>
      <c r="AC222" s="266"/>
      <c r="AD222" s="266"/>
      <c r="AE222" s="266"/>
      <c r="AF222" s="266"/>
      <c r="AG222" s="266"/>
      <c r="AH222" s="266"/>
      <c r="AI222" s="266"/>
      <c r="AJ222" s="266"/>
      <c r="AK222" s="266"/>
      <c r="AL222" s="266"/>
      <c r="AM222" s="266"/>
      <c r="AN222" s="266"/>
      <c r="AO222" s="266"/>
      <c r="AP222" s="266"/>
      <c r="AQ222" s="266"/>
      <c r="AR222" s="266"/>
      <c r="AS222" s="266"/>
      <c r="AT222" s="266"/>
    </row>
    <row r="223" spans="1:46" ht="17.25" hidden="1" customHeight="1">
      <c r="A223" s="260">
        <v>18</v>
      </c>
      <c r="B223" s="261" t="s">
        <v>89</v>
      </c>
      <c r="C223" s="262" t="s">
        <v>578</v>
      </c>
      <c r="D223" s="262" t="s">
        <v>579</v>
      </c>
      <c r="E223" s="260">
        <v>3</v>
      </c>
      <c r="F223" s="263">
        <v>41816</v>
      </c>
      <c r="G223" s="264" t="s">
        <v>580</v>
      </c>
      <c r="H223" s="262">
        <v>6692518555</v>
      </c>
      <c r="I223" s="264" t="s">
        <v>581</v>
      </c>
      <c r="J223" s="263">
        <v>45078</v>
      </c>
      <c r="K223" s="264"/>
      <c r="L223" s="264"/>
      <c r="M223" s="262" t="s">
        <v>582</v>
      </c>
      <c r="N223" s="261" t="s">
        <v>34</v>
      </c>
      <c r="O223" s="265">
        <v>45139</v>
      </c>
      <c r="P223" s="266"/>
      <c r="Q223" s="266"/>
      <c r="R223" s="266"/>
      <c r="S223" s="266"/>
      <c r="T223" s="6"/>
      <c r="U223" s="6"/>
      <c r="V223" s="6"/>
      <c r="W223" s="266"/>
      <c r="X223" s="266"/>
      <c r="Y223" s="266"/>
      <c r="Z223" s="266"/>
      <c r="AA223" s="266"/>
      <c r="AB223" s="266"/>
      <c r="AC223" s="266"/>
      <c r="AD223" s="266"/>
      <c r="AE223" s="266"/>
      <c r="AF223" s="266"/>
      <c r="AG223" s="266"/>
      <c r="AH223" s="266"/>
      <c r="AI223" s="266"/>
      <c r="AJ223" s="266"/>
      <c r="AK223" s="266"/>
      <c r="AL223" s="266"/>
      <c r="AM223" s="266"/>
      <c r="AN223" s="266"/>
      <c r="AO223" s="266"/>
      <c r="AP223" s="266"/>
      <c r="AQ223" s="266"/>
      <c r="AR223" s="266"/>
      <c r="AS223" s="266"/>
      <c r="AT223" s="266"/>
    </row>
    <row r="224" spans="1:46" ht="17.25" hidden="1" customHeight="1">
      <c r="A224" s="260">
        <v>19</v>
      </c>
      <c r="B224" s="261" t="s">
        <v>48</v>
      </c>
      <c r="C224" s="262" t="s">
        <v>583</v>
      </c>
      <c r="D224" s="262" t="s">
        <v>584</v>
      </c>
      <c r="E224" s="260">
        <v>7</v>
      </c>
      <c r="F224" s="263">
        <v>40806</v>
      </c>
      <c r="G224" s="264" t="s">
        <v>580</v>
      </c>
      <c r="H224" s="262">
        <v>6692518555</v>
      </c>
      <c r="I224" s="264" t="s">
        <v>581</v>
      </c>
      <c r="J224" s="263">
        <v>45078</v>
      </c>
      <c r="K224" s="264"/>
      <c r="L224" s="264"/>
      <c r="M224" s="262" t="s">
        <v>582</v>
      </c>
      <c r="N224" s="261" t="s">
        <v>34</v>
      </c>
      <c r="O224" s="265">
        <v>45139</v>
      </c>
      <c r="P224" s="266"/>
      <c r="Q224" s="266"/>
      <c r="R224" s="266"/>
      <c r="S224" s="266"/>
      <c r="T224" s="6"/>
      <c r="U224" s="6"/>
      <c r="V224" s="6"/>
      <c r="W224" s="266"/>
      <c r="X224" s="266"/>
      <c r="Y224" s="266"/>
      <c r="Z224" s="266"/>
      <c r="AA224" s="266"/>
      <c r="AB224" s="266"/>
      <c r="AC224" s="266"/>
      <c r="AD224" s="266"/>
      <c r="AE224" s="266"/>
      <c r="AF224" s="266"/>
      <c r="AG224" s="266"/>
      <c r="AH224" s="266"/>
      <c r="AI224" s="266"/>
      <c r="AJ224" s="266"/>
      <c r="AK224" s="266"/>
      <c r="AL224" s="266"/>
      <c r="AM224" s="266"/>
      <c r="AN224" s="266"/>
      <c r="AO224" s="266"/>
      <c r="AP224" s="266"/>
      <c r="AQ224" s="266"/>
      <c r="AR224" s="266"/>
      <c r="AS224" s="266"/>
      <c r="AT224" s="266"/>
    </row>
    <row r="225" spans="1:46" ht="17.25" hidden="1" customHeight="1">
      <c r="A225" s="260">
        <v>20</v>
      </c>
      <c r="B225" s="261" t="s">
        <v>89</v>
      </c>
      <c r="C225" s="262" t="s">
        <v>583</v>
      </c>
      <c r="D225" s="262" t="s">
        <v>584</v>
      </c>
      <c r="E225" s="260">
        <v>7</v>
      </c>
      <c r="F225" s="263">
        <v>40806</v>
      </c>
      <c r="G225" s="264" t="s">
        <v>580</v>
      </c>
      <c r="H225" s="262">
        <v>6692518555</v>
      </c>
      <c r="I225" s="264" t="s">
        <v>581</v>
      </c>
      <c r="J225" s="263">
        <v>45078</v>
      </c>
      <c r="K225" s="264"/>
      <c r="L225" s="264"/>
      <c r="M225" s="262" t="s">
        <v>582</v>
      </c>
      <c r="N225" s="261" t="s">
        <v>34</v>
      </c>
      <c r="O225" s="265">
        <v>45139</v>
      </c>
      <c r="P225" s="266"/>
      <c r="Q225" s="266"/>
      <c r="R225" s="266"/>
      <c r="S225" s="266"/>
      <c r="T225" s="6"/>
      <c r="U225" s="6"/>
      <c r="V225" s="6"/>
      <c r="W225" s="266"/>
      <c r="X225" s="266"/>
      <c r="Y225" s="266"/>
      <c r="Z225" s="26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6"/>
    </row>
    <row r="226" spans="1:46" ht="17.25" hidden="1" customHeight="1">
      <c r="A226" s="268">
        <v>21</v>
      </c>
      <c r="B226" s="269" t="s">
        <v>89</v>
      </c>
      <c r="C226" s="270" t="s">
        <v>585</v>
      </c>
      <c r="D226" s="270" t="s">
        <v>586</v>
      </c>
      <c r="E226" s="268">
        <v>1</v>
      </c>
      <c r="F226" s="271">
        <v>42483</v>
      </c>
      <c r="G226" s="272" t="s">
        <v>587</v>
      </c>
      <c r="H226" s="270">
        <v>6692460021</v>
      </c>
      <c r="I226" s="272" t="s">
        <v>588</v>
      </c>
      <c r="J226" s="271">
        <v>45084</v>
      </c>
      <c r="K226" s="272"/>
      <c r="L226" s="272"/>
      <c r="M226" s="270" t="s">
        <v>589</v>
      </c>
      <c r="N226" s="269" t="s">
        <v>34</v>
      </c>
      <c r="O226" s="273">
        <v>45139</v>
      </c>
      <c r="P226" s="259"/>
      <c r="Q226" s="259"/>
      <c r="R226" s="259"/>
      <c r="S226" s="259"/>
      <c r="T226" s="6"/>
      <c r="U226" s="6"/>
      <c r="V226" s="6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</row>
    <row r="227" spans="1:46" ht="17.25" hidden="1" customHeight="1">
      <c r="A227" s="278">
        <v>1</v>
      </c>
      <c r="B227" s="279" t="s">
        <v>89</v>
      </c>
      <c r="C227" s="280" t="s">
        <v>590</v>
      </c>
      <c r="D227" s="280" t="s">
        <v>591</v>
      </c>
      <c r="E227" s="281">
        <v>6</v>
      </c>
      <c r="F227" s="282">
        <v>41034</v>
      </c>
      <c r="G227" s="283" t="s">
        <v>592</v>
      </c>
      <c r="H227" s="280">
        <v>5108161486</v>
      </c>
      <c r="I227" s="283" t="s">
        <v>593</v>
      </c>
      <c r="J227" s="282">
        <v>45139</v>
      </c>
      <c r="K227" s="283"/>
      <c r="L227" s="283"/>
      <c r="M227" s="280" t="s">
        <v>594</v>
      </c>
      <c r="N227" s="279" t="s">
        <v>34</v>
      </c>
      <c r="O227" s="284">
        <v>45170</v>
      </c>
      <c r="P227" s="285"/>
      <c r="Q227" s="285"/>
      <c r="R227" s="285"/>
      <c r="S227" s="285"/>
      <c r="T227" s="6"/>
      <c r="U227" s="6"/>
      <c r="V227" s="6"/>
      <c r="W227" s="285"/>
      <c r="X227" s="285"/>
      <c r="Y227" s="285"/>
      <c r="Z227" s="285"/>
      <c r="AA227" s="285"/>
      <c r="AB227" s="285"/>
      <c r="AC227" s="285"/>
      <c r="AD227" s="285"/>
      <c r="AE227" s="285"/>
      <c r="AF227" s="285"/>
      <c r="AG227" s="285"/>
      <c r="AH227" s="285"/>
      <c r="AI227" s="285"/>
      <c r="AJ227" s="285"/>
      <c r="AK227" s="285"/>
      <c r="AL227" s="285"/>
      <c r="AM227" s="285"/>
      <c r="AN227" s="285"/>
      <c r="AO227" s="285"/>
      <c r="AP227" s="285"/>
      <c r="AQ227" s="285"/>
      <c r="AR227" s="285"/>
      <c r="AS227" s="285"/>
      <c r="AT227" s="285"/>
    </row>
    <row r="228" spans="1:46" ht="17.25" hidden="1" customHeight="1">
      <c r="A228" s="278">
        <v>2</v>
      </c>
      <c r="B228" s="279" t="s">
        <v>48</v>
      </c>
      <c r="C228" s="286" t="s">
        <v>307</v>
      </c>
      <c r="D228" s="286" t="s">
        <v>595</v>
      </c>
      <c r="E228" s="278" t="s">
        <v>133</v>
      </c>
      <c r="F228" s="287">
        <v>42776</v>
      </c>
      <c r="G228" s="288" t="s">
        <v>596</v>
      </c>
      <c r="H228" s="286">
        <v>6692385152</v>
      </c>
      <c r="I228" s="288" t="s">
        <v>597</v>
      </c>
      <c r="J228" s="287">
        <v>45093</v>
      </c>
      <c r="K228" s="288"/>
      <c r="L228" s="288"/>
      <c r="M228" s="286" t="s">
        <v>598</v>
      </c>
      <c r="N228" s="279" t="s">
        <v>34</v>
      </c>
      <c r="O228" s="284">
        <v>45170</v>
      </c>
      <c r="P228" s="285"/>
      <c r="Q228" s="285"/>
      <c r="R228" s="285"/>
      <c r="S228" s="285"/>
      <c r="T228" s="259"/>
      <c r="U228" s="259"/>
      <c r="V228" s="259"/>
      <c r="W228" s="285"/>
      <c r="X228" s="285"/>
      <c r="Y228" s="285"/>
      <c r="Z228" s="285"/>
      <c r="AA228" s="285"/>
      <c r="AB228" s="285"/>
      <c r="AC228" s="285"/>
      <c r="AD228" s="285"/>
      <c r="AE228" s="285"/>
      <c r="AF228" s="285"/>
      <c r="AG228" s="285"/>
      <c r="AH228" s="285"/>
      <c r="AI228" s="285"/>
      <c r="AJ228" s="285"/>
      <c r="AK228" s="285"/>
      <c r="AL228" s="285"/>
      <c r="AM228" s="285"/>
      <c r="AN228" s="285"/>
      <c r="AO228" s="285"/>
      <c r="AP228" s="285"/>
      <c r="AQ228" s="285"/>
      <c r="AR228" s="285"/>
      <c r="AS228" s="285"/>
      <c r="AT228" s="285"/>
    </row>
    <row r="229" spans="1:46" ht="17.25" hidden="1" customHeight="1">
      <c r="A229" s="278">
        <v>3</v>
      </c>
      <c r="B229" s="279" t="s">
        <v>89</v>
      </c>
      <c r="C229" s="289" t="s">
        <v>307</v>
      </c>
      <c r="D229" s="289" t="s">
        <v>595</v>
      </c>
      <c r="E229" s="278" t="s">
        <v>133</v>
      </c>
      <c r="F229" s="287">
        <v>42776</v>
      </c>
      <c r="G229" s="288" t="s">
        <v>596</v>
      </c>
      <c r="H229" s="286">
        <v>6692385152</v>
      </c>
      <c r="I229" s="288" t="s">
        <v>597</v>
      </c>
      <c r="J229" s="287">
        <v>45124</v>
      </c>
      <c r="K229" s="288"/>
      <c r="L229" s="288"/>
      <c r="M229" s="286" t="s">
        <v>598</v>
      </c>
      <c r="N229" s="279" t="s">
        <v>34</v>
      </c>
      <c r="O229" s="284">
        <v>45170</v>
      </c>
      <c r="P229" s="285"/>
      <c r="Q229" s="285"/>
      <c r="R229" s="285"/>
      <c r="S229" s="285"/>
      <c r="T229" s="6"/>
      <c r="U229" s="6"/>
      <c r="V229" s="6"/>
      <c r="W229" s="285"/>
      <c r="X229" s="285"/>
      <c r="Y229" s="285"/>
      <c r="Z229" s="285"/>
      <c r="AA229" s="285"/>
      <c r="AB229" s="285"/>
      <c r="AC229" s="285"/>
      <c r="AD229" s="285"/>
      <c r="AE229" s="285"/>
      <c r="AF229" s="285"/>
      <c r="AG229" s="285"/>
      <c r="AH229" s="285"/>
      <c r="AI229" s="285"/>
      <c r="AJ229" s="285"/>
      <c r="AK229" s="285"/>
      <c r="AL229" s="285"/>
      <c r="AM229" s="285"/>
      <c r="AN229" s="285"/>
      <c r="AO229" s="285"/>
      <c r="AP229" s="285"/>
      <c r="AQ229" s="285"/>
      <c r="AR229" s="285"/>
      <c r="AS229" s="285"/>
      <c r="AT229" s="285"/>
    </row>
    <row r="230" spans="1:46" ht="17.25" hidden="1" customHeight="1">
      <c r="A230" s="290">
        <v>1</v>
      </c>
      <c r="B230" s="291" t="s">
        <v>48</v>
      </c>
      <c r="C230" s="292" t="s">
        <v>599</v>
      </c>
      <c r="D230" s="292" t="s">
        <v>600</v>
      </c>
      <c r="E230" s="293" t="s">
        <v>265</v>
      </c>
      <c r="F230" s="294">
        <v>43461</v>
      </c>
      <c r="G230" s="295" t="s">
        <v>601</v>
      </c>
      <c r="H230" s="292">
        <v>4086803486</v>
      </c>
      <c r="I230" s="295" t="s">
        <v>602</v>
      </c>
      <c r="J230" s="294">
        <v>45174</v>
      </c>
      <c r="K230" s="295"/>
      <c r="L230" s="295"/>
      <c r="M230" s="292" t="s">
        <v>603</v>
      </c>
      <c r="N230" s="296" t="s">
        <v>34</v>
      </c>
      <c r="O230" s="297">
        <v>45231</v>
      </c>
      <c r="P230" s="251"/>
      <c r="Q230" s="251"/>
      <c r="R230" s="251"/>
      <c r="S230" s="251"/>
      <c r="T230" s="6"/>
      <c r="U230" s="6"/>
      <c r="V230" s="6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</row>
    <row r="231" spans="1:46" ht="17.25" hidden="1" customHeight="1">
      <c r="A231" s="290">
        <v>1</v>
      </c>
      <c r="B231" s="298" t="s">
        <v>48</v>
      </c>
      <c r="C231" s="299" t="s">
        <v>301</v>
      </c>
      <c r="D231" s="299" t="s">
        <v>561</v>
      </c>
      <c r="E231" s="290">
        <v>3</v>
      </c>
      <c r="F231" s="300">
        <v>41924</v>
      </c>
      <c r="G231" s="301" t="s">
        <v>604</v>
      </c>
      <c r="H231" s="301">
        <v>5102921648</v>
      </c>
      <c r="I231" s="301" t="s">
        <v>605</v>
      </c>
      <c r="J231" s="300">
        <v>45246</v>
      </c>
      <c r="K231" s="302"/>
      <c r="L231" s="302"/>
      <c r="M231" s="299" t="s">
        <v>606</v>
      </c>
      <c r="N231" s="298" t="s">
        <v>34</v>
      </c>
      <c r="O231" s="303">
        <v>45261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7.25" hidden="1" customHeight="1">
      <c r="A232" s="290">
        <v>2</v>
      </c>
      <c r="B232" s="298" t="s">
        <v>89</v>
      </c>
      <c r="C232" s="299" t="s">
        <v>301</v>
      </c>
      <c r="D232" s="299" t="s">
        <v>561</v>
      </c>
      <c r="E232" s="290">
        <v>3</v>
      </c>
      <c r="F232" s="300">
        <v>41924</v>
      </c>
      <c r="G232" s="301" t="s">
        <v>604</v>
      </c>
      <c r="H232" s="301">
        <v>5102921648</v>
      </c>
      <c r="I232" s="301" t="s">
        <v>605</v>
      </c>
      <c r="J232" s="300">
        <v>45246</v>
      </c>
      <c r="K232" s="302"/>
      <c r="L232" s="302"/>
      <c r="M232" s="299" t="s">
        <v>606</v>
      </c>
      <c r="N232" s="298" t="s">
        <v>34</v>
      </c>
      <c r="O232" s="303">
        <v>45261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7.25" hidden="1" customHeight="1">
      <c r="A233" s="290">
        <v>3</v>
      </c>
      <c r="B233" s="298" t="s">
        <v>48</v>
      </c>
      <c r="C233" s="299" t="s">
        <v>444</v>
      </c>
      <c r="D233" s="299" t="s">
        <v>607</v>
      </c>
      <c r="E233" s="290">
        <v>2</v>
      </c>
      <c r="F233" s="300">
        <v>42588</v>
      </c>
      <c r="G233" s="302" t="s">
        <v>608</v>
      </c>
      <c r="H233" s="299">
        <v>6692068365</v>
      </c>
      <c r="I233" s="302" t="s">
        <v>609</v>
      </c>
      <c r="J233" s="300">
        <v>45170</v>
      </c>
      <c r="K233" s="302"/>
      <c r="L233" s="302"/>
      <c r="M233" s="299" t="s">
        <v>610</v>
      </c>
      <c r="N233" s="298" t="s">
        <v>34</v>
      </c>
      <c r="O233" s="303">
        <v>45261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7.25" hidden="1" customHeight="1">
      <c r="A234" s="290">
        <v>4</v>
      </c>
      <c r="B234" s="298" t="s">
        <v>48</v>
      </c>
      <c r="C234" s="304" t="s">
        <v>611</v>
      </c>
      <c r="D234" s="304" t="s">
        <v>612</v>
      </c>
      <c r="E234" s="290">
        <v>1</v>
      </c>
      <c r="F234" s="300">
        <v>42388</v>
      </c>
      <c r="G234" s="302" t="s">
        <v>613</v>
      </c>
      <c r="H234" s="299">
        <v>4087977701</v>
      </c>
      <c r="I234" s="302" t="s">
        <v>614</v>
      </c>
      <c r="J234" s="300">
        <v>45033</v>
      </c>
      <c r="K234" s="302"/>
      <c r="L234" s="302"/>
      <c r="M234" s="299" t="s">
        <v>615</v>
      </c>
      <c r="N234" s="298" t="s">
        <v>34</v>
      </c>
      <c r="O234" s="303">
        <v>45261</v>
      </c>
      <c r="P234" s="6"/>
      <c r="Q234" s="6"/>
      <c r="R234" s="6"/>
      <c r="S234" s="6"/>
      <c r="T234" s="259"/>
      <c r="U234" s="259"/>
      <c r="V234" s="259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7.25" hidden="1" customHeight="1">
      <c r="A235" s="290">
        <v>5</v>
      </c>
      <c r="B235" s="298" t="s">
        <v>89</v>
      </c>
      <c r="C235" s="305" t="s">
        <v>616</v>
      </c>
      <c r="D235" s="305" t="s">
        <v>297</v>
      </c>
      <c r="E235" s="306">
        <v>1</v>
      </c>
      <c r="F235" s="307">
        <v>42947</v>
      </c>
      <c r="G235" s="301" t="s">
        <v>617</v>
      </c>
      <c r="H235" s="305">
        <v>4085108805</v>
      </c>
      <c r="I235" s="301" t="s">
        <v>466</v>
      </c>
      <c r="J235" s="307">
        <v>45246</v>
      </c>
      <c r="K235" s="301"/>
      <c r="L235" s="301"/>
      <c r="M235" s="305" t="s">
        <v>618</v>
      </c>
      <c r="N235" s="298" t="s">
        <v>34</v>
      </c>
      <c r="O235" s="308">
        <v>45261</v>
      </c>
      <c r="P235" s="6"/>
      <c r="Q235" s="6"/>
      <c r="R235" s="6"/>
      <c r="S235" s="6"/>
      <c r="T235" s="259"/>
      <c r="U235" s="259"/>
      <c r="V235" s="259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7.25" hidden="1" customHeight="1">
      <c r="A236" s="290">
        <v>6</v>
      </c>
      <c r="B236" s="298" t="s">
        <v>48</v>
      </c>
      <c r="C236" s="299" t="s">
        <v>444</v>
      </c>
      <c r="D236" s="299" t="s">
        <v>619</v>
      </c>
      <c r="E236" s="290" t="s">
        <v>133</v>
      </c>
      <c r="F236" s="300">
        <v>43151</v>
      </c>
      <c r="G236" s="302" t="s">
        <v>608</v>
      </c>
      <c r="H236" s="299">
        <v>6692068365</v>
      </c>
      <c r="I236" s="302" t="s">
        <v>609</v>
      </c>
      <c r="J236" s="300">
        <v>45170</v>
      </c>
      <c r="K236" s="302"/>
      <c r="L236" s="302"/>
      <c r="M236" s="299" t="s">
        <v>610</v>
      </c>
      <c r="N236" s="298" t="s">
        <v>34</v>
      </c>
      <c r="O236" s="303">
        <v>45261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7.25" hidden="1" customHeight="1">
      <c r="A237" s="290">
        <v>7</v>
      </c>
      <c r="B237" s="298" t="s">
        <v>89</v>
      </c>
      <c r="C237" s="304" t="s">
        <v>611</v>
      </c>
      <c r="D237" s="304" t="s">
        <v>620</v>
      </c>
      <c r="E237" s="290">
        <v>5</v>
      </c>
      <c r="F237" s="300">
        <v>40961</v>
      </c>
      <c r="G237" s="302" t="s">
        <v>621</v>
      </c>
      <c r="H237" s="299">
        <v>4087977701</v>
      </c>
      <c r="I237" s="302" t="s">
        <v>614</v>
      </c>
      <c r="J237" s="300">
        <v>44791</v>
      </c>
      <c r="K237" s="302"/>
      <c r="L237" s="302"/>
      <c r="M237" s="299" t="s">
        <v>622</v>
      </c>
      <c r="N237" s="298" t="s">
        <v>34</v>
      </c>
      <c r="O237" s="303">
        <v>45261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7.25" hidden="1" customHeight="1">
      <c r="A238" s="309">
        <v>1</v>
      </c>
      <c r="B238" s="296" t="s">
        <v>48</v>
      </c>
      <c r="C238" s="292" t="s">
        <v>623</v>
      </c>
      <c r="D238" s="292" t="s">
        <v>624</v>
      </c>
      <c r="E238" s="293">
        <v>3</v>
      </c>
      <c r="F238" s="294">
        <v>42236</v>
      </c>
      <c r="G238" s="295" t="s">
        <v>625</v>
      </c>
      <c r="H238" s="292" t="s">
        <v>626</v>
      </c>
      <c r="I238" s="295" t="s">
        <v>627</v>
      </c>
      <c r="J238" s="294">
        <v>45174</v>
      </c>
      <c r="K238" s="295"/>
      <c r="L238" s="295"/>
      <c r="M238" s="292"/>
      <c r="N238" s="296" t="s">
        <v>34</v>
      </c>
      <c r="O238" s="297">
        <v>45292</v>
      </c>
      <c r="P238" s="251"/>
      <c r="Q238" s="251"/>
      <c r="R238" s="251"/>
      <c r="S238" s="251"/>
      <c r="T238" s="6"/>
      <c r="U238" s="6"/>
      <c r="V238" s="6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</row>
    <row r="239" spans="1:46" ht="17.25" hidden="1" customHeight="1">
      <c r="A239" s="309">
        <v>2</v>
      </c>
      <c r="B239" s="296" t="s">
        <v>89</v>
      </c>
      <c r="C239" s="292" t="s">
        <v>623</v>
      </c>
      <c r="D239" s="292" t="s">
        <v>624</v>
      </c>
      <c r="E239" s="293">
        <v>3</v>
      </c>
      <c r="F239" s="294">
        <v>42236</v>
      </c>
      <c r="G239" s="295" t="s">
        <v>625</v>
      </c>
      <c r="H239" s="292" t="s">
        <v>626</v>
      </c>
      <c r="I239" s="295" t="s">
        <v>627</v>
      </c>
      <c r="J239" s="294">
        <v>45174</v>
      </c>
      <c r="K239" s="295"/>
      <c r="L239" s="295"/>
      <c r="M239" s="292"/>
      <c r="N239" s="296" t="s">
        <v>34</v>
      </c>
      <c r="O239" s="297">
        <v>45292</v>
      </c>
      <c r="P239" s="251"/>
      <c r="Q239" s="251"/>
      <c r="R239" s="251"/>
      <c r="S239" s="251"/>
      <c r="T239" s="6"/>
      <c r="U239" s="6"/>
      <c r="V239" s="6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</row>
    <row r="240" spans="1:46" ht="17.25" hidden="1" customHeight="1">
      <c r="A240" s="310">
        <v>3</v>
      </c>
      <c r="B240" s="296" t="s">
        <v>89</v>
      </c>
      <c r="C240" s="311" t="s">
        <v>628</v>
      </c>
      <c r="D240" s="311" t="s">
        <v>629</v>
      </c>
      <c r="E240" s="309">
        <v>6</v>
      </c>
      <c r="F240" s="312">
        <v>41034</v>
      </c>
      <c r="G240" s="313" t="s">
        <v>630</v>
      </c>
      <c r="H240" s="311">
        <v>5108161486</v>
      </c>
      <c r="I240" s="314" t="s">
        <v>593</v>
      </c>
      <c r="J240" s="312">
        <v>45093</v>
      </c>
      <c r="K240" s="313"/>
      <c r="L240" s="313"/>
      <c r="M240" s="311" t="s">
        <v>631</v>
      </c>
      <c r="N240" s="296" t="s">
        <v>34</v>
      </c>
      <c r="O240" s="297">
        <v>45292</v>
      </c>
      <c r="P240" s="251"/>
      <c r="Q240" s="251"/>
      <c r="R240" s="251"/>
      <c r="S240" s="251"/>
      <c r="T240" s="285"/>
      <c r="U240" s="285"/>
      <c r="V240" s="285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</row>
    <row r="241" spans="1:46" ht="17.25" hidden="1" customHeight="1">
      <c r="A241" s="309">
        <v>4</v>
      </c>
      <c r="B241" s="296" t="s">
        <v>48</v>
      </c>
      <c r="C241" s="311" t="s">
        <v>323</v>
      </c>
      <c r="D241" s="311" t="s">
        <v>632</v>
      </c>
      <c r="E241" s="309">
        <v>7</v>
      </c>
      <c r="F241" s="312">
        <v>40552</v>
      </c>
      <c r="G241" s="313" t="s">
        <v>633</v>
      </c>
      <c r="H241" s="311">
        <v>5108221710</v>
      </c>
      <c r="I241" s="313" t="s">
        <v>634</v>
      </c>
      <c r="J241" s="312">
        <v>45233</v>
      </c>
      <c r="K241" s="313"/>
      <c r="L241" s="313"/>
      <c r="M241" s="311"/>
      <c r="N241" s="296" t="s">
        <v>34</v>
      </c>
      <c r="O241" s="297">
        <v>45292</v>
      </c>
      <c r="P241" s="251"/>
      <c r="Q241" s="251"/>
      <c r="R241" s="251"/>
      <c r="S241" s="251"/>
      <c r="T241" s="285"/>
      <c r="U241" s="285"/>
      <c r="V241" s="285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</row>
    <row r="242" spans="1:46" ht="17.25" hidden="1" customHeight="1">
      <c r="A242" s="309">
        <v>5</v>
      </c>
      <c r="B242" s="296" t="s">
        <v>48</v>
      </c>
      <c r="C242" s="292" t="s">
        <v>444</v>
      </c>
      <c r="D242" s="292" t="s">
        <v>586</v>
      </c>
      <c r="E242" s="293">
        <v>1</v>
      </c>
      <c r="F242" s="294">
        <v>42483</v>
      </c>
      <c r="G242" s="295" t="s">
        <v>587</v>
      </c>
      <c r="H242" s="292">
        <v>6692460021</v>
      </c>
      <c r="I242" s="295" t="s">
        <v>588</v>
      </c>
      <c r="J242" s="294">
        <v>45247</v>
      </c>
      <c r="K242" s="295"/>
      <c r="L242" s="295"/>
      <c r="M242" s="292" t="s">
        <v>635</v>
      </c>
      <c r="N242" s="296" t="s">
        <v>34</v>
      </c>
      <c r="O242" s="297">
        <v>45292</v>
      </c>
      <c r="P242" s="251"/>
      <c r="Q242" s="251"/>
      <c r="R242" s="251"/>
      <c r="S242" s="251"/>
      <c r="T242" s="285"/>
      <c r="U242" s="285"/>
      <c r="V242" s="285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</row>
    <row r="243" spans="1:46" ht="15" hidden="1" customHeight="1">
      <c r="A243" s="315">
        <v>6</v>
      </c>
      <c r="B243" s="316" t="s">
        <v>48</v>
      </c>
      <c r="C243" s="317" t="s">
        <v>488</v>
      </c>
      <c r="D243" s="317" t="s">
        <v>636</v>
      </c>
      <c r="E243" s="315" t="s">
        <v>133</v>
      </c>
      <c r="F243" s="318">
        <v>42409</v>
      </c>
      <c r="G243" s="319" t="s">
        <v>637</v>
      </c>
      <c r="H243" s="320">
        <v>4088292099</v>
      </c>
      <c r="I243" s="319" t="s">
        <v>638</v>
      </c>
      <c r="J243" s="318">
        <v>44645</v>
      </c>
      <c r="K243" s="319"/>
      <c r="L243" s="319"/>
      <c r="M243" s="320" t="s">
        <v>639</v>
      </c>
      <c r="N243" s="316" t="s">
        <v>34</v>
      </c>
      <c r="O243" s="297">
        <v>45292</v>
      </c>
      <c r="P243" s="267"/>
      <c r="Q243" s="267"/>
      <c r="R243" s="267"/>
      <c r="S243" s="267"/>
      <c r="T243" s="259"/>
      <c r="U243" s="259"/>
      <c r="V243" s="259"/>
      <c r="W243" s="267"/>
      <c r="X243" s="267"/>
      <c r="Y243" s="267"/>
      <c r="Z243" s="267"/>
      <c r="AA243" s="267"/>
      <c r="AB243" s="267"/>
      <c r="AC243" s="267"/>
      <c r="AD243" s="267"/>
      <c r="AE243" s="267"/>
      <c r="AF243" s="267"/>
      <c r="AG243" s="267"/>
      <c r="AH243" s="267"/>
      <c r="AI243" s="267"/>
      <c r="AJ243" s="267"/>
      <c r="AK243" s="267"/>
      <c r="AL243" s="267"/>
      <c r="AM243" s="267"/>
      <c r="AN243" s="267"/>
      <c r="AO243" s="267"/>
      <c r="AP243" s="267"/>
      <c r="AQ243" s="267"/>
      <c r="AR243" s="267"/>
      <c r="AS243" s="267"/>
      <c r="AT243" s="267"/>
    </row>
    <row r="244" spans="1:46" ht="17.25" hidden="1" customHeight="1">
      <c r="A244" s="315">
        <v>7</v>
      </c>
      <c r="B244" s="316" t="s">
        <v>89</v>
      </c>
      <c r="C244" s="317" t="s">
        <v>488</v>
      </c>
      <c r="D244" s="317" t="s">
        <v>636</v>
      </c>
      <c r="E244" s="315" t="s">
        <v>133</v>
      </c>
      <c r="F244" s="318">
        <v>42409</v>
      </c>
      <c r="G244" s="319" t="s">
        <v>637</v>
      </c>
      <c r="H244" s="320">
        <v>4088292099</v>
      </c>
      <c r="I244" s="319" t="s">
        <v>638</v>
      </c>
      <c r="J244" s="318">
        <v>44866</v>
      </c>
      <c r="K244" s="319"/>
      <c r="L244" s="319"/>
      <c r="M244" s="320" t="s">
        <v>639</v>
      </c>
      <c r="N244" s="316" t="s">
        <v>34</v>
      </c>
      <c r="O244" s="297">
        <v>45292</v>
      </c>
      <c r="P244" s="267"/>
      <c r="Q244" s="267"/>
      <c r="R244" s="267"/>
      <c r="S244" s="267"/>
      <c r="T244" s="259"/>
      <c r="U244" s="259"/>
      <c r="V244" s="259"/>
      <c r="W244" s="267"/>
      <c r="X244" s="267"/>
      <c r="Y244" s="267"/>
      <c r="Z244" s="267"/>
      <c r="AA244" s="267"/>
      <c r="AB244" s="267"/>
      <c r="AC244" s="267"/>
      <c r="AD244" s="267"/>
      <c r="AE244" s="267"/>
      <c r="AF244" s="267"/>
      <c r="AG244" s="267"/>
      <c r="AH244" s="267"/>
      <c r="AI244" s="267"/>
      <c r="AJ244" s="267"/>
      <c r="AK244" s="267"/>
      <c r="AL244" s="267"/>
      <c r="AM244" s="267"/>
      <c r="AN244" s="267"/>
      <c r="AO244" s="267"/>
      <c r="AP244" s="267"/>
      <c r="AQ244" s="267"/>
      <c r="AR244" s="267"/>
      <c r="AS244" s="267"/>
      <c r="AT244" s="267"/>
    </row>
    <row r="245" spans="1:46" ht="17.25" hidden="1" customHeight="1">
      <c r="A245" s="309">
        <v>8</v>
      </c>
      <c r="B245" s="296" t="s">
        <v>48</v>
      </c>
      <c r="C245" s="311" t="s">
        <v>640</v>
      </c>
      <c r="D245" s="311" t="s">
        <v>641</v>
      </c>
      <c r="E245" s="309">
        <v>3</v>
      </c>
      <c r="F245" s="312">
        <v>42099</v>
      </c>
      <c r="G245" s="313" t="s">
        <v>642</v>
      </c>
      <c r="H245" s="311">
        <v>3104608958</v>
      </c>
      <c r="I245" s="313" t="s">
        <v>643</v>
      </c>
      <c r="J245" s="312">
        <v>45200</v>
      </c>
      <c r="K245" s="313"/>
      <c r="L245" s="313"/>
      <c r="M245" s="311"/>
      <c r="N245" s="296" t="s">
        <v>34</v>
      </c>
      <c r="O245" s="297">
        <v>45292</v>
      </c>
      <c r="P245" s="251"/>
      <c r="Q245" s="251"/>
      <c r="R245" s="251"/>
      <c r="S245" s="251"/>
      <c r="T245" s="285"/>
      <c r="U245" s="285"/>
      <c r="V245" s="285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</row>
    <row r="246" spans="1:46" ht="17.25" hidden="1" customHeight="1">
      <c r="A246" s="309">
        <v>9</v>
      </c>
      <c r="B246" s="296" t="s">
        <v>89</v>
      </c>
      <c r="C246" s="311" t="s">
        <v>640</v>
      </c>
      <c r="D246" s="311" t="s">
        <v>641</v>
      </c>
      <c r="E246" s="309">
        <v>3</v>
      </c>
      <c r="F246" s="312">
        <v>42099</v>
      </c>
      <c r="G246" s="313" t="s">
        <v>642</v>
      </c>
      <c r="H246" s="311">
        <v>3104608958</v>
      </c>
      <c r="I246" s="313" t="s">
        <v>643</v>
      </c>
      <c r="J246" s="312">
        <v>45200</v>
      </c>
      <c r="K246" s="313"/>
      <c r="L246" s="313"/>
      <c r="M246" s="311"/>
      <c r="N246" s="296" t="s">
        <v>34</v>
      </c>
      <c r="O246" s="297">
        <v>45292</v>
      </c>
      <c r="P246" s="251"/>
      <c r="Q246" s="251"/>
      <c r="R246" s="251"/>
      <c r="S246" s="251"/>
      <c r="T246" s="285"/>
      <c r="U246" s="285"/>
      <c r="V246" s="285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</row>
    <row r="247" spans="1:46" ht="17.25" hidden="1" customHeight="1">
      <c r="A247" s="290">
        <v>1</v>
      </c>
      <c r="B247" s="298" t="s">
        <v>89</v>
      </c>
      <c r="C247" s="305" t="s">
        <v>644</v>
      </c>
      <c r="D247" s="305" t="s">
        <v>147</v>
      </c>
      <c r="E247" s="306">
        <v>1</v>
      </c>
      <c r="F247" s="307">
        <v>42894</v>
      </c>
      <c r="G247" s="301" t="s">
        <v>645</v>
      </c>
      <c r="H247" s="305">
        <v>6503358676</v>
      </c>
      <c r="I247" s="301" t="s">
        <v>646</v>
      </c>
      <c r="J247" s="307">
        <v>45159</v>
      </c>
      <c r="K247" s="301"/>
      <c r="L247" s="301"/>
      <c r="M247" s="305" t="s">
        <v>647</v>
      </c>
      <c r="N247" s="298" t="s">
        <v>34</v>
      </c>
      <c r="O247" s="308">
        <v>45352</v>
      </c>
      <c r="P247" s="6"/>
      <c r="Q247" s="6"/>
      <c r="R247" s="6"/>
      <c r="S247" s="6"/>
      <c r="T247" s="259"/>
      <c r="U247" s="259"/>
      <c r="V247" s="259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7.25" hidden="1" customHeight="1">
      <c r="A248" s="290">
        <v>2</v>
      </c>
      <c r="B248" s="298" t="s">
        <v>48</v>
      </c>
      <c r="C248" s="304" t="s">
        <v>648</v>
      </c>
      <c r="D248" s="304" t="s">
        <v>649</v>
      </c>
      <c r="E248" s="290">
        <v>4</v>
      </c>
      <c r="F248" s="300">
        <v>41300</v>
      </c>
      <c r="G248" s="321" t="s">
        <v>650</v>
      </c>
      <c r="H248" s="304" t="s">
        <v>651</v>
      </c>
      <c r="I248" s="321" t="s">
        <v>652</v>
      </c>
      <c r="J248" s="300">
        <v>45110</v>
      </c>
      <c r="K248" s="302"/>
      <c r="L248" s="302"/>
      <c r="M248" s="299"/>
      <c r="N248" s="298" t="s">
        <v>34</v>
      </c>
      <c r="O248" s="308">
        <v>45352</v>
      </c>
      <c r="P248" s="6"/>
      <c r="Q248" s="6"/>
      <c r="R248" s="6"/>
      <c r="S248" s="6"/>
      <c r="T248" s="259"/>
      <c r="U248" s="259"/>
      <c r="V248" s="259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7.25" hidden="1" customHeight="1">
      <c r="A249" s="290">
        <v>3</v>
      </c>
      <c r="B249" s="298" t="s">
        <v>89</v>
      </c>
      <c r="C249" s="304" t="s">
        <v>648</v>
      </c>
      <c r="D249" s="304" t="s">
        <v>649</v>
      </c>
      <c r="E249" s="290">
        <v>4</v>
      </c>
      <c r="F249" s="300">
        <v>41301</v>
      </c>
      <c r="G249" s="321" t="s">
        <v>653</v>
      </c>
      <c r="H249" s="304" t="s">
        <v>654</v>
      </c>
      <c r="I249" s="321" t="s">
        <v>652</v>
      </c>
      <c r="J249" s="300">
        <v>45110</v>
      </c>
      <c r="K249" s="302"/>
      <c r="L249" s="302"/>
      <c r="M249" s="299"/>
      <c r="N249" s="298" t="s">
        <v>34</v>
      </c>
      <c r="O249" s="308">
        <v>45352</v>
      </c>
      <c r="P249" s="6"/>
      <c r="Q249" s="6"/>
      <c r="R249" s="6"/>
      <c r="S249" s="6"/>
      <c r="T249" s="285"/>
      <c r="U249" s="285"/>
      <c r="V249" s="285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7.25" hidden="1" customHeight="1">
      <c r="A250" s="322">
        <v>1</v>
      </c>
      <c r="B250" s="323" t="s">
        <v>48</v>
      </c>
      <c r="C250" s="324" t="s">
        <v>655</v>
      </c>
      <c r="D250" s="324" t="s">
        <v>656</v>
      </c>
      <c r="E250" s="325">
        <v>5</v>
      </c>
      <c r="F250" s="326">
        <v>41253</v>
      </c>
      <c r="G250" s="327" t="s">
        <v>657</v>
      </c>
      <c r="H250" s="324">
        <v>4153956788</v>
      </c>
      <c r="I250" s="327" t="s">
        <v>658</v>
      </c>
      <c r="J250" s="326">
        <v>45180</v>
      </c>
      <c r="K250" s="327"/>
      <c r="L250" s="327"/>
      <c r="M250" s="324" t="s">
        <v>659</v>
      </c>
      <c r="N250" s="328" t="s">
        <v>34</v>
      </c>
      <c r="O250" s="329">
        <v>45383</v>
      </c>
      <c r="P250" s="6"/>
      <c r="Q250" s="6"/>
      <c r="R250" s="6"/>
      <c r="S250" s="6"/>
      <c r="T250" s="285"/>
      <c r="U250" s="285"/>
      <c r="V250" s="285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7.25" hidden="1" customHeight="1">
      <c r="A251" s="322">
        <v>2</v>
      </c>
      <c r="B251" s="323" t="s">
        <v>89</v>
      </c>
      <c r="C251" s="324" t="s">
        <v>655</v>
      </c>
      <c r="D251" s="324" t="s">
        <v>656</v>
      </c>
      <c r="E251" s="325">
        <v>5</v>
      </c>
      <c r="F251" s="326">
        <v>41253</v>
      </c>
      <c r="G251" s="327" t="s">
        <v>657</v>
      </c>
      <c r="H251" s="324">
        <v>4153956788</v>
      </c>
      <c r="I251" s="327" t="s">
        <v>658</v>
      </c>
      <c r="J251" s="326">
        <v>45180</v>
      </c>
      <c r="K251" s="327"/>
      <c r="L251" s="327"/>
      <c r="M251" s="324" t="s">
        <v>659</v>
      </c>
      <c r="N251" s="328" t="s">
        <v>34</v>
      </c>
      <c r="O251" s="329">
        <v>45383</v>
      </c>
      <c r="P251" s="6"/>
      <c r="Q251" s="6"/>
      <c r="R251" s="6"/>
      <c r="S251" s="6"/>
      <c r="T251" s="285"/>
      <c r="U251" s="285"/>
      <c r="V251" s="285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ht="17.25" hidden="1" customHeight="1">
      <c r="A252" s="322">
        <v>3</v>
      </c>
      <c r="B252" s="328" t="s">
        <v>48</v>
      </c>
      <c r="C252" s="330" t="s">
        <v>660</v>
      </c>
      <c r="D252" s="330" t="s">
        <v>661</v>
      </c>
      <c r="E252" s="322" t="s">
        <v>265</v>
      </c>
      <c r="F252" s="331">
        <v>43521</v>
      </c>
      <c r="G252" s="332" t="s">
        <v>662</v>
      </c>
      <c r="H252" s="330">
        <v>5107505202</v>
      </c>
      <c r="I252" s="332" t="s">
        <v>663</v>
      </c>
      <c r="J252" s="331">
        <v>45317</v>
      </c>
      <c r="K252" s="332"/>
      <c r="L252" s="332"/>
      <c r="M252" s="330"/>
      <c r="N252" s="328" t="s">
        <v>34</v>
      </c>
      <c r="O252" s="329">
        <v>45383</v>
      </c>
      <c r="P252" s="6"/>
      <c r="Q252" s="6"/>
      <c r="R252" s="6"/>
      <c r="S252" s="6"/>
      <c r="T252" s="285"/>
      <c r="U252" s="285"/>
      <c r="V252" s="285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spans="1:46" ht="17.25" hidden="1" customHeight="1">
      <c r="A253" s="322">
        <v>4</v>
      </c>
      <c r="B253" s="328" t="s">
        <v>89</v>
      </c>
      <c r="C253" s="330" t="s">
        <v>660</v>
      </c>
      <c r="D253" s="330" t="s">
        <v>661</v>
      </c>
      <c r="E253" s="322" t="s">
        <v>265</v>
      </c>
      <c r="F253" s="331">
        <v>43521</v>
      </c>
      <c r="G253" s="332" t="s">
        <v>662</v>
      </c>
      <c r="H253" s="330">
        <v>5107505202</v>
      </c>
      <c r="I253" s="332" t="s">
        <v>663</v>
      </c>
      <c r="J253" s="331">
        <v>45317</v>
      </c>
      <c r="K253" s="332"/>
      <c r="L253" s="332"/>
      <c r="M253" s="330" t="s">
        <v>552</v>
      </c>
      <c r="N253" s="328" t="s">
        <v>34</v>
      </c>
      <c r="O253" s="329">
        <v>45383</v>
      </c>
      <c r="P253" s="6"/>
      <c r="Q253" s="6"/>
      <c r="R253" s="6"/>
      <c r="S253" s="6"/>
      <c r="T253" s="285"/>
      <c r="U253" s="285"/>
      <c r="V253" s="285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ht="17.25" hidden="1" customHeight="1">
      <c r="A254" s="322">
        <v>5</v>
      </c>
      <c r="B254" s="328" t="s">
        <v>48</v>
      </c>
      <c r="C254" s="330" t="s">
        <v>664</v>
      </c>
      <c r="D254" s="330" t="s">
        <v>665</v>
      </c>
      <c r="E254" s="322">
        <v>5</v>
      </c>
      <c r="F254" s="331">
        <v>41451</v>
      </c>
      <c r="G254" s="327" t="s">
        <v>666</v>
      </c>
      <c r="H254" s="327">
        <v>5106820365</v>
      </c>
      <c r="I254" s="327" t="s">
        <v>667</v>
      </c>
      <c r="J254" s="331">
        <v>45078</v>
      </c>
      <c r="K254" s="332"/>
      <c r="L254" s="332"/>
      <c r="M254" s="330" t="s">
        <v>668</v>
      </c>
      <c r="N254" s="328" t="s">
        <v>34</v>
      </c>
      <c r="O254" s="329">
        <v>45383</v>
      </c>
      <c r="P254" s="6"/>
      <c r="Q254" s="6"/>
      <c r="R254" s="6"/>
      <c r="S254" s="6"/>
      <c r="T254" s="285"/>
      <c r="U254" s="285"/>
      <c r="V254" s="285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ht="17.25" hidden="1" customHeight="1">
      <c r="A255" s="322">
        <v>6</v>
      </c>
      <c r="B255" s="328" t="s">
        <v>89</v>
      </c>
      <c r="C255" s="330" t="s">
        <v>664</v>
      </c>
      <c r="D255" s="330" t="s">
        <v>665</v>
      </c>
      <c r="E255" s="322">
        <v>5</v>
      </c>
      <c r="F255" s="331">
        <v>41451</v>
      </c>
      <c r="G255" s="327" t="s">
        <v>666</v>
      </c>
      <c r="H255" s="327">
        <v>5106820365</v>
      </c>
      <c r="I255" s="327" t="s">
        <v>667</v>
      </c>
      <c r="J255" s="331">
        <v>45096</v>
      </c>
      <c r="K255" s="332"/>
      <c r="L255" s="332"/>
      <c r="M255" s="330" t="s">
        <v>668</v>
      </c>
      <c r="N255" s="328" t="s">
        <v>34</v>
      </c>
      <c r="O255" s="329">
        <v>45383</v>
      </c>
      <c r="P255" s="6"/>
      <c r="Q255" s="6"/>
      <c r="R255" s="6"/>
      <c r="S255" s="6"/>
      <c r="T255" s="285"/>
      <c r="U255" s="285"/>
      <c r="V255" s="285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ht="17.25" hidden="1" customHeight="1">
      <c r="A256" s="322">
        <v>7</v>
      </c>
      <c r="B256" s="323" t="s">
        <v>48</v>
      </c>
      <c r="C256" s="324" t="s">
        <v>655</v>
      </c>
      <c r="D256" s="324" t="s">
        <v>669</v>
      </c>
      <c r="E256" s="325">
        <v>4</v>
      </c>
      <c r="F256" s="326">
        <v>41875</v>
      </c>
      <c r="G256" s="327" t="s">
        <v>657</v>
      </c>
      <c r="H256" s="324">
        <v>4153956788</v>
      </c>
      <c r="I256" s="327" t="s">
        <v>658</v>
      </c>
      <c r="J256" s="326">
        <v>45180</v>
      </c>
      <c r="K256" s="327"/>
      <c r="L256" s="327"/>
      <c r="M256" s="324" t="s">
        <v>659</v>
      </c>
      <c r="N256" s="328" t="s">
        <v>34</v>
      </c>
      <c r="O256" s="329">
        <v>45383</v>
      </c>
      <c r="P256" s="6"/>
      <c r="Q256" s="6"/>
      <c r="R256" s="6"/>
      <c r="S256" s="6"/>
      <c r="T256" s="285"/>
      <c r="U256" s="285"/>
      <c r="V256" s="285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ht="17.25" hidden="1" customHeight="1">
      <c r="A257" s="322">
        <v>8</v>
      </c>
      <c r="B257" s="323" t="s">
        <v>89</v>
      </c>
      <c r="C257" s="324" t="s">
        <v>655</v>
      </c>
      <c r="D257" s="324" t="s">
        <v>669</v>
      </c>
      <c r="E257" s="325">
        <v>4</v>
      </c>
      <c r="F257" s="326">
        <v>41875</v>
      </c>
      <c r="G257" s="327" t="s">
        <v>657</v>
      </c>
      <c r="H257" s="324">
        <v>4153956788</v>
      </c>
      <c r="I257" s="327" t="s">
        <v>658</v>
      </c>
      <c r="J257" s="326">
        <v>45180</v>
      </c>
      <c r="K257" s="327"/>
      <c r="L257" s="327"/>
      <c r="M257" s="324" t="s">
        <v>659</v>
      </c>
      <c r="N257" s="328" t="s">
        <v>34</v>
      </c>
      <c r="O257" s="329">
        <v>45383</v>
      </c>
      <c r="P257" s="6"/>
      <c r="Q257" s="6"/>
      <c r="R257" s="6"/>
      <c r="S257" s="6"/>
      <c r="T257" s="285"/>
      <c r="U257" s="285"/>
      <c r="V257" s="285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ht="17.25" hidden="1" customHeight="1">
      <c r="A258" s="322">
        <v>9</v>
      </c>
      <c r="B258" s="323" t="s">
        <v>48</v>
      </c>
      <c r="C258" s="324" t="s">
        <v>670</v>
      </c>
      <c r="D258" s="324" t="s">
        <v>671</v>
      </c>
      <c r="E258" s="325" t="s">
        <v>133</v>
      </c>
      <c r="F258" s="326">
        <v>43214</v>
      </c>
      <c r="G258" s="327" t="s">
        <v>672</v>
      </c>
      <c r="H258" s="324">
        <v>5103885720</v>
      </c>
      <c r="I258" s="327" t="s">
        <v>673</v>
      </c>
      <c r="J258" s="326">
        <v>45178</v>
      </c>
      <c r="K258" s="327"/>
      <c r="L258" s="327"/>
      <c r="M258" s="324"/>
      <c r="N258" s="328" t="s">
        <v>34</v>
      </c>
      <c r="O258" s="329">
        <v>45383</v>
      </c>
      <c r="P258" s="6"/>
      <c r="Q258" s="6"/>
      <c r="R258" s="6"/>
      <c r="S258" s="6"/>
      <c r="T258" s="285"/>
      <c r="U258" s="285"/>
      <c r="V258" s="285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spans="1:46" ht="17.25" hidden="1" customHeight="1">
      <c r="A259" s="322">
        <v>10</v>
      </c>
      <c r="B259" s="323" t="s">
        <v>48</v>
      </c>
      <c r="C259" s="324" t="s">
        <v>670</v>
      </c>
      <c r="D259" s="324" t="s">
        <v>674</v>
      </c>
      <c r="E259" s="325">
        <v>2</v>
      </c>
      <c r="F259" s="326">
        <v>42626</v>
      </c>
      <c r="G259" s="327" t="s">
        <v>672</v>
      </c>
      <c r="H259" s="324">
        <v>5103885720</v>
      </c>
      <c r="I259" s="327" t="s">
        <v>673</v>
      </c>
      <c r="J259" s="326">
        <v>45178</v>
      </c>
      <c r="K259" s="327"/>
      <c r="L259" s="327"/>
      <c r="M259" s="324"/>
      <c r="N259" s="328" t="s">
        <v>34</v>
      </c>
      <c r="O259" s="329">
        <v>45383</v>
      </c>
      <c r="P259" s="6"/>
      <c r="Q259" s="6"/>
      <c r="R259" s="6"/>
      <c r="S259" s="6"/>
      <c r="T259" s="285"/>
      <c r="U259" s="285"/>
      <c r="V259" s="285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spans="1:46" ht="17.25" hidden="1" customHeight="1">
      <c r="A260" s="290">
        <v>1</v>
      </c>
      <c r="B260" s="333" t="s">
        <v>48</v>
      </c>
      <c r="C260" s="305" t="s">
        <v>675</v>
      </c>
      <c r="D260" s="305" t="s">
        <v>676</v>
      </c>
      <c r="E260" s="306" t="s">
        <v>265</v>
      </c>
      <c r="F260" s="307">
        <v>43630</v>
      </c>
      <c r="G260" s="301" t="s">
        <v>677</v>
      </c>
      <c r="H260" s="305">
        <v>5109444628</v>
      </c>
      <c r="I260" s="301" t="s">
        <v>678</v>
      </c>
      <c r="J260" s="307">
        <v>45170</v>
      </c>
      <c r="K260" s="301"/>
      <c r="L260" s="301"/>
      <c r="M260" s="305" t="s">
        <v>679</v>
      </c>
      <c r="N260" s="298" t="s">
        <v>34</v>
      </c>
      <c r="O260" s="308">
        <v>45413</v>
      </c>
      <c r="P260" s="6"/>
      <c r="Q260" s="6"/>
      <c r="R260" s="6"/>
      <c r="S260" s="6"/>
      <c r="T260" s="285"/>
      <c r="U260" s="285"/>
      <c r="V260" s="285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ht="17.25" hidden="1" customHeight="1">
      <c r="A261" s="290">
        <v>2</v>
      </c>
      <c r="B261" s="298" t="s">
        <v>48</v>
      </c>
      <c r="C261" s="299" t="s">
        <v>323</v>
      </c>
      <c r="D261" s="299" t="s">
        <v>554</v>
      </c>
      <c r="E261" s="290" t="s">
        <v>133</v>
      </c>
      <c r="F261" s="300">
        <v>42943</v>
      </c>
      <c r="G261" s="302" t="s">
        <v>680</v>
      </c>
      <c r="H261" s="299">
        <v>5103035129</v>
      </c>
      <c r="I261" s="334" t="s">
        <v>681</v>
      </c>
      <c r="J261" s="300">
        <v>44728</v>
      </c>
      <c r="K261" s="302"/>
      <c r="L261" s="302"/>
      <c r="M261" s="299" t="s">
        <v>682</v>
      </c>
      <c r="N261" s="298" t="s">
        <v>34</v>
      </c>
      <c r="O261" s="308">
        <v>45413</v>
      </c>
      <c r="P261" s="6"/>
      <c r="Q261" s="6"/>
      <c r="R261" s="6"/>
      <c r="S261" s="6"/>
      <c r="T261" s="259"/>
      <c r="U261" s="259"/>
      <c r="V261" s="259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ht="17.25" hidden="1" customHeight="1">
      <c r="A262" s="290">
        <v>3</v>
      </c>
      <c r="B262" s="298" t="s">
        <v>89</v>
      </c>
      <c r="C262" s="299" t="s">
        <v>323</v>
      </c>
      <c r="D262" s="299" t="s">
        <v>554</v>
      </c>
      <c r="E262" s="290" t="s">
        <v>133</v>
      </c>
      <c r="F262" s="300">
        <v>42943</v>
      </c>
      <c r="G262" s="302" t="s">
        <v>680</v>
      </c>
      <c r="H262" s="299">
        <v>5103035129</v>
      </c>
      <c r="I262" s="334" t="s">
        <v>681</v>
      </c>
      <c r="J262" s="300">
        <v>44728</v>
      </c>
      <c r="K262" s="302"/>
      <c r="L262" s="302"/>
      <c r="M262" s="299" t="s">
        <v>682</v>
      </c>
      <c r="N262" s="298" t="s">
        <v>34</v>
      </c>
      <c r="O262" s="308">
        <v>45413</v>
      </c>
      <c r="P262" s="6"/>
      <c r="Q262" s="6"/>
      <c r="R262" s="6"/>
      <c r="S262" s="6"/>
      <c r="T262" s="285"/>
      <c r="U262" s="285"/>
      <c r="V262" s="285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ht="17.25" hidden="1" customHeight="1">
      <c r="A263" s="268">
        <v>4</v>
      </c>
      <c r="B263" s="335" t="s">
        <v>48</v>
      </c>
      <c r="C263" s="336" t="s">
        <v>372</v>
      </c>
      <c r="D263" s="336" t="s">
        <v>139</v>
      </c>
      <c r="E263" s="337" t="s">
        <v>133</v>
      </c>
      <c r="F263" s="338">
        <v>43274</v>
      </c>
      <c r="G263" s="339" t="s">
        <v>373</v>
      </c>
      <c r="H263" s="336">
        <v>2544004292</v>
      </c>
      <c r="I263" s="339" t="s">
        <v>374</v>
      </c>
      <c r="J263" s="338">
        <v>45185</v>
      </c>
      <c r="K263" s="339"/>
      <c r="L263" s="339"/>
      <c r="M263" s="336" t="s">
        <v>683</v>
      </c>
      <c r="N263" s="269" t="s">
        <v>34</v>
      </c>
      <c r="O263" s="340">
        <v>45413</v>
      </c>
      <c r="P263" s="259"/>
      <c r="Q263" s="259"/>
      <c r="R263" s="259"/>
      <c r="S263" s="259"/>
      <c r="T263" s="285"/>
      <c r="U263" s="285"/>
      <c r="V263" s="285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</row>
    <row r="264" spans="1:46" ht="17.25" hidden="1" customHeight="1">
      <c r="A264" s="290">
        <v>5</v>
      </c>
      <c r="B264" s="298" t="s">
        <v>48</v>
      </c>
      <c r="C264" s="299" t="s">
        <v>684</v>
      </c>
      <c r="D264" s="299" t="s">
        <v>685</v>
      </c>
      <c r="E264" s="290">
        <v>3</v>
      </c>
      <c r="F264" s="300">
        <v>42182</v>
      </c>
      <c r="G264" s="302" t="s">
        <v>686</v>
      </c>
      <c r="H264" s="299">
        <v>4085948203</v>
      </c>
      <c r="I264" s="302" t="s">
        <v>687</v>
      </c>
      <c r="J264" s="300">
        <v>45215</v>
      </c>
      <c r="K264" s="302"/>
      <c r="L264" s="302"/>
      <c r="M264" s="299"/>
      <c r="N264" s="298" t="s">
        <v>34</v>
      </c>
      <c r="O264" s="308">
        <v>45413</v>
      </c>
      <c r="P264" s="6"/>
      <c r="Q264" s="6"/>
      <c r="R264" s="6"/>
      <c r="S264" s="6"/>
      <c r="T264" s="285"/>
      <c r="U264" s="285"/>
      <c r="V264" s="285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spans="1:46" ht="17.25" hidden="1" customHeight="1">
      <c r="A265" s="290">
        <v>6</v>
      </c>
      <c r="B265" s="298" t="s">
        <v>48</v>
      </c>
      <c r="C265" s="299" t="s">
        <v>688</v>
      </c>
      <c r="D265" s="299" t="s">
        <v>689</v>
      </c>
      <c r="E265" s="290">
        <v>6</v>
      </c>
      <c r="F265" s="300">
        <v>41089</v>
      </c>
      <c r="G265" s="301" t="s">
        <v>690</v>
      </c>
      <c r="H265" s="301">
        <v>4085819618</v>
      </c>
      <c r="I265" s="301" t="s">
        <v>691</v>
      </c>
      <c r="J265" s="300">
        <v>45329</v>
      </c>
      <c r="K265" s="302"/>
      <c r="L265" s="302"/>
      <c r="M265" s="299"/>
      <c r="N265" s="298" t="s">
        <v>34</v>
      </c>
      <c r="O265" s="308">
        <v>45413</v>
      </c>
      <c r="P265" s="6"/>
      <c r="Q265" s="6"/>
      <c r="R265" s="6"/>
      <c r="S265" s="6"/>
      <c r="T265" s="285"/>
      <c r="U265" s="285"/>
      <c r="V265" s="285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spans="1:46" ht="17.25" hidden="1" customHeight="1">
      <c r="A266" s="290">
        <v>7</v>
      </c>
      <c r="B266" s="298" t="s">
        <v>89</v>
      </c>
      <c r="C266" s="299" t="s">
        <v>688</v>
      </c>
      <c r="D266" s="299" t="s">
        <v>689</v>
      </c>
      <c r="E266" s="290">
        <v>6</v>
      </c>
      <c r="F266" s="300">
        <v>41089</v>
      </c>
      <c r="G266" s="301" t="s">
        <v>690</v>
      </c>
      <c r="H266" s="301">
        <v>4085819618</v>
      </c>
      <c r="I266" s="301" t="s">
        <v>691</v>
      </c>
      <c r="J266" s="300">
        <v>45329</v>
      </c>
      <c r="K266" s="302"/>
      <c r="L266" s="302"/>
      <c r="M266" s="299"/>
      <c r="N266" s="298" t="s">
        <v>34</v>
      </c>
      <c r="O266" s="308">
        <v>45413</v>
      </c>
      <c r="P266" s="6"/>
      <c r="Q266" s="6"/>
      <c r="R266" s="6"/>
      <c r="S266" s="6"/>
      <c r="T266" s="285"/>
      <c r="U266" s="285"/>
      <c r="V266" s="285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spans="1:46" ht="17.25" hidden="1" customHeight="1">
      <c r="A267" s="290">
        <v>8</v>
      </c>
      <c r="B267" s="298" t="s">
        <v>48</v>
      </c>
      <c r="C267" s="305" t="s">
        <v>444</v>
      </c>
      <c r="D267" s="305" t="s">
        <v>692</v>
      </c>
      <c r="E267" s="306">
        <v>2</v>
      </c>
      <c r="F267" s="307">
        <v>42516</v>
      </c>
      <c r="G267" s="301" t="s">
        <v>693</v>
      </c>
      <c r="H267" s="305">
        <v>6318770767</v>
      </c>
      <c r="I267" s="301" t="s">
        <v>694</v>
      </c>
      <c r="J267" s="307">
        <v>45156</v>
      </c>
      <c r="K267" s="301"/>
      <c r="L267" s="301"/>
      <c r="M267" s="305" t="s">
        <v>682</v>
      </c>
      <c r="N267" s="298" t="s">
        <v>34</v>
      </c>
      <c r="O267" s="308">
        <v>45413</v>
      </c>
      <c r="P267" s="6"/>
      <c r="Q267" s="6"/>
      <c r="R267" s="6"/>
      <c r="S267" s="6"/>
      <c r="T267" s="259"/>
      <c r="U267" s="259"/>
      <c r="V267" s="259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spans="1:46" ht="17.25" hidden="1" customHeight="1">
      <c r="A268" s="290">
        <v>9</v>
      </c>
      <c r="B268" s="298" t="s">
        <v>89</v>
      </c>
      <c r="C268" s="299" t="s">
        <v>444</v>
      </c>
      <c r="D268" s="299" t="s">
        <v>692</v>
      </c>
      <c r="E268" s="290">
        <v>2</v>
      </c>
      <c r="F268" s="300">
        <v>42516</v>
      </c>
      <c r="G268" s="302" t="s">
        <v>693</v>
      </c>
      <c r="H268" s="299">
        <v>6318770767</v>
      </c>
      <c r="I268" s="302" t="s">
        <v>694</v>
      </c>
      <c r="J268" s="300">
        <v>410535</v>
      </c>
      <c r="K268" s="301"/>
      <c r="L268" s="301"/>
      <c r="M268" s="305" t="s">
        <v>682</v>
      </c>
      <c r="N268" s="298" t="s">
        <v>34</v>
      </c>
      <c r="O268" s="308">
        <v>45413</v>
      </c>
      <c r="P268" s="6"/>
      <c r="Q268" s="6"/>
      <c r="R268" s="6"/>
      <c r="S268" s="6"/>
      <c r="T268" s="285"/>
      <c r="U268" s="285"/>
      <c r="V268" s="285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spans="1:46" ht="17.25" hidden="1" customHeight="1">
      <c r="A269" s="268">
        <v>10</v>
      </c>
      <c r="B269" s="269" t="s">
        <v>89</v>
      </c>
      <c r="C269" s="336" t="s">
        <v>695</v>
      </c>
      <c r="D269" s="336" t="s">
        <v>696</v>
      </c>
      <c r="E269" s="337">
        <v>3</v>
      </c>
      <c r="F269" s="338">
        <v>42124</v>
      </c>
      <c r="G269" s="339" t="s">
        <v>697</v>
      </c>
      <c r="H269" s="336">
        <v>4085076346</v>
      </c>
      <c r="I269" s="339" t="s">
        <v>492</v>
      </c>
      <c r="J269" s="338">
        <v>45159</v>
      </c>
      <c r="K269" s="339"/>
      <c r="L269" s="339"/>
      <c r="M269" s="336"/>
      <c r="N269" s="269" t="s">
        <v>34</v>
      </c>
      <c r="O269" s="340">
        <v>45413</v>
      </c>
      <c r="P269" s="259"/>
      <c r="Q269" s="259"/>
      <c r="R269" s="259"/>
      <c r="S269" s="259"/>
      <c r="T269" s="285"/>
      <c r="U269" s="285"/>
      <c r="V269" s="285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</row>
    <row r="270" spans="1:46" ht="17.25" hidden="1" customHeight="1">
      <c r="A270" s="268">
        <v>11</v>
      </c>
      <c r="B270" s="269" t="s">
        <v>89</v>
      </c>
      <c r="C270" s="336" t="s">
        <v>695</v>
      </c>
      <c r="D270" s="336" t="s">
        <v>698</v>
      </c>
      <c r="E270" s="337">
        <v>3</v>
      </c>
      <c r="F270" s="338">
        <v>42124</v>
      </c>
      <c r="G270" s="339" t="s">
        <v>697</v>
      </c>
      <c r="H270" s="336">
        <v>4085076346</v>
      </c>
      <c r="I270" s="339" t="s">
        <v>492</v>
      </c>
      <c r="J270" s="338">
        <v>45159</v>
      </c>
      <c r="K270" s="339"/>
      <c r="L270" s="339"/>
      <c r="M270" s="336"/>
      <c r="N270" s="269" t="s">
        <v>34</v>
      </c>
      <c r="O270" s="340">
        <v>45413</v>
      </c>
      <c r="P270" s="259"/>
      <c r="Q270" s="259"/>
      <c r="R270" s="259"/>
      <c r="S270" s="259"/>
      <c r="T270" s="285"/>
      <c r="U270" s="285"/>
      <c r="V270" s="285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</row>
    <row r="271" spans="1:46" ht="17.25" hidden="1" customHeight="1">
      <c r="A271" s="290">
        <v>12</v>
      </c>
      <c r="B271" s="298" t="s">
        <v>48</v>
      </c>
      <c r="C271" s="299" t="s">
        <v>699</v>
      </c>
      <c r="D271" s="299" t="s">
        <v>538</v>
      </c>
      <c r="E271" s="290" t="s">
        <v>219</v>
      </c>
      <c r="F271" s="300">
        <v>42940</v>
      </c>
      <c r="G271" s="302" t="s">
        <v>700</v>
      </c>
      <c r="H271" s="299">
        <v>5105090555</v>
      </c>
      <c r="I271" s="302" t="s">
        <v>701</v>
      </c>
      <c r="J271" s="300">
        <v>44723</v>
      </c>
      <c r="K271" s="302"/>
      <c r="L271" s="302"/>
      <c r="M271" s="299" t="s">
        <v>702</v>
      </c>
      <c r="N271" s="298" t="s">
        <v>34</v>
      </c>
      <c r="O271" s="308">
        <v>45413</v>
      </c>
      <c r="P271" s="6"/>
      <c r="Q271" s="6"/>
      <c r="R271" s="6"/>
      <c r="S271" s="6"/>
      <c r="T271" s="285"/>
      <c r="U271" s="285"/>
      <c r="V271" s="285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spans="1:46" ht="17.25" hidden="1" customHeight="1">
      <c r="A272" s="290">
        <v>13</v>
      </c>
      <c r="B272" s="298" t="s">
        <v>89</v>
      </c>
      <c r="C272" s="299" t="s">
        <v>699</v>
      </c>
      <c r="D272" s="299" t="s">
        <v>538</v>
      </c>
      <c r="E272" s="290" t="s">
        <v>219</v>
      </c>
      <c r="F272" s="300">
        <v>42940</v>
      </c>
      <c r="G272" s="302" t="s">
        <v>700</v>
      </c>
      <c r="H272" s="299">
        <v>5105090555</v>
      </c>
      <c r="I272" s="302" t="s">
        <v>701</v>
      </c>
      <c r="J272" s="300">
        <v>44723</v>
      </c>
      <c r="K272" s="302"/>
      <c r="L272" s="302"/>
      <c r="M272" s="299" t="s">
        <v>702</v>
      </c>
      <c r="N272" s="298" t="s">
        <v>34</v>
      </c>
      <c r="O272" s="308">
        <v>45413</v>
      </c>
      <c r="P272" s="6"/>
      <c r="Q272" s="6"/>
      <c r="R272" s="6"/>
      <c r="S272" s="6"/>
      <c r="T272" s="285"/>
      <c r="U272" s="285"/>
      <c r="V272" s="285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spans="1:46" ht="17.25" hidden="1" customHeight="1">
      <c r="A273" s="290">
        <v>14</v>
      </c>
      <c r="B273" s="298" t="s">
        <v>48</v>
      </c>
      <c r="C273" s="299" t="s">
        <v>699</v>
      </c>
      <c r="D273" s="299" t="s">
        <v>703</v>
      </c>
      <c r="E273" s="290">
        <v>5</v>
      </c>
      <c r="F273" s="300">
        <v>40745</v>
      </c>
      <c r="G273" s="302" t="s">
        <v>704</v>
      </c>
      <c r="H273" s="299">
        <v>5105090555</v>
      </c>
      <c r="I273" s="302" t="s">
        <v>701</v>
      </c>
      <c r="J273" s="299" t="s">
        <v>705</v>
      </c>
      <c r="K273" s="302"/>
      <c r="L273" s="302"/>
      <c r="M273" s="299" t="s">
        <v>702</v>
      </c>
      <c r="N273" s="298" t="s">
        <v>34</v>
      </c>
      <c r="O273" s="308">
        <v>45413</v>
      </c>
      <c r="P273" s="6"/>
      <c r="Q273" s="6"/>
      <c r="R273" s="6"/>
      <c r="S273" s="6"/>
      <c r="T273" s="285"/>
      <c r="U273" s="285"/>
      <c r="V273" s="285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spans="1:46" ht="17.25" hidden="1" customHeight="1">
      <c r="A274" s="290">
        <v>15</v>
      </c>
      <c r="B274" s="298" t="s">
        <v>89</v>
      </c>
      <c r="C274" s="299" t="s">
        <v>699</v>
      </c>
      <c r="D274" s="299" t="s">
        <v>703</v>
      </c>
      <c r="E274" s="290">
        <v>5</v>
      </c>
      <c r="F274" s="300">
        <v>40745</v>
      </c>
      <c r="G274" s="302" t="s">
        <v>704</v>
      </c>
      <c r="H274" s="299">
        <v>5105090555</v>
      </c>
      <c r="I274" s="302" t="s">
        <v>701</v>
      </c>
      <c r="J274" s="299" t="s">
        <v>705</v>
      </c>
      <c r="K274" s="302"/>
      <c r="L274" s="302"/>
      <c r="M274" s="299" t="s">
        <v>702</v>
      </c>
      <c r="N274" s="298" t="s">
        <v>34</v>
      </c>
      <c r="O274" s="308">
        <v>45413</v>
      </c>
      <c r="P274" s="6"/>
      <c r="Q274" s="6"/>
      <c r="R274" s="6"/>
      <c r="S274" s="6"/>
      <c r="T274" s="259"/>
      <c r="U274" s="259"/>
      <c r="V274" s="259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spans="1:46" ht="17.25" hidden="1" customHeight="1">
      <c r="A275" s="278">
        <v>1</v>
      </c>
      <c r="B275" s="279" t="s">
        <v>48</v>
      </c>
      <c r="C275" s="286" t="s">
        <v>706</v>
      </c>
      <c r="D275" s="286" t="s">
        <v>707</v>
      </c>
      <c r="E275" s="278">
        <v>2</v>
      </c>
      <c r="F275" s="287">
        <v>42279</v>
      </c>
      <c r="G275" s="288" t="s">
        <v>708</v>
      </c>
      <c r="H275" s="286">
        <v>4256334423</v>
      </c>
      <c r="I275" s="288" t="s">
        <v>709</v>
      </c>
      <c r="J275" s="287">
        <v>45231</v>
      </c>
      <c r="K275" s="288"/>
      <c r="L275" s="288"/>
      <c r="M275" s="286" t="s">
        <v>710</v>
      </c>
      <c r="N275" s="279" t="s">
        <v>34</v>
      </c>
      <c r="O275" s="284">
        <v>45444</v>
      </c>
      <c r="P275" s="285"/>
      <c r="Q275" s="285"/>
      <c r="R275" s="285"/>
      <c r="S275" s="285"/>
      <c r="T275" s="259"/>
      <c r="U275" s="259"/>
      <c r="V275" s="259"/>
      <c r="W275" s="285"/>
      <c r="X275" s="285"/>
      <c r="Y275" s="285"/>
      <c r="Z275" s="285"/>
      <c r="AA275" s="285"/>
      <c r="AB275" s="285"/>
      <c r="AC275" s="285"/>
      <c r="AD275" s="285"/>
      <c r="AE275" s="285"/>
      <c r="AF275" s="285"/>
      <c r="AG275" s="285"/>
      <c r="AH275" s="285"/>
      <c r="AI275" s="285"/>
      <c r="AJ275" s="285"/>
      <c r="AK275" s="285"/>
      <c r="AL275" s="285"/>
      <c r="AM275" s="285"/>
      <c r="AN275" s="285"/>
      <c r="AO275" s="285"/>
      <c r="AP275" s="285"/>
      <c r="AQ275" s="285"/>
      <c r="AR275" s="285"/>
      <c r="AS275" s="285"/>
      <c r="AT275" s="285"/>
    </row>
    <row r="276" spans="1:46" ht="17.25" hidden="1" customHeight="1">
      <c r="A276" s="278">
        <v>2</v>
      </c>
      <c r="B276" s="279" t="s">
        <v>48</v>
      </c>
      <c r="C276" s="280" t="s">
        <v>644</v>
      </c>
      <c r="D276" s="280" t="s">
        <v>711</v>
      </c>
      <c r="E276" s="281">
        <v>2</v>
      </c>
      <c r="F276" s="282">
        <v>42301</v>
      </c>
      <c r="G276" s="283" t="s">
        <v>645</v>
      </c>
      <c r="H276" s="280">
        <v>6503358676</v>
      </c>
      <c r="I276" s="283" t="s">
        <v>646</v>
      </c>
      <c r="J276" s="282">
        <v>45159</v>
      </c>
      <c r="K276" s="283"/>
      <c r="L276" s="283"/>
      <c r="M276" s="280"/>
      <c r="N276" s="279" t="s">
        <v>34</v>
      </c>
      <c r="O276" s="284">
        <v>45444</v>
      </c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B276" s="285"/>
      <c r="AC276" s="285"/>
      <c r="AD276" s="285"/>
      <c r="AE276" s="285"/>
      <c r="AF276" s="285"/>
      <c r="AG276" s="285"/>
      <c r="AH276" s="285"/>
      <c r="AI276" s="285"/>
      <c r="AJ276" s="285"/>
      <c r="AK276" s="285"/>
      <c r="AL276" s="285"/>
      <c r="AM276" s="285"/>
      <c r="AN276" s="285"/>
      <c r="AO276" s="285"/>
      <c r="AP276" s="285"/>
      <c r="AQ276" s="285"/>
      <c r="AR276" s="285"/>
      <c r="AS276" s="285"/>
      <c r="AT276" s="285"/>
    </row>
    <row r="277" spans="1:46" ht="17.25" hidden="1" customHeight="1">
      <c r="A277" s="278">
        <v>3</v>
      </c>
      <c r="B277" s="279" t="s">
        <v>89</v>
      </c>
      <c r="C277" s="280" t="s">
        <v>644</v>
      </c>
      <c r="D277" s="280" t="s">
        <v>711</v>
      </c>
      <c r="E277" s="281">
        <v>2</v>
      </c>
      <c r="F277" s="282">
        <v>42301</v>
      </c>
      <c r="G277" s="283" t="s">
        <v>645</v>
      </c>
      <c r="H277" s="280">
        <v>6503358676</v>
      </c>
      <c r="I277" s="283" t="s">
        <v>646</v>
      </c>
      <c r="J277" s="282">
        <v>45159</v>
      </c>
      <c r="K277" s="283"/>
      <c r="L277" s="283"/>
      <c r="M277" s="280"/>
      <c r="N277" s="279" t="s">
        <v>34</v>
      </c>
      <c r="O277" s="284">
        <v>45444</v>
      </c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B277" s="285"/>
      <c r="AC277" s="285"/>
      <c r="AD277" s="285"/>
      <c r="AE277" s="285"/>
      <c r="AF277" s="285"/>
      <c r="AG277" s="285"/>
      <c r="AH277" s="285"/>
      <c r="AI277" s="285"/>
      <c r="AJ277" s="285"/>
      <c r="AK277" s="285"/>
      <c r="AL277" s="285"/>
      <c r="AM277" s="285"/>
      <c r="AN277" s="285"/>
      <c r="AO277" s="285"/>
      <c r="AP277" s="285"/>
      <c r="AQ277" s="285"/>
      <c r="AR277" s="285"/>
      <c r="AS277" s="285"/>
      <c r="AT277" s="285"/>
    </row>
    <row r="278" spans="1:46" ht="17.25" hidden="1" customHeight="1">
      <c r="A278" s="268">
        <v>4</v>
      </c>
      <c r="B278" s="335" t="s">
        <v>48</v>
      </c>
      <c r="C278" s="336" t="s">
        <v>298</v>
      </c>
      <c r="D278" s="336" t="s">
        <v>538</v>
      </c>
      <c r="E278" s="337">
        <v>2</v>
      </c>
      <c r="F278" s="338">
        <v>42348</v>
      </c>
      <c r="G278" s="339" t="s">
        <v>712</v>
      </c>
      <c r="H278" s="336">
        <v>4157228574</v>
      </c>
      <c r="I278" s="339" t="s">
        <v>540</v>
      </c>
      <c r="J278" s="338">
        <v>45170</v>
      </c>
      <c r="K278" s="339"/>
      <c r="L278" s="339"/>
      <c r="M278" s="336" t="s">
        <v>713</v>
      </c>
      <c r="N278" s="269" t="s">
        <v>34</v>
      </c>
      <c r="O278" s="273">
        <v>45444</v>
      </c>
      <c r="P278" s="259"/>
      <c r="Q278" s="259"/>
      <c r="R278" s="259"/>
      <c r="S278" s="259"/>
      <c r="T278" s="285"/>
      <c r="U278" s="285"/>
      <c r="V278" s="285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  <c r="AS278" s="259"/>
      <c r="AT278" s="259"/>
    </row>
    <row r="279" spans="1:46" ht="17.25" hidden="1" customHeight="1">
      <c r="A279" s="268">
        <v>5</v>
      </c>
      <c r="B279" s="335" t="s">
        <v>89</v>
      </c>
      <c r="C279" s="336" t="s">
        <v>298</v>
      </c>
      <c r="D279" s="336" t="s">
        <v>538</v>
      </c>
      <c r="E279" s="337">
        <v>2</v>
      </c>
      <c r="F279" s="338">
        <v>42348</v>
      </c>
      <c r="G279" s="339" t="s">
        <v>712</v>
      </c>
      <c r="H279" s="336">
        <v>4157228574</v>
      </c>
      <c r="I279" s="339" t="s">
        <v>540</v>
      </c>
      <c r="J279" s="338">
        <v>45170</v>
      </c>
      <c r="K279" s="339"/>
      <c r="L279" s="339"/>
      <c r="M279" s="336" t="s">
        <v>713</v>
      </c>
      <c r="N279" s="269" t="s">
        <v>34</v>
      </c>
      <c r="O279" s="273">
        <v>45444</v>
      </c>
      <c r="P279" s="259"/>
      <c r="Q279" s="259"/>
      <c r="R279" s="259"/>
      <c r="S279" s="259"/>
      <c r="T279" s="285"/>
      <c r="U279" s="285"/>
      <c r="V279" s="285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  <c r="AS279" s="259"/>
      <c r="AT279" s="259"/>
    </row>
    <row r="280" spans="1:46" ht="17.25" hidden="1" customHeight="1">
      <c r="A280" s="278">
        <v>6</v>
      </c>
      <c r="B280" s="279" t="s">
        <v>48</v>
      </c>
      <c r="C280" s="280" t="s">
        <v>714</v>
      </c>
      <c r="D280" s="280" t="s">
        <v>538</v>
      </c>
      <c r="E280" s="281">
        <v>4</v>
      </c>
      <c r="F280" s="282">
        <v>41745</v>
      </c>
      <c r="G280" s="283" t="s">
        <v>715</v>
      </c>
      <c r="H280" s="280">
        <v>5102828122</v>
      </c>
      <c r="I280" s="283" t="s">
        <v>716</v>
      </c>
      <c r="J280" s="282">
        <v>45159</v>
      </c>
      <c r="K280" s="283"/>
      <c r="L280" s="283"/>
      <c r="M280" s="280"/>
      <c r="N280" s="279" t="s">
        <v>34</v>
      </c>
      <c r="O280" s="284">
        <v>45444</v>
      </c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B280" s="285"/>
      <c r="AC280" s="285"/>
      <c r="AD280" s="285"/>
      <c r="AE280" s="285"/>
      <c r="AF280" s="285"/>
      <c r="AG280" s="285"/>
      <c r="AH280" s="285"/>
      <c r="AI280" s="285"/>
      <c r="AJ280" s="285"/>
      <c r="AK280" s="285"/>
      <c r="AL280" s="285"/>
      <c r="AM280" s="285"/>
      <c r="AN280" s="285"/>
      <c r="AO280" s="285"/>
      <c r="AP280" s="285"/>
      <c r="AQ280" s="285"/>
      <c r="AR280" s="285"/>
      <c r="AS280" s="285"/>
      <c r="AT280" s="285"/>
    </row>
    <row r="281" spans="1:46" ht="17.25" hidden="1" customHeight="1">
      <c r="A281" s="278">
        <v>7</v>
      </c>
      <c r="B281" s="279" t="s">
        <v>89</v>
      </c>
      <c r="C281" s="280" t="s">
        <v>714</v>
      </c>
      <c r="D281" s="280" t="s">
        <v>717</v>
      </c>
      <c r="E281" s="281">
        <v>4</v>
      </c>
      <c r="F281" s="282">
        <v>41745</v>
      </c>
      <c r="G281" s="283" t="s">
        <v>715</v>
      </c>
      <c r="H281" s="280">
        <v>5102828122</v>
      </c>
      <c r="I281" s="283" t="s">
        <v>716</v>
      </c>
      <c r="J281" s="282">
        <v>45159</v>
      </c>
      <c r="K281" s="283"/>
      <c r="L281" s="283"/>
      <c r="M281" s="280"/>
      <c r="N281" s="279" t="s">
        <v>34</v>
      </c>
      <c r="O281" s="284">
        <v>45444</v>
      </c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A281" s="285"/>
      <c r="AB281" s="285"/>
      <c r="AC281" s="285"/>
      <c r="AD281" s="285"/>
      <c r="AE281" s="285"/>
      <c r="AF281" s="285"/>
      <c r="AG281" s="285"/>
      <c r="AH281" s="285"/>
      <c r="AI281" s="285"/>
      <c r="AJ281" s="285"/>
      <c r="AK281" s="285"/>
      <c r="AL281" s="285"/>
      <c r="AM281" s="285"/>
      <c r="AN281" s="285"/>
      <c r="AO281" s="285"/>
      <c r="AP281" s="285"/>
      <c r="AQ281" s="285"/>
      <c r="AR281" s="285"/>
      <c r="AS281" s="285"/>
      <c r="AT281" s="285"/>
    </row>
    <row r="282" spans="1:46" ht="17.25" hidden="1" customHeight="1">
      <c r="A282" s="268">
        <v>8</v>
      </c>
      <c r="B282" s="269" t="s">
        <v>48</v>
      </c>
      <c r="C282" s="270" t="s">
        <v>199</v>
      </c>
      <c r="D282" s="270" t="s">
        <v>200</v>
      </c>
      <c r="E282" s="268">
        <v>1</v>
      </c>
      <c r="F282" s="271">
        <v>41922</v>
      </c>
      <c r="G282" s="272" t="s">
        <v>718</v>
      </c>
      <c r="H282" s="270" t="s">
        <v>719</v>
      </c>
      <c r="I282" s="272" t="s">
        <v>203</v>
      </c>
      <c r="J282" s="271">
        <v>44795</v>
      </c>
      <c r="K282" s="272"/>
      <c r="L282" s="272"/>
      <c r="M282" s="270" t="s">
        <v>720</v>
      </c>
      <c r="N282" s="269" t="s">
        <v>34</v>
      </c>
      <c r="O282" s="273">
        <v>45444</v>
      </c>
      <c r="P282" s="259"/>
      <c r="Q282" s="259"/>
      <c r="R282" s="259"/>
      <c r="S282" s="259"/>
      <c r="T282" s="285"/>
      <c r="U282" s="285"/>
      <c r="V282" s="285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  <c r="AS282" s="259"/>
      <c r="AT282" s="259"/>
    </row>
    <row r="283" spans="1:46" ht="17.25" hidden="1" customHeight="1">
      <c r="A283" s="268">
        <v>9</v>
      </c>
      <c r="B283" s="269" t="s">
        <v>89</v>
      </c>
      <c r="C283" s="270" t="s">
        <v>199</v>
      </c>
      <c r="D283" s="270" t="s">
        <v>200</v>
      </c>
      <c r="E283" s="268">
        <v>1</v>
      </c>
      <c r="F283" s="271">
        <v>41922</v>
      </c>
      <c r="G283" s="272" t="s">
        <v>718</v>
      </c>
      <c r="H283" s="270" t="s">
        <v>719</v>
      </c>
      <c r="I283" s="272" t="s">
        <v>203</v>
      </c>
      <c r="J283" s="271">
        <v>44795</v>
      </c>
      <c r="K283" s="272"/>
      <c r="L283" s="272"/>
      <c r="M283" s="270" t="s">
        <v>720</v>
      </c>
      <c r="N283" s="269" t="s">
        <v>34</v>
      </c>
      <c r="O283" s="273">
        <v>45444</v>
      </c>
      <c r="P283" s="259"/>
      <c r="Q283" s="259"/>
      <c r="R283" s="259"/>
      <c r="S283" s="259"/>
      <c r="T283" s="285"/>
      <c r="U283" s="285"/>
      <c r="V283" s="285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</row>
    <row r="284" spans="1:46" ht="17.25" hidden="1" customHeight="1">
      <c r="A284" s="278">
        <v>10</v>
      </c>
      <c r="B284" s="279" t="s">
        <v>89</v>
      </c>
      <c r="C284" s="280" t="s">
        <v>298</v>
      </c>
      <c r="D284" s="280" t="s">
        <v>721</v>
      </c>
      <c r="E284" s="281">
        <v>1</v>
      </c>
      <c r="F284" s="282">
        <v>42962</v>
      </c>
      <c r="G284" s="283" t="s">
        <v>722</v>
      </c>
      <c r="H284" s="280">
        <v>4087189860</v>
      </c>
      <c r="I284" s="283" t="s">
        <v>723</v>
      </c>
      <c r="J284" s="282">
        <v>45156</v>
      </c>
      <c r="K284" s="283"/>
      <c r="L284" s="283"/>
      <c r="M284" s="280"/>
      <c r="N284" s="279" t="s">
        <v>34</v>
      </c>
      <c r="O284" s="284">
        <v>45444</v>
      </c>
      <c r="P284" s="285"/>
      <c r="Q284" s="285"/>
      <c r="R284" s="285"/>
      <c r="S284" s="285"/>
      <c r="T284" s="259"/>
      <c r="U284" s="259"/>
      <c r="V284" s="259"/>
      <c r="W284" s="285"/>
      <c r="X284" s="285"/>
      <c r="Y284" s="285"/>
      <c r="Z284" s="285"/>
      <c r="AA284" s="285"/>
      <c r="AB284" s="285"/>
      <c r="AC284" s="285"/>
      <c r="AD284" s="285"/>
      <c r="AE284" s="285"/>
      <c r="AF284" s="285"/>
      <c r="AG284" s="285"/>
      <c r="AH284" s="285"/>
      <c r="AI284" s="285"/>
      <c r="AJ284" s="285"/>
      <c r="AK284" s="285"/>
      <c r="AL284" s="285"/>
      <c r="AM284" s="285"/>
      <c r="AN284" s="285"/>
      <c r="AO284" s="285"/>
      <c r="AP284" s="285"/>
      <c r="AQ284" s="285"/>
      <c r="AR284" s="285"/>
      <c r="AS284" s="285"/>
      <c r="AT284" s="285"/>
    </row>
    <row r="285" spans="1:46" ht="17.25" hidden="1" customHeight="1">
      <c r="A285" s="278">
        <v>11</v>
      </c>
      <c r="B285" s="279" t="s">
        <v>48</v>
      </c>
      <c r="C285" s="280" t="s">
        <v>537</v>
      </c>
      <c r="D285" s="280" t="s">
        <v>721</v>
      </c>
      <c r="E285" s="281">
        <v>1</v>
      </c>
      <c r="F285" s="282">
        <v>42962</v>
      </c>
      <c r="G285" s="283" t="s">
        <v>722</v>
      </c>
      <c r="H285" s="280">
        <v>4087189860</v>
      </c>
      <c r="I285" s="283" t="s">
        <v>723</v>
      </c>
      <c r="J285" s="282">
        <v>45156</v>
      </c>
      <c r="K285" s="283"/>
      <c r="L285" s="283"/>
      <c r="M285" s="280"/>
      <c r="N285" s="279" t="s">
        <v>34</v>
      </c>
      <c r="O285" s="284">
        <v>45444</v>
      </c>
      <c r="P285" s="285"/>
      <c r="Q285" s="285"/>
      <c r="R285" s="285"/>
      <c r="S285" s="285"/>
      <c r="T285" s="259"/>
      <c r="U285" s="259"/>
      <c r="V285" s="259"/>
      <c r="W285" s="285"/>
      <c r="X285" s="285"/>
      <c r="Y285" s="285"/>
      <c r="Z285" s="285"/>
      <c r="AA285" s="285"/>
      <c r="AB285" s="285"/>
      <c r="AC285" s="285"/>
      <c r="AD285" s="285"/>
      <c r="AE285" s="285"/>
      <c r="AF285" s="285"/>
      <c r="AG285" s="285"/>
      <c r="AH285" s="285"/>
      <c r="AI285" s="285"/>
      <c r="AJ285" s="285"/>
      <c r="AK285" s="285"/>
      <c r="AL285" s="285"/>
      <c r="AM285" s="285"/>
      <c r="AN285" s="285"/>
      <c r="AO285" s="285"/>
      <c r="AP285" s="285"/>
      <c r="AQ285" s="285"/>
      <c r="AR285" s="285"/>
      <c r="AS285" s="285"/>
      <c r="AT285" s="285"/>
    </row>
    <row r="286" spans="1:46" ht="17.25" hidden="1" customHeight="1">
      <c r="A286" s="278">
        <v>12</v>
      </c>
      <c r="B286" s="279" t="s">
        <v>48</v>
      </c>
      <c r="C286" s="280" t="s">
        <v>724</v>
      </c>
      <c r="D286" s="280" t="s">
        <v>721</v>
      </c>
      <c r="E286" s="281">
        <v>1</v>
      </c>
      <c r="F286" s="282">
        <v>44927</v>
      </c>
      <c r="G286" s="283" t="s">
        <v>725</v>
      </c>
      <c r="H286" s="280">
        <v>5108813622</v>
      </c>
      <c r="I286" s="283" t="s">
        <v>726</v>
      </c>
      <c r="J286" s="282">
        <v>45154</v>
      </c>
      <c r="K286" s="283"/>
      <c r="L286" s="283"/>
      <c r="M286" s="280"/>
      <c r="N286" s="279" t="s">
        <v>34</v>
      </c>
      <c r="O286" s="284">
        <v>45444</v>
      </c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A286" s="285"/>
      <c r="AB286" s="285"/>
      <c r="AC286" s="285"/>
      <c r="AD286" s="285"/>
      <c r="AE286" s="285"/>
      <c r="AF286" s="285"/>
      <c r="AG286" s="285"/>
      <c r="AH286" s="285"/>
      <c r="AI286" s="285"/>
      <c r="AJ286" s="285"/>
      <c r="AK286" s="285"/>
      <c r="AL286" s="285"/>
      <c r="AM286" s="285"/>
      <c r="AN286" s="285"/>
      <c r="AO286" s="285"/>
      <c r="AP286" s="285"/>
      <c r="AQ286" s="285"/>
      <c r="AR286" s="285"/>
      <c r="AS286" s="285"/>
      <c r="AT286" s="285"/>
    </row>
    <row r="287" spans="1:46" ht="17.25" hidden="1" customHeight="1">
      <c r="A287" s="278">
        <v>13</v>
      </c>
      <c r="B287" s="279" t="s">
        <v>89</v>
      </c>
      <c r="C287" s="280" t="s">
        <v>724</v>
      </c>
      <c r="D287" s="280" t="s">
        <v>721</v>
      </c>
      <c r="E287" s="281">
        <v>1</v>
      </c>
      <c r="F287" s="282">
        <v>44927</v>
      </c>
      <c r="G287" s="283" t="s">
        <v>725</v>
      </c>
      <c r="H287" s="280">
        <v>5108813622</v>
      </c>
      <c r="I287" s="283" t="s">
        <v>726</v>
      </c>
      <c r="J287" s="282">
        <v>45154</v>
      </c>
      <c r="K287" s="283"/>
      <c r="L287" s="283"/>
      <c r="M287" s="280"/>
      <c r="N287" s="279" t="s">
        <v>34</v>
      </c>
      <c r="O287" s="284">
        <v>45444</v>
      </c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A287" s="285"/>
      <c r="AB287" s="285"/>
      <c r="AC287" s="285"/>
      <c r="AD287" s="285"/>
      <c r="AE287" s="285"/>
      <c r="AF287" s="285"/>
      <c r="AG287" s="285"/>
      <c r="AH287" s="285"/>
      <c r="AI287" s="285"/>
      <c r="AJ287" s="285"/>
      <c r="AK287" s="285"/>
      <c r="AL287" s="285"/>
      <c r="AM287" s="285"/>
      <c r="AN287" s="285"/>
      <c r="AO287" s="285"/>
      <c r="AP287" s="285"/>
      <c r="AQ287" s="285"/>
      <c r="AR287" s="285"/>
      <c r="AS287" s="285"/>
      <c r="AT287" s="285"/>
    </row>
    <row r="288" spans="1:46" ht="17.25" hidden="1" customHeight="1">
      <c r="A288" s="278">
        <v>14</v>
      </c>
      <c r="B288" s="279" t="s">
        <v>48</v>
      </c>
      <c r="C288" s="280" t="s">
        <v>727</v>
      </c>
      <c r="D288" s="280" t="s">
        <v>728</v>
      </c>
      <c r="E288" s="281">
        <v>3</v>
      </c>
      <c r="F288" s="282">
        <v>42125</v>
      </c>
      <c r="G288" s="283" t="s">
        <v>729</v>
      </c>
      <c r="H288" s="280">
        <v>5105795250</v>
      </c>
      <c r="I288" s="283" t="s">
        <v>730</v>
      </c>
      <c r="J288" s="282">
        <v>45156</v>
      </c>
      <c r="K288" s="283"/>
      <c r="L288" s="283"/>
      <c r="M288" s="280"/>
      <c r="N288" s="279" t="s">
        <v>34</v>
      </c>
      <c r="O288" s="284">
        <v>45444</v>
      </c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  <c r="AG288" s="285"/>
      <c r="AH288" s="285"/>
      <c r="AI288" s="285"/>
      <c r="AJ288" s="285"/>
      <c r="AK288" s="285"/>
      <c r="AL288" s="285"/>
      <c r="AM288" s="285"/>
      <c r="AN288" s="285"/>
      <c r="AO288" s="285"/>
      <c r="AP288" s="285"/>
      <c r="AQ288" s="285"/>
      <c r="AR288" s="285"/>
      <c r="AS288" s="285"/>
      <c r="AT288" s="285"/>
    </row>
    <row r="289" spans="1:46" ht="17.25" hidden="1" customHeight="1">
      <c r="A289" s="278">
        <v>15</v>
      </c>
      <c r="B289" s="279" t="s">
        <v>89</v>
      </c>
      <c r="C289" s="280" t="s">
        <v>727</v>
      </c>
      <c r="D289" s="280" t="s">
        <v>728</v>
      </c>
      <c r="E289" s="281">
        <v>3</v>
      </c>
      <c r="F289" s="282">
        <v>42125</v>
      </c>
      <c r="G289" s="283" t="s">
        <v>729</v>
      </c>
      <c r="H289" s="280">
        <v>5105795250</v>
      </c>
      <c r="I289" s="283" t="s">
        <v>730</v>
      </c>
      <c r="J289" s="282">
        <v>45156</v>
      </c>
      <c r="K289" s="283"/>
      <c r="L289" s="283"/>
      <c r="M289" s="280"/>
      <c r="N289" s="279" t="s">
        <v>34</v>
      </c>
      <c r="O289" s="284">
        <v>45444</v>
      </c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A289" s="285"/>
      <c r="AB289" s="285"/>
      <c r="AC289" s="285"/>
      <c r="AD289" s="285"/>
      <c r="AE289" s="285"/>
      <c r="AF289" s="285"/>
      <c r="AG289" s="285"/>
      <c r="AH289" s="285"/>
      <c r="AI289" s="285"/>
      <c r="AJ289" s="285"/>
      <c r="AK289" s="285"/>
      <c r="AL289" s="285"/>
      <c r="AM289" s="285"/>
      <c r="AN289" s="285"/>
      <c r="AO289" s="285"/>
      <c r="AP289" s="285"/>
      <c r="AQ289" s="285"/>
      <c r="AR289" s="285"/>
      <c r="AS289" s="285"/>
      <c r="AT289" s="285"/>
    </row>
    <row r="290" spans="1:46" ht="17.25" hidden="1" customHeight="1">
      <c r="A290" s="278">
        <v>16</v>
      </c>
      <c r="B290" s="279" t="s">
        <v>48</v>
      </c>
      <c r="C290" s="286" t="s">
        <v>731</v>
      </c>
      <c r="D290" s="286" t="s">
        <v>732</v>
      </c>
      <c r="E290" s="278">
        <v>3</v>
      </c>
      <c r="F290" s="287">
        <v>42162</v>
      </c>
      <c r="G290" s="288" t="s">
        <v>733</v>
      </c>
      <c r="H290" s="286">
        <v>4087992378</v>
      </c>
      <c r="I290" s="288" t="s">
        <v>734</v>
      </c>
      <c r="J290" s="287">
        <v>45383</v>
      </c>
      <c r="K290" s="288"/>
      <c r="L290" s="288"/>
      <c r="M290" s="286"/>
      <c r="N290" s="279" t="s">
        <v>34</v>
      </c>
      <c r="O290" s="284">
        <v>45444</v>
      </c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B290" s="285"/>
      <c r="AC290" s="285"/>
      <c r="AD290" s="285"/>
      <c r="AE290" s="285"/>
      <c r="AF290" s="285"/>
      <c r="AG290" s="285"/>
      <c r="AH290" s="285"/>
      <c r="AI290" s="285"/>
      <c r="AJ290" s="285"/>
      <c r="AK290" s="285"/>
      <c r="AL290" s="285"/>
      <c r="AM290" s="285"/>
      <c r="AN290" s="285"/>
      <c r="AO290" s="285"/>
      <c r="AP290" s="285"/>
      <c r="AQ290" s="285"/>
      <c r="AR290" s="285"/>
      <c r="AS290" s="285"/>
      <c r="AT290" s="285"/>
    </row>
    <row r="291" spans="1:46" ht="17.25" hidden="1" customHeight="1">
      <c r="A291" s="278">
        <v>17</v>
      </c>
      <c r="B291" s="279" t="s">
        <v>89</v>
      </c>
      <c r="C291" s="286" t="s">
        <v>731</v>
      </c>
      <c r="D291" s="286" t="s">
        <v>732</v>
      </c>
      <c r="E291" s="278">
        <v>3</v>
      </c>
      <c r="F291" s="287">
        <v>42162</v>
      </c>
      <c r="G291" s="288" t="s">
        <v>733</v>
      </c>
      <c r="H291" s="286">
        <v>4087992378</v>
      </c>
      <c r="I291" s="288" t="s">
        <v>734</v>
      </c>
      <c r="J291" s="287">
        <v>45383</v>
      </c>
      <c r="K291" s="288"/>
      <c r="L291" s="288"/>
      <c r="M291" s="286"/>
      <c r="N291" s="279" t="s">
        <v>34</v>
      </c>
      <c r="O291" s="284">
        <v>45444</v>
      </c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A291" s="285"/>
      <c r="AB291" s="285"/>
      <c r="AC291" s="285"/>
      <c r="AD291" s="285"/>
      <c r="AE291" s="285"/>
      <c r="AF291" s="285"/>
      <c r="AG291" s="285"/>
      <c r="AH291" s="285"/>
      <c r="AI291" s="285"/>
      <c r="AJ291" s="285"/>
      <c r="AK291" s="285"/>
      <c r="AL291" s="285"/>
      <c r="AM291" s="285"/>
      <c r="AN291" s="285"/>
      <c r="AO291" s="285"/>
      <c r="AP291" s="285"/>
      <c r="AQ291" s="285"/>
      <c r="AR291" s="285"/>
      <c r="AS291" s="285"/>
      <c r="AT291" s="285"/>
    </row>
    <row r="292" spans="1:46" ht="17.25" hidden="1" customHeight="1">
      <c r="A292" s="278">
        <v>18</v>
      </c>
      <c r="B292" s="279" t="s">
        <v>48</v>
      </c>
      <c r="C292" s="280" t="s">
        <v>735</v>
      </c>
      <c r="D292" s="280" t="s">
        <v>736</v>
      </c>
      <c r="E292" s="281" t="s">
        <v>133</v>
      </c>
      <c r="F292" s="282">
        <v>43210</v>
      </c>
      <c r="G292" s="283" t="s">
        <v>737</v>
      </c>
      <c r="H292" s="280">
        <v>4089133406</v>
      </c>
      <c r="I292" s="283" t="s">
        <v>738</v>
      </c>
      <c r="J292" s="282">
        <v>45154</v>
      </c>
      <c r="K292" s="283"/>
      <c r="L292" s="283"/>
      <c r="M292" s="280"/>
      <c r="N292" s="279" t="s">
        <v>34</v>
      </c>
      <c r="O292" s="284">
        <v>45444</v>
      </c>
      <c r="P292" s="285"/>
      <c r="Q292" s="285"/>
      <c r="R292" s="285"/>
      <c r="S292" s="285"/>
      <c r="T292" s="259"/>
      <c r="U292" s="259"/>
      <c r="V292" s="259"/>
      <c r="W292" s="285"/>
      <c r="X292" s="285"/>
      <c r="Y292" s="285"/>
      <c r="Z292" s="285"/>
      <c r="AA292" s="285"/>
      <c r="AB292" s="285"/>
      <c r="AC292" s="285"/>
      <c r="AD292" s="285"/>
      <c r="AE292" s="285"/>
      <c r="AF292" s="285"/>
      <c r="AG292" s="285"/>
      <c r="AH292" s="285"/>
      <c r="AI292" s="285"/>
      <c r="AJ292" s="285"/>
      <c r="AK292" s="285"/>
      <c r="AL292" s="285"/>
      <c r="AM292" s="285"/>
      <c r="AN292" s="285"/>
      <c r="AO292" s="285"/>
      <c r="AP292" s="285"/>
      <c r="AQ292" s="285"/>
      <c r="AR292" s="285"/>
      <c r="AS292" s="285"/>
      <c r="AT292" s="285"/>
    </row>
    <row r="293" spans="1:46" ht="17.25" hidden="1" customHeight="1">
      <c r="A293" s="278">
        <v>19</v>
      </c>
      <c r="B293" s="279" t="s">
        <v>89</v>
      </c>
      <c r="C293" s="280" t="s">
        <v>735</v>
      </c>
      <c r="D293" s="280" t="s">
        <v>736</v>
      </c>
      <c r="E293" s="281" t="s">
        <v>133</v>
      </c>
      <c r="F293" s="282">
        <v>43210</v>
      </c>
      <c r="G293" s="283" t="s">
        <v>737</v>
      </c>
      <c r="H293" s="280">
        <v>4089133406</v>
      </c>
      <c r="I293" s="283" t="s">
        <v>738</v>
      </c>
      <c r="J293" s="282">
        <v>45154</v>
      </c>
      <c r="K293" s="283"/>
      <c r="L293" s="283"/>
      <c r="M293" s="280"/>
      <c r="N293" s="279" t="s">
        <v>34</v>
      </c>
      <c r="O293" s="284">
        <v>45444</v>
      </c>
      <c r="P293" s="285"/>
      <c r="Q293" s="285"/>
      <c r="R293" s="285"/>
      <c r="S293" s="285"/>
      <c r="T293" s="259"/>
      <c r="U293" s="259"/>
      <c r="V293" s="259"/>
      <c r="W293" s="285"/>
      <c r="X293" s="285"/>
      <c r="Y293" s="285"/>
      <c r="Z293" s="285"/>
      <c r="AA293" s="285"/>
      <c r="AB293" s="285"/>
      <c r="AC293" s="285"/>
      <c r="AD293" s="285"/>
      <c r="AE293" s="285"/>
      <c r="AF293" s="285"/>
      <c r="AG293" s="285"/>
      <c r="AH293" s="285"/>
      <c r="AI293" s="285"/>
      <c r="AJ293" s="285"/>
      <c r="AK293" s="285"/>
      <c r="AL293" s="285"/>
      <c r="AM293" s="285"/>
      <c r="AN293" s="285"/>
      <c r="AO293" s="285"/>
      <c r="AP293" s="285"/>
      <c r="AQ293" s="285"/>
      <c r="AR293" s="285"/>
      <c r="AS293" s="285"/>
      <c r="AT293" s="285"/>
    </row>
    <row r="294" spans="1:46" ht="17.25" hidden="1" customHeight="1">
      <c r="A294" s="278">
        <v>20</v>
      </c>
      <c r="B294" s="279" t="s">
        <v>48</v>
      </c>
      <c r="C294" s="280" t="s">
        <v>739</v>
      </c>
      <c r="D294" s="280" t="s">
        <v>740</v>
      </c>
      <c r="E294" s="281">
        <v>1</v>
      </c>
      <c r="F294" s="282">
        <v>42828</v>
      </c>
      <c r="G294" s="283" t="s">
        <v>741</v>
      </c>
      <c r="H294" s="280">
        <v>5109196544</v>
      </c>
      <c r="I294" s="283" t="s">
        <v>742</v>
      </c>
      <c r="J294" s="282">
        <v>45159</v>
      </c>
      <c r="K294" s="283"/>
      <c r="L294" s="283"/>
      <c r="M294" s="280"/>
      <c r="N294" s="279" t="s">
        <v>34</v>
      </c>
      <c r="O294" s="284">
        <v>45444</v>
      </c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A294" s="285"/>
      <c r="AB294" s="285"/>
      <c r="AC294" s="285"/>
      <c r="AD294" s="285"/>
      <c r="AE294" s="285"/>
      <c r="AF294" s="285"/>
      <c r="AG294" s="285"/>
      <c r="AH294" s="285"/>
      <c r="AI294" s="285"/>
      <c r="AJ294" s="285"/>
      <c r="AK294" s="285"/>
      <c r="AL294" s="285"/>
      <c r="AM294" s="285"/>
      <c r="AN294" s="285"/>
      <c r="AO294" s="285"/>
      <c r="AP294" s="285"/>
      <c r="AQ294" s="285"/>
      <c r="AR294" s="285"/>
      <c r="AS294" s="285"/>
      <c r="AT294" s="285"/>
    </row>
    <row r="295" spans="1:46" ht="17.25" hidden="1" customHeight="1">
      <c r="A295" s="278">
        <v>21</v>
      </c>
      <c r="B295" s="279" t="s">
        <v>89</v>
      </c>
      <c r="C295" s="280" t="s">
        <v>743</v>
      </c>
      <c r="D295" s="280" t="s">
        <v>740</v>
      </c>
      <c r="E295" s="281">
        <v>1</v>
      </c>
      <c r="F295" s="282">
        <v>42828</v>
      </c>
      <c r="G295" s="283" t="s">
        <v>741</v>
      </c>
      <c r="H295" s="280">
        <v>5109196544</v>
      </c>
      <c r="I295" s="283" t="s">
        <v>742</v>
      </c>
      <c r="J295" s="282">
        <v>45159</v>
      </c>
      <c r="K295" s="283"/>
      <c r="L295" s="283"/>
      <c r="M295" s="280"/>
      <c r="N295" s="279" t="s">
        <v>34</v>
      </c>
      <c r="O295" s="284">
        <v>45444</v>
      </c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A295" s="285"/>
      <c r="AB295" s="285"/>
      <c r="AC295" s="285"/>
      <c r="AD295" s="285"/>
      <c r="AE295" s="285"/>
      <c r="AF295" s="285"/>
      <c r="AG295" s="285"/>
      <c r="AH295" s="285"/>
      <c r="AI295" s="285"/>
      <c r="AJ295" s="285"/>
      <c r="AK295" s="285"/>
      <c r="AL295" s="285"/>
      <c r="AM295" s="285"/>
      <c r="AN295" s="285"/>
      <c r="AO295" s="285"/>
      <c r="AP295" s="285"/>
      <c r="AQ295" s="285"/>
      <c r="AR295" s="285"/>
      <c r="AS295" s="285"/>
      <c r="AT295" s="285"/>
    </row>
    <row r="296" spans="1:46" ht="17.25" hidden="1" customHeight="1">
      <c r="A296" s="268">
        <v>22</v>
      </c>
      <c r="B296" s="269" t="s">
        <v>48</v>
      </c>
      <c r="C296" s="270" t="s">
        <v>695</v>
      </c>
      <c r="D296" s="270" t="s">
        <v>696</v>
      </c>
      <c r="E296" s="268">
        <v>3</v>
      </c>
      <c r="F296" s="271">
        <v>42124</v>
      </c>
      <c r="G296" s="272" t="s">
        <v>697</v>
      </c>
      <c r="H296" s="270">
        <v>4085076346</v>
      </c>
      <c r="I296" s="272" t="s">
        <v>492</v>
      </c>
      <c r="J296" s="271">
        <v>45293</v>
      </c>
      <c r="K296" s="339"/>
      <c r="L296" s="339"/>
      <c r="M296" s="336" t="s">
        <v>720</v>
      </c>
      <c r="N296" s="269" t="s">
        <v>34</v>
      </c>
      <c r="O296" s="273">
        <v>45444</v>
      </c>
      <c r="P296" s="259"/>
      <c r="Q296" s="259"/>
      <c r="R296" s="259"/>
      <c r="S296" s="259"/>
      <c r="T296" s="285"/>
      <c r="U296" s="285"/>
      <c r="V296" s="285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</row>
    <row r="297" spans="1:46" ht="16.5" hidden="1" customHeight="1">
      <c r="A297" s="278">
        <v>23</v>
      </c>
      <c r="B297" s="279" t="s">
        <v>48</v>
      </c>
      <c r="C297" s="280" t="s">
        <v>744</v>
      </c>
      <c r="D297" s="280" t="s">
        <v>745</v>
      </c>
      <c r="E297" s="281">
        <v>2</v>
      </c>
      <c r="F297" s="282">
        <v>42534</v>
      </c>
      <c r="G297" s="283" t="s">
        <v>746</v>
      </c>
      <c r="H297" s="280">
        <v>6188035803</v>
      </c>
      <c r="I297" s="283" t="s">
        <v>747</v>
      </c>
      <c r="J297" s="282">
        <v>45161</v>
      </c>
      <c r="K297" s="283"/>
      <c r="L297" s="283"/>
      <c r="M297" s="280"/>
      <c r="N297" s="279" t="s">
        <v>34</v>
      </c>
      <c r="O297" s="284">
        <v>45444</v>
      </c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A297" s="285"/>
      <c r="AB297" s="285"/>
      <c r="AC297" s="285"/>
      <c r="AD297" s="285"/>
      <c r="AE297" s="285"/>
      <c r="AF297" s="285"/>
      <c r="AG297" s="285"/>
      <c r="AH297" s="285"/>
      <c r="AI297" s="285"/>
      <c r="AJ297" s="285"/>
      <c r="AK297" s="285"/>
      <c r="AL297" s="285"/>
      <c r="AM297" s="285"/>
      <c r="AN297" s="285"/>
      <c r="AO297" s="285"/>
      <c r="AP297" s="285"/>
      <c r="AQ297" s="285"/>
      <c r="AR297" s="285"/>
      <c r="AS297" s="285"/>
      <c r="AT297" s="285"/>
    </row>
    <row r="298" spans="1:46" ht="17.25" hidden="1" customHeight="1">
      <c r="A298" s="278">
        <v>24</v>
      </c>
      <c r="B298" s="279" t="s">
        <v>89</v>
      </c>
      <c r="C298" s="280" t="s">
        <v>744</v>
      </c>
      <c r="D298" s="280" t="s">
        <v>745</v>
      </c>
      <c r="E298" s="281">
        <v>2</v>
      </c>
      <c r="F298" s="282">
        <v>42534</v>
      </c>
      <c r="G298" s="283" t="s">
        <v>746</v>
      </c>
      <c r="H298" s="280">
        <v>6188035803</v>
      </c>
      <c r="I298" s="283" t="s">
        <v>747</v>
      </c>
      <c r="J298" s="282">
        <v>45161</v>
      </c>
      <c r="K298" s="283"/>
      <c r="L298" s="283"/>
      <c r="M298" s="280"/>
      <c r="N298" s="279" t="s">
        <v>34</v>
      </c>
      <c r="O298" s="284">
        <v>45444</v>
      </c>
      <c r="P298" s="285"/>
      <c r="Q298" s="285"/>
      <c r="R298" s="285"/>
      <c r="S298" s="285"/>
      <c r="T298" s="259"/>
      <c r="U298" s="259"/>
      <c r="V298" s="259"/>
      <c r="W298" s="285"/>
      <c r="X298" s="285"/>
      <c r="Y298" s="285"/>
      <c r="Z298" s="285"/>
      <c r="AA298" s="285"/>
      <c r="AB298" s="285"/>
      <c r="AC298" s="285"/>
      <c r="AD298" s="285"/>
      <c r="AE298" s="285"/>
      <c r="AF298" s="285"/>
      <c r="AG298" s="285"/>
      <c r="AH298" s="285"/>
      <c r="AI298" s="285"/>
      <c r="AJ298" s="285"/>
      <c r="AK298" s="285"/>
      <c r="AL298" s="285"/>
      <c r="AM298" s="285"/>
      <c r="AN298" s="285"/>
      <c r="AO298" s="285"/>
      <c r="AP298" s="285"/>
      <c r="AQ298" s="285"/>
      <c r="AR298" s="285"/>
      <c r="AS298" s="285"/>
      <c r="AT298" s="285"/>
    </row>
    <row r="299" spans="1:46" ht="17.25" hidden="1" customHeight="1">
      <c r="A299" s="278">
        <v>25</v>
      </c>
      <c r="B299" s="279" t="s">
        <v>89</v>
      </c>
      <c r="C299" s="286" t="s">
        <v>748</v>
      </c>
      <c r="D299" s="286" t="s">
        <v>749</v>
      </c>
      <c r="E299" s="278">
        <v>5</v>
      </c>
      <c r="F299" s="287">
        <v>41363</v>
      </c>
      <c r="G299" s="283" t="s">
        <v>750</v>
      </c>
      <c r="H299" s="283">
        <v>4082064921</v>
      </c>
      <c r="I299" s="283" t="s">
        <v>751</v>
      </c>
      <c r="J299" s="287">
        <v>45352</v>
      </c>
      <c r="K299" s="288"/>
      <c r="L299" s="288"/>
      <c r="M299" s="286"/>
      <c r="N299" s="279" t="s">
        <v>34</v>
      </c>
      <c r="O299" s="284">
        <v>45444</v>
      </c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A299" s="285"/>
      <c r="AB299" s="285"/>
      <c r="AC299" s="285"/>
      <c r="AD299" s="285"/>
      <c r="AE299" s="285"/>
      <c r="AF299" s="285"/>
      <c r="AG299" s="285"/>
      <c r="AH299" s="285"/>
      <c r="AI299" s="285"/>
      <c r="AJ299" s="285"/>
      <c r="AK299" s="285"/>
      <c r="AL299" s="285"/>
      <c r="AM299" s="285"/>
      <c r="AN299" s="285"/>
      <c r="AO299" s="285"/>
      <c r="AP299" s="285"/>
      <c r="AQ299" s="285"/>
      <c r="AR299" s="285"/>
      <c r="AS299" s="285"/>
      <c r="AT299" s="285"/>
    </row>
    <row r="300" spans="1:46" ht="17.25" hidden="1" customHeight="1">
      <c r="A300" s="278">
        <v>26</v>
      </c>
      <c r="B300" s="279" t="s">
        <v>48</v>
      </c>
      <c r="C300" s="280" t="s">
        <v>752</v>
      </c>
      <c r="D300" s="280" t="s">
        <v>753</v>
      </c>
      <c r="E300" s="281">
        <v>1</v>
      </c>
      <c r="F300" s="282">
        <v>42820</v>
      </c>
      <c r="G300" s="283" t="s">
        <v>754</v>
      </c>
      <c r="H300" s="280">
        <v>6692526762</v>
      </c>
      <c r="I300" s="283" t="s">
        <v>755</v>
      </c>
      <c r="J300" s="282">
        <v>45159</v>
      </c>
      <c r="K300" s="283"/>
      <c r="L300" s="283"/>
      <c r="M300" s="280"/>
      <c r="N300" s="279" t="s">
        <v>34</v>
      </c>
      <c r="O300" s="284">
        <v>45444</v>
      </c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A300" s="285"/>
      <c r="AB300" s="285"/>
      <c r="AC300" s="285"/>
      <c r="AD300" s="285"/>
      <c r="AE300" s="285"/>
      <c r="AF300" s="285"/>
      <c r="AG300" s="285"/>
      <c r="AH300" s="285"/>
      <c r="AI300" s="285"/>
      <c r="AJ300" s="285"/>
      <c r="AK300" s="285"/>
      <c r="AL300" s="285"/>
      <c r="AM300" s="285"/>
      <c r="AN300" s="285"/>
      <c r="AO300" s="285"/>
      <c r="AP300" s="285"/>
      <c r="AQ300" s="285"/>
      <c r="AR300" s="285"/>
      <c r="AS300" s="285"/>
      <c r="AT300" s="285"/>
    </row>
    <row r="301" spans="1:46" ht="17.25" hidden="1" customHeight="1">
      <c r="A301" s="278">
        <v>27</v>
      </c>
      <c r="B301" s="279" t="s">
        <v>89</v>
      </c>
      <c r="C301" s="280" t="s">
        <v>752</v>
      </c>
      <c r="D301" s="280" t="s">
        <v>753</v>
      </c>
      <c r="E301" s="281">
        <v>1</v>
      </c>
      <c r="F301" s="282">
        <v>42820</v>
      </c>
      <c r="G301" s="283" t="s">
        <v>754</v>
      </c>
      <c r="H301" s="280">
        <v>6692526762</v>
      </c>
      <c r="I301" s="283" t="s">
        <v>755</v>
      </c>
      <c r="J301" s="282">
        <v>45159</v>
      </c>
      <c r="K301" s="283"/>
      <c r="L301" s="283"/>
      <c r="M301" s="280"/>
      <c r="N301" s="279" t="s">
        <v>34</v>
      </c>
      <c r="O301" s="284">
        <v>45444</v>
      </c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A301" s="285"/>
      <c r="AB301" s="285"/>
      <c r="AC301" s="285"/>
      <c r="AD301" s="285"/>
      <c r="AE301" s="285"/>
      <c r="AF301" s="285"/>
      <c r="AG301" s="285"/>
      <c r="AH301" s="285"/>
      <c r="AI301" s="285"/>
      <c r="AJ301" s="285"/>
      <c r="AK301" s="285"/>
      <c r="AL301" s="285"/>
      <c r="AM301" s="285"/>
      <c r="AN301" s="285"/>
      <c r="AO301" s="285"/>
      <c r="AP301" s="285"/>
      <c r="AQ301" s="285"/>
      <c r="AR301" s="285"/>
      <c r="AS301" s="285"/>
      <c r="AT301" s="285"/>
    </row>
    <row r="302" spans="1:46" ht="17.25" hidden="1" customHeight="1">
      <c r="A302" s="268">
        <v>28</v>
      </c>
      <c r="B302" s="269" t="s">
        <v>89</v>
      </c>
      <c r="C302" s="336" t="s">
        <v>756</v>
      </c>
      <c r="D302" s="336" t="s">
        <v>139</v>
      </c>
      <c r="E302" s="337">
        <v>1</v>
      </c>
      <c r="F302" s="338">
        <v>42822</v>
      </c>
      <c r="G302" s="339" t="s">
        <v>757</v>
      </c>
      <c r="H302" s="336">
        <v>4087591928</v>
      </c>
      <c r="I302" s="339" t="s">
        <v>758</v>
      </c>
      <c r="J302" s="338">
        <v>45246</v>
      </c>
      <c r="K302" s="339"/>
      <c r="L302" s="339"/>
      <c r="M302" s="336" t="s">
        <v>759</v>
      </c>
      <c r="N302" s="269" t="s">
        <v>34</v>
      </c>
      <c r="O302" s="273">
        <v>45444</v>
      </c>
      <c r="P302" s="259"/>
      <c r="Q302" s="259"/>
      <c r="R302" s="259"/>
      <c r="S302" s="259"/>
      <c r="T302" s="285"/>
      <c r="U302" s="285"/>
      <c r="V302" s="285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</row>
    <row r="303" spans="1:46" ht="17.25" hidden="1" customHeight="1">
      <c r="A303" s="278">
        <v>29</v>
      </c>
      <c r="B303" s="279" t="s">
        <v>48</v>
      </c>
      <c r="C303" s="286" t="s">
        <v>323</v>
      </c>
      <c r="D303" s="286" t="s">
        <v>318</v>
      </c>
      <c r="E303" s="278">
        <v>2</v>
      </c>
      <c r="F303" s="287">
        <v>42511</v>
      </c>
      <c r="G303" s="288" t="s">
        <v>760</v>
      </c>
      <c r="H303" s="286">
        <v>5103336666</v>
      </c>
      <c r="I303" s="288" t="s">
        <v>321</v>
      </c>
      <c r="J303" s="286" t="s">
        <v>761</v>
      </c>
      <c r="K303" s="288"/>
      <c r="L303" s="288"/>
      <c r="M303" s="286" t="s">
        <v>720</v>
      </c>
      <c r="N303" s="279" t="s">
        <v>34</v>
      </c>
      <c r="O303" s="284">
        <v>45444</v>
      </c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A303" s="285"/>
      <c r="AB303" s="285"/>
      <c r="AC303" s="285"/>
      <c r="AD303" s="285"/>
      <c r="AE303" s="285"/>
      <c r="AF303" s="285"/>
      <c r="AG303" s="285"/>
      <c r="AH303" s="285"/>
      <c r="AI303" s="285"/>
      <c r="AJ303" s="285"/>
      <c r="AK303" s="285"/>
      <c r="AL303" s="285"/>
      <c r="AM303" s="285"/>
      <c r="AN303" s="285"/>
      <c r="AO303" s="285"/>
      <c r="AP303" s="285"/>
      <c r="AQ303" s="285"/>
      <c r="AR303" s="285"/>
      <c r="AS303" s="285"/>
      <c r="AT303" s="285"/>
    </row>
    <row r="304" spans="1:46" ht="17.25" hidden="1" customHeight="1">
      <c r="A304" s="278">
        <v>30</v>
      </c>
      <c r="B304" s="279" t="s">
        <v>48</v>
      </c>
      <c r="C304" s="286" t="s">
        <v>611</v>
      </c>
      <c r="D304" s="286" t="s">
        <v>612</v>
      </c>
      <c r="E304" s="278">
        <v>2</v>
      </c>
      <c r="F304" s="287">
        <v>42388</v>
      </c>
      <c r="G304" s="283" t="s">
        <v>762</v>
      </c>
      <c r="H304" s="283">
        <v>4087977701</v>
      </c>
      <c r="I304" s="283" t="s">
        <v>614</v>
      </c>
      <c r="J304" s="287">
        <v>45323</v>
      </c>
      <c r="K304" s="288"/>
      <c r="L304" s="288"/>
      <c r="M304" s="286" t="s">
        <v>763</v>
      </c>
      <c r="N304" s="279" t="s">
        <v>34</v>
      </c>
      <c r="O304" s="284">
        <v>45444</v>
      </c>
      <c r="P304" s="285"/>
      <c r="Q304" s="285"/>
      <c r="R304" s="285"/>
      <c r="S304" s="285"/>
      <c r="T304" s="259"/>
      <c r="U304" s="259"/>
      <c r="V304" s="259"/>
      <c r="W304" s="285"/>
      <c r="X304" s="285"/>
      <c r="Y304" s="285"/>
      <c r="Z304" s="285"/>
      <c r="AA304" s="285"/>
      <c r="AB304" s="285"/>
      <c r="AC304" s="285"/>
      <c r="AD304" s="285"/>
      <c r="AE304" s="285"/>
      <c r="AF304" s="285"/>
      <c r="AG304" s="285"/>
      <c r="AH304" s="285"/>
      <c r="AI304" s="285"/>
      <c r="AJ304" s="285"/>
      <c r="AK304" s="285"/>
      <c r="AL304" s="285"/>
      <c r="AM304" s="285"/>
      <c r="AN304" s="285"/>
      <c r="AO304" s="285"/>
      <c r="AP304" s="285"/>
      <c r="AQ304" s="285"/>
      <c r="AR304" s="285"/>
      <c r="AS304" s="285"/>
      <c r="AT304" s="285"/>
    </row>
    <row r="305" spans="1:46" ht="17.25" hidden="1" customHeight="1">
      <c r="A305" s="278">
        <v>31</v>
      </c>
      <c r="B305" s="341" t="s">
        <v>48</v>
      </c>
      <c r="C305" s="280" t="s">
        <v>157</v>
      </c>
      <c r="D305" s="280" t="s">
        <v>764</v>
      </c>
      <c r="E305" s="281">
        <v>5</v>
      </c>
      <c r="F305" s="282">
        <v>41514</v>
      </c>
      <c r="G305" s="283" t="s">
        <v>765</v>
      </c>
      <c r="H305" s="280">
        <v>5107883613</v>
      </c>
      <c r="I305" s="283" t="s">
        <v>766</v>
      </c>
      <c r="J305" s="282">
        <v>45189</v>
      </c>
      <c r="K305" s="283"/>
      <c r="L305" s="283"/>
      <c r="M305" s="280"/>
      <c r="N305" s="279" t="s">
        <v>34</v>
      </c>
      <c r="O305" s="284">
        <v>45444</v>
      </c>
      <c r="P305" s="285"/>
      <c r="Q305" s="285"/>
      <c r="R305" s="285"/>
      <c r="S305" s="285"/>
      <c r="T305" s="259"/>
      <c r="U305" s="259"/>
      <c r="V305" s="259"/>
      <c r="W305" s="285"/>
      <c r="X305" s="285"/>
      <c r="Y305" s="285"/>
      <c r="Z305" s="285"/>
      <c r="AA305" s="285"/>
      <c r="AB305" s="285"/>
      <c r="AC305" s="285"/>
      <c r="AD305" s="285"/>
      <c r="AE305" s="285"/>
      <c r="AF305" s="285"/>
      <c r="AG305" s="285"/>
      <c r="AH305" s="285"/>
      <c r="AI305" s="285"/>
      <c r="AJ305" s="285"/>
      <c r="AK305" s="285"/>
      <c r="AL305" s="285"/>
      <c r="AM305" s="285"/>
      <c r="AN305" s="285"/>
      <c r="AO305" s="285"/>
      <c r="AP305" s="285"/>
      <c r="AQ305" s="285"/>
      <c r="AR305" s="285"/>
      <c r="AS305" s="285"/>
      <c r="AT305" s="285"/>
    </row>
    <row r="306" spans="1:46" ht="17.25" hidden="1" customHeight="1">
      <c r="A306" s="278">
        <v>32</v>
      </c>
      <c r="B306" s="341" t="s">
        <v>89</v>
      </c>
      <c r="C306" s="280" t="s">
        <v>157</v>
      </c>
      <c r="D306" s="280" t="s">
        <v>764</v>
      </c>
      <c r="E306" s="281">
        <v>5</v>
      </c>
      <c r="F306" s="282">
        <v>41514</v>
      </c>
      <c r="G306" s="283" t="s">
        <v>765</v>
      </c>
      <c r="H306" s="280">
        <v>5107883613</v>
      </c>
      <c r="I306" s="283" t="s">
        <v>766</v>
      </c>
      <c r="J306" s="282">
        <v>45189</v>
      </c>
      <c r="K306" s="283"/>
      <c r="L306" s="283"/>
      <c r="M306" s="280"/>
      <c r="N306" s="279" t="s">
        <v>34</v>
      </c>
      <c r="O306" s="284">
        <v>45444</v>
      </c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B306" s="285"/>
      <c r="AC306" s="285"/>
      <c r="AD306" s="285"/>
      <c r="AE306" s="285"/>
      <c r="AF306" s="285"/>
      <c r="AG306" s="285"/>
      <c r="AH306" s="285"/>
      <c r="AI306" s="285"/>
      <c r="AJ306" s="285"/>
      <c r="AK306" s="285"/>
      <c r="AL306" s="285"/>
      <c r="AM306" s="285"/>
      <c r="AN306" s="285"/>
      <c r="AO306" s="285"/>
      <c r="AP306" s="285"/>
      <c r="AQ306" s="285"/>
      <c r="AR306" s="285"/>
      <c r="AS306" s="285"/>
      <c r="AT306" s="285"/>
    </row>
    <row r="307" spans="1:46" ht="17.25" hidden="1" customHeight="1">
      <c r="A307" s="278">
        <v>33</v>
      </c>
      <c r="B307" s="279" t="s">
        <v>48</v>
      </c>
      <c r="C307" s="280" t="s">
        <v>767</v>
      </c>
      <c r="D307" s="280" t="s">
        <v>768</v>
      </c>
      <c r="E307" s="281">
        <v>4</v>
      </c>
      <c r="F307" s="282">
        <v>41619</v>
      </c>
      <c r="G307" s="283" t="s">
        <v>769</v>
      </c>
      <c r="H307" s="280">
        <v>6264658590</v>
      </c>
      <c r="I307" s="283" t="s">
        <v>770</v>
      </c>
      <c r="J307" s="282">
        <v>45154</v>
      </c>
      <c r="K307" s="283"/>
      <c r="L307" s="283"/>
      <c r="M307" s="280"/>
      <c r="N307" s="279" t="s">
        <v>34</v>
      </c>
      <c r="O307" s="284">
        <v>45444</v>
      </c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B307" s="285"/>
      <c r="AC307" s="285"/>
      <c r="AD307" s="285"/>
      <c r="AE307" s="285"/>
      <c r="AF307" s="285"/>
      <c r="AG307" s="285"/>
      <c r="AH307" s="285"/>
      <c r="AI307" s="285"/>
      <c r="AJ307" s="285"/>
      <c r="AK307" s="285"/>
      <c r="AL307" s="285"/>
      <c r="AM307" s="285"/>
      <c r="AN307" s="285"/>
      <c r="AO307" s="285"/>
      <c r="AP307" s="285"/>
      <c r="AQ307" s="285"/>
      <c r="AR307" s="285"/>
      <c r="AS307" s="285"/>
      <c r="AT307" s="285"/>
    </row>
    <row r="308" spans="1:46" ht="17.25" hidden="1" customHeight="1">
      <c r="A308" s="278">
        <v>34</v>
      </c>
      <c r="B308" s="279" t="s">
        <v>89</v>
      </c>
      <c r="C308" s="280" t="s">
        <v>767</v>
      </c>
      <c r="D308" s="280" t="s">
        <v>768</v>
      </c>
      <c r="E308" s="281">
        <v>4</v>
      </c>
      <c r="F308" s="282">
        <v>41619</v>
      </c>
      <c r="G308" s="283" t="s">
        <v>769</v>
      </c>
      <c r="H308" s="280">
        <v>6264658590</v>
      </c>
      <c r="I308" s="283" t="s">
        <v>770</v>
      </c>
      <c r="J308" s="282">
        <v>45154</v>
      </c>
      <c r="K308" s="283"/>
      <c r="L308" s="283"/>
      <c r="M308" s="280"/>
      <c r="N308" s="279" t="s">
        <v>34</v>
      </c>
      <c r="O308" s="284">
        <v>45444</v>
      </c>
      <c r="P308" s="285"/>
      <c r="Q308" s="285"/>
      <c r="R308" s="285"/>
      <c r="S308" s="285"/>
      <c r="T308" s="259"/>
      <c r="U308" s="259"/>
      <c r="V308" s="259"/>
      <c r="W308" s="285"/>
      <c r="X308" s="285"/>
      <c r="Y308" s="285"/>
      <c r="Z308" s="285"/>
      <c r="AA308" s="285"/>
      <c r="AB308" s="285"/>
      <c r="AC308" s="285"/>
      <c r="AD308" s="285"/>
      <c r="AE308" s="285"/>
      <c r="AF308" s="285"/>
      <c r="AG308" s="285"/>
      <c r="AH308" s="285"/>
      <c r="AI308" s="285"/>
      <c r="AJ308" s="285"/>
      <c r="AK308" s="285"/>
      <c r="AL308" s="285"/>
      <c r="AM308" s="285"/>
      <c r="AN308" s="285"/>
      <c r="AO308" s="285"/>
      <c r="AP308" s="285"/>
      <c r="AQ308" s="285"/>
      <c r="AR308" s="285"/>
      <c r="AS308" s="285"/>
      <c r="AT308" s="285"/>
    </row>
    <row r="309" spans="1:46" ht="17.25" hidden="1" customHeight="1">
      <c r="A309" s="268">
        <v>35</v>
      </c>
      <c r="B309" s="269" t="s">
        <v>48</v>
      </c>
      <c r="C309" s="336" t="s">
        <v>444</v>
      </c>
      <c r="D309" s="336" t="s">
        <v>771</v>
      </c>
      <c r="E309" s="337">
        <v>1</v>
      </c>
      <c r="F309" s="338">
        <v>42122</v>
      </c>
      <c r="G309" s="339" t="s">
        <v>772</v>
      </c>
      <c r="H309" s="336" t="s">
        <v>773</v>
      </c>
      <c r="I309" s="339" t="s">
        <v>774</v>
      </c>
      <c r="J309" s="338">
        <v>45154</v>
      </c>
      <c r="K309" s="339"/>
      <c r="L309" s="339"/>
      <c r="M309" s="336" t="s">
        <v>720</v>
      </c>
      <c r="N309" s="269" t="s">
        <v>34</v>
      </c>
      <c r="O309" s="273">
        <v>45444</v>
      </c>
      <c r="P309" s="259"/>
      <c r="Q309" s="259"/>
      <c r="R309" s="259"/>
      <c r="S309" s="259"/>
      <c r="T309" s="285"/>
      <c r="U309" s="285"/>
      <c r="V309" s="285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  <c r="AS309" s="259"/>
      <c r="AT309" s="259"/>
    </row>
    <row r="310" spans="1:46" ht="17.25" hidden="1" customHeight="1">
      <c r="A310" s="268">
        <v>36</v>
      </c>
      <c r="B310" s="269" t="s">
        <v>89</v>
      </c>
      <c r="C310" s="336" t="s">
        <v>444</v>
      </c>
      <c r="D310" s="336" t="s">
        <v>771</v>
      </c>
      <c r="E310" s="337">
        <v>1</v>
      </c>
      <c r="F310" s="338">
        <v>42122</v>
      </c>
      <c r="G310" s="339" t="s">
        <v>772</v>
      </c>
      <c r="H310" s="336" t="s">
        <v>773</v>
      </c>
      <c r="I310" s="339" t="s">
        <v>774</v>
      </c>
      <c r="J310" s="338">
        <v>45154</v>
      </c>
      <c r="K310" s="339"/>
      <c r="L310" s="339"/>
      <c r="M310" s="336" t="s">
        <v>720</v>
      </c>
      <c r="N310" s="269" t="s">
        <v>34</v>
      </c>
      <c r="O310" s="273">
        <v>45444</v>
      </c>
      <c r="P310" s="259"/>
      <c r="Q310" s="259"/>
      <c r="R310" s="259"/>
      <c r="S310" s="259"/>
      <c r="T310" s="6"/>
      <c r="U310" s="6"/>
      <c r="V310" s="6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  <c r="AS310" s="259"/>
      <c r="AT310" s="259"/>
    </row>
    <row r="311" spans="1:46" ht="17.25" hidden="1" customHeight="1">
      <c r="A311" s="278">
        <v>37</v>
      </c>
      <c r="B311" s="279" t="s">
        <v>48</v>
      </c>
      <c r="C311" s="280" t="s">
        <v>714</v>
      </c>
      <c r="D311" s="280" t="s">
        <v>775</v>
      </c>
      <c r="E311" s="281">
        <v>1</v>
      </c>
      <c r="F311" s="282">
        <v>42954</v>
      </c>
      <c r="G311" s="283" t="s">
        <v>776</v>
      </c>
      <c r="H311" s="280">
        <v>5105656975</v>
      </c>
      <c r="I311" s="283" t="s">
        <v>777</v>
      </c>
      <c r="J311" s="282">
        <v>45159</v>
      </c>
      <c r="K311" s="283"/>
      <c r="L311" s="283"/>
      <c r="M311" s="280" t="s">
        <v>720</v>
      </c>
      <c r="N311" s="279" t="s">
        <v>34</v>
      </c>
      <c r="O311" s="284">
        <v>45444</v>
      </c>
      <c r="P311" s="285"/>
      <c r="Q311" s="285"/>
      <c r="R311" s="285"/>
      <c r="S311" s="285"/>
      <c r="T311" s="6"/>
      <c r="U311" s="6"/>
      <c r="V311" s="6"/>
      <c r="W311" s="285"/>
      <c r="X311" s="285"/>
      <c r="Y311" s="285"/>
      <c r="Z311" s="285"/>
      <c r="AA311" s="285"/>
      <c r="AB311" s="285"/>
      <c r="AC311" s="285"/>
      <c r="AD311" s="285"/>
      <c r="AE311" s="285"/>
      <c r="AF311" s="285"/>
      <c r="AG311" s="285"/>
      <c r="AH311" s="285"/>
      <c r="AI311" s="285"/>
      <c r="AJ311" s="285"/>
      <c r="AK311" s="285"/>
      <c r="AL311" s="285"/>
      <c r="AM311" s="285"/>
      <c r="AN311" s="285"/>
      <c r="AO311" s="285"/>
      <c r="AP311" s="285"/>
      <c r="AQ311" s="285"/>
      <c r="AR311" s="285"/>
      <c r="AS311" s="285"/>
      <c r="AT311" s="285"/>
    </row>
    <row r="312" spans="1:46" ht="17.25" hidden="1" customHeight="1">
      <c r="A312" s="278">
        <v>38</v>
      </c>
      <c r="B312" s="279" t="s">
        <v>89</v>
      </c>
      <c r="C312" s="280" t="s">
        <v>714</v>
      </c>
      <c r="D312" s="280" t="s">
        <v>775</v>
      </c>
      <c r="E312" s="281">
        <v>1</v>
      </c>
      <c r="F312" s="282">
        <v>42954</v>
      </c>
      <c r="G312" s="283" t="s">
        <v>776</v>
      </c>
      <c r="H312" s="280">
        <v>5105656975</v>
      </c>
      <c r="I312" s="283" t="s">
        <v>777</v>
      </c>
      <c r="J312" s="282">
        <v>45159</v>
      </c>
      <c r="K312" s="283"/>
      <c r="L312" s="283"/>
      <c r="M312" s="280" t="s">
        <v>720</v>
      </c>
      <c r="N312" s="279" t="s">
        <v>34</v>
      </c>
      <c r="O312" s="284">
        <v>45444</v>
      </c>
      <c r="P312" s="285"/>
      <c r="Q312" s="285"/>
      <c r="R312" s="285"/>
      <c r="S312" s="285"/>
      <c r="T312" s="6"/>
      <c r="U312" s="6"/>
      <c r="V312" s="6"/>
      <c r="W312" s="285"/>
      <c r="X312" s="285"/>
      <c r="Y312" s="285"/>
      <c r="Z312" s="285"/>
      <c r="AA312" s="285"/>
      <c r="AB312" s="285"/>
      <c r="AC312" s="285"/>
      <c r="AD312" s="285"/>
      <c r="AE312" s="285"/>
      <c r="AF312" s="285"/>
      <c r="AG312" s="285"/>
      <c r="AH312" s="285"/>
      <c r="AI312" s="285"/>
      <c r="AJ312" s="285"/>
      <c r="AK312" s="285"/>
      <c r="AL312" s="285"/>
      <c r="AM312" s="285"/>
      <c r="AN312" s="285"/>
      <c r="AO312" s="285"/>
      <c r="AP312" s="285"/>
      <c r="AQ312" s="285"/>
      <c r="AR312" s="285"/>
      <c r="AS312" s="285"/>
      <c r="AT312" s="285"/>
    </row>
    <row r="313" spans="1:46" ht="17.25" hidden="1" customHeight="1">
      <c r="A313" s="278">
        <v>39</v>
      </c>
      <c r="B313" s="279" t="s">
        <v>48</v>
      </c>
      <c r="C313" s="280" t="s">
        <v>735</v>
      </c>
      <c r="D313" s="280" t="s">
        <v>778</v>
      </c>
      <c r="E313" s="281">
        <v>1</v>
      </c>
      <c r="F313" s="282">
        <v>42810</v>
      </c>
      <c r="G313" s="283" t="s">
        <v>779</v>
      </c>
      <c r="H313" s="280">
        <v>5103742897</v>
      </c>
      <c r="I313" s="283" t="s">
        <v>780</v>
      </c>
      <c r="J313" s="282">
        <v>45154</v>
      </c>
      <c r="K313" s="283"/>
      <c r="L313" s="283"/>
      <c r="M313" s="280"/>
      <c r="N313" s="279" t="s">
        <v>34</v>
      </c>
      <c r="O313" s="284">
        <v>45444</v>
      </c>
      <c r="P313" s="285"/>
      <c r="Q313" s="285"/>
      <c r="R313" s="285"/>
      <c r="S313" s="285"/>
      <c r="T313" s="6"/>
      <c r="U313" s="6"/>
      <c r="V313" s="6"/>
      <c r="W313" s="285"/>
      <c r="X313" s="285"/>
      <c r="Y313" s="285"/>
      <c r="Z313" s="285"/>
      <c r="AA313" s="285"/>
      <c r="AB313" s="285"/>
      <c r="AC313" s="285"/>
      <c r="AD313" s="285"/>
      <c r="AE313" s="285"/>
      <c r="AF313" s="285"/>
      <c r="AG313" s="285"/>
      <c r="AH313" s="285"/>
      <c r="AI313" s="285"/>
      <c r="AJ313" s="285"/>
      <c r="AK313" s="285"/>
      <c r="AL313" s="285"/>
      <c r="AM313" s="285"/>
      <c r="AN313" s="285"/>
      <c r="AO313" s="285"/>
      <c r="AP313" s="285"/>
      <c r="AQ313" s="285"/>
      <c r="AR313" s="285"/>
      <c r="AS313" s="285"/>
      <c r="AT313" s="285"/>
    </row>
    <row r="314" spans="1:46" ht="17.25" hidden="1" customHeight="1">
      <c r="A314" s="278">
        <v>40</v>
      </c>
      <c r="B314" s="279" t="s">
        <v>89</v>
      </c>
      <c r="C314" s="286" t="s">
        <v>735</v>
      </c>
      <c r="D314" s="286" t="s">
        <v>778</v>
      </c>
      <c r="E314" s="278">
        <v>1</v>
      </c>
      <c r="F314" s="287">
        <v>42810</v>
      </c>
      <c r="G314" s="288" t="s">
        <v>779</v>
      </c>
      <c r="H314" s="286">
        <v>5103742897</v>
      </c>
      <c r="I314" s="288" t="s">
        <v>780</v>
      </c>
      <c r="J314" s="287">
        <v>45293</v>
      </c>
      <c r="K314" s="288"/>
      <c r="L314" s="288"/>
      <c r="M314" s="286"/>
      <c r="N314" s="279" t="s">
        <v>34</v>
      </c>
      <c r="O314" s="284">
        <v>45444</v>
      </c>
      <c r="P314" s="285"/>
      <c r="Q314" s="285"/>
      <c r="R314" s="285"/>
      <c r="S314" s="285"/>
      <c r="T314" s="6"/>
      <c r="U314" s="6"/>
      <c r="V314" s="6"/>
      <c r="W314" s="285"/>
      <c r="X314" s="285"/>
      <c r="Y314" s="285"/>
      <c r="Z314" s="285"/>
      <c r="AA314" s="285"/>
      <c r="AB314" s="285"/>
      <c r="AC314" s="285"/>
      <c r="AD314" s="285"/>
      <c r="AE314" s="285"/>
      <c r="AF314" s="285"/>
      <c r="AG314" s="285"/>
      <c r="AH314" s="285"/>
      <c r="AI314" s="285"/>
      <c r="AJ314" s="285"/>
      <c r="AK314" s="285"/>
      <c r="AL314" s="285"/>
      <c r="AM314" s="285"/>
      <c r="AN314" s="285"/>
      <c r="AO314" s="285"/>
      <c r="AP314" s="285"/>
      <c r="AQ314" s="285"/>
      <c r="AR314" s="285"/>
      <c r="AS314" s="285"/>
      <c r="AT314" s="285"/>
    </row>
    <row r="315" spans="1:46" ht="17.25" hidden="1" customHeight="1">
      <c r="A315" s="278">
        <v>41</v>
      </c>
      <c r="B315" s="279" t="s">
        <v>89</v>
      </c>
      <c r="C315" s="280" t="s">
        <v>781</v>
      </c>
      <c r="D315" s="280" t="s">
        <v>782</v>
      </c>
      <c r="E315" s="281">
        <v>7</v>
      </c>
      <c r="F315" s="282">
        <v>40748</v>
      </c>
      <c r="G315" s="283" t="s">
        <v>783</v>
      </c>
      <c r="H315" s="280" t="s">
        <v>784</v>
      </c>
      <c r="I315" s="283" t="s">
        <v>785</v>
      </c>
      <c r="J315" s="282">
        <v>45154</v>
      </c>
      <c r="K315" s="283"/>
      <c r="L315" s="283"/>
      <c r="M315" s="280"/>
      <c r="N315" s="279" t="s">
        <v>34</v>
      </c>
      <c r="O315" s="284">
        <v>45444</v>
      </c>
      <c r="P315" s="285"/>
      <c r="Q315" s="285"/>
      <c r="R315" s="285"/>
      <c r="S315" s="285"/>
      <c r="T315" s="6"/>
      <c r="U315" s="6"/>
      <c r="V315" s="6"/>
      <c r="W315" s="285"/>
      <c r="X315" s="285"/>
      <c r="Y315" s="285"/>
      <c r="Z315" s="285"/>
      <c r="AA315" s="285"/>
      <c r="AB315" s="285"/>
      <c r="AC315" s="285"/>
      <c r="AD315" s="285"/>
      <c r="AE315" s="285"/>
      <c r="AF315" s="285"/>
      <c r="AG315" s="285"/>
      <c r="AH315" s="285"/>
      <c r="AI315" s="285"/>
      <c r="AJ315" s="285"/>
      <c r="AK315" s="285"/>
      <c r="AL315" s="285"/>
      <c r="AM315" s="285"/>
      <c r="AN315" s="285"/>
      <c r="AO315" s="285"/>
      <c r="AP315" s="285"/>
      <c r="AQ315" s="285"/>
      <c r="AR315" s="285"/>
      <c r="AS315" s="285"/>
      <c r="AT315" s="285"/>
    </row>
    <row r="316" spans="1:46" ht="17.25" hidden="1" customHeight="1">
      <c r="A316" s="278">
        <v>42</v>
      </c>
      <c r="B316" s="279" t="s">
        <v>48</v>
      </c>
      <c r="C316" s="280" t="s">
        <v>781</v>
      </c>
      <c r="D316" s="280" t="s">
        <v>786</v>
      </c>
      <c r="E316" s="281">
        <v>7</v>
      </c>
      <c r="F316" s="282">
        <v>40748</v>
      </c>
      <c r="G316" s="283" t="s">
        <v>783</v>
      </c>
      <c r="H316" s="280" t="s">
        <v>784</v>
      </c>
      <c r="I316" s="283" t="s">
        <v>785</v>
      </c>
      <c r="J316" s="282">
        <v>45154</v>
      </c>
      <c r="K316" s="283"/>
      <c r="L316" s="283"/>
      <c r="M316" s="280"/>
      <c r="N316" s="279" t="s">
        <v>34</v>
      </c>
      <c r="O316" s="284">
        <v>45444</v>
      </c>
      <c r="P316" s="285"/>
      <c r="Q316" s="285"/>
      <c r="R316" s="285"/>
      <c r="S316" s="285"/>
      <c r="T316" s="342"/>
      <c r="U316" s="342"/>
      <c r="V316" s="342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5"/>
      <c r="AG316" s="285"/>
      <c r="AH316" s="285"/>
      <c r="AI316" s="285"/>
      <c r="AJ316" s="285"/>
      <c r="AK316" s="285"/>
      <c r="AL316" s="285"/>
      <c r="AM316" s="285"/>
      <c r="AN316" s="285"/>
      <c r="AO316" s="285"/>
      <c r="AP316" s="285"/>
      <c r="AQ316" s="285"/>
      <c r="AR316" s="285"/>
      <c r="AS316" s="285"/>
      <c r="AT316" s="285"/>
    </row>
    <row r="317" spans="1:46" ht="17.25" hidden="1" customHeight="1">
      <c r="A317" s="278">
        <v>43</v>
      </c>
      <c r="B317" s="279" t="s">
        <v>48</v>
      </c>
      <c r="C317" s="280" t="s">
        <v>767</v>
      </c>
      <c r="D317" s="280" t="s">
        <v>787</v>
      </c>
      <c r="E317" s="281">
        <v>7</v>
      </c>
      <c r="F317" s="282">
        <v>40732</v>
      </c>
      <c r="G317" s="283" t="s">
        <v>769</v>
      </c>
      <c r="H317" s="286">
        <v>6264658590</v>
      </c>
      <c r="I317" s="283" t="s">
        <v>770</v>
      </c>
      <c r="J317" s="282">
        <v>45154</v>
      </c>
      <c r="K317" s="283"/>
      <c r="L317" s="283"/>
      <c r="M317" s="280"/>
      <c r="N317" s="279" t="s">
        <v>34</v>
      </c>
      <c r="O317" s="284">
        <v>45444</v>
      </c>
      <c r="P317" s="285"/>
      <c r="Q317" s="285"/>
      <c r="R317" s="285"/>
      <c r="S317" s="285"/>
      <c r="T317" s="342"/>
      <c r="U317" s="342"/>
      <c r="V317" s="342"/>
      <c r="W317" s="285"/>
      <c r="X317" s="285"/>
      <c r="Y317" s="285"/>
      <c r="Z317" s="285"/>
      <c r="AA317" s="285"/>
      <c r="AB317" s="285"/>
      <c r="AC317" s="285"/>
      <c r="AD317" s="285"/>
      <c r="AE317" s="285"/>
      <c r="AF317" s="285"/>
      <c r="AG317" s="285"/>
      <c r="AH317" s="285"/>
      <c r="AI317" s="285"/>
      <c r="AJ317" s="285"/>
      <c r="AK317" s="285"/>
      <c r="AL317" s="285"/>
      <c r="AM317" s="285"/>
      <c r="AN317" s="285"/>
      <c r="AO317" s="285"/>
      <c r="AP317" s="285"/>
      <c r="AQ317" s="285"/>
      <c r="AR317" s="285"/>
      <c r="AS317" s="285"/>
      <c r="AT317" s="285"/>
    </row>
    <row r="318" spans="1:46" ht="17.25" hidden="1" customHeight="1">
      <c r="A318" s="278">
        <v>44</v>
      </c>
      <c r="B318" s="279" t="s">
        <v>89</v>
      </c>
      <c r="C318" s="280" t="s">
        <v>767</v>
      </c>
      <c r="D318" s="280" t="s">
        <v>787</v>
      </c>
      <c r="E318" s="281">
        <v>7</v>
      </c>
      <c r="F318" s="282">
        <v>40732</v>
      </c>
      <c r="G318" s="283" t="s">
        <v>769</v>
      </c>
      <c r="H318" s="286">
        <v>6264658590</v>
      </c>
      <c r="I318" s="283" t="s">
        <v>770</v>
      </c>
      <c r="J318" s="282">
        <v>45154</v>
      </c>
      <c r="K318" s="283"/>
      <c r="L318" s="283"/>
      <c r="M318" s="280"/>
      <c r="N318" s="279" t="s">
        <v>34</v>
      </c>
      <c r="O318" s="284">
        <v>45444</v>
      </c>
      <c r="P318" s="285"/>
      <c r="Q318" s="285"/>
      <c r="R318" s="285"/>
      <c r="S318" s="285"/>
      <c r="T318" s="342"/>
      <c r="U318" s="342"/>
      <c r="V318" s="342"/>
      <c r="W318" s="285"/>
      <c r="X318" s="285"/>
      <c r="Y318" s="285"/>
      <c r="Z318" s="285"/>
      <c r="AA318" s="285"/>
      <c r="AB318" s="285"/>
      <c r="AC318" s="285"/>
      <c r="AD318" s="285"/>
      <c r="AE318" s="285"/>
      <c r="AF318" s="285"/>
      <c r="AG318" s="285"/>
      <c r="AH318" s="285"/>
      <c r="AI318" s="285"/>
      <c r="AJ318" s="285"/>
      <c r="AK318" s="285"/>
      <c r="AL318" s="285"/>
      <c r="AM318" s="285"/>
      <c r="AN318" s="285"/>
      <c r="AO318" s="285"/>
      <c r="AP318" s="285"/>
      <c r="AQ318" s="285"/>
      <c r="AR318" s="285"/>
      <c r="AS318" s="285"/>
      <c r="AT318" s="285"/>
    </row>
    <row r="319" spans="1:46" ht="17.25" hidden="1" customHeight="1">
      <c r="A319" s="268">
        <v>45</v>
      </c>
      <c r="B319" s="269" t="s">
        <v>48</v>
      </c>
      <c r="C319" s="336" t="s">
        <v>616</v>
      </c>
      <c r="D319" s="336" t="s">
        <v>297</v>
      </c>
      <c r="E319" s="337">
        <v>1</v>
      </c>
      <c r="F319" s="338">
        <v>42947</v>
      </c>
      <c r="G319" s="339" t="s">
        <v>617</v>
      </c>
      <c r="H319" s="336">
        <v>4085108805</v>
      </c>
      <c r="I319" s="339" t="s">
        <v>466</v>
      </c>
      <c r="J319" s="338">
        <v>45160</v>
      </c>
      <c r="K319" s="339"/>
      <c r="L319" s="339"/>
      <c r="M319" s="336" t="s">
        <v>720</v>
      </c>
      <c r="N319" s="269" t="s">
        <v>34</v>
      </c>
      <c r="O319" s="273">
        <v>45444</v>
      </c>
      <c r="P319" s="259"/>
      <c r="Q319" s="259"/>
      <c r="R319" s="259"/>
      <c r="S319" s="259"/>
      <c r="T319" s="342"/>
      <c r="U319" s="342"/>
      <c r="V319" s="342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  <c r="AS319" s="259"/>
      <c r="AT319" s="259"/>
    </row>
    <row r="320" spans="1:46" ht="17.25" hidden="1" customHeight="1">
      <c r="A320" s="268">
        <v>46</v>
      </c>
      <c r="B320" s="269" t="s">
        <v>89</v>
      </c>
      <c r="C320" s="336" t="s">
        <v>616</v>
      </c>
      <c r="D320" s="336" t="s">
        <v>297</v>
      </c>
      <c r="E320" s="337">
        <v>1</v>
      </c>
      <c r="F320" s="338">
        <v>42947</v>
      </c>
      <c r="G320" s="339" t="s">
        <v>617</v>
      </c>
      <c r="H320" s="336">
        <v>4085108805</v>
      </c>
      <c r="I320" s="339" t="s">
        <v>466</v>
      </c>
      <c r="J320" s="338">
        <v>45383</v>
      </c>
      <c r="K320" s="339"/>
      <c r="L320" s="339"/>
      <c r="M320" s="336" t="s">
        <v>720</v>
      </c>
      <c r="N320" s="269" t="s">
        <v>34</v>
      </c>
      <c r="O320" s="273">
        <v>45444</v>
      </c>
      <c r="P320" s="259"/>
      <c r="Q320" s="259"/>
      <c r="R320" s="259"/>
      <c r="S320" s="259"/>
      <c r="T320" s="301"/>
      <c r="U320" s="301"/>
      <c r="V320" s="301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  <c r="AS320" s="259"/>
      <c r="AT320" s="259"/>
    </row>
    <row r="321" spans="1:46" ht="17.25" hidden="1" customHeight="1">
      <c r="A321" s="278">
        <v>47</v>
      </c>
      <c r="B321" s="279" t="s">
        <v>48</v>
      </c>
      <c r="C321" s="286" t="s">
        <v>444</v>
      </c>
      <c r="D321" s="286" t="s">
        <v>256</v>
      </c>
      <c r="E321" s="278" t="s">
        <v>133</v>
      </c>
      <c r="F321" s="287">
        <v>42902</v>
      </c>
      <c r="G321" s="288" t="s">
        <v>788</v>
      </c>
      <c r="H321" s="286">
        <v>4352252200</v>
      </c>
      <c r="I321" s="288" t="s">
        <v>789</v>
      </c>
      <c r="J321" s="287">
        <v>44835</v>
      </c>
      <c r="K321" s="283"/>
      <c r="L321" s="283"/>
      <c r="M321" s="280" t="s">
        <v>720</v>
      </c>
      <c r="N321" s="279" t="s">
        <v>34</v>
      </c>
      <c r="O321" s="284">
        <v>45444</v>
      </c>
      <c r="P321" s="285"/>
      <c r="Q321" s="285"/>
      <c r="R321" s="285"/>
      <c r="S321" s="285"/>
      <c r="T321" s="301"/>
      <c r="U321" s="301"/>
      <c r="V321" s="301"/>
      <c r="W321" s="285"/>
      <c r="X321" s="285"/>
      <c r="Y321" s="285"/>
      <c r="Z321" s="285"/>
      <c r="AA321" s="285"/>
      <c r="AB321" s="285"/>
      <c r="AC321" s="285"/>
      <c r="AD321" s="285"/>
      <c r="AE321" s="285"/>
      <c r="AF321" s="285"/>
      <c r="AG321" s="285"/>
      <c r="AH321" s="285"/>
      <c r="AI321" s="285"/>
      <c r="AJ321" s="285"/>
      <c r="AK321" s="285"/>
      <c r="AL321" s="285"/>
      <c r="AM321" s="285"/>
      <c r="AN321" s="285"/>
      <c r="AO321" s="285"/>
      <c r="AP321" s="285"/>
      <c r="AQ321" s="285"/>
      <c r="AR321" s="285"/>
      <c r="AS321" s="285"/>
      <c r="AT321" s="285"/>
    </row>
    <row r="322" spans="1:46" ht="17.25" hidden="1" customHeight="1">
      <c r="A322" s="278">
        <v>48</v>
      </c>
      <c r="B322" s="279" t="s">
        <v>89</v>
      </c>
      <c r="C322" s="286" t="s">
        <v>444</v>
      </c>
      <c r="D322" s="286" t="s">
        <v>256</v>
      </c>
      <c r="E322" s="278" t="s">
        <v>133</v>
      </c>
      <c r="F322" s="287">
        <v>42902</v>
      </c>
      <c r="G322" s="288" t="s">
        <v>788</v>
      </c>
      <c r="H322" s="286">
        <v>4352252200</v>
      </c>
      <c r="I322" s="288" t="s">
        <v>789</v>
      </c>
      <c r="J322" s="287">
        <v>45078</v>
      </c>
      <c r="K322" s="283"/>
      <c r="L322" s="283"/>
      <c r="M322" s="280" t="s">
        <v>720</v>
      </c>
      <c r="N322" s="279" t="s">
        <v>34</v>
      </c>
      <c r="O322" s="284">
        <v>45444</v>
      </c>
      <c r="P322" s="285"/>
      <c r="Q322" s="285"/>
      <c r="R322" s="285"/>
      <c r="S322" s="285"/>
      <c r="T322" s="6"/>
      <c r="U322" s="6"/>
      <c r="V322" s="6"/>
      <c r="W322" s="285"/>
      <c r="X322" s="285"/>
      <c r="Y322" s="285"/>
      <c r="Z322" s="285"/>
      <c r="AA322" s="285"/>
      <c r="AB322" s="285"/>
      <c r="AC322" s="285"/>
      <c r="AD322" s="285"/>
      <c r="AE322" s="285"/>
      <c r="AF322" s="285"/>
      <c r="AG322" s="285"/>
      <c r="AH322" s="285"/>
      <c r="AI322" s="285"/>
      <c r="AJ322" s="285"/>
      <c r="AK322" s="285"/>
      <c r="AL322" s="285"/>
      <c r="AM322" s="285"/>
      <c r="AN322" s="285"/>
      <c r="AO322" s="285"/>
      <c r="AP322" s="285"/>
      <c r="AQ322" s="285"/>
      <c r="AR322" s="285"/>
      <c r="AS322" s="285"/>
      <c r="AT322" s="285"/>
    </row>
    <row r="323" spans="1:46" ht="17.25" hidden="1" customHeight="1">
      <c r="A323" s="278">
        <v>49</v>
      </c>
      <c r="B323" s="279" t="s">
        <v>48</v>
      </c>
      <c r="C323" s="286" t="s">
        <v>301</v>
      </c>
      <c r="D323" s="286" t="s">
        <v>790</v>
      </c>
      <c r="E323" s="278">
        <v>4</v>
      </c>
      <c r="F323" s="287">
        <v>40736</v>
      </c>
      <c r="G323" s="288" t="s">
        <v>791</v>
      </c>
      <c r="H323" s="286">
        <v>4083321491</v>
      </c>
      <c r="I323" s="288" t="s">
        <v>792</v>
      </c>
      <c r="J323" s="287">
        <v>44004</v>
      </c>
      <c r="K323" s="288"/>
      <c r="L323" s="288"/>
      <c r="M323" s="286"/>
      <c r="N323" s="279" t="s">
        <v>34</v>
      </c>
      <c r="O323" s="284">
        <v>45444</v>
      </c>
      <c r="P323" s="285"/>
      <c r="Q323" s="285"/>
      <c r="R323" s="285"/>
      <c r="S323" s="285"/>
      <c r="T323" s="6"/>
      <c r="U323" s="6"/>
      <c r="V323" s="6"/>
      <c r="W323" s="285"/>
      <c r="X323" s="285"/>
      <c r="Y323" s="285"/>
      <c r="Z323" s="285"/>
      <c r="AA323" s="285"/>
      <c r="AB323" s="285"/>
      <c r="AC323" s="285"/>
      <c r="AD323" s="285"/>
      <c r="AE323" s="285"/>
      <c r="AF323" s="285"/>
      <c r="AG323" s="285"/>
      <c r="AH323" s="285"/>
      <c r="AI323" s="285"/>
      <c r="AJ323" s="285"/>
      <c r="AK323" s="285"/>
      <c r="AL323" s="285"/>
      <c r="AM323" s="285"/>
      <c r="AN323" s="285"/>
      <c r="AO323" s="285"/>
      <c r="AP323" s="285"/>
      <c r="AQ323" s="285"/>
      <c r="AR323" s="285"/>
      <c r="AS323" s="285"/>
      <c r="AT323" s="285"/>
    </row>
    <row r="324" spans="1:46" ht="17.25" hidden="1" customHeight="1">
      <c r="A324" s="278">
        <v>50</v>
      </c>
      <c r="B324" s="279" t="s">
        <v>89</v>
      </c>
      <c r="C324" s="286" t="s">
        <v>301</v>
      </c>
      <c r="D324" s="286" t="s">
        <v>790</v>
      </c>
      <c r="E324" s="278">
        <v>4</v>
      </c>
      <c r="F324" s="287">
        <v>40736</v>
      </c>
      <c r="G324" s="288" t="s">
        <v>791</v>
      </c>
      <c r="H324" s="286">
        <v>4083321491</v>
      </c>
      <c r="I324" s="288" t="s">
        <v>792</v>
      </c>
      <c r="J324" s="287">
        <v>44004</v>
      </c>
      <c r="K324" s="288"/>
      <c r="L324" s="288"/>
      <c r="M324" s="286"/>
      <c r="N324" s="279" t="s">
        <v>34</v>
      </c>
      <c r="O324" s="284">
        <v>45444</v>
      </c>
      <c r="P324" s="285"/>
      <c r="Q324" s="285"/>
      <c r="R324" s="285"/>
      <c r="S324" s="285"/>
      <c r="T324" s="6"/>
      <c r="U324" s="6"/>
      <c r="V324" s="6"/>
      <c r="W324" s="285"/>
      <c r="X324" s="285"/>
      <c r="Y324" s="285"/>
      <c r="Z324" s="285"/>
      <c r="AA324" s="285"/>
      <c r="AB324" s="285"/>
      <c r="AC324" s="285"/>
      <c r="AD324" s="285"/>
      <c r="AE324" s="285"/>
      <c r="AF324" s="285"/>
      <c r="AG324" s="285"/>
      <c r="AH324" s="285"/>
      <c r="AI324" s="285"/>
      <c r="AJ324" s="285"/>
      <c r="AK324" s="285"/>
      <c r="AL324" s="285"/>
      <c r="AM324" s="285"/>
      <c r="AN324" s="285"/>
      <c r="AO324" s="285"/>
      <c r="AP324" s="285"/>
      <c r="AQ324" s="285"/>
      <c r="AR324" s="285"/>
      <c r="AS324" s="285"/>
      <c r="AT324" s="285"/>
    </row>
    <row r="325" spans="1:46" ht="17.25" hidden="1" customHeight="1">
      <c r="A325" s="278">
        <v>51</v>
      </c>
      <c r="B325" s="341" t="s">
        <v>48</v>
      </c>
      <c r="C325" s="280" t="s">
        <v>255</v>
      </c>
      <c r="D325" s="280" t="s">
        <v>260</v>
      </c>
      <c r="E325" s="281">
        <v>2</v>
      </c>
      <c r="F325" s="282">
        <v>42342</v>
      </c>
      <c r="G325" s="283" t="s">
        <v>793</v>
      </c>
      <c r="H325" s="280">
        <v>4084214334</v>
      </c>
      <c r="I325" s="283" t="s">
        <v>258</v>
      </c>
      <c r="J325" s="282">
        <v>45170</v>
      </c>
      <c r="K325" s="283"/>
      <c r="L325" s="283"/>
      <c r="M325" s="280" t="s">
        <v>794</v>
      </c>
      <c r="N325" s="279" t="s">
        <v>34</v>
      </c>
      <c r="O325" s="284">
        <v>45444</v>
      </c>
      <c r="P325" s="285"/>
      <c r="Q325" s="285"/>
      <c r="R325" s="285"/>
      <c r="S325" s="285"/>
      <c r="T325" s="6"/>
      <c r="U325" s="6"/>
      <c r="V325" s="6"/>
      <c r="W325" s="285"/>
      <c r="X325" s="285"/>
      <c r="Y325" s="285"/>
      <c r="Z325" s="285"/>
      <c r="AA325" s="285"/>
      <c r="AB325" s="285"/>
      <c r="AC325" s="285"/>
      <c r="AD325" s="285"/>
      <c r="AE325" s="285"/>
      <c r="AF325" s="285"/>
      <c r="AG325" s="285"/>
      <c r="AH325" s="285"/>
      <c r="AI325" s="285"/>
      <c r="AJ325" s="285"/>
      <c r="AK325" s="285"/>
      <c r="AL325" s="285"/>
      <c r="AM325" s="285"/>
      <c r="AN325" s="285"/>
      <c r="AO325" s="285"/>
      <c r="AP325" s="285"/>
      <c r="AQ325" s="285"/>
      <c r="AR325" s="285"/>
      <c r="AS325" s="285"/>
      <c r="AT325" s="285"/>
    </row>
    <row r="326" spans="1:46" ht="17.25" hidden="1" customHeight="1">
      <c r="A326" s="278">
        <v>52</v>
      </c>
      <c r="B326" s="341" t="s">
        <v>89</v>
      </c>
      <c r="C326" s="280" t="s">
        <v>255</v>
      </c>
      <c r="D326" s="280" t="s">
        <v>260</v>
      </c>
      <c r="E326" s="281">
        <v>2</v>
      </c>
      <c r="F326" s="282">
        <v>42342</v>
      </c>
      <c r="G326" s="283" t="s">
        <v>793</v>
      </c>
      <c r="H326" s="280">
        <v>4084214334</v>
      </c>
      <c r="I326" s="283" t="s">
        <v>258</v>
      </c>
      <c r="J326" s="282">
        <v>45170</v>
      </c>
      <c r="K326" s="283"/>
      <c r="L326" s="283"/>
      <c r="M326" s="280" t="s">
        <v>794</v>
      </c>
      <c r="N326" s="279" t="s">
        <v>34</v>
      </c>
      <c r="O326" s="284">
        <v>45444</v>
      </c>
      <c r="P326" s="285"/>
      <c r="Q326" s="285"/>
      <c r="R326" s="285"/>
      <c r="S326" s="285"/>
      <c r="T326" s="6"/>
      <c r="U326" s="6"/>
      <c r="V326" s="6"/>
      <c r="W326" s="285"/>
      <c r="X326" s="285"/>
      <c r="Y326" s="285"/>
      <c r="Z326" s="285"/>
      <c r="AA326" s="285"/>
      <c r="AB326" s="285"/>
      <c r="AC326" s="285"/>
      <c r="AD326" s="285"/>
      <c r="AE326" s="285"/>
      <c r="AF326" s="285"/>
      <c r="AG326" s="285"/>
      <c r="AH326" s="285"/>
      <c r="AI326" s="285"/>
      <c r="AJ326" s="285"/>
      <c r="AK326" s="285"/>
      <c r="AL326" s="285"/>
      <c r="AM326" s="285"/>
      <c r="AN326" s="285"/>
      <c r="AO326" s="285"/>
      <c r="AP326" s="285"/>
      <c r="AQ326" s="285"/>
      <c r="AR326" s="285"/>
      <c r="AS326" s="285"/>
      <c r="AT326" s="285"/>
    </row>
    <row r="327" spans="1:46" ht="17.25" hidden="1" customHeight="1">
      <c r="A327" s="268">
        <v>53</v>
      </c>
      <c r="B327" s="269" t="s">
        <v>48</v>
      </c>
      <c r="C327" s="270" t="s">
        <v>795</v>
      </c>
      <c r="D327" s="270" t="s">
        <v>796</v>
      </c>
      <c r="E327" s="268">
        <v>1</v>
      </c>
      <c r="F327" s="271">
        <v>42177</v>
      </c>
      <c r="G327" s="339" t="s">
        <v>797</v>
      </c>
      <c r="H327" s="339">
        <v>4436532199</v>
      </c>
      <c r="I327" s="339" t="s">
        <v>798</v>
      </c>
      <c r="J327" s="271">
        <v>45154</v>
      </c>
      <c r="K327" s="272"/>
      <c r="L327" s="272"/>
      <c r="M327" s="270" t="s">
        <v>720</v>
      </c>
      <c r="N327" s="269" t="s">
        <v>34</v>
      </c>
      <c r="O327" s="273">
        <v>45444</v>
      </c>
      <c r="P327" s="259"/>
      <c r="Q327" s="259"/>
      <c r="R327" s="259"/>
      <c r="S327" s="259"/>
      <c r="T327" s="6"/>
      <c r="U327" s="6"/>
      <c r="V327" s="6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  <c r="AS327" s="259"/>
      <c r="AT327" s="259"/>
    </row>
    <row r="328" spans="1:46" ht="17.25" hidden="1" customHeight="1">
      <c r="A328" s="268">
        <v>54</v>
      </c>
      <c r="B328" s="269" t="s">
        <v>89</v>
      </c>
      <c r="C328" s="270" t="s">
        <v>795</v>
      </c>
      <c r="D328" s="270" t="s">
        <v>796</v>
      </c>
      <c r="E328" s="268">
        <v>1</v>
      </c>
      <c r="F328" s="271">
        <v>42177</v>
      </c>
      <c r="G328" s="339" t="s">
        <v>797</v>
      </c>
      <c r="H328" s="339">
        <v>4436532199</v>
      </c>
      <c r="I328" s="339" t="s">
        <v>798</v>
      </c>
      <c r="J328" s="271">
        <v>45154</v>
      </c>
      <c r="K328" s="272"/>
      <c r="L328" s="272"/>
      <c r="M328" s="270" t="s">
        <v>720</v>
      </c>
      <c r="N328" s="269" t="s">
        <v>34</v>
      </c>
      <c r="O328" s="273">
        <v>45444</v>
      </c>
      <c r="P328" s="259"/>
      <c r="Q328" s="259"/>
      <c r="R328" s="259"/>
      <c r="S328" s="259"/>
      <c r="T328" s="6"/>
      <c r="U328" s="6"/>
      <c r="V328" s="6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  <c r="AS328" s="259"/>
      <c r="AT328" s="259"/>
    </row>
    <row r="329" spans="1:46" ht="17.25" hidden="1" customHeight="1">
      <c r="A329" s="278">
        <v>55</v>
      </c>
      <c r="B329" s="279" t="s">
        <v>48</v>
      </c>
      <c r="C329" s="286" t="s">
        <v>444</v>
      </c>
      <c r="D329" s="286" t="s">
        <v>669</v>
      </c>
      <c r="E329" s="278" t="s">
        <v>133</v>
      </c>
      <c r="F329" s="287">
        <v>42902</v>
      </c>
      <c r="G329" s="288" t="s">
        <v>788</v>
      </c>
      <c r="H329" s="286">
        <v>4352252200</v>
      </c>
      <c r="I329" s="288" t="s">
        <v>789</v>
      </c>
      <c r="J329" s="287">
        <v>44835</v>
      </c>
      <c r="K329" s="288"/>
      <c r="L329" s="288"/>
      <c r="M329" s="286"/>
      <c r="N329" s="279" t="s">
        <v>34</v>
      </c>
      <c r="O329" s="284">
        <v>45444</v>
      </c>
      <c r="P329" s="285"/>
      <c r="Q329" s="285"/>
      <c r="R329" s="285"/>
      <c r="S329" s="285"/>
      <c r="T329" s="6"/>
      <c r="U329" s="6"/>
      <c r="V329" s="6"/>
      <c r="W329" s="285"/>
      <c r="X329" s="285"/>
      <c r="Y329" s="285"/>
      <c r="Z329" s="285"/>
      <c r="AA329" s="285"/>
      <c r="AB329" s="285"/>
      <c r="AC329" s="285"/>
      <c r="AD329" s="285"/>
      <c r="AE329" s="285"/>
      <c r="AF329" s="285"/>
      <c r="AG329" s="285"/>
      <c r="AH329" s="285"/>
      <c r="AI329" s="285"/>
      <c r="AJ329" s="285"/>
      <c r="AK329" s="285"/>
      <c r="AL329" s="285"/>
      <c r="AM329" s="285"/>
      <c r="AN329" s="285"/>
      <c r="AO329" s="285"/>
      <c r="AP329" s="285"/>
      <c r="AQ329" s="285"/>
      <c r="AR329" s="285"/>
      <c r="AS329" s="285"/>
      <c r="AT329" s="285"/>
    </row>
    <row r="330" spans="1:46" ht="17.25" hidden="1" customHeight="1">
      <c r="A330" s="278">
        <v>56</v>
      </c>
      <c r="B330" s="279" t="s">
        <v>89</v>
      </c>
      <c r="C330" s="286" t="s">
        <v>444</v>
      </c>
      <c r="D330" s="286" t="s">
        <v>669</v>
      </c>
      <c r="E330" s="278" t="s">
        <v>133</v>
      </c>
      <c r="F330" s="287">
        <v>42902</v>
      </c>
      <c r="G330" s="288" t="s">
        <v>788</v>
      </c>
      <c r="H330" s="286">
        <v>4352252200</v>
      </c>
      <c r="I330" s="288" t="s">
        <v>789</v>
      </c>
      <c r="J330" s="287">
        <v>45078</v>
      </c>
      <c r="K330" s="288"/>
      <c r="L330" s="288"/>
      <c r="M330" s="286"/>
      <c r="N330" s="279" t="s">
        <v>34</v>
      </c>
      <c r="O330" s="284">
        <v>45444</v>
      </c>
      <c r="P330" s="285"/>
      <c r="Q330" s="285"/>
      <c r="R330" s="285"/>
      <c r="S330" s="285"/>
      <c r="T330" s="6"/>
      <c r="U330" s="6"/>
      <c r="V330" s="6"/>
      <c r="W330" s="285"/>
      <c r="X330" s="285"/>
      <c r="Y330" s="285"/>
      <c r="Z330" s="285"/>
      <c r="AA330" s="285"/>
      <c r="AB330" s="285"/>
      <c r="AC330" s="285"/>
      <c r="AD330" s="285"/>
      <c r="AE330" s="285"/>
      <c r="AF330" s="285"/>
      <c r="AG330" s="285"/>
      <c r="AH330" s="285"/>
      <c r="AI330" s="285"/>
      <c r="AJ330" s="285"/>
      <c r="AK330" s="285"/>
      <c r="AL330" s="285"/>
      <c r="AM330" s="285"/>
      <c r="AN330" s="285"/>
      <c r="AO330" s="285"/>
      <c r="AP330" s="285"/>
      <c r="AQ330" s="285"/>
      <c r="AR330" s="285"/>
      <c r="AS330" s="285"/>
      <c r="AT330" s="285"/>
    </row>
    <row r="331" spans="1:46" ht="17.25" hidden="1" customHeight="1">
      <c r="A331" s="278">
        <v>57</v>
      </c>
      <c r="B331" s="279" t="s">
        <v>48</v>
      </c>
      <c r="C331" s="286" t="s">
        <v>648</v>
      </c>
      <c r="D331" s="286" t="s">
        <v>799</v>
      </c>
      <c r="E331" s="278">
        <v>1</v>
      </c>
      <c r="F331" s="287">
        <v>42568</v>
      </c>
      <c r="G331" s="283" t="s">
        <v>650</v>
      </c>
      <c r="H331" s="283" t="s">
        <v>651</v>
      </c>
      <c r="I331" s="283" t="s">
        <v>652</v>
      </c>
      <c r="J331" s="287">
        <v>45110</v>
      </c>
      <c r="K331" s="288"/>
      <c r="L331" s="288"/>
      <c r="M331" s="286"/>
      <c r="N331" s="279" t="s">
        <v>34</v>
      </c>
      <c r="O331" s="284">
        <v>45444</v>
      </c>
      <c r="P331" s="285"/>
      <c r="Q331" s="285"/>
      <c r="R331" s="285"/>
      <c r="S331" s="285"/>
      <c r="T331" s="6"/>
      <c r="U331" s="6"/>
      <c r="V331" s="6"/>
      <c r="W331" s="285"/>
      <c r="X331" s="285"/>
      <c r="Y331" s="285"/>
      <c r="Z331" s="285"/>
      <c r="AA331" s="285"/>
      <c r="AB331" s="285"/>
      <c r="AC331" s="285"/>
      <c r="AD331" s="285"/>
      <c r="AE331" s="285"/>
      <c r="AF331" s="285"/>
      <c r="AG331" s="285"/>
      <c r="AH331" s="285"/>
      <c r="AI331" s="285"/>
      <c r="AJ331" s="285"/>
      <c r="AK331" s="285"/>
      <c r="AL331" s="285"/>
      <c r="AM331" s="285"/>
      <c r="AN331" s="285"/>
      <c r="AO331" s="285"/>
      <c r="AP331" s="285"/>
      <c r="AQ331" s="285"/>
      <c r="AR331" s="285"/>
      <c r="AS331" s="285"/>
      <c r="AT331" s="285"/>
    </row>
    <row r="332" spans="1:46" ht="17.25" hidden="1" customHeight="1">
      <c r="A332" s="278">
        <v>58</v>
      </c>
      <c r="B332" s="279" t="s">
        <v>89</v>
      </c>
      <c r="C332" s="286" t="s">
        <v>648</v>
      </c>
      <c r="D332" s="286" t="s">
        <v>799</v>
      </c>
      <c r="E332" s="278">
        <v>1</v>
      </c>
      <c r="F332" s="287">
        <v>42568</v>
      </c>
      <c r="G332" s="283" t="s">
        <v>653</v>
      </c>
      <c r="H332" s="283" t="s">
        <v>654</v>
      </c>
      <c r="I332" s="283" t="s">
        <v>652</v>
      </c>
      <c r="J332" s="287">
        <v>45110</v>
      </c>
      <c r="K332" s="288"/>
      <c r="L332" s="288"/>
      <c r="M332" s="286"/>
      <c r="N332" s="279" t="s">
        <v>34</v>
      </c>
      <c r="O332" s="284">
        <v>45444</v>
      </c>
      <c r="P332" s="285"/>
      <c r="Q332" s="285"/>
      <c r="R332" s="285"/>
      <c r="S332" s="285"/>
      <c r="T332" s="6"/>
      <c r="U332" s="6"/>
      <c r="V332" s="6"/>
      <c r="W332" s="285"/>
      <c r="X332" s="285"/>
      <c r="Y332" s="285"/>
      <c r="Z332" s="285"/>
      <c r="AA332" s="285"/>
      <c r="AB332" s="285"/>
      <c r="AC332" s="285"/>
      <c r="AD332" s="285"/>
      <c r="AE332" s="285"/>
      <c r="AF332" s="285"/>
      <c r="AG332" s="285"/>
      <c r="AH332" s="285"/>
      <c r="AI332" s="285"/>
      <c r="AJ332" s="285"/>
      <c r="AK332" s="285"/>
      <c r="AL332" s="285"/>
      <c r="AM332" s="285"/>
      <c r="AN332" s="285"/>
      <c r="AO332" s="285"/>
      <c r="AP332" s="285"/>
      <c r="AQ332" s="285"/>
      <c r="AR332" s="285"/>
      <c r="AS332" s="285"/>
      <c r="AT332" s="285"/>
    </row>
    <row r="333" spans="1:46" ht="17.25" hidden="1" customHeight="1">
      <c r="A333" s="268">
        <v>59</v>
      </c>
      <c r="B333" s="269" t="s">
        <v>48</v>
      </c>
      <c r="C333" s="270" t="s">
        <v>695</v>
      </c>
      <c r="D333" s="270" t="s">
        <v>698</v>
      </c>
      <c r="E333" s="268">
        <v>3</v>
      </c>
      <c r="F333" s="271">
        <v>42124</v>
      </c>
      <c r="G333" s="272" t="s">
        <v>697</v>
      </c>
      <c r="H333" s="270">
        <v>4085076346</v>
      </c>
      <c r="I333" s="272" t="s">
        <v>492</v>
      </c>
      <c r="J333" s="271">
        <v>45293</v>
      </c>
      <c r="K333" s="339"/>
      <c r="L333" s="339"/>
      <c r="M333" s="336" t="s">
        <v>720</v>
      </c>
      <c r="N333" s="269" t="s">
        <v>34</v>
      </c>
      <c r="O333" s="273">
        <v>45444</v>
      </c>
      <c r="P333" s="259"/>
      <c r="Q333" s="259"/>
      <c r="R333" s="259"/>
      <c r="S333" s="259"/>
      <c r="T333" s="6"/>
      <c r="U333" s="6"/>
      <c r="V333" s="6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  <c r="AS333" s="259"/>
      <c r="AT333" s="259"/>
    </row>
    <row r="334" spans="1:46" ht="17.25" hidden="1" customHeight="1">
      <c r="A334" s="278">
        <v>60</v>
      </c>
      <c r="B334" s="279" t="s">
        <v>48</v>
      </c>
      <c r="C334" s="280" t="s">
        <v>644</v>
      </c>
      <c r="D334" s="280" t="s">
        <v>147</v>
      </c>
      <c r="E334" s="281">
        <v>1</v>
      </c>
      <c r="F334" s="282">
        <v>42894</v>
      </c>
      <c r="G334" s="283" t="s">
        <v>645</v>
      </c>
      <c r="H334" s="280">
        <v>6503358676</v>
      </c>
      <c r="I334" s="283" t="s">
        <v>646</v>
      </c>
      <c r="J334" s="282">
        <v>45159</v>
      </c>
      <c r="K334" s="283"/>
      <c r="L334" s="283"/>
      <c r="M334" s="280"/>
      <c r="N334" s="279" t="s">
        <v>34</v>
      </c>
      <c r="O334" s="284">
        <v>45444</v>
      </c>
      <c r="P334" s="285"/>
      <c r="Q334" s="285"/>
      <c r="R334" s="285"/>
      <c r="S334" s="285"/>
      <c r="T334" s="343"/>
      <c r="U334" s="343"/>
      <c r="V334" s="343"/>
      <c r="W334" s="285"/>
      <c r="X334" s="285"/>
      <c r="Y334" s="285"/>
      <c r="Z334" s="285"/>
      <c r="AA334" s="285"/>
      <c r="AB334" s="285"/>
      <c r="AC334" s="285"/>
      <c r="AD334" s="285"/>
      <c r="AE334" s="285"/>
      <c r="AF334" s="285"/>
      <c r="AG334" s="285"/>
      <c r="AH334" s="285"/>
      <c r="AI334" s="285"/>
      <c r="AJ334" s="285"/>
      <c r="AK334" s="285"/>
      <c r="AL334" s="285"/>
      <c r="AM334" s="285"/>
      <c r="AN334" s="285"/>
      <c r="AO334" s="285"/>
      <c r="AP334" s="285"/>
      <c r="AQ334" s="285"/>
      <c r="AR334" s="285"/>
      <c r="AS334" s="285"/>
      <c r="AT334" s="285"/>
    </row>
    <row r="335" spans="1:46" ht="17.25" hidden="1" customHeight="1">
      <c r="A335" s="278">
        <v>61</v>
      </c>
      <c r="B335" s="279" t="s">
        <v>48</v>
      </c>
      <c r="C335" s="286" t="s">
        <v>800</v>
      </c>
      <c r="D335" s="286" t="s">
        <v>801</v>
      </c>
      <c r="E335" s="278">
        <v>4</v>
      </c>
      <c r="F335" s="287">
        <v>41881</v>
      </c>
      <c r="G335" s="283" t="s">
        <v>802</v>
      </c>
      <c r="H335" s="283">
        <v>5103587899</v>
      </c>
      <c r="I335" s="283" t="s">
        <v>803</v>
      </c>
      <c r="J335" s="287">
        <v>45159</v>
      </c>
      <c r="K335" s="288"/>
      <c r="L335" s="288"/>
      <c r="M335" s="286"/>
      <c r="N335" s="279" t="s">
        <v>34</v>
      </c>
      <c r="O335" s="284">
        <v>45444</v>
      </c>
      <c r="P335" s="285"/>
      <c r="Q335" s="285"/>
      <c r="R335" s="285"/>
      <c r="S335" s="285"/>
      <c r="T335" s="343"/>
      <c r="U335" s="343"/>
      <c r="V335" s="343"/>
      <c r="W335" s="285"/>
      <c r="X335" s="285"/>
      <c r="Y335" s="285"/>
      <c r="Z335" s="285"/>
      <c r="AA335" s="285"/>
      <c r="AB335" s="285"/>
      <c r="AC335" s="285"/>
      <c r="AD335" s="285"/>
      <c r="AE335" s="285"/>
      <c r="AF335" s="285"/>
      <c r="AG335" s="285"/>
      <c r="AH335" s="285"/>
      <c r="AI335" s="285"/>
      <c r="AJ335" s="285"/>
      <c r="AK335" s="285"/>
      <c r="AL335" s="285"/>
      <c r="AM335" s="285"/>
      <c r="AN335" s="285"/>
      <c r="AO335" s="285"/>
      <c r="AP335" s="285"/>
      <c r="AQ335" s="285"/>
      <c r="AR335" s="285"/>
      <c r="AS335" s="285"/>
      <c r="AT335" s="285"/>
    </row>
    <row r="336" spans="1:46" ht="17.25" hidden="1" customHeight="1">
      <c r="A336" s="278">
        <v>62</v>
      </c>
      <c r="B336" s="279" t="s">
        <v>89</v>
      </c>
      <c r="C336" s="280" t="s">
        <v>800</v>
      </c>
      <c r="D336" s="280" t="s">
        <v>801</v>
      </c>
      <c r="E336" s="281">
        <v>4</v>
      </c>
      <c r="F336" s="282">
        <v>41881</v>
      </c>
      <c r="G336" s="283" t="s">
        <v>802</v>
      </c>
      <c r="H336" s="280">
        <v>5103587899</v>
      </c>
      <c r="I336" s="283" t="s">
        <v>803</v>
      </c>
      <c r="J336" s="282">
        <v>45159</v>
      </c>
      <c r="K336" s="283"/>
      <c r="L336" s="283"/>
      <c r="M336" s="280"/>
      <c r="N336" s="279" t="s">
        <v>34</v>
      </c>
      <c r="O336" s="284">
        <v>45444</v>
      </c>
      <c r="P336" s="285"/>
      <c r="Q336" s="285"/>
      <c r="R336" s="285"/>
      <c r="S336" s="285"/>
      <c r="T336" s="343"/>
      <c r="U336" s="343"/>
      <c r="V336" s="343"/>
      <c r="W336" s="285"/>
      <c r="X336" s="285"/>
      <c r="Y336" s="285"/>
      <c r="Z336" s="285"/>
      <c r="AA336" s="285"/>
      <c r="AB336" s="285"/>
      <c r="AC336" s="285"/>
      <c r="AD336" s="285"/>
      <c r="AE336" s="285"/>
      <c r="AF336" s="285"/>
      <c r="AG336" s="285"/>
      <c r="AH336" s="285"/>
      <c r="AI336" s="285"/>
      <c r="AJ336" s="285"/>
      <c r="AK336" s="285"/>
      <c r="AL336" s="285"/>
      <c r="AM336" s="285"/>
      <c r="AN336" s="285"/>
      <c r="AO336" s="285"/>
      <c r="AP336" s="285"/>
      <c r="AQ336" s="285"/>
      <c r="AR336" s="285"/>
      <c r="AS336" s="285"/>
      <c r="AT336" s="285"/>
    </row>
    <row r="337" spans="1:46" ht="17.25" hidden="1" customHeight="1">
      <c r="A337" s="278">
        <v>63</v>
      </c>
      <c r="B337" s="279" t="s">
        <v>48</v>
      </c>
      <c r="C337" s="286" t="s">
        <v>748</v>
      </c>
      <c r="D337" s="286" t="s">
        <v>804</v>
      </c>
      <c r="E337" s="278">
        <v>1</v>
      </c>
      <c r="F337" s="287">
        <v>42637</v>
      </c>
      <c r="G337" s="283" t="s">
        <v>750</v>
      </c>
      <c r="H337" s="283">
        <v>4082064921</v>
      </c>
      <c r="I337" s="283" t="s">
        <v>751</v>
      </c>
      <c r="J337" s="287">
        <v>45352</v>
      </c>
      <c r="K337" s="288"/>
      <c r="L337" s="288"/>
      <c r="M337" s="286"/>
      <c r="N337" s="279" t="s">
        <v>34</v>
      </c>
      <c r="O337" s="284">
        <v>45444</v>
      </c>
      <c r="P337" s="285"/>
      <c r="Q337" s="285"/>
      <c r="R337" s="285"/>
      <c r="S337" s="285"/>
      <c r="T337" s="343"/>
      <c r="U337" s="343"/>
      <c r="V337" s="343"/>
      <c r="W337" s="285"/>
      <c r="X337" s="285"/>
      <c r="Y337" s="285"/>
      <c r="Z337" s="285"/>
      <c r="AA337" s="285"/>
      <c r="AB337" s="285"/>
      <c r="AC337" s="285"/>
      <c r="AD337" s="285"/>
      <c r="AE337" s="285"/>
      <c r="AF337" s="285"/>
      <c r="AG337" s="285"/>
      <c r="AH337" s="285"/>
      <c r="AI337" s="285"/>
      <c r="AJ337" s="285"/>
      <c r="AK337" s="285"/>
      <c r="AL337" s="285"/>
      <c r="AM337" s="285"/>
      <c r="AN337" s="285"/>
      <c r="AO337" s="285"/>
      <c r="AP337" s="285"/>
      <c r="AQ337" s="285"/>
      <c r="AR337" s="285"/>
      <c r="AS337" s="285"/>
      <c r="AT337" s="285"/>
    </row>
    <row r="338" spans="1:46" ht="17.25" hidden="1" customHeight="1">
      <c r="A338" s="278">
        <v>64</v>
      </c>
      <c r="B338" s="279" t="s">
        <v>89</v>
      </c>
      <c r="C338" s="280" t="s">
        <v>444</v>
      </c>
      <c r="D338" s="280" t="s">
        <v>586</v>
      </c>
      <c r="E338" s="281">
        <v>1</v>
      </c>
      <c r="F338" s="282">
        <v>42483</v>
      </c>
      <c r="G338" s="283" t="s">
        <v>587</v>
      </c>
      <c r="H338" s="280">
        <v>6692460021</v>
      </c>
      <c r="I338" s="283" t="s">
        <v>588</v>
      </c>
      <c r="J338" s="282">
        <v>45174</v>
      </c>
      <c r="K338" s="283"/>
      <c r="L338" s="283"/>
      <c r="M338" s="280"/>
      <c r="N338" s="279" t="s">
        <v>34</v>
      </c>
      <c r="O338" s="284">
        <v>45444</v>
      </c>
      <c r="P338" s="285"/>
      <c r="Q338" s="285"/>
      <c r="R338" s="285"/>
      <c r="S338" s="285"/>
      <c r="T338" s="344"/>
      <c r="U338" s="344"/>
      <c r="V338" s="344"/>
      <c r="W338" s="285"/>
      <c r="X338" s="285"/>
      <c r="Y338" s="285"/>
      <c r="Z338" s="285"/>
      <c r="AA338" s="285"/>
      <c r="AB338" s="285"/>
      <c r="AC338" s="285"/>
      <c r="AD338" s="285"/>
      <c r="AE338" s="285"/>
      <c r="AF338" s="285"/>
      <c r="AG338" s="285"/>
      <c r="AH338" s="285"/>
      <c r="AI338" s="285"/>
      <c r="AJ338" s="285"/>
      <c r="AK338" s="285"/>
      <c r="AL338" s="285"/>
      <c r="AM338" s="285"/>
      <c r="AN338" s="285"/>
      <c r="AO338" s="285"/>
      <c r="AP338" s="285"/>
      <c r="AQ338" s="285"/>
      <c r="AR338" s="285"/>
      <c r="AS338" s="285"/>
      <c r="AT338" s="285"/>
    </row>
    <row r="339" spans="1:46" ht="17.25" hidden="1" customHeight="1">
      <c r="A339" s="268">
        <v>65</v>
      </c>
      <c r="B339" s="269" t="s">
        <v>48</v>
      </c>
      <c r="C339" s="336" t="s">
        <v>616</v>
      </c>
      <c r="D339" s="336" t="s">
        <v>805</v>
      </c>
      <c r="E339" s="337">
        <v>3</v>
      </c>
      <c r="F339" s="338">
        <v>42077</v>
      </c>
      <c r="G339" s="339" t="s">
        <v>617</v>
      </c>
      <c r="H339" s="336">
        <v>4085108805</v>
      </c>
      <c r="I339" s="339" t="s">
        <v>466</v>
      </c>
      <c r="J339" s="338">
        <v>45160</v>
      </c>
      <c r="K339" s="339"/>
      <c r="L339" s="339"/>
      <c r="M339" s="336" t="s">
        <v>720</v>
      </c>
      <c r="N339" s="269" t="s">
        <v>34</v>
      </c>
      <c r="O339" s="273">
        <v>45444</v>
      </c>
      <c r="P339" s="259"/>
      <c r="Q339" s="259"/>
      <c r="R339" s="259"/>
      <c r="S339" s="259"/>
      <c r="T339" s="343"/>
      <c r="U339" s="343"/>
      <c r="V339" s="343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  <c r="AS339" s="259"/>
      <c r="AT339" s="259"/>
    </row>
    <row r="340" spans="1:46" ht="17.25" hidden="1" customHeight="1">
      <c r="A340" s="268">
        <v>66</v>
      </c>
      <c r="B340" s="269" t="s">
        <v>89</v>
      </c>
      <c r="C340" s="336" t="s">
        <v>616</v>
      </c>
      <c r="D340" s="336" t="s">
        <v>805</v>
      </c>
      <c r="E340" s="337">
        <v>3</v>
      </c>
      <c r="F340" s="338">
        <v>42077</v>
      </c>
      <c r="G340" s="339" t="s">
        <v>617</v>
      </c>
      <c r="H340" s="336">
        <v>4085108805</v>
      </c>
      <c r="I340" s="339" t="s">
        <v>466</v>
      </c>
      <c r="J340" s="338">
        <v>45160</v>
      </c>
      <c r="K340" s="339"/>
      <c r="L340" s="339"/>
      <c r="M340" s="336" t="s">
        <v>720</v>
      </c>
      <c r="N340" s="269" t="s">
        <v>34</v>
      </c>
      <c r="O340" s="273">
        <v>45444</v>
      </c>
      <c r="P340" s="259"/>
      <c r="Q340" s="259"/>
      <c r="R340" s="259"/>
      <c r="S340" s="259"/>
      <c r="T340" s="344"/>
      <c r="U340" s="344"/>
      <c r="V340" s="344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  <c r="AS340" s="259"/>
      <c r="AT340" s="259"/>
    </row>
    <row r="341" spans="1:46" ht="17.25" hidden="1" customHeight="1">
      <c r="A341" s="278">
        <v>67</v>
      </c>
      <c r="B341" s="279" t="s">
        <v>48</v>
      </c>
      <c r="C341" s="280" t="s">
        <v>724</v>
      </c>
      <c r="D341" s="280" t="s">
        <v>806</v>
      </c>
      <c r="E341" s="281">
        <v>6</v>
      </c>
      <c r="F341" s="282">
        <v>41153</v>
      </c>
      <c r="G341" s="283" t="s">
        <v>725</v>
      </c>
      <c r="H341" s="280">
        <v>5108813622</v>
      </c>
      <c r="I341" s="283" t="s">
        <v>726</v>
      </c>
      <c r="J341" s="282">
        <v>45154</v>
      </c>
      <c r="K341" s="283"/>
      <c r="L341" s="283"/>
      <c r="M341" s="280"/>
      <c r="N341" s="279" t="s">
        <v>34</v>
      </c>
      <c r="O341" s="284">
        <v>45444</v>
      </c>
      <c r="P341" s="285"/>
      <c r="Q341" s="285"/>
      <c r="R341" s="285"/>
      <c r="S341" s="285"/>
      <c r="T341" s="343"/>
      <c r="U341" s="343"/>
      <c r="V341" s="343"/>
      <c r="W341" s="285"/>
      <c r="X341" s="285"/>
      <c r="Y341" s="285"/>
      <c r="Z341" s="285"/>
      <c r="AA341" s="285"/>
      <c r="AB341" s="285"/>
      <c r="AC341" s="285"/>
      <c r="AD341" s="285"/>
      <c r="AE341" s="285"/>
      <c r="AF341" s="285"/>
      <c r="AG341" s="285"/>
      <c r="AH341" s="285"/>
      <c r="AI341" s="285"/>
      <c r="AJ341" s="285"/>
      <c r="AK341" s="285"/>
      <c r="AL341" s="285"/>
      <c r="AM341" s="285"/>
      <c r="AN341" s="285"/>
      <c r="AO341" s="285"/>
      <c r="AP341" s="285"/>
      <c r="AQ341" s="285"/>
      <c r="AR341" s="285"/>
      <c r="AS341" s="285"/>
      <c r="AT341" s="285"/>
    </row>
    <row r="342" spans="1:46" ht="17.25" hidden="1" customHeight="1">
      <c r="A342" s="278">
        <v>68</v>
      </c>
      <c r="B342" s="279" t="s">
        <v>89</v>
      </c>
      <c r="C342" s="280" t="s">
        <v>724</v>
      </c>
      <c r="D342" s="280" t="s">
        <v>806</v>
      </c>
      <c r="E342" s="281">
        <v>6</v>
      </c>
      <c r="F342" s="282">
        <v>41153</v>
      </c>
      <c r="G342" s="283" t="s">
        <v>725</v>
      </c>
      <c r="H342" s="280">
        <v>5108813622</v>
      </c>
      <c r="I342" s="283" t="s">
        <v>726</v>
      </c>
      <c r="J342" s="282">
        <v>45154</v>
      </c>
      <c r="K342" s="283"/>
      <c r="L342" s="283"/>
      <c r="M342" s="280"/>
      <c r="N342" s="279" t="s">
        <v>34</v>
      </c>
      <c r="O342" s="284">
        <v>45444</v>
      </c>
      <c r="P342" s="285"/>
      <c r="Q342" s="285"/>
      <c r="R342" s="285"/>
      <c r="S342" s="285"/>
      <c r="T342" s="192"/>
      <c r="U342" s="192"/>
      <c r="V342" s="192"/>
      <c r="W342" s="285"/>
      <c r="X342" s="285"/>
      <c r="Y342" s="285"/>
      <c r="Z342" s="285"/>
      <c r="AA342" s="285"/>
      <c r="AB342" s="285"/>
      <c r="AC342" s="285"/>
      <c r="AD342" s="285"/>
      <c r="AE342" s="285"/>
      <c r="AF342" s="285"/>
      <c r="AG342" s="285"/>
      <c r="AH342" s="285"/>
      <c r="AI342" s="285"/>
      <c r="AJ342" s="285"/>
      <c r="AK342" s="285"/>
      <c r="AL342" s="285"/>
      <c r="AM342" s="285"/>
      <c r="AN342" s="285"/>
      <c r="AO342" s="285"/>
      <c r="AP342" s="285"/>
      <c r="AQ342" s="285"/>
      <c r="AR342" s="285"/>
      <c r="AS342" s="285"/>
      <c r="AT342" s="285"/>
    </row>
    <row r="343" spans="1:46" ht="17.25" hidden="1" customHeight="1">
      <c r="A343" s="268">
        <v>69</v>
      </c>
      <c r="B343" s="269" t="s">
        <v>89</v>
      </c>
      <c r="C343" s="336" t="s">
        <v>756</v>
      </c>
      <c r="D343" s="336" t="s">
        <v>807</v>
      </c>
      <c r="E343" s="337">
        <v>3</v>
      </c>
      <c r="F343" s="338">
        <v>42122</v>
      </c>
      <c r="G343" s="339" t="s">
        <v>757</v>
      </c>
      <c r="H343" s="336">
        <v>4087591928</v>
      </c>
      <c r="I343" s="339" t="s">
        <v>758</v>
      </c>
      <c r="J343" s="338">
        <v>45246</v>
      </c>
      <c r="K343" s="339"/>
      <c r="L343" s="339"/>
      <c r="M343" s="336" t="s">
        <v>759</v>
      </c>
      <c r="N343" s="269" t="s">
        <v>34</v>
      </c>
      <c r="O343" s="273">
        <v>45444</v>
      </c>
      <c r="P343" s="259"/>
      <c r="Q343" s="259"/>
      <c r="R343" s="259"/>
      <c r="S343" s="259"/>
      <c r="T343" s="251"/>
      <c r="U343" s="251"/>
      <c r="V343" s="251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  <c r="AS343" s="259"/>
      <c r="AT343" s="259"/>
    </row>
    <row r="344" spans="1:46" ht="17.25" hidden="1" customHeight="1">
      <c r="A344" s="278">
        <v>70</v>
      </c>
      <c r="B344" s="279" t="s">
        <v>89</v>
      </c>
      <c r="C344" s="286" t="s">
        <v>611</v>
      </c>
      <c r="D344" s="286" t="s">
        <v>620</v>
      </c>
      <c r="E344" s="278">
        <v>6</v>
      </c>
      <c r="F344" s="287">
        <v>40961</v>
      </c>
      <c r="G344" s="283" t="s">
        <v>762</v>
      </c>
      <c r="H344" s="283">
        <v>4087977701</v>
      </c>
      <c r="I344" s="283" t="s">
        <v>614</v>
      </c>
      <c r="J344" s="287">
        <v>45323</v>
      </c>
      <c r="K344" s="288"/>
      <c r="L344" s="288"/>
      <c r="M344" s="286" t="s">
        <v>763</v>
      </c>
      <c r="N344" s="279" t="s">
        <v>34</v>
      </c>
      <c r="O344" s="284">
        <v>45444</v>
      </c>
      <c r="P344" s="285"/>
      <c r="Q344" s="285"/>
      <c r="R344" s="285"/>
      <c r="S344" s="285"/>
      <c r="T344" s="192"/>
      <c r="U344" s="192"/>
      <c r="V344" s="192"/>
      <c r="W344" s="285"/>
      <c r="X344" s="285"/>
      <c r="Y344" s="285"/>
      <c r="Z344" s="285"/>
      <c r="AA344" s="285"/>
      <c r="AB344" s="285"/>
      <c r="AC344" s="285"/>
      <c r="AD344" s="285"/>
      <c r="AE344" s="285"/>
      <c r="AF344" s="285"/>
      <c r="AG344" s="285"/>
      <c r="AH344" s="285"/>
      <c r="AI344" s="285"/>
      <c r="AJ344" s="285"/>
      <c r="AK344" s="285"/>
      <c r="AL344" s="285"/>
      <c r="AM344" s="285"/>
      <c r="AN344" s="285"/>
      <c r="AO344" s="285"/>
      <c r="AP344" s="285"/>
      <c r="AQ344" s="285"/>
      <c r="AR344" s="285"/>
      <c r="AS344" s="285"/>
      <c r="AT344" s="285"/>
    </row>
    <row r="345" spans="1:46" ht="17.25" hidden="1" customHeight="1">
      <c r="A345" s="290">
        <v>1</v>
      </c>
      <c r="B345" s="298" t="s">
        <v>48</v>
      </c>
      <c r="C345" s="304" t="s">
        <v>640</v>
      </c>
      <c r="D345" s="304" t="s">
        <v>808</v>
      </c>
      <c r="E345" s="290">
        <v>3</v>
      </c>
      <c r="F345" s="300">
        <v>42387</v>
      </c>
      <c r="G345" s="302" t="s">
        <v>809</v>
      </c>
      <c r="H345" s="299">
        <v>9258603355</v>
      </c>
      <c r="I345" s="302" t="s">
        <v>810</v>
      </c>
      <c r="J345" s="300">
        <v>45231</v>
      </c>
      <c r="K345" s="302"/>
      <c r="L345" s="302"/>
      <c r="M345" s="299" t="s">
        <v>811</v>
      </c>
      <c r="N345" s="298" t="s">
        <v>34</v>
      </c>
      <c r="O345" s="308">
        <v>45474</v>
      </c>
      <c r="P345" s="6"/>
      <c r="Q345" s="6"/>
      <c r="R345" s="6"/>
      <c r="S345" s="6"/>
      <c r="T345" s="251"/>
      <c r="U345" s="251"/>
      <c r="V345" s="251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ht="17.25" hidden="1" customHeight="1">
      <c r="A346" s="290">
        <v>2</v>
      </c>
      <c r="B346" s="298" t="s">
        <v>89</v>
      </c>
      <c r="C346" s="304" t="s">
        <v>640</v>
      </c>
      <c r="D346" s="304" t="s">
        <v>808</v>
      </c>
      <c r="E346" s="290">
        <v>3</v>
      </c>
      <c r="F346" s="300">
        <v>42387</v>
      </c>
      <c r="G346" s="302" t="s">
        <v>809</v>
      </c>
      <c r="H346" s="299">
        <v>9258603355</v>
      </c>
      <c r="I346" s="302" t="s">
        <v>810</v>
      </c>
      <c r="J346" s="300">
        <v>45231</v>
      </c>
      <c r="K346" s="302"/>
      <c r="L346" s="302"/>
      <c r="M346" s="299" t="s">
        <v>811</v>
      </c>
      <c r="N346" s="298" t="s">
        <v>34</v>
      </c>
      <c r="O346" s="308">
        <v>45474</v>
      </c>
      <c r="P346" s="6"/>
      <c r="Q346" s="6"/>
      <c r="R346" s="6"/>
      <c r="S346" s="6"/>
      <c r="T346" s="101"/>
      <c r="U346" s="101"/>
      <c r="V346" s="101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ht="17.25" hidden="1" customHeight="1">
      <c r="A347" s="290">
        <v>3</v>
      </c>
      <c r="B347" s="298" t="s">
        <v>48</v>
      </c>
      <c r="C347" s="305" t="s">
        <v>812</v>
      </c>
      <c r="D347" s="305" t="s">
        <v>813</v>
      </c>
      <c r="E347" s="306">
        <v>2</v>
      </c>
      <c r="F347" s="307">
        <v>42521</v>
      </c>
      <c r="G347" s="301" t="s">
        <v>814</v>
      </c>
      <c r="H347" s="305">
        <v>4089311977</v>
      </c>
      <c r="I347" s="301" t="s">
        <v>815</v>
      </c>
      <c r="J347" s="307">
        <v>45161</v>
      </c>
      <c r="K347" s="301"/>
      <c r="L347" s="301"/>
      <c r="M347" s="305" t="s">
        <v>816</v>
      </c>
      <c r="N347" s="298" t="s">
        <v>34</v>
      </c>
      <c r="O347" s="308">
        <v>45474</v>
      </c>
      <c r="P347" s="6"/>
      <c r="Q347" s="6"/>
      <c r="R347" s="6"/>
      <c r="S347" s="6"/>
      <c r="T347" s="101"/>
      <c r="U347" s="101"/>
      <c r="V347" s="101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ht="17.25" hidden="1" customHeight="1">
      <c r="A348" s="290">
        <v>4</v>
      </c>
      <c r="B348" s="298" t="s">
        <v>89</v>
      </c>
      <c r="C348" s="305" t="s">
        <v>812</v>
      </c>
      <c r="D348" s="305" t="s">
        <v>813</v>
      </c>
      <c r="E348" s="306">
        <v>2</v>
      </c>
      <c r="F348" s="307">
        <v>42521</v>
      </c>
      <c r="G348" s="301" t="s">
        <v>814</v>
      </c>
      <c r="H348" s="305">
        <v>4089311977</v>
      </c>
      <c r="I348" s="301" t="s">
        <v>815</v>
      </c>
      <c r="J348" s="307">
        <v>45161</v>
      </c>
      <c r="K348" s="301"/>
      <c r="L348" s="301"/>
      <c r="M348" s="305" t="s">
        <v>816</v>
      </c>
      <c r="N348" s="298" t="s">
        <v>34</v>
      </c>
      <c r="O348" s="308">
        <v>45474</v>
      </c>
      <c r="P348" s="6"/>
      <c r="Q348" s="6"/>
      <c r="R348" s="6"/>
      <c r="S348" s="6"/>
      <c r="T348" s="163"/>
      <c r="U348" s="163"/>
      <c r="V348" s="163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ht="17.25" hidden="1" customHeight="1">
      <c r="A349" s="290">
        <v>5</v>
      </c>
      <c r="B349" s="298" t="s">
        <v>48</v>
      </c>
      <c r="C349" s="305" t="s">
        <v>817</v>
      </c>
      <c r="D349" s="305" t="s">
        <v>818</v>
      </c>
      <c r="E349" s="306">
        <v>1</v>
      </c>
      <c r="F349" s="307" t="s">
        <v>819</v>
      </c>
      <c r="G349" s="301" t="s">
        <v>820</v>
      </c>
      <c r="H349" s="305">
        <v>5105654841</v>
      </c>
      <c r="I349" s="301" t="s">
        <v>821</v>
      </c>
      <c r="J349" s="307" t="s">
        <v>363</v>
      </c>
      <c r="K349" s="301"/>
      <c r="L349" s="301"/>
      <c r="M349" s="305"/>
      <c r="N349" s="298" t="s">
        <v>34</v>
      </c>
      <c r="O349" s="308">
        <v>45474</v>
      </c>
      <c r="P349" s="6"/>
      <c r="Q349" s="6"/>
      <c r="R349" s="6"/>
      <c r="S349" s="6"/>
      <c r="T349" s="163"/>
      <c r="U349" s="163"/>
      <c r="V349" s="163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ht="17.25" hidden="1" customHeight="1">
      <c r="A350" s="290">
        <v>6</v>
      </c>
      <c r="B350" s="298" t="s">
        <v>89</v>
      </c>
      <c r="C350" s="305" t="s">
        <v>817</v>
      </c>
      <c r="D350" s="305" t="s">
        <v>818</v>
      </c>
      <c r="E350" s="306">
        <v>1</v>
      </c>
      <c r="F350" s="307" t="s">
        <v>819</v>
      </c>
      <c r="G350" s="301" t="s">
        <v>820</v>
      </c>
      <c r="H350" s="305">
        <v>5105654841</v>
      </c>
      <c r="I350" s="301" t="s">
        <v>821</v>
      </c>
      <c r="J350" s="307" t="s">
        <v>363</v>
      </c>
      <c r="K350" s="301"/>
      <c r="L350" s="301"/>
      <c r="M350" s="305"/>
      <c r="N350" s="298" t="s">
        <v>34</v>
      </c>
      <c r="O350" s="308">
        <v>45474</v>
      </c>
      <c r="P350" s="6"/>
      <c r="Q350" s="6"/>
      <c r="R350" s="6"/>
      <c r="S350" s="6"/>
      <c r="T350" s="345"/>
      <c r="U350" s="345"/>
      <c r="V350" s="345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ht="17.25" hidden="1" customHeight="1">
      <c r="A351" s="346">
        <v>7</v>
      </c>
      <c r="B351" s="347" t="s">
        <v>48</v>
      </c>
      <c r="C351" s="348" t="s">
        <v>307</v>
      </c>
      <c r="D351" s="348" t="s">
        <v>822</v>
      </c>
      <c r="E351" s="346">
        <v>2</v>
      </c>
      <c r="F351" s="349">
        <v>42933</v>
      </c>
      <c r="G351" s="350" t="s">
        <v>823</v>
      </c>
      <c r="H351" s="350">
        <v>4083986905</v>
      </c>
      <c r="I351" s="350" t="s">
        <v>824</v>
      </c>
      <c r="J351" s="349">
        <v>45323</v>
      </c>
      <c r="K351" s="351"/>
      <c r="L351" s="351"/>
      <c r="M351" s="348" t="s">
        <v>825</v>
      </c>
      <c r="N351" s="347" t="s">
        <v>34</v>
      </c>
      <c r="O351" s="352">
        <v>45474</v>
      </c>
      <c r="P351" s="342"/>
      <c r="Q351" s="342"/>
      <c r="R351" s="342"/>
      <c r="S351" s="342"/>
      <c r="T351" s="345"/>
      <c r="U351" s="345"/>
      <c r="V351" s="345"/>
      <c r="W351" s="342"/>
      <c r="X351" s="342"/>
      <c r="Y351" s="342"/>
      <c r="Z351" s="342"/>
      <c r="AA351" s="342"/>
      <c r="AB351" s="342"/>
      <c r="AC351" s="342"/>
      <c r="AD351" s="342"/>
      <c r="AE351" s="342"/>
      <c r="AF351" s="342"/>
      <c r="AG351" s="342"/>
      <c r="AH351" s="342"/>
      <c r="AI351" s="342"/>
      <c r="AJ351" s="342"/>
      <c r="AK351" s="342"/>
      <c r="AL351" s="342"/>
      <c r="AM351" s="342"/>
      <c r="AN351" s="342"/>
      <c r="AO351" s="342"/>
      <c r="AP351" s="342"/>
      <c r="AQ351" s="342"/>
      <c r="AR351" s="342"/>
      <c r="AS351" s="342"/>
      <c r="AT351" s="342"/>
    </row>
    <row r="352" spans="1:46" ht="17.25" hidden="1" customHeight="1">
      <c r="A352" s="346">
        <v>8</v>
      </c>
      <c r="B352" s="347" t="s">
        <v>89</v>
      </c>
      <c r="C352" s="348" t="s">
        <v>307</v>
      </c>
      <c r="D352" s="348" t="s">
        <v>822</v>
      </c>
      <c r="E352" s="346">
        <v>2</v>
      </c>
      <c r="F352" s="349">
        <v>42933</v>
      </c>
      <c r="G352" s="350" t="s">
        <v>823</v>
      </c>
      <c r="H352" s="350">
        <v>4083986905</v>
      </c>
      <c r="I352" s="350" t="s">
        <v>824</v>
      </c>
      <c r="J352" s="349">
        <v>45323</v>
      </c>
      <c r="K352" s="351"/>
      <c r="L352" s="351"/>
      <c r="M352" s="348" t="s">
        <v>825</v>
      </c>
      <c r="N352" s="347" t="s">
        <v>34</v>
      </c>
      <c r="O352" s="352">
        <v>45474</v>
      </c>
      <c r="P352" s="342"/>
      <c r="Q352" s="342"/>
      <c r="R352" s="342"/>
      <c r="S352" s="342"/>
      <c r="T352" s="345"/>
      <c r="U352" s="345"/>
      <c r="V352" s="345"/>
      <c r="W352" s="342"/>
      <c r="X352" s="342"/>
      <c r="Y352" s="342"/>
      <c r="Z352" s="342"/>
      <c r="AA352" s="342"/>
      <c r="AB352" s="342"/>
      <c r="AC352" s="342"/>
      <c r="AD352" s="342"/>
      <c r="AE352" s="342"/>
      <c r="AF352" s="342"/>
      <c r="AG352" s="342"/>
      <c r="AH352" s="342"/>
      <c r="AI352" s="342"/>
      <c r="AJ352" s="342"/>
      <c r="AK352" s="342"/>
      <c r="AL352" s="342"/>
      <c r="AM352" s="342"/>
      <c r="AN352" s="342"/>
      <c r="AO352" s="342"/>
      <c r="AP352" s="342"/>
      <c r="AQ352" s="342"/>
      <c r="AR352" s="342"/>
      <c r="AS352" s="342"/>
      <c r="AT352" s="342"/>
    </row>
    <row r="353" spans="1:46" ht="17.25" hidden="1" customHeight="1">
      <c r="A353" s="346">
        <v>9</v>
      </c>
      <c r="B353" s="347" t="s">
        <v>48</v>
      </c>
      <c r="C353" s="348" t="s">
        <v>414</v>
      </c>
      <c r="D353" s="348" t="s">
        <v>415</v>
      </c>
      <c r="E353" s="346" t="s">
        <v>133</v>
      </c>
      <c r="F353" s="349">
        <v>42867</v>
      </c>
      <c r="G353" s="350" t="s">
        <v>416</v>
      </c>
      <c r="H353" s="350">
        <v>4086432868</v>
      </c>
      <c r="I353" s="350" t="s">
        <v>417</v>
      </c>
      <c r="J353" s="349">
        <v>45154</v>
      </c>
      <c r="K353" s="351"/>
      <c r="L353" s="351"/>
      <c r="M353" s="348" t="s">
        <v>826</v>
      </c>
      <c r="N353" s="347" t="s">
        <v>34</v>
      </c>
      <c r="O353" s="352">
        <v>45474</v>
      </c>
      <c r="P353" s="342"/>
      <c r="Q353" s="342"/>
      <c r="R353" s="342"/>
      <c r="S353" s="342"/>
      <c r="T353" s="345"/>
      <c r="U353" s="345"/>
      <c r="V353" s="345"/>
      <c r="W353" s="342"/>
      <c r="X353" s="342"/>
      <c r="Y353" s="342"/>
      <c r="Z353" s="342"/>
      <c r="AA353" s="342"/>
      <c r="AB353" s="342"/>
      <c r="AC353" s="342"/>
      <c r="AD353" s="342"/>
      <c r="AE353" s="342"/>
      <c r="AF353" s="342"/>
      <c r="AG353" s="342"/>
      <c r="AH353" s="342"/>
      <c r="AI353" s="342"/>
      <c r="AJ353" s="342"/>
      <c r="AK353" s="342"/>
      <c r="AL353" s="342"/>
      <c r="AM353" s="342"/>
      <c r="AN353" s="342"/>
      <c r="AO353" s="342"/>
      <c r="AP353" s="342"/>
      <c r="AQ353" s="342"/>
      <c r="AR353" s="342"/>
      <c r="AS353" s="342"/>
      <c r="AT353" s="342"/>
    </row>
    <row r="354" spans="1:46" ht="17.25" hidden="1" customHeight="1">
      <c r="A354" s="346">
        <v>10</v>
      </c>
      <c r="B354" s="347" t="s">
        <v>89</v>
      </c>
      <c r="C354" s="348" t="s">
        <v>414</v>
      </c>
      <c r="D354" s="348" t="s">
        <v>415</v>
      </c>
      <c r="E354" s="346" t="s">
        <v>133</v>
      </c>
      <c r="F354" s="349">
        <v>42867</v>
      </c>
      <c r="G354" s="350" t="s">
        <v>416</v>
      </c>
      <c r="H354" s="350">
        <v>4086432868</v>
      </c>
      <c r="I354" s="350" t="s">
        <v>417</v>
      </c>
      <c r="J354" s="349">
        <v>45154</v>
      </c>
      <c r="K354" s="351"/>
      <c r="L354" s="351"/>
      <c r="M354" s="348" t="s">
        <v>825</v>
      </c>
      <c r="N354" s="347" t="s">
        <v>34</v>
      </c>
      <c r="O354" s="352">
        <v>45474</v>
      </c>
      <c r="P354" s="342"/>
      <c r="Q354" s="342"/>
      <c r="R354" s="342"/>
      <c r="S354" s="342"/>
      <c r="T354" s="353"/>
      <c r="U354" s="353"/>
      <c r="V354" s="353"/>
      <c r="W354" s="342"/>
      <c r="X354" s="342"/>
      <c r="Y354" s="342"/>
      <c r="Z354" s="342"/>
      <c r="AA354" s="342"/>
      <c r="AB354" s="342"/>
      <c r="AC354" s="342"/>
      <c r="AD354" s="342"/>
      <c r="AE354" s="342"/>
      <c r="AF354" s="342"/>
      <c r="AG354" s="342"/>
      <c r="AH354" s="342"/>
      <c r="AI354" s="342"/>
      <c r="AJ354" s="342"/>
      <c r="AK354" s="342"/>
      <c r="AL354" s="342"/>
      <c r="AM354" s="342"/>
      <c r="AN354" s="342"/>
      <c r="AO354" s="342"/>
      <c r="AP354" s="342"/>
      <c r="AQ354" s="342"/>
      <c r="AR354" s="342"/>
      <c r="AS354" s="342"/>
      <c r="AT354" s="342"/>
    </row>
    <row r="355" spans="1:46" ht="17.25" hidden="1" customHeight="1">
      <c r="A355" s="290">
        <v>11</v>
      </c>
      <c r="B355" s="298" t="s">
        <v>48</v>
      </c>
      <c r="C355" s="304" t="s">
        <v>585</v>
      </c>
      <c r="D355" s="304" t="s">
        <v>827</v>
      </c>
      <c r="E355" s="290">
        <v>5</v>
      </c>
      <c r="F355" s="300">
        <v>41298</v>
      </c>
      <c r="G355" s="302" t="s">
        <v>828</v>
      </c>
      <c r="H355" s="299">
        <v>7138395988</v>
      </c>
      <c r="I355" s="302" t="s">
        <v>829</v>
      </c>
      <c r="J355" s="300">
        <v>45124</v>
      </c>
      <c r="K355" s="302"/>
      <c r="L355" s="302"/>
      <c r="M355" s="299" t="s">
        <v>830</v>
      </c>
      <c r="N355" s="298" t="s">
        <v>34</v>
      </c>
      <c r="O355" s="308">
        <v>45474</v>
      </c>
      <c r="P355" s="354"/>
      <c r="Q355" s="301"/>
      <c r="R355" s="301"/>
      <c r="S355" s="301"/>
      <c r="T355" s="353"/>
      <c r="U355" s="353"/>
      <c r="V355" s="353"/>
      <c r="W355" s="301"/>
      <c r="X355" s="301"/>
      <c r="Y355" s="301"/>
      <c r="Z355" s="301"/>
      <c r="AA355" s="301"/>
      <c r="AB355" s="301"/>
      <c r="AC355" s="301"/>
      <c r="AD355" s="301"/>
      <c r="AE355" s="301"/>
      <c r="AF355" s="301"/>
      <c r="AG355" s="301"/>
      <c r="AH355" s="301"/>
      <c r="AI355" s="301"/>
      <c r="AJ355" s="301"/>
      <c r="AK355" s="301"/>
      <c r="AL355" s="301"/>
      <c r="AM355" s="301"/>
      <c r="AN355" s="301"/>
      <c r="AO355" s="301"/>
      <c r="AP355" s="301"/>
      <c r="AQ355" s="301"/>
      <c r="AR355" s="301"/>
      <c r="AS355" s="301"/>
      <c r="AT355" s="301"/>
    </row>
    <row r="356" spans="1:46" ht="17.25" hidden="1" customHeight="1">
      <c r="A356" s="290">
        <v>12</v>
      </c>
      <c r="B356" s="298" t="s">
        <v>89</v>
      </c>
      <c r="C356" s="304" t="s">
        <v>585</v>
      </c>
      <c r="D356" s="304" t="s">
        <v>827</v>
      </c>
      <c r="E356" s="290">
        <v>5</v>
      </c>
      <c r="F356" s="300">
        <v>41298</v>
      </c>
      <c r="G356" s="302" t="s">
        <v>828</v>
      </c>
      <c r="H356" s="299">
        <v>7138395988</v>
      </c>
      <c r="I356" s="302" t="s">
        <v>829</v>
      </c>
      <c r="J356" s="300">
        <v>45124</v>
      </c>
      <c r="K356" s="302"/>
      <c r="L356" s="302"/>
      <c r="M356" s="299" t="s">
        <v>830</v>
      </c>
      <c r="N356" s="298" t="s">
        <v>34</v>
      </c>
      <c r="O356" s="308">
        <v>45474</v>
      </c>
      <c r="P356" s="354"/>
      <c r="Q356" s="301"/>
      <c r="R356" s="301"/>
      <c r="S356" s="301"/>
      <c r="T356" s="353"/>
      <c r="U356" s="353"/>
      <c r="V356" s="353"/>
      <c r="W356" s="301"/>
      <c r="X356" s="301"/>
      <c r="Y356" s="301"/>
      <c r="Z356" s="301"/>
      <c r="AA356" s="301"/>
      <c r="AB356" s="301"/>
      <c r="AC356" s="301"/>
      <c r="AD356" s="301"/>
      <c r="AE356" s="301"/>
      <c r="AF356" s="301"/>
      <c r="AG356" s="301"/>
      <c r="AH356" s="301"/>
      <c r="AI356" s="301"/>
      <c r="AJ356" s="301"/>
      <c r="AK356" s="301"/>
      <c r="AL356" s="301"/>
      <c r="AM356" s="301"/>
      <c r="AN356" s="301"/>
      <c r="AO356" s="301"/>
      <c r="AP356" s="301"/>
      <c r="AQ356" s="301"/>
      <c r="AR356" s="301"/>
      <c r="AS356" s="301"/>
      <c r="AT356" s="301"/>
    </row>
    <row r="357" spans="1:46" ht="17.25" hidden="1" customHeight="1">
      <c r="A357" s="355">
        <v>1</v>
      </c>
      <c r="B357" s="356" t="s">
        <v>48</v>
      </c>
      <c r="C357" s="357" t="s">
        <v>175</v>
      </c>
      <c r="D357" s="357" t="s">
        <v>831</v>
      </c>
      <c r="E357" s="358">
        <v>5</v>
      </c>
      <c r="F357" s="359" t="s">
        <v>832</v>
      </c>
      <c r="G357" s="360" t="s">
        <v>833</v>
      </c>
      <c r="H357" s="357">
        <v>6506053215</v>
      </c>
      <c r="I357" s="360" t="s">
        <v>834</v>
      </c>
      <c r="J357" s="359" t="s">
        <v>835</v>
      </c>
      <c r="K357" s="360"/>
      <c r="L357" s="360"/>
      <c r="M357" s="357"/>
      <c r="N357" s="356" t="s">
        <v>34</v>
      </c>
      <c r="O357" s="361">
        <v>45505</v>
      </c>
      <c r="P357" s="6"/>
      <c r="Q357" s="6"/>
      <c r="R357" s="6"/>
      <c r="S357" s="6"/>
      <c r="T357" s="353"/>
      <c r="U357" s="353"/>
      <c r="V357" s="353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spans="1:46" ht="17.25" hidden="1" customHeight="1">
      <c r="A358" s="355">
        <v>2</v>
      </c>
      <c r="B358" s="356" t="s">
        <v>89</v>
      </c>
      <c r="C358" s="357" t="s">
        <v>175</v>
      </c>
      <c r="D358" s="357" t="s">
        <v>831</v>
      </c>
      <c r="E358" s="358">
        <v>5</v>
      </c>
      <c r="F358" s="359" t="s">
        <v>832</v>
      </c>
      <c r="G358" s="360" t="s">
        <v>833</v>
      </c>
      <c r="H358" s="357">
        <v>6506053215</v>
      </c>
      <c r="I358" s="360" t="s">
        <v>834</v>
      </c>
      <c r="J358" s="359" t="s">
        <v>835</v>
      </c>
      <c r="K358" s="360"/>
      <c r="L358" s="360"/>
      <c r="M358" s="357" t="s">
        <v>542</v>
      </c>
      <c r="N358" s="356" t="s">
        <v>34</v>
      </c>
      <c r="O358" s="361">
        <v>45505</v>
      </c>
      <c r="P358" s="6"/>
      <c r="Q358" s="6"/>
      <c r="R358" s="6"/>
      <c r="S358" s="6"/>
      <c r="T358" s="353"/>
      <c r="U358" s="353"/>
      <c r="V358" s="353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spans="1:46" ht="17.25" hidden="1" customHeight="1">
      <c r="A359" s="355">
        <v>3</v>
      </c>
      <c r="B359" s="356" t="s">
        <v>48</v>
      </c>
      <c r="C359" s="357" t="s">
        <v>836</v>
      </c>
      <c r="D359" s="357" t="s">
        <v>837</v>
      </c>
      <c r="E359" s="358">
        <v>6</v>
      </c>
      <c r="F359" s="359" t="s">
        <v>838</v>
      </c>
      <c r="G359" s="360" t="s">
        <v>839</v>
      </c>
      <c r="H359" s="357" t="s">
        <v>840</v>
      </c>
      <c r="I359" s="360" t="s">
        <v>841</v>
      </c>
      <c r="J359" s="359" t="s">
        <v>842</v>
      </c>
      <c r="K359" s="360"/>
      <c r="L359" s="360"/>
      <c r="M359" s="357" t="s">
        <v>843</v>
      </c>
      <c r="N359" s="356" t="s">
        <v>34</v>
      </c>
      <c r="O359" s="361">
        <v>45505</v>
      </c>
      <c r="P359" s="6"/>
      <c r="Q359" s="6"/>
      <c r="R359" s="6"/>
      <c r="S359" s="6"/>
      <c r="T359" s="353"/>
      <c r="U359" s="353"/>
      <c r="V359" s="353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spans="1:46" ht="17.25" hidden="1" customHeight="1">
      <c r="A360" s="355">
        <v>4</v>
      </c>
      <c r="B360" s="356" t="s">
        <v>89</v>
      </c>
      <c r="C360" s="357" t="s">
        <v>836</v>
      </c>
      <c r="D360" s="357" t="s">
        <v>837</v>
      </c>
      <c r="E360" s="358">
        <v>6</v>
      </c>
      <c r="F360" s="359" t="s">
        <v>838</v>
      </c>
      <c r="G360" s="360" t="s">
        <v>839</v>
      </c>
      <c r="H360" s="357" t="s">
        <v>840</v>
      </c>
      <c r="I360" s="360" t="s">
        <v>841</v>
      </c>
      <c r="J360" s="359" t="s">
        <v>842</v>
      </c>
      <c r="K360" s="360"/>
      <c r="L360" s="360"/>
      <c r="M360" s="357" t="s">
        <v>843</v>
      </c>
      <c r="N360" s="356" t="s">
        <v>34</v>
      </c>
      <c r="O360" s="361">
        <v>45505</v>
      </c>
      <c r="P360" s="6"/>
      <c r="Q360" s="6"/>
      <c r="R360" s="6"/>
      <c r="S360" s="6"/>
      <c r="T360" s="353"/>
      <c r="U360" s="353"/>
      <c r="V360" s="353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spans="1:46" ht="17.25" hidden="1" customHeight="1">
      <c r="A361" s="355">
        <v>5</v>
      </c>
      <c r="B361" s="356" t="s">
        <v>48</v>
      </c>
      <c r="C361" s="357" t="s">
        <v>836</v>
      </c>
      <c r="D361" s="357" t="s">
        <v>499</v>
      </c>
      <c r="E361" s="358">
        <v>9</v>
      </c>
      <c r="F361" s="359" t="s">
        <v>844</v>
      </c>
      <c r="G361" s="360" t="s">
        <v>839</v>
      </c>
      <c r="H361" s="357" t="s">
        <v>840</v>
      </c>
      <c r="I361" s="360" t="s">
        <v>841</v>
      </c>
      <c r="J361" s="359" t="s">
        <v>842</v>
      </c>
      <c r="K361" s="360"/>
      <c r="L361" s="360"/>
      <c r="M361" s="357" t="s">
        <v>843</v>
      </c>
      <c r="N361" s="356" t="s">
        <v>34</v>
      </c>
      <c r="O361" s="361">
        <v>45505</v>
      </c>
      <c r="P361" s="6"/>
      <c r="Q361" s="6"/>
      <c r="R361" s="6"/>
      <c r="S361" s="6"/>
      <c r="T361" s="353"/>
      <c r="U361" s="353"/>
      <c r="V361" s="353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spans="1:46" ht="17.25" hidden="1" customHeight="1">
      <c r="A362" s="355">
        <v>6</v>
      </c>
      <c r="B362" s="356" t="s">
        <v>89</v>
      </c>
      <c r="C362" s="357" t="s">
        <v>836</v>
      </c>
      <c r="D362" s="357" t="s">
        <v>499</v>
      </c>
      <c r="E362" s="358">
        <v>9</v>
      </c>
      <c r="F362" s="359" t="s">
        <v>844</v>
      </c>
      <c r="G362" s="360" t="s">
        <v>839</v>
      </c>
      <c r="H362" s="357" t="s">
        <v>840</v>
      </c>
      <c r="I362" s="360" t="s">
        <v>841</v>
      </c>
      <c r="J362" s="359" t="s">
        <v>842</v>
      </c>
      <c r="K362" s="360"/>
      <c r="L362" s="360"/>
      <c r="M362" s="357" t="s">
        <v>843</v>
      </c>
      <c r="N362" s="356" t="s">
        <v>34</v>
      </c>
      <c r="O362" s="361">
        <v>45505</v>
      </c>
      <c r="P362" s="6"/>
      <c r="Q362" s="6"/>
      <c r="R362" s="6"/>
      <c r="S362" s="6"/>
      <c r="T362" s="362"/>
      <c r="U362" s="362"/>
      <c r="V362" s="362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spans="1:46" ht="17.25" hidden="1" customHeight="1">
      <c r="A363" s="355">
        <v>7</v>
      </c>
      <c r="B363" s="356" t="s">
        <v>48</v>
      </c>
      <c r="C363" s="357" t="s">
        <v>845</v>
      </c>
      <c r="D363" s="357" t="s">
        <v>846</v>
      </c>
      <c r="E363" s="358">
        <v>1</v>
      </c>
      <c r="F363" s="359" t="s">
        <v>847</v>
      </c>
      <c r="G363" s="360" t="s">
        <v>848</v>
      </c>
      <c r="H363" s="357" t="s">
        <v>849</v>
      </c>
      <c r="I363" s="360" t="s">
        <v>850</v>
      </c>
      <c r="J363" s="359" t="s">
        <v>851</v>
      </c>
      <c r="K363" s="360"/>
      <c r="L363" s="360"/>
      <c r="M363" s="357" t="s">
        <v>575</v>
      </c>
      <c r="N363" s="356" t="s">
        <v>34</v>
      </c>
      <c r="O363" s="361">
        <v>45505</v>
      </c>
      <c r="P363" s="6"/>
      <c r="Q363" s="6"/>
      <c r="R363" s="6"/>
      <c r="S363" s="6"/>
      <c r="T363" s="362"/>
      <c r="U363" s="362"/>
      <c r="V363" s="362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spans="1:46" ht="17.25" hidden="1" customHeight="1">
      <c r="A364" s="355">
        <v>8</v>
      </c>
      <c r="B364" s="356" t="s">
        <v>89</v>
      </c>
      <c r="C364" s="357" t="s">
        <v>845</v>
      </c>
      <c r="D364" s="357" t="s">
        <v>846</v>
      </c>
      <c r="E364" s="358">
        <v>1</v>
      </c>
      <c r="F364" s="359" t="s">
        <v>847</v>
      </c>
      <c r="G364" s="360" t="s">
        <v>848</v>
      </c>
      <c r="H364" s="357" t="s">
        <v>849</v>
      </c>
      <c r="I364" s="360" t="s">
        <v>850</v>
      </c>
      <c r="J364" s="359" t="s">
        <v>851</v>
      </c>
      <c r="K364" s="360"/>
      <c r="L364" s="360"/>
      <c r="M364" s="357" t="s">
        <v>575</v>
      </c>
      <c r="N364" s="356" t="s">
        <v>34</v>
      </c>
      <c r="O364" s="361">
        <v>45505</v>
      </c>
      <c r="P364" s="6"/>
      <c r="Q364" s="6"/>
      <c r="R364" s="6"/>
      <c r="S364" s="6"/>
      <c r="T364" s="362"/>
      <c r="U364" s="362"/>
      <c r="V364" s="362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spans="1:46" ht="17.25" hidden="1" customHeight="1">
      <c r="A365" s="355">
        <v>9</v>
      </c>
      <c r="B365" s="356" t="s">
        <v>48</v>
      </c>
      <c r="C365" s="357" t="s">
        <v>298</v>
      </c>
      <c r="D365" s="357" t="s">
        <v>568</v>
      </c>
      <c r="E365" s="358">
        <v>1</v>
      </c>
      <c r="F365" s="359">
        <v>42086</v>
      </c>
      <c r="G365" s="360" t="s">
        <v>569</v>
      </c>
      <c r="H365" s="357">
        <v>5109848496</v>
      </c>
      <c r="I365" s="360" t="s">
        <v>570</v>
      </c>
      <c r="J365" s="359">
        <v>45174</v>
      </c>
      <c r="K365" s="360"/>
      <c r="L365" s="360"/>
      <c r="M365" s="357" t="s">
        <v>852</v>
      </c>
      <c r="N365" s="356" t="s">
        <v>34</v>
      </c>
      <c r="O365" s="361">
        <v>45505</v>
      </c>
      <c r="P365" s="6"/>
      <c r="Q365" s="6"/>
      <c r="R365" s="6"/>
      <c r="S365" s="6"/>
      <c r="T365" s="362"/>
      <c r="U365" s="362"/>
      <c r="V365" s="362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spans="1:46" ht="17.25" hidden="1" customHeight="1">
      <c r="A366" s="355">
        <v>10</v>
      </c>
      <c r="B366" s="356" t="s">
        <v>89</v>
      </c>
      <c r="C366" s="357" t="s">
        <v>298</v>
      </c>
      <c r="D366" s="357" t="s">
        <v>568</v>
      </c>
      <c r="E366" s="358">
        <v>1</v>
      </c>
      <c r="F366" s="359">
        <v>42086</v>
      </c>
      <c r="G366" s="360" t="s">
        <v>569</v>
      </c>
      <c r="H366" s="357">
        <v>5109848496</v>
      </c>
      <c r="I366" s="360" t="s">
        <v>570</v>
      </c>
      <c r="J366" s="359">
        <v>45174</v>
      </c>
      <c r="K366" s="360"/>
      <c r="L366" s="360"/>
      <c r="M366" s="357" t="s">
        <v>852</v>
      </c>
      <c r="N366" s="356" t="s">
        <v>34</v>
      </c>
      <c r="O366" s="361">
        <v>45505</v>
      </c>
      <c r="P366" s="6"/>
      <c r="Q366" s="6"/>
      <c r="R366" s="6"/>
      <c r="S366" s="6"/>
      <c r="T366" s="363"/>
      <c r="U366" s="363"/>
      <c r="V366" s="363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spans="1:46" ht="17.25" hidden="1" customHeight="1">
      <c r="A367" s="355">
        <v>11</v>
      </c>
      <c r="B367" s="356" t="s">
        <v>48</v>
      </c>
      <c r="C367" s="357" t="s">
        <v>853</v>
      </c>
      <c r="D367" s="357" t="s">
        <v>854</v>
      </c>
      <c r="E367" s="358">
        <v>5</v>
      </c>
      <c r="F367" s="359" t="s">
        <v>855</v>
      </c>
      <c r="G367" s="360" t="s">
        <v>856</v>
      </c>
      <c r="H367" s="357">
        <v>5105098478</v>
      </c>
      <c r="I367" s="360" t="s">
        <v>857</v>
      </c>
      <c r="J367" s="359" t="s">
        <v>858</v>
      </c>
      <c r="K367" s="360"/>
      <c r="L367" s="360"/>
      <c r="M367" s="357"/>
      <c r="N367" s="356" t="s">
        <v>34</v>
      </c>
      <c r="O367" s="361">
        <v>45505</v>
      </c>
      <c r="P367" s="6"/>
      <c r="Q367" s="6"/>
      <c r="R367" s="6"/>
      <c r="S367" s="6"/>
      <c r="T367" s="364"/>
      <c r="U367" s="364"/>
      <c r="V367" s="364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spans="1:46" ht="17.25" hidden="1" customHeight="1">
      <c r="A368" s="355">
        <v>12</v>
      </c>
      <c r="B368" s="356" t="s">
        <v>89</v>
      </c>
      <c r="C368" s="357" t="s">
        <v>853</v>
      </c>
      <c r="D368" s="357" t="s">
        <v>854</v>
      </c>
      <c r="E368" s="358">
        <v>5</v>
      </c>
      <c r="F368" s="359" t="s">
        <v>855</v>
      </c>
      <c r="G368" s="360" t="s">
        <v>856</v>
      </c>
      <c r="H368" s="357">
        <v>5105098478</v>
      </c>
      <c r="I368" s="360" t="s">
        <v>857</v>
      </c>
      <c r="J368" s="359" t="s">
        <v>858</v>
      </c>
      <c r="K368" s="360"/>
      <c r="L368" s="360"/>
      <c r="M368" s="357" t="s">
        <v>542</v>
      </c>
      <c r="N368" s="356" t="s">
        <v>34</v>
      </c>
      <c r="O368" s="361">
        <v>45505</v>
      </c>
      <c r="P368" s="6"/>
      <c r="Q368" s="6"/>
      <c r="R368" s="6"/>
      <c r="S368" s="6"/>
      <c r="T368" s="101"/>
      <c r="U368" s="101"/>
      <c r="V368" s="101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spans="1:46" ht="15" hidden="1" customHeight="1">
      <c r="A369" s="365">
        <v>1</v>
      </c>
      <c r="B369" s="366" t="s">
        <v>48</v>
      </c>
      <c r="C369" s="367" t="s">
        <v>859</v>
      </c>
      <c r="D369" s="367" t="s">
        <v>860</v>
      </c>
      <c r="E369" s="368" t="s">
        <v>861</v>
      </c>
      <c r="F369" s="369" t="s">
        <v>862</v>
      </c>
      <c r="G369" s="370" t="s">
        <v>270</v>
      </c>
      <c r="H369" s="371">
        <v>4158287529</v>
      </c>
      <c r="I369" s="370" t="s">
        <v>267</v>
      </c>
      <c r="J369" s="369" t="s">
        <v>863</v>
      </c>
      <c r="K369" s="370"/>
      <c r="L369" s="370"/>
      <c r="M369" s="367"/>
      <c r="N369" s="366" t="s">
        <v>34</v>
      </c>
      <c r="O369" s="372">
        <v>45536</v>
      </c>
      <c r="P369" s="343"/>
      <c r="Q369" s="343"/>
      <c r="R369" s="343"/>
      <c r="S369" s="343"/>
      <c r="T369" s="126"/>
      <c r="U369" s="126"/>
      <c r="V369" s="126"/>
      <c r="W369" s="343"/>
      <c r="X369" s="343"/>
      <c r="Y369" s="343"/>
      <c r="Z369" s="343"/>
      <c r="AA369" s="343"/>
      <c r="AB369" s="343"/>
      <c r="AC369" s="343"/>
      <c r="AD369" s="343"/>
      <c r="AE369" s="343"/>
      <c r="AF369" s="343"/>
      <c r="AG369" s="343"/>
      <c r="AH369" s="343"/>
      <c r="AI369" s="343"/>
      <c r="AJ369" s="343"/>
      <c r="AK369" s="343"/>
      <c r="AL369" s="343"/>
      <c r="AM369" s="343"/>
      <c r="AN369" s="343"/>
      <c r="AO369" s="343"/>
      <c r="AP369" s="343"/>
      <c r="AQ369" s="343"/>
      <c r="AR369" s="343"/>
      <c r="AS369" s="343"/>
      <c r="AT369" s="343"/>
    </row>
    <row r="370" spans="1:46" ht="15" hidden="1" customHeight="1">
      <c r="A370" s="365">
        <v>2</v>
      </c>
      <c r="B370" s="366" t="s">
        <v>89</v>
      </c>
      <c r="C370" s="367" t="s">
        <v>859</v>
      </c>
      <c r="D370" s="367" t="s">
        <v>860</v>
      </c>
      <c r="E370" s="368" t="s">
        <v>861</v>
      </c>
      <c r="F370" s="369" t="s">
        <v>862</v>
      </c>
      <c r="G370" s="370" t="s">
        <v>270</v>
      </c>
      <c r="H370" s="371">
        <v>4158287529</v>
      </c>
      <c r="I370" s="370" t="s">
        <v>267</v>
      </c>
      <c r="J370" s="369" t="s">
        <v>863</v>
      </c>
      <c r="K370" s="370"/>
      <c r="L370" s="370"/>
      <c r="M370" s="367" t="s">
        <v>542</v>
      </c>
      <c r="N370" s="366" t="s">
        <v>34</v>
      </c>
      <c r="O370" s="372">
        <v>45536</v>
      </c>
      <c r="P370" s="343"/>
      <c r="Q370" s="343"/>
      <c r="R370" s="343"/>
      <c r="S370" s="343"/>
      <c r="T370" s="126"/>
      <c r="U370" s="126"/>
      <c r="V370" s="126"/>
      <c r="W370" s="343"/>
      <c r="X370" s="343"/>
      <c r="Y370" s="343"/>
      <c r="Z370" s="343"/>
      <c r="AA370" s="343"/>
      <c r="AB370" s="343"/>
      <c r="AC370" s="343"/>
      <c r="AD370" s="343"/>
      <c r="AE370" s="343"/>
      <c r="AF370" s="343"/>
      <c r="AG370" s="343"/>
      <c r="AH370" s="343"/>
      <c r="AI370" s="343"/>
      <c r="AJ370" s="343"/>
      <c r="AK370" s="343"/>
      <c r="AL370" s="343"/>
      <c r="AM370" s="343"/>
      <c r="AN370" s="343"/>
      <c r="AO370" s="343"/>
      <c r="AP370" s="343"/>
      <c r="AQ370" s="343"/>
      <c r="AR370" s="343"/>
      <c r="AS370" s="343"/>
      <c r="AT370" s="343"/>
    </row>
    <row r="371" spans="1:46" ht="15" hidden="1" customHeight="1">
      <c r="A371" s="365">
        <v>3</v>
      </c>
      <c r="B371" s="366" t="s">
        <v>48</v>
      </c>
      <c r="C371" s="373" t="s">
        <v>864</v>
      </c>
      <c r="D371" s="373" t="s">
        <v>865</v>
      </c>
      <c r="E371" s="365">
        <v>5</v>
      </c>
      <c r="F371" s="374">
        <v>41572</v>
      </c>
      <c r="G371" s="375" t="s">
        <v>866</v>
      </c>
      <c r="H371" s="376">
        <v>6503838201</v>
      </c>
      <c r="I371" s="375" t="s">
        <v>867</v>
      </c>
      <c r="J371" s="374">
        <v>45232</v>
      </c>
      <c r="K371" s="375"/>
      <c r="L371" s="375"/>
      <c r="M371" s="373" t="s">
        <v>868</v>
      </c>
      <c r="N371" s="366" t="s">
        <v>34</v>
      </c>
      <c r="O371" s="372">
        <v>45536</v>
      </c>
      <c r="P371" s="343"/>
      <c r="Q371" s="343"/>
      <c r="R371" s="343"/>
      <c r="S371" s="343"/>
      <c r="T371" s="117"/>
      <c r="U371" s="117"/>
      <c r="V371" s="117"/>
      <c r="W371" s="343"/>
      <c r="X371" s="343"/>
      <c r="Y371" s="343"/>
      <c r="Z371" s="343"/>
      <c r="AA371" s="343"/>
      <c r="AB371" s="343"/>
      <c r="AC371" s="343"/>
      <c r="AD371" s="343"/>
      <c r="AE371" s="343"/>
      <c r="AF371" s="343"/>
      <c r="AG371" s="343"/>
      <c r="AH371" s="343"/>
      <c r="AI371" s="343"/>
      <c r="AJ371" s="343"/>
      <c r="AK371" s="343"/>
      <c r="AL371" s="343"/>
      <c r="AM371" s="343"/>
      <c r="AN371" s="343"/>
      <c r="AO371" s="343"/>
      <c r="AP371" s="343"/>
      <c r="AQ371" s="343"/>
      <c r="AR371" s="343"/>
      <c r="AS371" s="343"/>
      <c r="AT371" s="343"/>
    </row>
    <row r="372" spans="1:46" ht="15" hidden="1" customHeight="1">
      <c r="A372" s="365">
        <v>4</v>
      </c>
      <c r="B372" s="366" t="s">
        <v>48</v>
      </c>
      <c r="C372" s="367" t="s">
        <v>869</v>
      </c>
      <c r="D372" s="367" t="s">
        <v>870</v>
      </c>
      <c r="E372" s="368">
        <v>4</v>
      </c>
      <c r="F372" s="369" t="s">
        <v>871</v>
      </c>
      <c r="G372" s="370" t="s">
        <v>872</v>
      </c>
      <c r="H372" s="371">
        <v>6028204006</v>
      </c>
      <c r="I372" s="370" t="s">
        <v>873</v>
      </c>
      <c r="J372" s="369" t="s">
        <v>874</v>
      </c>
      <c r="K372" s="370"/>
      <c r="L372" s="370"/>
      <c r="M372" s="367"/>
      <c r="N372" s="366" t="s">
        <v>34</v>
      </c>
      <c r="O372" s="372">
        <v>45536</v>
      </c>
      <c r="P372" s="343"/>
      <c r="Q372" s="343"/>
      <c r="R372" s="343"/>
      <c r="S372" s="343"/>
      <c r="T372" s="126"/>
      <c r="U372" s="126"/>
      <c r="V372" s="126"/>
      <c r="W372" s="343"/>
      <c r="X372" s="343"/>
      <c r="Y372" s="343"/>
      <c r="Z372" s="343"/>
      <c r="AA372" s="343"/>
      <c r="AB372" s="343"/>
      <c r="AC372" s="343"/>
      <c r="AD372" s="343"/>
      <c r="AE372" s="343"/>
      <c r="AF372" s="343"/>
      <c r="AG372" s="343"/>
      <c r="AH372" s="343"/>
      <c r="AI372" s="343"/>
      <c r="AJ372" s="343"/>
      <c r="AK372" s="343"/>
      <c r="AL372" s="343"/>
      <c r="AM372" s="343"/>
      <c r="AN372" s="343"/>
      <c r="AO372" s="343"/>
      <c r="AP372" s="343"/>
      <c r="AQ372" s="343"/>
      <c r="AR372" s="343"/>
      <c r="AS372" s="343"/>
      <c r="AT372" s="343"/>
    </row>
    <row r="373" spans="1:46" ht="15" hidden="1" customHeight="1">
      <c r="A373" s="365">
        <v>5</v>
      </c>
      <c r="B373" s="366" t="s">
        <v>89</v>
      </c>
      <c r="C373" s="367" t="s">
        <v>869</v>
      </c>
      <c r="D373" s="367" t="s">
        <v>870</v>
      </c>
      <c r="E373" s="368">
        <v>4</v>
      </c>
      <c r="F373" s="369" t="s">
        <v>871</v>
      </c>
      <c r="G373" s="370" t="s">
        <v>872</v>
      </c>
      <c r="H373" s="371">
        <v>6028204006</v>
      </c>
      <c r="I373" s="370" t="s">
        <v>873</v>
      </c>
      <c r="J373" s="369" t="s">
        <v>874</v>
      </c>
      <c r="K373" s="370"/>
      <c r="L373" s="370"/>
      <c r="M373" s="367" t="s">
        <v>542</v>
      </c>
      <c r="N373" s="366" t="s">
        <v>34</v>
      </c>
      <c r="O373" s="372">
        <v>45536</v>
      </c>
      <c r="P373" s="344"/>
      <c r="Q373" s="344"/>
      <c r="R373" s="344"/>
      <c r="S373" s="344"/>
      <c r="T373" s="2"/>
      <c r="U373" s="2"/>
      <c r="V373" s="2"/>
      <c r="W373" s="344"/>
      <c r="X373" s="344"/>
      <c r="Y373" s="344"/>
      <c r="Z373" s="344"/>
      <c r="AA373" s="344"/>
      <c r="AB373" s="344"/>
      <c r="AC373" s="344"/>
      <c r="AD373" s="344"/>
      <c r="AE373" s="344"/>
      <c r="AF373" s="344"/>
      <c r="AG373" s="344"/>
      <c r="AH373" s="344"/>
      <c r="AI373" s="344"/>
      <c r="AJ373" s="344"/>
      <c r="AK373" s="344"/>
      <c r="AL373" s="344"/>
      <c r="AM373" s="344"/>
      <c r="AN373" s="344"/>
      <c r="AO373" s="344"/>
      <c r="AP373" s="344"/>
      <c r="AQ373" s="344"/>
      <c r="AR373" s="344"/>
      <c r="AS373" s="344"/>
      <c r="AT373" s="344"/>
    </row>
    <row r="374" spans="1:46" ht="15" hidden="1" customHeight="1">
      <c r="A374" s="365">
        <v>6</v>
      </c>
      <c r="B374" s="366" t="s">
        <v>48</v>
      </c>
      <c r="C374" s="367" t="s">
        <v>875</v>
      </c>
      <c r="D374" s="367" t="s">
        <v>876</v>
      </c>
      <c r="E374" s="368" t="s">
        <v>133</v>
      </c>
      <c r="F374" s="369" t="s">
        <v>877</v>
      </c>
      <c r="G374" s="370" t="s">
        <v>878</v>
      </c>
      <c r="H374" s="371">
        <v>4052306385</v>
      </c>
      <c r="I374" s="370" t="s">
        <v>879</v>
      </c>
      <c r="J374" s="369" t="s">
        <v>880</v>
      </c>
      <c r="K374" s="370"/>
      <c r="L374" s="370"/>
      <c r="M374" s="367"/>
      <c r="N374" s="366" t="s">
        <v>34</v>
      </c>
      <c r="O374" s="372">
        <v>45536</v>
      </c>
      <c r="P374" s="343"/>
      <c r="Q374" s="343"/>
      <c r="R374" s="343"/>
      <c r="S374" s="343"/>
      <c r="T374" s="155"/>
      <c r="U374" s="155"/>
      <c r="V374" s="155"/>
      <c r="W374" s="343"/>
      <c r="X374" s="343"/>
      <c r="Y374" s="343"/>
      <c r="Z374" s="343"/>
      <c r="AA374" s="343"/>
      <c r="AB374" s="343"/>
      <c r="AC374" s="343"/>
      <c r="AD374" s="343"/>
      <c r="AE374" s="343"/>
      <c r="AF374" s="343"/>
      <c r="AG374" s="343"/>
      <c r="AH374" s="343"/>
      <c r="AI374" s="343"/>
      <c r="AJ374" s="343"/>
      <c r="AK374" s="343"/>
      <c r="AL374" s="343"/>
      <c r="AM374" s="343"/>
      <c r="AN374" s="343"/>
      <c r="AO374" s="343"/>
      <c r="AP374" s="343"/>
      <c r="AQ374" s="343"/>
      <c r="AR374" s="343"/>
      <c r="AS374" s="343"/>
      <c r="AT374" s="343"/>
    </row>
    <row r="375" spans="1:46" ht="15" hidden="1" customHeight="1">
      <c r="A375" s="365">
        <v>7</v>
      </c>
      <c r="B375" s="366" t="s">
        <v>48</v>
      </c>
      <c r="C375" s="367" t="s">
        <v>881</v>
      </c>
      <c r="D375" s="367" t="s">
        <v>882</v>
      </c>
      <c r="E375" s="368" t="s">
        <v>133</v>
      </c>
      <c r="F375" s="369" t="s">
        <v>877</v>
      </c>
      <c r="G375" s="370" t="s">
        <v>878</v>
      </c>
      <c r="H375" s="371">
        <v>4052306385</v>
      </c>
      <c r="I375" s="370" t="s">
        <v>879</v>
      </c>
      <c r="J375" s="369" t="s">
        <v>880</v>
      </c>
      <c r="K375" s="370"/>
      <c r="L375" s="370"/>
      <c r="M375" s="367"/>
      <c r="N375" s="366" t="s">
        <v>34</v>
      </c>
      <c r="O375" s="372">
        <v>45536</v>
      </c>
      <c r="P375" s="344"/>
      <c r="Q375" s="344"/>
      <c r="R375" s="344"/>
      <c r="S375" s="344"/>
      <c r="T375" s="364"/>
      <c r="U375" s="364"/>
      <c r="V375" s="364"/>
      <c r="W375" s="344"/>
      <c r="X375" s="344"/>
      <c r="Y375" s="344"/>
      <c r="Z375" s="344"/>
      <c r="AA375" s="344"/>
      <c r="AB375" s="344"/>
      <c r="AC375" s="344"/>
      <c r="AD375" s="344"/>
      <c r="AE375" s="344"/>
      <c r="AF375" s="344"/>
      <c r="AG375" s="344"/>
      <c r="AH375" s="344"/>
      <c r="AI375" s="344"/>
      <c r="AJ375" s="344"/>
      <c r="AK375" s="344"/>
      <c r="AL375" s="344"/>
      <c r="AM375" s="344"/>
      <c r="AN375" s="344"/>
      <c r="AO375" s="344"/>
      <c r="AP375" s="344"/>
      <c r="AQ375" s="344"/>
      <c r="AR375" s="344"/>
      <c r="AS375" s="344"/>
      <c r="AT375" s="344"/>
    </row>
    <row r="376" spans="1:46" ht="15" hidden="1" customHeight="1">
      <c r="A376" s="365">
        <v>8</v>
      </c>
      <c r="B376" s="377" t="s">
        <v>48</v>
      </c>
      <c r="C376" s="378" t="s">
        <v>883</v>
      </c>
      <c r="D376" s="378" t="s">
        <v>884</v>
      </c>
      <c r="E376" s="379" t="s">
        <v>133</v>
      </c>
      <c r="F376" s="380" t="s">
        <v>885</v>
      </c>
      <c r="G376" s="381" t="s">
        <v>886</v>
      </c>
      <c r="H376" s="382">
        <v>6692158549</v>
      </c>
      <c r="I376" s="381" t="s">
        <v>887</v>
      </c>
      <c r="J376" s="380" t="s">
        <v>880</v>
      </c>
      <c r="K376" s="381"/>
      <c r="L376" s="381"/>
      <c r="M376" s="378"/>
      <c r="N376" s="377" t="s">
        <v>34</v>
      </c>
      <c r="O376" s="383">
        <v>45536</v>
      </c>
      <c r="P376" s="343"/>
      <c r="Q376" s="343"/>
      <c r="R376" s="343"/>
      <c r="S376" s="343"/>
      <c r="T376" s="101"/>
      <c r="U376" s="101"/>
      <c r="V376" s="101"/>
      <c r="W376" s="343"/>
      <c r="X376" s="343"/>
      <c r="Y376" s="343"/>
      <c r="Z376" s="343"/>
      <c r="AA376" s="343"/>
      <c r="AB376" s="343"/>
      <c r="AC376" s="343"/>
      <c r="AD376" s="343"/>
      <c r="AE376" s="343"/>
      <c r="AF376" s="343"/>
      <c r="AG376" s="343"/>
      <c r="AH376" s="343"/>
      <c r="AI376" s="343"/>
      <c r="AJ376" s="343"/>
      <c r="AK376" s="343"/>
      <c r="AL376" s="343"/>
      <c r="AM376" s="343"/>
      <c r="AN376" s="343"/>
      <c r="AO376" s="343"/>
      <c r="AP376" s="343"/>
      <c r="AQ376" s="343"/>
      <c r="AR376" s="343"/>
      <c r="AS376" s="343"/>
      <c r="AT376" s="343"/>
    </row>
    <row r="377" spans="1:46" ht="17.25" hidden="1" customHeight="1">
      <c r="A377" s="365">
        <v>9</v>
      </c>
      <c r="B377" s="384" t="s">
        <v>48</v>
      </c>
      <c r="C377" s="385" t="s">
        <v>317</v>
      </c>
      <c r="D377" s="385" t="s">
        <v>888</v>
      </c>
      <c r="E377" s="386">
        <v>4</v>
      </c>
      <c r="F377" s="387">
        <v>41496</v>
      </c>
      <c r="G377" s="388" t="s">
        <v>889</v>
      </c>
      <c r="H377" s="389">
        <v>4156099128</v>
      </c>
      <c r="I377" s="388" t="s">
        <v>890</v>
      </c>
      <c r="J377" s="387">
        <v>45082</v>
      </c>
      <c r="K377" s="388"/>
      <c r="L377" s="388"/>
      <c r="M377" s="385"/>
      <c r="N377" s="377" t="s">
        <v>34</v>
      </c>
      <c r="O377" s="383">
        <v>45536</v>
      </c>
      <c r="P377" s="192"/>
      <c r="Q377" s="192"/>
      <c r="R377" s="192"/>
      <c r="S377" s="192"/>
      <c r="T377" s="126"/>
      <c r="U377" s="126"/>
      <c r="V377" s="126"/>
      <c r="W377" s="192"/>
      <c r="X377" s="192"/>
      <c r="Y377" s="192"/>
      <c r="Z377" s="192"/>
      <c r="AA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  <c r="AL377" s="192"/>
      <c r="AM377" s="192"/>
      <c r="AN377" s="192"/>
      <c r="AO377" s="192"/>
      <c r="AP377" s="192"/>
      <c r="AQ377" s="192"/>
      <c r="AR377" s="192"/>
      <c r="AS377" s="192"/>
      <c r="AT377" s="192"/>
    </row>
    <row r="378" spans="1:46" ht="17.25" hidden="1" customHeight="1">
      <c r="A378" s="365">
        <v>10</v>
      </c>
      <c r="B378" s="384" t="s">
        <v>89</v>
      </c>
      <c r="C378" s="385" t="s">
        <v>317</v>
      </c>
      <c r="D378" s="385" t="s">
        <v>888</v>
      </c>
      <c r="E378" s="386">
        <v>4</v>
      </c>
      <c r="F378" s="387">
        <v>41496</v>
      </c>
      <c r="G378" s="388" t="s">
        <v>889</v>
      </c>
      <c r="H378" s="389">
        <v>4156099128</v>
      </c>
      <c r="I378" s="388" t="s">
        <v>890</v>
      </c>
      <c r="J378" s="387">
        <v>45082</v>
      </c>
      <c r="K378" s="388"/>
      <c r="L378" s="388"/>
      <c r="M378" s="385"/>
      <c r="N378" s="377" t="s">
        <v>34</v>
      </c>
      <c r="O378" s="383">
        <v>45536</v>
      </c>
      <c r="P378" s="251"/>
      <c r="Q378" s="251"/>
      <c r="R378" s="251"/>
      <c r="S378" s="251"/>
      <c r="T378" s="126"/>
      <c r="U378" s="126"/>
      <c r="V378" s="126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</row>
    <row r="379" spans="1:46" ht="17.25" hidden="1" customHeight="1">
      <c r="A379" s="365">
        <v>11</v>
      </c>
      <c r="B379" s="384" t="s">
        <v>48</v>
      </c>
      <c r="C379" s="385" t="s">
        <v>317</v>
      </c>
      <c r="D379" s="385" t="s">
        <v>891</v>
      </c>
      <c r="E379" s="386">
        <v>1</v>
      </c>
      <c r="F379" s="387">
        <v>42757</v>
      </c>
      <c r="G379" s="388" t="s">
        <v>889</v>
      </c>
      <c r="H379" s="389">
        <v>4156099128</v>
      </c>
      <c r="I379" s="388" t="s">
        <v>890</v>
      </c>
      <c r="J379" s="387">
        <v>45082</v>
      </c>
      <c r="K379" s="388"/>
      <c r="L379" s="388"/>
      <c r="M379" s="385"/>
      <c r="N379" s="377" t="s">
        <v>34</v>
      </c>
      <c r="O379" s="383">
        <v>45536</v>
      </c>
      <c r="P379" s="192"/>
      <c r="Q379" s="192"/>
      <c r="R379" s="192"/>
      <c r="S379" s="192"/>
      <c r="T379" s="117"/>
      <c r="U379" s="117"/>
      <c r="V379" s="117"/>
      <c r="W379" s="192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  <c r="AL379" s="192"/>
      <c r="AM379" s="192"/>
      <c r="AN379" s="192"/>
      <c r="AO379" s="192"/>
      <c r="AP379" s="192"/>
      <c r="AQ379" s="192"/>
      <c r="AR379" s="192"/>
      <c r="AS379" s="192"/>
      <c r="AT379" s="192"/>
    </row>
    <row r="380" spans="1:46" ht="17.25" hidden="1" customHeight="1">
      <c r="A380" s="365">
        <v>12</v>
      </c>
      <c r="B380" s="384" t="s">
        <v>89</v>
      </c>
      <c r="C380" s="385" t="s">
        <v>317</v>
      </c>
      <c r="D380" s="385" t="s">
        <v>891</v>
      </c>
      <c r="E380" s="386">
        <v>1</v>
      </c>
      <c r="F380" s="387">
        <v>42757</v>
      </c>
      <c r="G380" s="388" t="s">
        <v>889</v>
      </c>
      <c r="H380" s="389">
        <v>4156099128</v>
      </c>
      <c r="I380" s="388" t="s">
        <v>890</v>
      </c>
      <c r="J380" s="387">
        <v>45082</v>
      </c>
      <c r="K380" s="388"/>
      <c r="L380" s="388"/>
      <c r="M380" s="385"/>
      <c r="N380" s="377" t="s">
        <v>34</v>
      </c>
      <c r="O380" s="383">
        <v>45536</v>
      </c>
      <c r="P380" s="251"/>
      <c r="Q380" s="251"/>
      <c r="R380" s="251"/>
      <c r="S380" s="251"/>
      <c r="T380" s="126"/>
      <c r="U380" s="126"/>
      <c r="V380" s="126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</row>
    <row r="381" spans="1:46" ht="17.25" hidden="1" customHeight="1">
      <c r="A381" s="365">
        <v>13</v>
      </c>
      <c r="B381" s="390" t="s">
        <v>48</v>
      </c>
      <c r="C381" s="391" t="s">
        <v>892</v>
      </c>
      <c r="D381" s="391" t="s">
        <v>893</v>
      </c>
      <c r="E381" s="390">
        <v>4</v>
      </c>
      <c r="F381" s="391" t="s">
        <v>894</v>
      </c>
      <c r="G381" s="391" t="s">
        <v>895</v>
      </c>
      <c r="H381" s="391">
        <v>5103144836</v>
      </c>
      <c r="I381" s="392" t="s">
        <v>896</v>
      </c>
      <c r="J381" s="391" t="s">
        <v>897</v>
      </c>
      <c r="K381" s="391"/>
      <c r="L381" s="391"/>
      <c r="M381" s="391" t="s">
        <v>898</v>
      </c>
      <c r="N381" s="377" t="s">
        <v>34</v>
      </c>
      <c r="O381" s="383">
        <v>45536</v>
      </c>
      <c r="P381" s="101"/>
      <c r="Q381" s="101"/>
      <c r="R381" s="101"/>
      <c r="S381" s="101"/>
      <c r="T381" s="2"/>
      <c r="U381" s="2"/>
      <c r="V381" s="2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</row>
    <row r="382" spans="1:46" ht="17.25" hidden="1" customHeight="1">
      <c r="A382" s="365">
        <v>14</v>
      </c>
      <c r="B382" s="390" t="s">
        <v>89</v>
      </c>
      <c r="C382" s="391" t="s">
        <v>892</v>
      </c>
      <c r="D382" s="391" t="s">
        <v>893</v>
      </c>
      <c r="E382" s="390">
        <v>4</v>
      </c>
      <c r="F382" s="391" t="s">
        <v>894</v>
      </c>
      <c r="G382" s="391" t="s">
        <v>895</v>
      </c>
      <c r="H382" s="391">
        <v>5103144836</v>
      </c>
      <c r="I382" s="392" t="s">
        <v>896</v>
      </c>
      <c r="J382" s="391" t="s">
        <v>897</v>
      </c>
      <c r="K382" s="391"/>
      <c r="L382" s="391"/>
      <c r="M382" s="391"/>
      <c r="N382" s="377" t="s">
        <v>34</v>
      </c>
      <c r="O382" s="383">
        <v>45536</v>
      </c>
      <c r="P382" s="101"/>
      <c r="Q382" s="101"/>
      <c r="R382" s="101"/>
      <c r="S382" s="101"/>
      <c r="T382" s="155"/>
      <c r="U382" s="155"/>
      <c r="V382" s="155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</row>
    <row r="383" spans="1:46" ht="17.25" hidden="1" customHeight="1">
      <c r="A383" s="365">
        <v>15</v>
      </c>
      <c r="B383" s="384" t="s">
        <v>48</v>
      </c>
      <c r="C383" s="388" t="s">
        <v>899</v>
      </c>
      <c r="D383" s="388" t="s">
        <v>900</v>
      </c>
      <c r="E383" s="386">
        <v>4</v>
      </c>
      <c r="F383" s="388" t="s">
        <v>901</v>
      </c>
      <c r="G383" s="388" t="s">
        <v>902</v>
      </c>
      <c r="H383" s="389">
        <v>4436532199</v>
      </c>
      <c r="I383" s="388" t="s">
        <v>798</v>
      </c>
      <c r="J383" s="388" t="s">
        <v>903</v>
      </c>
      <c r="K383" s="393"/>
      <c r="L383" s="393"/>
      <c r="M383" s="394" t="s">
        <v>904</v>
      </c>
      <c r="N383" s="377" t="s">
        <v>34</v>
      </c>
      <c r="O383" s="383">
        <v>45536</v>
      </c>
      <c r="P383" s="163"/>
      <c r="Q383" s="163"/>
      <c r="R383" s="163"/>
      <c r="S383" s="163"/>
      <c r="T383" s="155"/>
      <c r="U383" s="155"/>
      <c r="V383" s="155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</row>
    <row r="384" spans="1:46" ht="17.25" hidden="1" customHeight="1">
      <c r="A384" s="365">
        <v>16</v>
      </c>
      <c r="B384" s="384" t="s">
        <v>89</v>
      </c>
      <c r="C384" s="388" t="s">
        <v>899</v>
      </c>
      <c r="D384" s="388" t="s">
        <v>900</v>
      </c>
      <c r="E384" s="386">
        <v>4</v>
      </c>
      <c r="F384" s="388" t="s">
        <v>901</v>
      </c>
      <c r="G384" s="388" t="s">
        <v>902</v>
      </c>
      <c r="H384" s="389">
        <v>4436532199</v>
      </c>
      <c r="I384" s="388" t="s">
        <v>798</v>
      </c>
      <c r="J384" s="388" t="s">
        <v>903</v>
      </c>
      <c r="K384" s="393"/>
      <c r="L384" s="393"/>
      <c r="M384" s="394" t="s">
        <v>904</v>
      </c>
      <c r="N384" s="377" t="s">
        <v>34</v>
      </c>
      <c r="O384" s="383">
        <v>45536</v>
      </c>
      <c r="P384" s="163"/>
      <c r="Q384" s="163"/>
      <c r="R384" s="163"/>
      <c r="S384" s="163"/>
      <c r="T384" s="117"/>
      <c r="U384" s="117"/>
      <c r="V384" s="117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</row>
    <row r="385" spans="1:48" ht="15" hidden="1" customHeight="1">
      <c r="A385" s="395">
        <v>1</v>
      </c>
      <c r="B385" s="396" t="s">
        <v>48</v>
      </c>
      <c r="C385" s="397" t="s">
        <v>892</v>
      </c>
      <c r="D385" s="397" t="s">
        <v>893</v>
      </c>
      <c r="E385" s="398">
        <v>4</v>
      </c>
      <c r="F385" s="399">
        <v>42071</v>
      </c>
      <c r="G385" s="397" t="s">
        <v>895</v>
      </c>
      <c r="H385" s="400">
        <v>5103144836</v>
      </c>
      <c r="I385" s="397" t="s">
        <v>896</v>
      </c>
      <c r="J385" s="399">
        <v>45530</v>
      </c>
      <c r="K385" s="397"/>
      <c r="L385" s="397"/>
      <c r="M385" s="401" t="s">
        <v>898</v>
      </c>
      <c r="N385" s="398" t="s">
        <v>34</v>
      </c>
      <c r="O385" s="383">
        <v>45566</v>
      </c>
      <c r="P385" s="345"/>
      <c r="Q385" s="345"/>
      <c r="R385" s="345"/>
      <c r="S385" s="345"/>
      <c r="T385" s="155"/>
      <c r="U385" s="155"/>
      <c r="V385" s="155"/>
      <c r="W385" s="345"/>
      <c r="X385" s="345"/>
      <c r="Y385" s="345"/>
      <c r="Z385" s="345"/>
      <c r="AA385" s="345"/>
      <c r="AB385" s="345"/>
      <c r="AC385" s="345"/>
      <c r="AD385" s="345"/>
      <c r="AE385" s="345"/>
      <c r="AF385" s="345"/>
      <c r="AG385" s="345"/>
      <c r="AH385" s="345"/>
      <c r="AI385" s="345"/>
      <c r="AJ385" s="345"/>
      <c r="AK385" s="345"/>
      <c r="AL385" s="345"/>
      <c r="AM385" s="345"/>
      <c r="AN385" s="345"/>
      <c r="AO385" s="345"/>
      <c r="AP385" s="345"/>
      <c r="AQ385" s="345"/>
      <c r="AR385" s="345"/>
      <c r="AS385" s="163"/>
      <c r="AT385" s="163"/>
    </row>
    <row r="386" spans="1:48" ht="15" hidden="1" customHeight="1">
      <c r="A386" s="395">
        <v>2</v>
      </c>
      <c r="B386" s="396" t="s">
        <v>89</v>
      </c>
      <c r="C386" s="397" t="s">
        <v>892</v>
      </c>
      <c r="D386" s="397" t="s">
        <v>893</v>
      </c>
      <c r="E386" s="398">
        <v>4</v>
      </c>
      <c r="F386" s="399">
        <v>42071</v>
      </c>
      <c r="G386" s="397" t="s">
        <v>895</v>
      </c>
      <c r="H386" s="400">
        <v>5103144836</v>
      </c>
      <c r="I386" s="397" t="s">
        <v>896</v>
      </c>
      <c r="J386" s="399">
        <v>45530</v>
      </c>
      <c r="K386" s="397"/>
      <c r="L386" s="397"/>
      <c r="M386" s="401"/>
      <c r="N386" s="398" t="s">
        <v>34</v>
      </c>
      <c r="O386" s="383">
        <v>45566</v>
      </c>
      <c r="P386" s="345"/>
      <c r="Q386" s="345"/>
      <c r="R386" s="345"/>
      <c r="S386" s="345"/>
      <c r="T386" s="155"/>
      <c r="U386" s="155"/>
      <c r="V386" s="155"/>
      <c r="W386" s="345"/>
      <c r="X386" s="345"/>
      <c r="Y386" s="345"/>
      <c r="Z386" s="345"/>
      <c r="AA386" s="345"/>
      <c r="AB386" s="345"/>
      <c r="AC386" s="345"/>
      <c r="AD386" s="345"/>
      <c r="AE386" s="345"/>
      <c r="AF386" s="345"/>
      <c r="AG386" s="345"/>
      <c r="AH386" s="345"/>
      <c r="AI386" s="345"/>
      <c r="AJ386" s="345"/>
      <c r="AK386" s="345"/>
      <c r="AL386" s="345"/>
      <c r="AM386" s="345"/>
      <c r="AN386" s="345"/>
      <c r="AO386" s="345"/>
      <c r="AP386" s="345"/>
      <c r="AQ386" s="345"/>
      <c r="AR386" s="345"/>
      <c r="AS386" s="163"/>
      <c r="AT386" s="163"/>
    </row>
    <row r="387" spans="1:48" ht="15.75" hidden="1" customHeight="1">
      <c r="A387" s="395">
        <v>3</v>
      </c>
      <c r="B387" s="396" t="s">
        <v>48</v>
      </c>
      <c r="C387" s="397" t="s">
        <v>899</v>
      </c>
      <c r="D387" s="397" t="s">
        <v>900</v>
      </c>
      <c r="E387" s="398">
        <v>4</v>
      </c>
      <c r="F387" s="399">
        <v>42177</v>
      </c>
      <c r="G387" s="397" t="s">
        <v>902</v>
      </c>
      <c r="H387" s="400">
        <v>4436532199</v>
      </c>
      <c r="I387" s="397" t="s">
        <v>798</v>
      </c>
      <c r="J387" s="399">
        <v>45520</v>
      </c>
      <c r="K387" s="397"/>
      <c r="L387" s="397"/>
      <c r="M387" s="401" t="s">
        <v>905</v>
      </c>
      <c r="N387" s="398" t="s">
        <v>34</v>
      </c>
      <c r="O387" s="383">
        <v>45566</v>
      </c>
      <c r="P387" s="345"/>
      <c r="Q387" s="345"/>
      <c r="R387" s="345"/>
      <c r="S387" s="345"/>
      <c r="T387" s="126"/>
      <c r="U387" s="126"/>
      <c r="V387" s="126"/>
      <c r="W387" s="345"/>
      <c r="X387" s="345"/>
      <c r="Y387" s="345"/>
      <c r="Z387" s="345"/>
      <c r="AA387" s="345"/>
      <c r="AB387" s="345"/>
      <c r="AC387" s="345"/>
      <c r="AD387" s="345"/>
      <c r="AE387" s="345"/>
      <c r="AF387" s="345"/>
      <c r="AG387" s="345"/>
      <c r="AH387" s="345"/>
      <c r="AI387" s="345"/>
      <c r="AJ387" s="345"/>
      <c r="AK387" s="345"/>
      <c r="AL387" s="345"/>
      <c r="AM387" s="345"/>
      <c r="AN387" s="345"/>
      <c r="AO387" s="345"/>
      <c r="AP387" s="345"/>
      <c r="AQ387" s="345"/>
      <c r="AR387" s="345"/>
      <c r="AS387" s="251"/>
      <c r="AT387" s="251"/>
    </row>
    <row r="388" spans="1:48" ht="15" hidden="1" customHeight="1">
      <c r="A388" s="395">
        <v>4</v>
      </c>
      <c r="B388" s="396" t="s">
        <v>89</v>
      </c>
      <c r="C388" s="397" t="s">
        <v>899</v>
      </c>
      <c r="D388" s="397" t="s">
        <v>900</v>
      </c>
      <c r="E388" s="398">
        <v>4</v>
      </c>
      <c r="F388" s="399">
        <v>42177</v>
      </c>
      <c r="G388" s="397" t="s">
        <v>902</v>
      </c>
      <c r="H388" s="400">
        <v>4436532199</v>
      </c>
      <c r="I388" s="397" t="s">
        <v>798</v>
      </c>
      <c r="J388" s="399">
        <v>45520</v>
      </c>
      <c r="K388" s="397"/>
      <c r="L388" s="397"/>
      <c r="M388" s="401" t="s">
        <v>905</v>
      </c>
      <c r="N388" s="398" t="s">
        <v>34</v>
      </c>
      <c r="O388" s="383">
        <v>45566</v>
      </c>
      <c r="P388" s="345"/>
      <c r="Q388" s="345"/>
      <c r="R388" s="345"/>
      <c r="S388" s="345"/>
      <c r="T388" s="353"/>
      <c r="U388" s="353"/>
      <c r="V388" s="353"/>
      <c r="W388" s="345"/>
      <c r="X388" s="345"/>
      <c r="Y388" s="345"/>
      <c r="Z388" s="345"/>
      <c r="AA388" s="345"/>
      <c r="AB388" s="345"/>
      <c r="AC388" s="345"/>
      <c r="AD388" s="345"/>
      <c r="AE388" s="345"/>
      <c r="AF388" s="345"/>
      <c r="AG388" s="345"/>
      <c r="AH388" s="345"/>
      <c r="AI388" s="345"/>
      <c r="AJ388" s="345"/>
      <c r="AK388" s="345"/>
      <c r="AL388" s="345"/>
      <c r="AM388" s="345"/>
      <c r="AN388" s="345"/>
      <c r="AO388" s="345"/>
      <c r="AP388" s="345"/>
      <c r="AQ388" s="345"/>
      <c r="AR388" s="345"/>
      <c r="AS388" s="251"/>
      <c r="AT388" s="251"/>
    </row>
    <row r="389" spans="1:48" ht="15" hidden="1" customHeight="1">
      <c r="A389" s="103">
        <v>1</v>
      </c>
      <c r="B389" s="402" t="s">
        <v>48</v>
      </c>
      <c r="C389" s="403" t="s">
        <v>836</v>
      </c>
      <c r="D389" s="403" t="s">
        <v>837</v>
      </c>
      <c r="E389" s="82">
        <v>6</v>
      </c>
      <c r="F389" s="404">
        <v>40840</v>
      </c>
      <c r="G389" s="405" t="s">
        <v>839</v>
      </c>
      <c r="H389" s="406" t="s">
        <v>840</v>
      </c>
      <c r="I389" s="405" t="s">
        <v>841</v>
      </c>
      <c r="J389" s="404">
        <v>45536</v>
      </c>
      <c r="K389" s="405"/>
      <c r="L389" s="405"/>
      <c r="M389" s="403" t="s">
        <v>906</v>
      </c>
      <c r="N389" s="402" t="s">
        <v>34</v>
      </c>
      <c r="O389" s="407">
        <v>45597</v>
      </c>
      <c r="P389" s="353"/>
      <c r="Q389" s="353"/>
      <c r="R389" s="353"/>
      <c r="S389" s="353"/>
      <c r="T389" s="362"/>
      <c r="U389" s="362"/>
      <c r="V389" s="362"/>
      <c r="W389" s="353"/>
      <c r="X389" s="353"/>
      <c r="Y389" s="353"/>
      <c r="Z389" s="353"/>
      <c r="AA389" s="353"/>
      <c r="AB389" s="353"/>
      <c r="AC389" s="353"/>
      <c r="AD389" s="353"/>
      <c r="AE389" s="353"/>
      <c r="AF389" s="353"/>
      <c r="AG389" s="353"/>
      <c r="AH389" s="353"/>
      <c r="AI389" s="353"/>
      <c r="AJ389" s="353"/>
      <c r="AK389" s="353"/>
      <c r="AL389" s="353"/>
      <c r="AM389" s="353"/>
      <c r="AN389" s="353"/>
      <c r="AO389" s="353"/>
      <c r="AP389" s="353"/>
      <c r="AQ389" s="353"/>
      <c r="AR389" s="353"/>
      <c r="AS389" s="353"/>
      <c r="AT389" s="353"/>
      <c r="AU389" s="2"/>
      <c r="AV389" s="2"/>
    </row>
    <row r="390" spans="1:48" ht="15" hidden="1" customHeight="1">
      <c r="A390" s="103">
        <v>2</v>
      </c>
      <c r="B390" s="402" t="s">
        <v>89</v>
      </c>
      <c r="C390" s="403" t="s">
        <v>836</v>
      </c>
      <c r="D390" s="403" t="s">
        <v>499</v>
      </c>
      <c r="E390" s="82">
        <v>9</v>
      </c>
      <c r="F390" s="404">
        <v>39818</v>
      </c>
      <c r="G390" s="405" t="s">
        <v>839</v>
      </c>
      <c r="H390" s="406" t="s">
        <v>840</v>
      </c>
      <c r="I390" s="405" t="s">
        <v>841</v>
      </c>
      <c r="J390" s="404">
        <v>45536</v>
      </c>
      <c r="K390" s="405"/>
      <c r="L390" s="405"/>
      <c r="M390" s="403" t="s">
        <v>906</v>
      </c>
      <c r="N390" s="402" t="s">
        <v>34</v>
      </c>
      <c r="O390" s="407">
        <v>45597</v>
      </c>
      <c r="P390" s="353"/>
      <c r="Q390" s="353"/>
      <c r="R390" s="353"/>
      <c r="S390" s="353"/>
      <c r="T390" s="362"/>
      <c r="U390" s="362"/>
      <c r="V390" s="362"/>
      <c r="W390" s="353"/>
      <c r="X390" s="353"/>
      <c r="Y390" s="353"/>
      <c r="Z390" s="353"/>
      <c r="AA390" s="353"/>
      <c r="AB390" s="353"/>
      <c r="AC390" s="353"/>
      <c r="AD390" s="353"/>
      <c r="AE390" s="353"/>
      <c r="AF390" s="353"/>
      <c r="AG390" s="353"/>
      <c r="AH390" s="353"/>
      <c r="AI390" s="353"/>
      <c r="AJ390" s="353"/>
      <c r="AK390" s="353"/>
      <c r="AL390" s="353"/>
      <c r="AM390" s="353"/>
      <c r="AN390" s="353"/>
      <c r="AO390" s="353"/>
      <c r="AP390" s="353"/>
      <c r="AQ390" s="353"/>
      <c r="AR390" s="353"/>
      <c r="AS390" s="353"/>
      <c r="AT390" s="353"/>
      <c r="AU390" s="2"/>
      <c r="AV390" s="2"/>
    </row>
    <row r="391" spans="1:48" ht="15" hidden="1" customHeight="1">
      <c r="A391" s="103">
        <v>3</v>
      </c>
      <c r="B391" s="408" t="s">
        <v>48</v>
      </c>
      <c r="C391" s="403" t="s">
        <v>317</v>
      </c>
      <c r="D391" s="403" t="s">
        <v>888</v>
      </c>
      <c r="E391" s="82">
        <v>4</v>
      </c>
      <c r="F391" s="404">
        <v>41496</v>
      </c>
      <c r="G391" s="405" t="s">
        <v>889</v>
      </c>
      <c r="H391" s="406">
        <v>4156099128</v>
      </c>
      <c r="I391" s="405" t="s">
        <v>890</v>
      </c>
      <c r="J391" s="404">
        <v>45082</v>
      </c>
      <c r="K391" s="405"/>
      <c r="L391" s="405"/>
      <c r="M391" s="403" t="s">
        <v>907</v>
      </c>
      <c r="N391" s="82" t="s">
        <v>34</v>
      </c>
      <c r="O391" s="407">
        <v>45597</v>
      </c>
      <c r="P391" s="353"/>
      <c r="Q391" s="353"/>
      <c r="R391" s="353"/>
      <c r="S391" s="353"/>
      <c r="T391" s="362"/>
      <c r="U391" s="362"/>
      <c r="V391" s="362"/>
      <c r="W391" s="353"/>
      <c r="X391" s="353"/>
      <c r="Y391" s="353"/>
      <c r="Z391" s="353"/>
      <c r="AA391" s="353"/>
      <c r="AB391" s="353"/>
      <c r="AC391" s="353"/>
      <c r="AD391" s="353"/>
      <c r="AE391" s="353"/>
      <c r="AF391" s="353"/>
      <c r="AG391" s="353"/>
      <c r="AH391" s="353"/>
      <c r="AI391" s="353"/>
      <c r="AJ391" s="353"/>
      <c r="AK391" s="353"/>
      <c r="AL391" s="353"/>
      <c r="AM391" s="353"/>
      <c r="AN391" s="353"/>
      <c r="AO391" s="353"/>
      <c r="AP391" s="353"/>
      <c r="AQ391" s="353"/>
      <c r="AR391" s="353"/>
      <c r="AS391" s="353"/>
      <c r="AT391" s="353"/>
      <c r="AU391" s="2"/>
      <c r="AV391" s="2"/>
    </row>
    <row r="392" spans="1:48" ht="15" hidden="1" customHeight="1">
      <c r="A392" s="103">
        <v>4</v>
      </c>
      <c r="B392" s="408" t="s">
        <v>89</v>
      </c>
      <c r="C392" s="403" t="s">
        <v>317</v>
      </c>
      <c r="D392" s="403" t="s">
        <v>888</v>
      </c>
      <c r="E392" s="82">
        <v>4</v>
      </c>
      <c r="F392" s="404">
        <v>41496</v>
      </c>
      <c r="G392" s="405" t="s">
        <v>889</v>
      </c>
      <c r="H392" s="406">
        <v>4156099128</v>
      </c>
      <c r="I392" s="405" t="s">
        <v>890</v>
      </c>
      <c r="J392" s="404">
        <v>45082</v>
      </c>
      <c r="K392" s="405"/>
      <c r="L392" s="405"/>
      <c r="M392" s="403" t="s">
        <v>907</v>
      </c>
      <c r="N392" s="82" t="s">
        <v>34</v>
      </c>
      <c r="O392" s="407">
        <v>45597</v>
      </c>
      <c r="P392" s="353"/>
      <c r="Q392" s="353"/>
      <c r="R392" s="353"/>
      <c r="S392" s="353"/>
      <c r="T392" s="362"/>
      <c r="U392" s="362"/>
      <c r="V392" s="362"/>
      <c r="W392" s="353"/>
      <c r="X392" s="353"/>
      <c r="Y392" s="353"/>
      <c r="Z392" s="353"/>
      <c r="AA392" s="353"/>
      <c r="AB392" s="353"/>
      <c r="AC392" s="353"/>
      <c r="AD392" s="353"/>
      <c r="AE392" s="353"/>
      <c r="AF392" s="353"/>
      <c r="AG392" s="353"/>
      <c r="AH392" s="353"/>
      <c r="AI392" s="353"/>
      <c r="AJ392" s="353"/>
      <c r="AK392" s="353"/>
      <c r="AL392" s="353"/>
      <c r="AM392" s="353"/>
      <c r="AN392" s="353"/>
      <c r="AO392" s="353"/>
      <c r="AP392" s="353"/>
      <c r="AQ392" s="353"/>
      <c r="AR392" s="353"/>
      <c r="AS392" s="353"/>
      <c r="AT392" s="353"/>
      <c r="AU392" s="2"/>
      <c r="AV392" s="2"/>
    </row>
    <row r="393" spans="1:48" ht="15" hidden="1" customHeight="1">
      <c r="A393" s="103">
        <v>5</v>
      </c>
      <c r="B393" s="408" t="s">
        <v>48</v>
      </c>
      <c r="C393" s="403" t="s">
        <v>317</v>
      </c>
      <c r="D393" s="403" t="s">
        <v>891</v>
      </c>
      <c r="E393" s="82">
        <v>1</v>
      </c>
      <c r="F393" s="404">
        <v>42757</v>
      </c>
      <c r="G393" s="405" t="s">
        <v>889</v>
      </c>
      <c r="H393" s="406">
        <v>4156099128</v>
      </c>
      <c r="I393" s="405" t="s">
        <v>890</v>
      </c>
      <c r="J393" s="404">
        <v>45082</v>
      </c>
      <c r="K393" s="405"/>
      <c r="L393" s="405"/>
      <c r="M393" s="403"/>
      <c r="N393" s="82" t="s">
        <v>34</v>
      </c>
      <c r="O393" s="407">
        <v>45597</v>
      </c>
      <c r="P393" s="353"/>
      <c r="Q393" s="353"/>
      <c r="R393" s="353"/>
      <c r="S393" s="353"/>
      <c r="T393" s="363"/>
      <c r="U393" s="363"/>
      <c r="V393" s="363"/>
      <c r="W393" s="353"/>
      <c r="X393" s="353"/>
      <c r="Y393" s="353"/>
      <c r="Z393" s="353"/>
      <c r="AA393" s="353"/>
      <c r="AB393" s="353"/>
      <c r="AC393" s="353"/>
      <c r="AD393" s="353"/>
      <c r="AE393" s="353"/>
      <c r="AF393" s="353"/>
      <c r="AG393" s="353"/>
      <c r="AH393" s="353"/>
      <c r="AI393" s="353"/>
      <c r="AJ393" s="353"/>
      <c r="AK393" s="353"/>
      <c r="AL393" s="353"/>
      <c r="AM393" s="353"/>
      <c r="AN393" s="353"/>
      <c r="AO393" s="353"/>
      <c r="AP393" s="353"/>
      <c r="AQ393" s="353"/>
      <c r="AR393" s="353"/>
      <c r="AS393" s="353"/>
      <c r="AT393" s="353"/>
      <c r="AU393" s="2"/>
      <c r="AV393" s="2"/>
    </row>
    <row r="394" spans="1:48" ht="15" hidden="1" customHeight="1">
      <c r="A394" s="103">
        <v>6</v>
      </c>
      <c r="B394" s="408" t="s">
        <v>89</v>
      </c>
      <c r="C394" s="403" t="s">
        <v>317</v>
      </c>
      <c r="D394" s="403" t="s">
        <v>891</v>
      </c>
      <c r="E394" s="82">
        <v>1</v>
      </c>
      <c r="F394" s="404">
        <v>42757</v>
      </c>
      <c r="G394" s="405" t="s">
        <v>889</v>
      </c>
      <c r="H394" s="406">
        <v>4156099128</v>
      </c>
      <c r="I394" s="405" t="s">
        <v>890</v>
      </c>
      <c r="J394" s="404">
        <v>45082</v>
      </c>
      <c r="K394" s="405"/>
      <c r="L394" s="405"/>
      <c r="M394" s="403"/>
      <c r="N394" s="82" t="s">
        <v>34</v>
      </c>
      <c r="O394" s="407">
        <v>45597</v>
      </c>
      <c r="P394" s="353"/>
      <c r="Q394" s="353"/>
      <c r="R394" s="353"/>
      <c r="S394" s="353"/>
      <c r="T394" s="364"/>
      <c r="U394" s="364"/>
      <c r="V394" s="364"/>
      <c r="W394" s="353"/>
      <c r="X394" s="353"/>
      <c r="Y394" s="353"/>
      <c r="Z394" s="353"/>
      <c r="AA394" s="353"/>
      <c r="AB394" s="353"/>
      <c r="AC394" s="353"/>
      <c r="AD394" s="353"/>
      <c r="AE394" s="353"/>
      <c r="AF394" s="353"/>
      <c r="AG394" s="353"/>
      <c r="AH394" s="353"/>
      <c r="AI394" s="353"/>
      <c r="AJ394" s="353"/>
      <c r="AK394" s="353"/>
      <c r="AL394" s="353"/>
      <c r="AM394" s="353"/>
      <c r="AN394" s="353"/>
      <c r="AO394" s="353"/>
      <c r="AP394" s="353"/>
      <c r="AQ394" s="353"/>
      <c r="AR394" s="353"/>
      <c r="AS394" s="353"/>
      <c r="AT394" s="353"/>
      <c r="AU394" s="2"/>
      <c r="AV394" s="2"/>
    </row>
    <row r="395" spans="1:48" ht="15" hidden="1" customHeight="1">
      <c r="A395" s="103">
        <v>7</v>
      </c>
      <c r="B395" s="402" t="s">
        <v>48</v>
      </c>
      <c r="C395" s="409" t="s">
        <v>307</v>
      </c>
      <c r="D395" s="409" t="s">
        <v>822</v>
      </c>
      <c r="E395" s="410">
        <v>2</v>
      </c>
      <c r="F395" s="411">
        <v>42933</v>
      </c>
      <c r="G395" s="405" t="s">
        <v>823</v>
      </c>
      <c r="H395" s="406">
        <v>4083986905</v>
      </c>
      <c r="I395" s="405" t="s">
        <v>824</v>
      </c>
      <c r="J395" s="412" t="s">
        <v>903</v>
      </c>
      <c r="K395" s="412"/>
      <c r="L395" s="412"/>
      <c r="M395" s="409" t="s">
        <v>908</v>
      </c>
      <c r="N395" s="402" t="s">
        <v>34</v>
      </c>
      <c r="O395" s="407">
        <v>45597</v>
      </c>
      <c r="P395" s="353"/>
      <c r="Q395" s="353"/>
      <c r="R395" s="353"/>
      <c r="S395" s="353"/>
      <c r="T395" s="101"/>
      <c r="U395" s="101"/>
      <c r="V395" s="101"/>
      <c r="W395" s="353"/>
      <c r="X395" s="353"/>
      <c r="Y395" s="353"/>
      <c r="Z395" s="353"/>
      <c r="AA395" s="353"/>
      <c r="AB395" s="353"/>
      <c r="AC395" s="353"/>
      <c r="AD395" s="353"/>
      <c r="AE395" s="353"/>
      <c r="AF395" s="353"/>
      <c r="AG395" s="353"/>
      <c r="AH395" s="353"/>
      <c r="AI395" s="353"/>
      <c r="AJ395" s="353"/>
      <c r="AK395" s="353"/>
      <c r="AL395" s="353"/>
      <c r="AM395" s="353"/>
      <c r="AN395" s="353"/>
      <c r="AO395" s="353"/>
      <c r="AP395" s="353"/>
      <c r="AQ395" s="353"/>
      <c r="AR395" s="353"/>
      <c r="AS395" s="353"/>
      <c r="AT395" s="353"/>
      <c r="AU395" s="2"/>
      <c r="AV395" s="2"/>
    </row>
    <row r="396" spans="1:48" ht="15" hidden="1" customHeight="1">
      <c r="A396" s="413">
        <v>8</v>
      </c>
      <c r="B396" s="414" t="s">
        <v>89</v>
      </c>
      <c r="C396" s="415" t="s">
        <v>307</v>
      </c>
      <c r="D396" s="415" t="s">
        <v>822</v>
      </c>
      <c r="E396" s="416">
        <v>2</v>
      </c>
      <c r="F396" s="417">
        <v>42933</v>
      </c>
      <c r="G396" s="418" t="s">
        <v>823</v>
      </c>
      <c r="H396" s="419">
        <v>4083986905</v>
      </c>
      <c r="I396" s="418" t="s">
        <v>824</v>
      </c>
      <c r="J396" s="420" t="s">
        <v>903</v>
      </c>
      <c r="K396" s="420"/>
      <c r="L396" s="420"/>
      <c r="M396" s="415"/>
      <c r="N396" s="414" t="s">
        <v>34</v>
      </c>
      <c r="O396" s="421">
        <v>45597</v>
      </c>
      <c r="P396" s="353"/>
      <c r="Q396" s="353"/>
      <c r="R396" s="353"/>
      <c r="S396" s="353"/>
      <c r="T396" s="126"/>
      <c r="U396" s="126"/>
      <c r="V396" s="126"/>
      <c r="W396" s="353"/>
      <c r="X396" s="353"/>
      <c r="Y396" s="353"/>
      <c r="Z396" s="353"/>
      <c r="AA396" s="353"/>
      <c r="AB396" s="353"/>
      <c r="AC396" s="353"/>
      <c r="AD396" s="353"/>
      <c r="AE396" s="353"/>
      <c r="AF396" s="353"/>
      <c r="AG396" s="353"/>
      <c r="AH396" s="353"/>
      <c r="AI396" s="353"/>
      <c r="AJ396" s="353"/>
      <c r="AK396" s="353"/>
      <c r="AL396" s="353"/>
      <c r="AM396" s="353"/>
      <c r="AN396" s="353"/>
      <c r="AO396" s="353"/>
      <c r="AP396" s="353"/>
      <c r="AQ396" s="353"/>
      <c r="AR396" s="353"/>
      <c r="AS396" s="353"/>
      <c r="AT396" s="353"/>
      <c r="AU396" s="2"/>
      <c r="AV396" s="2"/>
    </row>
    <row r="397" spans="1:48" ht="15" hidden="1" customHeight="1">
      <c r="A397" s="103">
        <v>1</v>
      </c>
      <c r="B397" s="422" t="s">
        <v>48</v>
      </c>
      <c r="C397" s="423" t="s">
        <v>909</v>
      </c>
      <c r="D397" s="423" t="s">
        <v>910</v>
      </c>
      <c r="E397" s="424">
        <v>2</v>
      </c>
      <c r="F397" s="423">
        <v>42157</v>
      </c>
      <c r="G397" s="423" t="s">
        <v>911</v>
      </c>
      <c r="H397" s="425">
        <v>5857522132</v>
      </c>
      <c r="I397" s="423" t="s">
        <v>912</v>
      </c>
      <c r="J397" s="426">
        <v>45299</v>
      </c>
      <c r="K397" s="427"/>
      <c r="L397" s="427"/>
      <c r="M397" s="428" t="s">
        <v>913</v>
      </c>
      <c r="N397" s="422" t="s">
        <v>34</v>
      </c>
      <c r="O397" s="429">
        <v>45627</v>
      </c>
      <c r="P397" s="362"/>
      <c r="Q397" s="362"/>
      <c r="R397" s="362"/>
      <c r="S397" s="362"/>
      <c r="T397" s="126"/>
      <c r="U397" s="126"/>
      <c r="V397" s="126"/>
      <c r="W397" s="362"/>
      <c r="X397" s="362"/>
      <c r="Y397" s="362"/>
      <c r="Z397" s="362"/>
      <c r="AA397" s="362"/>
      <c r="AB397" s="362"/>
      <c r="AC397" s="362"/>
      <c r="AD397" s="362"/>
      <c r="AE397" s="362"/>
      <c r="AF397" s="362"/>
      <c r="AG397" s="362"/>
      <c r="AH397" s="362"/>
      <c r="AI397" s="362"/>
      <c r="AJ397" s="362"/>
      <c r="AK397" s="362"/>
      <c r="AL397" s="362"/>
      <c r="AM397" s="362"/>
      <c r="AN397" s="362"/>
      <c r="AO397" s="362"/>
      <c r="AP397" s="362"/>
      <c r="AQ397" s="362"/>
      <c r="AR397" s="362"/>
      <c r="AS397" s="362"/>
      <c r="AT397" s="362"/>
      <c r="AU397" s="362"/>
      <c r="AV397" s="362"/>
    </row>
    <row r="398" spans="1:48" ht="15" hidden="1" customHeight="1">
      <c r="A398" s="103">
        <v>2</v>
      </c>
      <c r="B398" s="430" t="s">
        <v>89</v>
      </c>
      <c r="C398" s="427" t="s">
        <v>909</v>
      </c>
      <c r="D398" s="427" t="s">
        <v>910</v>
      </c>
      <c r="E398" s="431">
        <v>2</v>
      </c>
      <c r="F398" s="432">
        <v>42157</v>
      </c>
      <c r="G398" s="427" t="s">
        <v>911</v>
      </c>
      <c r="H398" s="427">
        <v>5857522132</v>
      </c>
      <c r="I398" s="427" t="s">
        <v>912</v>
      </c>
      <c r="J398" s="433">
        <v>45299</v>
      </c>
      <c r="K398" s="427"/>
      <c r="L398" s="427"/>
      <c r="M398" s="428" t="s">
        <v>913</v>
      </c>
      <c r="N398" s="422" t="s">
        <v>34</v>
      </c>
      <c r="O398" s="429">
        <v>45627</v>
      </c>
      <c r="P398" s="362"/>
      <c r="Q398" s="362"/>
      <c r="R398" s="362"/>
      <c r="S398" s="362"/>
      <c r="T398" s="117"/>
      <c r="U398" s="117"/>
      <c r="V398" s="117"/>
      <c r="W398" s="362"/>
      <c r="X398" s="362"/>
      <c r="Y398" s="362"/>
      <c r="Z398" s="362"/>
      <c r="AA398" s="362"/>
      <c r="AB398" s="362"/>
      <c r="AC398" s="362"/>
      <c r="AD398" s="362"/>
      <c r="AE398" s="362"/>
      <c r="AF398" s="362"/>
      <c r="AG398" s="362"/>
      <c r="AH398" s="362"/>
      <c r="AI398" s="362"/>
      <c r="AJ398" s="362"/>
      <c r="AK398" s="362"/>
      <c r="AL398" s="362"/>
      <c r="AM398" s="362"/>
      <c r="AN398" s="362"/>
      <c r="AO398" s="362"/>
      <c r="AP398" s="362"/>
      <c r="AQ398" s="362"/>
      <c r="AR398" s="362"/>
      <c r="AS398" s="362"/>
      <c r="AT398" s="362"/>
      <c r="AU398" s="362"/>
      <c r="AV398" s="362"/>
    </row>
    <row r="399" spans="1:48" ht="15" hidden="1" customHeight="1">
      <c r="A399" s="103">
        <v>3</v>
      </c>
      <c r="B399" s="422" t="s">
        <v>48</v>
      </c>
      <c r="C399" s="428" t="s">
        <v>599</v>
      </c>
      <c r="D399" s="428" t="s">
        <v>600</v>
      </c>
      <c r="E399" s="431" t="s">
        <v>265</v>
      </c>
      <c r="F399" s="432">
        <v>43461</v>
      </c>
      <c r="G399" s="428" t="s">
        <v>601</v>
      </c>
      <c r="H399" s="434">
        <v>4086803486</v>
      </c>
      <c r="I399" s="427" t="s">
        <v>602</v>
      </c>
      <c r="J399" s="433">
        <v>45323</v>
      </c>
      <c r="K399" s="427"/>
      <c r="L399" s="427"/>
      <c r="M399" s="428" t="s">
        <v>914</v>
      </c>
      <c r="N399" s="422" t="s">
        <v>34</v>
      </c>
      <c r="O399" s="429">
        <v>45627</v>
      </c>
      <c r="P399" s="362"/>
      <c r="Q399" s="362"/>
      <c r="R399" s="362"/>
      <c r="S399" s="362"/>
      <c r="T399" s="126"/>
      <c r="U399" s="126"/>
      <c r="V399" s="126"/>
      <c r="W399" s="362"/>
      <c r="X399" s="362"/>
      <c r="Y399" s="362"/>
      <c r="Z399" s="362"/>
      <c r="AA399" s="362"/>
      <c r="AB399" s="362"/>
      <c r="AC399" s="362"/>
      <c r="AD399" s="362"/>
      <c r="AE399" s="362"/>
      <c r="AF399" s="362"/>
      <c r="AG399" s="362"/>
      <c r="AH399" s="362"/>
      <c r="AI399" s="362"/>
      <c r="AJ399" s="362"/>
      <c r="AK399" s="362"/>
      <c r="AL399" s="362"/>
      <c r="AM399" s="362"/>
      <c r="AN399" s="362"/>
      <c r="AO399" s="362"/>
      <c r="AP399" s="362"/>
      <c r="AQ399" s="362"/>
      <c r="AR399" s="362"/>
      <c r="AS399" s="362"/>
      <c r="AT399" s="362"/>
      <c r="AU399" s="362"/>
      <c r="AV399" s="362"/>
    </row>
    <row r="400" spans="1:48" ht="15" hidden="1" customHeight="1">
      <c r="A400" s="103">
        <v>4</v>
      </c>
      <c r="B400" s="422" t="s">
        <v>89</v>
      </c>
      <c r="C400" s="423" t="s">
        <v>599</v>
      </c>
      <c r="D400" s="423" t="s">
        <v>600</v>
      </c>
      <c r="E400" s="424" t="s">
        <v>265</v>
      </c>
      <c r="F400" s="435">
        <v>43461</v>
      </c>
      <c r="G400" s="423" t="s">
        <v>601</v>
      </c>
      <c r="H400" s="425">
        <v>4086803486</v>
      </c>
      <c r="I400" s="423" t="s">
        <v>602</v>
      </c>
      <c r="J400" s="426">
        <v>45352</v>
      </c>
      <c r="K400" s="427"/>
      <c r="L400" s="427"/>
      <c r="M400" s="428" t="s">
        <v>914</v>
      </c>
      <c r="N400" s="422" t="s">
        <v>34</v>
      </c>
      <c r="O400" s="429">
        <v>45627</v>
      </c>
      <c r="P400" s="362"/>
      <c r="Q400" s="362"/>
      <c r="R400" s="362"/>
      <c r="S400" s="362"/>
      <c r="T400" s="2"/>
      <c r="U400" s="2"/>
      <c r="V400" s="2"/>
      <c r="W400" s="362"/>
      <c r="X400" s="362"/>
      <c r="Y400" s="362"/>
      <c r="Z400" s="362"/>
      <c r="AA400" s="362"/>
      <c r="AB400" s="362"/>
      <c r="AC400" s="362"/>
      <c r="AD400" s="362"/>
      <c r="AE400" s="362"/>
      <c r="AF400" s="362"/>
      <c r="AG400" s="362"/>
      <c r="AH400" s="362"/>
      <c r="AI400" s="362"/>
      <c r="AJ400" s="362"/>
      <c r="AK400" s="362"/>
      <c r="AL400" s="362"/>
      <c r="AM400" s="362"/>
      <c r="AN400" s="362"/>
      <c r="AO400" s="362"/>
      <c r="AP400" s="362"/>
      <c r="AQ400" s="362"/>
      <c r="AR400" s="362"/>
      <c r="AS400" s="362"/>
      <c r="AT400" s="362"/>
      <c r="AU400" s="362"/>
      <c r="AV400" s="362"/>
    </row>
    <row r="401" spans="1:48" ht="15" hidden="1" customHeight="1">
      <c r="A401" s="410">
        <v>1</v>
      </c>
      <c r="B401" s="408" t="s">
        <v>48</v>
      </c>
      <c r="C401" s="405" t="s">
        <v>138</v>
      </c>
      <c r="D401" s="405" t="s">
        <v>915</v>
      </c>
      <c r="E401" s="82">
        <v>1</v>
      </c>
      <c r="F401" s="404">
        <v>43199</v>
      </c>
      <c r="G401" s="405" t="s">
        <v>916</v>
      </c>
      <c r="H401" s="405">
        <v>6503046747</v>
      </c>
      <c r="I401" s="405" t="s">
        <v>917</v>
      </c>
      <c r="J401" s="436">
        <v>45572</v>
      </c>
      <c r="K401" s="405"/>
      <c r="L401" s="405"/>
      <c r="M401" s="403" t="s">
        <v>918</v>
      </c>
      <c r="N401" s="402" t="s">
        <v>34</v>
      </c>
      <c r="O401" s="407">
        <v>45658</v>
      </c>
      <c r="P401" s="363"/>
      <c r="Q401" s="363"/>
      <c r="R401" s="363"/>
      <c r="S401" s="363"/>
      <c r="T401" s="155"/>
      <c r="U401" s="155"/>
      <c r="V401" s="155"/>
      <c r="W401" s="363"/>
      <c r="X401" s="363"/>
      <c r="Y401" s="363"/>
      <c r="Z401" s="363"/>
      <c r="AA401" s="363"/>
      <c r="AB401" s="363"/>
      <c r="AC401" s="363"/>
      <c r="AD401" s="363"/>
      <c r="AE401" s="363"/>
      <c r="AF401" s="363"/>
      <c r="AG401" s="363"/>
      <c r="AH401" s="363"/>
      <c r="AI401" s="363"/>
      <c r="AJ401" s="363"/>
      <c r="AK401" s="363"/>
      <c r="AL401" s="363"/>
      <c r="AM401" s="363"/>
      <c r="AN401" s="363"/>
      <c r="AO401" s="363"/>
      <c r="AP401" s="363"/>
      <c r="AQ401" s="363"/>
      <c r="AR401" s="363"/>
      <c r="AS401" s="363"/>
      <c r="AT401" s="363"/>
      <c r="AU401" s="363"/>
      <c r="AV401" s="363"/>
    </row>
    <row r="402" spans="1:48" ht="15" hidden="1" customHeight="1">
      <c r="A402" s="103">
        <v>2</v>
      </c>
      <c r="B402" s="94" t="s">
        <v>48</v>
      </c>
      <c r="C402" s="159" t="s">
        <v>628</v>
      </c>
      <c r="D402" s="159" t="s">
        <v>629</v>
      </c>
      <c r="E402" s="157">
        <v>6</v>
      </c>
      <c r="F402" s="174">
        <v>41034</v>
      </c>
      <c r="G402" s="158" t="s">
        <v>630</v>
      </c>
      <c r="H402" s="437">
        <v>5108161486</v>
      </c>
      <c r="I402" s="438" t="s">
        <v>593</v>
      </c>
      <c r="J402" s="439">
        <v>45293</v>
      </c>
      <c r="K402" s="158"/>
      <c r="L402" s="158"/>
      <c r="M402" s="159" t="s">
        <v>606</v>
      </c>
      <c r="N402" s="94" t="s">
        <v>34</v>
      </c>
      <c r="O402" s="407">
        <v>45658</v>
      </c>
      <c r="P402" s="364"/>
      <c r="Q402" s="364"/>
      <c r="R402" s="364"/>
      <c r="S402" s="364"/>
      <c r="T402" s="364"/>
      <c r="U402" s="364"/>
      <c r="V402" s="364"/>
      <c r="W402" s="364"/>
      <c r="X402" s="364"/>
      <c r="Y402" s="364"/>
      <c r="Z402" s="364"/>
      <c r="AA402" s="364"/>
      <c r="AB402" s="364"/>
      <c r="AC402" s="364"/>
      <c r="AD402" s="364"/>
      <c r="AE402" s="364"/>
      <c r="AF402" s="364"/>
      <c r="AG402" s="364"/>
      <c r="AH402" s="364"/>
      <c r="AI402" s="364"/>
      <c r="AJ402" s="364"/>
      <c r="AK402" s="364"/>
      <c r="AL402" s="364"/>
      <c r="AM402" s="364"/>
      <c r="AN402" s="364"/>
      <c r="AO402" s="364"/>
      <c r="AP402" s="364"/>
      <c r="AQ402" s="364"/>
      <c r="AR402" s="364"/>
      <c r="AS402" s="364"/>
      <c r="AT402" s="364"/>
      <c r="AU402" s="163"/>
      <c r="AV402" s="163"/>
    </row>
    <row r="403" spans="1:48" ht="15" hidden="1" customHeight="1">
      <c r="A403" s="103">
        <v>3</v>
      </c>
      <c r="B403" s="94" t="s">
        <v>48</v>
      </c>
      <c r="C403" s="440" t="s">
        <v>414</v>
      </c>
      <c r="D403" s="440" t="s">
        <v>919</v>
      </c>
      <c r="E403" s="93">
        <v>1</v>
      </c>
      <c r="F403" s="100">
        <v>42977</v>
      </c>
      <c r="G403" s="440" t="s">
        <v>920</v>
      </c>
      <c r="H403" s="441">
        <v>8173712065</v>
      </c>
      <c r="I403" s="440" t="s">
        <v>921</v>
      </c>
      <c r="J403" s="442">
        <v>45174</v>
      </c>
      <c r="K403" s="158"/>
      <c r="L403" s="158"/>
      <c r="M403" s="159"/>
      <c r="N403" s="94" t="s">
        <v>34</v>
      </c>
      <c r="O403" s="407">
        <v>45658</v>
      </c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</row>
    <row r="404" spans="1:48" ht="15" hidden="1" customHeight="1">
      <c r="A404" s="443">
        <v>1</v>
      </c>
      <c r="B404" s="444" t="s">
        <v>48</v>
      </c>
      <c r="C404" s="445" t="s">
        <v>206</v>
      </c>
      <c r="D404" s="445" t="s">
        <v>207</v>
      </c>
      <c r="E404" s="446" t="s">
        <v>133</v>
      </c>
      <c r="F404" s="447">
        <v>43556</v>
      </c>
      <c r="G404" s="445" t="s">
        <v>208</v>
      </c>
      <c r="H404" s="445">
        <v>2147624191</v>
      </c>
      <c r="I404" s="445" t="s">
        <v>209</v>
      </c>
      <c r="J404" s="448">
        <v>45585</v>
      </c>
      <c r="K404" s="445" t="s">
        <v>458</v>
      </c>
      <c r="L404" s="445" t="s">
        <v>922</v>
      </c>
      <c r="M404" s="449" t="s">
        <v>923</v>
      </c>
      <c r="N404" s="450" t="s">
        <v>34</v>
      </c>
      <c r="O404" s="451">
        <v>45689</v>
      </c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</row>
    <row r="405" spans="1:48" ht="15" hidden="1" customHeight="1">
      <c r="A405" s="443">
        <v>2</v>
      </c>
      <c r="B405" s="444" t="s">
        <v>89</v>
      </c>
      <c r="C405" s="445" t="s">
        <v>210</v>
      </c>
      <c r="D405" s="445" t="s">
        <v>207</v>
      </c>
      <c r="E405" s="446" t="s">
        <v>133</v>
      </c>
      <c r="F405" s="447">
        <v>43556</v>
      </c>
      <c r="G405" s="445" t="s">
        <v>208</v>
      </c>
      <c r="H405" s="445">
        <v>2147624191</v>
      </c>
      <c r="I405" s="445" t="s">
        <v>209</v>
      </c>
      <c r="J405" s="448">
        <v>45585</v>
      </c>
      <c r="K405" s="445" t="s">
        <v>136</v>
      </c>
      <c r="L405" s="445" t="s">
        <v>924</v>
      </c>
      <c r="M405" s="449" t="s">
        <v>923</v>
      </c>
      <c r="N405" s="450" t="s">
        <v>34</v>
      </c>
      <c r="O405" s="451">
        <v>45689</v>
      </c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13"/>
      <c r="AV405" s="113"/>
    </row>
    <row r="406" spans="1:48" ht="15" hidden="1" customHeight="1">
      <c r="A406" s="443">
        <v>3</v>
      </c>
      <c r="B406" s="450" t="s">
        <v>48</v>
      </c>
      <c r="C406" s="449" t="s">
        <v>444</v>
      </c>
      <c r="D406" s="449" t="s">
        <v>771</v>
      </c>
      <c r="E406" s="446">
        <v>4</v>
      </c>
      <c r="F406" s="447" t="s">
        <v>925</v>
      </c>
      <c r="G406" s="449" t="s">
        <v>926</v>
      </c>
      <c r="H406" s="452">
        <v>7324916636</v>
      </c>
      <c r="I406" s="445" t="s">
        <v>927</v>
      </c>
      <c r="J406" s="448" t="s">
        <v>903</v>
      </c>
      <c r="K406" s="445" t="s">
        <v>541</v>
      </c>
      <c r="L406" s="445" t="s">
        <v>928</v>
      </c>
      <c r="M406" s="449" t="s">
        <v>929</v>
      </c>
      <c r="N406" s="450" t="s">
        <v>34</v>
      </c>
      <c r="O406" s="451">
        <v>45689</v>
      </c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7"/>
      <c r="AM406" s="117"/>
      <c r="AN406" s="117"/>
      <c r="AO406" s="117"/>
      <c r="AP406" s="117"/>
      <c r="AQ406" s="117"/>
      <c r="AR406" s="117"/>
      <c r="AS406" s="117"/>
      <c r="AT406" s="117"/>
      <c r="AU406" s="126"/>
      <c r="AV406" s="126"/>
    </row>
    <row r="407" spans="1:48" ht="15" hidden="1" customHeight="1">
      <c r="A407" s="443">
        <v>4</v>
      </c>
      <c r="B407" s="450" t="s">
        <v>89</v>
      </c>
      <c r="C407" s="453" t="s">
        <v>444</v>
      </c>
      <c r="D407" s="453" t="s">
        <v>771</v>
      </c>
      <c r="E407" s="443">
        <v>4</v>
      </c>
      <c r="F407" s="454" t="s">
        <v>925</v>
      </c>
      <c r="G407" s="453" t="s">
        <v>926</v>
      </c>
      <c r="H407" s="455">
        <v>7324916636</v>
      </c>
      <c r="I407" s="453" t="s">
        <v>927</v>
      </c>
      <c r="J407" s="456" t="s">
        <v>903</v>
      </c>
      <c r="K407" s="445" t="s">
        <v>198</v>
      </c>
      <c r="L407" s="445" t="s">
        <v>930</v>
      </c>
      <c r="M407" s="449" t="s">
        <v>929</v>
      </c>
      <c r="N407" s="450" t="s">
        <v>34</v>
      </c>
      <c r="O407" s="451">
        <v>45689</v>
      </c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</row>
    <row r="408" spans="1:48" ht="15" hidden="1" customHeight="1">
      <c r="A408" s="103">
        <v>1</v>
      </c>
      <c r="B408" s="88" t="s">
        <v>48</v>
      </c>
      <c r="C408" s="137" t="s">
        <v>444</v>
      </c>
      <c r="D408" s="137" t="s">
        <v>931</v>
      </c>
      <c r="E408" s="137">
        <v>5</v>
      </c>
      <c r="F408" s="138">
        <v>41774</v>
      </c>
      <c r="G408" s="137" t="s">
        <v>932</v>
      </c>
      <c r="H408" s="137" t="s">
        <v>933</v>
      </c>
      <c r="I408" s="137" t="s">
        <v>934</v>
      </c>
      <c r="J408" s="138">
        <v>45588</v>
      </c>
      <c r="K408" s="137" t="s">
        <v>145</v>
      </c>
      <c r="L408" s="137" t="s">
        <v>935</v>
      </c>
      <c r="M408" s="137" t="s">
        <v>118</v>
      </c>
      <c r="N408" s="119" t="s">
        <v>34</v>
      </c>
      <c r="O408" s="152">
        <v>45748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114"/>
      <c r="AV408" s="114"/>
    </row>
    <row r="409" spans="1:48" ht="15" hidden="1" customHeight="1">
      <c r="A409" s="457">
        <v>1</v>
      </c>
      <c r="B409" s="458" t="s">
        <v>48</v>
      </c>
      <c r="C409" s="459" t="s">
        <v>199</v>
      </c>
      <c r="D409" s="459" t="s">
        <v>200</v>
      </c>
      <c r="E409" s="459">
        <v>4</v>
      </c>
      <c r="F409" s="460" t="s">
        <v>201</v>
      </c>
      <c r="G409" s="459" t="s">
        <v>202</v>
      </c>
      <c r="H409" s="459">
        <v>5102602020</v>
      </c>
      <c r="I409" s="459" t="s">
        <v>203</v>
      </c>
      <c r="J409" s="460" t="s">
        <v>936</v>
      </c>
      <c r="K409" s="459" t="s">
        <v>204</v>
      </c>
      <c r="L409" s="459">
        <v>26</v>
      </c>
      <c r="M409" s="459"/>
      <c r="N409" s="461" t="s">
        <v>34</v>
      </c>
      <c r="O409" s="462">
        <v>45809</v>
      </c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85"/>
      <c r="AV409" s="185"/>
    </row>
    <row r="410" spans="1:48" ht="15" hidden="1" customHeight="1">
      <c r="A410" s="457">
        <v>2</v>
      </c>
      <c r="B410" s="458" t="s">
        <v>89</v>
      </c>
      <c r="C410" s="459" t="s">
        <v>199</v>
      </c>
      <c r="D410" s="459" t="s">
        <v>200</v>
      </c>
      <c r="E410" s="459">
        <v>4</v>
      </c>
      <c r="F410" s="460" t="s">
        <v>201</v>
      </c>
      <c r="G410" s="459" t="s">
        <v>202</v>
      </c>
      <c r="H410" s="459">
        <v>5102602020</v>
      </c>
      <c r="I410" s="459" t="s">
        <v>203</v>
      </c>
      <c r="J410" s="460" t="s">
        <v>936</v>
      </c>
      <c r="K410" s="459" t="s">
        <v>205</v>
      </c>
      <c r="L410" s="459">
        <v>61</v>
      </c>
      <c r="M410" s="459"/>
      <c r="N410" s="461" t="s">
        <v>34</v>
      </c>
      <c r="O410" s="462">
        <v>45809</v>
      </c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85"/>
      <c r="AV410" s="185"/>
    </row>
    <row r="411" spans="1:48" ht="15" hidden="1" customHeight="1">
      <c r="A411" s="103">
        <v>3</v>
      </c>
      <c r="B411" s="157" t="s">
        <v>89</v>
      </c>
      <c r="C411" s="159" t="s">
        <v>444</v>
      </c>
      <c r="D411" s="159" t="s">
        <v>931</v>
      </c>
      <c r="E411" s="159">
        <v>5</v>
      </c>
      <c r="F411" s="174">
        <v>41774</v>
      </c>
      <c r="G411" s="159" t="s">
        <v>932</v>
      </c>
      <c r="H411" s="159" t="s">
        <v>933</v>
      </c>
      <c r="I411" s="159" t="s">
        <v>934</v>
      </c>
      <c r="J411" s="174">
        <v>45740</v>
      </c>
      <c r="K411" s="463"/>
      <c r="L411" s="463"/>
      <c r="M411" s="159" t="s">
        <v>937</v>
      </c>
      <c r="N411" s="94" t="s">
        <v>34</v>
      </c>
      <c r="O411" s="152">
        <v>45809</v>
      </c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7"/>
      <c r="AM411" s="117"/>
      <c r="AN411" s="117"/>
      <c r="AO411" s="117"/>
      <c r="AP411" s="117"/>
      <c r="AQ411" s="117"/>
      <c r="AR411" s="117"/>
      <c r="AS411" s="117"/>
      <c r="AT411" s="117"/>
      <c r="AU411" s="113"/>
      <c r="AV411" s="113"/>
    </row>
    <row r="412" spans="1:48" ht="15" hidden="1" customHeight="1">
      <c r="A412" s="457">
        <v>4</v>
      </c>
      <c r="B412" s="458" t="s">
        <v>89</v>
      </c>
      <c r="C412" s="459" t="s">
        <v>379</v>
      </c>
      <c r="D412" s="459" t="s">
        <v>380</v>
      </c>
      <c r="E412" s="459" t="s">
        <v>219</v>
      </c>
      <c r="F412" s="460" t="s">
        <v>381</v>
      </c>
      <c r="G412" s="459" t="s">
        <v>382</v>
      </c>
      <c r="H412" s="459">
        <v>7063088178</v>
      </c>
      <c r="I412" s="459" t="s">
        <v>383</v>
      </c>
      <c r="J412" s="460" t="s">
        <v>143</v>
      </c>
      <c r="K412" s="459" t="s">
        <v>124</v>
      </c>
      <c r="L412" s="459">
        <v>105</v>
      </c>
      <c r="M412" s="459" t="s">
        <v>938</v>
      </c>
      <c r="N412" s="461" t="s">
        <v>34</v>
      </c>
      <c r="O412" s="462">
        <v>45809</v>
      </c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85"/>
      <c r="AV412" s="185"/>
    </row>
    <row r="413" spans="1:48" ht="15" hidden="1" customHeight="1">
      <c r="A413" s="457">
        <v>5</v>
      </c>
      <c r="B413" s="458" t="s">
        <v>48</v>
      </c>
      <c r="C413" s="459" t="s">
        <v>379</v>
      </c>
      <c r="D413" s="459" t="s">
        <v>380</v>
      </c>
      <c r="E413" s="459" t="s">
        <v>219</v>
      </c>
      <c r="F413" s="460" t="s">
        <v>381</v>
      </c>
      <c r="G413" s="459" t="s">
        <v>382</v>
      </c>
      <c r="H413" s="459">
        <v>7063088178</v>
      </c>
      <c r="I413" s="459" t="s">
        <v>383</v>
      </c>
      <c r="J413" s="460" t="s">
        <v>143</v>
      </c>
      <c r="K413" s="459" t="s">
        <v>174</v>
      </c>
      <c r="L413" s="459">
        <v>1</v>
      </c>
      <c r="M413" s="459" t="s">
        <v>938</v>
      </c>
      <c r="N413" s="461" t="s">
        <v>34</v>
      </c>
      <c r="O413" s="462">
        <v>45809</v>
      </c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85"/>
      <c r="AV413" s="185"/>
    </row>
    <row r="414" spans="1:48" ht="15" hidden="1" customHeight="1">
      <c r="A414" s="103">
        <v>6</v>
      </c>
      <c r="B414" s="173" t="s">
        <v>89</v>
      </c>
      <c r="C414" s="159" t="s">
        <v>939</v>
      </c>
      <c r="D414" s="159" t="s">
        <v>529</v>
      </c>
      <c r="E414" s="159">
        <v>5</v>
      </c>
      <c r="F414" s="174" t="s">
        <v>940</v>
      </c>
      <c r="G414" s="159" t="s">
        <v>941</v>
      </c>
      <c r="H414" s="159">
        <v>4027071083</v>
      </c>
      <c r="I414" s="159" t="s">
        <v>942</v>
      </c>
      <c r="J414" s="174" t="s">
        <v>943</v>
      </c>
      <c r="K414" s="159"/>
      <c r="L414" s="159"/>
      <c r="M414" s="159" t="s">
        <v>944</v>
      </c>
      <c r="N414" s="94" t="s">
        <v>34</v>
      </c>
      <c r="O414" s="152">
        <v>45809</v>
      </c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13"/>
      <c r="AV414" s="113"/>
    </row>
    <row r="415" spans="1:48" ht="15" hidden="1" customHeight="1">
      <c r="A415" s="464">
        <v>7</v>
      </c>
      <c r="B415" s="465" t="s">
        <v>48</v>
      </c>
      <c r="C415" s="466" t="s">
        <v>488</v>
      </c>
      <c r="D415" s="466" t="s">
        <v>489</v>
      </c>
      <c r="E415" s="466">
        <v>4</v>
      </c>
      <c r="F415" s="467" t="s">
        <v>490</v>
      </c>
      <c r="G415" s="466" t="s">
        <v>491</v>
      </c>
      <c r="H415" s="466">
        <v>4085076346</v>
      </c>
      <c r="I415" s="466" t="s">
        <v>492</v>
      </c>
      <c r="J415" s="467" t="s">
        <v>903</v>
      </c>
      <c r="K415" s="466" t="s">
        <v>262</v>
      </c>
      <c r="L415" s="466">
        <v>81</v>
      </c>
      <c r="M415" s="466" t="s">
        <v>938</v>
      </c>
      <c r="N415" s="468" t="s">
        <v>34</v>
      </c>
      <c r="O415" s="469">
        <v>45809</v>
      </c>
      <c r="P415" s="470"/>
      <c r="Q415" s="470"/>
      <c r="R415" s="470"/>
      <c r="S415" s="470"/>
      <c r="T415" s="470"/>
      <c r="U415" s="470"/>
      <c r="V415" s="470"/>
      <c r="W415" s="470"/>
      <c r="X415" s="470"/>
      <c r="Y415" s="470"/>
      <c r="Z415" s="470"/>
      <c r="AA415" s="470"/>
      <c r="AB415" s="470"/>
      <c r="AC415" s="470"/>
      <c r="AD415" s="470"/>
      <c r="AE415" s="470"/>
      <c r="AF415" s="470"/>
      <c r="AG415" s="470"/>
      <c r="AH415" s="470"/>
      <c r="AI415" s="470"/>
      <c r="AJ415" s="470"/>
      <c r="AK415" s="470"/>
      <c r="AL415" s="470"/>
      <c r="AM415" s="470"/>
      <c r="AN415" s="470"/>
      <c r="AO415" s="470"/>
      <c r="AP415" s="470"/>
      <c r="AQ415" s="470"/>
      <c r="AR415" s="470"/>
      <c r="AS415" s="470"/>
      <c r="AT415" s="470"/>
      <c r="AU415" s="471"/>
      <c r="AV415" s="471"/>
    </row>
    <row r="416" spans="1:48" ht="15" hidden="1" customHeight="1">
      <c r="A416" s="464">
        <v>8</v>
      </c>
      <c r="B416" s="465" t="s">
        <v>89</v>
      </c>
      <c r="C416" s="466" t="s">
        <v>488</v>
      </c>
      <c r="D416" s="466" t="s">
        <v>489</v>
      </c>
      <c r="E416" s="466">
        <v>4</v>
      </c>
      <c r="F416" s="467" t="s">
        <v>493</v>
      </c>
      <c r="G416" s="466" t="s">
        <v>494</v>
      </c>
      <c r="H416" s="466">
        <v>4085076346</v>
      </c>
      <c r="I416" s="466" t="s">
        <v>492</v>
      </c>
      <c r="J416" s="467">
        <v>45566</v>
      </c>
      <c r="K416" s="466" t="s">
        <v>945</v>
      </c>
      <c r="L416" s="466">
        <v>56</v>
      </c>
      <c r="M416" s="466" t="s">
        <v>938</v>
      </c>
      <c r="N416" s="468" t="s">
        <v>34</v>
      </c>
      <c r="O416" s="469">
        <v>45809</v>
      </c>
      <c r="P416" s="470"/>
      <c r="Q416" s="470"/>
      <c r="R416" s="470"/>
      <c r="S416" s="470"/>
      <c r="T416" s="470"/>
      <c r="U416" s="470"/>
      <c r="V416" s="470"/>
      <c r="W416" s="470"/>
      <c r="X416" s="470"/>
      <c r="Y416" s="470"/>
      <c r="Z416" s="470"/>
      <c r="AA416" s="470"/>
      <c r="AB416" s="470"/>
      <c r="AC416" s="470"/>
      <c r="AD416" s="470"/>
      <c r="AE416" s="470"/>
      <c r="AF416" s="470"/>
      <c r="AG416" s="470"/>
      <c r="AH416" s="470"/>
      <c r="AI416" s="470"/>
      <c r="AJ416" s="470"/>
      <c r="AK416" s="470"/>
      <c r="AL416" s="470"/>
      <c r="AM416" s="470"/>
      <c r="AN416" s="470"/>
      <c r="AO416" s="470"/>
      <c r="AP416" s="470"/>
      <c r="AQ416" s="470"/>
      <c r="AR416" s="470"/>
      <c r="AS416" s="470"/>
      <c r="AT416" s="470"/>
      <c r="AU416" s="471"/>
      <c r="AV416" s="471"/>
    </row>
    <row r="417" spans="1:48" ht="15" hidden="1" customHeight="1">
      <c r="A417" s="103">
        <v>9</v>
      </c>
      <c r="B417" s="173" t="s">
        <v>48</v>
      </c>
      <c r="C417" s="159" t="s">
        <v>640</v>
      </c>
      <c r="D417" s="159" t="s">
        <v>641</v>
      </c>
      <c r="E417" s="159">
        <v>4</v>
      </c>
      <c r="F417" s="174" t="s">
        <v>946</v>
      </c>
      <c r="G417" s="159" t="s">
        <v>947</v>
      </c>
      <c r="H417" s="159">
        <v>3104608958</v>
      </c>
      <c r="I417" s="159" t="s">
        <v>643</v>
      </c>
      <c r="J417" s="174" t="s">
        <v>948</v>
      </c>
      <c r="K417" s="159" t="s">
        <v>541</v>
      </c>
      <c r="L417" s="159">
        <v>16</v>
      </c>
      <c r="M417" s="159"/>
      <c r="N417" s="94" t="s">
        <v>34</v>
      </c>
      <c r="O417" s="152">
        <v>45809</v>
      </c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13"/>
      <c r="AV417" s="113"/>
    </row>
    <row r="418" spans="1:48" ht="15" hidden="1" customHeight="1">
      <c r="A418" s="103">
        <v>10</v>
      </c>
      <c r="B418" s="173" t="s">
        <v>89</v>
      </c>
      <c r="C418" s="159" t="s">
        <v>640</v>
      </c>
      <c r="D418" s="159" t="s">
        <v>641</v>
      </c>
      <c r="E418" s="159">
        <v>4</v>
      </c>
      <c r="F418" s="174" t="s">
        <v>946</v>
      </c>
      <c r="G418" s="159" t="s">
        <v>947</v>
      </c>
      <c r="H418" s="159">
        <v>3104608958</v>
      </c>
      <c r="I418" s="159" t="s">
        <v>643</v>
      </c>
      <c r="J418" s="174" t="s">
        <v>948</v>
      </c>
      <c r="K418" s="159" t="s">
        <v>205</v>
      </c>
      <c r="L418" s="159">
        <v>71</v>
      </c>
      <c r="M418" s="159"/>
      <c r="N418" s="94" t="s">
        <v>34</v>
      </c>
      <c r="O418" s="152">
        <v>45809</v>
      </c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13"/>
      <c r="AV418" s="113"/>
    </row>
    <row r="419" spans="1:48" ht="15" hidden="1" customHeight="1">
      <c r="A419" s="457">
        <v>11</v>
      </c>
      <c r="B419" s="458" t="s">
        <v>48</v>
      </c>
      <c r="C419" s="459" t="s">
        <v>372</v>
      </c>
      <c r="D419" s="459" t="s">
        <v>139</v>
      </c>
      <c r="E419" s="459" t="s">
        <v>133</v>
      </c>
      <c r="F419" s="460">
        <v>43274</v>
      </c>
      <c r="G419" s="459" t="s">
        <v>373</v>
      </c>
      <c r="H419" s="459">
        <v>2544004292</v>
      </c>
      <c r="I419" s="459" t="s">
        <v>374</v>
      </c>
      <c r="J419" s="460">
        <v>45503</v>
      </c>
      <c r="K419" s="459" t="s">
        <v>125</v>
      </c>
      <c r="L419" s="459">
        <v>86</v>
      </c>
      <c r="M419" s="459"/>
      <c r="N419" s="461" t="s">
        <v>34</v>
      </c>
      <c r="O419" s="462">
        <v>45809</v>
      </c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85"/>
      <c r="AV419" s="185"/>
    </row>
    <row r="420" spans="1:48" ht="15" hidden="1" customHeight="1">
      <c r="A420" s="457">
        <v>12</v>
      </c>
      <c r="B420" s="458" t="s">
        <v>89</v>
      </c>
      <c r="C420" s="459" t="s">
        <v>372</v>
      </c>
      <c r="D420" s="459" t="s">
        <v>139</v>
      </c>
      <c r="E420" s="459" t="s">
        <v>133</v>
      </c>
      <c r="F420" s="460">
        <v>43274</v>
      </c>
      <c r="G420" s="459" t="s">
        <v>373</v>
      </c>
      <c r="H420" s="459">
        <v>2544004292</v>
      </c>
      <c r="I420" s="459" t="s">
        <v>374</v>
      </c>
      <c r="J420" s="460">
        <v>45627</v>
      </c>
      <c r="K420" s="459" t="s">
        <v>198</v>
      </c>
      <c r="L420" s="459">
        <v>1</v>
      </c>
      <c r="M420" s="459"/>
      <c r="N420" s="461" t="s">
        <v>34</v>
      </c>
      <c r="O420" s="462">
        <v>45809</v>
      </c>
      <c r="P420" s="155"/>
      <c r="Q420" s="155"/>
      <c r="R420" s="155"/>
      <c r="S420" s="155"/>
      <c r="T420" s="155"/>
      <c r="U420" s="155"/>
      <c r="V420" s="155"/>
      <c r="W420" s="155"/>
      <c r="X420" s="155" t="s">
        <v>64</v>
      </c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85"/>
      <c r="AV420" s="185"/>
    </row>
    <row r="421" spans="1:48" ht="15" hidden="1" customHeight="1">
      <c r="A421" s="103">
        <v>13</v>
      </c>
      <c r="B421" s="173" t="s">
        <v>48</v>
      </c>
      <c r="C421" s="159" t="s">
        <v>756</v>
      </c>
      <c r="D421" s="159" t="s">
        <v>139</v>
      </c>
      <c r="E421" s="159">
        <v>2</v>
      </c>
      <c r="F421" s="174" t="s">
        <v>949</v>
      </c>
      <c r="G421" s="159" t="s">
        <v>950</v>
      </c>
      <c r="H421" s="159">
        <v>4087591928</v>
      </c>
      <c r="I421" s="159" t="s">
        <v>758</v>
      </c>
      <c r="J421" s="174" t="s">
        <v>948</v>
      </c>
      <c r="K421" s="159" t="s">
        <v>168</v>
      </c>
      <c r="L421" s="159">
        <v>105</v>
      </c>
      <c r="M421" s="159" t="s">
        <v>938</v>
      </c>
      <c r="N421" s="94" t="s">
        <v>34</v>
      </c>
      <c r="O421" s="152">
        <v>45809</v>
      </c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13"/>
      <c r="AV421" s="113"/>
    </row>
    <row r="422" spans="1:48" ht="15" hidden="1" customHeight="1">
      <c r="A422" s="103">
        <v>14</v>
      </c>
      <c r="B422" s="173" t="s">
        <v>89</v>
      </c>
      <c r="C422" s="159" t="s">
        <v>756</v>
      </c>
      <c r="D422" s="159" t="s">
        <v>139</v>
      </c>
      <c r="E422" s="159">
        <v>2</v>
      </c>
      <c r="F422" s="174" t="s">
        <v>949</v>
      </c>
      <c r="G422" s="159" t="s">
        <v>950</v>
      </c>
      <c r="H422" s="159">
        <v>4087591928</v>
      </c>
      <c r="I422" s="159" t="s">
        <v>758</v>
      </c>
      <c r="J422" s="174" t="s">
        <v>948</v>
      </c>
      <c r="K422" s="159" t="s">
        <v>198</v>
      </c>
      <c r="L422" s="159">
        <v>41</v>
      </c>
      <c r="M422" s="159" t="s">
        <v>938</v>
      </c>
      <c r="N422" s="94" t="s">
        <v>34</v>
      </c>
      <c r="O422" s="152">
        <v>45809</v>
      </c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13"/>
      <c r="AV422" s="113"/>
    </row>
    <row r="423" spans="1:48" ht="15" hidden="1" customHeight="1">
      <c r="A423" s="457">
        <v>15</v>
      </c>
      <c r="B423" s="458" t="s">
        <v>48</v>
      </c>
      <c r="C423" s="459" t="s">
        <v>317</v>
      </c>
      <c r="D423" s="459" t="s">
        <v>318</v>
      </c>
      <c r="E423" s="459">
        <v>3</v>
      </c>
      <c r="F423" s="460" t="s">
        <v>319</v>
      </c>
      <c r="G423" s="459" t="s">
        <v>320</v>
      </c>
      <c r="H423" s="459">
        <v>5103336666</v>
      </c>
      <c r="I423" s="459" t="s">
        <v>321</v>
      </c>
      <c r="J423" s="460" t="s">
        <v>936</v>
      </c>
      <c r="K423" s="459" t="s">
        <v>114</v>
      </c>
      <c r="L423" s="459">
        <v>81</v>
      </c>
      <c r="M423" s="459"/>
      <c r="N423" s="461" t="s">
        <v>34</v>
      </c>
      <c r="O423" s="462">
        <v>45809</v>
      </c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85"/>
      <c r="AV423" s="185"/>
    </row>
    <row r="424" spans="1:48" ht="15" hidden="1" customHeight="1">
      <c r="A424" s="103">
        <v>16</v>
      </c>
      <c r="B424" s="173" t="s">
        <v>48</v>
      </c>
      <c r="C424" s="159" t="s">
        <v>951</v>
      </c>
      <c r="D424" s="159" t="s">
        <v>952</v>
      </c>
      <c r="E424" s="159">
        <v>1</v>
      </c>
      <c r="F424" s="174" t="s">
        <v>953</v>
      </c>
      <c r="G424" s="159" t="s">
        <v>954</v>
      </c>
      <c r="H424" s="159">
        <v>5104566566</v>
      </c>
      <c r="I424" s="159" t="s">
        <v>955</v>
      </c>
      <c r="J424" s="174" t="s">
        <v>956</v>
      </c>
      <c r="K424" s="159" t="s">
        <v>174</v>
      </c>
      <c r="L424" s="159">
        <v>6</v>
      </c>
      <c r="M424" s="159" t="s">
        <v>720</v>
      </c>
      <c r="N424" s="94" t="s">
        <v>34</v>
      </c>
      <c r="O424" s="152">
        <v>45809</v>
      </c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13"/>
      <c r="AV424" s="113"/>
    </row>
    <row r="425" spans="1:48" ht="15" hidden="1" customHeight="1">
      <c r="A425" s="103">
        <v>17</v>
      </c>
      <c r="B425" s="173" t="s">
        <v>89</v>
      </c>
      <c r="C425" s="159" t="s">
        <v>951</v>
      </c>
      <c r="D425" s="159" t="s">
        <v>952</v>
      </c>
      <c r="E425" s="159">
        <v>1</v>
      </c>
      <c r="F425" s="174" t="s">
        <v>953</v>
      </c>
      <c r="G425" s="159" t="s">
        <v>954</v>
      </c>
      <c r="H425" s="159">
        <v>5104566566</v>
      </c>
      <c r="I425" s="159" t="s">
        <v>955</v>
      </c>
      <c r="J425" s="174" t="s">
        <v>956</v>
      </c>
      <c r="K425" s="159" t="s">
        <v>150</v>
      </c>
      <c r="L425" s="159">
        <v>1</v>
      </c>
      <c r="M425" s="159" t="s">
        <v>720</v>
      </c>
      <c r="N425" s="94" t="s">
        <v>34</v>
      </c>
      <c r="O425" s="152">
        <v>45809</v>
      </c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13"/>
      <c r="AV425" s="113"/>
    </row>
    <row r="426" spans="1:48" ht="15" hidden="1" customHeight="1">
      <c r="A426" s="103">
        <v>18</v>
      </c>
      <c r="B426" s="173" t="s">
        <v>48</v>
      </c>
      <c r="C426" s="159" t="s">
        <v>585</v>
      </c>
      <c r="D426" s="159" t="s">
        <v>957</v>
      </c>
      <c r="E426" s="159">
        <v>1</v>
      </c>
      <c r="F426" s="174">
        <v>42976</v>
      </c>
      <c r="G426" s="159" t="s">
        <v>958</v>
      </c>
      <c r="H426" s="159">
        <v>5105579050</v>
      </c>
      <c r="I426" s="159" t="s">
        <v>959</v>
      </c>
      <c r="J426" s="174">
        <v>45174</v>
      </c>
      <c r="K426" s="159" t="s">
        <v>181</v>
      </c>
      <c r="L426" s="159">
        <v>15</v>
      </c>
      <c r="M426" s="159"/>
      <c r="N426" s="94" t="s">
        <v>34</v>
      </c>
      <c r="O426" s="152">
        <v>45809</v>
      </c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13"/>
      <c r="AV426" s="113"/>
    </row>
    <row r="427" spans="1:48" ht="15" hidden="1" customHeight="1">
      <c r="A427" s="103">
        <v>19</v>
      </c>
      <c r="B427" s="173" t="s">
        <v>89</v>
      </c>
      <c r="C427" s="159" t="s">
        <v>585</v>
      </c>
      <c r="D427" s="159" t="s">
        <v>957</v>
      </c>
      <c r="E427" s="159">
        <v>1</v>
      </c>
      <c r="F427" s="174">
        <v>42976</v>
      </c>
      <c r="G427" s="159" t="s">
        <v>958</v>
      </c>
      <c r="H427" s="159">
        <v>5105579050</v>
      </c>
      <c r="I427" s="159" t="s">
        <v>959</v>
      </c>
      <c r="J427" s="174">
        <v>45174</v>
      </c>
      <c r="K427" s="159" t="s">
        <v>117</v>
      </c>
      <c r="L427" s="159">
        <v>18</v>
      </c>
      <c r="M427" s="159"/>
      <c r="N427" s="94" t="s">
        <v>34</v>
      </c>
      <c r="O427" s="152">
        <v>45809</v>
      </c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13"/>
      <c r="AV427" s="113"/>
    </row>
    <row r="428" spans="1:48" ht="15" hidden="1" customHeight="1">
      <c r="A428" s="103">
        <v>20</v>
      </c>
      <c r="B428" s="157" t="s">
        <v>48</v>
      </c>
      <c r="C428" s="159" t="s">
        <v>960</v>
      </c>
      <c r="D428" s="159" t="s">
        <v>961</v>
      </c>
      <c r="E428" s="472" t="s">
        <v>133</v>
      </c>
      <c r="F428" s="174">
        <v>43487</v>
      </c>
      <c r="G428" s="189" t="s">
        <v>962</v>
      </c>
      <c r="H428" s="189">
        <v>5107532567</v>
      </c>
      <c r="I428" s="189" t="s">
        <v>963</v>
      </c>
      <c r="J428" s="174">
        <v>45732</v>
      </c>
      <c r="K428" s="159"/>
      <c r="L428" s="159"/>
      <c r="M428" s="159" t="s">
        <v>964</v>
      </c>
      <c r="N428" s="94" t="s">
        <v>34</v>
      </c>
      <c r="O428" s="152">
        <v>45809</v>
      </c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</row>
    <row r="429" spans="1:48" ht="15" hidden="1" customHeight="1">
      <c r="A429" s="457">
        <v>21</v>
      </c>
      <c r="B429" s="458" t="s">
        <v>48</v>
      </c>
      <c r="C429" s="459" t="s">
        <v>157</v>
      </c>
      <c r="D429" s="459" t="s">
        <v>166</v>
      </c>
      <c r="E429" s="459" t="s">
        <v>133</v>
      </c>
      <c r="F429" s="460" t="s">
        <v>167</v>
      </c>
      <c r="G429" s="459" t="s">
        <v>162</v>
      </c>
      <c r="H429" s="459">
        <v>2177211536</v>
      </c>
      <c r="I429" s="459" t="s">
        <v>163</v>
      </c>
      <c r="J429" s="460" t="s">
        <v>903</v>
      </c>
      <c r="K429" s="459" t="s">
        <v>181</v>
      </c>
      <c r="L429" s="459">
        <v>36</v>
      </c>
      <c r="M429" s="459" t="s">
        <v>938</v>
      </c>
      <c r="N429" s="461" t="s">
        <v>34</v>
      </c>
      <c r="O429" s="462">
        <v>45809</v>
      </c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85"/>
      <c r="AV429" s="185"/>
    </row>
    <row r="430" spans="1:48" ht="15" hidden="1" customHeight="1">
      <c r="A430" s="457">
        <v>22</v>
      </c>
      <c r="B430" s="458" t="s">
        <v>89</v>
      </c>
      <c r="C430" s="459" t="s">
        <v>157</v>
      </c>
      <c r="D430" s="459" t="s">
        <v>166</v>
      </c>
      <c r="E430" s="459" t="s">
        <v>133</v>
      </c>
      <c r="F430" s="460" t="s">
        <v>167</v>
      </c>
      <c r="G430" s="459" t="s">
        <v>162</v>
      </c>
      <c r="H430" s="459">
        <v>2177211536</v>
      </c>
      <c r="I430" s="459" t="s">
        <v>163</v>
      </c>
      <c r="J430" s="460" t="s">
        <v>903</v>
      </c>
      <c r="K430" s="459" t="s">
        <v>198</v>
      </c>
      <c r="L430" s="459">
        <v>25</v>
      </c>
      <c r="M430" s="459" t="s">
        <v>938</v>
      </c>
      <c r="N430" s="461" t="s">
        <v>34</v>
      </c>
      <c r="O430" s="462">
        <v>45809</v>
      </c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85"/>
      <c r="AV430" s="185"/>
    </row>
    <row r="431" spans="1:48" ht="15" hidden="1" customHeight="1">
      <c r="A431" s="457">
        <v>23</v>
      </c>
      <c r="B431" s="458" t="s">
        <v>48</v>
      </c>
      <c r="C431" s="459" t="s">
        <v>286</v>
      </c>
      <c r="D431" s="459" t="s">
        <v>287</v>
      </c>
      <c r="E431" s="459">
        <v>2</v>
      </c>
      <c r="F431" s="460" t="s">
        <v>288</v>
      </c>
      <c r="G431" s="459" t="s">
        <v>289</v>
      </c>
      <c r="H431" s="459">
        <v>5102989555</v>
      </c>
      <c r="I431" s="459" t="s">
        <v>290</v>
      </c>
      <c r="J431" s="460" t="s">
        <v>364</v>
      </c>
      <c r="K431" s="459" t="s">
        <v>168</v>
      </c>
      <c r="L431" s="459">
        <v>51</v>
      </c>
      <c r="M431" s="459"/>
      <c r="N431" s="461" t="s">
        <v>34</v>
      </c>
      <c r="O431" s="462">
        <v>45809</v>
      </c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85"/>
      <c r="AV431" s="185"/>
    </row>
    <row r="432" spans="1:48" ht="15" hidden="1" customHeight="1">
      <c r="A432" s="457">
        <v>24</v>
      </c>
      <c r="B432" s="458" t="s">
        <v>89</v>
      </c>
      <c r="C432" s="459" t="s">
        <v>286</v>
      </c>
      <c r="D432" s="459" t="s">
        <v>287</v>
      </c>
      <c r="E432" s="459">
        <v>2</v>
      </c>
      <c r="F432" s="460" t="s">
        <v>291</v>
      </c>
      <c r="G432" s="459" t="s">
        <v>292</v>
      </c>
      <c r="H432" s="459">
        <v>5102989555</v>
      </c>
      <c r="I432" s="459" t="s">
        <v>290</v>
      </c>
      <c r="J432" s="460" t="s">
        <v>364</v>
      </c>
      <c r="K432" s="459" t="s">
        <v>198</v>
      </c>
      <c r="L432" s="459">
        <v>106</v>
      </c>
      <c r="M432" s="459"/>
      <c r="N432" s="461" t="s">
        <v>34</v>
      </c>
      <c r="O432" s="462">
        <v>45809</v>
      </c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85"/>
      <c r="AV432" s="185"/>
    </row>
    <row r="433" spans="1:48" ht="15" hidden="1" customHeight="1">
      <c r="A433" s="457">
        <v>25</v>
      </c>
      <c r="B433" s="458" t="s">
        <v>48</v>
      </c>
      <c r="C433" s="459" t="s">
        <v>379</v>
      </c>
      <c r="D433" s="459" t="s">
        <v>384</v>
      </c>
      <c r="E433" s="459">
        <v>1</v>
      </c>
      <c r="F433" s="460" t="s">
        <v>385</v>
      </c>
      <c r="G433" s="459" t="s">
        <v>386</v>
      </c>
      <c r="H433" s="459">
        <v>4088390577</v>
      </c>
      <c r="I433" s="459" t="s">
        <v>387</v>
      </c>
      <c r="J433" s="460" t="s">
        <v>948</v>
      </c>
      <c r="K433" s="473" t="s">
        <v>346</v>
      </c>
      <c r="L433" s="459">
        <v>41</v>
      </c>
      <c r="M433" s="459"/>
      <c r="N433" s="461" t="s">
        <v>34</v>
      </c>
      <c r="O433" s="462">
        <v>45809</v>
      </c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85"/>
      <c r="AV433" s="185"/>
    </row>
    <row r="434" spans="1:48" ht="15" hidden="1" customHeight="1">
      <c r="A434" s="457">
        <v>26</v>
      </c>
      <c r="B434" s="458" t="s">
        <v>89</v>
      </c>
      <c r="C434" s="459" t="s">
        <v>379</v>
      </c>
      <c r="D434" s="459" t="s">
        <v>384</v>
      </c>
      <c r="E434" s="459">
        <v>1</v>
      </c>
      <c r="F434" s="460" t="s">
        <v>385</v>
      </c>
      <c r="G434" s="459" t="s">
        <v>386</v>
      </c>
      <c r="H434" s="459">
        <v>4088390577</v>
      </c>
      <c r="I434" s="459" t="s">
        <v>387</v>
      </c>
      <c r="J434" s="460" t="s">
        <v>948</v>
      </c>
      <c r="K434" s="459" t="s">
        <v>136</v>
      </c>
      <c r="L434" s="459">
        <v>76</v>
      </c>
      <c r="M434" s="459"/>
      <c r="N434" s="461" t="s">
        <v>34</v>
      </c>
      <c r="O434" s="462">
        <v>45809</v>
      </c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85"/>
      <c r="AV434" s="185"/>
    </row>
    <row r="435" spans="1:48" ht="15" hidden="1" customHeight="1">
      <c r="A435" s="103">
        <v>27</v>
      </c>
      <c r="B435" s="173" t="s">
        <v>48</v>
      </c>
      <c r="C435" s="159" t="s">
        <v>157</v>
      </c>
      <c r="D435" s="159" t="s">
        <v>965</v>
      </c>
      <c r="E435" s="159">
        <v>3</v>
      </c>
      <c r="F435" s="174">
        <v>42436</v>
      </c>
      <c r="G435" s="159" t="s">
        <v>966</v>
      </c>
      <c r="H435" s="159">
        <v>6505245558</v>
      </c>
      <c r="I435" s="159" t="s">
        <v>967</v>
      </c>
      <c r="J435" s="174">
        <v>45658</v>
      </c>
      <c r="K435" s="159" t="s">
        <v>174</v>
      </c>
      <c r="L435" s="159">
        <v>11</v>
      </c>
      <c r="M435" s="159"/>
      <c r="N435" s="94" t="s">
        <v>34</v>
      </c>
      <c r="O435" s="152">
        <v>45809</v>
      </c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13"/>
      <c r="AV435" s="113"/>
    </row>
    <row r="436" spans="1:48" ht="15" hidden="1" customHeight="1">
      <c r="A436" s="457">
        <v>28</v>
      </c>
      <c r="B436" s="458" t="s">
        <v>89</v>
      </c>
      <c r="C436" s="459" t="s">
        <v>460</v>
      </c>
      <c r="D436" s="459" t="s">
        <v>297</v>
      </c>
      <c r="E436" s="459">
        <v>2</v>
      </c>
      <c r="F436" s="460" t="s">
        <v>464</v>
      </c>
      <c r="G436" s="459" t="s">
        <v>465</v>
      </c>
      <c r="H436" s="459">
        <v>4085108805</v>
      </c>
      <c r="I436" s="459" t="s">
        <v>466</v>
      </c>
      <c r="J436" s="460" t="s">
        <v>968</v>
      </c>
      <c r="K436" s="459" t="s">
        <v>205</v>
      </c>
      <c r="L436" s="459">
        <v>31</v>
      </c>
      <c r="M436" s="459"/>
      <c r="N436" s="461" t="s">
        <v>34</v>
      </c>
      <c r="O436" s="462">
        <v>45809</v>
      </c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85"/>
      <c r="AV436" s="185"/>
    </row>
    <row r="437" spans="1:48" ht="15" hidden="1" customHeight="1">
      <c r="A437" s="457">
        <v>29</v>
      </c>
      <c r="B437" s="474" t="s">
        <v>48</v>
      </c>
      <c r="C437" s="475" t="s">
        <v>460</v>
      </c>
      <c r="D437" s="475" t="s">
        <v>297</v>
      </c>
      <c r="E437" s="474">
        <v>3</v>
      </c>
      <c r="F437" s="462">
        <v>42620</v>
      </c>
      <c r="G437" s="476" t="s">
        <v>468</v>
      </c>
      <c r="H437" s="476">
        <v>5105574675</v>
      </c>
      <c r="I437" s="476" t="s">
        <v>463</v>
      </c>
      <c r="J437" s="462">
        <v>45766</v>
      </c>
      <c r="K437" s="475" t="s">
        <v>168</v>
      </c>
      <c r="L437" s="459">
        <v>100</v>
      </c>
      <c r="M437" s="459"/>
      <c r="N437" s="461" t="s">
        <v>34</v>
      </c>
      <c r="O437" s="462">
        <v>45809</v>
      </c>
      <c r="P437" s="477"/>
      <c r="Q437" s="477"/>
      <c r="R437" s="477"/>
      <c r="S437" s="477"/>
      <c r="T437" s="477"/>
      <c r="U437" s="477"/>
      <c r="V437" s="477"/>
      <c r="W437" s="477"/>
      <c r="X437" s="477"/>
      <c r="Y437" s="477"/>
      <c r="Z437" s="477"/>
      <c r="AA437" s="477"/>
      <c r="AB437" s="477"/>
      <c r="AC437" s="477"/>
      <c r="AD437" s="477"/>
      <c r="AE437" s="477"/>
      <c r="AF437" s="477"/>
      <c r="AG437" s="477"/>
      <c r="AH437" s="477"/>
      <c r="AI437" s="477"/>
      <c r="AJ437" s="477"/>
      <c r="AK437" s="477"/>
      <c r="AL437" s="477"/>
      <c r="AM437" s="477"/>
      <c r="AN437" s="477"/>
      <c r="AO437" s="477"/>
      <c r="AP437" s="477"/>
      <c r="AQ437" s="477"/>
      <c r="AR437" s="477"/>
      <c r="AS437" s="477"/>
      <c r="AT437" s="477"/>
      <c r="AU437" s="185"/>
      <c r="AV437" s="185"/>
    </row>
    <row r="438" spans="1:48" ht="15" hidden="1" customHeight="1">
      <c r="A438" s="457">
        <v>30</v>
      </c>
      <c r="B438" s="458" t="s">
        <v>48</v>
      </c>
      <c r="C438" s="459" t="s">
        <v>293</v>
      </c>
      <c r="D438" s="459" t="s">
        <v>294</v>
      </c>
      <c r="E438" s="459">
        <v>1</v>
      </c>
      <c r="F438" s="460">
        <v>43194</v>
      </c>
      <c r="G438" s="459" t="s">
        <v>295</v>
      </c>
      <c r="H438" s="459">
        <v>4155426994</v>
      </c>
      <c r="I438" s="459" t="s">
        <v>296</v>
      </c>
      <c r="J438" s="460">
        <v>45689</v>
      </c>
      <c r="K438" s="459" t="s">
        <v>174</v>
      </c>
      <c r="L438" s="459">
        <v>11</v>
      </c>
      <c r="M438" s="459"/>
      <c r="N438" s="461" t="s">
        <v>34</v>
      </c>
      <c r="O438" s="462">
        <v>45809</v>
      </c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85"/>
      <c r="AV438" s="185"/>
    </row>
    <row r="439" spans="1:48" ht="15" hidden="1" customHeight="1">
      <c r="A439" s="457">
        <v>31</v>
      </c>
      <c r="B439" s="458" t="s">
        <v>89</v>
      </c>
      <c r="C439" s="459" t="s">
        <v>293</v>
      </c>
      <c r="D439" s="459" t="s">
        <v>294</v>
      </c>
      <c r="E439" s="459">
        <v>1</v>
      </c>
      <c r="F439" s="460">
        <v>43194</v>
      </c>
      <c r="G439" s="459" t="s">
        <v>295</v>
      </c>
      <c r="H439" s="459">
        <v>4155426994</v>
      </c>
      <c r="I439" s="459" t="s">
        <v>296</v>
      </c>
      <c r="J439" s="460">
        <v>45689</v>
      </c>
      <c r="K439" s="459" t="s">
        <v>124</v>
      </c>
      <c r="L439" s="459">
        <v>46</v>
      </c>
      <c r="M439" s="459"/>
      <c r="N439" s="461" t="s">
        <v>34</v>
      </c>
      <c r="O439" s="462">
        <v>45809</v>
      </c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85"/>
      <c r="AV439" s="185"/>
    </row>
    <row r="440" spans="1:48" ht="15" hidden="1" customHeight="1">
      <c r="A440" s="457">
        <v>32</v>
      </c>
      <c r="B440" s="458" t="s">
        <v>48</v>
      </c>
      <c r="C440" s="459" t="s">
        <v>298</v>
      </c>
      <c r="D440" s="459" t="s">
        <v>568</v>
      </c>
      <c r="E440" s="459">
        <v>1</v>
      </c>
      <c r="F440" s="460">
        <v>42086</v>
      </c>
      <c r="G440" s="459" t="s">
        <v>569</v>
      </c>
      <c r="H440" s="459">
        <v>5109848496</v>
      </c>
      <c r="I440" s="459" t="s">
        <v>570</v>
      </c>
      <c r="J440" s="460">
        <v>45536</v>
      </c>
      <c r="K440" s="459" t="s">
        <v>541</v>
      </c>
      <c r="L440" s="459">
        <v>36</v>
      </c>
      <c r="M440" s="459"/>
      <c r="N440" s="461" t="s">
        <v>34</v>
      </c>
      <c r="O440" s="462">
        <v>45809</v>
      </c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85"/>
      <c r="AV440" s="185"/>
    </row>
    <row r="441" spans="1:48" ht="15" hidden="1" customHeight="1">
      <c r="A441" s="457">
        <v>33</v>
      </c>
      <c r="B441" s="458" t="s">
        <v>89</v>
      </c>
      <c r="C441" s="459" t="s">
        <v>298</v>
      </c>
      <c r="D441" s="459" t="s">
        <v>568</v>
      </c>
      <c r="E441" s="459">
        <v>1</v>
      </c>
      <c r="F441" s="460">
        <v>42086</v>
      </c>
      <c r="G441" s="459" t="s">
        <v>569</v>
      </c>
      <c r="H441" s="459">
        <v>5109848496</v>
      </c>
      <c r="I441" s="459" t="s">
        <v>570</v>
      </c>
      <c r="J441" s="460">
        <v>45536</v>
      </c>
      <c r="K441" s="459" t="s">
        <v>969</v>
      </c>
      <c r="L441" s="459">
        <v>31</v>
      </c>
      <c r="M441" s="459"/>
      <c r="N441" s="461" t="s">
        <v>34</v>
      </c>
      <c r="O441" s="462">
        <v>45809</v>
      </c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85"/>
      <c r="AV441" s="185"/>
    </row>
    <row r="442" spans="1:48" ht="15" hidden="1" customHeight="1">
      <c r="A442" s="457">
        <v>34</v>
      </c>
      <c r="B442" s="458" t="s">
        <v>48</v>
      </c>
      <c r="C442" s="459" t="s">
        <v>488</v>
      </c>
      <c r="D442" s="459" t="s">
        <v>496</v>
      </c>
      <c r="E442" s="459">
        <v>4</v>
      </c>
      <c r="F442" s="460" t="s">
        <v>490</v>
      </c>
      <c r="G442" s="459" t="s">
        <v>491</v>
      </c>
      <c r="H442" s="459">
        <v>4085076346</v>
      </c>
      <c r="I442" s="459" t="s">
        <v>492</v>
      </c>
      <c r="J442" s="460">
        <v>45520</v>
      </c>
      <c r="K442" s="459" t="s">
        <v>262</v>
      </c>
      <c r="L442" s="459">
        <v>66</v>
      </c>
      <c r="M442" s="459" t="s">
        <v>938</v>
      </c>
      <c r="N442" s="461" t="s">
        <v>34</v>
      </c>
      <c r="O442" s="462">
        <v>45809</v>
      </c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85"/>
      <c r="AV442" s="185"/>
    </row>
    <row r="443" spans="1:48" ht="15" hidden="1" customHeight="1">
      <c r="A443" s="457">
        <v>35</v>
      </c>
      <c r="B443" s="458" t="s">
        <v>89</v>
      </c>
      <c r="C443" s="459" t="s">
        <v>488</v>
      </c>
      <c r="D443" s="459" t="s">
        <v>496</v>
      </c>
      <c r="E443" s="459">
        <v>4</v>
      </c>
      <c r="F443" s="460" t="s">
        <v>493</v>
      </c>
      <c r="G443" s="459" t="s">
        <v>494</v>
      </c>
      <c r="H443" s="459">
        <v>4085076346</v>
      </c>
      <c r="I443" s="459" t="s">
        <v>492</v>
      </c>
      <c r="J443" s="460">
        <v>45566</v>
      </c>
      <c r="K443" s="459" t="s">
        <v>970</v>
      </c>
      <c r="L443" s="459">
        <v>76</v>
      </c>
      <c r="M443" s="459" t="s">
        <v>938</v>
      </c>
      <c r="N443" s="461" t="s">
        <v>34</v>
      </c>
      <c r="O443" s="462">
        <v>45809</v>
      </c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85"/>
      <c r="AV443" s="185"/>
    </row>
    <row r="444" spans="1:48" ht="15" hidden="1" customHeight="1">
      <c r="A444" s="457">
        <v>36</v>
      </c>
      <c r="B444" s="458" t="s">
        <v>48</v>
      </c>
      <c r="C444" s="459" t="s">
        <v>349</v>
      </c>
      <c r="D444" s="459" t="s">
        <v>350</v>
      </c>
      <c r="E444" s="459" t="s">
        <v>133</v>
      </c>
      <c r="F444" s="460" t="s">
        <v>351</v>
      </c>
      <c r="G444" s="459" t="s">
        <v>352</v>
      </c>
      <c r="H444" s="459">
        <v>4083936870</v>
      </c>
      <c r="I444" s="459" t="s">
        <v>353</v>
      </c>
      <c r="J444" s="460" t="s">
        <v>971</v>
      </c>
      <c r="K444" s="459" t="s">
        <v>422</v>
      </c>
      <c r="L444" s="459">
        <v>51</v>
      </c>
      <c r="M444" s="459" t="s">
        <v>938</v>
      </c>
      <c r="N444" s="461" t="s">
        <v>34</v>
      </c>
      <c r="O444" s="462">
        <v>45809</v>
      </c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85"/>
      <c r="AV444" s="185"/>
    </row>
    <row r="445" spans="1:48" ht="15" hidden="1" customHeight="1">
      <c r="A445" s="457">
        <v>37</v>
      </c>
      <c r="B445" s="458" t="s">
        <v>89</v>
      </c>
      <c r="C445" s="459" t="s">
        <v>349</v>
      </c>
      <c r="D445" s="459" t="s">
        <v>350</v>
      </c>
      <c r="E445" s="459" t="s">
        <v>133</v>
      </c>
      <c r="F445" s="460" t="s">
        <v>351</v>
      </c>
      <c r="G445" s="459" t="s">
        <v>352</v>
      </c>
      <c r="H445" s="459">
        <v>4083936870</v>
      </c>
      <c r="I445" s="459" t="s">
        <v>353</v>
      </c>
      <c r="J445" s="460" t="s">
        <v>971</v>
      </c>
      <c r="K445" s="459" t="s">
        <v>396</v>
      </c>
      <c r="L445" s="459">
        <v>66</v>
      </c>
      <c r="M445" s="459" t="s">
        <v>938</v>
      </c>
      <c r="N445" s="461" t="s">
        <v>34</v>
      </c>
      <c r="O445" s="462">
        <v>45809</v>
      </c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85"/>
      <c r="AV445" s="185"/>
    </row>
    <row r="446" spans="1:48" ht="15" hidden="1" customHeight="1">
      <c r="A446" s="103">
        <v>38</v>
      </c>
      <c r="B446" s="173" t="s">
        <v>48</v>
      </c>
      <c r="C446" s="159" t="s">
        <v>972</v>
      </c>
      <c r="D446" s="159" t="s">
        <v>973</v>
      </c>
      <c r="E446" s="159">
        <v>4</v>
      </c>
      <c r="F446" s="174" t="s">
        <v>446</v>
      </c>
      <c r="G446" s="159" t="s">
        <v>974</v>
      </c>
      <c r="H446" s="159">
        <v>2066055380</v>
      </c>
      <c r="I446" s="159" t="s">
        <v>975</v>
      </c>
      <c r="J446" s="174" t="s">
        <v>976</v>
      </c>
      <c r="K446" s="159" t="s">
        <v>114</v>
      </c>
      <c r="L446" s="159">
        <v>91</v>
      </c>
      <c r="M446" s="159"/>
      <c r="N446" s="94" t="s">
        <v>34</v>
      </c>
      <c r="O446" s="152">
        <v>45809</v>
      </c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13"/>
      <c r="AV446" s="113"/>
    </row>
    <row r="447" spans="1:48" ht="15" hidden="1" customHeight="1">
      <c r="A447" s="103">
        <v>39</v>
      </c>
      <c r="B447" s="173" t="s">
        <v>89</v>
      </c>
      <c r="C447" s="159" t="s">
        <v>972</v>
      </c>
      <c r="D447" s="159" t="s">
        <v>973</v>
      </c>
      <c r="E447" s="159">
        <v>4</v>
      </c>
      <c r="F447" s="174" t="s">
        <v>977</v>
      </c>
      <c r="G447" s="159" t="s">
        <v>978</v>
      </c>
      <c r="H447" s="159">
        <v>2066055380</v>
      </c>
      <c r="I447" s="159" t="s">
        <v>975</v>
      </c>
      <c r="J447" s="174" t="s">
        <v>976</v>
      </c>
      <c r="K447" s="159" t="s">
        <v>117</v>
      </c>
      <c r="L447" s="159">
        <v>96</v>
      </c>
      <c r="M447" s="159"/>
      <c r="N447" s="94" t="s">
        <v>34</v>
      </c>
      <c r="O447" s="152">
        <v>45809</v>
      </c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13"/>
      <c r="AV447" s="113"/>
    </row>
    <row r="448" spans="1:48" ht="15" hidden="1" customHeight="1">
      <c r="A448" s="103">
        <v>40</v>
      </c>
      <c r="B448" s="173" t="s">
        <v>48</v>
      </c>
      <c r="C448" s="159" t="s">
        <v>157</v>
      </c>
      <c r="D448" s="159" t="s">
        <v>979</v>
      </c>
      <c r="E448" s="159">
        <v>2</v>
      </c>
      <c r="F448" s="174">
        <v>42989</v>
      </c>
      <c r="G448" s="159" t="s">
        <v>980</v>
      </c>
      <c r="H448" s="159">
        <v>4082104112</v>
      </c>
      <c r="I448" s="159" t="s">
        <v>981</v>
      </c>
      <c r="J448" s="174">
        <v>45537</v>
      </c>
      <c r="K448" s="159" t="s">
        <v>125</v>
      </c>
      <c r="L448" s="159">
        <v>48</v>
      </c>
      <c r="M448" s="159"/>
      <c r="N448" s="94" t="s">
        <v>34</v>
      </c>
      <c r="O448" s="152">
        <v>45809</v>
      </c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13"/>
      <c r="AV448" s="113"/>
    </row>
    <row r="449" spans="1:48" ht="15" hidden="1" customHeight="1">
      <c r="A449" s="457">
        <v>41</v>
      </c>
      <c r="B449" s="458" t="s">
        <v>48</v>
      </c>
      <c r="C449" s="459" t="s">
        <v>414</v>
      </c>
      <c r="D449" s="459" t="s">
        <v>415</v>
      </c>
      <c r="E449" s="459" t="s">
        <v>133</v>
      </c>
      <c r="F449" s="460">
        <v>42867</v>
      </c>
      <c r="G449" s="459" t="s">
        <v>416</v>
      </c>
      <c r="H449" s="459">
        <v>4086432868</v>
      </c>
      <c r="I449" s="459" t="s">
        <v>417</v>
      </c>
      <c r="J449" s="460" t="s">
        <v>903</v>
      </c>
      <c r="K449" s="459" t="s">
        <v>114</v>
      </c>
      <c r="L449" s="459">
        <v>54</v>
      </c>
      <c r="M449" s="459"/>
      <c r="N449" s="461" t="s">
        <v>34</v>
      </c>
      <c r="O449" s="462">
        <v>45809</v>
      </c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85"/>
      <c r="AV449" s="185"/>
    </row>
    <row r="450" spans="1:48" ht="15" hidden="1" customHeight="1">
      <c r="A450" s="457">
        <v>42</v>
      </c>
      <c r="B450" s="458" t="s">
        <v>89</v>
      </c>
      <c r="C450" s="459" t="s">
        <v>414</v>
      </c>
      <c r="D450" s="459" t="s">
        <v>415</v>
      </c>
      <c r="E450" s="459" t="s">
        <v>133</v>
      </c>
      <c r="F450" s="460">
        <v>42867</v>
      </c>
      <c r="G450" s="459" t="s">
        <v>416</v>
      </c>
      <c r="H450" s="459">
        <v>4086432868</v>
      </c>
      <c r="I450" s="459" t="s">
        <v>417</v>
      </c>
      <c r="J450" s="460" t="s">
        <v>903</v>
      </c>
      <c r="K450" s="459" t="s">
        <v>370</v>
      </c>
      <c r="L450" s="459">
        <v>28</v>
      </c>
      <c r="M450" s="459"/>
      <c r="N450" s="461" t="s">
        <v>34</v>
      </c>
      <c r="O450" s="462">
        <v>45809</v>
      </c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85"/>
      <c r="AV450" s="185"/>
    </row>
    <row r="451" spans="1:48" ht="15" hidden="1" customHeight="1">
      <c r="A451" s="457">
        <v>43</v>
      </c>
      <c r="B451" s="458" t="s">
        <v>48</v>
      </c>
      <c r="C451" s="459" t="s">
        <v>640</v>
      </c>
      <c r="D451" s="459" t="s">
        <v>982</v>
      </c>
      <c r="E451" s="459">
        <v>6</v>
      </c>
      <c r="F451" s="460" t="s">
        <v>983</v>
      </c>
      <c r="G451" s="459" t="s">
        <v>984</v>
      </c>
      <c r="H451" s="459">
        <v>5107714715</v>
      </c>
      <c r="I451" s="459" t="s">
        <v>985</v>
      </c>
      <c r="J451" s="460" t="s">
        <v>986</v>
      </c>
      <c r="K451" s="459" t="s">
        <v>987</v>
      </c>
      <c r="L451" s="459">
        <v>1</v>
      </c>
      <c r="M451" s="459"/>
      <c r="N451" s="461" t="s">
        <v>34</v>
      </c>
      <c r="O451" s="462">
        <v>45809</v>
      </c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85"/>
      <c r="AV451" s="185"/>
    </row>
    <row r="452" spans="1:48" ht="15" hidden="1" customHeight="1">
      <c r="A452" s="457">
        <v>44</v>
      </c>
      <c r="B452" s="458" t="s">
        <v>48</v>
      </c>
      <c r="C452" s="459" t="s">
        <v>460</v>
      </c>
      <c r="D452" s="459" t="s">
        <v>474</v>
      </c>
      <c r="E452" s="459">
        <v>4</v>
      </c>
      <c r="F452" s="460" t="s">
        <v>475</v>
      </c>
      <c r="G452" s="459" t="s">
        <v>465</v>
      </c>
      <c r="H452" s="459">
        <v>4085108805</v>
      </c>
      <c r="I452" s="459" t="s">
        <v>466</v>
      </c>
      <c r="J452" s="460" t="s">
        <v>968</v>
      </c>
      <c r="K452" s="459" t="s">
        <v>987</v>
      </c>
      <c r="L452" s="459">
        <v>31</v>
      </c>
      <c r="M452" s="459"/>
      <c r="N452" s="461" t="s">
        <v>34</v>
      </c>
      <c r="O452" s="462">
        <v>45809</v>
      </c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85"/>
      <c r="AV452" s="185"/>
    </row>
    <row r="453" spans="1:48" ht="15" hidden="1" customHeight="1">
      <c r="A453" s="457">
        <v>45</v>
      </c>
      <c r="B453" s="458" t="s">
        <v>89</v>
      </c>
      <c r="C453" s="459" t="s">
        <v>460</v>
      </c>
      <c r="D453" s="459" t="s">
        <v>474</v>
      </c>
      <c r="E453" s="459">
        <v>4</v>
      </c>
      <c r="F453" s="460" t="s">
        <v>475</v>
      </c>
      <c r="G453" s="459" t="s">
        <v>465</v>
      </c>
      <c r="H453" s="459">
        <v>4085108805</v>
      </c>
      <c r="I453" s="459" t="s">
        <v>466</v>
      </c>
      <c r="J453" s="460" t="s">
        <v>968</v>
      </c>
      <c r="K453" s="459" t="s">
        <v>497</v>
      </c>
      <c r="L453" s="459">
        <v>71</v>
      </c>
      <c r="M453" s="459"/>
      <c r="N453" s="461" t="s">
        <v>34</v>
      </c>
      <c r="O453" s="462">
        <v>45809</v>
      </c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85"/>
      <c r="AV453" s="185"/>
    </row>
    <row r="454" spans="1:48" ht="15" hidden="1" customHeight="1">
      <c r="A454" s="103">
        <v>46</v>
      </c>
      <c r="B454" s="173" t="s">
        <v>48</v>
      </c>
      <c r="C454" s="159" t="s">
        <v>756</v>
      </c>
      <c r="D454" s="159" t="s">
        <v>807</v>
      </c>
      <c r="E454" s="159">
        <v>4</v>
      </c>
      <c r="F454" s="174" t="s">
        <v>925</v>
      </c>
      <c r="G454" s="159" t="s">
        <v>950</v>
      </c>
      <c r="H454" s="159">
        <v>4087591928</v>
      </c>
      <c r="I454" s="159" t="s">
        <v>758</v>
      </c>
      <c r="J454" s="174" t="s">
        <v>948</v>
      </c>
      <c r="K454" s="159" t="s">
        <v>204</v>
      </c>
      <c r="L454" s="159">
        <v>41</v>
      </c>
      <c r="M454" s="159" t="s">
        <v>938</v>
      </c>
      <c r="N454" s="94" t="s">
        <v>34</v>
      </c>
      <c r="O454" s="152">
        <v>45809</v>
      </c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13"/>
      <c r="AV454" s="113"/>
    </row>
    <row r="455" spans="1:48" ht="15" hidden="1" customHeight="1">
      <c r="A455" s="103">
        <v>47</v>
      </c>
      <c r="B455" s="173" t="s">
        <v>89</v>
      </c>
      <c r="C455" s="159" t="s">
        <v>756</v>
      </c>
      <c r="D455" s="159" t="s">
        <v>807</v>
      </c>
      <c r="E455" s="159">
        <v>4</v>
      </c>
      <c r="F455" s="174" t="s">
        <v>925</v>
      </c>
      <c r="G455" s="159" t="s">
        <v>950</v>
      </c>
      <c r="H455" s="159">
        <v>4087591928</v>
      </c>
      <c r="I455" s="159" t="s">
        <v>758</v>
      </c>
      <c r="J455" s="174" t="s">
        <v>948</v>
      </c>
      <c r="K455" s="159" t="s">
        <v>370</v>
      </c>
      <c r="L455" s="159">
        <v>21</v>
      </c>
      <c r="M455" s="159" t="s">
        <v>938</v>
      </c>
      <c r="N455" s="94" t="s">
        <v>34</v>
      </c>
      <c r="O455" s="152">
        <v>45809</v>
      </c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13"/>
      <c r="AV455" s="113"/>
    </row>
    <row r="456" spans="1:48" ht="15" hidden="1" customHeight="1">
      <c r="A456" s="103">
        <v>48</v>
      </c>
      <c r="B456" s="173" t="s">
        <v>48</v>
      </c>
      <c r="C456" s="159" t="s">
        <v>138</v>
      </c>
      <c r="D456" s="159" t="s">
        <v>915</v>
      </c>
      <c r="E456" s="159">
        <v>1</v>
      </c>
      <c r="F456" s="174">
        <v>43199</v>
      </c>
      <c r="G456" s="159" t="s">
        <v>916</v>
      </c>
      <c r="H456" s="159">
        <v>6503046747</v>
      </c>
      <c r="I456" s="159" t="s">
        <v>917</v>
      </c>
      <c r="J456" s="174">
        <v>45572</v>
      </c>
      <c r="K456" s="159" t="s">
        <v>181</v>
      </c>
      <c r="L456" s="159">
        <v>66</v>
      </c>
      <c r="M456" s="159"/>
      <c r="N456" s="94" t="s">
        <v>34</v>
      </c>
      <c r="O456" s="152">
        <v>45809</v>
      </c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13"/>
      <c r="AV456" s="113"/>
    </row>
    <row r="457" spans="1:48" ht="15" hidden="1" customHeight="1">
      <c r="A457" s="103">
        <v>49</v>
      </c>
      <c r="B457" s="173" t="s">
        <v>89</v>
      </c>
      <c r="C457" s="159" t="s">
        <v>138</v>
      </c>
      <c r="D457" s="159" t="s">
        <v>915</v>
      </c>
      <c r="E457" s="159">
        <v>1</v>
      </c>
      <c r="F457" s="174">
        <v>43200</v>
      </c>
      <c r="G457" s="159" t="s">
        <v>988</v>
      </c>
      <c r="H457" s="159">
        <v>6503046747</v>
      </c>
      <c r="I457" s="159" t="s">
        <v>917</v>
      </c>
      <c r="J457" s="174">
        <v>45673</v>
      </c>
      <c r="K457" s="159" t="s">
        <v>150</v>
      </c>
      <c r="L457" s="159">
        <v>56</v>
      </c>
      <c r="M457" s="159"/>
      <c r="N457" s="94" t="s">
        <v>34</v>
      </c>
      <c r="O457" s="152">
        <v>45809</v>
      </c>
      <c r="P457" s="126"/>
      <c r="Q457" s="126"/>
      <c r="R457" s="126"/>
      <c r="S457" s="126"/>
      <c r="T457" s="126"/>
      <c r="U457" s="126"/>
      <c r="V457" s="126" t="s">
        <v>64</v>
      </c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13"/>
      <c r="AV457" s="113"/>
    </row>
    <row r="458" spans="1:48" ht="15" hidden="1" customHeight="1">
      <c r="A458" s="457">
        <v>50</v>
      </c>
      <c r="B458" s="458" t="s">
        <v>48</v>
      </c>
      <c r="C458" s="459" t="s">
        <v>311</v>
      </c>
      <c r="D458" s="459" t="s">
        <v>312</v>
      </c>
      <c r="E458" s="459" t="s">
        <v>133</v>
      </c>
      <c r="F458" s="460" t="s">
        <v>313</v>
      </c>
      <c r="G458" s="459" t="s">
        <v>314</v>
      </c>
      <c r="H458" s="459">
        <v>2016651117</v>
      </c>
      <c r="I458" s="459" t="s">
        <v>315</v>
      </c>
      <c r="J458" s="460" t="s">
        <v>880</v>
      </c>
      <c r="K458" s="459" t="s">
        <v>125</v>
      </c>
      <c r="L458" s="459">
        <v>61</v>
      </c>
      <c r="M458" s="459"/>
      <c r="N458" s="461" t="s">
        <v>34</v>
      </c>
      <c r="O458" s="462">
        <v>45809</v>
      </c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85"/>
      <c r="AV458" s="185"/>
    </row>
    <row r="459" spans="1:48" ht="15" hidden="1" customHeight="1">
      <c r="A459" s="457">
        <v>51</v>
      </c>
      <c r="B459" s="458" t="s">
        <v>89</v>
      </c>
      <c r="C459" s="459" t="s">
        <v>311</v>
      </c>
      <c r="D459" s="459" t="s">
        <v>312</v>
      </c>
      <c r="E459" s="459" t="s">
        <v>133</v>
      </c>
      <c r="F459" s="460" t="s">
        <v>989</v>
      </c>
      <c r="G459" s="459" t="s">
        <v>316</v>
      </c>
      <c r="H459" s="459">
        <v>2016651117</v>
      </c>
      <c r="I459" s="459" t="s">
        <v>315</v>
      </c>
      <c r="J459" s="460">
        <v>45673</v>
      </c>
      <c r="K459" s="459" t="s">
        <v>130</v>
      </c>
      <c r="L459" s="459">
        <v>106</v>
      </c>
      <c r="M459" s="459"/>
      <c r="N459" s="461" t="s">
        <v>34</v>
      </c>
      <c r="O459" s="462">
        <v>45809</v>
      </c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85"/>
      <c r="AV459" s="185"/>
    </row>
    <row r="460" spans="1:48" ht="15" hidden="1" customHeight="1">
      <c r="A460" s="457">
        <v>1</v>
      </c>
      <c r="B460" s="458" t="s">
        <v>48</v>
      </c>
      <c r="C460" s="459" t="s">
        <v>298</v>
      </c>
      <c r="D460" s="459" t="s">
        <v>538</v>
      </c>
      <c r="E460" s="459">
        <v>2</v>
      </c>
      <c r="F460" s="460">
        <v>42348</v>
      </c>
      <c r="G460" s="459" t="s">
        <v>712</v>
      </c>
      <c r="H460" s="459">
        <v>4157228574</v>
      </c>
      <c r="I460" s="459" t="s">
        <v>540</v>
      </c>
      <c r="J460" s="460" t="s">
        <v>990</v>
      </c>
      <c r="K460" s="459" t="s">
        <v>193</v>
      </c>
      <c r="L460" s="459">
        <v>71</v>
      </c>
      <c r="M460" s="459" t="s">
        <v>991</v>
      </c>
      <c r="N460" s="461" t="s">
        <v>34</v>
      </c>
      <c r="O460" s="462">
        <v>45839</v>
      </c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6"/>
      <c r="AV460" s="156"/>
    </row>
    <row r="461" spans="1:48" ht="15" hidden="1" customHeight="1">
      <c r="A461" s="457">
        <v>2</v>
      </c>
      <c r="B461" s="458" t="s">
        <v>89</v>
      </c>
      <c r="C461" s="459" t="s">
        <v>298</v>
      </c>
      <c r="D461" s="459" t="s">
        <v>538</v>
      </c>
      <c r="E461" s="459">
        <v>2</v>
      </c>
      <c r="F461" s="460">
        <v>42348</v>
      </c>
      <c r="G461" s="459" t="s">
        <v>712</v>
      </c>
      <c r="H461" s="459">
        <v>4157228574</v>
      </c>
      <c r="I461" s="459" t="s">
        <v>540</v>
      </c>
      <c r="J461" s="460" t="s">
        <v>990</v>
      </c>
      <c r="K461" s="459" t="s">
        <v>205</v>
      </c>
      <c r="L461" s="459">
        <v>66</v>
      </c>
      <c r="M461" s="459"/>
      <c r="N461" s="461" t="s">
        <v>34</v>
      </c>
      <c r="O461" s="462">
        <v>45839</v>
      </c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6"/>
      <c r="AV461" s="156"/>
    </row>
    <row r="462" spans="1:48" ht="15" hidden="1" customHeight="1">
      <c r="A462" s="103">
        <v>3</v>
      </c>
      <c r="B462" s="88" t="s">
        <v>48</v>
      </c>
      <c r="C462" s="137" t="s">
        <v>323</v>
      </c>
      <c r="D462" s="137" t="s">
        <v>992</v>
      </c>
      <c r="E462" s="137">
        <v>4</v>
      </c>
      <c r="F462" s="138" t="s">
        <v>993</v>
      </c>
      <c r="G462" s="137" t="s">
        <v>994</v>
      </c>
      <c r="H462" s="137">
        <v>4085696688</v>
      </c>
      <c r="I462" s="137" t="s">
        <v>995</v>
      </c>
      <c r="J462" s="138">
        <v>45154</v>
      </c>
      <c r="K462" s="478" t="s">
        <v>204</v>
      </c>
      <c r="L462" s="137">
        <v>66</v>
      </c>
      <c r="M462" s="137"/>
      <c r="N462" s="119" t="s">
        <v>34</v>
      </c>
      <c r="O462" s="152">
        <v>45839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197"/>
      <c r="AV462" s="197"/>
    </row>
    <row r="463" spans="1:48" ht="15" hidden="1" customHeight="1">
      <c r="A463" s="103">
        <v>4</v>
      </c>
      <c r="B463" s="88" t="s">
        <v>89</v>
      </c>
      <c r="C463" s="137" t="s">
        <v>323</v>
      </c>
      <c r="D463" s="137" t="s">
        <v>992</v>
      </c>
      <c r="E463" s="137">
        <v>4</v>
      </c>
      <c r="F463" s="138">
        <v>41866</v>
      </c>
      <c r="G463" s="137" t="s">
        <v>994</v>
      </c>
      <c r="H463" s="137">
        <v>4085696688</v>
      </c>
      <c r="I463" s="137" t="s">
        <v>995</v>
      </c>
      <c r="J463" s="138">
        <v>45154</v>
      </c>
      <c r="K463" s="218" t="s">
        <v>205</v>
      </c>
      <c r="L463" s="137">
        <v>56</v>
      </c>
      <c r="M463" s="137"/>
      <c r="N463" s="119" t="s">
        <v>34</v>
      </c>
      <c r="O463" s="152">
        <v>45839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197"/>
      <c r="AV463" s="197"/>
    </row>
    <row r="464" spans="1:48" ht="15" hidden="1" customHeight="1">
      <c r="A464" s="103">
        <v>5</v>
      </c>
      <c r="B464" s="88" t="s">
        <v>89</v>
      </c>
      <c r="C464" s="137" t="s">
        <v>996</v>
      </c>
      <c r="D464" s="137" t="s">
        <v>286</v>
      </c>
      <c r="E464" s="137">
        <v>6</v>
      </c>
      <c r="F464" s="138">
        <v>41507</v>
      </c>
      <c r="G464" s="137" t="s">
        <v>997</v>
      </c>
      <c r="H464" s="137">
        <v>4084894857</v>
      </c>
      <c r="I464" s="137" t="s">
        <v>998</v>
      </c>
      <c r="J464" s="138">
        <v>45704</v>
      </c>
      <c r="K464" s="137"/>
      <c r="L464" s="137"/>
      <c r="M464" s="137" t="s">
        <v>322</v>
      </c>
      <c r="N464" s="119" t="s">
        <v>34</v>
      </c>
      <c r="O464" s="152">
        <v>45839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197"/>
      <c r="AV464" s="197"/>
    </row>
    <row r="465" spans="1:48" ht="15" hidden="1" customHeight="1">
      <c r="A465" s="103">
        <v>6</v>
      </c>
      <c r="B465" s="88" t="s">
        <v>48</v>
      </c>
      <c r="C465" s="137" t="s">
        <v>996</v>
      </c>
      <c r="D465" s="137" t="s">
        <v>286</v>
      </c>
      <c r="E465" s="137">
        <v>6</v>
      </c>
      <c r="F465" s="138">
        <v>41507</v>
      </c>
      <c r="G465" s="137" t="s">
        <v>997</v>
      </c>
      <c r="H465" s="137">
        <v>4084894857</v>
      </c>
      <c r="I465" s="137" t="s">
        <v>998</v>
      </c>
      <c r="J465" s="138">
        <v>45704</v>
      </c>
      <c r="K465" s="137"/>
      <c r="L465" s="137"/>
      <c r="M465" s="137" t="s">
        <v>322</v>
      </c>
      <c r="N465" s="119" t="s">
        <v>34</v>
      </c>
      <c r="O465" s="152">
        <v>45839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197"/>
      <c r="AV465" s="197"/>
    </row>
    <row r="466" spans="1:48" ht="15" hidden="1" customHeight="1">
      <c r="A466" s="457">
        <v>7</v>
      </c>
      <c r="B466" s="458" t="s">
        <v>48</v>
      </c>
      <c r="C466" s="459" t="s">
        <v>429</v>
      </c>
      <c r="D466" s="459" t="s">
        <v>430</v>
      </c>
      <c r="E466" s="459">
        <v>2</v>
      </c>
      <c r="F466" s="460" t="s">
        <v>431</v>
      </c>
      <c r="G466" s="459" t="s">
        <v>432</v>
      </c>
      <c r="H466" s="459">
        <v>3473220327</v>
      </c>
      <c r="I466" s="459" t="s">
        <v>433</v>
      </c>
      <c r="J466" s="460" t="s">
        <v>968</v>
      </c>
      <c r="K466" s="459" t="s">
        <v>181</v>
      </c>
      <c r="L466" s="459">
        <v>56</v>
      </c>
      <c r="M466" s="459" t="s">
        <v>999</v>
      </c>
      <c r="N466" s="461" t="s">
        <v>34</v>
      </c>
      <c r="O466" s="462">
        <v>45839</v>
      </c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6"/>
      <c r="AV466" s="156"/>
    </row>
    <row r="467" spans="1:48" ht="15" hidden="1" customHeight="1">
      <c r="A467" s="457">
        <v>8</v>
      </c>
      <c r="B467" s="458" t="s">
        <v>89</v>
      </c>
      <c r="C467" s="459" t="s">
        <v>429</v>
      </c>
      <c r="D467" s="459" t="s">
        <v>430</v>
      </c>
      <c r="E467" s="459">
        <v>2</v>
      </c>
      <c r="F467" s="460" t="s">
        <v>431</v>
      </c>
      <c r="G467" s="459" t="s">
        <v>432</v>
      </c>
      <c r="H467" s="459">
        <v>3473220327</v>
      </c>
      <c r="I467" s="459" t="s">
        <v>433</v>
      </c>
      <c r="J467" s="460" t="s">
        <v>968</v>
      </c>
      <c r="K467" s="459" t="s">
        <v>150</v>
      </c>
      <c r="L467" s="459">
        <v>71</v>
      </c>
      <c r="M467" s="459" t="s">
        <v>999</v>
      </c>
      <c r="N467" s="461" t="s">
        <v>34</v>
      </c>
      <c r="O467" s="462">
        <v>45839</v>
      </c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6"/>
      <c r="AV467" s="156"/>
    </row>
    <row r="468" spans="1:48" ht="15" hidden="1" customHeight="1">
      <c r="A468" s="103">
        <v>9</v>
      </c>
      <c r="B468" s="88" t="s">
        <v>48</v>
      </c>
      <c r="C468" s="137" t="s">
        <v>482</v>
      </c>
      <c r="D468" s="137" t="s">
        <v>481</v>
      </c>
      <c r="E468" s="167">
        <v>4</v>
      </c>
      <c r="F468" s="152">
        <v>42434</v>
      </c>
      <c r="G468" s="141" t="s">
        <v>1000</v>
      </c>
      <c r="H468" s="479">
        <v>5105202610</v>
      </c>
      <c r="I468" s="479" t="s">
        <v>484</v>
      </c>
      <c r="J468" s="152">
        <v>45810</v>
      </c>
      <c r="K468" s="141" t="s">
        <v>168</v>
      </c>
      <c r="L468" s="137">
        <v>98</v>
      </c>
      <c r="M468" s="137"/>
      <c r="N468" s="119" t="s">
        <v>34</v>
      </c>
      <c r="O468" s="152">
        <v>45839</v>
      </c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  <c r="AR468" s="197"/>
      <c r="AS468" s="197"/>
      <c r="AT468" s="197"/>
      <c r="AU468" s="2"/>
      <c r="AV468" s="2"/>
    </row>
    <row r="469" spans="1:48" ht="15" hidden="1" customHeight="1">
      <c r="A469" s="103">
        <v>10</v>
      </c>
      <c r="B469" s="119" t="s">
        <v>89</v>
      </c>
      <c r="C469" s="137" t="s">
        <v>486</v>
      </c>
      <c r="D469" s="137" t="s">
        <v>481</v>
      </c>
      <c r="E469" s="167">
        <v>1</v>
      </c>
      <c r="F469" s="138">
        <v>43326</v>
      </c>
      <c r="G469" s="141" t="s">
        <v>1001</v>
      </c>
      <c r="H469" s="479">
        <v>5105202610</v>
      </c>
      <c r="I469" s="479" t="s">
        <v>484</v>
      </c>
      <c r="J469" s="152">
        <v>45810</v>
      </c>
      <c r="K469" s="141" t="s">
        <v>243</v>
      </c>
      <c r="L469" s="137">
        <v>36</v>
      </c>
      <c r="M469" s="137" t="s">
        <v>1002</v>
      </c>
      <c r="N469" s="119" t="s">
        <v>34</v>
      </c>
      <c r="O469" s="152">
        <v>45839</v>
      </c>
      <c r="P469" s="480"/>
      <c r="Q469" s="480"/>
      <c r="R469" s="480"/>
      <c r="S469" s="480"/>
      <c r="T469" s="480"/>
      <c r="U469" s="480"/>
      <c r="V469" s="480"/>
      <c r="W469" s="480"/>
      <c r="X469" s="480"/>
      <c r="Y469" s="480"/>
      <c r="Z469" s="480"/>
      <c r="AA469" s="480"/>
      <c r="AB469" s="480"/>
      <c r="AC469" s="480"/>
      <c r="AD469" s="480"/>
      <c r="AE469" s="480"/>
      <c r="AF469" s="480"/>
      <c r="AG469" s="480"/>
      <c r="AH469" s="480"/>
      <c r="AI469" s="480"/>
      <c r="AJ469" s="480"/>
      <c r="AK469" s="480"/>
      <c r="AL469" s="480"/>
      <c r="AM469" s="480"/>
      <c r="AN469" s="480"/>
      <c r="AO469" s="480"/>
      <c r="AP469" s="480"/>
      <c r="AQ469" s="480"/>
      <c r="AR469" s="480"/>
      <c r="AS469" s="480"/>
      <c r="AT469" s="480"/>
      <c r="AU469" s="197"/>
      <c r="AV469" s="197"/>
    </row>
    <row r="470" spans="1:48" ht="15" hidden="1" customHeight="1">
      <c r="A470" s="103">
        <v>1</v>
      </c>
      <c r="B470" s="173" t="s">
        <v>48</v>
      </c>
      <c r="C470" s="159" t="s">
        <v>1003</v>
      </c>
      <c r="D470" s="159" t="s">
        <v>1004</v>
      </c>
      <c r="E470" s="159">
        <v>2</v>
      </c>
      <c r="F470" s="174" t="s">
        <v>1005</v>
      </c>
      <c r="G470" s="159" t="s">
        <v>1006</v>
      </c>
      <c r="H470" s="159">
        <v>5623488522</v>
      </c>
      <c r="I470" s="159" t="s">
        <v>1007</v>
      </c>
      <c r="J470" s="174" t="s">
        <v>1008</v>
      </c>
      <c r="K470" s="159" t="s">
        <v>136</v>
      </c>
      <c r="L470" s="159"/>
      <c r="M470" s="159"/>
      <c r="N470" s="94" t="s">
        <v>34</v>
      </c>
      <c r="O470" s="152">
        <v>45870</v>
      </c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18"/>
      <c r="AV470" s="118"/>
    </row>
    <row r="471" spans="1:48" ht="15" hidden="1" customHeight="1">
      <c r="A471" s="103">
        <v>2</v>
      </c>
      <c r="B471" s="173" t="s">
        <v>89</v>
      </c>
      <c r="C471" s="159" t="s">
        <v>1003</v>
      </c>
      <c r="D471" s="159" t="s">
        <v>1004</v>
      </c>
      <c r="E471" s="159">
        <v>2</v>
      </c>
      <c r="F471" s="174" t="s">
        <v>1005</v>
      </c>
      <c r="G471" s="159" t="s">
        <v>1006</v>
      </c>
      <c r="H471" s="159">
        <v>5623488522</v>
      </c>
      <c r="I471" s="159" t="s">
        <v>1007</v>
      </c>
      <c r="J471" s="174" t="s">
        <v>1008</v>
      </c>
      <c r="K471" s="159" t="s">
        <v>174</v>
      </c>
      <c r="L471" s="159"/>
      <c r="M471" s="159"/>
      <c r="N471" s="94" t="s">
        <v>34</v>
      </c>
      <c r="O471" s="152">
        <v>45870</v>
      </c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18"/>
      <c r="AV471" s="118"/>
    </row>
    <row r="472" spans="1:48" ht="15" hidden="1" customHeight="1">
      <c r="A472" s="103">
        <v>3</v>
      </c>
      <c r="B472" s="94" t="s">
        <v>89</v>
      </c>
      <c r="C472" s="159" t="s">
        <v>1009</v>
      </c>
      <c r="D472" s="159" t="s">
        <v>1010</v>
      </c>
      <c r="E472" s="157">
        <v>6</v>
      </c>
      <c r="F472" s="174">
        <v>42007</v>
      </c>
      <c r="G472" s="97" t="s">
        <v>1011</v>
      </c>
      <c r="H472" s="97">
        <v>5103143231</v>
      </c>
      <c r="I472" s="97" t="s">
        <v>1012</v>
      </c>
      <c r="J472" s="174">
        <v>45810</v>
      </c>
      <c r="K472" s="158" t="s">
        <v>150</v>
      </c>
      <c r="L472" s="159"/>
      <c r="M472" s="159"/>
      <c r="N472" s="94" t="s">
        <v>34</v>
      </c>
      <c r="O472" s="152">
        <v>45870</v>
      </c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  <c r="AT472" s="200"/>
      <c r="AU472" s="118"/>
      <c r="AV472" s="118"/>
    </row>
    <row r="473" spans="1:48" ht="15" hidden="1" customHeight="1">
      <c r="A473" s="103">
        <v>4</v>
      </c>
      <c r="B473" s="94" t="s">
        <v>48</v>
      </c>
      <c r="C473" s="159" t="s">
        <v>1009</v>
      </c>
      <c r="D473" s="159" t="s">
        <v>1010</v>
      </c>
      <c r="E473" s="157">
        <v>6</v>
      </c>
      <c r="F473" s="174">
        <v>42008</v>
      </c>
      <c r="G473" s="97" t="s">
        <v>1013</v>
      </c>
      <c r="H473" s="97">
        <v>5103143231</v>
      </c>
      <c r="I473" s="97" t="s">
        <v>1012</v>
      </c>
      <c r="J473" s="174">
        <v>45811</v>
      </c>
      <c r="K473" s="158" t="s">
        <v>168</v>
      </c>
      <c r="L473" s="159"/>
      <c r="M473" s="159"/>
      <c r="N473" s="94" t="s">
        <v>34</v>
      </c>
      <c r="O473" s="152">
        <v>45870</v>
      </c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  <c r="AT473" s="200"/>
      <c r="AU473" s="118"/>
      <c r="AV473" s="118"/>
    </row>
    <row r="474" spans="1:48" ht="15" hidden="1" customHeight="1">
      <c r="A474" s="103">
        <v>5</v>
      </c>
      <c r="B474" s="173" t="s">
        <v>48</v>
      </c>
      <c r="C474" s="159" t="s">
        <v>1014</v>
      </c>
      <c r="D474" s="159" t="s">
        <v>1015</v>
      </c>
      <c r="E474" s="159">
        <v>5</v>
      </c>
      <c r="F474" s="174" t="s">
        <v>1016</v>
      </c>
      <c r="G474" s="159" t="s">
        <v>1017</v>
      </c>
      <c r="H474" s="159">
        <v>4083389401</v>
      </c>
      <c r="I474" s="159" t="s">
        <v>1018</v>
      </c>
      <c r="J474" s="174" t="s">
        <v>986</v>
      </c>
      <c r="K474" s="158" t="s">
        <v>541</v>
      </c>
      <c r="L474" s="159"/>
      <c r="M474" s="159"/>
      <c r="N474" s="94" t="s">
        <v>34</v>
      </c>
      <c r="O474" s="152">
        <v>45870</v>
      </c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18"/>
      <c r="AV474" s="118"/>
    </row>
    <row r="475" spans="1:48" ht="15" hidden="1" customHeight="1">
      <c r="A475" s="103">
        <v>6</v>
      </c>
      <c r="B475" s="173" t="s">
        <v>89</v>
      </c>
      <c r="C475" s="159" t="s">
        <v>1014</v>
      </c>
      <c r="D475" s="159" t="s">
        <v>1015</v>
      </c>
      <c r="E475" s="159">
        <v>5</v>
      </c>
      <c r="F475" s="174" t="s">
        <v>1019</v>
      </c>
      <c r="G475" s="159" t="s">
        <v>1020</v>
      </c>
      <c r="H475" s="159">
        <v>4083389401</v>
      </c>
      <c r="I475" s="159" t="s">
        <v>1018</v>
      </c>
      <c r="J475" s="174" t="s">
        <v>986</v>
      </c>
      <c r="K475" s="158" t="s">
        <v>205</v>
      </c>
      <c r="L475" s="159"/>
      <c r="M475" s="159"/>
      <c r="N475" s="94" t="s">
        <v>34</v>
      </c>
      <c r="O475" s="152">
        <v>45870</v>
      </c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18"/>
      <c r="AV475" s="118"/>
    </row>
    <row r="476" spans="1:48" ht="15" hidden="1" customHeight="1">
      <c r="A476" s="103">
        <v>7</v>
      </c>
      <c r="B476" s="94" t="s">
        <v>48</v>
      </c>
      <c r="C476" s="95" t="s">
        <v>1021</v>
      </c>
      <c r="D476" s="95" t="s">
        <v>585</v>
      </c>
      <c r="E476" s="93">
        <v>3</v>
      </c>
      <c r="F476" s="96">
        <v>42675</v>
      </c>
      <c r="G476" s="97" t="s">
        <v>1022</v>
      </c>
      <c r="H476" s="97" t="s">
        <v>1022</v>
      </c>
      <c r="I476" s="97" t="s">
        <v>1023</v>
      </c>
      <c r="J476" s="96">
        <v>45838</v>
      </c>
      <c r="K476" s="158" t="s">
        <v>168</v>
      </c>
      <c r="L476" s="95"/>
      <c r="M476" s="95"/>
      <c r="N476" s="94" t="s">
        <v>34</v>
      </c>
      <c r="O476" s="152">
        <v>45870</v>
      </c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18"/>
      <c r="AV476" s="118"/>
    </row>
    <row r="477" spans="1:48" ht="15" hidden="1" customHeight="1">
      <c r="A477" s="103">
        <v>8</v>
      </c>
      <c r="B477" s="94" t="s">
        <v>89</v>
      </c>
      <c r="C477" s="95" t="s">
        <v>1021</v>
      </c>
      <c r="D477" s="95" t="s">
        <v>585</v>
      </c>
      <c r="E477" s="93">
        <v>3</v>
      </c>
      <c r="F477" s="96">
        <v>42675</v>
      </c>
      <c r="G477" s="97" t="s">
        <v>1024</v>
      </c>
      <c r="H477" s="97" t="s">
        <v>1024</v>
      </c>
      <c r="I477" s="97" t="s">
        <v>1023</v>
      </c>
      <c r="J477" s="174" t="s">
        <v>1025</v>
      </c>
      <c r="K477" s="158" t="s">
        <v>150</v>
      </c>
      <c r="L477" s="159"/>
      <c r="M477" s="95"/>
      <c r="N477" s="94" t="s">
        <v>34</v>
      </c>
      <c r="O477" s="152">
        <v>45870</v>
      </c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  <c r="AT477" s="200"/>
      <c r="AU477" s="118"/>
      <c r="AV477" s="118"/>
    </row>
    <row r="478" spans="1:48" ht="15" hidden="1" customHeight="1">
      <c r="A478" s="103">
        <v>9</v>
      </c>
      <c r="B478" s="157" t="s">
        <v>48</v>
      </c>
      <c r="C478" s="158" t="s">
        <v>1026</v>
      </c>
      <c r="D478" s="158" t="s">
        <v>1027</v>
      </c>
      <c r="E478" s="157">
        <v>7</v>
      </c>
      <c r="F478" s="160">
        <v>41248</v>
      </c>
      <c r="G478" s="158" t="s">
        <v>1028</v>
      </c>
      <c r="H478" s="437">
        <v>5108828973</v>
      </c>
      <c r="I478" s="97" t="s">
        <v>1029</v>
      </c>
      <c r="J478" s="160">
        <v>45810</v>
      </c>
      <c r="K478" s="440" t="s">
        <v>262</v>
      </c>
      <c r="L478" s="159"/>
      <c r="M478" s="174"/>
      <c r="N478" s="94" t="s">
        <v>34</v>
      </c>
      <c r="O478" s="152">
        <v>45870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  <c r="AM478" s="117"/>
      <c r="AN478" s="117"/>
      <c r="AO478" s="117"/>
      <c r="AP478" s="117"/>
      <c r="AQ478" s="117"/>
      <c r="AR478" s="117"/>
      <c r="AS478" s="117"/>
      <c r="AT478" s="117"/>
      <c r="AU478" s="118"/>
      <c r="AV478" s="118"/>
    </row>
    <row r="479" spans="1:48" ht="15" hidden="1" customHeight="1">
      <c r="A479" s="103">
        <v>10</v>
      </c>
      <c r="B479" s="157" t="s">
        <v>89</v>
      </c>
      <c r="C479" s="158" t="s">
        <v>1026</v>
      </c>
      <c r="D479" s="158" t="s">
        <v>1027</v>
      </c>
      <c r="E479" s="157">
        <v>7</v>
      </c>
      <c r="F479" s="160">
        <v>41248</v>
      </c>
      <c r="G479" s="158" t="s">
        <v>1030</v>
      </c>
      <c r="H479" s="437">
        <v>5108828973</v>
      </c>
      <c r="I479" s="97" t="s">
        <v>1029</v>
      </c>
      <c r="J479" s="160">
        <v>45810</v>
      </c>
      <c r="K479" s="440" t="s">
        <v>969</v>
      </c>
      <c r="L479" s="159"/>
      <c r="M479" s="159"/>
      <c r="N479" s="94" t="s">
        <v>34</v>
      </c>
      <c r="O479" s="152">
        <v>45870</v>
      </c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  <c r="AM479" s="117"/>
      <c r="AN479" s="117"/>
      <c r="AO479" s="117"/>
      <c r="AP479" s="117"/>
      <c r="AQ479" s="117"/>
      <c r="AR479" s="117"/>
      <c r="AS479" s="117"/>
      <c r="AT479" s="117"/>
      <c r="AU479" s="118"/>
      <c r="AV479" s="118"/>
    </row>
    <row r="480" spans="1:48" ht="15" hidden="1" customHeight="1">
      <c r="A480" s="103">
        <v>11</v>
      </c>
      <c r="B480" s="94" t="s">
        <v>89</v>
      </c>
      <c r="C480" s="95" t="s">
        <v>1031</v>
      </c>
      <c r="D480" s="95" t="s">
        <v>1032</v>
      </c>
      <c r="E480" s="93">
        <v>8</v>
      </c>
      <c r="F480" s="96">
        <v>41135</v>
      </c>
      <c r="G480" s="97" t="s">
        <v>1033</v>
      </c>
      <c r="H480" s="97">
        <v>5106848488</v>
      </c>
      <c r="I480" s="97" t="s">
        <v>1034</v>
      </c>
      <c r="J480" s="96">
        <v>45855</v>
      </c>
      <c r="K480" s="440" t="s">
        <v>150</v>
      </c>
      <c r="L480" s="95"/>
      <c r="M480" s="95"/>
      <c r="N480" s="94" t="s">
        <v>34</v>
      </c>
      <c r="O480" s="152">
        <v>45870</v>
      </c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18"/>
      <c r="AV480" s="118"/>
    </row>
    <row r="481" spans="1:48" ht="15" hidden="1" customHeight="1">
      <c r="A481" s="103">
        <v>12</v>
      </c>
      <c r="B481" s="157" t="s">
        <v>89</v>
      </c>
      <c r="C481" s="158" t="s">
        <v>1035</v>
      </c>
      <c r="D481" s="158" t="s">
        <v>1036</v>
      </c>
      <c r="E481" s="157">
        <v>4</v>
      </c>
      <c r="F481" s="160">
        <v>42239</v>
      </c>
      <c r="G481" s="158" t="s">
        <v>1037</v>
      </c>
      <c r="H481" s="437">
        <v>5106762755</v>
      </c>
      <c r="I481" s="97" t="s">
        <v>1038</v>
      </c>
      <c r="J481" s="160">
        <v>45810</v>
      </c>
      <c r="K481" s="158" t="s">
        <v>150</v>
      </c>
      <c r="L481" s="159"/>
      <c r="M481" s="159" t="s">
        <v>118</v>
      </c>
      <c r="N481" s="94" t="s">
        <v>34</v>
      </c>
      <c r="O481" s="152">
        <v>45870</v>
      </c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  <c r="AM481" s="117"/>
      <c r="AN481" s="117"/>
      <c r="AO481" s="117"/>
      <c r="AP481" s="117"/>
      <c r="AQ481" s="117"/>
      <c r="AR481" s="117"/>
      <c r="AS481" s="117"/>
      <c r="AT481" s="117"/>
      <c r="AU481" s="118"/>
      <c r="AV481" s="118"/>
    </row>
    <row r="482" spans="1:48" ht="15" hidden="1" customHeight="1">
      <c r="A482" s="103">
        <v>13</v>
      </c>
      <c r="B482" s="157" t="s">
        <v>48</v>
      </c>
      <c r="C482" s="158" t="s">
        <v>1035</v>
      </c>
      <c r="D482" s="158" t="s">
        <v>1036</v>
      </c>
      <c r="E482" s="157">
        <v>4</v>
      </c>
      <c r="F482" s="160">
        <v>42239</v>
      </c>
      <c r="G482" s="158" t="s">
        <v>1039</v>
      </c>
      <c r="H482" s="437">
        <v>5106762755</v>
      </c>
      <c r="I482" s="97" t="s">
        <v>1038</v>
      </c>
      <c r="J482" s="160">
        <v>45810</v>
      </c>
      <c r="K482" s="158" t="s">
        <v>125</v>
      </c>
      <c r="L482" s="159"/>
      <c r="M482" s="159" t="s">
        <v>118</v>
      </c>
      <c r="N482" s="94" t="s">
        <v>34</v>
      </c>
      <c r="O482" s="152">
        <v>45870</v>
      </c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  <c r="AM482" s="117"/>
      <c r="AN482" s="117"/>
      <c r="AO482" s="117"/>
      <c r="AP482" s="117"/>
      <c r="AQ482" s="117"/>
      <c r="AR482" s="117"/>
      <c r="AS482" s="117"/>
      <c r="AT482" s="117"/>
      <c r="AU482" s="118"/>
      <c r="AV482" s="118"/>
    </row>
    <row r="483" spans="1:48" ht="15" hidden="1" customHeight="1">
      <c r="A483" s="103">
        <v>14</v>
      </c>
      <c r="B483" s="173" t="s">
        <v>48</v>
      </c>
      <c r="C483" s="159" t="s">
        <v>317</v>
      </c>
      <c r="D483" s="159" t="s">
        <v>1040</v>
      </c>
      <c r="E483" s="159" t="s">
        <v>133</v>
      </c>
      <c r="F483" s="174">
        <v>42846</v>
      </c>
      <c r="G483" s="159" t="s">
        <v>328</v>
      </c>
      <c r="H483" s="159">
        <v>5102075030</v>
      </c>
      <c r="I483" s="159" t="s">
        <v>326</v>
      </c>
      <c r="J483" s="174">
        <v>45110</v>
      </c>
      <c r="K483" s="158" t="s">
        <v>228</v>
      </c>
      <c r="L483" s="159"/>
      <c r="M483" s="159" t="s">
        <v>118</v>
      </c>
      <c r="N483" s="94" t="s">
        <v>34</v>
      </c>
      <c r="O483" s="152">
        <v>45870</v>
      </c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18"/>
      <c r="AV483" s="118"/>
    </row>
    <row r="484" spans="1:48" ht="15" hidden="1" customHeight="1">
      <c r="A484" s="103">
        <v>15</v>
      </c>
      <c r="B484" s="173" t="s">
        <v>89</v>
      </c>
      <c r="C484" s="159" t="s">
        <v>317</v>
      </c>
      <c r="D484" s="159" t="s">
        <v>1040</v>
      </c>
      <c r="E484" s="159" t="s">
        <v>133</v>
      </c>
      <c r="F484" s="174">
        <v>42846</v>
      </c>
      <c r="G484" s="159" t="s">
        <v>328</v>
      </c>
      <c r="H484" s="159">
        <v>5102075030</v>
      </c>
      <c r="I484" s="159" t="s">
        <v>326</v>
      </c>
      <c r="J484" s="174">
        <v>45110</v>
      </c>
      <c r="K484" s="158" t="s">
        <v>370</v>
      </c>
      <c r="L484" s="159"/>
      <c r="M484" s="159" t="s">
        <v>118</v>
      </c>
      <c r="N484" s="94" t="s">
        <v>34</v>
      </c>
      <c r="O484" s="152">
        <v>45870</v>
      </c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18"/>
      <c r="AV484" s="118"/>
    </row>
    <row r="485" spans="1:48" ht="15" hidden="1" customHeight="1">
      <c r="A485" s="103">
        <v>16</v>
      </c>
      <c r="B485" s="93" t="s">
        <v>48</v>
      </c>
      <c r="C485" s="95" t="s">
        <v>1041</v>
      </c>
      <c r="D485" s="95" t="s">
        <v>1042</v>
      </c>
      <c r="E485" s="95" t="s">
        <v>133</v>
      </c>
      <c r="F485" s="96">
        <v>43649</v>
      </c>
      <c r="G485" s="189" t="s">
        <v>1043</v>
      </c>
      <c r="H485" s="189">
        <v>4082181523</v>
      </c>
      <c r="I485" s="189" t="s">
        <v>1044</v>
      </c>
      <c r="J485" s="174">
        <v>45733</v>
      </c>
      <c r="K485" s="159" t="s">
        <v>170</v>
      </c>
      <c r="L485" s="159"/>
      <c r="M485" s="159"/>
      <c r="N485" s="94" t="s">
        <v>34</v>
      </c>
      <c r="O485" s="152">
        <v>45870</v>
      </c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  <c r="AM485" s="117"/>
      <c r="AN485" s="117"/>
      <c r="AO485" s="117"/>
      <c r="AP485" s="117"/>
      <c r="AQ485" s="117"/>
      <c r="AR485" s="117"/>
      <c r="AS485" s="117"/>
      <c r="AT485" s="117"/>
      <c r="AU485" s="118"/>
      <c r="AV485" s="118"/>
    </row>
    <row r="486" spans="1:48" ht="15" hidden="1" customHeight="1">
      <c r="A486" s="103">
        <v>17</v>
      </c>
      <c r="B486" s="93" t="s">
        <v>89</v>
      </c>
      <c r="C486" s="95" t="s">
        <v>1041</v>
      </c>
      <c r="D486" s="95" t="s">
        <v>1042</v>
      </c>
      <c r="E486" s="95" t="s">
        <v>133</v>
      </c>
      <c r="F486" s="96">
        <v>43649</v>
      </c>
      <c r="G486" s="189" t="s">
        <v>1043</v>
      </c>
      <c r="H486" s="189">
        <v>4082181523</v>
      </c>
      <c r="I486" s="189" t="s">
        <v>1044</v>
      </c>
      <c r="J486" s="174">
        <v>45733</v>
      </c>
      <c r="K486" s="159" t="s">
        <v>165</v>
      </c>
      <c r="L486" s="159"/>
      <c r="M486" s="159"/>
      <c r="N486" s="94" t="s">
        <v>34</v>
      </c>
      <c r="O486" s="152">
        <v>45870</v>
      </c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7"/>
      <c r="AM486" s="117"/>
      <c r="AN486" s="117"/>
      <c r="AO486" s="117"/>
      <c r="AP486" s="117"/>
      <c r="AQ486" s="117"/>
      <c r="AR486" s="117"/>
      <c r="AS486" s="117"/>
      <c r="AT486" s="117"/>
      <c r="AU486" s="118"/>
      <c r="AV486" s="118"/>
    </row>
    <row r="487" spans="1:48" ht="15" hidden="1" customHeight="1">
      <c r="A487" s="103">
        <v>18</v>
      </c>
      <c r="B487" s="94" t="s">
        <v>89</v>
      </c>
      <c r="C487" s="95" t="s">
        <v>1045</v>
      </c>
      <c r="D487" s="95" t="s">
        <v>1046</v>
      </c>
      <c r="E487" s="93">
        <v>1</v>
      </c>
      <c r="F487" s="96">
        <v>43340</v>
      </c>
      <c r="G487" s="97" t="s">
        <v>1047</v>
      </c>
      <c r="H487" s="97">
        <v>5183340006</v>
      </c>
      <c r="I487" s="97" t="s">
        <v>1048</v>
      </c>
      <c r="J487" s="96">
        <v>45817</v>
      </c>
      <c r="K487" s="440" t="s">
        <v>124</v>
      </c>
      <c r="L487" s="95"/>
      <c r="M487" s="95"/>
      <c r="N487" s="94" t="s">
        <v>34</v>
      </c>
      <c r="O487" s="152">
        <v>45870</v>
      </c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18"/>
      <c r="AV487" s="118"/>
    </row>
    <row r="488" spans="1:48" ht="15" hidden="1" customHeight="1">
      <c r="A488" s="103">
        <v>19</v>
      </c>
      <c r="B488" s="94" t="s">
        <v>48</v>
      </c>
      <c r="C488" s="95" t="s">
        <v>1045</v>
      </c>
      <c r="D488" s="95" t="s">
        <v>1046</v>
      </c>
      <c r="E488" s="93">
        <v>1</v>
      </c>
      <c r="F488" s="96">
        <v>43340</v>
      </c>
      <c r="G488" s="97" t="s">
        <v>1047</v>
      </c>
      <c r="H488" s="97">
        <v>5183340006</v>
      </c>
      <c r="I488" s="97" t="s">
        <v>1048</v>
      </c>
      <c r="J488" s="96">
        <v>45817</v>
      </c>
      <c r="K488" s="440" t="s">
        <v>346</v>
      </c>
      <c r="L488" s="95"/>
      <c r="M488" s="95"/>
      <c r="N488" s="94" t="s">
        <v>34</v>
      </c>
      <c r="O488" s="152">
        <v>45870</v>
      </c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18"/>
      <c r="AV488" s="118"/>
    </row>
    <row r="489" spans="1:48" ht="15" hidden="1" customHeight="1">
      <c r="A489" s="103">
        <v>20</v>
      </c>
      <c r="B489" s="173" t="s">
        <v>48</v>
      </c>
      <c r="C489" s="159" t="s">
        <v>648</v>
      </c>
      <c r="D489" s="159" t="s">
        <v>327</v>
      </c>
      <c r="E489" s="159">
        <v>3</v>
      </c>
      <c r="F489" s="174">
        <v>42514</v>
      </c>
      <c r="G489" s="159" t="s">
        <v>1049</v>
      </c>
      <c r="H489" s="159">
        <v>4703493407</v>
      </c>
      <c r="I489" s="159" t="s">
        <v>1050</v>
      </c>
      <c r="J489" s="174">
        <v>45695</v>
      </c>
      <c r="K489" s="159" t="s">
        <v>137</v>
      </c>
      <c r="L489" s="159"/>
      <c r="M489" s="159" t="s">
        <v>577</v>
      </c>
      <c r="N489" s="94" t="s">
        <v>34</v>
      </c>
      <c r="O489" s="152">
        <v>45870</v>
      </c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18"/>
      <c r="AV489" s="118"/>
    </row>
    <row r="490" spans="1:48" ht="15" hidden="1" customHeight="1">
      <c r="A490" s="103">
        <v>21</v>
      </c>
      <c r="B490" s="157" t="s">
        <v>89</v>
      </c>
      <c r="C490" s="158" t="s">
        <v>1051</v>
      </c>
      <c r="D490" s="158" t="s">
        <v>585</v>
      </c>
      <c r="E490" s="157">
        <v>7</v>
      </c>
      <c r="F490" s="160">
        <v>41298</v>
      </c>
      <c r="G490" s="97" t="s">
        <v>1052</v>
      </c>
      <c r="H490" s="97">
        <v>5105054532</v>
      </c>
      <c r="I490" s="97" t="s">
        <v>829</v>
      </c>
      <c r="J490" s="160">
        <v>45817</v>
      </c>
      <c r="K490" s="158" t="s">
        <v>970</v>
      </c>
      <c r="L490" s="159"/>
      <c r="M490" s="159"/>
      <c r="N490" s="94" t="s">
        <v>34</v>
      </c>
      <c r="O490" s="152">
        <v>45870</v>
      </c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  <c r="AM490" s="117"/>
      <c r="AN490" s="117"/>
      <c r="AO490" s="117"/>
      <c r="AP490" s="117"/>
      <c r="AQ490" s="117"/>
      <c r="AR490" s="117"/>
      <c r="AS490" s="117"/>
      <c r="AT490" s="117"/>
      <c r="AU490" s="118"/>
      <c r="AV490" s="118"/>
    </row>
    <row r="491" spans="1:48" ht="15" hidden="1" customHeight="1">
      <c r="A491" s="103">
        <v>22</v>
      </c>
      <c r="B491" s="157" t="s">
        <v>48</v>
      </c>
      <c r="C491" s="158" t="s">
        <v>1051</v>
      </c>
      <c r="D491" s="158" t="s">
        <v>585</v>
      </c>
      <c r="E491" s="157">
        <v>7</v>
      </c>
      <c r="F491" s="160">
        <v>41299</v>
      </c>
      <c r="G491" s="97" t="s">
        <v>1053</v>
      </c>
      <c r="H491" s="97">
        <v>5105054532</v>
      </c>
      <c r="I491" s="97" t="s">
        <v>829</v>
      </c>
      <c r="J491" s="160">
        <v>45817</v>
      </c>
      <c r="K491" s="158"/>
      <c r="L491" s="159"/>
      <c r="M491" s="159"/>
      <c r="N491" s="94" t="s">
        <v>34</v>
      </c>
      <c r="O491" s="152">
        <v>45870</v>
      </c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  <c r="AM491" s="117"/>
      <c r="AN491" s="117"/>
      <c r="AO491" s="117"/>
      <c r="AP491" s="117"/>
      <c r="AQ491" s="117"/>
      <c r="AR491" s="117"/>
      <c r="AS491" s="117"/>
      <c r="AT491" s="117"/>
      <c r="AU491" s="118"/>
      <c r="AV491" s="118"/>
    </row>
    <row r="492" spans="1:48" ht="15" hidden="1" customHeight="1">
      <c r="A492" s="103">
        <v>23</v>
      </c>
      <c r="B492" s="173" t="s">
        <v>48</v>
      </c>
      <c r="C492" s="159" t="s">
        <v>1054</v>
      </c>
      <c r="D492" s="159" t="s">
        <v>775</v>
      </c>
      <c r="E492" s="159">
        <v>6</v>
      </c>
      <c r="F492" s="174">
        <v>41061</v>
      </c>
      <c r="G492" s="159" t="s">
        <v>1055</v>
      </c>
      <c r="H492" s="159">
        <v>4088139160</v>
      </c>
      <c r="I492" s="159" t="s">
        <v>1056</v>
      </c>
      <c r="J492" s="174">
        <v>45156</v>
      </c>
      <c r="K492" s="159" t="s">
        <v>262</v>
      </c>
      <c r="L492" s="159"/>
      <c r="M492" s="159"/>
      <c r="N492" s="94" t="s">
        <v>34</v>
      </c>
      <c r="O492" s="152">
        <v>45870</v>
      </c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18"/>
      <c r="AV492" s="118"/>
    </row>
    <row r="493" spans="1:48" ht="15" hidden="1" customHeight="1">
      <c r="A493" s="103">
        <v>24</v>
      </c>
      <c r="B493" s="173" t="s">
        <v>89</v>
      </c>
      <c r="C493" s="159" t="s">
        <v>1054</v>
      </c>
      <c r="D493" s="159" t="s">
        <v>775</v>
      </c>
      <c r="E493" s="159">
        <v>6</v>
      </c>
      <c r="F493" s="174">
        <v>41061</v>
      </c>
      <c r="G493" s="159" t="s">
        <v>1055</v>
      </c>
      <c r="H493" s="159">
        <v>4088139160</v>
      </c>
      <c r="I493" s="159" t="s">
        <v>1056</v>
      </c>
      <c r="J493" s="174">
        <v>45156</v>
      </c>
      <c r="K493" s="159" t="s">
        <v>945</v>
      </c>
      <c r="L493" s="159"/>
      <c r="M493" s="159"/>
      <c r="N493" s="94" t="s">
        <v>34</v>
      </c>
      <c r="O493" s="152">
        <v>45870</v>
      </c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18"/>
      <c r="AV493" s="118"/>
    </row>
    <row r="494" spans="1:48" ht="15" hidden="1" customHeight="1">
      <c r="A494" s="103">
        <v>25</v>
      </c>
      <c r="B494" s="94" t="s">
        <v>48</v>
      </c>
      <c r="C494" s="95" t="s">
        <v>1057</v>
      </c>
      <c r="D494" s="95" t="s">
        <v>414</v>
      </c>
      <c r="E494" s="93">
        <v>3</v>
      </c>
      <c r="F494" s="96">
        <v>43337</v>
      </c>
      <c r="G494" s="97" t="s">
        <v>1058</v>
      </c>
      <c r="H494" s="97">
        <v>4084062657</v>
      </c>
      <c r="I494" s="97" t="s">
        <v>1059</v>
      </c>
      <c r="J494" s="96">
        <v>45809</v>
      </c>
      <c r="K494" s="440" t="s">
        <v>125</v>
      </c>
      <c r="L494" s="159"/>
      <c r="M494" s="159"/>
      <c r="N494" s="94" t="s">
        <v>34</v>
      </c>
      <c r="O494" s="152">
        <v>45870</v>
      </c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  <c r="AU494" s="118"/>
      <c r="AV494" s="118"/>
    </row>
    <row r="495" spans="1:48" ht="15" hidden="1" customHeight="1">
      <c r="A495" s="103">
        <v>26</v>
      </c>
      <c r="B495" s="157" t="s">
        <v>48</v>
      </c>
      <c r="C495" s="159" t="s">
        <v>875</v>
      </c>
      <c r="D495" s="159" t="s">
        <v>876</v>
      </c>
      <c r="E495" s="159">
        <v>1</v>
      </c>
      <c r="F495" s="174" t="s">
        <v>877</v>
      </c>
      <c r="G495" s="159" t="s">
        <v>878</v>
      </c>
      <c r="H495" s="159">
        <v>4052306385</v>
      </c>
      <c r="I495" s="159" t="s">
        <v>879</v>
      </c>
      <c r="J495" s="174">
        <v>410985</v>
      </c>
      <c r="K495" s="159" t="s">
        <v>125</v>
      </c>
      <c r="L495" s="159"/>
      <c r="M495" s="174"/>
      <c r="N495" s="94" t="s">
        <v>34</v>
      </c>
      <c r="O495" s="152">
        <v>45870</v>
      </c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  <c r="AM495" s="117"/>
      <c r="AN495" s="117"/>
      <c r="AO495" s="117"/>
      <c r="AP495" s="117"/>
      <c r="AQ495" s="117"/>
      <c r="AR495" s="117"/>
      <c r="AS495" s="117"/>
      <c r="AT495" s="117"/>
      <c r="AU495" s="118"/>
      <c r="AV495" s="118"/>
    </row>
    <row r="496" spans="1:48" ht="15" hidden="1" customHeight="1">
      <c r="A496" s="103">
        <v>27</v>
      </c>
      <c r="B496" s="157" t="s">
        <v>89</v>
      </c>
      <c r="C496" s="159" t="s">
        <v>875</v>
      </c>
      <c r="D496" s="159" t="s">
        <v>876</v>
      </c>
      <c r="E496" s="159">
        <v>1</v>
      </c>
      <c r="F496" s="174" t="s">
        <v>877</v>
      </c>
      <c r="G496" s="159" t="s">
        <v>878</v>
      </c>
      <c r="H496" s="159">
        <v>4052306385</v>
      </c>
      <c r="I496" s="159" t="s">
        <v>879</v>
      </c>
      <c r="J496" s="174">
        <v>45803</v>
      </c>
      <c r="K496" s="159" t="s">
        <v>198</v>
      </c>
      <c r="L496" s="159"/>
      <c r="M496" s="174"/>
      <c r="N496" s="94" t="s">
        <v>34</v>
      </c>
      <c r="O496" s="152">
        <v>45870</v>
      </c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  <c r="AM496" s="117"/>
      <c r="AN496" s="117"/>
      <c r="AO496" s="117"/>
      <c r="AP496" s="117"/>
      <c r="AQ496" s="117"/>
      <c r="AR496" s="117"/>
      <c r="AS496" s="117"/>
      <c r="AT496" s="117"/>
      <c r="AU496" s="118"/>
      <c r="AV496" s="118"/>
    </row>
    <row r="497" spans="1:48" ht="15" hidden="1" customHeight="1">
      <c r="A497" s="103">
        <v>28</v>
      </c>
      <c r="B497" s="157" t="s">
        <v>48</v>
      </c>
      <c r="C497" s="159" t="s">
        <v>881</v>
      </c>
      <c r="D497" s="159" t="s">
        <v>882</v>
      </c>
      <c r="E497" s="159">
        <v>1</v>
      </c>
      <c r="F497" s="174" t="s">
        <v>877</v>
      </c>
      <c r="G497" s="159" t="s">
        <v>878</v>
      </c>
      <c r="H497" s="159">
        <v>4052306385</v>
      </c>
      <c r="I497" s="159" t="s">
        <v>879</v>
      </c>
      <c r="J497" s="174">
        <v>410985</v>
      </c>
      <c r="K497" s="159" t="s">
        <v>174</v>
      </c>
      <c r="L497" s="159"/>
      <c r="M497" s="174"/>
      <c r="N497" s="94" t="s">
        <v>34</v>
      </c>
      <c r="O497" s="152">
        <v>45870</v>
      </c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  <c r="AM497" s="117"/>
      <c r="AN497" s="117"/>
      <c r="AO497" s="117"/>
      <c r="AP497" s="117"/>
      <c r="AQ497" s="117"/>
      <c r="AR497" s="117"/>
      <c r="AS497" s="117"/>
      <c r="AT497" s="117"/>
      <c r="AU497" s="118"/>
      <c r="AV497" s="118"/>
    </row>
    <row r="498" spans="1:48" ht="15" hidden="1" customHeight="1">
      <c r="A498" s="103">
        <v>29</v>
      </c>
      <c r="B498" s="157" t="s">
        <v>89</v>
      </c>
      <c r="C498" s="159" t="s">
        <v>881</v>
      </c>
      <c r="D498" s="159" t="s">
        <v>882</v>
      </c>
      <c r="E498" s="159">
        <v>1</v>
      </c>
      <c r="F498" s="174" t="s">
        <v>877</v>
      </c>
      <c r="G498" s="159" t="s">
        <v>878</v>
      </c>
      <c r="H498" s="159">
        <v>4052306385</v>
      </c>
      <c r="I498" s="159" t="s">
        <v>879</v>
      </c>
      <c r="J498" s="174">
        <v>45803</v>
      </c>
      <c r="K498" s="159" t="s">
        <v>150</v>
      </c>
      <c r="L498" s="159"/>
      <c r="M498" s="174"/>
      <c r="N498" s="94" t="s">
        <v>34</v>
      </c>
      <c r="O498" s="152">
        <v>45870</v>
      </c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  <c r="AM498" s="117"/>
      <c r="AN498" s="117"/>
      <c r="AO498" s="117"/>
      <c r="AP498" s="117"/>
      <c r="AQ498" s="117"/>
      <c r="AR498" s="117"/>
      <c r="AS498" s="117"/>
      <c r="AT498" s="117"/>
      <c r="AU498" s="118"/>
      <c r="AV498" s="118"/>
    </row>
    <row r="499" spans="1:48" ht="15" hidden="1" customHeight="1">
      <c r="A499" s="103">
        <v>30</v>
      </c>
      <c r="B499" s="173" t="s">
        <v>48</v>
      </c>
      <c r="C499" s="159" t="s">
        <v>444</v>
      </c>
      <c r="D499" s="159" t="s">
        <v>641</v>
      </c>
      <c r="E499" s="159">
        <v>5</v>
      </c>
      <c r="F499" s="174">
        <v>41349</v>
      </c>
      <c r="G499" s="159" t="s">
        <v>1060</v>
      </c>
      <c r="H499" s="159" t="s">
        <v>1061</v>
      </c>
      <c r="I499" s="159" t="s">
        <v>1062</v>
      </c>
      <c r="J499" s="174">
        <v>45103</v>
      </c>
      <c r="K499" s="159" t="s">
        <v>541</v>
      </c>
      <c r="L499" s="159"/>
      <c r="M499" s="159"/>
      <c r="N499" s="94" t="s">
        <v>34</v>
      </c>
      <c r="O499" s="152">
        <v>45870</v>
      </c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2"/>
      <c r="AV499" s="102"/>
    </row>
    <row r="500" spans="1:48" ht="15" hidden="1" customHeight="1">
      <c r="A500" s="103">
        <v>31</v>
      </c>
      <c r="B500" s="173" t="s">
        <v>89</v>
      </c>
      <c r="C500" s="159" t="s">
        <v>444</v>
      </c>
      <c r="D500" s="159" t="s">
        <v>641</v>
      </c>
      <c r="E500" s="159">
        <v>5</v>
      </c>
      <c r="F500" s="174">
        <v>41349</v>
      </c>
      <c r="G500" s="159" t="s">
        <v>1060</v>
      </c>
      <c r="H500" s="159" t="s">
        <v>1061</v>
      </c>
      <c r="I500" s="159" t="s">
        <v>1062</v>
      </c>
      <c r="J500" s="174">
        <v>45103</v>
      </c>
      <c r="K500" s="158" t="s">
        <v>370</v>
      </c>
      <c r="L500" s="159"/>
      <c r="M500" s="159"/>
      <c r="N500" s="94" t="s">
        <v>34</v>
      </c>
      <c r="O500" s="152">
        <v>45870</v>
      </c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2"/>
      <c r="AV500" s="102"/>
    </row>
    <row r="501" spans="1:48" ht="15" customHeight="1">
      <c r="A501" s="103">
        <v>1</v>
      </c>
      <c r="B501" s="88" t="s">
        <v>48</v>
      </c>
      <c r="C501" s="137" t="s">
        <v>1063</v>
      </c>
      <c r="D501" s="137" t="s">
        <v>1064</v>
      </c>
      <c r="E501" s="137">
        <v>6</v>
      </c>
      <c r="F501" s="138">
        <v>41275</v>
      </c>
      <c r="G501" s="137" t="s">
        <v>1065</v>
      </c>
      <c r="H501" s="137">
        <v>4085120113</v>
      </c>
      <c r="I501" s="137" t="s">
        <v>1066</v>
      </c>
      <c r="J501" s="139">
        <v>45689</v>
      </c>
      <c r="K501" s="140" t="s">
        <v>262</v>
      </c>
      <c r="L501" s="140">
        <v>51</v>
      </c>
      <c r="M501" s="137" t="s">
        <v>1067</v>
      </c>
      <c r="N501" s="119" t="s">
        <v>34</v>
      </c>
      <c r="O501" s="152">
        <v>45931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197"/>
      <c r="AV501" s="197"/>
    </row>
    <row r="502" spans="1:48" ht="15" customHeight="1">
      <c r="A502" s="103">
        <v>2</v>
      </c>
      <c r="B502" s="88" t="s">
        <v>89</v>
      </c>
      <c r="C502" s="137" t="s">
        <v>229</v>
      </c>
      <c r="D502" s="137" t="s">
        <v>230</v>
      </c>
      <c r="E502" s="137">
        <v>2</v>
      </c>
      <c r="F502" s="145">
        <v>43341</v>
      </c>
      <c r="G502" s="137" t="s">
        <v>231</v>
      </c>
      <c r="H502" s="137">
        <v>9254515870</v>
      </c>
      <c r="I502" s="137" t="s">
        <v>232</v>
      </c>
      <c r="J502" s="139">
        <v>45888</v>
      </c>
      <c r="K502" s="140" t="s">
        <v>124</v>
      </c>
      <c r="L502" s="140">
        <v>50</v>
      </c>
      <c r="M502" s="137" t="s">
        <v>1068</v>
      </c>
      <c r="N502" s="119" t="s">
        <v>34</v>
      </c>
      <c r="O502" s="152">
        <v>45931</v>
      </c>
      <c r="P502" s="165"/>
      <c r="Q502" s="165"/>
      <c r="R502" s="165"/>
      <c r="S502" s="165"/>
      <c r="T502" s="114"/>
      <c r="U502" s="114"/>
      <c r="V502" s="114"/>
      <c r="W502" s="165"/>
      <c r="X502" s="165"/>
      <c r="Y502" s="165"/>
      <c r="Z502" s="165"/>
      <c r="AA502" s="165"/>
      <c r="AB502" s="165"/>
      <c r="AC502" s="165"/>
      <c r="AD502" s="165"/>
      <c r="AE502" s="165"/>
      <c r="AF502" s="165"/>
      <c r="AG502" s="165"/>
      <c r="AH502" s="165"/>
      <c r="AI502" s="165"/>
      <c r="AJ502" s="165"/>
      <c r="AK502" s="165"/>
      <c r="AL502" s="165"/>
      <c r="AM502" s="165"/>
      <c r="AN502" s="165"/>
      <c r="AO502" s="165"/>
      <c r="AP502" s="165"/>
      <c r="AQ502" s="165"/>
      <c r="AR502" s="165"/>
      <c r="AS502" s="165"/>
      <c r="AT502" s="165"/>
      <c r="AU502" s="166"/>
      <c r="AV502" s="166"/>
    </row>
    <row r="503" spans="1:48" ht="15" customHeight="1">
      <c r="A503" s="103">
        <v>3</v>
      </c>
      <c r="B503" s="88" t="s">
        <v>89</v>
      </c>
      <c r="C503" s="137" t="s">
        <v>317</v>
      </c>
      <c r="D503" s="137" t="s">
        <v>327</v>
      </c>
      <c r="E503" s="137">
        <v>2</v>
      </c>
      <c r="F503" s="138">
        <v>42025</v>
      </c>
      <c r="G503" s="137" t="s">
        <v>328</v>
      </c>
      <c r="H503" s="137">
        <v>5102075030</v>
      </c>
      <c r="I503" s="137" t="s">
        <v>326</v>
      </c>
      <c r="J503" s="139">
        <v>45110</v>
      </c>
      <c r="K503" s="140" t="s">
        <v>497</v>
      </c>
      <c r="L503" s="140">
        <v>21</v>
      </c>
      <c r="M503" s="137" t="s">
        <v>1069</v>
      </c>
      <c r="N503" s="119" t="s">
        <v>34</v>
      </c>
      <c r="O503" s="152">
        <v>45931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197"/>
      <c r="AV503" s="197"/>
    </row>
    <row r="509" spans="1:48" ht="17.25" customHeight="1">
      <c r="A509" s="83"/>
      <c r="B509" s="11"/>
      <c r="C509" s="79"/>
      <c r="D509" s="79"/>
      <c r="E509" s="11"/>
      <c r="F509" s="79"/>
      <c r="G509" s="79"/>
      <c r="H509" s="79"/>
      <c r="I509" s="32"/>
      <c r="J509" s="79"/>
      <c r="K509" s="79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8" ht="17.25" customHeight="1">
      <c r="A510" s="83"/>
      <c r="B510" s="11"/>
      <c r="C510" s="79"/>
      <c r="D510" s="79"/>
      <c r="E510" s="11"/>
      <c r="F510" s="79"/>
      <c r="G510" s="79"/>
      <c r="H510" s="79"/>
      <c r="I510" s="32"/>
      <c r="J510" s="79"/>
      <c r="K510" s="79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8" ht="17.25" customHeight="1">
      <c r="A511" s="83"/>
      <c r="B511" s="11"/>
      <c r="C511" s="79"/>
      <c r="D511" s="79"/>
      <c r="E511" s="11"/>
      <c r="F511" s="79"/>
      <c r="G511" s="79"/>
      <c r="H511" s="79"/>
      <c r="I511" s="32"/>
      <c r="J511" s="79"/>
      <c r="K511" s="79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8" ht="17.25" customHeight="1">
      <c r="A512" s="83"/>
      <c r="B512" s="11"/>
      <c r="C512" s="79"/>
      <c r="D512" s="79"/>
      <c r="E512" s="11"/>
      <c r="F512" s="79"/>
      <c r="G512" s="79"/>
      <c r="H512" s="79"/>
      <c r="I512" s="32"/>
      <c r="J512" s="79"/>
      <c r="K512" s="79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>
      <c r="A513" s="83"/>
      <c r="B513" s="11"/>
      <c r="C513" s="79"/>
      <c r="D513" s="79"/>
      <c r="E513" s="11"/>
      <c r="F513" s="79"/>
      <c r="G513" s="79"/>
      <c r="H513" s="79"/>
      <c r="I513" s="32"/>
      <c r="J513" s="79"/>
      <c r="K513" s="79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>
      <c r="A514" s="83"/>
      <c r="B514" s="11"/>
      <c r="C514" s="79"/>
      <c r="D514" s="79"/>
      <c r="E514" s="11"/>
      <c r="F514" s="79"/>
      <c r="G514" s="79"/>
      <c r="H514" s="79"/>
      <c r="I514" s="32"/>
      <c r="J514" s="79"/>
      <c r="K514" s="79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>
      <c r="A515" s="83"/>
      <c r="B515" s="11"/>
      <c r="C515" s="79"/>
      <c r="D515" s="79"/>
      <c r="E515" s="11"/>
      <c r="F515" s="79"/>
      <c r="G515" s="79"/>
      <c r="H515" s="79"/>
      <c r="I515" s="32"/>
      <c r="J515" s="79"/>
      <c r="K515" s="79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>
      <c r="A516" s="83"/>
      <c r="B516" s="11"/>
      <c r="C516" s="79"/>
      <c r="D516" s="79"/>
      <c r="E516" s="11"/>
      <c r="F516" s="79"/>
      <c r="G516" s="79"/>
      <c r="H516" s="79"/>
      <c r="I516" s="32"/>
      <c r="J516" s="79"/>
      <c r="K516" s="79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>
      <c r="A517" s="83"/>
      <c r="B517" s="11"/>
      <c r="C517" s="79"/>
      <c r="D517" s="79"/>
      <c r="E517" s="11"/>
      <c r="F517" s="79"/>
      <c r="G517" s="79"/>
      <c r="H517" s="79"/>
      <c r="I517" s="32"/>
      <c r="J517" s="79"/>
      <c r="K517" s="79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>
      <c r="A518" s="83"/>
      <c r="B518" s="11"/>
      <c r="C518" s="79"/>
      <c r="D518" s="79"/>
      <c r="E518" s="11"/>
      <c r="F518" s="79"/>
      <c r="G518" s="79"/>
      <c r="H518" s="79"/>
      <c r="I518" s="32"/>
      <c r="J518" s="79"/>
      <c r="K518" s="79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>
      <c r="A519" s="83"/>
      <c r="B519" s="11"/>
      <c r="C519" s="79"/>
      <c r="D519" s="79"/>
      <c r="E519" s="11"/>
      <c r="F519" s="79"/>
      <c r="G519" s="79"/>
      <c r="H519" s="79"/>
      <c r="I519" s="32"/>
      <c r="J519" s="79"/>
      <c r="K519" s="79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>
      <c r="A520" s="83"/>
      <c r="B520" s="11"/>
      <c r="C520" s="79"/>
      <c r="D520" s="79"/>
      <c r="E520" s="11"/>
      <c r="F520" s="79"/>
      <c r="G520" s="79"/>
      <c r="H520" s="79"/>
      <c r="I520" s="32"/>
      <c r="J520" s="79"/>
      <c r="K520" s="79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>
      <c r="A521" s="83"/>
      <c r="B521" s="11"/>
      <c r="C521" s="79"/>
      <c r="D521" s="79"/>
      <c r="E521" s="11"/>
      <c r="F521" s="79"/>
      <c r="G521" s="79"/>
      <c r="H521" s="79"/>
      <c r="I521" s="32"/>
      <c r="J521" s="79"/>
      <c r="K521" s="79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>
      <c r="A522" s="83"/>
      <c r="B522" s="11"/>
      <c r="C522" s="79"/>
      <c r="D522" s="79"/>
      <c r="E522" s="11"/>
      <c r="F522" s="79"/>
      <c r="G522" s="79"/>
      <c r="H522" s="79"/>
      <c r="I522" s="32"/>
      <c r="J522" s="79"/>
      <c r="K522" s="79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>
      <c r="A523" s="83"/>
      <c r="B523" s="11"/>
      <c r="C523" s="79"/>
      <c r="D523" s="79"/>
      <c r="E523" s="11"/>
      <c r="F523" s="79"/>
      <c r="G523" s="79"/>
      <c r="H523" s="79"/>
      <c r="I523" s="32"/>
      <c r="J523" s="79"/>
      <c r="K523" s="79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>
      <c r="A524" s="83"/>
      <c r="B524" s="11"/>
      <c r="C524" s="79"/>
      <c r="D524" s="79"/>
      <c r="E524" s="11"/>
      <c r="F524" s="79"/>
      <c r="G524" s="79"/>
      <c r="H524" s="79"/>
      <c r="I524" s="32"/>
      <c r="J524" s="79"/>
      <c r="K524" s="79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>
      <c r="A525" s="83"/>
      <c r="B525" s="11"/>
      <c r="C525" s="79"/>
      <c r="D525" s="79"/>
      <c r="E525" s="11"/>
      <c r="F525" s="79"/>
      <c r="G525" s="79"/>
      <c r="H525" s="79"/>
      <c r="I525" s="32"/>
      <c r="J525" s="79"/>
      <c r="K525" s="79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>
      <c r="A526" s="83"/>
      <c r="B526" s="11"/>
      <c r="C526" s="79"/>
      <c r="D526" s="79"/>
      <c r="E526" s="11"/>
      <c r="F526" s="79"/>
      <c r="G526" s="79"/>
      <c r="H526" s="79"/>
      <c r="I526" s="32"/>
      <c r="J526" s="79"/>
      <c r="K526" s="79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>
      <c r="A527" s="83"/>
      <c r="B527" s="11"/>
      <c r="C527" s="79"/>
      <c r="D527" s="79"/>
      <c r="E527" s="11"/>
      <c r="F527" s="79"/>
      <c r="G527" s="79"/>
      <c r="H527" s="79"/>
      <c r="I527" s="32"/>
      <c r="J527" s="79"/>
      <c r="K527" s="79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>
      <c r="A528" s="83"/>
      <c r="B528" s="11"/>
      <c r="C528" s="79"/>
      <c r="D528" s="79"/>
      <c r="E528" s="11"/>
      <c r="F528" s="79"/>
      <c r="G528" s="79"/>
      <c r="H528" s="79"/>
      <c r="I528" s="32"/>
      <c r="J528" s="79"/>
      <c r="K528" s="79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>
      <c r="A529" s="83"/>
      <c r="B529" s="11"/>
      <c r="C529" s="79"/>
      <c r="D529" s="79"/>
      <c r="E529" s="11"/>
      <c r="F529" s="79"/>
      <c r="G529" s="79"/>
      <c r="H529" s="79"/>
      <c r="I529" s="32"/>
      <c r="J529" s="79"/>
      <c r="K529" s="79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>
      <c r="A530" s="83"/>
      <c r="B530" s="11"/>
      <c r="C530" s="79"/>
      <c r="D530" s="79"/>
      <c r="E530" s="11"/>
      <c r="F530" s="79"/>
      <c r="G530" s="79"/>
      <c r="H530" s="79"/>
      <c r="I530" s="32"/>
      <c r="J530" s="79"/>
      <c r="K530" s="79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>
      <c r="A531" s="83"/>
      <c r="B531" s="11"/>
      <c r="C531" s="79"/>
      <c r="D531" s="79"/>
      <c r="E531" s="11"/>
      <c r="F531" s="79"/>
      <c r="G531" s="79"/>
      <c r="H531" s="79"/>
      <c r="I531" s="32"/>
      <c r="J531" s="79"/>
      <c r="K531" s="79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>
      <c r="A532" s="83"/>
      <c r="B532" s="11"/>
      <c r="C532" s="79"/>
      <c r="D532" s="79"/>
      <c r="E532" s="11"/>
      <c r="F532" s="79"/>
      <c r="G532" s="79"/>
      <c r="H532" s="79"/>
      <c r="I532" s="32"/>
      <c r="J532" s="79"/>
      <c r="K532" s="79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>
      <c r="A533" s="83"/>
      <c r="B533" s="11"/>
      <c r="C533" s="79"/>
      <c r="D533" s="79"/>
      <c r="E533" s="11"/>
      <c r="F533" s="79"/>
      <c r="G533" s="79"/>
      <c r="H533" s="79"/>
      <c r="I533" s="32"/>
      <c r="J533" s="79"/>
      <c r="K533" s="79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>
      <c r="A534" s="83"/>
      <c r="B534" s="11"/>
      <c r="C534" s="79"/>
      <c r="D534" s="79"/>
      <c r="E534" s="11"/>
      <c r="F534" s="79"/>
      <c r="G534" s="79"/>
      <c r="H534" s="79"/>
      <c r="I534" s="32"/>
      <c r="J534" s="79"/>
      <c r="K534" s="79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>
      <c r="A535" s="83"/>
      <c r="B535" s="11"/>
      <c r="C535" s="79"/>
      <c r="D535" s="79"/>
      <c r="E535" s="11"/>
      <c r="F535" s="79"/>
      <c r="G535" s="79"/>
      <c r="H535" s="79"/>
      <c r="I535" s="32"/>
      <c r="J535" s="79"/>
      <c r="K535" s="79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>
      <c r="A536" s="83"/>
      <c r="B536" s="11"/>
      <c r="C536" s="79"/>
      <c r="D536" s="79"/>
      <c r="E536" s="11"/>
      <c r="F536" s="79"/>
      <c r="G536" s="79"/>
      <c r="H536" s="79"/>
      <c r="I536" s="32"/>
      <c r="J536" s="79"/>
      <c r="K536" s="79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>
      <c r="A537" s="83"/>
      <c r="B537" s="11"/>
      <c r="C537" s="79"/>
      <c r="D537" s="79"/>
      <c r="E537" s="11"/>
      <c r="F537" s="79"/>
      <c r="G537" s="79"/>
      <c r="H537" s="79"/>
      <c r="I537" s="32"/>
      <c r="J537" s="79"/>
      <c r="K537" s="79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>
      <c r="A538" s="83"/>
      <c r="B538" s="11"/>
      <c r="C538" s="79"/>
      <c r="D538" s="79"/>
      <c r="E538" s="11"/>
      <c r="F538" s="79"/>
      <c r="G538" s="79"/>
      <c r="H538" s="79"/>
      <c r="I538" s="32"/>
      <c r="J538" s="79"/>
      <c r="K538" s="79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>
      <c r="A539" s="83"/>
      <c r="B539" s="11"/>
      <c r="C539" s="79"/>
      <c r="D539" s="79"/>
      <c r="E539" s="11"/>
      <c r="F539" s="79"/>
      <c r="G539" s="79"/>
      <c r="H539" s="79"/>
      <c r="I539" s="32"/>
      <c r="J539" s="79"/>
      <c r="K539" s="79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>
      <c r="A540" s="83"/>
      <c r="B540" s="11"/>
      <c r="C540" s="79"/>
      <c r="D540" s="79"/>
      <c r="E540" s="11"/>
      <c r="F540" s="79"/>
      <c r="G540" s="79"/>
      <c r="H540" s="79"/>
      <c r="I540" s="32"/>
      <c r="J540" s="79"/>
      <c r="K540" s="79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>
      <c r="A541" s="83"/>
      <c r="B541" s="11"/>
      <c r="C541" s="79"/>
      <c r="D541" s="79"/>
      <c r="E541" s="11"/>
      <c r="F541" s="79"/>
      <c r="G541" s="79"/>
      <c r="H541" s="79"/>
      <c r="I541" s="32"/>
      <c r="J541" s="79"/>
      <c r="K541" s="79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>
      <c r="A542" s="83"/>
      <c r="B542" s="11"/>
      <c r="C542" s="79"/>
      <c r="D542" s="79"/>
      <c r="E542" s="11"/>
      <c r="F542" s="79"/>
      <c r="G542" s="79"/>
      <c r="H542" s="79"/>
      <c r="I542" s="32"/>
      <c r="J542" s="79"/>
      <c r="K542" s="79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>
      <c r="A543" s="83"/>
      <c r="B543" s="11"/>
      <c r="C543" s="79"/>
      <c r="D543" s="79"/>
      <c r="E543" s="11"/>
      <c r="F543" s="79"/>
      <c r="G543" s="79"/>
      <c r="H543" s="79"/>
      <c r="I543" s="32"/>
      <c r="J543" s="79"/>
      <c r="K543" s="79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>
      <c r="A544" s="83"/>
      <c r="B544" s="11"/>
      <c r="C544" s="79"/>
      <c r="D544" s="79"/>
      <c r="E544" s="11"/>
      <c r="F544" s="79"/>
      <c r="G544" s="79"/>
      <c r="H544" s="79"/>
      <c r="I544" s="32"/>
      <c r="J544" s="79"/>
      <c r="K544" s="79"/>
      <c r="L544" s="79"/>
      <c r="M544" s="79"/>
      <c r="N544" s="11"/>
      <c r="O544" s="8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>
      <c r="A545" s="83"/>
      <c r="B545" s="11"/>
      <c r="C545" s="79"/>
      <c r="D545" s="79"/>
      <c r="E545" s="11"/>
      <c r="F545" s="79"/>
      <c r="G545" s="79"/>
      <c r="H545" s="79"/>
      <c r="I545" s="32"/>
      <c r="J545" s="79"/>
      <c r="K545" s="79"/>
      <c r="L545" s="79"/>
      <c r="M545" s="79"/>
      <c r="N545" s="11"/>
      <c r="O545" s="8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>
      <c r="A546" s="83"/>
      <c r="B546" s="11"/>
      <c r="C546" s="79"/>
      <c r="D546" s="79"/>
      <c r="E546" s="11"/>
      <c r="F546" s="79"/>
      <c r="G546" s="79"/>
      <c r="H546" s="79"/>
      <c r="I546" s="32"/>
      <c r="J546" s="79"/>
      <c r="K546" s="79"/>
      <c r="L546" s="79"/>
      <c r="M546" s="79"/>
      <c r="N546" s="11"/>
      <c r="O546" s="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>
      <c r="A547" s="83"/>
      <c r="B547" s="11"/>
      <c r="C547" s="79"/>
      <c r="D547" s="79"/>
      <c r="E547" s="11"/>
      <c r="F547" s="79"/>
      <c r="G547" s="79"/>
      <c r="H547" s="79"/>
      <c r="I547" s="32"/>
      <c r="J547" s="79"/>
      <c r="K547" s="79"/>
      <c r="L547" s="79"/>
      <c r="M547" s="79"/>
      <c r="N547" s="11"/>
      <c r="O547" s="8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>
      <c r="A548" s="83"/>
      <c r="B548" s="11"/>
      <c r="C548" s="79"/>
      <c r="D548" s="79"/>
      <c r="E548" s="11"/>
      <c r="F548" s="79"/>
      <c r="G548" s="79"/>
      <c r="H548" s="79"/>
      <c r="I548" s="32"/>
      <c r="J548" s="79"/>
      <c r="K548" s="79"/>
      <c r="L548" s="79"/>
      <c r="M548" s="79"/>
      <c r="N548" s="11"/>
      <c r="O548" s="8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>
      <c r="A549" s="83"/>
      <c r="B549" s="11"/>
      <c r="C549" s="79"/>
      <c r="D549" s="79"/>
      <c r="E549" s="11"/>
      <c r="F549" s="79"/>
      <c r="G549" s="79"/>
      <c r="H549" s="79"/>
      <c r="I549" s="32"/>
      <c r="J549" s="79"/>
      <c r="K549" s="79"/>
      <c r="L549" s="79"/>
      <c r="M549" s="79"/>
      <c r="N549" s="11"/>
      <c r="O549" s="8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>
      <c r="A550" s="83"/>
      <c r="B550" s="11"/>
      <c r="C550" s="79"/>
      <c r="D550" s="79"/>
      <c r="E550" s="11"/>
      <c r="F550" s="79"/>
      <c r="G550" s="79"/>
      <c r="H550" s="79"/>
      <c r="I550" s="32"/>
      <c r="J550" s="79"/>
      <c r="K550" s="79"/>
      <c r="L550" s="79"/>
      <c r="M550" s="79"/>
      <c r="N550" s="11"/>
      <c r="O550" s="8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>
      <c r="A551" s="83"/>
      <c r="B551" s="11"/>
      <c r="C551" s="79"/>
      <c r="D551" s="79"/>
      <c r="E551" s="11"/>
      <c r="F551" s="79"/>
      <c r="G551" s="79"/>
      <c r="H551" s="79"/>
      <c r="I551" s="32"/>
      <c r="J551" s="79"/>
      <c r="K551" s="79"/>
      <c r="L551" s="79"/>
      <c r="M551" s="79"/>
      <c r="N551" s="11"/>
      <c r="O551" s="8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>
      <c r="A552" s="83"/>
      <c r="B552" s="11"/>
      <c r="C552" s="79"/>
      <c r="D552" s="79"/>
      <c r="E552" s="11"/>
      <c r="F552" s="79"/>
      <c r="G552" s="79"/>
      <c r="H552" s="79"/>
      <c r="I552" s="32"/>
      <c r="J552" s="79"/>
      <c r="K552" s="79"/>
      <c r="L552" s="79"/>
      <c r="M552" s="79"/>
      <c r="N552" s="11"/>
      <c r="O552" s="8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>
      <c r="A553" s="83"/>
      <c r="B553" s="11"/>
      <c r="C553" s="79"/>
      <c r="D553" s="79"/>
      <c r="E553" s="11"/>
      <c r="F553" s="79"/>
      <c r="G553" s="79"/>
      <c r="H553" s="79"/>
      <c r="I553" s="32"/>
      <c r="J553" s="79"/>
      <c r="K553" s="79"/>
      <c r="L553" s="79"/>
      <c r="M553" s="79"/>
      <c r="N553" s="11"/>
      <c r="O553" s="8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>
      <c r="A554" s="83"/>
      <c r="B554" s="11"/>
      <c r="C554" s="79"/>
      <c r="D554" s="79"/>
      <c r="E554" s="11"/>
      <c r="F554" s="79"/>
      <c r="G554" s="79"/>
      <c r="H554" s="79"/>
      <c r="I554" s="32"/>
      <c r="J554" s="79"/>
      <c r="K554" s="79"/>
      <c r="L554" s="79"/>
      <c r="M554" s="79"/>
      <c r="N554" s="11"/>
      <c r="O554" s="8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.75" customHeight="1">
      <c r="B555" s="481"/>
      <c r="E555" s="482"/>
      <c r="N555" s="481"/>
    </row>
    <row r="556" spans="1:46" ht="15.75" customHeight="1">
      <c r="B556" s="481"/>
      <c r="E556" s="482"/>
      <c r="N556" s="481"/>
    </row>
    <row r="557" spans="1:46" ht="15.75" customHeight="1">
      <c r="B557" s="481"/>
      <c r="E557" s="482"/>
      <c r="N557" s="481"/>
    </row>
    <row r="558" spans="1:46" ht="15.75" customHeight="1">
      <c r="B558" s="481"/>
      <c r="E558" s="482"/>
      <c r="N558" s="481"/>
    </row>
    <row r="559" spans="1:46" ht="15.75" customHeight="1">
      <c r="B559" s="481"/>
      <c r="E559" s="482"/>
      <c r="N559" s="481"/>
    </row>
    <row r="560" spans="1:46" ht="15.75" customHeight="1">
      <c r="B560" s="481"/>
      <c r="E560" s="482"/>
      <c r="N560" s="481"/>
    </row>
    <row r="561" spans="2:14" ht="15.75" customHeight="1">
      <c r="B561" s="481"/>
      <c r="E561" s="482"/>
      <c r="N561" s="481"/>
    </row>
    <row r="562" spans="2:14" ht="15.75" customHeight="1">
      <c r="B562" s="481"/>
      <c r="E562" s="482"/>
      <c r="N562" s="481"/>
    </row>
    <row r="563" spans="2:14" ht="15.75" customHeight="1">
      <c r="B563" s="481"/>
      <c r="E563" s="482"/>
      <c r="N563" s="481"/>
    </row>
    <row r="564" spans="2:14" ht="15.75" customHeight="1">
      <c r="B564" s="481"/>
      <c r="E564" s="482"/>
      <c r="N564" s="481"/>
    </row>
    <row r="565" spans="2:14" ht="15.75" customHeight="1">
      <c r="B565" s="481"/>
      <c r="E565" s="482"/>
      <c r="N565" s="481"/>
    </row>
    <row r="566" spans="2:14" ht="15.75" customHeight="1">
      <c r="B566" s="481"/>
      <c r="E566" s="482"/>
      <c r="N566" s="481"/>
    </row>
    <row r="567" spans="2:14" ht="15.75" customHeight="1">
      <c r="B567" s="481"/>
      <c r="E567" s="482"/>
      <c r="N567" s="481"/>
    </row>
    <row r="568" spans="2:14" ht="15.75" customHeight="1">
      <c r="B568" s="481"/>
      <c r="E568" s="482"/>
      <c r="N568" s="481"/>
    </row>
    <row r="569" spans="2:14" ht="15.75" customHeight="1">
      <c r="B569" s="481"/>
      <c r="E569" s="482"/>
      <c r="N569" s="481"/>
    </row>
    <row r="570" spans="2:14" ht="15.75" customHeight="1">
      <c r="B570" s="481"/>
      <c r="E570" s="482"/>
      <c r="N570" s="481"/>
    </row>
    <row r="571" spans="2:14" ht="15.75" customHeight="1">
      <c r="B571" s="481"/>
      <c r="E571" s="482"/>
      <c r="N571" s="481"/>
    </row>
    <row r="572" spans="2:14" ht="15.75" customHeight="1">
      <c r="B572" s="481"/>
      <c r="E572" s="482"/>
      <c r="N572" s="481"/>
    </row>
    <row r="573" spans="2:14" ht="15.75" customHeight="1">
      <c r="B573" s="481"/>
      <c r="E573" s="482"/>
      <c r="N573" s="481"/>
    </row>
    <row r="574" spans="2:14" ht="15.75" customHeight="1">
      <c r="B574" s="481"/>
      <c r="E574" s="482"/>
      <c r="N574" s="481"/>
    </row>
    <row r="575" spans="2:14" ht="15.75" customHeight="1">
      <c r="B575" s="481"/>
      <c r="E575" s="482"/>
      <c r="N575" s="481"/>
    </row>
    <row r="576" spans="2:14" ht="15.75" customHeight="1">
      <c r="B576" s="481"/>
      <c r="E576" s="482"/>
      <c r="N576" s="481"/>
    </row>
    <row r="577" spans="2:14" ht="15.75" customHeight="1">
      <c r="B577" s="481"/>
      <c r="E577" s="482"/>
      <c r="N577" s="481"/>
    </row>
    <row r="578" spans="2:14" ht="15.75" customHeight="1">
      <c r="B578" s="481"/>
      <c r="E578" s="482"/>
      <c r="N578" s="481"/>
    </row>
    <row r="579" spans="2:14" ht="15.75" customHeight="1">
      <c r="B579" s="481"/>
      <c r="E579" s="482"/>
      <c r="N579" s="481"/>
    </row>
    <row r="580" spans="2:14" ht="15.75" customHeight="1">
      <c r="B580" s="481"/>
      <c r="E580" s="482"/>
      <c r="N580" s="481"/>
    </row>
    <row r="581" spans="2:14" ht="15.75" customHeight="1">
      <c r="B581" s="481"/>
      <c r="E581" s="482"/>
      <c r="N581" s="481"/>
    </row>
    <row r="582" spans="2:14" ht="15.75" customHeight="1">
      <c r="B582" s="481"/>
      <c r="E582" s="482"/>
      <c r="N582" s="481"/>
    </row>
    <row r="583" spans="2:14" ht="15.75" customHeight="1">
      <c r="B583" s="481"/>
      <c r="E583" s="482"/>
      <c r="N583" s="481"/>
    </row>
    <row r="584" spans="2:14" ht="15.75" customHeight="1">
      <c r="B584" s="481"/>
      <c r="E584" s="482"/>
      <c r="N584" s="481"/>
    </row>
    <row r="585" spans="2:14" ht="15.75" customHeight="1">
      <c r="B585" s="481"/>
      <c r="E585" s="482"/>
      <c r="N585" s="481"/>
    </row>
    <row r="586" spans="2:14" ht="15.75" customHeight="1">
      <c r="B586" s="481"/>
      <c r="E586" s="482"/>
      <c r="N586" s="481"/>
    </row>
    <row r="587" spans="2:14" ht="15.75" customHeight="1">
      <c r="B587" s="481"/>
      <c r="E587" s="482"/>
      <c r="N587" s="481"/>
    </row>
    <row r="588" spans="2:14" ht="15.75" customHeight="1">
      <c r="B588" s="481"/>
      <c r="E588" s="482"/>
      <c r="N588" s="481"/>
    </row>
    <row r="589" spans="2:14" ht="15.75" customHeight="1">
      <c r="B589" s="481"/>
      <c r="E589" s="482"/>
      <c r="N589" s="481"/>
    </row>
    <row r="590" spans="2:14" ht="15.75" customHeight="1">
      <c r="B590" s="481"/>
      <c r="E590" s="482"/>
      <c r="N590" s="481"/>
    </row>
    <row r="591" spans="2:14" ht="15.75" customHeight="1">
      <c r="B591" s="481"/>
      <c r="E591" s="482"/>
      <c r="N591" s="481"/>
    </row>
    <row r="592" spans="2:14" ht="15.75" customHeight="1">
      <c r="B592" s="481"/>
      <c r="E592" s="482"/>
      <c r="N592" s="481"/>
    </row>
    <row r="593" spans="2:14" ht="15.75" customHeight="1">
      <c r="B593" s="481"/>
      <c r="E593" s="482"/>
      <c r="N593" s="481"/>
    </row>
    <row r="594" spans="2:14" ht="15.75" customHeight="1">
      <c r="B594" s="481"/>
      <c r="E594" s="482"/>
      <c r="N594" s="481"/>
    </row>
    <row r="595" spans="2:14" ht="15.75" customHeight="1">
      <c r="B595" s="481"/>
      <c r="E595" s="482"/>
      <c r="N595" s="481"/>
    </row>
    <row r="596" spans="2:14" ht="15.75" customHeight="1">
      <c r="B596" s="481"/>
      <c r="E596" s="482"/>
      <c r="N596" s="481"/>
    </row>
    <row r="597" spans="2:14" ht="15.75" customHeight="1">
      <c r="B597" s="481"/>
      <c r="E597" s="482"/>
      <c r="N597" s="481"/>
    </row>
    <row r="598" spans="2:14" ht="15.75" customHeight="1">
      <c r="B598" s="481"/>
      <c r="E598" s="482"/>
      <c r="N598" s="481"/>
    </row>
    <row r="599" spans="2:14" ht="15.75" customHeight="1">
      <c r="B599" s="481"/>
      <c r="E599" s="482"/>
      <c r="N599" s="481"/>
    </row>
    <row r="600" spans="2:14" ht="15.75" customHeight="1">
      <c r="B600" s="481"/>
      <c r="E600" s="482"/>
      <c r="N600" s="481"/>
    </row>
    <row r="601" spans="2:14" ht="15.75" customHeight="1">
      <c r="B601" s="481"/>
      <c r="E601" s="482"/>
      <c r="N601" s="481"/>
    </row>
    <row r="602" spans="2:14" ht="15.75" customHeight="1">
      <c r="B602" s="481"/>
      <c r="E602" s="482"/>
      <c r="N602" s="481"/>
    </row>
    <row r="603" spans="2:14" ht="15.75" customHeight="1">
      <c r="B603" s="481"/>
      <c r="E603" s="482"/>
      <c r="N603" s="481"/>
    </row>
    <row r="604" spans="2:14" ht="15.75" customHeight="1">
      <c r="B604" s="481"/>
      <c r="E604" s="482"/>
      <c r="N604" s="481"/>
    </row>
    <row r="605" spans="2:14" ht="15.75" customHeight="1">
      <c r="B605" s="481"/>
      <c r="E605" s="482"/>
      <c r="N605" s="481"/>
    </row>
    <row r="606" spans="2:14" ht="15.75" customHeight="1">
      <c r="B606" s="481"/>
      <c r="E606" s="482"/>
      <c r="N606" s="481"/>
    </row>
    <row r="607" spans="2:14" ht="15.75" customHeight="1">
      <c r="B607" s="481"/>
      <c r="E607" s="482"/>
      <c r="N607" s="481"/>
    </row>
    <row r="608" spans="2:14" ht="15.75" customHeight="1">
      <c r="B608" s="481"/>
      <c r="E608" s="482"/>
      <c r="N608" s="481"/>
    </row>
  </sheetData>
  <hyperlinks>
    <hyperlink ref="I55" r:id="rId1" xr:uid="{00000000-0004-0000-0100-000000000000}"/>
    <hyperlink ref="H166" r:id="rId2" display="mailto:chunmeixie15@gmail.com" xr:uid="{00000000-0004-0000-0100-000001000000}"/>
    <hyperlink ref="I166" r:id="rId3" xr:uid="{00000000-0004-0000-0100-000002000000}"/>
    <hyperlink ref="I175" r:id="rId4" xr:uid="{00000000-0004-0000-0100-000003000000}"/>
    <hyperlink ref="I240" r:id="rId5" xr:uid="{00000000-0004-0000-0100-000004000000}"/>
    <hyperlink ref="I261" r:id="rId6" xr:uid="{00000000-0004-0000-0100-000005000000}"/>
    <hyperlink ref="I262" r:id="rId7" xr:uid="{00000000-0004-0000-0100-000006000000}"/>
    <hyperlink ref="I402" r:id="rId8" xr:uid="{00000000-0004-0000-0100-000007000000}"/>
  </hyperlinks>
  <pageMargins left="0.25" right="0.25" top="0.75" bottom="0.75" header="0" footer="0"/>
  <pageSetup orientation="portrait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41"/>
  <sheetViews>
    <sheetView workbookViewId="0"/>
  </sheetViews>
  <sheetFormatPr baseColWidth="10" defaultColWidth="14.5" defaultRowHeight="15" customHeight="1"/>
  <sheetData>
    <row r="1" spans="1:15">
      <c r="A1" s="483" t="s">
        <v>1070</v>
      </c>
    </row>
    <row r="2" spans="1:15">
      <c r="A2" s="484" t="s">
        <v>1071</v>
      </c>
      <c r="B2" s="483" t="s">
        <v>1072</v>
      </c>
    </row>
    <row r="3" spans="1:15">
      <c r="A3" s="484" t="s">
        <v>1073</v>
      </c>
      <c r="B3" s="484" t="s">
        <v>1074</v>
      </c>
    </row>
    <row r="4" spans="1:15">
      <c r="A4" s="485"/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6"/>
    </row>
    <row r="5" spans="1:15">
      <c r="A5" s="484" t="s">
        <v>1075</v>
      </c>
      <c r="B5" s="484"/>
      <c r="C5" s="484"/>
      <c r="D5" s="484"/>
      <c r="E5" s="487"/>
      <c r="F5" s="488"/>
      <c r="G5" s="484"/>
      <c r="H5" s="484"/>
      <c r="I5" s="484"/>
      <c r="J5" s="484"/>
      <c r="K5" s="484"/>
      <c r="L5" s="484"/>
      <c r="M5" s="489"/>
      <c r="N5" s="484"/>
      <c r="O5" s="488"/>
    </row>
    <row r="6" spans="1:15">
      <c r="A6" s="484" t="s">
        <v>764</v>
      </c>
      <c r="B6" s="484" t="s">
        <v>157</v>
      </c>
      <c r="C6" s="484"/>
      <c r="D6" s="484"/>
      <c r="E6" s="487"/>
      <c r="F6" s="488"/>
      <c r="G6" s="484"/>
      <c r="H6" s="484"/>
      <c r="I6" s="484"/>
      <c r="J6" s="484"/>
      <c r="K6" s="484"/>
      <c r="L6" s="484"/>
      <c r="M6" s="489"/>
      <c r="N6" s="484"/>
      <c r="O6" s="488"/>
    </row>
    <row r="7" spans="1:15">
      <c r="A7" s="484"/>
      <c r="B7" s="484"/>
      <c r="C7" s="484"/>
      <c r="D7" s="484"/>
      <c r="E7" s="487"/>
      <c r="F7" s="488"/>
      <c r="G7" s="484"/>
      <c r="H7" s="484"/>
      <c r="I7" s="484"/>
      <c r="J7" s="484"/>
      <c r="K7" s="484"/>
      <c r="L7" s="484"/>
      <c r="M7" s="484"/>
      <c r="N7" s="484"/>
      <c r="O7" s="488"/>
    </row>
    <row r="8" spans="1:15">
      <c r="A8" s="490"/>
      <c r="B8" s="490"/>
      <c r="C8" s="490"/>
      <c r="D8" s="490"/>
      <c r="E8" s="491"/>
      <c r="F8" s="492"/>
      <c r="G8" s="490"/>
      <c r="H8" s="490"/>
      <c r="I8" s="490"/>
      <c r="J8" s="490"/>
      <c r="K8" s="490"/>
      <c r="L8" s="490"/>
      <c r="M8" s="493"/>
      <c r="N8" s="490"/>
      <c r="O8" s="492"/>
    </row>
    <row r="9" spans="1:15">
      <c r="A9" s="484"/>
      <c r="B9" s="484"/>
      <c r="C9" s="484"/>
      <c r="D9" s="484"/>
      <c r="E9" s="487"/>
      <c r="F9" s="488"/>
      <c r="G9" s="484"/>
      <c r="H9" s="484"/>
      <c r="I9" s="484"/>
      <c r="J9" s="484"/>
      <c r="K9" s="484"/>
      <c r="L9" s="484"/>
      <c r="M9" s="484"/>
      <c r="N9" s="484"/>
      <c r="O9" s="488"/>
    </row>
    <row r="10" spans="1:15">
      <c r="A10" s="484"/>
      <c r="B10" s="484"/>
      <c r="C10" s="484"/>
      <c r="D10" s="484"/>
      <c r="E10" s="487"/>
      <c r="F10" s="488"/>
      <c r="G10" s="484"/>
      <c r="H10" s="484"/>
      <c r="I10" s="484"/>
      <c r="J10" s="484"/>
      <c r="K10" s="484"/>
      <c r="L10" s="484"/>
      <c r="M10" s="489"/>
      <c r="N10" s="484"/>
      <c r="O10" s="488"/>
    </row>
    <row r="11" spans="1:15">
      <c r="A11" s="484"/>
      <c r="B11" s="484"/>
      <c r="C11" s="484"/>
      <c r="D11" s="484"/>
      <c r="E11" s="487"/>
      <c r="F11" s="494"/>
      <c r="G11" s="484"/>
      <c r="H11" s="484"/>
      <c r="I11" s="484"/>
      <c r="J11" s="484"/>
      <c r="K11" s="484"/>
      <c r="L11" s="484"/>
      <c r="M11" s="489"/>
      <c r="N11" s="484"/>
      <c r="O11" s="488"/>
    </row>
    <row r="12" spans="1:15">
      <c r="A12" s="484"/>
      <c r="B12" s="484"/>
      <c r="C12" s="484"/>
      <c r="D12" s="484"/>
      <c r="E12" s="487"/>
      <c r="F12" s="488"/>
      <c r="G12" s="484"/>
      <c r="H12" s="484"/>
      <c r="I12" s="484"/>
      <c r="J12" s="484"/>
      <c r="K12" s="484"/>
      <c r="L12" s="484"/>
      <c r="M12" s="489"/>
      <c r="N12" s="484"/>
      <c r="O12" s="488"/>
    </row>
    <row r="13" spans="1:15">
      <c r="A13" s="484"/>
      <c r="B13" s="484"/>
      <c r="C13" s="484"/>
      <c r="D13" s="484"/>
      <c r="E13" s="487"/>
      <c r="F13" s="488"/>
      <c r="G13" s="484"/>
      <c r="H13" s="484"/>
      <c r="I13" s="484"/>
      <c r="J13" s="484"/>
      <c r="K13" s="484"/>
      <c r="L13" s="484"/>
      <c r="M13" s="484"/>
      <c r="N13" s="484"/>
      <c r="O13" s="488"/>
    </row>
    <row r="14" spans="1:15">
      <c r="A14" s="484"/>
      <c r="B14" s="484"/>
      <c r="C14" s="484"/>
      <c r="D14" s="484"/>
      <c r="E14" s="487"/>
      <c r="F14" s="488"/>
      <c r="G14" s="484"/>
      <c r="H14" s="484"/>
      <c r="I14" s="484"/>
      <c r="J14" s="484"/>
      <c r="K14" s="484"/>
      <c r="L14" s="484"/>
      <c r="M14" s="484"/>
      <c r="N14" s="484"/>
      <c r="O14" s="488"/>
    </row>
    <row r="15" spans="1:15">
      <c r="A15" s="484"/>
      <c r="B15" s="484"/>
      <c r="C15" s="484"/>
      <c r="D15" s="484"/>
      <c r="E15" s="487"/>
      <c r="F15" s="488"/>
      <c r="G15" s="484"/>
      <c r="H15" s="484"/>
      <c r="I15" s="484"/>
      <c r="J15" s="484"/>
      <c r="K15" s="484"/>
      <c r="L15" s="484"/>
      <c r="M15" s="489"/>
      <c r="N15" s="484"/>
      <c r="O15" s="488"/>
    </row>
    <row r="16" spans="1:15">
      <c r="A16" s="484"/>
      <c r="B16" s="484"/>
      <c r="C16" s="484"/>
      <c r="D16" s="484"/>
      <c r="E16" s="487"/>
      <c r="F16" s="488"/>
      <c r="G16" s="484"/>
      <c r="H16" s="484"/>
      <c r="I16" s="484"/>
      <c r="J16" s="484"/>
      <c r="K16" s="484"/>
      <c r="L16" s="484"/>
      <c r="M16" s="495"/>
      <c r="N16" s="484"/>
      <c r="O16" s="488"/>
    </row>
    <row r="17" spans="1:15">
      <c r="A17" s="484"/>
      <c r="B17" s="484"/>
      <c r="C17" s="484"/>
      <c r="D17" s="484"/>
      <c r="E17" s="487"/>
      <c r="F17" s="488"/>
      <c r="G17" s="484"/>
      <c r="H17" s="484"/>
      <c r="I17" s="484"/>
      <c r="J17" s="484"/>
      <c r="K17" s="484"/>
      <c r="L17" s="484"/>
      <c r="M17" s="489"/>
      <c r="N17" s="484"/>
      <c r="O17" s="488"/>
    </row>
    <row r="18" spans="1:15">
      <c r="A18" s="484"/>
      <c r="B18" s="484"/>
      <c r="C18" s="484"/>
      <c r="D18" s="484"/>
      <c r="E18" s="487"/>
      <c r="F18" s="488"/>
      <c r="G18" s="484"/>
      <c r="H18" s="484"/>
      <c r="I18" s="484"/>
      <c r="J18" s="484"/>
      <c r="K18" s="484"/>
      <c r="L18" s="484"/>
      <c r="M18" s="495"/>
      <c r="N18" s="484"/>
      <c r="O18" s="488"/>
    </row>
    <row r="19" spans="1:15">
      <c r="A19" s="484"/>
      <c r="B19" s="484"/>
      <c r="C19" s="484"/>
      <c r="D19" s="484"/>
      <c r="E19" s="487"/>
      <c r="F19" s="494"/>
      <c r="G19" s="484"/>
      <c r="H19" s="484"/>
      <c r="I19" s="484"/>
      <c r="J19" s="484"/>
      <c r="K19" s="484"/>
      <c r="L19" s="484"/>
      <c r="M19" s="489"/>
      <c r="N19" s="484"/>
      <c r="O19" s="488"/>
    </row>
    <row r="20" spans="1:15">
      <c r="A20" s="484"/>
      <c r="B20" s="484"/>
      <c r="C20" s="484"/>
      <c r="D20" s="484"/>
      <c r="E20" s="487"/>
      <c r="F20" s="494"/>
      <c r="G20" s="484"/>
      <c r="H20" s="484"/>
      <c r="I20" s="484"/>
      <c r="J20" s="484"/>
      <c r="K20" s="484"/>
      <c r="L20" s="484"/>
      <c r="M20" s="489"/>
      <c r="N20" s="484"/>
      <c r="O20" s="488"/>
    </row>
    <row r="21" spans="1:15">
      <c r="A21" s="484"/>
      <c r="B21" s="484"/>
      <c r="C21" s="484"/>
      <c r="D21" s="484"/>
      <c r="E21" s="487"/>
      <c r="F21" s="488"/>
      <c r="G21" s="484"/>
      <c r="H21" s="484"/>
      <c r="I21" s="484"/>
      <c r="J21" s="484"/>
      <c r="K21" s="484"/>
      <c r="L21" s="484"/>
      <c r="M21" s="489"/>
      <c r="N21" s="484"/>
      <c r="O21" s="488"/>
    </row>
    <row r="22" spans="1:15">
      <c r="A22" s="484"/>
      <c r="C22" s="484"/>
      <c r="D22" s="484"/>
      <c r="E22" s="487"/>
      <c r="F22" s="488"/>
      <c r="G22" s="484"/>
      <c r="H22" s="484"/>
      <c r="I22" s="484"/>
      <c r="J22" s="484"/>
      <c r="K22" s="484"/>
      <c r="L22" s="484"/>
      <c r="M22" s="489"/>
      <c r="N22" s="484"/>
      <c r="O22" s="488"/>
    </row>
    <row r="23" spans="1:15">
      <c r="A23" s="484"/>
      <c r="B23" s="484"/>
      <c r="C23" s="484"/>
      <c r="D23" s="484"/>
      <c r="E23" s="487"/>
      <c r="F23" s="488"/>
      <c r="G23" s="484"/>
      <c r="H23" s="484"/>
      <c r="I23" s="484"/>
      <c r="J23" s="484"/>
      <c r="K23" s="484"/>
      <c r="L23" s="484"/>
      <c r="M23" s="489"/>
      <c r="N23" s="484"/>
      <c r="O23" s="488"/>
    </row>
    <row r="24" spans="1:15">
      <c r="A24" s="484"/>
      <c r="B24" s="484"/>
      <c r="C24" s="484"/>
      <c r="D24" s="484"/>
      <c r="E24" s="487"/>
      <c r="F24" s="488"/>
      <c r="G24" s="484"/>
      <c r="H24" s="484"/>
      <c r="I24" s="484"/>
      <c r="J24" s="484"/>
      <c r="K24" s="484"/>
      <c r="L24" s="484"/>
      <c r="M24" s="484"/>
      <c r="N24" s="484"/>
      <c r="O24" s="488"/>
    </row>
    <row r="25" spans="1:15">
      <c r="A25" s="484"/>
      <c r="B25" s="484"/>
      <c r="C25" s="484"/>
      <c r="D25" s="484"/>
      <c r="E25" s="487"/>
      <c r="F25" s="488"/>
      <c r="G25" s="484"/>
      <c r="H25" s="484"/>
      <c r="I25" s="484"/>
      <c r="J25" s="484"/>
      <c r="K25" s="484"/>
      <c r="L25" s="484"/>
      <c r="M25" s="489"/>
      <c r="N25" s="484"/>
      <c r="O25" s="488"/>
    </row>
    <row r="26" spans="1:15">
      <c r="A26" s="484"/>
      <c r="B26" s="484"/>
      <c r="C26" s="484"/>
      <c r="D26" s="484"/>
      <c r="E26" s="487"/>
      <c r="F26" s="488"/>
      <c r="G26" s="484"/>
      <c r="H26" s="484"/>
      <c r="I26" s="484"/>
      <c r="J26" s="484"/>
      <c r="K26" s="484"/>
      <c r="L26" s="484"/>
      <c r="M26" s="489"/>
      <c r="N26" s="484"/>
      <c r="O26" s="488"/>
    </row>
    <row r="27" spans="1:15">
      <c r="A27" s="484"/>
      <c r="B27" s="484"/>
      <c r="C27" s="484"/>
      <c r="D27" s="484"/>
      <c r="E27" s="487"/>
      <c r="F27" s="488"/>
      <c r="G27" s="484"/>
      <c r="H27" s="484"/>
      <c r="I27" s="484"/>
      <c r="J27" s="484"/>
      <c r="K27" s="484"/>
      <c r="L27" s="484"/>
      <c r="M27" s="489"/>
      <c r="N27" s="484"/>
      <c r="O27" s="488"/>
    </row>
    <row r="28" spans="1:15">
      <c r="A28" s="484"/>
      <c r="B28" s="484"/>
      <c r="C28" s="484"/>
      <c r="D28" s="484"/>
      <c r="E28" s="487"/>
      <c r="F28" s="488"/>
      <c r="G28" s="484"/>
      <c r="H28" s="484"/>
      <c r="I28" s="484"/>
      <c r="J28" s="484"/>
      <c r="K28" s="484"/>
      <c r="L28" s="484"/>
      <c r="M28" s="489"/>
      <c r="N28" s="484"/>
      <c r="O28" s="488"/>
    </row>
    <row r="29" spans="1:15">
      <c r="A29" s="484"/>
      <c r="B29" s="484"/>
      <c r="C29" s="484"/>
      <c r="D29" s="484"/>
      <c r="E29" s="487"/>
      <c r="F29" s="488"/>
      <c r="G29" s="484"/>
      <c r="H29" s="484"/>
      <c r="I29" s="484"/>
      <c r="J29" s="484"/>
      <c r="K29" s="484"/>
      <c r="L29" s="484"/>
      <c r="M29" s="489"/>
      <c r="N29" s="484"/>
      <c r="O29" s="488"/>
    </row>
    <row r="30" spans="1:15">
      <c r="A30" s="484"/>
      <c r="B30" s="484"/>
      <c r="C30" s="484"/>
      <c r="D30" s="484"/>
      <c r="E30" s="487"/>
      <c r="F30" s="488"/>
      <c r="G30" s="484"/>
      <c r="H30" s="484"/>
      <c r="I30" s="484"/>
      <c r="J30" s="484"/>
      <c r="K30" s="484"/>
      <c r="L30" s="484"/>
      <c r="M30" s="495"/>
      <c r="N30" s="484"/>
      <c r="O30" s="488"/>
    </row>
    <row r="31" spans="1:15">
      <c r="A31" s="484"/>
      <c r="B31" s="484"/>
      <c r="C31" s="484"/>
      <c r="D31" s="484"/>
      <c r="E31" s="487"/>
      <c r="F31" s="488"/>
      <c r="G31" s="484"/>
      <c r="H31" s="484"/>
      <c r="I31" s="484"/>
      <c r="J31" s="484"/>
      <c r="K31" s="484"/>
      <c r="L31" s="484"/>
      <c r="M31" s="489"/>
      <c r="N31" s="484"/>
      <c r="O31" s="488"/>
    </row>
    <row r="32" spans="1:15">
      <c r="A32" s="484"/>
      <c r="B32" s="484"/>
      <c r="C32" s="484"/>
      <c r="D32" s="484"/>
      <c r="E32" s="487"/>
      <c r="F32" s="488"/>
      <c r="G32" s="484"/>
      <c r="H32" s="484"/>
      <c r="I32" s="484"/>
      <c r="J32" s="484"/>
      <c r="K32" s="484"/>
      <c r="L32" s="484"/>
      <c r="M32" s="484"/>
      <c r="N32" s="484"/>
      <c r="O32" s="488"/>
    </row>
    <row r="33" spans="1:15">
      <c r="A33" s="484"/>
      <c r="B33" s="484"/>
      <c r="C33" s="484"/>
      <c r="D33" s="484"/>
      <c r="E33" s="487"/>
      <c r="F33" s="488"/>
      <c r="G33" s="484"/>
      <c r="H33" s="484"/>
      <c r="I33" s="484"/>
      <c r="J33" s="484"/>
      <c r="K33" s="484"/>
      <c r="L33" s="484"/>
      <c r="M33" s="484"/>
      <c r="N33" s="484"/>
      <c r="O33" s="488"/>
    </row>
    <row r="34" spans="1:15">
      <c r="A34" s="484"/>
      <c r="B34" s="484"/>
      <c r="C34" s="484"/>
      <c r="D34" s="484"/>
      <c r="E34" s="487"/>
      <c r="F34" s="488"/>
      <c r="G34" s="484"/>
      <c r="H34" s="484"/>
      <c r="I34" s="484"/>
      <c r="J34" s="484"/>
      <c r="K34" s="484"/>
      <c r="L34" s="484"/>
      <c r="M34" s="489"/>
      <c r="N34" s="484"/>
      <c r="O34" s="488"/>
    </row>
    <row r="35" spans="1:15">
      <c r="A35" s="484"/>
      <c r="B35" s="484"/>
      <c r="C35" s="484"/>
      <c r="D35" s="484"/>
      <c r="E35" s="487"/>
      <c r="F35" s="488"/>
      <c r="G35" s="484"/>
      <c r="H35" s="484"/>
      <c r="I35" s="484"/>
      <c r="J35" s="484"/>
      <c r="K35" s="484"/>
      <c r="L35" s="484"/>
      <c r="M35" s="489"/>
      <c r="N35" s="484"/>
      <c r="O35" s="488"/>
    </row>
    <row r="36" spans="1:15">
      <c r="A36" s="484"/>
      <c r="B36" s="484"/>
      <c r="C36" s="484"/>
      <c r="D36" s="484"/>
      <c r="E36" s="487"/>
      <c r="F36" s="488"/>
      <c r="G36" s="484"/>
      <c r="H36" s="484"/>
      <c r="I36" s="484"/>
      <c r="J36" s="484"/>
      <c r="K36" s="484"/>
      <c r="L36" s="484"/>
      <c r="M36" s="489"/>
      <c r="N36" s="484"/>
      <c r="O36" s="488"/>
    </row>
    <row r="37" spans="1:15">
      <c r="A37" s="484"/>
      <c r="B37" s="484"/>
      <c r="C37" s="484"/>
      <c r="D37" s="484"/>
      <c r="E37" s="487"/>
      <c r="F37" s="488"/>
      <c r="G37" s="484"/>
      <c r="H37" s="484"/>
      <c r="I37" s="484"/>
      <c r="J37" s="484"/>
      <c r="K37" s="484"/>
      <c r="L37" s="484"/>
      <c r="M37" s="495"/>
      <c r="N37" s="484"/>
      <c r="O37" s="488"/>
    </row>
    <row r="38" spans="1:15">
      <c r="A38" s="484"/>
      <c r="B38" s="484"/>
      <c r="C38" s="484"/>
      <c r="D38" s="484"/>
      <c r="E38" s="487"/>
      <c r="F38" s="488"/>
      <c r="G38" s="484"/>
      <c r="H38" s="484"/>
      <c r="I38" s="484"/>
      <c r="J38" s="484"/>
      <c r="K38" s="484"/>
      <c r="L38" s="484"/>
      <c r="M38" s="489"/>
      <c r="N38" s="484"/>
      <c r="O38" s="488"/>
    </row>
    <row r="39" spans="1:15">
      <c r="A39" s="484"/>
      <c r="B39" s="484"/>
      <c r="C39" s="484"/>
      <c r="D39" s="484"/>
      <c r="E39" s="487"/>
      <c r="F39" s="488"/>
      <c r="G39" s="484"/>
      <c r="H39" s="484"/>
      <c r="I39" s="484"/>
      <c r="J39" s="484"/>
      <c r="K39" s="484"/>
      <c r="L39" s="484"/>
      <c r="M39" s="489"/>
      <c r="N39" s="484"/>
      <c r="O39" s="488"/>
    </row>
    <row r="40" spans="1:15">
      <c r="A40" s="484"/>
      <c r="B40" s="484"/>
      <c r="C40" s="484"/>
      <c r="D40" s="484"/>
      <c r="E40" s="487"/>
      <c r="F40" s="488"/>
      <c r="G40" s="484"/>
      <c r="H40" s="484"/>
      <c r="I40" s="484"/>
      <c r="J40" s="484"/>
      <c r="K40" s="484"/>
      <c r="L40" s="484"/>
      <c r="M40" s="489"/>
      <c r="N40" s="484"/>
      <c r="O40" s="488"/>
    </row>
    <row r="41" spans="1:15">
      <c r="A41" s="4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2025-12-21T17:58:23Z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