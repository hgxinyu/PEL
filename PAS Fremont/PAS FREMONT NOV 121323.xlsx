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A149A072-A944-461A-A849-0A2DCE2875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isJbMxfNVDxo3UWziaQOVYxR0DI+yM1Ka6WLCUyoKY="/>
    </ext>
  </extLst>
</workbook>
</file>

<file path=xl/calcChain.xml><?xml version="1.0" encoding="utf-8"?>
<calcChain xmlns="http://schemas.openxmlformats.org/spreadsheetml/2006/main">
  <c r="R2" i="2" l="1"/>
  <c r="S2" i="2"/>
  <c r="T2" i="2"/>
  <c r="U2" i="2"/>
  <c r="W2" i="2"/>
  <c r="V2" i="2"/>
  <c r="Z2" i="2"/>
  <c r="R3" i="2"/>
  <c r="S3" i="2"/>
  <c r="T3" i="2"/>
  <c r="U3" i="2"/>
  <c r="W3" i="2"/>
  <c r="V3" i="2"/>
  <c r="Z3" i="2"/>
  <c r="Z4" i="2"/>
  <c r="Y2" i="2"/>
  <c r="Y3" i="2"/>
  <c r="Y4" i="2"/>
  <c r="X2" i="2"/>
  <c r="X3" i="2"/>
  <c r="X4" i="2"/>
  <c r="W4" i="2"/>
  <c r="V4" i="2"/>
  <c r="U4" i="2"/>
  <c r="T4" i="2"/>
  <c r="S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19" i="1"/>
  <c r="E20" i="1"/>
  <c r="E21" i="1"/>
  <c r="E22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<sst xmlns="http://schemas.openxmlformats.org/spreadsheetml/2006/main" count="1469" uniqueCount="498">
  <si>
    <t>Report P</t>
  </si>
  <si>
    <t>Due by: 12/1/23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</si>
  <si>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</si>
  <si>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</si>
  <si>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</si>
  <si>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</si>
  <si>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</si>
  <si>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</si>
  <si>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</si>
  <si>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</si>
  <si>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</si>
  <si>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</si>
  <si>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</si>
  <si>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</si>
  <si>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</si>
  <si>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</si>
  <si>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</si>
  <si>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</si>
  <si>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</si>
  <si>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</si>
  <si>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</si>
  <si>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</si>
  <si>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</si>
  <si>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</si>
  <si>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</si>
  <si>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</si>
  <si>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</si>
  <si>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</si>
  <si>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</si>
  <si>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</si>
  <si>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</si>
  <si>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12/10/23)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</si>
  <si>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</si>
  <si>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</si>
  <si>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</si>
  <si>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</si>
  <si>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</si>
  <si>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</si>
  <si>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</si>
  <si>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</si>
  <si>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</si>
  <si>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</si>
  <si>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</si>
  <si>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</si>
  <si>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</si>
  <si>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</si>
  <si>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</si>
  <si>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</si>
  <si>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</si>
  <si>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</si>
  <si>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</si>
  <si>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</si>
  <si>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</si>
  <si>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</si>
  <si>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</si>
  <si>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</si>
  <si>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</si>
  <si>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</si>
  <si>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</si>
  <si>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</si>
  <si>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</si>
  <si>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</si>
  <si>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</si>
  <si>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</si>
  <si>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</si>
  <si>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</si>
  <si>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</si>
  <si>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</si>
  <si>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</si>
  <si>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</si>
  <si>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</si>
  <si>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</si>
  <si>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</si>
  <si>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</si>
  <si>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</si>
  <si>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</si>
  <si>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</si>
  <si>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</si>
  <si>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</si>
  <si>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</si>
  <si>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</si>
  <si>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</si>
  <si>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</si>
  <si>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</si>
  <si>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</si>
  <si>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</si>
  <si>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</si>
  <si>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</si>
  <si>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</si>
  <si>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</si>
  <si>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</si>
  <si>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</si>
  <si>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</si>
  <si>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</si>
  <si>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</si>
  <si>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</si>
  <si>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</si>
  <si>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</si>
  <si>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</si>
  <si>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</si>
  <si>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</si>
  <si>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</si>
  <si>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</si>
  <si>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</si>
  <si>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</si>
  <si>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Biswas</t>
  </si>
  <si>
    <t>Juhi</t>
  </si>
  <si>
    <t>2010 verbena ct, Fremont, CA, 94539</t>
  </si>
  <si>
    <t>(925)-6232456</t>
  </si>
  <si>
    <t>swati.aggarwal1@gmail.com</t>
  </si>
  <si>
    <t>EG4</t>
  </si>
  <si>
    <t>71P</t>
  </si>
  <si>
    <t>MG8</t>
  </si>
  <si>
    <t>31P</t>
  </si>
  <si>
    <t xml:space="preserve">Chandru </t>
  </si>
  <si>
    <t xml:space="preserve">Darshan </t>
  </si>
  <si>
    <t>281 Merrill ave, , Fremont, CA</t>
  </si>
  <si>
    <t>ramya.victory@gmail.com</t>
  </si>
  <si>
    <t>EG2B</t>
  </si>
  <si>
    <t>MG5</t>
  </si>
  <si>
    <t>61P</t>
  </si>
  <si>
    <t>Chen</t>
  </si>
  <si>
    <t>Hana</t>
  </si>
  <si>
    <t>49019 Woodgrove Cmn, Fremont, CA, 94539</t>
  </si>
  <si>
    <t>Tanabeusa@yahoo.com</t>
  </si>
  <si>
    <t>EG10</t>
  </si>
  <si>
    <t>11P</t>
  </si>
  <si>
    <t>from Milpitas</t>
  </si>
  <si>
    <t>MG11</t>
  </si>
  <si>
    <t>36P</t>
  </si>
  <si>
    <t xml:space="preserve">Chen </t>
  </si>
  <si>
    <t xml:space="preserve">Emily </t>
  </si>
  <si>
    <t>670 Cochise ct, Fremont</t>
  </si>
  <si>
    <t>amy99.chen@gmail.com</t>
  </si>
  <si>
    <t>EG1B</t>
  </si>
  <si>
    <t>86P</t>
  </si>
  <si>
    <t>MG6</t>
  </si>
  <si>
    <t>21P</t>
  </si>
  <si>
    <t>Chow</t>
  </si>
  <si>
    <t>Aileen</t>
  </si>
  <si>
    <t>506 Bristle Grass Terrace, Fremont CA</t>
  </si>
  <si>
    <t>510-2602020</t>
  </si>
  <si>
    <t>ginah.kid@gmail.com</t>
  </si>
  <si>
    <t>26P</t>
  </si>
  <si>
    <t>66P</t>
  </si>
  <si>
    <t>Deng</t>
  </si>
  <si>
    <t>Ocean</t>
  </si>
  <si>
    <t>K</t>
  </si>
  <si>
    <t>42567 Newport dr, Fremont, CA, 94538</t>
  </si>
  <si>
    <t>Wile4409@gmail.com</t>
  </si>
  <si>
    <t>EG1</t>
  </si>
  <si>
    <t>81P</t>
  </si>
  <si>
    <t>Sky</t>
  </si>
  <si>
    <t>EK2</t>
  </si>
  <si>
    <t xml:space="preserve">91P </t>
  </si>
  <si>
    <t xml:space="preserve">Feng </t>
  </si>
  <si>
    <t>Aaron</t>
  </si>
  <si>
    <t>4601 Margery Drive, , Fremont, CA</t>
  </si>
  <si>
    <t>Shirleylinge@gmail.com</t>
  </si>
  <si>
    <t>96P</t>
  </si>
  <si>
    <t>MG7</t>
  </si>
  <si>
    <t xml:space="preserve">Samuel </t>
  </si>
  <si>
    <t>97P</t>
  </si>
  <si>
    <t>MG2</t>
  </si>
  <si>
    <t>Fu</t>
  </si>
  <si>
    <t xml:space="preserve">Bryan </t>
  </si>
  <si>
    <t>306 Bayberry Cmn, Fremont</t>
  </si>
  <si>
    <t>zhuangqianyan0918@gmail.com</t>
  </si>
  <si>
    <t>EG2</t>
  </si>
  <si>
    <t xml:space="preserve">Fu </t>
  </si>
  <si>
    <t>45P</t>
  </si>
  <si>
    <t xml:space="preserve">Gao </t>
  </si>
  <si>
    <t xml:space="preserve">Dylan </t>
  </si>
  <si>
    <t>4407 Keepsake Rose Cmn, , Fremont, CA</t>
  </si>
  <si>
    <t>gracesmallrain@yahoo.com</t>
  </si>
  <si>
    <t>1P</t>
  </si>
  <si>
    <t>Gupta</t>
  </si>
  <si>
    <t xml:space="preserve">Abeer </t>
  </si>
  <si>
    <t>PK</t>
  </si>
  <si>
    <t>47658 Zunic drive, Fremont, CA, 94539</t>
  </si>
  <si>
    <t>shilpil81@gmail.com</t>
  </si>
  <si>
    <t>EK1</t>
  </si>
  <si>
    <t>69P</t>
  </si>
  <si>
    <t>Held</t>
  </si>
  <si>
    <t>Michael</t>
  </si>
  <si>
    <t>Warm Spring, Fremont, CA, 94539</t>
  </si>
  <si>
    <t>Zhuxi@hotmail.com</t>
  </si>
  <si>
    <t>56P</t>
  </si>
  <si>
    <t>49P</t>
  </si>
  <si>
    <t>Ji</t>
  </si>
  <si>
    <t>Claire</t>
  </si>
  <si>
    <t>47632 Zunic Dr, Fremont</t>
  </si>
  <si>
    <t>zf426@hotmail.com</t>
  </si>
  <si>
    <t>MM1</t>
  </si>
  <si>
    <t>91P</t>
  </si>
  <si>
    <t xml:space="preserve">Jiang </t>
  </si>
  <si>
    <t xml:space="preserve">Alvin </t>
  </si>
  <si>
    <t>46776 Fernald St., , Fremont, CA</t>
  </si>
  <si>
    <t>hgao5515@gmail.com</t>
  </si>
  <si>
    <t>Li</t>
  </si>
  <si>
    <t>Meggie</t>
  </si>
  <si>
    <t>245 Wenatchee CMN ,Fremont ,CA 94539</t>
  </si>
  <si>
    <t>hxzhou@gmail.com</t>
  </si>
  <si>
    <t>EH3</t>
  </si>
  <si>
    <t>46P</t>
  </si>
  <si>
    <t>MH1</t>
  </si>
  <si>
    <t>33P</t>
  </si>
  <si>
    <t>Liu</t>
  </si>
  <si>
    <t xml:space="preserve">Alysia </t>
  </si>
  <si>
    <t>47074 Palo Amarillo Dr, , Fremont, CA</t>
  </si>
  <si>
    <t>danlirealty@gmail.com</t>
  </si>
  <si>
    <t>EG5</t>
  </si>
  <si>
    <t>Evan</t>
  </si>
  <si>
    <t>5480 borgia road, Fremont, CA 94539</t>
  </si>
  <si>
    <t>liusheng188888@gmail.com</t>
  </si>
  <si>
    <t>Oct.1, 2023</t>
  </si>
  <si>
    <t>liu</t>
  </si>
  <si>
    <t>Helena</t>
  </si>
  <si>
    <t>455 Tonopah Drive, Fremont</t>
  </si>
  <si>
    <t>xyanglove@gmail.com</t>
  </si>
  <si>
    <t>2nd</t>
  </si>
  <si>
    <t>Jeremy</t>
  </si>
  <si>
    <t>EG6</t>
  </si>
  <si>
    <t>51P</t>
  </si>
  <si>
    <t>Louis</t>
  </si>
  <si>
    <t>47342 Mission falls ct, Fremont 94539</t>
  </si>
  <si>
    <t>leehomc123@gmail.com</t>
  </si>
  <si>
    <t>EG8</t>
  </si>
  <si>
    <t xml:space="preserve">MG10 </t>
  </si>
  <si>
    <t>Olivia</t>
  </si>
  <si>
    <t>Richard</t>
  </si>
  <si>
    <t>47069 Benns Ter</t>
  </si>
  <si>
    <t>janezh3080@gmail.com</t>
  </si>
  <si>
    <t>41P</t>
  </si>
  <si>
    <t xml:space="preserve">Liu </t>
  </si>
  <si>
    <t>Katie</t>
  </si>
  <si>
    <t>45220 Parkmeadow w</t>
  </si>
  <si>
    <t>510-366-6707</t>
  </si>
  <si>
    <t>Yuansun@gmail.com</t>
  </si>
  <si>
    <t>MM3</t>
  </si>
  <si>
    <t>China, back in Aug</t>
  </si>
  <si>
    <t xml:space="preserve">Katie </t>
  </si>
  <si>
    <t>EM5</t>
  </si>
  <si>
    <t>return from Milpitas</t>
  </si>
  <si>
    <t>Lu</t>
  </si>
  <si>
    <t>Anthony</t>
  </si>
  <si>
    <t>117 Fisk Terrace, Fremont, CA, 94539</t>
  </si>
  <si>
    <t>lewis1318@hotmail.com</t>
  </si>
  <si>
    <t>MG10</t>
  </si>
  <si>
    <t>Nathan</t>
  </si>
  <si>
    <t>MG9</t>
  </si>
  <si>
    <t>Lyu</t>
  </si>
  <si>
    <t>George</t>
  </si>
  <si>
    <t>468 Pagosa Way, Fremont</t>
  </si>
  <si>
    <t>lingchanxu@gmail.com</t>
  </si>
  <si>
    <t>101P</t>
  </si>
  <si>
    <t>will be absent from Dec</t>
  </si>
  <si>
    <t>Xingchuan</t>
  </si>
  <si>
    <t>468 Pagosa Way</t>
  </si>
  <si>
    <t>MH4</t>
  </si>
  <si>
    <t>Ma</t>
  </si>
  <si>
    <t>Mengtong (Amy)</t>
  </si>
  <si>
    <t>49053 Meadowfaire Cmn, Fremont 94539</t>
  </si>
  <si>
    <t>angela.liu8101@gmail.com</t>
  </si>
  <si>
    <t xml:space="preserve">Ngan </t>
  </si>
  <si>
    <t>Scarlett</t>
  </si>
  <si>
    <t>36371 Magellan Drive, , Fremont, CA</t>
  </si>
  <si>
    <t>yingzi27@gmail.com</t>
  </si>
  <si>
    <t>76P</t>
  </si>
  <si>
    <t>Niu</t>
  </si>
  <si>
    <t>Ethan</t>
  </si>
  <si>
    <t>3871 Vanguard Cmn 1001, Fremont, CA, 94538</t>
  </si>
  <si>
    <t>nkniuchao@gmail.com</t>
  </si>
  <si>
    <t>Padhi</t>
  </si>
  <si>
    <t>Richa</t>
  </si>
  <si>
    <t xml:space="preserve">	309 Horsetail Fern Cmn, Fremont, CA 94539</t>
  </si>
  <si>
    <t>tanmay.padhi@gmail.com</t>
  </si>
  <si>
    <t>Sharma</t>
  </si>
  <si>
    <t>Shanaya</t>
  </si>
  <si>
    <t>4075 Michael ave, Fremont, CA, 94538</t>
  </si>
  <si>
    <t>shashanksharma83@gmail.com</t>
  </si>
  <si>
    <t>went to indian for two months</t>
  </si>
  <si>
    <t xml:space="preserve">Sheth </t>
  </si>
  <si>
    <t xml:space="preserve">Moksh </t>
  </si>
  <si>
    <t>527 Palo Verde Cmns, , Fremont, CA</t>
  </si>
  <si>
    <t>shethju@gmail.com</t>
  </si>
  <si>
    <t>6P</t>
  </si>
  <si>
    <t>Singh</t>
  </si>
  <si>
    <t>Atharva</t>
  </si>
  <si>
    <t>4269 Delaware Dr, Fremont, CA, 94538</t>
  </si>
  <si>
    <t>kameshwar2004@gmail.com</t>
  </si>
  <si>
    <t>EK4</t>
  </si>
  <si>
    <t>Shivansh</t>
  </si>
  <si>
    <t>30 Washington Square</t>
  </si>
  <si>
    <t>aks.bitsg@gmail.com</t>
  </si>
  <si>
    <t>back in Aug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</si>
  <si>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</si>
  <si>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</si>
  <si>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</si>
  <si>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</si>
  <si>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</si>
  <si>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</si>
  <si>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</si>
  <si>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</si>
  <si>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 xml:space="preserve">Tan </t>
  </si>
  <si>
    <t xml:space="preserve">Jayden </t>
  </si>
  <si>
    <t>48404 Ursa Dr, , Fremont, CA</t>
  </si>
  <si>
    <t>mingao168@yahoo.com</t>
  </si>
  <si>
    <t>EG7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</si>
  <si>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</si>
  <si>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</si>
  <si>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</si>
  <si>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</si>
  <si>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</si>
  <si>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</si>
  <si>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</si>
  <si>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</si>
  <si>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</si>
  <si>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</si>
  <si>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>back in Sep.</t>
  </si>
  <si>
    <t xml:space="preserve">Tang </t>
  </si>
  <si>
    <t>EK3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</si>
  <si>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</si>
  <si>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</si>
  <si>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</si>
  <si>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</si>
  <si>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</si>
  <si>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</si>
  <si>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</si>
  <si>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55P</t>
  </si>
  <si>
    <t>Felicity</t>
  </si>
  <si>
    <t>275 Quinault Way, Fremont, CA, 94539</t>
  </si>
  <si>
    <t>shaoqin156@gmail.com</t>
  </si>
  <si>
    <t>95P</t>
  </si>
  <si>
    <t>will move back to Milpitas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</si>
  <si>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</si>
  <si>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</si>
  <si>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</si>
  <si>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</si>
  <si>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</si>
  <si>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</si>
  <si>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</si>
  <si>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Maximilian</t>
  </si>
  <si>
    <t>106P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</si>
  <si>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</si>
  <si>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</si>
  <si>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</si>
  <si>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</si>
  <si>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</si>
  <si>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</si>
  <si>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</si>
  <si>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10P</t>
  </si>
  <si>
    <t>MG1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</si>
  <si>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</si>
  <si>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</si>
  <si>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</si>
  <si>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</si>
  <si>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</si>
  <si>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</si>
  <si>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16P</t>
  </si>
  <si>
    <t>Tracy</t>
  </si>
  <si>
    <t>EM4</t>
  </si>
  <si>
    <t xml:space="preserve">Wong </t>
  </si>
  <si>
    <t>40291 Cottage Rose Ter, , Fremont, CA</t>
  </si>
  <si>
    <t>tawita@yahoo.com</t>
  </si>
  <si>
    <t>EG3</t>
  </si>
  <si>
    <t xml:space="preserve">Aiden </t>
  </si>
  <si>
    <t>48625 Taos Rd, Fremont</t>
  </si>
  <si>
    <t>nataliessyu@gmail.com</t>
  </si>
  <si>
    <t>15P</t>
  </si>
  <si>
    <t xml:space="preserve">Xu </t>
  </si>
  <si>
    <t>Leo</t>
  </si>
  <si>
    <t>235 Lippert Ave, , Fremont, CA</t>
  </si>
  <si>
    <t>bjunzhang@gmail.com</t>
  </si>
  <si>
    <t>93P</t>
  </si>
  <si>
    <t>100p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</si>
  <si>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</si>
  <si>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</si>
  <si>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</si>
  <si>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</si>
  <si>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</si>
  <si>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</si>
  <si>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>EG9</t>
  </si>
  <si>
    <t>MM2</t>
  </si>
  <si>
    <t>Yuan</t>
  </si>
  <si>
    <t>Arick</t>
  </si>
  <si>
    <t>450 s 19th st, San Jose</t>
  </si>
  <si>
    <t>Gfyuan@gmail.com</t>
  </si>
  <si>
    <t xml:space="preserve">2nd 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</si>
  <si>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</si>
  <si>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</si>
  <si>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</si>
  <si>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</si>
  <si>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</si>
  <si>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</si>
  <si>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</si>
  <si>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</si>
  <si>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</si>
  <si>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50p</t>
  </si>
  <si>
    <t>80p</t>
  </si>
  <si>
    <t>Steven</t>
  </si>
  <si>
    <t>3922 Borgo Common, Fremont</t>
  </si>
  <si>
    <t>wendyecho23@gmail.com</t>
  </si>
  <si>
    <t>last name changes from zhang to Wang</t>
  </si>
  <si>
    <t>Taluna</t>
  </si>
  <si>
    <t>46912 Bodie Ter, Fremont, CA</t>
  </si>
  <si>
    <t>zhchni@hotmail.com</t>
  </si>
  <si>
    <t>35P</t>
  </si>
  <si>
    <t>Zhao</t>
  </si>
  <si>
    <t>382 Wheat Grass Ter, Fremont, CA 94539</t>
  </si>
  <si>
    <t>screwyterror83@gmail.com</t>
  </si>
  <si>
    <t>10p</t>
  </si>
  <si>
    <t>Zheng</t>
  </si>
  <si>
    <t>k</t>
  </si>
  <si>
    <t>47879 maya st</t>
  </si>
  <si>
    <t>gaolili20100@gmail.com</t>
  </si>
  <si>
    <t>Hannah</t>
  </si>
  <si>
    <t>47879 maya st, Fremont, CA 94539</t>
  </si>
  <si>
    <t>Oct.1, 2021</t>
  </si>
  <si>
    <t>EM2</t>
  </si>
  <si>
    <t>Alice</t>
  </si>
  <si>
    <t>211 Buskirk St</t>
  </si>
  <si>
    <t>smileqing@gmail.com</t>
  </si>
  <si>
    <t>81p</t>
  </si>
  <si>
    <t>Xin</t>
  </si>
  <si>
    <t>47260 Havasu Street</t>
  </si>
  <si>
    <t>xixirain@gmail.com</t>
  </si>
  <si>
    <t>William</t>
  </si>
  <si>
    <t>Poon</t>
  </si>
  <si>
    <t>Elliott</t>
  </si>
  <si>
    <t>3508 innovation way unit 201</t>
  </si>
  <si>
    <t>soomeo@gmail.com</t>
  </si>
  <si>
    <t>AC</t>
  </si>
  <si>
    <t>Ashilee</t>
  </si>
  <si>
    <t>121 Woodcreek Common</t>
  </si>
  <si>
    <t>wendishi@hotmail.com</t>
  </si>
  <si>
    <t>MG4</t>
  </si>
  <si>
    <t>Pasupuleti</t>
  </si>
  <si>
    <t>Aanya</t>
  </si>
  <si>
    <t>4738 wadsworth ct</t>
  </si>
  <si>
    <t>sumanth.pleti@gmail.com</t>
  </si>
  <si>
    <t>110p</t>
  </si>
  <si>
    <t>Mengyao</t>
  </si>
  <si>
    <t>43275 chatterton ct</t>
  </si>
  <si>
    <t>bosong198802@gmail.com</t>
  </si>
  <si>
    <t>Quit List</t>
  </si>
  <si>
    <t>Joanna</t>
  </si>
  <si>
    <t>Cao</t>
  </si>
  <si>
    <t>201 Starlite Way, Fremont 94539</t>
  </si>
  <si>
    <t>phyllis.yuen@gmail.com</t>
  </si>
  <si>
    <t>EK5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</si>
  <si>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</si>
  <si>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</si>
  <si>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</si>
  <si>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</si>
  <si>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</si>
  <si>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</si>
  <si>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</si>
  <si>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</si>
  <si>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</si>
  <si>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</si>
  <si>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</si>
  <si>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</si>
  <si>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</si>
  <si>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</si>
  <si>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Xiao</t>
  </si>
  <si>
    <t>Amy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</si>
  <si>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</si>
  <si>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</si>
  <si>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</si>
  <si>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</si>
  <si>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</si>
  <si>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</si>
  <si>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</si>
  <si>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</si>
  <si>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</si>
  <si>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</si>
  <si>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</si>
  <si>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</si>
  <si>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</si>
  <si>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</si>
  <si>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</si>
  <si>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</si>
  <si>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</si>
  <si>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</si>
  <si>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</si>
  <si>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</si>
  <si>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</si>
  <si>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Lin</t>
  </si>
  <si>
    <t>Crystal</t>
  </si>
  <si>
    <t>2982 Verna Dr, San Jose 95133</t>
  </si>
  <si>
    <t>wenyechen@yahoo.com</t>
  </si>
  <si>
    <t>left in Aug</t>
  </si>
  <si>
    <t>MG3</t>
  </si>
  <si>
    <t>&gt;2MTHS</t>
  </si>
  <si>
    <t>Late Reporting (4) 121323</t>
  </si>
  <si>
    <t>2ND</t>
  </si>
  <si>
    <t xml:space="preserve">2ND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</si>
</sst>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18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u/>
      <sz val="11"/>
      <color rgb="FF0000FF"/>
      <name val="Century Gothic"/>
      <family val="2"/>
    </font>
    <font>
      <sz val="11"/>
      <color rgb="FF333333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alibri"/>
      <family val="2"/>
      <scheme val="minor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FFEB9C"/>
      </patternFill>
    </fill>
    <fill>
      <patternFill patternType="solid">
        <fgColor theme="9" tint="0.59999389629810485"/>
        <bgColor rgb="FFFFF2CC"/>
      </patternFill>
    </fill>
    <fill>
      <patternFill patternType="solid">
        <fgColor theme="9" tint="0.59999389629810485"/>
        <bgColor rgb="FFB6D7A8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5" fillId="16" borderId="0" applyNumberFormat="0" applyBorder="0" applyAlignment="0" applyProtection="0"/>
  </cellStyleXfs>
  <cellXfs count="24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5" fontId="4" fillId="0" borderId="5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wrapText="1"/>
    </xf>
    <xf numFmtId="165" fontId="4" fillId="10" borderId="5" xfId="0" applyNumberFormat="1" applyFont="1" applyFill="1" applyBorder="1"/>
    <xf numFmtId="0" fontId="4" fillId="10" borderId="0" xfId="0" applyFont="1" applyFill="1"/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/>
    </xf>
    <xf numFmtId="14" fontId="4" fillId="11" borderId="5" xfId="0" applyNumberFormat="1" applyFont="1" applyFill="1" applyBorder="1" applyAlignment="1">
      <alignment horizontal="left"/>
    </xf>
    <xf numFmtId="0" fontId="4" fillId="11" borderId="5" xfId="0" applyFont="1" applyFill="1" applyBorder="1"/>
    <xf numFmtId="0" fontId="4" fillId="11" borderId="5" xfId="0" applyFont="1" applyFill="1" applyBorder="1" applyAlignment="1">
      <alignment horizontal="center" wrapText="1"/>
    </xf>
    <xf numFmtId="165" fontId="4" fillId="11" borderId="5" xfId="0" applyNumberFormat="1" applyFont="1" applyFill="1" applyBorder="1"/>
    <xf numFmtId="165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horizontal="left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left" wrapText="1"/>
    </xf>
    <xf numFmtId="0" fontId="13" fillId="12" borderId="5" xfId="0" applyFont="1" applyFill="1" applyBorder="1"/>
    <xf numFmtId="0" fontId="4" fillId="12" borderId="5" xfId="0" applyFont="1" applyFill="1" applyBorder="1" applyAlignment="1">
      <alignment wrapText="1"/>
    </xf>
    <xf numFmtId="165" fontId="4" fillId="12" borderId="5" xfId="0" applyNumberFormat="1" applyFont="1" applyFill="1" applyBorder="1" applyAlignment="1">
      <alignment wrapText="1"/>
    </xf>
    <xf numFmtId="0" fontId="4" fillId="12" borderId="5" xfId="0" applyFont="1" applyFill="1" applyBorder="1"/>
    <xf numFmtId="0" fontId="3" fillId="12" borderId="5" xfId="0" applyFont="1" applyFill="1" applyBorder="1" applyAlignment="1">
      <alignment wrapText="1"/>
    </xf>
    <xf numFmtId="165" fontId="3" fillId="12" borderId="5" xfId="0" applyNumberFormat="1" applyFont="1" applyFill="1" applyBorder="1" applyAlignment="1">
      <alignment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left" wrapText="1"/>
    </xf>
    <xf numFmtId="0" fontId="3" fillId="14" borderId="5" xfId="0" applyFont="1" applyFill="1" applyBorder="1" applyAlignment="1">
      <alignment horizontal="center" wrapText="1"/>
    </xf>
    <xf numFmtId="14" fontId="3" fillId="14" borderId="5" xfId="0" applyNumberFormat="1" applyFont="1" applyFill="1" applyBorder="1" applyAlignment="1">
      <alignment horizontal="left" wrapText="1"/>
    </xf>
    <xf numFmtId="0" fontId="3" fillId="14" borderId="5" xfId="0" applyFont="1" applyFill="1" applyBorder="1" applyAlignment="1">
      <alignment wrapText="1"/>
    </xf>
    <xf numFmtId="0" fontId="3" fillId="14" borderId="5" xfId="0" applyFont="1" applyFill="1" applyBorder="1" applyAlignment="1">
      <alignment vertical="center" wrapText="1"/>
    </xf>
    <xf numFmtId="0" fontId="3" fillId="14" borderId="5" xfId="0" applyFont="1" applyFill="1" applyBorder="1" applyAlignment="1">
      <alignment horizontal="left" vertical="center" wrapText="1"/>
    </xf>
    <xf numFmtId="165" fontId="3" fillId="14" borderId="5" xfId="0" applyNumberFormat="1" applyFont="1" applyFill="1" applyBorder="1" applyAlignment="1">
      <alignment wrapText="1"/>
    </xf>
    <xf numFmtId="0" fontId="3" fillId="14" borderId="18" xfId="0" applyFont="1" applyFill="1" applyBorder="1"/>
    <xf numFmtId="165" fontId="3" fillId="0" borderId="0" xfId="0" applyNumberFormat="1" applyFont="1"/>
    <xf numFmtId="0" fontId="3" fillId="10" borderId="19" xfId="0" applyFont="1" applyFill="1" applyBorder="1" applyAlignment="1">
      <alignment horizont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left" wrapText="1"/>
    </xf>
    <xf numFmtId="0" fontId="3" fillId="10" borderId="20" xfId="0" applyFont="1" applyFill="1" applyBorder="1" applyAlignment="1">
      <alignment horizontal="center" wrapText="1"/>
    </xf>
    <xf numFmtId="14" fontId="3" fillId="10" borderId="20" xfId="0" applyNumberFormat="1" applyFont="1" applyFill="1" applyBorder="1" applyAlignment="1">
      <alignment horizontal="left" wrapText="1"/>
    </xf>
    <xf numFmtId="0" fontId="3" fillId="10" borderId="20" xfId="0" applyFont="1" applyFill="1" applyBorder="1" applyAlignment="1">
      <alignment wrapText="1"/>
    </xf>
    <xf numFmtId="165" fontId="3" fillId="10" borderId="20" xfId="0" applyNumberFormat="1" applyFont="1" applyFill="1" applyBorder="1" applyAlignment="1">
      <alignment wrapText="1"/>
    </xf>
    <xf numFmtId="0" fontId="3" fillId="10" borderId="21" xfId="0" applyFont="1" applyFill="1" applyBorder="1" applyAlignment="1">
      <alignment horizont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left" wrapText="1"/>
    </xf>
    <xf numFmtId="0" fontId="3" fillId="10" borderId="22" xfId="0" applyFont="1" applyFill="1" applyBorder="1" applyAlignment="1">
      <alignment horizontal="center" wrapText="1"/>
    </xf>
    <xf numFmtId="14" fontId="3" fillId="10" borderId="22" xfId="0" applyNumberFormat="1" applyFont="1" applyFill="1" applyBorder="1" applyAlignment="1">
      <alignment horizontal="left" wrapText="1"/>
    </xf>
    <xf numFmtId="0" fontId="3" fillId="10" borderId="22" xfId="0" applyFont="1" applyFill="1" applyBorder="1" applyAlignment="1">
      <alignment wrapText="1"/>
    </xf>
    <xf numFmtId="0" fontId="14" fillId="15" borderId="21" xfId="0" applyFont="1" applyFill="1" applyBorder="1" applyAlignment="1">
      <alignment horizontal="center" wrapText="1"/>
    </xf>
    <xf numFmtId="0" fontId="14" fillId="15" borderId="22" xfId="0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left" wrapText="1"/>
    </xf>
    <xf numFmtId="0" fontId="14" fillId="15" borderId="22" xfId="0" applyFont="1" applyFill="1" applyBorder="1" applyAlignment="1">
      <alignment horizontal="center" wrapText="1"/>
    </xf>
    <xf numFmtId="14" fontId="14" fillId="15" borderId="22" xfId="0" applyNumberFormat="1" applyFont="1" applyFill="1" applyBorder="1" applyAlignment="1">
      <alignment horizontal="left" wrapText="1"/>
    </xf>
    <xf numFmtId="0" fontId="14" fillId="15" borderId="22" xfId="0" applyFont="1" applyFill="1" applyBorder="1" applyAlignment="1">
      <alignment wrapText="1"/>
    </xf>
    <xf numFmtId="165" fontId="14" fillId="15" borderId="20" xfId="0" applyNumberFormat="1" applyFont="1" applyFill="1" applyBorder="1" applyAlignment="1">
      <alignment wrapText="1"/>
    </xf>
    <xf numFmtId="0" fontId="14" fillId="15" borderId="18" xfId="0" applyFont="1" applyFill="1" applyBorder="1"/>
    <xf numFmtId="0" fontId="11" fillId="14" borderId="5" xfId="0" applyFont="1" applyFill="1" applyBorder="1" applyAlignment="1">
      <alignment horizontal="center" wrapText="1"/>
    </xf>
    <xf numFmtId="0" fontId="11" fillId="14" borderId="5" xfId="0" applyFont="1" applyFill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left" wrapText="1"/>
    </xf>
    <xf numFmtId="14" fontId="11" fillId="14" borderId="5" xfId="0" applyNumberFormat="1" applyFont="1" applyFill="1" applyBorder="1" applyAlignment="1">
      <alignment horizontal="left" wrapText="1"/>
    </xf>
    <xf numFmtId="0" fontId="11" fillId="14" borderId="5" xfId="0" applyFont="1" applyFill="1" applyBorder="1" applyAlignment="1">
      <alignment wrapText="1"/>
    </xf>
    <xf numFmtId="165" fontId="11" fillId="14" borderId="5" xfId="0" applyNumberFormat="1" applyFont="1" applyFill="1" applyBorder="1" applyAlignment="1">
      <alignment wrapText="1"/>
    </xf>
    <xf numFmtId="0" fontId="11" fillId="14" borderId="18" xfId="0" applyFont="1" applyFill="1" applyBorder="1"/>
    <xf numFmtId="0" fontId="11" fillId="14" borderId="5" xfId="0" applyFont="1" applyFill="1" applyBorder="1" applyAlignment="1">
      <alignment vertical="center" wrapText="1"/>
    </xf>
    <xf numFmtId="0" fontId="11" fillId="14" borderId="5" xfId="0" applyFont="1" applyFill="1" applyBorder="1" applyAlignment="1">
      <alignment horizontal="left" vertical="center" wrapText="1"/>
    </xf>
    <xf numFmtId="14" fontId="11" fillId="14" borderId="5" xfId="0" applyNumberFormat="1" applyFont="1" applyFill="1" applyBorder="1" applyAlignment="1">
      <alignment horizontal="left" vertical="center" wrapText="1"/>
    </xf>
    <xf numFmtId="0" fontId="11" fillId="14" borderId="1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center"/>
    </xf>
    <xf numFmtId="0" fontId="3" fillId="14" borderId="18" xfId="0" applyFont="1" applyFill="1" applyBorder="1" applyAlignment="1">
      <alignment horizontal="center" vertical="center"/>
    </xf>
    <xf numFmtId="0" fontId="3" fillId="14" borderId="18" xfId="0" applyFont="1" applyFill="1" applyBorder="1" applyAlignment="1">
      <alignment horizontal="left"/>
    </xf>
    <xf numFmtId="0" fontId="3" fillId="14" borderId="18" xfId="0" applyFont="1" applyFill="1" applyBorder="1" applyAlignment="1">
      <alignment horizontal="left" vertical="center"/>
    </xf>
    <xf numFmtId="165" fontId="3" fillId="14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6" fillId="16" borderId="5" xfId="1" applyFont="1" applyBorder="1" applyAlignment="1">
      <alignment horizontal="center" wrapText="1"/>
    </xf>
    <xf numFmtId="0" fontId="16" fillId="16" borderId="5" xfId="1" applyFont="1" applyBorder="1" applyAlignment="1">
      <alignment horizontal="center" vertical="center" wrapText="1"/>
    </xf>
    <xf numFmtId="0" fontId="16" fillId="16" borderId="5" xfId="1" applyFont="1" applyBorder="1" applyAlignment="1">
      <alignment horizontal="left" wrapText="1"/>
    </xf>
    <xf numFmtId="14" fontId="16" fillId="16" borderId="5" xfId="1" applyNumberFormat="1" applyFont="1" applyBorder="1" applyAlignment="1">
      <alignment horizontal="left" wrapText="1"/>
    </xf>
    <xf numFmtId="0" fontId="16" fillId="16" borderId="5" xfId="1" applyFont="1" applyBorder="1" applyAlignment="1">
      <alignment wrapText="1"/>
    </xf>
    <xf numFmtId="0" fontId="16" fillId="16" borderId="5" xfId="1" applyFont="1" applyBorder="1" applyAlignment="1">
      <alignment vertical="center" wrapText="1"/>
    </xf>
    <xf numFmtId="0" fontId="16" fillId="16" borderId="5" xfId="1" applyFont="1" applyBorder="1" applyAlignment="1">
      <alignment horizontal="left" vertical="center" wrapText="1"/>
    </xf>
    <xf numFmtId="165" fontId="16" fillId="16" borderId="5" xfId="1" applyNumberFormat="1" applyFont="1" applyBorder="1" applyAlignment="1">
      <alignment wrapText="1"/>
    </xf>
    <xf numFmtId="0" fontId="16" fillId="16" borderId="18" xfId="1" applyFont="1" applyBorder="1"/>
    <xf numFmtId="0" fontId="16" fillId="16" borderId="0" xfId="1" applyFont="1"/>
    <xf numFmtId="0" fontId="16" fillId="15" borderId="5" xfId="0" applyFont="1" applyFill="1" applyBorder="1" applyAlignment="1">
      <alignment horizontal="center" wrapText="1"/>
    </xf>
    <xf numFmtId="0" fontId="16" fillId="15" borderId="5" xfId="0" applyFont="1" applyFill="1" applyBorder="1" applyAlignment="1">
      <alignment horizontal="center" vertical="center" wrapText="1"/>
    </xf>
    <xf numFmtId="0" fontId="16" fillId="15" borderId="5" xfId="0" applyFont="1" applyFill="1" applyBorder="1" applyAlignment="1">
      <alignment horizontal="left" wrapText="1"/>
    </xf>
    <xf numFmtId="14" fontId="16" fillId="15" borderId="5" xfId="0" applyNumberFormat="1" applyFont="1" applyFill="1" applyBorder="1" applyAlignment="1">
      <alignment horizontal="left" wrapText="1"/>
    </xf>
    <xf numFmtId="0" fontId="16" fillId="15" borderId="5" xfId="0" applyFont="1" applyFill="1" applyBorder="1" applyAlignment="1">
      <alignment wrapText="1"/>
    </xf>
    <xf numFmtId="0" fontId="16" fillId="15" borderId="5" xfId="0" applyFont="1" applyFill="1" applyBorder="1" applyAlignment="1">
      <alignment vertical="center" wrapText="1"/>
    </xf>
    <xf numFmtId="0" fontId="16" fillId="15" borderId="5" xfId="0" applyFont="1" applyFill="1" applyBorder="1" applyAlignment="1">
      <alignment horizontal="left" vertical="center" wrapText="1"/>
    </xf>
    <xf numFmtId="165" fontId="16" fillId="15" borderId="5" xfId="0" applyNumberFormat="1" applyFont="1" applyFill="1" applyBorder="1" applyAlignment="1">
      <alignment wrapText="1"/>
    </xf>
    <xf numFmtId="0" fontId="16" fillId="15" borderId="18" xfId="0" applyFont="1" applyFill="1" applyBorder="1"/>
    <xf numFmtId="0" fontId="17" fillId="8" borderId="5" xfId="0" applyFont="1" applyFill="1" applyBorder="1" applyAlignment="1">
      <alignment horizont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left"/>
    </xf>
    <xf numFmtId="0" fontId="17" fillId="8" borderId="5" xfId="0" applyFont="1" applyFill="1" applyBorder="1" applyAlignment="1">
      <alignment horizontal="center"/>
    </xf>
    <xf numFmtId="14" fontId="17" fillId="8" borderId="5" xfId="0" applyNumberFormat="1" applyFont="1" applyFill="1" applyBorder="1" applyAlignment="1">
      <alignment horizontal="left"/>
    </xf>
    <xf numFmtId="0" fontId="17" fillId="8" borderId="5" xfId="0" applyFont="1" applyFill="1" applyBorder="1"/>
    <xf numFmtId="165" fontId="17" fillId="8" borderId="5" xfId="0" applyNumberFormat="1" applyFont="1" applyFill="1" applyBorder="1" applyAlignment="1">
      <alignment wrapText="1"/>
    </xf>
    <xf numFmtId="0" fontId="17" fillId="8" borderId="18" xfId="0" applyFont="1" applyFill="1" applyBorder="1"/>
    <xf numFmtId="0" fontId="17" fillId="8" borderId="5" xfId="0" applyFont="1" applyFill="1" applyBorder="1" applyAlignment="1">
      <alignment horizontal="left" wrapText="1"/>
    </xf>
    <xf numFmtId="14" fontId="17" fillId="8" borderId="5" xfId="0" applyNumberFormat="1" applyFont="1" applyFill="1" applyBorder="1" applyAlignment="1">
      <alignment horizontal="left" wrapText="1"/>
    </xf>
    <xf numFmtId="0" fontId="17" fillId="8" borderId="5" xfId="0" applyFont="1" applyFill="1" applyBorder="1" applyAlignment="1">
      <alignment wrapText="1"/>
    </xf>
    <xf numFmtId="0" fontId="17" fillId="8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horizontal="left" vertical="center" wrapText="1"/>
    </xf>
    <xf numFmtId="0" fontId="4" fillId="13" borderId="0" xfId="0" applyFont="1" applyFill="1" applyBorder="1"/>
    <xf numFmtId="0" fontId="4" fillId="12" borderId="0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0" fontId="4" fillId="17" borderId="5" xfId="0" applyFont="1" applyFill="1" applyBorder="1" applyAlignment="1">
      <alignment horizontal="center" wrapText="1"/>
    </xf>
    <xf numFmtId="14" fontId="4" fillId="17" borderId="5" xfId="0" applyNumberFormat="1" applyFont="1" applyFill="1" applyBorder="1" applyAlignment="1">
      <alignment horizontal="left" wrapText="1"/>
    </xf>
    <xf numFmtId="0" fontId="13" fillId="17" borderId="5" xfId="0" applyFont="1" applyFill="1" applyBorder="1"/>
    <xf numFmtId="165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vertical="center" wrapText="1"/>
    </xf>
    <xf numFmtId="0" fontId="4" fillId="17" borderId="5" xfId="0" applyFont="1" applyFill="1" applyBorder="1" applyAlignment="1">
      <alignment horizontal="left" vertical="center" wrapText="1"/>
    </xf>
    <xf numFmtId="0" fontId="4" fillId="17" borderId="5" xfId="0" applyFont="1" applyFill="1" applyBorder="1" applyAlignment="1">
      <alignment wrapText="1"/>
    </xf>
    <xf numFmtId="0" fontId="4" fillId="18" borderId="5" xfId="0" applyFont="1" applyFill="1" applyBorder="1" applyAlignment="1">
      <alignment horizontal="center" wrapText="1"/>
    </xf>
    <xf numFmtId="165" fontId="4" fillId="17" borderId="5" xfId="0" applyNumberFormat="1" applyFont="1" applyFill="1" applyBorder="1" applyAlignment="1">
      <alignment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 wrapText="1"/>
    </xf>
    <xf numFmtId="14" fontId="4" fillId="18" borderId="5" xfId="0" applyNumberFormat="1" applyFont="1" applyFill="1" applyBorder="1" applyAlignment="1">
      <alignment horizontal="left" wrapText="1"/>
    </xf>
    <xf numFmtId="0" fontId="13" fillId="18" borderId="5" xfId="0" applyFont="1" applyFill="1" applyBorder="1"/>
    <xf numFmtId="165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 applyAlignment="1">
      <alignment vertical="center" wrapText="1"/>
    </xf>
    <xf numFmtId="0" fontId="4" fillId="18" borderId="5" xfId="0" applyFont="1" applyFill="1" applyBorder="1" applyAlignment="1">
      <alignment horizontal="left" vertical="center" wrapText="1"/>
    </xf>
    <xf numFmtId="165" fontId="4" fillId="18" borderId="5" xfId="0" applyNumberFormat="1" applyFont="1" applyFill="1" applyBorder="1" applyAlignment="1">
      <alignment wrapText="1"/>
    </xf>
    <xf numFmtId="0" fontId="3" fillId="12" borderId="0" xfId="0" applyFont="1" applyFill="1" applyBorder="1"/>
    <xf numFmtId="0" fontId="4" fillId="11" borderId="0" xfId="0" applyFont="1" applyFill="1" applyBorder="1"/>
    <xf numFmtId="0" fontId="4" fillId="0" borderId="17" xfId="0" applyFont="1" applyBorder="1"/>
    <xf numFmtId="0" fontId="4" fillId="0" borderId="0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E48" sqref="E48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183" t="s">
        <v>0</v>
      </c>
      <c r="B1" s="184"/>
      <c r="C1" s="184"/>
      <c r="D1" s="184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45260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45260</v>
      </c>
      <c r="B9" s="18" t="s">
        <v>15</v>
      </c>
      <c r="C9" s="18"/>
      <c r="D9" s="19">
        <f t="shared" ref="D9:D10" si="1">C55</f>
        <v>60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45260</v>
      </c>
      <c r="B10" s="18" t="s">
        <v>16</v>
      </c>
      <c r="C10" s="18"/>
      <c r="D10" s="19">
        <f t="shared" si="1"/>
        <v>69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45260</v>
      </c>
      <c r="B11" s="18" t="s">
        <v>17</v>
      </c>
      <c r="C11" s="21">
        <v>25</v>
      </c>
      <c r="D11" s="19">
        <f>SUM(C37:C40)</f>
        <v>11</v>
      </c>
      <c r="E11" s="22">
        <f t="shared" ref="E11:E24" si="2">C11*D11</f>
        <v>275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45260</v>
      </c>
      <c r="B12" s="18" t="s">
        <v>18</v>
      </c>
      <c r="C12" s="21">
        <v>22</v>
      </c>
      <c r="D12" s="19">
        <f t="shared" ref="D12:D13" si="3">C35+C37-C41-C53</f>
        <v>56</v>
      </c>
      <c r="E12" s="22">
        <f t="shared" si="2"/>
        <v>1232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45260</v>
      </c>
      <c r="B13" s="18" t="s">
        <v>19</v>
      </c>
      <c r="C13" s="21">
        <v>22</v>
      </c>
      <c r="D13" s="19">
        <f t="shared" si="3"/>
        <v>67</v>
      </c>
      <c r="E13" s="22">
        <f t="shared" si="2"/>
        <v>1474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45260</v>
      </c>
      <c r="B14" s="18" t="s">
        <v>20</v>
      </c>
      <c r="C14" s="21">
        <f t="shared" ref="C14:C15" si="4">C12/2</f>
        <v>11</v>
      </c>
      <c r="D14" s="19">
        <f t="shared" ref="D14:D15" si="5">C39</f>
        <v>4</v>
      </c>
      <c r="E14" s="22">
        <f t="shared" si="2"/>
        <v>44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45260</v>
      </c>
      <c r="B15" s="18" t="s">
        <v>21</v>
      </c>
      <c r="C15" s="21">
        <f t="shared" si="4"/>
        <v>11</v>
      </c>
      <c r="D15" s="19">
        <f t="shared" si="5"/>
        <v>2</v>
      </c>
      <c r="E15" s="22">
        <f t="shared" si="2"/>
        <v>22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45260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45260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45260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45260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45260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45260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45260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45260</v>
      </c>
      <c r="B23" s="30" t="s">
        <v>25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45260</v>
      </c>
      <c r="B24" s="30" t="s">
        <v>26</v>
      </c>
      <c r="C24" s="21">
        <v>-25</v>
      </c>
      <c r="D24" s="19">
        <v>3</v>
      </c>
      <c r="E24" s="31">
        <f t="shared" si="2"/>
        <v>-75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45260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45260</v>
      </c>
      <c r="B26" s="18" t="s">
        <v>27</v>
      </c>
      <c r="C26" s="21"/>
      <c r="D26" s="21"/>
      <c r="E26" s="22">
        <f>SUM(E11:E25)</f>
        <v>3122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45260</v>
      </c>
      <c r="B27" s="34" t="s">
        <v>495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45260</v>
      </c>
      <c r="B28" s="34" t="s">
        <v>28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45260</v>
      </c>
      <c r="B29" s="18" t="s">
        <v>29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45260</v>
      </c>
      <c r="B30" s="18" t="s">
        <v>30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45260</v>
      </c>
      <c r="B31" s="42" t="s">
        <v>31</v>
      </c>
      <c r="C31" s="21"/>
      <c r="D31" s="22"/>
      <c r="E31" s="43">
        <f>E26+E27+E28+E29-E30</f>
        <v>3122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32</v>
      </c>
      <c r="C34" s="50"/>
      <c r="D34" s="2"/>
      <c r="E34" s="9"/>
      <c r="F34" s="2"/>
      <c r="G34" s="2"/>
      <c r="H34" s="49" t="s">
        <v>33</v>
      </c>
      <c r="I34" s="50"/>
      <c r="J34" s="2"/>
      <c r="K34" s="49" t="s">
        <v>34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35</v>
      </c>
      <c r="B35" s="51" t="s">
        <v>36</v>
      </c>
      <c r="C35" s="52">
        <v>55</v>
      </c>
      <c r="D35" s="2" t="s">
        <v>37</v>
      </c>
      <c r="E35" s="9"/>
      <c r="F35" s="2"/>
      <c r="G35" s="2"/>
      <c r="H35" s="51" t="s">
        <v>36</v>
      </c>
      <c r="I35" s="52">
        <v>0</v>
      </c>
      <c r="J35" s="2"/>
      <c r="K35" s="51" t="s">
        <v>36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38</v>
      </c>
      <c r="B36" s="53" t="s">
        <v>39</v>
      </c>
      <c r="C36" s="54">
        <v>64</v>
      </c>
      <c r="D36" s="2" t="s">
        <v>40</v>
      </c>
      <c r="E36" s="9"/>
      <c r="F36" s="11"/>
      <c r="G36" s="2"/>
      <c r="H36" s="53" t="s">
        <v>39</v>
      </c>
      <c r="I36" s="54">
        <v>0</v>
      </c>
      <c r="J36" s="2"/>
      <c r="K36" s="53" t="s">
        <v>39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41</v>
      </c>
      <c r="B37" s="55" t="s">
        <v>42</v>
      </c>
      <c r="C37" s="56">
        <v>1</v>
      </c>
      <c r="D37" s="2" t="s">
        <v>43</v>
      </c>
      <c r="E37" s="9"/>
      <c r="F37" s="2"/>
      <c r="G37" s="2"/>
      <c r="H37" s="57" t="s">
        <v>44</v>
      </c>
      <c r="I37" s="58">
        <v>0</v>
      </c>
      <c r="J37" s="2"/>
      <c r="K37" s="57" t="s">
        <v>44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45</v>
      </c>
      <c r="B38" s="59" t="s">
        <v>46</v>
      </c>
      <c r="C38" s="60">
        <v>4</v>
      </c>
      <c r="D38" s="2" t="s">
        <v>47</v>
      </c>
      <c r="E38" s="9"/>
      <c r="F38" s="2"/>
      <c r="G38" s="2"/>
      <c r="H38" s="61" t="s">
        <v>48</v>
      </c>
      <c r="I38" s="62">
        <v>0</v>
      </c>
      <c r="J38" s="2"/>
      <c r="K38" s="61" t="s">
        <v>48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49</v>
      </c>
      <c r="B39" s="55" t="s">
        <v>50</v>
      </c>
      <c r="C39" s="56">
        <v>4</v>
      </c>
      <c r="D39" s="2" t="s">
        <v>51</v>
      </c>
      <c r="E39" s="9"/>
      <c r="F39" s="2"/>
      <c r="G39" s="2"/>
      <c r="H39" s="55" t="s">
        <v>52</v>
      </c>
      <c r="I39" s="58">
        <v>0</v>
      </c>
      <c r="J39" s="9"/>
      <c r="K39" s="55" t="s">
        <v>52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53</v>
      </c>
      <c r="B40" s="59" t="s">
        <v>54</v>
      </c>
      <c r="C40" s="60">
        <v>2</v>
      </c>
      <c r="D40" s="2" t="s">
        <v>55</v>
      </c>
      <c r="E40" s="9"/>
      <c r="F40" s="2"/>
      <c r="G40" s="2"/>
      <c r="H40" s="59" t="s">
        <v>56</v>
      </c>
      <c r="I40" s="62">
        <v>0</v>
      </c>
      <c r="J40" s="9"/>
      <c r="K40" s="59" t="s">
        <v>56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57</v>
      </c>
      <c r="B41" s="57" t="s">
        <v>44</v>
      </c>
      <c r="C41" s="60">
        <v>0</v>
      </c>
      <c r="D41" s="2" t="s">
        <v>58</v>
      </c>
      <c r="E41" s="9"/>
      <c r="F41" s="2"/>
      <c r="G41" s="2"/>
      <c r="H41" s="63" t="s">
        <v>59</v>
      </c>
      <c r="I41" s="64">
        <f t="shared" ref="I41:I42" si="8">I35-I37+I39</f>
        <v>0</v>
      </c>
      <c r="J41" s="9"/>
      <c r="K41" s="63" t="s">
        <v>60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61</v>
      </c>
      <c r="B42" s="61" t="s">
        <v>48</v>
      </c>
      <c r="C42" s="60">
        <v>1</v>
      </c>
      <c r="D42" s="2" t="s">
        <v>62</v>
      </c>
      <c r="E42" s="9"/>
      <c r="F42" s="2"/>
      <c r="G42" s="2"/>
      <c r="H42" s="65" t="s">
        <v>63</v>
      </c>
      <c r="I42" s="66">
        <f t="shared" si="8"/>
        <v>0</v>
      </c>
      <c r="J42" s="9"/>
      <c r="K42" s="65" t="s">
        <v>64</v>
      </c>
      <c r="L42" s="66">
        <f t="shared" si="9"/>
        <v>0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66</v>
      </c>
      <c r="B43" s="63" t="s">
        <v>59</v>
      </c>
      <c r="C43" s="64">
        <f t="shared" ref="C43:C44" si="10">C35+C37+C39-C41</f>
        <v>60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67</v>
      </c>
      <c r="B44" s="65" t="s">
        <v>63</v>
      </c>
      <c r="C44" s="66">
        <f t="shared" si="10"/>
        <v>69</v>
      </c>
      <c r="D44" s="2">
        <f>C44+C43</f>
        <v>129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68</v>
      </c>
      <c r="C48" s="50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69</v>
      </c>
      <c r="C49" s="70">
        <f t="shared" ref="C49:C50" si="11">C43-I41-L41</f>
        <v>60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70</v>
      </c>
      <c r="C50" s="70">
        <f t="shared" si="11"/>
        <v>69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71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72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73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74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59</v>
      </c>
      <c r="C55" s="64">
        <f t="shared" ref="C55:C56" si="14">C49+C51+C53</f>
        <v>60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63</v>
      </c>
      <c r="C56" s="66">
        <f t="shared" si="14"/>
        <v>69</v>
      </c>
      <c r="D56" s="2">
        <f>C56+C55</f>
        <v>129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80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57"/>
  <sheetViews>
    <sheetView workbookViewId="0">
      <pane ySplit="5" topLeftCell="A131" activePane="bottomLeft" state="frozen"/>
      <selection pane="bottomLeft" activeCell="C138" sqref="C138"/>
    </sheetView>
  </sheetViews>
  <sheetFormatPr defaultColWidth="14.453125" defaultRowHeight="15" customHeight="1" x14ac:dyDescent="0.25"/>
  <cols>
    <col min="1" max="1" width="9.26953125" style="6" customWidth="1"/>
    <col min="2" max="2" width="7" style="6" customWidth="1"/>
    <col min="3" max="3" width="19.54296875" style="6" customWidth="1"/>
    <col min="4" max="4" width="20" style="6" customWidth="1"/>
    <col min="5" max="5" width="6.1796875" style="6" customWidth="1"/>
    <col min="6" max="6" width="13.7265625" style="6" customWidth="1"/>
    <col min="7" max="7" width="47" style="6" customWidth="1"/>
    <col min="8" max="8" width="14.7265625" style="6" customWidth="1"/>
    <col min="9" max="9" width="18.453125" style="6" customWidth="1"/>
    <col min="10" max="10" width="13.7265625" style="6" customWidth="1"/>
    <col min="11" max="11" width="8.81640625" style="6" customWidth="1"/>
    <col min="12" max="12" width="10" style="6" customWidth="1"/>
    <col min="13" max="13" width="26.26953125" style="6" customWidth="1"/>
    <col min="14" max="14" width="7" style="6" customWidth="1"/>
    <col min="15" max="15" width="12.81640625" style="6" customWidth="1"/>
    <col min="16" max="16" width="3.1796875" style="6" customWidth="1"/>
    <col min="17" max="27" width="5.453125" style="6" customWidth="1"/>
    <col min="28" max="46" width="8.81640625" style="6" customWidth="1"/>
    <col min="47" max="16384" width="14.453125" style="6"/>
  </cols>
  <sheetData>
    <row r="1" spans="1:46" ht="17.25" customHeight="1" x14ac:dyDescent="0.35">
      <c r="A1" s="1"/>
      <c r="B1" s="11"/>
      <c r="C1" s="79"/>
      <c r="D1" s="79"/>
      <c r="E1" s="11"/>
      <c r="F1" s="79"/>
      <c r="G1" s="15" t="s">
        <v>81</v>
      </c>
      <c r="H1" s="79"/>
      <c r="I1" s="79"/>
      <c r="J1" s="79"/>
      <c r="K1" s="33"/>
      <c r="L1" s="79"/>
      <c r="M1" s="79" t="str">
        <f>P!E1</f>
        <v>Due by: 12/1/23</v>
      </c>
      <c r="N1" s="11"/>
      <c r="O1" s="80"/>
      <c r="P1" s="2"/>
      <c r="Q1" s="81"/>
      <c r="R1" s="81" t="s">
        <v>41</v>
      </c>
      <c r="S1" s="81" t="s">
        <v>82</v>
      </c>
      <c r="T1" s="81" t="s">
        <v>35</v>
      </c>
      <c r="U1" s="81" t="s">
        <v>53</v>
      </c>
      <c r="V1" s="81" t="s">
        <v>83</v>
      </c>
      <c r="W1" s="82" t="s">
        <v>84</v>
      </c>
      <c r="X1" s="81" t="s">
        <v>85</v>
      </c>
      <c r="Y1" s="81" t="s">
        <v>86</v>
      </c>
      <c r="Z1" s="81" t="s">
        <v>87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88</v>
      </c>
      <c r="D2" s="84"/>
      <c r="E2" s="11"/>
      <c r="F2" s="84"/>
      <c r="G2" s="79"/>
      <c r="H2" s="79"/>
      <c r="I2" s="79"/>
      <c r="J2" s="79"/>
      <c r="K2" s="11"/>
      <c r="L2" s="79"/>
      <c r="M2" s="85">
        <f>P!F3</f>
        <v>45260</v>
      </c>
      <c r="N2" s="11"/>
      <c r="O2" s="80"/>
      <c r="P2" s="2"/>
      <c r="Q2" s="86" t="s">
        <v>89</v>
      </c>
      <c r="R2" s="87">
        <f>COUNTIFS(N6:N135,"=C",B6:B135,"=M")</f>
        <v>55</v>
      </c>
      <c r="S2" s="87">
        <f>COUNTIFS(N6:N135,"=N",B6:B135,"=M")</f>
        <v>5</v>
      </c>
      <c r="T2" s="87">
        <f>COUNTIFS(N6:N135,"=A",B6:B135,"=M")</f>
        <v>0</v>
      </c>
      <c r="U2" s="87">
        <f>COUNTIFS(N6:N122,"=F",B6:B122,"=M")</f>
        <v>0</v>
      </c>
      <c r="V2" s="87">
        <f>COUNTIFS(N6:N135,"=R",B6:B135,"=M")</f>
        <v>0</v>
      </c>
      <c r="W2" s="87">
        <f>COUNTIFS(N6:N135,"=T",B6:B135,"=M")</f>
        <v>0</v>
      </c>
      <c r="X2" s="87">
        <f t="shared" ref="X2:X3" si="0">R2+T2+U2</f>
        <v>55</v>
      </c>
      <c r="Y2" s="87">
        <f t="shared" ref="Y2:Y3" si="1">R2+S2+U2+W2+V2</f>
        <v>60</v>
      </c>
      <c r="Z2" s="87">
        <f t="shared" ref="Z2:Z3" si="2">R2+S2+T2+U2+W2+V2</f>
        <v>60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9</v>
      </c>
      <c r="D3" s="79"/>
      <c r="E3" s="11"/>
      <c r="F3" s="79"/>
      <c r="G3" s="79"/>
      <c r="H3" s="79"/>
      <c r="I3" s="79"/>
      <c r="J3" s="79"/>
      <c r="K3" s="33"/>
      <c r="L3" s="79"/>
      <c r="M3" s="79" t="s">
        <v>90</v>
      </c>
      <c r="N3" s="11"/>
      <c r="O3" s="80"/>
      <c r="P3" s="2"/>
      <c r="Q3" s="81" t="s">
        <v>49</v>
      </c>
      <c r="R3" s="87">
        <f>COUNTIFS(N6:N135,"=C",B6:B135,"=E")</f>
        <v>63</v>
      </c>
      <c r="S3" s="87">
        <f>COUNTIFS(N6:N135,"=N",B6:B135,"=E")</f>
        <v>6</v>
      </c>
      <c r="T3" s="87">
        <f>COUNTIFS(N6:N135,"=A",B6:B135,"=E")</f>
        <v>1</v>
      </c>
      <c r="U3" s="87">
        <f>COUNTIFS(N6:N122,"=F",B6:B122,"=E")</f>
        <v>0</v>
      </c>
      <c r="V3" s="87">
        <f>COUNTIFS(N6:N135,"=R",B6:B135,"=E")</f>
        <v>0</v>
      </c>
      <c r="W3" s="87">
        <f>COUNTIFS(N6:N135,"=T",B6:B135,"=E")</f>
        <v>0</v>
      </c>
      <c r="X3" s="87">
        <f t="shared" si="0"/>
        <v>64</v>
      </c>
      <c r="Y3" s="87">
        <f t="shared" si="1"/>
        <v>69</v>
      </c>
      <c r="Z3" s="87">
        <f t="shared" si="2"/>
        <v>70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79"/>
      <c r="J4" s="79"/>
      <c r="K4" s="33"/>
      <c r="L4" s="79"/>
      <c r="M4" s="79"/>
      <c r="N4" s="11"/>
      <c r="O4" s="80"/>
      <c r="P4" s="2"/>
      <c r="Q4" s="81" t="s">
        <v>84</v>
      </c>
      <c r="R4" s="88">
        <f t="shared" ref="R4:Z4" si="3">R2+R3</f>
        <v>118</v>
      </c>
      <c r="S4" s="88">
        <f t="shared" si="3"/>
        <v>11</v>
      </c>
      <c r="T4" s="88">
        <f t="shared" si="3"/>
        <v>1</v>
      </c>
      <c r="U4" s="88">
        <f t="shared" si="3"/>
        <v>0</v>
      </c>
      <c r="V4" s="88">
        <f t="shared" si="3"/>
        <v>0</v>
      </c>
      <c r="W4" s="88">
        <f t="shared" si="3"/>
        <v>0</v>
      </c>
      <c r="X4" s="88">
        <f t="shared" si="3"/>
        <v>119</v>
      </c>
      <c r="Y4" s="88">
        <f t="shared" si="3"/>
        <v>129</v>
      </c>
      <c r="Z4" s="86">
        <f t="shared" si="3"/>
        <v>130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25">
      <c r="A5" s="89" t="s">
        <v>13</v>
      </c>
      <c r="B5" s="89" t="s">
        <v>91</v>
      </c>
      <c r="C5" s="90" t="s">
        <v>92</v>
      </c>
      <c r="D5" s="90" t="s">
        <v>93</v>
      </c>
      <c r="E5" s="89" t="s">
        <v>94</v>
      </c>
      <c r="F5" s="90" t="s">
        <v>95</v>
      </c>
      <c r="G5" s="89" t="s">
        <v>96</v>
      </c>
      <c r="H5" s="90" t="s">
        <v>97</v>
      </c>
      <c r="I5" s="89" t="s">
        <v>98</v>
      </c>
      <c r="J5" s="90" t="s">
        <v>99</v>
      </c>
      <c r="K5" s="89" t="s">
        <v>100</v>
      </c>
      <c r="L5" s="90" t="s">
        <v>101</v>
      </c>
      <c r="M5" s="89" t="s">
        <v>102</v>
      </c>
      <c r="N5" s="89" t="s">
        <v>103</v>
      </c>
      <c r="O5" s="91" t="s">
        <v>104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25">
      <c r="A6" s="93">
        <v>1</v>
      </c>
      <c r="B6" s="94" t="s">
        <v>49</v>
      </c>
      <c r="C6" s="95" t="s">
        <v>105</v>
      </c>
      <c r="D6" s="95" t="s">
        <v>106</v>
      </c>
      <c r="E6" s="96">
        <v>3</v>
      </c>
      <c r="F6" s="97">
        <v>42236</v>
      </c>
      <c r="G6" s="98" t="s">
        <v>107</v>
      </c>
      <c r="H6" s="95" t="s">
        <v>108</v>
      </c>
      <c r="I6" s="98" t="s">
        <v>109</v>
      </c>
      <c r="J6" s="97">
        <v>45174</v>
      </c>
      <c r="K6" s="98" t="s">
        <v>110</v>
      </c>
      <c r="L6" s="95" t="s">
        <v>111</v>
      </c>
      <c r="M6" s="98"/>
      <c r="N6" s="93" t="s">
        <v>41</v>
      </c>
      <c r="O6" s="99"/>
    </row>
    <row r="7" spans="1:46" ht="17.25" customHeight="1" x14ac:dyDescent="0.25">
      <c r="A7" s="93">
        <v>2</v>
      </c>
      <c r="B7" s="94" t="s">
        <v>89</v>
      </c>
      <c r="C7" s="95" t="s">
        <v>105</v>
      </c>
      <c r="D7" s="95" t="s">
        <v>106</v>
      </c>
      <c r="E7" s="96">
        <v>3</v>
      </c>
      <c r="F7" s="97">
        <v>42236</v>
      </c>
      <c r="G7" s="98" t="s">
        <v>107</v>
      </c>
      <c r="H7" s="95" t="s">
        <v>108</v>
      </c>
      <c r="I7" s="98" t="s">
        <v>109</v>
      </c>
      <c r="J7" s="97">
        <v>45174</v>
      </c>
      <c r="K7" s="98" t="s">
        <v>112</v>
      </c>
      <c r="L7" s="95" t="s">
        <v>113</v>
      </c>
      <c r="M7" s="98"/>
      <c r="N7" s="93" t="s">
        <v>41</v>
      </c>
      <c r="O7" s="99"/>
    </row>
    <row r="8" spans="1:46" ht="17.25" customHeight="1" x14ac:dyDescent="0.25">
      <c r="A8" s="93">
        <v>3</v>
      </c>
      <c r="B8" s="100" t="s">
        <v>49</v>
      </c>
      <c r="C8" s="95" t="s">
        <v>114</v>
      </c>
      <c r="D8" s="95" t="s">
        <v>115</v>
      </c>
      <c r="E8" s="96">
        <v>2</v>
      </c>
      <c r="F8" s="97">
        <v>42534</v>
      </c>
      <c r="G8" s="98" t="s">
        <v>116</v>
      </c>
      <c r="H8" s="95">
        <v>6188035803</v>
      </c>
      <c r="I8" s="98" t="s">
        <v>117</v>
      </c>
      <c r="J8" s="97">
        <v>45161</v>
      </c>
      <c r="K8" s="98" t="s">
        <v>118</v>
      </c>
      <c r="L8" s="95" t="s">
        <v>111</v>
      </c>
      <c r="M8" s="98"/>
      <c r="N8" s="93" t="s">
        <v>41</v>
      </c>
      <c r="O8" s="99"/>
    </row>
    <row r="9" spans="1:46" ht="17.25" customHeight="1" x14ac:dyDescent="0.25">
      <c r="A9" s="93">
        <v>4</v>
      </c>
      <c r="B9" s="100" t="s">
        <v>89</v>
      </c>
      <c r="C9" s="95" t="s">
        <v>114</v>
      </c>
      <c r="D9" s="95" t="s">
        <v>115</v>
      </c>
      <c r="E9" s="96">
        <v>2</v>
      </c>
      <c r="F9" s="97">
        <v>42534</v>
      </c>
      <c r="G9" s="98" t="s">
        <v>116</v>
      </c>
      <c r="H9" s="95">
        <v>6188035803</v>
      </c>
      <c r="I9" s="98" t="s">
        <v>117</v>
      </c>
      <c r="J9" s="97">
        <v>45161</v>
      </c>
      <c r="K9" s="98" t="s">
        <v>119</v>
      </c>
      <c r="L9" s="95" t="s">
        <v>120</v>
      </c>
      <c r="M9" s="98"/>
      <c r="N9" s="93" t="s">
        <v>41</v>
      </c>
      <c r="O9" s="99"/>
    </row>
    <row r="10" spans="1:46" ht="17.25" customHeight="1" x14ac:dyDescent="0.25">
      <c r="A10" s="93">
        <v>5</v>
      </c>
      <c r="B10" s="94" t="s">
        <v>49</v>
      </c>
      <c r="C10" s="95" t="s">
        <v>121</v>
      </c>
      <c r="D10" s="95" t="s">
        <v>122</v>
      </c>
      <c r="E10" s="96">
        <v>5</v>
      </c>
      <c r="F10" s="97">
        <v>41514</v>
      </c>
      <c r="G10" s="98" t="s">
        <v>123</v>
      </c>
      <c r="H10" s="95">
        <v>5107883613</v>
      </c>
      <c r="I10" s="98" t="s">
        <v>124</v>
      </c>
      <c r="J10" s="97">
        <v>45189</v>
      </c>
      <c r="K10" s="98" t="s">
        <v>125</v>
      </c>
      <c r="L10" s="95" t="s">
        <v>126</v>
      </c>
      <c r="M10" s="98" t="s">
        <v>127</v>
      </c>
      <c r="N10" s="93" t="s">
        <v>41</v>
      </c>
      <c r="O10" s="99"/>
    </row>
    <row r="11" spans="1:46" ht="17.25" customHeight="1" x14ac:dyDescent="0.25">
      <c r="A11" s="93">
        <v>6</v>
      </c>
      <c r="B11" s="94" t="s">
        <v>89</v>
      </c>
      <c r="C11" s="95" t="s">
        <v>121</v>
      </c>
      <c r="D11" s="95" t="s">
        <v>122</v>
      </c>
      <c r="E11" s="96">
        <v>5</v>
      </c>
      <c r="F11" s="97">
        <v>41514</v>
      </c>
      <c r="G11" s="98" t="s">
        <v>123</v>
      </c>
      <c r="H11" s="95">
        <v>5107883613</v>
      </c>
      <c r="I11" s="98" t="s">
        <v>124</v>
      </c>
      <c r="J11" s="97">
        <v>45189</v>
      </c>
      <c r="K11" s="98" t="s">
        <v>128</v>
      </c>
      <c r="L11" s="95" t="s">
        <v>129</v>
      </c>
      <c r="M11" s="98" t="s">
        <v>127</v>
      </c>
      <c r="N11" s="93" t="s">
        <v>41</v>
      </c>
      <c r="O11" s="99"/>
    </row>
    <row r="12" spans="1:46" ht="17.25" customHeight="1" x14ac:dyDescent="0.25">
      <c r="A12" s="93">
        <v>7</v>
      </c>
      <c r="B12" s="100" t="s">
        <v>49</v>
      </c>
      <c r="C12" s="95" t="s">
        <v>130</v>
      </c>
      <c r="D12" s="95" t="s">
        <v>131</v>
      </c>
      <c r="E12" s="96">
        <v>1</v>
      </c>
      <c r="F12" s="97">
        <v>42820</v>
      </c>
      <c r="G12" s="98" t="s">
        <v>132</v>
      </c>
      <c r="H12" s="95">
        <v>6692526762</v>
      </c>
      <c r="I12" s="98" t="s">
        <v>133</v>
      </c>
      <c r="J12" s="97">
        <v>45159</v>
      </c>
      <c r="K12" s="98" t="s">
        <v>134</v>
      </c>
      <c r="L12" s="95" t="s">
        <v>135</v>
      </c>
      <c r="M12" s="98"/>
      <c r="N12" s="93" t="s">
        <v>41</v>
      </c>
      <c r="O12" s="99"/>
    </row>
    <row r="13" spans="1:46" ht="17.25" customHeight="1" x14ac:dyDescent="0.25">
      <c r="A13" s="93">
        <v>8</v>
      </c>
      <c r="B13" s="100" t="s">
        <v>89</v>
      </c>
      <c r="C13" s="95" t="s">
        <v>130</v>
      </c>
      <c r="D13" s="95" t="s">
        <v>131</v>
      </c>
      <c r="E13" s="96">
        <v>1</v>
      </c>
      <c r="F13" s="97">
        <v>42820</v>
      </c>
      <c r="G13" s="98" t="s">
        <v>132</v>
      </c>
      <c r="H13" s="95">
        <v>6692526762</v>
      </c>
      <c r="I13" s="98" t="s">
        <v>133</v>
      </c>
      <c r="J13" s="97">
        <v>45159</v>
      </c>
      <c r="K13" s="98" t="s">
        <v>136</v>
      </c>
      <c r="L13" s="95" t="s">
        <v>137</v>
      </c>
      <c r="M13" s="98"/>
      <c r="N13" s="93" t="s">
        <v>41</v>
      </c>
      <c r="O13" s="99"/>
    </row>
    <row r="14" spans="1:46" ht="17.25" customHeight="1" x14ac:dyDescent="0.25">
      <c r="A14" s="93">
        <v>9</v>
      </c>
      <c r="B14" s="100" t="s">
        <v>49</v>
      </c>
      <c r="C14" s="101" t="s">
        <v>138</v>
      </c>
      <c r="D14" s="101" t="s">
        <v>139</v>
      </c>
      <c r="E14" s="93">
        <v>1</v>
      </c>
      <c r="F14" s="102">
        <v>41922</v>
      </c>
      <c r="G14" s="103" t="s">
        <v>140</v>
      </c>
      <c r="H14" s="101" t="s">
        <v>141</v>
      </c>
      <c r="I14" s="103" t="s">
        <v>142</v>
      </c>
      <c r="J14" s="102">
        <v>44795</v>
      </c>
      <c r="K14" s="103" t="s">
        <v>110</v>
      </c>
      <c r="L14" s="101" t="s">
        <v>143</v>
      </c>
      <c r="M14" s="103"/>
      <c r="N14" s="93" t="s">
        <v>41</v>
      </c>
      <c r="O14" s="104"/>
    </row>
    <row r="15" spans="1:46" ht="17.25" customHeight="1" x14ac:dyDescent="0.25">
      <c r="A15" s="93">
        <v>10</v>
      </c>
      <c r="B15" s="100" t="s">
        <v>89</v>
      </c>
      <c r="C15" s="101" t="s">
        <v>138</v>
      </c>
      <c r="D15" s="101" t="s">
        <v>139</v>
      </c>
      <c r="E15" s="93">
        <v>1</v>
      </c>
      <c r="F15" s="102">
        <v>41922</v>
      </c>
      <c r="G15" s="103" t="s">
        <v>140</v>
      </c>
      <c r="H15" s="101" t="s">
        <v>141</v>
      </c>
      <c r="I15" s="103" t="s">
        <v>142</v>
      </c>
      <c r="J15" s="102">
        <v>44795</v>
      </c>
      <c r="K15" s="103" t="s">
        <v>112</v>
      </c>
      <c r="L15" s="101" t="s">
        <v>144</v>
      </c>
      <c r="M15" s="103"/>
      <c r="N15" s="93" t="s">
        <v>41</v>
      </c>
      <c r="O15" s="104"/>
    </row>
    <row r="16" spans="1:46" ht="17.25" customHeight="1" x14ac:dyDescent="0.25">
      <c r="A16" s="93">
        <v>11</v>
      </c>
      <c r="B16" s="94" t="s">
        <v>49</v>
      </c>
      <c r="C16" s="95" t="s">
        <v>145</v>
      </c>
      <c r="D16" s="95" t="s">
        <v>146</v>
      </c>
      <c r="E16" s="96" t="s">
        <v>147</v>
      </c>
      <c r="F16" s="97">
        <v>43214</v>
      </c>
      <c r="G16" s="98" t="s">
        <v>148</v>
      </c>
      <c r="H16" s="95">
        <v>5103885720</v>
      </c>
      <c r="I16" s="98" t="s">
        <v>149</v>
      </c>
      <c r="J16" s="97">
        <v>45178</v>
      </c>
      <c r="K16" s="98" t="s">
        <v>150</v>
      </c>
      <c r="L16" s="95" t="s">
        <v>151</v>
      </c>
      <c r="M16" s="98"/>
      <c r="N16" s="93" t="s">
        <v>41</v>
      </c>
      <c r="O16" s="99"/>
    </row>
    <row r="17" spans="1:46" ht="17.25" customHeight="1" x14ac:dyDescent="0.25">
      <c r="A17" s="93">
        <v>12</v>
      </c>
      <c r="B17" s="94" t="s">
        <v>49</v>
      </c>
      <c r="C17" s="95" t="s">
        <v>145</v>
      </c>
      <c r="D17" s="95" t="s">
        <v>152</v>
      </c>
      <c r="E17" s="96">
        <v>2</v>
      </c>
      <c r="F17" s="97">
        <v>42626</v>
      </c>
      <c r="G17" s="98" t="s">
        <v>148</v>
      </c>
      <c r="H17" s="95">
        <v>5103885720</v>
      </c>
      <c r="I17" s="98" t="s">
        <v>149</v>
      </c>
      <c r="J17" s="97">
        <v>45178</v>
      </c>
      <c r="K17" s="98" t="s">
        <v>153</v>
      </c>
      <c r="L17" s="95" t="s">
        <v>154</v>
      </c>
      <c r="M17" s="98"/>
      <c r="N17" s="93" t="s">
        <v>41</v>
      </c>
      <c r="O17" s="99"/>
    </row>
    <row r="18" spans="1:46" ht="15" customHeight="1" x14ac:dyDescent="0.25">
      <c r="A18" s="93">
        <v>13</v>
      </c>
      <c r="B18" s="100" t="s">
        <v>49</v>
      </c>
      <c r="C18" s="95" t="s">
        <v>155</v>
      </c>
      <c r="D18" s="95" t="s">
        <v>156</v>
      </c>
      <c r="E18" s="96">
        <v>2</v>
      </c>
      <c r="F18" s="97">
        <v>42301</v>
      </c>
      <c r="G18" s="98" t="s">
        <v>157</v>
      </c>
      <c r="H18" s="95">
        <v>6503358676</v>
      </c>
      <c r="I18" s="98" t="s">
        <v>158</v>
      </c>
      <c r="J18" s="97">
        <v>45159</v>
      </c>
      <c r="K18" s="98" t="s">
        <v>134</v>
      </c>
      <c r="L18" s="95" t="s">
        <v>159</v>
      </c>
      <c r="M18" s="98"/>
      <c r="N18" s="93" t="s">
        <v>41</v>
      </c>
      <c r="O18" s="99"/>
    </row>
    <row r="19" spans="1:46" ht="17.25" customHeight="1" x14ac:dyDescent="0.25">
      <c r="A19" s="93">
        <v>14</v>
      </c>
      <c r="B19" s="100" t="s">
        <v>89</v>
      </c>
      <c r="C19" s="95" t="s">
        <v>155</v>
      </c>
      <c r="D19" s="95" t="s">
        <v>156</v>
      </c>
      <c r="E19" s="96">
        <v>2</v>
      </c>
      <c r="F19" s="97">
        <v>42301</v>
      </c>
      <c r="G19" s="98" t="s">
        <v>157</v>
      </c>
      <c r="H19" s="95">
        <v>6503358676</v>
      </c>
      <c r="I19" s="98" t="s">
        <v>158</v>
      </c>
      <c r="J19" s="97">
        <v>45159</v>
      </c>
      <c r="K19" s="98" t="s">
        <v>160</v>
      </c>
      <c r="L19" s="95" t="s">
        <v>151</v>
      </c>
      <c r="M19" s="98"/>
      <c r="N19" s="93" t="s">
        <v>41</v>
      </c>
      <c r="O19" s="99"/>
    </row>
    <row r="20" spans="1:46" ht="17.25" customHeight="1" x14ac:dyDescent="0.25">
      <c r="A20" s="93">
        <v>15</v>
      </c>
      <c r="B20" s="100" t="s">
        <v>49</v>
      </c>
      <c r="C20" s="95" t="s">
        <v>155</v>
      </c>
      <c r="D20" s="95" t="s">
        <v>161</v>
      </c>
      <c r="E20" s="96">
        <v>1</v>
      </c>
      <c r="F20" s="97">
        <v>42894</v>
      </c>
      <c r="G20" s="98" t="s">
        <v>157</v>
      </c>
      <c r="H20" s="95">
        <v>6503358676</v>
      </c>
      <c r="I20" s="98" t="s">
        <v>158</v>
      </c>
      <c r="J20" s="97">
        <v>45159</v>
      </c>
      <c r="K20" s="98" t="s">
        <v>153</v>
      </c>
      <c r="L20" s="95" t="s">
        <v>162</v>
      </c>
      <c r="M20" s="98"/>
      <c r="N20" s="93" t="s">
        <v>41</v>
      </c>
      <c r="O20" s="99"/>
    </row>
    <row r="21" spans="1:46" ht="17.25" customHeight="1" x14ac:dyDescent="0.25">
      <c r="A21" s="93">
        <v>16</v>
      </c>
      <c r="B21" s="100" t="s">
        <v>89</v>
      </c>
      <c r="C21" s="95" t="s">
        <v>155</v>
      </c>
      <c r="D21" s="95" t="s">
        <v>161</v>
      </c>
      <c r="E21" s="96">
        <v>1</v>
      </c>
      <c r="F21" s="97">
        <v>42894</v>
      </c>
      <c r="G21" s="98" t="s">
        <v>157</v>
      </c>
      <c r="H21" s="95">
        <v>6503358676</v>
      </c>
      <c r="I21" s="98" t="s">
        <v>158</v>
      </c>
      <c r="J21" s="97">
        <v>45159</v>
      </c>
      <c r="K21" s="98" t="s">
        <v>163</v>
      </c>
      <c r="L21" s="95">
        <v>106</v>
      </c>
      <c r="M21" s="98"/>
      <c r="N21" s="93" t="s">
        <v>41</v>
      </c>
      <c r="O21" s="99"/>
    </row>
    <row r="22" spans="1:46" ht="17.25" customHeight="1" x14ac:dyDescent="0.25">
      <c r="A22" s="93">
        <v>17</v>
      </c>
      <c r="B22" s="100" t="s">
        <v>49</v>
      </c>
      <c r="C22" s="95" t="s">
        <v>164</v>
      </c>
      <c r="D22" s="95" t="s">
        <v>165</v>
      </c>
      <c r="E22" s="96">
        <v>1</v>
      </c>
      <c r="F22" s="97">
        <v>42828</v>
      </c>
      <c r="G22" s="98" t="s">
        <v>166</v>
      </c>
      <c r="H22" s="95">
        <v>5109196544</v>
      </c>
      <c r="I22" s="98" t="s">
        <v>167</v>
      </c>
      <c r="J22" s="97">
        <v>45159</v>
      </c>
      <c r="K22" s="98" t="s">
        <v>168</v>
      </c>
      <c r="L22" s="95" t="s">
        <v>111</v>
      </c>
      <c r="M22" s="98"/>
      <c r="N22" s="93" t="s">
        <v>41</v>
      </c>
      <c r="O22" s="99"/>
    </row>
    <row r="23" spans="1:46" ht="15" customHeight="1" x14ac:dyDescent="0.25">
      <c r="A23" s="93">
        <v>18</v>
      </c>
      <c r="B23" s="100" t="s">
        <v>89</v>
      </c>
      <c r="C23" s="95" t="s">
        <v>169</v>
      </c>
      <c r="D23" s="95" t="s">
        <v>165</v>
      </c>
      <c r="E23" s="96">
        <v>1</v>
      </c>
      <c r="F23" s="97">
        <v>42828</v>
      </c>
      <c r="G23" s="98" t="s">
        <v>166</v>
      </c>
      <c r="H23" s="95">
        <v>5109196544</v>
      </c>
      <c r="I23" s="98" t="s">
        <v>167</v>
      </c>
      <c r="J23" s="97">
        <v>45159</v>
      </c>
      <c r="K23" s="98" t="s">
        <v>136</v>
      </c>
      <c r="L23" s="95" t="s">
        <v>170</v>
      </c>
      <c r="M23" s="98"/>
      <c r="N23" s="93" t="s">
        <v>41</v>
      </c>
      <c r="O23" s="99"/>
    </row>
    <row r="24" spans="1:46" ht="15" customHeight="1" x14ac:dyDescent="0.25">
      <c r="A24" s="93">
        <v>19</v>
      </c>
      <c r="B24" s="100" t="s">
        <v>49</v>
      </c>
      <c r="C24" s="95" t="s">
        <v>171</v>
      </c>
      <c r="D24" s="95" t="s">
        <v>172</v>
      </c>
      <c r="E24" s="96">
        <v>2</v>
      </c>
      <c r="F24" s="97">
        <v>42521</v>
      </c>
      <c r="G24" s="98" t="s">
        <v>173</v>
      </c>
      <c r="H24" s="95">
        <v>4089311977</v>
      </c>
      <c r="I24" s="98" t="s">
        <v>174</v>
      </c>
      <c r="J24" s="97">
        <v>45161</v>
      </c>
      <c r="K24" s="98" t="s">
        <v>110</v>
      </c>
      <c r="L24" s="95" t="s">
        <v>175</v>
      </c>
      <c r="M24" s="98"/>
      <c r="N24" s="93" t="s">
        <v>41</v>
      </c>
      <c r="O24" s="99"/>
    </row>
    <row r="25" spans="1:46" ht="17.25" customHeight="1" x14ac:dyDescent="0.25">
      <c r="A25" s="93">
        <v>20</v>
      </c>
      <c r="B25" s="100" t="s">
        <v>89</v>
      </c>
      <c r="C25" s="95" t="s">
        <v>171</v>
      </c>
      <c r="D25" s="95" t="s">
        <v>172</v>
      </c>
      <c r="E25" s="96">
        <v>2</v>
      </c>
      <c r="F25" s="97">
        <v>42521</v>
      </c>
      <c r="G25" s="98" t="s">
        <v>173</v>
      </c>
      <c r="H25" s="95">
        <v>4089311977</v>
      </c>
      <c r="I25" s="98" t="s">
        <v>174</v>
      </c>
      <c r="J25" s="97">
        <v>45161</v>
      </c>
      <c r="K25" s="98" t="s">
        <v>112</v>
      </c>
      <c r="L25" s="95" t="s">
        <v>113</v>
      </c>
      <c r="M25" s="98"/>
      <c r="N25" s="93" t="s">
        <v>41</v>
      </c>
      <c r="O25" s="99"/>
    </row>
    <row r="26" spans="1:46" ht="17.25" customHeight="1" x14ac:dyDescent="0.25">
      <c r="A26" s="93">
        <v>21</v>
      </c>
      <c r="B26" s="94" t="s">
        <v>49</v>
      </c>
      <c r="C26" s="95" t="s">
        <v>176</v>
      </c>
      <c r="D26" s="95" t="s">
        <v>177</v>
      </c>
      <c r="E26" s="96" t="s">
        <v>178</v>
      </c>
      <c r="F26" s="97">
        <v>43630</v>
      </c>
      <c r="G26" s="98" t="s">
        <v>179</v>
      </c>
      <c r="H26" s="95">
        <v>5109444628</v>
      </c>
      <c r="I26" s="98" t="s">
        <v>180</v>
      </c>
      <c r="J26" s="97">
        <v>45170</v>
      </c>
      <c r="K26" s="98" t="s">
        <v>181</v>
      </c>
      <c r="L26" s="95" t="s">
        <v>182</v>
      </c>
      <c r="M26" s="98"/>
      <c r="N26" s="93" t="s">
        <v>41</v>
      </c>
      <c r="O26" s="99"/>
    </row>
    <row r="27" spans="1:46" ht="17.25" customHeight="1" x14ac:dyDescent="0.25">
      <c r="A27" s="93">
        <v>22</v>
      </c>
      <c r="B27" s="94" t="s">
        <v>49</v>
      </c>
      <c r="C27" s="95" t="s">
        <v>183</v>
      </c>
      <c r="D27" s="95" t="s">
        <v>184</v>
      </c>
      <c r="E27" s="96">
        <v>2</v>
      </c>
      <c r="F27" s="97">
        <v>42342</v>
      </c>
      <c r="G27" s="98" t="s">
        <v>185</v>
      </c>
      <c r="H27" s="95">
        <v>4084214334</v>
      </c>
      <c r="I27" s="98" t="s">
        <v>186</v>
      </c>
      <c r="J27" s="97">
        <v>45170</v>
      </c>
      <c r="K27" s="98" t="s">
        <v>110</v>
      </c>
      <c r="L27" s="95" t="s">
        <v>187</v>
      </c>
      <c r="M27" s="98"/>
      <c r="N27" s="93" t="s">
        <v>41</v>
      </c>
      <c r="O27" s="99"/>
    </row>
    <row r="28" spans="1:46" ht="17.25" customHeight="1" x14ac:dyDescent="0.25">
      <c r="A28" s="93">
        <v>23</v>
      </c>
      <c r="B28" s="94" t="s">
        <v>89</v>
      </c>
      <c r="C28" s="95" t="s">
        <v>183</v>
      </c>
      <c r="D28" s="95" t="s">
        <v>184</v>
      </c>
      <c r="E28" s="96">
        <v>2</v>
      </c>
      <c r="F28" s="97">
        <v>42342</v>
      </c>
      <c r="G28" s="98" t="s">
        <v>185</v>
      </c>
      <c r="H28" s="95">
        <v>4084214334</v>
      </c>
      <c r="I28" s="98" t="s">
        <v>186</v>
      </c>
      <c r="J28" s="97">
        <v>45170</v>
      </c>
      <c r="K28" s="98" t="s">
        <v>112</v>
      </c>
      <c r="L28" s="95" t="s">
        <v>188</v>
      </c>
      <c r="M28" s="98"/>
      <c r="N28" s="93" t="s">
        <v>41</v>
      </c>
      <c r="O28" s="99"/>
    </row>
    <row r="29" spans="1:46" ht="17.25" customHeight="1" x14ac:dyDescent="0.25">
      <c r="A29" s="93">
        <v>24</v>
      </c>
      <c r="B29" s="100" t="s">
        <v>89</v>
      </c>
      <c r="C29" s="101" t="s">
        <v>189</v>
      </c>
      <c r="D29" s="101" t="s">
        <v>190</v>
      </c>
      <c r="E29" s="93">
        <v>6</v>
      </c>
      <c r="F29" s="102">
        <v>41034</v>
      </c>
      <c r="G29" s="103" t="s">
        <v>191</v>
      </c>
      <c r="H29" s="101">
        <v>5108161486</v>
      </c>
      <c r="I29" s="105" t="s">
        <v>192</v>
      </c>
      <c r="J29" s="102">
        <v>45093</v>
      </c>
      <c r="K29" s="103" t="s">
        <v>193</v>
      </c>
      <c r="L29" s="101" t="s">
        <v>194</v>
      </c>
      <c r="M29" s="103"/>
      <c r="N29" s="93" t="s">
        <v>41</v>
      </c>
      <c r="O29" s="104"/>
    </row>
    <row r="30" spans="1:46" ht="17.25" customHeight="1" x14ac:dyDescent="0.25">
      <c r="A30" s="93">
        <v>25</v>
      </c>
      <c r="B30" s="100" t="s">
        <v>49</v>
      </c>
      <c r="C30" s="95" t="s">
        <v>195</v>
      </c>
      <c r="D30" s="95" t="s">
        <v>196</v>
      </c>
      <c r="E30" s="96">
        <v>3</v>
      </c>
      <c r="F30" s="97">
        <v>42125</v>
      </c>
      <c r="G30" s="98" t="s">
        <v>197</v>
      </c>
      <c r="H30" s="95">
        <v>5105795250</v>
      </c>
      <c r="I30" s="98" t="s">
        <v>198</v>
      </c>
      <c r="J30" s="97">
        <v>45156</v>
      </c>
      <c r="K30" s="98" t="s">
        <v>110</v>
      </c>
      <c r="L30" s="95" t="s">
        <v>194</v>
      </c>
      <c r="M30" s="98"/>
      <c r="N30" s="93" t="s">
        <v>41</v>
      </c>
      <c r="O30" s="99"/>
    </row>
    <row r="31" spans="1:46" ht="17.25" customHeight="1" x14ac:dyDescent="0.25">
      <c r="A31" s="93">
        <v>26</v>
      </c>
      <c r="B31" s="100" t="s">
        <v>89</v>
      </c>
      <c r="C31" s="95" t="s">
        <v>195</v>
      </c>
      <c r="D31" s="95" t="s">
        <v>196</v>
      </c>
      <c r="E31" s="96">
        <v>3</v>
      </c>
      <c r="F31" s="97">
        <v>42125</v>
      </c>
      <c r="G31" s="98" t="s">
        <v>197</v>
      </c>
      <c r="H31" s="95">
        <v>5105795250</v>
      </c>
      <c r="I31" s="98" t="s">
        <v>198</v>
      </c>
      <c r="J31" s="97">
        <v>45156</v>
      </c>
      <c r="K31" s="98" t="s">
        <v>160</v>
      </c>
      <c r="L31" s="95" t="s">
        <v>151</v>
      </c>
      <c r="M31" s="98"/>
      <c r="N31" s="93" t="s">
        <v>41</v>
      </c>
      <c r="O31" s="99"/>
    </row>
    <row r="32" spans="1:46" ht="17.25" customHeight="1" x14ac:dyDescent="0.25">
      <c r="A32" s="93">
        <v>127</v>
      </c>
      <c r="B32" s="219" t="s">
        <v>49</v>
      </c>
      <c r="C32" s="220" t="s">
        <v>199</v>
      </c>
      <c r="D32" s="220" t="s">
        <v>433</v>
      </c>
      <c r="E32" s="221">
        <v>3</v>
      </c>
      <c r="F32" s="222">
        <v>41924</v>
      </c>
      <c r="G32" s="223" t="s">
        <v>434</v>
      </c>
      <c r="H32" s="223">
        <v>5102921648</v>
      </c>
      <c r="I32" s="223" t="s">
        <v>435</v>
      </c>
      <c r="J32" s="224">
        <v>45246</v>
      </c>
      <c r="K32" s="225" t="s">
        <v>365</v>
      </c>
      <c r="L32" s="226" t="s">
        <v>159</v>
      </c>
      <c r="M32" s="227" t="s">
        <v>494</v>
      </c>
      <c r="N32" s="228" t="s">
        <v>82</v>
      </c>
      <c r="O32" s="229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</row>
    <row r="33" spans="1:46" ht="17.25" customHeight="1" x14ac:dyDescent="0.25">
      <c r="A33" s="93">
        <v>128</v>
      </c>
      <c r="B33" s="230" t="s">
        <v>89</v>
      </c>
      <c r="C33" s="231" t="s">
        <v>199</v>
      </c>
      <c r="D33" s="231" t="s">
        <v>433</v>
      </c>
      <c r="E33" s="228">
        <v>3</v>
      </c>
      <c r="F33" s="232">
        <v>41924</v>
      </c>
      <c r="G33" s="233" t="s">
        <v>434</v>
      </c>
      <c r="H33" s="233">
        <v>5102921648</v>
      </c>
      <c r="I33" s="233" t="s">
        <v>435</v>
      </c>
      <c r="J33" s="234">
        <v>45246</v>
      </c>
      <c r="K33" s="235" t="s">
        <v>436</v>
      </c>
      <c r="L33" s="236" t="s">
        <v>359</v>
      </c>
      <c r="M33" s="227" t="s">
        <v>494</v>
      </c>
      <c r="N33" s="228" t="s">
        <v>82</v>
      </c>
      <c r="O33" s="237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</row>
    <row r="34" spans="1:46" ht="17.25" customHeight="1" x14ac:dyDescent="0.25">
      <c r="A34" s="93">
        <v>27</v>
      </c>
      <c r="B34" s="100" t="s">
        <v>49</v>
      </c>
      <c r="C34" s="101" t="s">
        <v>199</v>
      </c>
      <c r="D34" s="101" t="s">
        <v>200</v>
      </c>
      <c r="E34" s="93">
        <v>4</v>
      </c>
      <c r="F34" s="102">
        <v>40736</v>
      </c>
      <c r="G34" s="103" t="s">
        <v>201</v>
      </c>
      <c r="H34" s="101">
        <v>4083321491</v>
      </c>
      <c r="I34" s="103" t="s">
        <v>202</v>
      </c>
      <c r="J34" s="102">
        <v>44004</v>
      </c>
      <c r="K34" s="106" t="s">
        <v>203</v>
      </c>
      <c r="L34" s="107" t="s">
        <v>204</v>
      </c>
      <c r="M34" s="103"/>
      <c r="N34" s="93" t="s">
        <v>41</v>
      </c>
      <c r="O34" s="104"/>
    </row>
    <row r="35" spans="1:46" ht="17.25" customHeight="1" x14ac:dyDescent="0.25">
      <c r="A35" s="93">
        <v>28</v>
      </c>
      <c r="B35" s="100" t="s">
        <v>89</v>
      </c>
      <c r="C35" s="101" t="s">
        <v>199</v>
      </c>
      <c r="D35" s="101" t="s">
        <v>200</v>
      </c>
      <c r="E35" s="93">
        <v>4</v>
      </c>
      <c r="F35" s="102">
        <v>40736</v>
      </c>
      <c r="G35" s="103" t="s">
        <v>201</v>
      </c>
      <c r="H35" s="101">
        <v>4083321491</v>
      </c>
      <c r="I35" s="103" t="s">
        <v>202</v>
      </c>
      <c r="J35" s="102">
        <v>44004</v>
      </c>
      <c r="K35" s="106" t="s">
        <v>205</v>
      </c>
      <c r="L35" s="107" t="s">
        <v>206</v>
      </c>
      <c r="M35" s="103"/>
      <c r="N35" s="93" t="s">
        <v>41</v>
      </c>
      <c r="O35" s="104"/>
    </row>
    <row r="36" spans="1:46" ht="17.25" customHeight="1" x14ac:dyDescent="0.25">
      <c r="A36" s="93">
        <v>29</v>
      </c>
      <c r="B36" s="100" t="s">
        <v>49</v>
      </c>
      <c r="C36" s="95" t="s">
        <v>207</v>
      </c>
      <c r="D36" s="95" t="s">
        <v>208</v>
      </c>
      <c r="E36" s="96">
        <v>4</v>
      </c>
      <c r="F36" s="97">
        <v>41866</v>
      </c>
      <c r="G36" s="98" t="s">
        <v>209</v>
      </c>
      <c r="H36" s="95">
        <v>4085696688</v>
      </c>
      <c r="I36" s="98" t="s">
        <v>210</v>
      </c>
      <c r="J36" s="97">
        <v>45154</v>
      </c>
      <c r="K36" s="98" t="s">
        <v>211</v>
      </c>
      <c r="L36" s="95" t="s">
        <v>137</v>
      </c>
      <c r="M36" s="98"/>
      <c r="N36" s="93" t="s">
        <v>41</v>
      </c>
      <c r="O36" s="99"/>
    </row>
    <row r="37" spans="1:46" ht="17.25" customHeight="1" x14ac:dyDescent="0.25">
      <c r="A37" s="93">
        <v>30</v>
      </c>
      <c r="B37" s="100" t="s">
        <v>89</v>
      </c>
      <c r="C37" s="95" t="s">
        <v>207</v>
      </c>
      <c r="D37" s="95" t="s">
        <v>208</v>
      </c>
      <c r="E37" s="96">
        <v>4</v>
      </c>
      <c r="F37" s="97">
        <v>41866</v>
      </c>
      <c r="G37" s="98" t="s">
        <v>209</v>
      </c>
      <c r="H37" s="95">
        <v>4085696688</v>
      </c>
      <c r="I37" s="98" t="s">
        <v>210</v>
      </c>
      <c r="J37" s="97">
        <v>45154</v>
      </c>
      <c r="K37" s="98" t="s">
        <v>136</v>
      </c>
      <c r="L37" s="95" t="s">
        <v>113</v>
      </c>
      <c r="M37" s="98"/>
      <c r="N37" s="93" t="s">
        <v>41</v>
      </c>
      <c r="O37" s="99"/>
    </row>
    <row r="38" spans="1:46" ht="17.25" customHeight="1" x14ac:dyDescent="0.25">
      <c r="A38" s="93">
        <v>31</v>
      </c>
      <c r="B38" s="100" t="s">
        <v>49</v>
      </c>
      <c r="C38" s="101" t="s">
        <v>207</v>
      </c>
      <c r="D38" s="101" t="s">
        <v>212</v>
      </c>
      <c r="E38" s="93">
        <v>2</v>
      </c>
      <c r="F38" s="102">
        <v>42511</v>
      </c>
      <c r="G38" s="103" t="s">
        <v>213</v>
      </c>
      <c r="H38" s="101">
        <v>5103336666</v>
      </c>
      <c r="I38" s="103" t="s">
        <v>214</v>
      </c>
      <c r="J38" s="101" t="s">
        <v>215</v>
      </c>
      <c r="K38" s="106" t="s">
        <v>153</v>
      </c>
      <c r="L38" s="107" t="s">
        <v>111</v>
      </c>
      <c r="M38" s="103"/>
      <c r="N38" s="93" t="s">
        <v>41</v>
      </c>
      <c r="O38" s="104"/>
    </row>
    <row r="39" spans="1:46" ht="17.25" customHeight="1" x14ac:dyDescent="0.25">
      <c r="A39" s="93">
        <v>32</v>
      </c>
      <c r="B39" s="100" t="s">
        <v>49</v>
      </c>
      <c r="C39" s="101" t="s">
        <v>216</v>
      </c>
      <c r="D39" s="101" t="s">
        <v>217</v>
      </c>
      <c r="E39" s="93" t="s">
        <v>147</v>
      </c>
      <c r="F39" s="102">
        <v>42846</v>
      </c>
      <c r="G39" s="103" t="s">
        <v>218</v>
      </c>
      <c r="H39" s="101">
        <v>5102075030</v>
      </c>
      <c r="I39" s="103" t="s">
        <v>219</v>
      </c>
      <c r="J39" s="102">
        <v>45110</v>
      </c>
      <c r="K39" s="106" t="s">
        <v>211</v>
      </c>
      <c r="L39" s="107" t="s">
        <v>135</v>
      </c>
      <c r="M39" s="103"/>
      <c r="N39" s="93" t="s">
        <v>41</v>
      </c>
      <c r="O39" s="104"/>
    </row>
    <row r="40" spans="1:46" ht="17.25" customHeight="1" x14ac:dyDescent="0.25">
      <c r="A40" s="93">
        <v>33</v>
      </c>
      <c r="B40" s="100" t="s">
        <v>89</v>
      </c>
      <c r="C40" s="101" t="s">
        <v>216</v>
      </c>
      <c r="D40" s="101" t="s">
        <v>217</v>
      </c>
      <c r="E40" s="93" t="s">
        <v>147</v>
      </c>
      <c r="F40" s="102">
        <v>42846</v>
      </c>
      <c r="G40" s="103" t="s">
        <v>218</v>
      </c>
      <c r="H40" s="101">
        <v>5102075030</v>
      </c>
      <c r="I40" s="103" t="s">
        <v>219</v>
      </c>
      <c r="J40" s="102">
        <v>45110</v>
      </c>
      <c r="K40" s="106" t="s">
        <v>160</v>
      </c>
      <c r="L40" s="107" t="s">
        <v>159</v>
      </c>
      <c r="M40" s="103" t="s">
        <v>220</v>
      </c>
      <c r="N40" s="93" t="s">
        <v>41</v>
      </c>
      <c r="O40" s="104"/>
    </row>
    <row r="41" spans="1:46" ht="17.25" customHeight="1" x14ac:dyDescent="0.25">
      <c r="A41" s="93">
        <v>34</v>
      </c>
      <c r="B41" s="100" t="s">
        <v>49</v>
      </c>
      <c r="C41" s="101" t="s">
        <v>216</v>
      </c>
      <c r="D41" s="101" t="s">
        <v>221</v>
      </c>
      <c r="E41" s="93">
        <v>2</v>
      </c>
      <c r="F41" s="102">
        <v>42025</v>
      </c>
      <c r="G41" s="103" t="s">
        <v>218</v>
      </c>
      <c r="H41" s="101">
        <v>5102075030</v>
      </c>
      <c r="I41" s="103" t="s">
        <v>219</v>
      </c>
      <c r="J41" s="102">
        <v>45110</v>
      </c>
      <c r="K41" s="106" t="s">
        <v>222</v>
      </c>
      <c r="L41" s="107" t="s">
        <v>151</v>
      </c>
      <c r="M41" s="103"/>
      <c r="N41" s="93" t="s">
        <v>41</v>
      </c>
      <c r="O41" s="104"/>
    </row>
    <row r="42" spans="1:46" ht="17.25" customHeight="1" x14ac:dyDescent="0.25">
      <c r="A42" s="93">
        <v>35</v>
      </c>
      <c r="B42" s="100" t="s">
        <v>89</v>
      </c>
      <c r="C42" s="101" t="s">
        <v>216</v>
      </c>
      <c r="D42" s="101" t="s">
        <v>221</v>
      </c>
      <c r="E42" s="93">
        <v>2</v>
      </c>
      <c r="F42" s="102">
        <v>42025</v>
      </c>
      <c r="G42" s="103" t="s">
        <v>218</v>
      </c>
      <c r="H42" s="101">
        <v>5102075030</v>
      </c>
      <c r="I42" s="103" t="s">
        <v>219</v>
      </c>
      <c r="J42" s="102">
        <v>45110</v>
      </c>
      <c r="K42" s="106" t="s">
        <v>128</v>
      </c>
      <c r="L42" s="107" t="s">
        <v>223</v>
      </c>
      <c r="M42" s="103" t="s">
        <v>220</v>
      </c>
      <c r="N42" s="93" t="s">
        <v>41</v>
      </c>
      <c r="O42" s="104"/>
    </row>
    <row r="43" spans="1:46" ht="17.25" customHeight="1" x14ac:dyDescent="0.25">
      <c r="A43" s="93">
        <v>36</v>
      </c>
      <c r="B43" s="100" t="s">
        <v>49</v>
      </c>
      <c r="C43" s="101" t="s">
        <v>216</v>
      </c>
      <c r="D43" s="101" t="s">
        <v>224</v>
      </c>
      <c r="E43" s="93">
        <v>4</v>
      </c>
      <c r="F43" s="102">
        <v>41496</v>
      </c>
      <c r="G43" s="103" t="s">
        <v>225</v>
      </c>
      <c r="H43" s="101">
        <v>4156099128</v>
      </c>
      <c r="I43" s="103" t="s">
        <v>226</v>
      </c>
      <c r="J43" s="102">
        <v>45082</v>
      </c>
      <c r="K43" s="103" t="s">
        <v>227</v>
      </c>
      <c r="L43" s="101" t="s">
        <v>151</v>
      </c>
      <c r="M43" s="103"/>
      <c r="N43" s="93" t="s">
        <v>41</v>
      </c>
      <c r="O43" s="104"/>
    </row>
    <row r="44" spans="1:46" ht="17.25" customHeight="1" x14ac:dyDescent="0.25">
      <c r="A44" s="93">
        <v>37</v>
      </c>
      <c r="B44" s="100" t="s">
        <v>89</v>
      </c>
      <c r="C44" s="101" t="s">
        <v>216</v>
      </c>
      <c r="D44" s="101" t="s">
        <v>224</v>
      </c>
      <c r="E44" s="93">
        <v>4</v>
      </c>
      <c r="F44" s="102">
        <v>41496</v>
      </c>
      <c r="G44" s="103" t="s">
        <v>225</v>
      </c>
      <c r="H44" s="101">
        <v>4156099128</v>
      </c>
      <c r="I44" s="103" t="s">
        <v>226</v>
      </c>
      <c r="J44" s="102">
        <v>45082</v>
      </c>
      <c r="K44" s="103" t="s">
        <v>228</v>
      </c>
      <c r="L44" s="101" t="s">
        <v>111</v>
      </c>
      <c r="M44" s="103" t="s">
        <v>220</v>
      </c>
      <c r="N44" s="93" t="s">
        <v>41</v>
      </c>
      <c r="O44" s="104"/>
    </row>
    <row r="45" spans="1:46" ht="17.25" customHeight="1" x14ac:dyDescent="0.25">
      <c r="A45" s="93">
        <v>130</v>
      </c>
      <c r="B45" s="126" t="s">
        <v>49</v>
      </c>
      <c r="C45" s="127" t="s">
        <v>207</v>
      </c>
      <c r="D45" s="127" t="s">
        <v>442</v>
      </c>
      <c r="E45" s="128">
        <v>7</v>
      </c>
      <c r="F45" s="129">
        <v>40552</v>
      </c>
      <c r="G45" s="130" t="s">
        <v>443</v>
      </c>
      <c r="H45" s="130">
        <v>5108221710</v>
      </c>
      <c r="I45" s="130" t="s">
        <v>444</v>
      </c>
      <c r="J45" s="123">
        <v>45233</v>
      </c>
      <c r="K45" s="124" t="s">
        <v>181</v>
      </c>
      <c r="L45" s="125" t="s">
        <v>159</v>
      </c>
      <c r="M45" s="131"/>
      <c r="N45" s="128" t="s">
        <v>82</v>
      </c>
      <c r="O45" s="132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</row>
    <row r="46" spans="1:46" ht="17.25" customHeight="1" x14ac:dyDescent="0.25">
      <c r="A46" s="93">
        <v>38</v>
      </c>
      <c r="B46" s="100" t="s">
        <v>49</v>
      </c>
      <c r="C46" s="101" t="s">
        <v>216</v>
      </c>
      <c r="D46" s="101" t="s">
        <v>229</v>
      </c>
      <c r="E46" s="93">
        <v>1</v>
      </c>
      <c r="F46" s="102">
        <v>42757</v>
      </c>
      <c r="G46" s="103" t="s">
        <v>225</v>
      </c>
      <c r="H46" s="101">
        <v>4156099128</v>
      </c>
      <c r="I46" s="103" t="s">
        <v>226</v>
      </c>
      <c r="J46" s="102">
        <v>45082</v>
      </c>
      <c r="K46" s="103" t="s">
        <v>110</v>
      </c>
      <c r="L46" s="101" t="s">
        <v>120</v>
      </c>
      <c r="M46" s="103"/>
      <c r="N46" s="93" t="s">
        <v>41</v>
      </c>
      <c r="O46" s="104"/>
    </row>
    <row r="47" spans="1:46" ht="17.25" customHeight="1" x14ac:dyDescent="0.25">
      <c r="A47" s="93">
        <v>39</v>
      </c>
      <c r="B47" s="100" t="s">
        <v>89</v>
      </c>
      <c r="C47" s="101" t="s">
        <v>216</v>
      </c>
      <c r="D47" s="101" t="s">
        <v>229</v>
      </c>
      <c r="E47" s="93">
        <v>1</v>
      </c>
      <c r="F47" s="102">
        <v>42757</v>
      </c>
      <c r="G47" s="103" t="s">
        <v>225</v>
      </c>
      <c r="H47" s="101">
        <v>4156099128</v>
      </c>
      <c r="I47" s="103" t="s">
        <v>226</v>
      </c>
      <c r="J47" s="102">
        <v>45082</v>
      </c>
      <c r="K47" s="103" t="s">
        <v>160</v>
      </c>
      <c r="L47" s="101" t="s">
        <v>194</v>
      </c>
      <c r="M47" s="103" t="s">
        <v>220</v>
      </c>
      <c r="N47" s="93" t="s">
        <v>41</v>
      </c>
      <c r="O47" s="104"/>
    </row>
    <row r="48" spans="1:46" ht="17.25" customHeight="1" x14ac:dyDescent="0.25">
      <c r="A48" s="93">
        <v>40</v>
      </c>
      <c r="B48" s="100" t="s">
        <v>49</v>
      </c>
      <c r="C48" s="101" t="s">
        <v>207</v>
      </c>
      <c r="D48" s="101" t="s">
        <v>230</v>
      </c>
      <c r="E48" s="93" t="s">
        <v>147</v>
      </c>
      <c r="F48" s="102">
        <v>42943</v>
      </c>
      <c r="G48" s="103" t="s">
        <v>231</v>
      </c>
      <c r="H48" s="101">
        <v>5103035129</v>
      </c>
      <c r="I48" s="105" t="s">
        <v>232</v>
      </c>
      <c r="J48" s="102">
        <v>44728</v>
      </c>
      <c r="K48" s="106" t="s">
        <v>168</v>
      </c>
      <c r="L48" s="107" t="s">
        <v>233</v>
      </c>
      <c r="M48" s="103"/>
      <c r="N48" s="93" t="s">
        <v>41</v>
      </c>
      <c r="O48" s="104"/>
    </row>
    <row r="49" spans="1:46" ht="17.25" customHeight="1" x14ac:dyDescent="0.25">
      <c r="A49" s="93">
        <v>41</v>
      </c>
      <c r="B49" s="100" t="s">
        <v>89</v>
      </c>
      <c r="C49" s="101" t="s">
        <v>207</v>
      </c>
      <c r="D49" s="101" t="s">
        <v>230</v>
      </c>
      <c r="E49" s="93" t="s">
        <v>147</v>
      </c>
      <c r="F49" s="102">
        <v>42943</v>
      </c>
      <c r="G49" s="103" t="s">
        <v>231</v>
      </c>
      <c r="H49" s="101">
        <v>5103035129</v>
      </c>
      <c r="I49" s="105" t="s">
        <v>232</v>
      </c>
      <c r="J49" s="102">
        <v>44728</v>
      </c>
      <c r="K49" s="106" t="s">
        <v>136</v>
      </c>
      <c r="L49" s="107" t="s">
        <v>175</v>
      </c>
      <c r="M49" s="103"/>
      <c r="N49" s="93" t="s">
        <v>41</v>
      </c>
      <c r="O49" s="104"/>
    </row>
    <row r="50" spans="1:46" ht="17.25" customHeight="1" x14ac:dyDescent="0.25">
      <c r="A50" s="93">
        <v>42</v>
      </c>
      <c r="B50" s="100" t="s">
        <v>89</v>
      </c>
      <c r="C50" s="95" t="s">
        <v>234</v>
      </c>
      <c r="D50" s="95" t="s">
        <v>235</v>
      </c>
      <c r="E50" s="96">
        <v>7</v>
      </c>
      <c r="F50" s="97">
        <v>40748</v>
      </c>
      <c r="G50" s="98" t="s">
        <v>236</v>
      </c>
      <c r="H50" s="95" t="s">
        <v>237</v>
      </c>
      <c r="I50" s="98" t="s">
        <v>238</v>
      </c>
      <c r="J50" s="97">
        <v>45154</v>
      </c>
      <c r="K50" s="98" t="s">
        <v>239</v>
      </c>
      <c r="L50" s="95" t="s">
        <v>187</v>
      </c>
      <c r="M50" s="98" t="s">
        <v>240</v>
      </c>
      <c r="N50" s="93" t="s">
        <v>41</v>
      </c>
      <c r="O50" s="99"/>
    </row>
    <row r="51" spans="1:46" ht="17.25" customHeight="1" x14ac:dyDescent="0.25">
      <c r="A51" s="93">
        <v>43</v>
      </c>
      <c r="B51" s="100" t="s">
        <v>49</v>
      </c>
      <c r="C51" s="95" t="s">
        <v>234</v>
      </c>
      <c r="D51" s="95" t="s">
        <v>241</v>
      </c>
      <c r="E51" s="96">
        <v>7</v>
      </c>
      <c r="F51" s="97">
        <v>40748</v>
      </c>
      <c r="G51" s="98" t="s">
        <v>236</v>
      </c>
      <c r="H51" s="95" t="s">
        <v>237</v>
      </c>
      <c r="I51" s="98" t="s">
        <v>238</v>
      </c>
      <c r="J51" s="97">
        <v>45154</v>
      </c>
      <c r="K51" s="98" t="s">
        <v>242</v>
      </c>
      <c r="L51" s="95" t="s">
        <v>204</v>
      </c>
      <c r="M51" s="98" t="s">
        <v>243</v>
      </c>
      <c r="N51" s="93" t="s">
        <v>41</v>
      </c>
      <c r="O51" s="99"/>
    </row>
    <row r="52" spans="1:46" ht="17.25" customHeight="1" x14ac:dyDescent="0.25">
      <c r="A52" s="93">
        <v>44</v>
      </c>
      <c r="B52" s="94" t="s">
        <v>49</v>
      </c>
      <c r="C52" s="95" t="s">
        <v>244</v>
      </c>
      <c r="D52" s="95" t="s">
        <v>245</v>
      </c>
      <c r="E52" s="96">
        <v>5</v>
      </c>
      <c r="F52" s="97">
        <v>41253</v>
      </c>
      <c r="G52" s="98" t="s">
        <v>246</v>
      </c>
      <c r="H52" s="95">
        <v>4153956788</v>
      </c>
      <c r="I52" s="98" t="s">
        <v>247</v>
      </c>
      <c r="J52" s="97">
        <v>45180</v>
      </c>
      <c r="K52" s="98" t="s">
        <v>227</v>
      </c>
      <c r="L52" s="95" t="s">
        <v>120</v>
      </c>
      <c r="M52" s="98" t="s">
        <v>127</v>
      </c>
      <c r="N52" s="93" t="s">
        <v>41</v>
      </c>
      <c r="O52" s="99"/>
    </row>
    <row r="53" spans="1:46" ht="17.25" customHeight="1" x14ac:dyDescent="0.25">
      <c r="A53" s="93">
        <v>45</v>
      </c>
      <c r="B53" s="94" t="s">
        <v>89</v>
      </c>
      <c r="C53" s="95" t="s">
        <v>244</v>
      </c>
      <c r="D53" s="95" t="s">
        <v>245</v>
      </c>
      <c r="E53" s="96">
        <v>5</v>
      </c>
      <c r="F53" s="97">
        <v>41253</v>
      </c>
      <c r="G53" s="98" t="s">
        <v>246</v>
      </c>
      <c r="H53" s="95">
        <v>4153956788</v>
      </c>
      <c r="I53" s="98" t="s">
        <v>247</v>
      </c>
      <c r="J53" s="97">
        <v>45180</v>
      </c>
      <c r="K53" s="98" t="s">
        <v>248</v>
      </c>
      <c r="L53" s="95" t="s">
        <v>223</v>
      </c>
      <c r="M53" s="98" t="s">
        <v>127</v>
      </c>
      <c r="N53" s="93" t="s">
        <v>41</v>
      </c>
      <c r="O53" s="99"/>
    </row>
    <row r="54" spans="1:46" ht="17.25" customHeight="1" x14ac:dyDescent="0.25">
      <c r="A54" s="93">
        <v>46</v>
      </c>
      <c r="B54" s="94" t="s">
        <v>49</v>
      </c>
      <c r="C54" s="95" t="s">
        <v>244</v>
      </c>
      <c r="D54" s="95" t="s">
        <v>249</v>
      </c>
      <c r="E54" s="96">
        <v>4</v>
      </c>
      <c r="F54" s="97">
        <v>41875</v>
      </c>
      <c r="G54" s="98" t="s">
        <v>246</v>
      </c>
      <c r="H54" s="95">
        <v>4153956788</v>
      </c>
      <c r="I54" s="98" t="s">
        <v>247</v>
      </c>
      <c r="J54" s="97">
        <v>45180</v>
      </c>
      <c r="K54" s="98" t="s">
        <v>211</v>
      </c>
      <c r="L54" s="95" t="s">
        <v>187</v>
      </c>
      <c r="M54" s="98" t="s">
        <v>127</v>
      </c>
      <c r="N54" s="93" t="s">
        <v>41</v>
      </c>
      <c r="O54" s="99"/>
    </row>
    <row r="55" spans="1:46" ht="17.25" customHeight="1" x14ac:dyDescent="0.25">
      <c r="A55" s="93">
        <v>47</v>
      </c>
      <c r="B55" s="94" t="s">
        <v>89</v>
      </c>
      <c r="C55" s="95" t="s">
        <v>244</v>
      </c>
      <c r="D55" s="95" t="s">
        <v>249</v>
      </c>
      <c r="E55" s="96">
        <v>4</v>
      </c>
      <c r="F55" s="97">
        <v>41875</v>
      </c>
      <c r="G55" s="98" t="s">
        <v>246</v>
      </c>
      <c r="H55" s="95">
        <v>4153956788</v>
      </c>
      <c r="I55" s="98" t="s">
        <v>247</v>
      </c>
      <c r="J55" s="97">
        <v>45180</v>
      </c>
      <c r="K55" s="98" t="s">
        <v>250</v>
      </c>
      <c r="L55" s="95" t="s">
        <v>194</v>
      </c>
      <c r="M55" s="98" t="s">
        <v>127</v>
      </c>
      <c r="N55" s="93" t="s">
        <v>41</v>
      </c>
      <c r="O55" s="99"/>
    </row>
    <row r="56" spans="1:46" ht="17.25" customHeight="1" x14ac:dyDescent="0.25">
      <c r="A56" s="93">
        <v>48</v>
      </c>
      <c r="B56" s="100" t="s">
        <v>49</v>
      </c>
      <c r="C56" s="107" t="s">
        <v>251</v>
      </c>
      <c r="D56" s="107" t="s">
        <v>252</v>
      </c>
      <c r="E56" s="93">
        <v>1</v>
      </c>
      <c r="F56" s="102">
        <v>42388</v>
      </c>
      <c r="G56" s="103" t="s">
        <v>253</v>
      </c>
      <c r="H56" s="101">
        <v>4087977701</v>
      </c>
      <c r="I56" s="103" t="s">
        <v>254</v>
      </c>
      <c r="J56" s="102">
        <v>45033</v>
      </c>
      <c r="K56" s="106" t="s">
        <v>118</v>
      </c>
      <c r="L56" s="107" t="s">
        <v>255</v>
      </c>
      <c r="M56" s="103" t="s">
        <v>256</v>
      </c>
      <c r="N56" s="93" t="s">
        <v>41</v>
      </c>
      <c r="O56" s="104"/>
    </row>
    <row r="57" spans="1:46" ht="17.25" customHeight="1" x14ac:dyDescent="0.25">
      <c r="A57" s="93">
        <v>49</v>
      </c>
      <c r="B57" s="100" t="s">
        <v>89</v>
      </c>
      <c r="C57" s="107" t="s">
        <v>251</v>
      </c>
      <c r="D57" s="107" t="s">
        <v>257</v>
      </c>
      <c r="E57" s="93">
        <v>5</v>
      </c>
      <c r="F57" s="102">
        <v>40961</v>
      </c>
      <c r="G57" s="103" t="s">
        <v>258</v>
      </c>
      <c r="H57" s="101">
        <v>4087977701</v>
      </c>
      <c r="I57" s="103" t="s">
        <v>254</v>
      </c>
      <c r="J57" s="102">
        <v>44791</v>
      </c>
      <c r="K57" s="106" t="s">
        <v>259</v>
      </c>
      <c r="L57" s="107" t="s">
        <v>120</v>
      </c>
      <c r="M57" s="103" t="s">
        <v>256</v>
      </c>
      <c r="N57" s="93" t="s">
        <v>41</v>
      </c>
      <c r="O57" s="104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41"/>
      <c r="AM57" s="241"/>
      <c r="AN57" s="241"/>
      <c r="AO57" s="241"/>
      <c r="AP57" s="241"/>
      <c r="AQ57" s="241"/>
      <c r="AR57" s="241"/>
      <c r="AS57" s="241"/>
      <c r="AT57" s="241"/>
    </row>
    <row r="58" spans="1:46" ht="17.25" customHeight="1" x14ac:dyDescent="0.25">
      <c r="A58" s="93">
        <v>50</v>
      </c>
      <c r="B58" s="100" t="s">
        <v>49</v>
      </c>
      <c r="C58" s="101" t="s">
        <v>260</v>
      </c>
      <c r="D58" s="101" t="s">
        <v>261</v>
      </c>
      <c r="E58" s="93">
        <v>5</v>
      </c>
      <c r="F58" s="102">
        <v>41451</v>
      </c>
      <c r="G58" s="103" t="s">
        <v>262</v>
      </c>
      <c r="H58" s="101">
        <v>5106820365</v>
      </c>
      <c r="I58" s="103" t="s">
        <v>263</v>
      </c>
      <c r="J58" s="102">
        <v>45078</v>
      </c>
      <c r="K58" s="106" t="s">
        <v>118</v>
      </c>
      <c r="L58" s="107" t="s">
        <v>194</v>
      </c>
      <c r="M58" s="103"/>
      <c r="N58" s="93" t="s">
        <v>41</v>
      </c>
      <c r="O58" s="104"/>
    </row>
    <row r="59" spans="1:46" ht="17.25" customHeight="1" x14ac:dyDescent="0.25">
      <c r="A59" s="93">
        <v>51</v>
      </c>
      <c r="B59" s="100" t="s">
        <v>89</v>
      </c>
      <c r="C59" s="101" t="s">
        <v>260</v>
      </c>
      <c r="D59" s="101" t="s">
        <v>261</v>
      </c>
      <c r="E59" s="93">
        <v>5</v>
      </c>
      <c r="F59" s="102">
        <v>41451</v>
      </c>
      <c r="G59" s="103" t="s">
        <v>262</v>
      </c>
      <c r="H59" s="101">
        <v>5106820365</v>
      </c>
      <c r="I59" s="103" t="s">
        <v>263</v>
      </c>
      <c r="J59" s="102">
        <v>45096</v>
      </c>
      <c r="K59" s="106" t="s">
        <v>248</v>
      </c>
      <c r="L59" s="107" t="s">
        <v>194</v>
      </c>
      <c r="M59" s="103" t="s">
        <v>220</v>
      </c>
      <c r="N59" s="93" t="s">
        <v>41</v>
      </c>
      <c r="O59" s="104"/>
    </row>
    <row r="60" spans="1:46" ht="17.25" customHeight="1" x14ac:dyDescent="0.25">
      <c r="A60" s="93">
        <v>52</v>
      </c>
      <c r="B60" s="100" t="s">
        <v>49</v>
      </c>
      <c r="C60" s="95" t="s">
        <v>264</v>
      </c>
      <c r="D60" s="95" t="s">
        <v>265</v>
      </c>
      <c r="E60" s="96">
        <v>4</v>
      </c>
      <c r="F60" s="97">
        <v>41881</v>
      </c>
      <c r="G60" s="98" t="s">
        <v>266</v>
      </c>
      <c r="H60" s="95">
        <v>5103587899</v>
      </c>
      <c r="I60" s="98" t="s">
        <v>267</v>
      </c>
      <c r="J60" s="97">
        <v>45159</v>
      </c>
      <c r="K60" s="98" t="s">
        <v>211</v>
      </c>
      <c r="L60" s="95" t="s">
        <v>268</v>
      </c>
      <c r="M60" s="98"/>
      <c r="N60" s="93" t="s">
        <v>41</v>
      </c>
      <c r="O60" s="99"/>
    </row>
    <row r="61" spans="1:46" ht="17.25" customHeight="1" x14ac:dyDescent="0.25">
      <c r="A61" s="93">
        <v>53</v>
      </c>
      <c r="B61" s="100" t="s">
        <v>89</v>
      </c>
      <c r="C61" s="95" t="s">
        <v>264</v>
      </c>
      <c r="D61" s="95" t="s">
        <v>265</v>
      </c>
      <c r="E61" s="96">
        <v>4</v>
      </c>
      <c r="F61" s="97">
        <v>41881</v>
      </c>
      <c r="G61" s="98" t="s">
        <v>266</v>
      </c>
      <c r="H61" s="95">
        <v>5103587899</v>
      </c>
      <c r="I61" s="98" t="s">
        <v>267</v>
      </c>
      <c r="J61" s="97">
        <v>45159</v>
      </c>
      <c r="K61" s="98" t="s">
        <v>112</v>
      </c>
      <c r="L61" s="95" t="s">
        <v>144</v>
      </c>
      <c r="M61" s="98"/>
      <c r="N61" s="93" t="s">
        <v>41</v>
      </c>
      <c r="O61" s="99"/>
    </row>
    <row r="62" spans="1:46" ht="17.25" customHeight="1" x14ac:dyDescent="0.25">
      <c r="A62" s="93">
        <v>54</v>
      </c>
      <c r="B62" s="94" t="s">
        <v>49</v>
      </c>
      <c r="C62" s="95" t="s">
        <v>269</v>
      </c>
      <c r="D62" s="95" t="s">
        <v>270</v>
      </c>
      <c r="E62" s="96" t="s">
        <v>147</v>
      </c>
      <c r="F62" s="97">
        <v>43274</v>
      </c>
      <c r="G62" s="98" t="s">
        <v>271</v>
      </c>
      <c r="H62" s="95">
        <v>2544004292</v>
      </c>
      <c r="I62" s="98" t="s">
        <v>272</v>
      </c>
      <c r="J62" s="97">
        <v>45185</v>
      </c>
      <c r="K62" s="98" t="s">
        <v>153</v>
      </c>
      <c r="L62" s="95" t="s">
        <v>126</v>
      </c>
      <c r="M62" s="98"/>
      <c r="N62" s="93" t="s">
        <v>41</v>
      </c>
      <c r="O62" s="99"/>
    </row>
    <row r="63" spans="1:46" ht="17.25" customHeight="1" x14ac:dyDescent="0.25">
      <c r="A63" s="93">
        <v>55</v>
      </c>
      <c r="B63" s="100" t="s">
        <v>49</v>
      </c>
      <c r="C63" s="101" t="s">
        <v>273</v>
      </c>
      <c r="D63" s="101" t="s">
        <v>274</v>
      </c>
      <c r="E63" s="93">
        <v>3</v>
      </c>
      <c r="F63" s="102">
        <v>42182</v>
      </c>
      <c r="G63" s="103" t="s">
        <v>275</v>
      </c>
      <c r="H63" s="101">
        <v>4085948203</v>
      </c>
      <c r="I63" s="103" t="s">
        <v>276</v>
      </c>
      <c r="J63" s="102">
        <v>45215</v>
      </c>
      <c r="K63" s="106" t="s">
        <v>211</v>
      </c>
      <c r="L63" s="107" t="s">
        <v>111</v>
      </c>
      <c r="M63" s="103"/>
      <c r="N63" s="93" t="s">
        <v>41</v>
      </c>
      <c r="O63" s="104"/>
    </row>
    <row r="64" spans="1:46" ht="17.25" customHeight="1" x14ac:dyDescent="0.35">
      <c r="A64" s="93">
        <v>129</v>
      </c>
      <c r="B64" s="126" t="s">
        <v>49</v>
      </c>
      <c r="C64" s="127" t="s">
        <v>437</v>
      </c>
      <c r="D64" s="127" t="s">
        <v>438</v>
      </c>
      <c r="E64" s="128">
        <v>2</v>
      </c>
      <c r="F64" s="129">
        <v>42279</v>
      </c>
      <c r="G64" s="130" t="s">
        <v>439</v>
      </c>
      <c r="H64" s="127">
        <v>4256334423</v>
      </c>
      <c r="I64" s="130" t="s">
        <v>440</v>
      </c>
      <c r="J64" s="123">
        <v>45231</v>
      </c>
      <c r="K64" s="124" t="s">
        <v>181</v>
      </c>
      <c r="L64" s="125" t="s">
        <v>441</v>
      </c>
      <c r="M64" s="134"/>
      <c r="N64" s="128" t="s">
        <v>82</v>
      </c>
      <c r="O64" s="135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/>
      <c r="AS64" s="238"/>
      <c r="AT64" s="238"/>
    </row>
    <row r="65" spans="1:46" ht="17.25" customHeight="1" x14ac:dyDescent="0.25">
      <c r="A65" s="93">
        <v>126</v>
      </c>
      <c r="B65" s="126" t="s">
        <v>49</v>
      </c>
      <c r="C65" s="127" t="s">
        <v>428</v>
      </c>
      <c r="D65" s="127" t="s">
        <v>429</v>
      </c>
      <c r="E65" s="128">
        <v>5</v>
      </c>
      <c r="F65" s="129">
        <v>41572</v>
      </c>
      <c r="G65" s="130" t="s">
        <v>430</v>
      </c>
      <c r="H65" s="130">
        <v>6503838201</v>
      </c>
      <c r="I65" s="130" t="s">
        <v>431</v>
      </c>
      <c r="J65" s="123">
        <v>45232</v>
      </c>
      <c r="K65" s="124" t="s">
        <v>365</v>
      </c>
      <c r="L65" s="125" t="s">
        <v>432</v>
      </c>
      <c r="M65" s="131"/>
      <c r="N65" s="128" t="s">
        <v>82</v>
      </c>
      <c r="O65" s="132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</row>
    <row r="66" spans="1:46" ht="17.25" customHeight="1" x14ac:dyDescent="0.25">
      <c r="A66" s="93">
        <v>56</v>
      </c>
      <c r="B66" s="108" t="s">
        <v>49</v>
      </c>
      <c r="C66" s="109" t="s">
        <v>277</v>
      </c>
      <c r="D66" s="109" t="s">
        <v>278</v>
      </c>
      <c r="E66" s="110" t="s">
        <v>178</v>
      </c>
      <c r="F66" s="111">
        <v>43461</v>
      </c>
      <c r="G66" s="112" t="s">
        <v>279</v>
      </c>
      <c r="H66" s="109">
        <v>4086803486</v>
      </c>
      <c r="I66" s="112" t="s">
        <v>280</v>
      </c>
      <c r="J66" s="111">
        <v>45174</v>
      </c>
      <c r="K66" s="112" t="s">
        <v>153</v>
      </c>
      <c r="L66" s="109" t="s">
        <v>175</v>
      </c>
      <c r="M66" s="112" t="s">
        <v>281</v>
      </c>
      <c r="N66" s="113" t="s">
        <v>35</v>
      </c>
      <c r="O66" s="114">
        <v>45231</v>
      </c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</row>
    <row r="67" spans="1:46" ht="17.25" customHeight="1" x14ac:dyDescent="0.25">
      <c r="A67" s="93">
        <v>57</v>
      </c>
      <c r="B67" s="100" t="s">
        <v>49</v>
      </c>
      <c r="C67" s="95" t="s">
        <v>282</v>
      </c>
      <c r="D67" s="95" t="s">
        <v>283</v>
      </c>
      <c r="E67" s="96">
        <v>1</v>
      </c>
      <c r="F67" s="97">
        <v>42177</v>
      </c>
      <c r="G67" s="98" t="s">
        <v>284</v>
      </c>
      <c r="H67" s="95">
        <v>4436532199</v>
      </c>
      <c r="I67" s="98" t="s">
        <v>285</v>
      </c>
      <c r="J67" s="97">
        <v>45154</v>
      </c>
      <c r="K67" s="98" t="s">
        <v>110</v>
      </c>
      <c r="L67" s="95" t="s">
        <v>120</v>
      </c>
      <c r="M67" s="98"/>
      <c r="N67" s="93" t="s">
        <v>41</v>
      </c>
      <c r="O67" s="99"/>
    </row>
    <row r="68" spans="1:46" ht="17.25" customHeight="1" x14ac:dyDescent="0.25">
      <c r="A68" s="93">
        <v>58</v>
      </c>
      <c r="B68" s="100" t="s">
        <v>89</v>
      </c>
      <c r="C68" s="95" t="s">
        <v>282</v>
      </c>
      <c r="D68" s="95" t="s">
        <v>283</v>
      </c>
      <c r="E68" s="96">
        <v>1</v>
      </c>
      <c r="F68" s="97">
        <v>42177</v>
      </c>
      <c r="G68" s="98" t="s">
        <v>284</v>
      </c>
      <c r="H68" s="95">
        <v>4436532199</v>
      </c>
      <c r="I68" s="98" t="s">
        <v>285</v>
      </c>
      <c r="J68" s="97">
        <v>45154</v>
      </c>
      <c r="K68" s="98" t="s">
        <v>112</v>
      </c>
      <c r="L68" s="95" t="s">
        <v>286</v>
      </c>
      <c r="M68" s="98"/>
      <c r="N68" s="93" t="s">
        <v>41</v>
      </c>
      <c r="O68" s="99"/>
    </row>
    <row r="69" spans="1:46" ht="17.25" customHeight="1" x14ac:dyDescent="0.25">
      <c r="A69" s="93">
        <v>59</v>
      </c>
      <c r="B69" s="94" t="s">
        <v>49</v>
      </c>
      <c r="C69" s="95" t="s">
        <v>287</v>
      </c>
      <c r="D69" s="95" t="s">
        <v>288</v>
      </c>
      <c r="E69" s="96">
        <v>1</v>
      </c>
      <c r="F69" s="97">
        <v>42977</v>
      </c>
      <c r="G69" s="98" t="s">
        <v>289</v>
      </c>
      <c r="H69" s="95">
        <v>8173712065</v>
      </c>
      <c r="I69" s="98" t="s">
        <v>290</v>
      </c>
      <c r="J69" s="97">
        <v>45174</v>
      </c>
      <c r="K69" s="98" t="s">
        <v>291</v>
      </c>
      <c r="L69" s="95" t="s">
        <v>268</v>
      </c>
      <c r="M69" s="98"/>
      <c r="N69" s="93" t="s">
        <v>41</v>
      </c>
      <c r="O69" s="99"/>
    </row>
    <row r="70" spans="1:46" ht="17.25" customHeight="1" x14ac:dyDescent="0.25">
      <c r="A70" s="93">
        <v>60</v>
      </c>
      <c r="B70" s="100" t="s">
        <v>49</v>
      </c>
      <c r="C70" s="101" t="s">
        <v>287</v>
      </c>
      <c r="D70" s="101" t="s">
        <v>292</v>
      </c>
      <c r="E70" s="93" t="s">
        <v>147</v>
      </c>
      <c r="F70" s="102">
        <v>42867</v>
      </c>
      <c r="G70" s="103" t="s">
        <v>293</v>
      </c>
      <c r="H70" s="101">
        <v>4086432868</v>
      </c>
      <c r="I70" s="103" t="s">
        <v>294</v>
      </c>
      <c r="J70" s="102">
        <v>45154</v>
      </c>
      <c r="K70" s="103" t="s">
        <v>168</v>
      </c>
      <c r="L70" s="101" t="s">
        <v>144</v>
      </c>
      <c r="M70" s="103" t="s">
        <v>295</v>
      </c>
      <c r="N70" s="93" t="s">
        <v>41</v>
      </c>
      <c r="O70" s="104"/>
    </row>
    <row r="71" spans="1:46" ht="17.25" customHeight="1" x14ac:dyDescent="0.25">
      <c r="A71" s="93">
        <v>61</v>
      </c>
      <c r="B71" s="100" t="s">
        <v>89</v>
      </c>
      <c r="C71" s="101" t="s">
        <v>287</v>
      </c>
      <c r="D71" s="101" t="s">
        <v>292</v>
      </c>
      <c r="E71" s="93" t="s">
        <v>147</v>
      </c>
      <c r="F71" s="102">
        <v>42867</v>
      </c>
      <c r="G71" s="103" t="s">
        <v>293</v>
      </c>
      <c r="H71" s="101">
        <v>4086432868</v>
      </c>
      <c r="I71" s="103" t="s">
        <v>294</v>
      </c>
      <c r="J71" s="102">
        <v>45154</v>
      </c>
      <c r="K71" s="103" t="s">
        <v>136</v>
      </c>
      <c r="L71" s="101" t="s">
        <v>187</v>
      </c>
      <c r="M71" s="103" t="s">
        <v>295</v>
      </c>
      <c r="N71" s="93" t="s">
        <v>41</v>
      </c>
      <c r="O71" s="104"/>
    </row>
    <row r="72" spans="1:46" ht="17.25" customHeight="1" x14ac:dyDescent="0.25">
      <c r="A72" s="93">
        <v>62</v>
      </c>
      <c r="B72" s="100" t="s">
        <v>49</v>
      </c>
      <c r="C72" s="107" t="s">
        <v>296</v>
      </c>
      <c r="D72" s="101" t="s">
        <v>297</v>
      </c>
      <c r="E72" s="93">
        <v>1</v>
      </c>
      <c r="F72" s="102">
        <v>42568</v>
      </c>
      <c r="G72" s="106" t="s">
        <v>298</v>
      </c>
      <c r="H72" s="107" t="s">
        <v>299</v>
      </c>
      <c r="I72" s="106" t="s">
        <v>300</v>
      </c>
      <c r="J72" s="102">
        <v>45110</v>
      </c>
      <c r="K72" s="106" t="s">
        <v>168</v>
      </c>
      <c r="L72" s="107" t="s">
        <v>223</v>
      </c>
      <c r="M72" s="103"/>
      <c r="N72" s="93" t="s">
        <v>41</v>
      </c>
      <c r="O72" s="104"/>
    </row>
    <row r="73" spans="1:46" ht="17.25" customHeight="1" x14ac:dyDescent="0.25">
      <c r="A73" s="93">
        <v>63</v>
      </c>
      <c r="B73" s="100" t="s">
        <v>89</v>
      </c>
      <c r="C73" s="107" t="s">
        <v>296</v>
      </c>
      <c r="D73" s="101" t="s">
        <v>297</v>
      </c>
      <c r="E73" s="93">
        <v>1</v>
      </c>
      <c r="F73" s="102">
        <v>42568</v>
      </c>
      <c r="G73" s="106" t="s">
        <v>301</v>
      </c>
      <c r="H73" s="107" t="s">
        <v>302</v>
      </c>
      <c r="I73" s="106" t="s">
        <v>300</v>
      </c>
      <c r="J73" s="102">
        <v>45110</v>
      </c>
      <c r="K73" s="106" t="s">
        <v>160</v>
      </c>
      <c r="L73" s="107" t="s">
        <v>126</v>
      </c>
      <c r="M73" s="103" t="s">
        <v>220</v>
      </c>
      <c r="N73" s="93" t="s">
        <v>41</v>
      </c>
      <c r="O73" s="104"/>
    </row>
    <row r="74" spans="1:46" ht="17.25" customHeight="1" x14ac:dyDescent="0.25">
      <c r="A74" s="93">
        <v>64</v>
      </c>
      <c r="B74" s="100" t="s">
        <v>49</v>
      </c>
      <c r="C74" s="107" t="s">
        <v>296</v>
      </c>
      <c r="D74" s="107" t="s">
        <v>303</v>
      </c>
      <c r="E74" s="93">
        <v>4</v>
      </c>
      <c r="F74" s="102">
        <v>41300</v>
      </c>
      <c r="G74" s="106" t="s">
        <v>298</v>
      </c>
      <c r="H74" s="107" t="s">
        <v>299</v>
      </c>
      <c r="I74" s="106" t="s">
        <v>300</v>
      </c>
      <c r="J74" s="102">
        <v>45110</v>
      </c>
      <c r="K74" s="106" t="s">
        <v>125</v>
      </c>
      <c r="L74" s="107" t="s">
        <v>129</v>
      </c>
      <c r="M74" s="103"/>
      <c r="N74" s="93" t="s">
        <v>41</v>
      </c>
      <c r="O74" s="104"/>
    </row>
    <row r="75" spans="1:46" ht="17.25" customHeight="1" x14ac:dyDescent="0.25">
      <c r="A75" s="93">
        <v>65</v>
      </c>
      <c r="B75" s="100" t="s">
        <v>89</v>
      </c>
      <c r="C75" s="107" t="s">
        <v>296</v>
      </c>
      <c r="D75" s="107" t="s">
        <v>303</v>
      </c>
      <c r="E75" s="93">
        <v>4</v>
      </c>
      <c r="F75" s="102">
        <v>41301</v>
      </c>
      <c r="G75" s="106" t="s">
        <v>301</v>
      </c>
      <c r="H75" s="107" t="s">
        <v>302</v>
      </c>
      <c r="I75" s="106" t="s">
        <v>300</v>
      </c>
      <c r="J75" s="102">
        <v>45110</v>
      </c>
      <c r="K75" s="106" t="s">
        <v>128</v>
      </c>
      <c r="L75" s="107" t="s">
        <v>137</v>
      </c>
      <c r="M75" s="103" t="s">
        <v>220</v>
      </c>
      <c r="N75" s="93" t="s">
        <v>41</v>
      </c>
      <c r="O75" s="104"/>
    </row>
    <row r="76" spans="1:46" ht="17.25" customHeight="1" x14ac:dyDescent="0.25">
      <c r="A76" s="93">
        <v>66</v>
      </c>
      <c r="B76" s="100" t="s">
        <v>49</v>
      </c>
      <c r="C76" s="95" t="s">
        <v>304</v>
      </c>
      <c r="D76" s="95" t="s">
        <v>305</v>
      </c>
      <c r="E76" s="96">
        <v>6</v>
      </c>
      <c r="F76" s="97">
        <v>41061</v>
      </c>
      <c r="G76" s="98" t="s">
        <v>306</v>
      </c>
      <c r="H76" s="95">
        <v>4088139160</v>
      </c>
      <c r="I76" s="98" t="s">
        <v>307</v>
      </c>
      <c r="J76" s="97">
        <v>45156</v>
      </c>
      <c r="K76" s="98" t="s">
        <v>308</v>
      </c>
      <c r="L76" s="95" t="s">
        <v>137</v>
      </c>
      <c r="M76" s="98"/>
      <c r="N76" s="93" t="s">
        <v>41</v>
      </c>
      <c r="O76" s="99"/>
    </row>
    <row r="77" spans="1:46" ht="17.25" customHeight="1" x14ac:dyDescent="0.25">
      <c r="A77" s="93">
        <v>67</v>
      </c>
      <c r="B77" s="100" t="s">
        <v>89</v>
      </c>
      <c r="C77" s="95" t="s">
        <v>304</v>
      </c>
      <c r="D77" s="95" t="s">
        <v>305</v>
      </c>
      <c r="E77" s="96">
        <v>6</v>
      </c>
      <c r="F77" s="97">
        <v>41061</v>
      </c>
      <c r="G77" s="98" t="s">
        <v>306</v>
      </c>
      <c r="H77" s="95">
        <v>4088139160</v>
      </c>
      <c r="I77" s="98" t="s">
        <v>307</v>
      </c>
      <c r="J77" s="97">
        <v>45156</v>
      </c>
      <c r="K77" s="98" t="s">
        <v>248</v>
      </c>
      <c r="L77" s="95" t="s">
        <v>137</v>
      </c>
      <c r="M77" s="98"/>
      <c r="N77" s="93" t="s">
        <v>41</v>
      </c>
      <c r="O77" s="99"/>
    </row>
    <row r="78" spans="1:46" ht="17.25" customHeight="1" x14ac:dyDescent="0.25">
      <c r="A78" s="93">
        <v>68</v>
      </c>
      <c r="B78" s="94" t="s">
        <v>49</v>
      </c>
      <c r="C78" s="95" t="s">
        <v>309</v>
      </c>
      <c r="D78" s="95" t="s">
        <v>310</v>
      </c>
      <c r="E78" s="96">
        <v>2</v>
      </c>
      <c r="F78" s="97">
        <v>42348</v>
      </c>
      <c r="G78" s="98" t="s">
        <v>311</v>
      </c>
      <c r="H78" s="95">
        <v>4157228574</v>
      </c>
      <c r="I78" s="98" t="s">
        <v>312</v>
      </c>
      <c r="J78" s="97">
        <v>45170</v>
      </c>
      <c r="K78" s="98" t="s">
        <v>118</v>
      </c>
      <c r="L78" s="95" t="s">
        <v>268</v>
      </c>
      <c r="M78" s="98"/>
      <c r="N78" s="93" t="s">
        <v>41</v>
      </c>
      <c r="O78" s="99"/>
    </row>
    <row r="79" spans="1:46" ht="17.25" customHeight="1" x14ac:dyDescent="0.25">
      <c r="A79" s="93">
        <v>69</v>
      </c>
      <c r="B79" s="94" t="s">
        <v>89</v>
      </c>
      <c r="C79" s="95" t="s">
        <v>309</v>
      </c>
      <c r="D79" s="95" t="s">
        <v>310</v>
      </c>
      <c r="E79" s="96">
        <v>2</v>
      </c>
      <c r="F79" s="97">
        <v>42348</v>
      </c>
      <c r="G79" s="98" t="s">
        <v>311</v>
      </c>
      <c r="H79" s="95">
        <v>4157228574</v>
      </c>
      <c r="I79" s="98" t="s">
        <v>312</v>
      </c>
      <c r="J79" s="97">
        <v>45170</v>
      </c>
      <c r="K79" s="98" t="s">
        <v>136</v>
      </c>
      <c r="L79" s="95" t="s">
        <v>113</v>
      </c>
      <c r="M79" s="98"/>
      <c r="N79" s="93" t="s">
        <v>41</v>
      </c>
      <c r="O79" s="99"/>
    </row>
    <row r="80" spans="1:46" ht="17.25" customHeight="1" x14ac:dyDescent="0.25">
      <c r="A80" s="93">
        <v>70</v>
      </c>
      <c r="B80" s="100" t="s">
        <v>89</v>
      </c>
      <c r="C80" s="95" t="s">
        <v>309</v>
      </c>
      <c r="D80" s="95" t="s">
        <v>313</v>
      </c>
      <c r="E80" s="96">
        <v>1</v>
      </c>
      <c r="F80" s="97">
        <v>42962</v>
      </c>
      <c r="G80" s="98" t="s">
        <v>314</v>
      </c>
      <c r="H80" s="95">
        <v>4087189860</v>
      </c>
      <c r="I80" s="98" t="s">
        <v>315</v>
      </c>
      <c r="J80" s="97">
        <v>45156</v>
      </c>
      <c r="K80" s="98" t="s">
        <v>119</v>
      </c>
      <c r="L80" s="95" t="s">
        <v>175</v>
      </c>
      <c r="M80" s="98"/>
      <c r="N80" s="93" t="s">
        <v>41</v>
      </c>
      <c r="O80" s="99"/>
    </row>
    <row r="81" spans="1:15" ht="17.25" customHeight="1" x14ac:dyDescent="0.25">
      <c r="A81" s="93">
        <v>71</v>
      </c>
      <c r="B81" s="100" t="s">
        <v>49</v>
      </c>
      <c r="C81" s="101" t="s">
        <v>309</v>
      </c>
      <c r="D81" s="101" t="s">
        <v>316</v>
      </c>
      <c r="E81" s="93">
        <v>1</v>
      </c>
      <c r="F81" s="102">
        <v>42086</v>
      </c>
      <c r="G81" s="103" t="s">
        <v>317</v>
      </c>
      <c r="H81" s="101">
        <v>5109848496</v>
      </c>
      <c r="I81" s="103" t="s">
        <v>318</v>
      </c>
      <c r="J81" s="102">
        <v>45174</v>
      </c>
      <c r="K81" s="106" t="s">
        <v>222</v>
      </c>
      <c r="L81" s="107" t="s">
        <v>204</v>
      </c>
      <c r="M81" s="103" t="s">
        <v>319</v>
      </c>
      <c r="N81" s="93" t="s">
        <v>41</v>
      </c>
      <c r="O81" s="104"/>
    </row>
    <row r="82" spans="1:15" ht="17.25" customHeight="1" x14ac:dyDescent="0.25">
      <c r="A82" s="93">
        <v>72</v>
      </c>
      <c r="B82" s="100" t="s">
        <v>89</v>
      </c>
      <c r="C82" s="101" t="s">
        <v>309</v>
      </c>
      <c r="D82" s="101" t="s">
        <v>316</v>
      </c>
      <c r="E82" s="93">
        <v>1</v>
      </c>
      <c r="F82" s="102">
        <v>42086</v>
      </c>
      <c r="G82" s="103" t="s">
        <v>317</v>
      </c>
      <c r="H82" s="101">
        <v>5109848496</v>
      </c>
      <c r="I82" s="103" t="s">
        <v>318</v>
      </c>
      <c r="J82" s="102">
        <v>45174</v>
      </c>
      <c r="K82" s="106" t="s">
        <v>248</v>
      </c>
      <c r="L82" s="107" t="s">
        <v>137</v>
      </c>
      <c r="M82" s="103" t="s">
        <v>319</v>
      </c>
      <c r="N82" s="93" t="s">
        <v>41</v>
      </c>
      <c r="O82" s="104"/>
    </row>
    <row r="83" spans="1:15" ht="17.25" customHeight="1" x14ac:dyDescent="0.25">
      <c r="A83" s="93">
        <v>73</v>
      </c>
      <c r="B83" s="100" t="s">
        <v>49</v>
      </c>
      <c r="C83" s="95" t="s">
        <v>320</v>
      </c>
      <c r="D83" s="95" t="s">
        <v>313</v>
      </c>
      <c r="E83" s="96">
        <v>1</v>
      </c>
      <c r="F83" s="97">
        <v>42962</v>
      </c>
      <c r="G83" s="98" t="s">
        <v>314</v>
      </c>
      <c r="H83" s="95">
        <v>4087189860</v>
      </c>
      <c r="I83" s="98" t="s">
        <v>315</v>
      </c>
      <c r="J83" s="97">
        <v>45156</v>
      </c>
      <c r="K83" s="98" t="s">
        <v>321</v>
      </c>
      <c r="L83" s="95" t="s">
        <v>137</v>
      </c>
      <c r="M83" s="98"/>
      <c r="N83" s="93" t="s">
        <v>41</v>
      </c>
      <c r="O83" s="99"/>
    </row>
    <row r="84" spans="1:15" ht="17.25" customHeight="1" x14ac:dyDescent="0.25">
      <c r="A84" s="93">
        <v>74</v>
      </c>
      <c r="B84" s="100" t="s">
        <v>49</v>
      </c>
      <c r="C84" s="101" t="s">
        <v>322</v>
      </c>
      <c r="D84" s="101" t="s">
        <v>323</v>
      </c>
      <c r="E84" s="93">
        <v>5</v>
      </c>
      <c r="F84" s="102">
        <v>41349</v>
      </c>
      <c r="G84" s="103" t="s">
        <v>324</v>
      </c>
      <c r="H84" s="101" t="s">
        <v>325</v>
      </c>
      <c r="I84" s="103" t="s">
        <v>326</v>
      </c>
      <c r="J84" s="102">
        <v>45103</v>
      </c>
      <c r="K84" s="106" t="s">
        <v>222</v>
      </c>
      <c r="L84" s="107" t="s">
        <v>113</v>
      </c>
      <c r="M84" s="103"/>
      <c r="N84" s="93" t="s">
        <v>41</v>
      </c>
      <c r="O84" s="104"/>
    </row>
    <row r="85" spans="1:15" ht="17.25" customHeight="1" x14ac:dyDescent="0.25">
      <c r="A85" s="93">
        <v>75</v>
      </c>
      <c r="B85" s="100" t="s">
        <v>89</v>
      </c>
      <c r="C85" s="101" t="s">
        <v>322</v>
      </c>
      <c r="D85" s="101" t="s">
        <v>323</v>
      </c>
      <c r="E85" s="93">
        <v>5</v>
      </c>
      <c r="F85" s="102">
        <v>41349</v>
      </c>
      <c r="G85" s="103" t="s">
        <v>324</v>
      </c>
      <c r="H85" s="101" t="s">
        <v>325</v>
      </c>
      <c r="I85" s="103" t="s">
        <v>326</v>
      </c>
      <c r="J85" s="102">
        <v>45103</v>
      </c>
      <c r="K85" s="106" t="s">
        <v>250</v>
      </c>
      <c r="L85" s="107" t="s">
        <v>137</v>
      </c>
      <c r="M85" s="103" t="s">
        <v>220</v>
      </c>
      <c r="N85" s="93" t="s">
        <v>41</v>
      </c>
      <c r="O85" s="104"/>
    </row>
    <row r="86" spans="1:15" ht="17.25" customHeight="1" x14ac:dyDescent="0.25">
      <c r="A86" s="93">
        <v>76</v>
      </c>
      <c r="B86" s="100" t="s">
        <v>49</v>
      </c>
      <c r="C86" s="101" t="s">
        <v>322</v>
      </c>
      <c r="D86" s="101" t="s">
        <v>270</v>
      </c>
      <c r="E86" s="93" t="s">
        <v>147</v>
      </c>
      <c r="F86" s="102">
        <v>42707</v>
      </c>
      <c r="G86" s="103" t="s">
        <v>327</v>
      </c>
      <c r="H86" s="101">
        <v>5108969910</v>
      </c>
      <c r="I86" s="103" t="s">
        <v>328</v>
      </c>
      <c r="J86" s="102">
        <v>44805</v>
      </c>
      <c r="K86" s="106" t="s">
        <v>134</v>
      </c>
      <c r="L86" s="107" t="s">
        <v>329</v>
      </c>
      <c r="M86" s="103"/>
      <c r="N86" s="93" t="s">
        <v>41</v>
      </c>
      <c r="O86" s="104"/>
    </row>
    <row r="87" spans="1:15" ht="17.25" customHeight="1" x14ac:dyDescent="0.25">
      <c r="A87" s="93">
        <v>77</v>
      </c>
      <c r="B87" s="100" t="s">
        <v>89</v>
      </c>
      <c r="C87" s="101" t="s">
        <v>322</v>
      </c>
      <c r="D87" s="101" t="s">
        <v>270</v>
      </c>
      <c r="E87" s="93" t="s">
        <v>147</v>
      </c>
      <c r="F87" s="102">
        <v>42707</v>
      </c>
      <c r="G87" s="103" t="s">
        <v>327</v>
      </c>
      <c r="H87" s="101">
        <v>5108969910</v>
      </c>
      <c r="I87" s="103" t="s">
        <v>328</v>
      </c>
      <c r="J87" s="102">
        <v>44805</v>
      </c>
      <c r="K87" s="106" t="s">
        <v>136</v>
      </c>
      <c r="L87" s="107" t="s">
        <v>113</v>
      </c>
      <c r="M87" s="103"/>
      <c r="N87" s="93" t="s">
        <v>41</v>
      </c>
      <c r="O87" s="104"/>
    </row>
    <row r="88" spans="1:15" ht="17.25" customHeight="1" x14ac:dyDescent="0.25">
      <c r="A88" s="93">
        <v>78</v>
      </c>
      <c r="B88" s="100" t="s">
        <v>49</v>
      </c>
      <c r="C88" s="101" t="s">
        <v>322</v>
      </c>
      <c r="D88" s="101" t="s">
        <v>330</v>
      </c>
      <c r="E88" s="93">
        <v>2</v>
      </c>
      <c r="F88" s="102">
        <v>42588</v>
      </c>
      <c r="G88" s="103" t="s">
        <v>331</v>
      </c>
      <c r="H88" s="101">
        <v>6692068365</v>
      </c>
      <c r="I88" s="103" t="s">
        <v>332</v>
      </c>
      <c r="J88" s="102">
        <v>45170</v>
      </c>
      <c r="K88" s="106" t="s">
        <v>321</v>
      </c>
      <c r="L88" s="107" t="s">
        <v>333</v>
      </c>
      <c r="M88" s="103" t="s">
        <v>334</v>
      </c>
      <c r="N88" s="93" t="s">
        <v>41</v>
      </c>
      <c r="O88" s="104"/>
    </row>
    <row r="89" spans="1:15" ht="17.25" customHeight="1" x14ac:dyDescent="0.25">
      <c r="A89" s="93">
        <v>79</v>
      </c>
      <c r="B89" s="100" t="s">
        <v>49</v>
      </c>
      <c r="C89" s="95" t="s">
        <v>322</v>
      </c>
      <c r="D89" s="95" t="s">
        <v>335</v>
      </c>
      <c r="E89" s="96">
        <v>1</v>
      </c>
      <c r="F89" s="97">
        <v>42122</v>
      </c>
      <c r="G89" s="98" t="s">
        <v>336</v>
      </c>
      <c r="H89" s="95" t="s">
        <v>337</v>
      </c>
      <c r="I89" s="98" t="s">
        <v>338</v>
      </c>
      <c r="J89" s="97">
        <v>45154</v>
      </c>
      <c r="K89" s="98" t="s">
        <v>308</v>
      </c>
      <c r="L89" s="95" t="s">
        <v>129</v>
      </c>
      <c r="M89" s="98"/>
      <c r="N89" s="93" t="s">
        <v>41</v>
      </c>
      <c r="O89" s="99"/>
    </row>
    <row r="90" spans="1:15" ht="17.25" customHeight="1" x14ac:dyDescent="0.25">
      <c r="A90" s="93">
        <v>80</v>
      </c>
      <c r="B90" s="100" t="s">
        <v>89</v>
      </c>
      <c r="C90" s="95" t="s">
        <v>322</v>
      </c>
      <c r="D90" s="95" t="s">
        <v>335</v>
      </c>
      <c r="E90" s="96">
        <v>1</v>
      </c>
      <c r="F90" s="97">
        <v>42122</v>
      </c>
      <c r="G90" s="98" t="s">
        <v>336</v>
      </c>
      <c r="H90" s="95" t="s">
        <v>337</v>
      </c>
      <c r="I90" s="98" t="s">
        <v>338</v>
      </c>
      <c r="J90" s="97">
        <v>45154</v>
      </c>
      <c r="K90" s="98" t="s">
        <v>160</v>
      </c>
      <c r="L90" s="95" t="s">
        <v>268</v>
      </c>
      <c r="M90" s="98"/>
      <c r="N90" s="93" t="s">
        <v>41</v>
      </c>
      <c r="O90" s="99"/>
    </row>
    <row r="91" spans="1:15" ht="17.25" customHeight="1" x14ac:dyDescent="0.25">
      <c r="A91" s="93">
        <v>81</v>
      </c>
      <c r="B91" s="100" t="s">
        <v>49</v>
      </c>
      <c r="C91" s="101" t="s">
        <v>322</v>
      </c>
      <c r="D91" s="101" t="s">
        <v>339</v>
      </c>
      <c r="E91" s="93" t="s">
        <v>147</v>
      </c>
      <c r="F91" s="102">
        <v>42902</v>
      </c>
      <c r="G91" s="103" t="s">
        <v>340</v>
      </c>
      <c r="H91" s="101">
        <v>4352252200</v>
      </c>
      <c r="I91" s="103" t="s">
        <v>341</v>
      </c>
      <c r="J91" s="102">
        <v>44835</v>
      </c>
      <c r="K91" s="106" t="s">
        <v>118</v>
      </c>
      <c r="L91" s="107" t="s">
        <v>159</v>
      </c>
      <c r="M91" s="103"/>
      <c r="N91" s="93" t="s">
        <v>41</v>
      </c>
      <c r="O91" s="104"/>
    </row>
    <row r="92" spans="1:15" ht="17.25" customHeight="1" x14ac:dyDescent="0.25">
      <c r="A92" s="93">
        <v>82</v>
      </c>
      <c r="B92" s="100" t="s">
        <v>89</v>
      </c>
      <c r="C92" s="101" t="s">
        <v>322</v>
      </c>
      <c r="D92" s="101" t="s">
        <v>339</v>
      </c>
      <c r="E92" s="93" t="s">
        <v>147</v>
      </c>
      <c r="F92" s="102">
        <v>42902</v>
      </c>
      <c r="G92" s="103" t="s">
        <v>340</v>
      </c>
      <c r="H92" s="101">
        <v>4352252200</v>
      </c>
      <c r="I92" s="103" t="s">
        <v>341</v>
      </c>
      <c r="J92" s="102">
        <v>45078</v>
      </c>
      <c r="K92" s="106" t="s">
        <v>160</v>
      </c>
      <c r="L92" s="107" t="s">
        <v>137</v>
      </c>
      <c r="M92" s="103" t="s">
        <v>220</v>
      </c>
      <c r="N92" s="93" t="s">
        <v>41</v>
      </c>
      <c r="O92" s="104"/>
    </row>
    <row r="93" spans="1:15" ht="17.25" customHeight="1" x14ac:dyDescent="0.25">
      <c r="A93" s="93">
        <v>83</v>
      </c>
      <c r="B93" s="100" t="s">
        <v>49</v>
      </c>
      <c r="C93" s="101" t="s">
        <v>322</v>
      </c>
      <c r="D93" s="101" t="s">
        <v>342</v>
      </c>
      <c r="E93" s="93" t="s">
        <v>147</v>
      </c>
      <c r="F93" s="102">
        <v>43151</v>
      </c>
      <c r="G93" s="103" t="s">
        <v>331</v>
      </c>
      <c r="H93" s="101">
        <v>6692068365</v>
      </c>
      <c r="I93" s="103" t="s">
        <v>332</v>
      </c>
      <c r="J93" s="102">
        <v>45170</v>
      </c>
      <c r="K93" s="106" t="s">
        <v>153</v>
      </c>
      <c r="L93" s="107" t="s">
        <v>170</v>
      </c>
      <c r="M93" s="103" t="s">
        <v>334</v>
      </c>
      <c r="N93" s="93" t="s">
        <v>41</v>
      </c>
      <c r="O93" s="104"/>
    </row>
    <row r="94" spans="1:15" ht="17.25" customHeight="1" x14ac:dyDescent="0.25">
      <c r="A94" s="93">
        <v>84</v>
      </c>
      <c r="B94" s="100" t="s">
        <v>49</v>
      </c>
      <c r="C94" s="101" t="s">
        <v>322</v>
      </c>
      <c r="D94" s="101" t="s">
        <v>249</v>
      </c>
      <c r="E94" s="93" t="s">
        <v>147</v>
      </c>
      <c r="F94" s="102">
        <v>42902</v>
      </c>
      <c r="G94" s="103" t="s">
        <v>340</v>
      </c>
      <c r="H94" s="101">
        <v>4352252200</v>
      </c>
      <c r="I94" s="103" t="s">
        <v>341</v>
      </c>
      <c r="J94" s="102">
        <v>44835</v>
      </c>
      <c r="K94" s="106" t="s">
        <v>118</v>
      </c>
      <c r="L94" s="107" t="s">
        <v>343</v>
      </c>
      <c r="M94" s="103"/>
      <c r="N94" s="93" t="s">
        <v>41</v>
      </c>
      <c r="O94" s="104"/>
    </row>
    <row r="95" spans="1:15" ht="17.25" customHeight="1" x14ac:dyDescent="0.25">
      <c r="A95" s="93">
        <v>85</v>
      </c>
      <c r="B95" s="100" t="s">
        <v>89</v>
      </c>
      <c r="C95" s="101" t="s">
        <v>322</v>
      </c>
      <c r="D95" s="101" t="s">
        <v>249</v>
      </c>
      <c r="E95" s="93" t="s">
        <v>147</v>
      </c>
      <c r="F95" s="102">
        <v>42902</v>
      </c>
      <c r="G95" s="103" t="s">
        <v>340</v>
      </c>
      <c r="H95" s="101">
        <v>4352252200</v>
      </c>
      <c r="I95" s="103" t="s">
        <v>341</v>
      </c>
      <c r="J95" s="102">
        <v>45078</v>
      </c>
      <c r="K95" s="106" t="s">
        <v>160</v>
      </c>
      <c r="L95" s="107" t="s">
        <v>204</v>
      </c>
      <c r="M95" s="103" t="s">
        <v>220</v>
      </c>
      <c r="N95" s="93" t="s">
        <v>41</v>
      </c>
      <c r="O95" s="104"/>
    </row>
    <row r="96" spans="1:15" ht="17.25" customHeight="1" x14ac:dyDescent="0.25">
      <c r="A96" s="93">
        <v>112</v>
      </c>
      <c r="B96" s="100" t="s">
        <v>89</v>
      </c>
      <c r="C96" s="95" t="s">
        <v>322</v>
      </c>
      <c r="D96" s="95" t="s">
        <v>400</v>
      </c>
      <c r="E96" s="96">
        <v>1</v>
      </c>
      <c r="F96" s="97">
        <v>42483</v>
      </c>
      <c r="G96" s="98" t="s">
        <v>401</v>
      </c>
      <c r="H96" s="95">
        <v>6692460021</v>
      </c>
      <c r="I96" s="98" t="s">
        <v>402</v>
      </c>
      <c r="J96" s="97">
        <v>45174</v>
      </c>
      <c r="K96" s="98" t="s">
        <v>136</v>
      </c>
      <c r="L96" s="95" t="s">
        <v>359</v>
      </c>
      <c r="M96" s="98" t="s">
        <v>403</v>
      </c>
      <c r="N96" s="93" t="s">
        <v>41</v>
      </c>
      <c r="O96" s="99"/>
    </row>
    <row r="97" spans="1:46" ht="17.25" customHeight="1" x14ac:dyDescent="0.25">
      <c r="A97" s="93">
        <v>113</v>
      </c>
      <c r="B97" s="116" t="s">
        <v>49</v>
      </c>
      <c r="C97" s="117" t="s">
        <v>322</v>
      </c>
      <c r="D97" s="117" t="s">
        <v>400</v>
      </c>
      <c r="E97" s="118">
        <v>1</v>
      </c>
      <c r="F97" s="119">
        <v>42483</v>
      </c>
      <c r="G97" s="120" t="s">
        <v>401</v>
      </c>
      <c r="H97" s="117">
        <v>6692460021</v>
      </c>
      <c r="I97" s="120" t="s">
        <v>402</v>
      </c>
      <c r="J97" s="123">
        <v>45247</v>
      </c>
      <c r="K97" s="124" t="s">
        <v>134</v>
      </c>
      <c r="L97" s="125" t="s">
        <v>343</v>
      </c>
      <c r="M97" s="120" t="s">
        <v>496</v>
      </c>
      <c r="N97" s="121" t="s">
        <v>82</v>
      </c>
      <c r="O97" s="122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239"/>
      <c r="AQ97" s="239"/>
      <c r="AR97" s="239"/>
      <c r="AS97" s="239"/>
      <c r="AT97" s="239"/>
    </row>
    <row r="98" spans="1:46" ht="13.5" customHeight="1" x14ac:dyDescent="0.25">
      <c r="A98" s="93">
        <v>86</v>
      </c>
      <c r="B98" s="100" t="s">
        <v>49</v>
      </c>
      <c r="C98" s="95" t="s">
        <v>322</v>
      </c>
      <c r="D98" s="95" t="s">
        <v>344</v>
      </c>
      <c r="E98" s="96">
        <v>2</v>
      </c>
      <c r="F98" s="97">
        <v>42516</v>
      </c>
      <c r="G98" s="98" t="s">
        <v>345</v>
      </c>
      <c r="H98" s="95">
        <v>6318770767</v>
      </c>
      <c r="I98" s="98" t="s">
        <v>346</v>
      </c>
      <c r="J98" s="97">
        <v>45156</v>
      </c>
      <c r="K98" s="98" t="s">
        <v>118</v>
      </c>
      <c r="L98" s="95" t="s">
        <v>135</v>
      </c>
      <c r="M98" s="98"/>
      <c r="N98" s="93" t="s">
        <v>41</v>
      </c>
      <c r="O98" s="99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  <c r="AA98" s="241"/>
      <c r="AB98" s="241"/>
      <c r="AC98" s="241"/>
      <c r="AD98" s="241"/>
      <c r="AE98" s="241"/>
      <c r="AF98" s="241"/>
      <c r="AG98" s="241"/>
      <c r="AH98" s="241"/>
      <c r="AI98" s="241"/>
      <c r="AJ98" s="241"/>
      <c r="AK98" s="241"/>
      <c r="AL98" s="241"/>
      <c r="AM98" s="241"/>
      <c r="AN98" s="241"/>
      <c r="AO98" s="241"/>
      <c r="AP98" s="241"/>
      <c r="AQ98" s="241"/>
      <c r="AR98" s="241"/>
      <c r="AS98" s="241"/>
      <c r="AT98" s="241"/>
    </row>
    <row r="99" spans="1:46" ht="17.25" customHeight="1" x14ac:dyDescent="0.25">
      <c r="A99" s="93">
        <v>87</v>
      </c>
      <c r="B99" s="100" t="s">
        <v>49</v>
      </c>
      <c r="C99" s="95" t="s">
        <v>347</v>
      </c>
      <c r="D99" s="95" t="s">
        <v>348</v>
      </c>
      <c r="E99" s="96" t="s">
        <v>147</v>
      </c>
      <c r="F99" s="97">
        <v>43210</v>
      </c>
      <c r="G99" s="98" t="s">
        <v>349</v>
      </c>
      <c r="H99" s="95">
        <v>4089133406</v>
      </c>
      <c r="I99" s="98" t="s">
        <v>350</v>
      </c>
      <c r="J99" s="97">
        <v>45154</v>
      </c>
      <c r="K99" s="98" t="s">
        <v>181</v>
      </c>
      <c r="L99" s="95" t="s">
        <v>351</v>
      </c>
      <c r="M99" s="98"/>
      <c r="N99" s="93" t="s">
        <v>41</v>
      </c>
      <c r="O99" s="99"/>
    </row>
    <row r="100" spans="1:46" ht="17.25" customHeight="1" x14ac:dyDescent="0.25">
      <c r="A100" s="93">
        <v>88</v>
      </c>
      <c r="B100" s="100" t="s">
        <v>89</v>
      </c>
      <c r="C100" s="95" t="s">
        <v>347</v>
      </c>
      <c r="D100" s="95" t="s">
        <v>348</v>
      </c>
      <c r="E100" s="96" t="s">
        <v>147</v>
      </c>
      <c r="F100" s="97">
        <v>43210</v>
      </c>
      <c r="G100" s="98" t="s">
        <v>349</v>
      </c>
      <c r="H100" s="95">
        <v>4089133406</v>
      </c>
      <c r="I100" s="98" t="s">
        <v>350</v>
      </c>
      <c r="J100" s="97">
        <v>45154</v>
      </c>
      <c r="K100" s="98" t="s">
        <v>352</v>
      </c>
      <c r="L100" s="95" t="s">
        <v>126</v>
      </c>
      <c r="M100" s="98"/>
      <c r="N100" s="93" t="s">
        <v>41</v>
      </c>
      <c r="O100" s="99"/>
    </row>
    <row r="101" spans="1:46" ht="17.25" customHeight="1" x14ac:dyDescent="0.25">
      <c r="A101" s="93">
        <v>89</v>
      </c>
      <c r="B101" s="100" t="s">
        <v>49</v>
      </c>
      <c r="C101" s="95" t="s">
        <v>347</v>
      </c>
      <c r="D101" s="95" t="s">
        <v>353</v>
      </c>
      <c r="E101" s="96">
        <v>1</v>
      </c>
      <c r="F101" s="97">
        <v>42810</v>
      </c>
      <c r="G101" s="98" t="s">
        <v>354</v>
      </c>
      <c r="H101" s="95">
        <v>5103742897</v>
      </c>
      <c r="I101" s="98" t="s">
        <v>355</v>
      </c>
      <c r="J101" s="97">
        <v>45154</v>
      </c>
      <c r="K101" s="98" t="s">
        <v>150</v>
      </c>
      <c r="L101" s="95" t="s">
        <v>286</v>
      </c>
      <c r="M101" s="98"/>
      <c r="N101" s="93" t="s">
        <v>41</v>
      </c>
      <c r="O101" s="99"/>
    </row>
    <row r="102" spans="1:46" ht="17.25" customHeight="1" x14ac:dyDescent="0.25">
      <c r="A102" s="93">
        <v>90</v>
      </c>
      <c r="B102" s="100" t="s">
        <v>49</v>
      </c>
      <c r="C102" s="95" t="s">
        <v>356</v>
      </c>
      <c r="D102" s="95" t="s">
        <v>313</v>
      </c>
      <c r="E102" s="96">
        <v>1</v>
      </c>
      <c r="F102" s="97">
        <v>44927</v>
      </c>
      <c r="G102" s="98" t="s">
        <v>357</v>
      </c>
      <c r="H102" s="95">
        <v>5108813622</v>
      </c>
      <c r="I102" s="98" t="s">
        <v>358</v>
      </c>
      <c r="J102" s="97">
        <v>45154</v>
      </c>
      <c r="K102" s="98" t="s">
        <v>134</v>
      </c>
      <c r="L102" s="95" t="s">
        <v>359</v>
      </c>
      <c r="M102" s="98"/>
      <c r="N102" s="93" t="s">
        <v>41</v>
      </c>
      <c r="O102" s="99"/>
    </row>
    <row r="103" spans="1:46" ht="17.25" customHeight="1" x14ac:dyDescent="0.25">
      <c r="A103" s="93">
        <v>91</v>
      </c>
      <c r="B103" s="100" t="s">
        <v>89</v>
      </c>
      <c r="C103" s="95" t="s">
        <v>356</v>
      </c>
      <c r="D103" s="95" t="s">
        <v>313</v>
      </c>
      <c r="E103" s="96">
        <v>1</v>
      </c>
      <c r="F103" s="97">
        <v>44927</v>
      </c>
      <c r="G103" s="98" t="s">
        <v>357</v>
      </c>
      <c r="H103" s="95">
        <v>5108813622</v>
      </c>
      <c r="I103" s="98" t="s">
        <v>358</v>
      </c>
      <c r="J103" s="97">
        <v>45154</v>
      </c>
      <c r="K103" s="98" t="s">
        <v>119</v>
      </c>
      <c r="L103" s="95" t="s">
        <v>159</v>
      </c>
      <c r="M103" s="98"/>
      <c r="N103" s="93" t="s">
        <v>41</v>
      </c>
      <c r="O103" s="99"/>
    </row>
    <row r="104" spans="1:46" ht="17.25" customHeight="1" x14ac:dyDescent="0.25">
      <c r="A104" s="93">
        <v>92</v>
      </c>
      <c r="B104" s="100" t="s">
        <v>49</v>
      </c>
      <c r="C104" s="95" t="s">
        <v>356</v>
      </c>
      <c r="D104" s="95" t="s">
        <v>360</v>
      </c>
      <c r="E104" s="96">
        <v>6</v>
      </c>
      <c r="F104" s="97">
        <v>41153</v>
      </c>
      <c r="G104" s="98" t="s">
        <v>357</v>
      </c>
      <c r="H104" s="95">
        <v>5108813622</v>
      </c>
      <c r="I104" s="98" t="s">
        <v>358</v>
      </c>
      <c r="J104" s="97">
        <v>45154</v>
      </c>
      <c r="K104" s="98" t="s">
        <v>361</v>
      </c>
      <c r="L104" s="95" t="s">
        <v>187</v>
      </c>
      <c r="M104" s="98"/>
      <c r="N104" s="93" t="s">
        <v>41</v>
      </c>
      <c r="O104" s="99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</row>
    <row r="105" spans="1:46" ht="17.25" customHeight="1" x14ac:dyDescent="0.25">
      <c r="A105" s="93">
        <v>93</v>
      </c>
      <c r="B105" s="100" t="s">
        <v>89</v>
      </c>
      <c r="C105" s="95" t="s">
        <v>356</v>
      </c>
      <c r="D105" s="95" t="s">
        <v>360</v>
      </c>
      <c r="E105" s="96">
        <v>6</v>
      </c>
      <c r="F105" s="97">
        <v>41153</v>
      </c>
      <c r="G105" s="98" t="s">
        <v>357</v>
      </c>
      <c r="H105" s="95">
        <v>5108813622</v>
      </c>
      <c r="I105" s="98" t="s">
        <v>358</v>
      </c>
      <c r="J105" s="97">
        <v>45154</v>
      </c>
      <c r="K105" s="98" t="s">
        <v>239</v>
      </c>
      <c r="L105" s="95" t="s">
        <v>223</v>
      </c>
      <c r="M105" s="98"/>
      <c r="N105" s="93" t="s">
        <v>41</v>
      </c>
      <c r="O105" s="99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</row>
    <row r="106" spans="1:46" ht="17.25" customHeight="1" x14ac:dyDescent="0.25">
      <c r="A106" s="93">
        <v>94</v>
      </c>
      <c r="B106" s="100" t="s">
        <v>49</v>
      </c>
      <c r="C106" s="95" t="s">
        <v>362</v>
      </c>
      <c r="D106" s="95" t="s">
        <v>310</v>
      </c>
      <c r="E106" s="96">
        <v>4</v>
      </c>
      <c r="F106" s="97">
        <v>41745</v>
      </c>
      <c r="G106" s="98" t="s">
        <v>363</v>
      </c>
      <c r="H106" s="95">
        <v>5102828122</v>
      </c>
      <c r="I106" s="98" t="s">
        <v>364</v>
      </c>
      <c r="J106" s="97">
        <v>45159</v>
      </c>
      <c r="K106" s="98" t="s">
        <v>365</v>
      </c>
      <c r="L106" s="95" t="s">
        <v>143</v>
      </c>
      <c r="M106" s="98"/>
      <c r="N106" s="93" t="s">
        <v>41</v>
      </c>
      <c r="O106" s="99"/>
    </row>
    <row r="107" spans="1:46" ht="17.25" customHeight="1" x14ac:dyDescent="0.25">
      <c r="A107" s="93">
        <v>95</v>
      </c>
      <c r="B107" s="100" t="s">
        <v>89</v>
      </c>
      <c r="C107" s="95" t="s">
        <v>362</v>
      </c>
      <c r="D107" s="95" t="s">
        <v>366</v>
      </c>
      <c r="E107" s="96">
        <v>4</v>
      </c>
      <c r="F107" s="97">
        <v>41745</v>
      </c>
      <c r="G107" s="98" t="s">
        <v>363</v>
      </c>
      <c r="H107" s="95">
        <v>5102828122</v>
      </c>
      <c r="I107" s="98" t="s">
        <v>364</v>
      </c>
      <c r="J107" s="97">
        <v>45159</v>
      </c>
      <c r="K107" s="98" t="s">
        <v>160</v>
      </c>
      <c r="L107" s="95" t="s">
        <v>135</v>
      </c>
      <c r="M107" s="98"/>
      <c r="N107" s="93" t="s">
        <v>41</v>
      </c>
      <c r="O107" s="99"/>
    </row>
    <row r="108" spans="1:46" ht="17.25" customHeight="1" x14ac:dyDescent="0.25">
      <c r="A108" s="93">
        <v>96</v>
      </c>
      <c r="B108" s="100" t="s">
        <v>49</v>
      </c>
      <c r="C108" s="95" t="s">
        <v>362</v>
      </c>
      <c r="D108" s="95" t="s">
        <v>305</v>
      </c>
      <c r="E108" s="96">
        <v>1</v>
      </c>
      <c r="F108" s="97">
        <v>42954</v>
      </c>
      <c r="G108" s="98" t="s">
        <v>367</v>
      </c>
      <c r="H108" s="95">
        <v>5105656975</v>
      </c>
      <c r="I108" s="98" t="s">
        <v>368</v>
      </c>
      <c r="J108" s="97">
        <v>45159</v>
      </c>
      <c r="K108" s="98" t="s">
        <v>118</v>
      </c>
      <c r="L108" s="95" t="s">
        <v>369</v>
      </c>
      <c r="M108" s="98"/>
      <c r="N108" s="93" t="s">
        <v>41</v>
      </c>
      <c r="O108" s="99"/>
    </row>
    <row r="109" spans="1:46" ht="17.25" customHeight="1" x14ac:dyDescent="0.25">
      <c r="A109" s="93">
        <v>97</v>
      </c>
      <c r="B109" s="100" t="s">
        <v>89</v>
      </c>
      <c r="C109" s="95" t="s">
        <v>362</v>
      </c>
      <c r="D109" s="95" t="s">
        <v>305</v>
      </c>
      <c r="E109" s="96">
        <v>1</v>
      </c>
      <c r="F109" s="97">
        <v>42954</v>
      </c>
      <c r="G109" s="98" t="s">
        <v>367</v>
      </c>
      <c r="H109" s="95">
        <v>5105656975</v>
      </c>
      <c r="I109" s="98" t="s">
        <v>368</v>
      </c>
      <c r="J109" s="97">
        <v>45159</v>
      </c>
      <c r="K109" s="98" t="s">
        <v>136</v>
      </c>
      <c r="L109" s="95" t="s">
        <v>175</v>
      </c>
      <c r="M109" s="98"/>
      <c r="N109" s="93" t="s">
        <v>41</v>
      </c>
      <c r="O109" s="99"/>
    </row>
    <row r="110" spans="1:46" ht="17.25" customHeight="1" x14ac:dyDescent="0.25">
      <c r="A110" s="93">
        <v>124</v>
      </c>
      <c r="B110" s="126" t="s">
        <v>89</v>
      </c>
      <c r="C110" s="127" t="s">
        <v>424</v>
      </c>
      <c r="D110" s="127" t="s">
        <v>270</v>
      </c>
      <c r="E110" s="128">
        <v>1</v>
      </c>
      <c r="F110" s="129">
        <v>42822</v>
      </c>
      <c r="G110" s="130" t="s">
        <v>425</v>
      </c>
      <c r="H110" s="130">
        <v>4087591928</v>
      </c>
      <c r="I110" s="130" t="s">
        <v>426</v>
      </c>
      <c r="J110" s="123">
        <v>45246</v>
      </c>
      <c r="K110" s="124" t="s">
        <v>163</v>
      </c>
      <c r="L110" s="125" t="s">
        <v>255</v>
      </c>
      <c r="M110" s="131"/>
      <c r="N110" s="128" t="s">
        <v>82</v>
      </c>
      <c r="O110" s="132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</row>
    <row r="111" spans="1:46" ht="17.25" customHeight="1" x14ac:dyDescent="0.25">
      <c r="A111" s="93">
        <v>125</v>
      </c>
      <c r="B111" s="126" t="s">
        <v>89</v>
      </c>
      <c r="C111" s="127" t="s">
        <v>424</v>
      </c>
      <c r="D111" s="127" t="s">
        <v>427</v>
      </c>
      <c r="E111" s="128">
        <v>3</v>
      </c>
      <c r="F111" s="129">
        <v>42122</v>
      </c>
      <c r="G111" s="130" t="s">
        <v>425</v>
      </c>
      <c r="H111" s="130">
        <v>4087591928</v>
      </c>
      <c r="I111" s="130" t="s">
        <v>426</v>
      </c>
      <c r="J111" s="123">
        <v>45246</v>
      </c>
      <c r="K111" s="124" t="s">
        <v>160</v>
      </c>
      <c r="L111" s="125" t="s">
        <v>135</v>
      </c>
      <c r="M111" s="131"/>
      <c r="N111" s="128" t="s">
        <v>82</v>
      </c>
      <c r="O111" s="132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</row>
    <row r="112" spans="1:46" ht="17.25" customHeight="1" x14ac:dyDescent="0.25">
      <c r="A112" s="93">
        <v>98</v>
      </c>
      <c r="B112" s="100" t="s">
        <v>49</v>
      </c>
      <c r="C112" s="95" t="s">
        <v>370</v>
      </c>
      <c r="D112" s="95" t="s">
        <v>371</v>
      </c>
      <c r="E112" s="96">
        <v>1</v>
      </c>
      <c r="F112" s="97">
        <v>42947</v>
      </c>
      <c r="G112" s="98" t="s">
        <v>372</v>
      </c>
      <c r="H112" s="95">
        <v>4085108805</v>
      </c>
      <c r="I112" s="98" t="s">
        <v>373</v>
      </c>
      <c r="J112" s="97">
        <v>45160</v>
      </c>
      <c r="K112" s="98" t="s">
        <v>134</v>
      </c>
      <c r="L112" s="95" t="s">
        <v>374</v>
      </c>
      <c r="M112" s="98"/>
      <c r="N112" s="93" t="s">
        <v>41</v>
      </c>
      <c r="O112" s="99"/>
    </row>
    <row r="113" spans="1:46" ht="17.25" customHeight="1" x14ac:dyDescent="0.25">
      <c r="A113" s="93">
        <v>99</v>
      </c>
      <c r="B113" s="116" t="s">
        <v>89</v>
      </c>
      <c r="C113" s="117" t="s">
        <v>370</v>
      </c>
      <c r="D113" s="117" t="s">
        <v>371</v>
      </c>
      <c r="E113" s="118">
        <v>1</v>
      </c>
      <c r="F113" s="119">
        <v>42947</v>
      </c>
      <c r="G113" s="120" t="s">
        <v>372</v>
      </c>
      <c r="H113" s="117">
        <v>4085108805</v>
      </c>
      <c r="I113" s="120" t="s">
        <v>373</v>
      </c>
      <c r="J113" s="119">
        <v>45246</v>
      </c>
      <c r="K113" s="120" t="s">
        <v>163</v>
      </c>
      <c r="L113" s="117" t="s">
        <v>375</v>
      </c>
      <c r="M113" s="120" t="s">
        <v>497</v>
      </c>
      <c r="N113" s="121" t="s">
        <v>82</v>
      </c>
      <c r="O113" s="122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</row>
    <row r="114" spans="1:46" ht="17.25" customHeight="1" x14ac:dyDescent="0.25">
      <c r="A114" s="93">
        <v>100</v>
      </c>
      <c r="B114" s="100" t="s">
        <v>49</v>
      </c>
      <c r="C114" s="95" t="s">
        <v>370</v>
      </c>
      <c r="D114" s="95" t="s">
        <v>376</v>
      </c>
      <c r="E114" s="96">
        <v>3</v>
      </c>
      <c r="F114" s="97">
        <v>42077</v>
      </c>
      <c r="G114" s="98" t="s">
        <v>372</v>
      </c>
      <c r="H114" s="95">
        <v>4085108805</v>
      </c>
      <c r="I114" s="98" t="s">
        <v>373</v>
      </c>
      <c r="J114" s="97">
        <v>45160</v>
      </c>
      <c r="K114" s="98" t="s">
        <v>222</v>
      </c>
      <c r="L114" s="95" t="s">
        <v>343</v>
      </c>
      <c r="M114" s="98"/>
      <c r="N114" s="93" t="s">
        <v>41</v>
      </c>
      <c r="O114" s="99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41"/>
      <c r="AG114" s="241"/>
      <c r="AH114" s="241"/>
      <c r="AI114" s="241"/>
      <c r="AJ114" s="241"/>
      <c r="AK114" s="241"/>
      <c r="AL114" s="241"/>
      <c r="AM114" s="241"/>
      <c r="AN114" s="241"/>
      <c r="AO114" s="241"/>
      <c r="AP114" s="241"/>
      <c r="AQ114" s="241"/>
      <c r="AR114" s="241"/>
      <c r="AS114" s="241"/>
      <c r="AT114" s="241"/>
    </row>
    <row r="115" spans="1:46" ht="17.25" customHeight="1" x14ac:dyDescent="0.25">
      <c r="A115" s="93">
        <v>101</v>
      </c>
      <c r="B115" s="100" t="s">
        <v>89</v>
      </c>
      <c r="C115" s="95" t="s">
        <v>370</v>
      </c>
      <c r="D115" s="95" t="s">
        <v>376</v>
      </c>
      <c r="E115" s="96">
        <v>3</v>
      </c>
      <c r="F115" s="97">
        <v>42077</v>
      </c>
      <c r="G115" s="98" t="s">
        <v>372</v>
      </c>
      <c r="H115" s="95">
        <v>4085108805</v>
      </c>
      <c r="I115" s="98" t="s">
        <v>373</v>
      </c>
      <c r="J115" s="97">
        <v>45160</v>
      </c>
      <c r="K115" s="98" t="s">
        <v>128</v>
      </c>
      <c r="L115" s="95" t="s">
        <v>135</v>
      </c>
      <c r="M115" s="98"/>
      <c r="N115" s="93" t="s">
        <v>41</v>
      </c>
      <c r="O115" s="99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1"/>
      <c r="AL115" s="241"/>
      <c r="AM115" s="241"/>
      <c r="AN115" s="241"/>
      <c r="AO115" s="241"/>
      <c r="AP115" s="241"/>
      <c r="AQ115" s="241"/>
      <c r="AR115" s="241"/>
      <c r="AS115" s="241"/>
      <c r="AT115" s="241"/>
    </row>
    <row r="116" spans="1:46" ht="17.25" customHeight="1" x14ac:dyDescent="0.25">
      <c r="A116" s="93">
        <v>102</v>
      </c>
      <c r="B116" s="100" t="s">
        <v>49</v>
      </c>
      <c r="C116" s="95" t="s">
        <v>377</v>
      </c>
      <c r="D116" s="95" t="s">
        <v>378</v>
      </c>
      <c r="E116" s="96">
        <v>4</v>
      </c>
      <c r="F116" s="97">
        <v>41619</v>
      </c>
      <c r="G116" s="98" t="s">
        <v>379</v>
      </c>
      <c r="H116" s="95">
        <v>6264658590</v>
      </c>
      <c r="I116" s="98" t="s">
        <v>380</v>
      </c>
      <c r="J116" s="97">
        <v>45154</v>
      </c>
      <c r="K116" s="98" t="s">
        <v>110</v>
      </c>
      <c r="L116" s="95" t="s">
        <v>129</v>
      </c>
      <c r="M116" s="98"/>
      <c r="N116" s="93" t="s">
        <v>41</v>
      </c>
      <c r="O116" s="99"/>
    </row>
    <row r="117" spans="1:46" ht="17.25" customHeight="1" x14ac:dyDescent="0.25">
      <c r="A117" s="93">
        <v>103</v>
      </c>
      <c r="B117" s="100" t="s">
        <v>89</v>
      </c>
      <c r="C117" s="95" t="s">
        <v>377</v>
      </c>
      <c r="D117" s="95" t="s">
        <v>378</v>
      </c>
      <c r="E117" s="96">
        <v>4</v>
      </c>
      <c r="F117" s="97">
        <v>41619</v>
      </c>
      <c r="G117" s="98" t="s">
        <v>379</v>
      </c>
      <c r="H117" s="95">
        <v>6264658590</v>
      </c>
      <c r="I117" s="98" t="s">
        <v>380</v>
      </c>
      <c r="J117" s="97">
        <v>45154</v>
      </c>
      <c r="K117" s="98" t="s">
        <v>112</v>
      </c>
      <c r="L117" s="95" t="s">
        <v>343</v>
      </c>
      <c r="M117" s="98"/>
      <c r="N117" s="93" t="s">
        <v>41</v>
      </c>
      <c r="O117" s="99"/>
    </row>
    <row r="118" spans="1:46" ht="17.25" customHeight="1" x14ac:dyDescent="0.25">
      <c r="A118" s="93">
        <v>104</v>
      </c>
      <c r="B118" s="100" t="s">
        <v>49</v>
      </c>
      <c r="C118" s="95" t="s">
        <v>377</v>
      </c>
      <c r="D118" s="95" t="s">
        <v>381</v>
      </c>
      <c r="E118" s="96">
        <v>7</v>
      </c>
      <c r="F118" s="97">
        <v>40732</v>
      </c>
      <c r="G118" s="98" t="s">
        <v>379</v>
      </c>
      <c r="H118" s="101">
        <v>6264658590</v>
      </c>
      <c r="I118" s="98" t="s">
        <v>380</v>
      </c>
      <c r="J118" s="97">
        <v>45154</v>
      </c>
      <c r="K118" s="98" t="s">
        <v>382</v>
      </c>
      <c r="L118" s="95" t="s">
        <v>343</v>
      </c>
      <c r="M118" s="98"/>
      <c r="N118" s="93" t="s">
        <v>41</v>
      </c>
      <c r="O118" s="99"/>
    </row>
    <row r="119" spans="1:46" ht="17.25" customHeight="1" x14ac:dyDescent="0.25">
      <c r="A119" s="93">
        <v>105</v>
      </c>
      <c r="B119" s="100" t="s">
        <v>89</v>
      </c>
      <c r="C119" s="95" t="s">
        <v>377</v>
      </c>
      <c r="D119" s="95" t="s">
        <v>381</v>
      </c>
      <c r="E119" s="96">
        <v>7</v>
      </c>
      <c r="F119" s="97">
        <v>40732</v>
      </c>
      <c r="G119" s="98" t="s">
        <v>379</v>
      </c>
      <c r="H119" s="101">
        <v>6264658590</v>
      </c>
      <c r="I119" s="98" t="s">
        <v>380</v>
      </c>
      <c r="J119" s="97">
        <v>45154</v>
      </c>
      <c r="K119" s="98" t="s">
        <v>383</v>
      </c>
      <c r="L119" s="95" t="s">
        <v>144</v>
      </c>
      <c r="M119" s="98"/>
      <c r="N119" s="93" t="s">
        <v>41</v>
      </c>
      <c r="O119" s="99"/>
    </row>
    <row r="120" spans="1:46" ht="17.25" customHeight="1" x14ac:dyDescent="0.25">
      <c r="A120" s="93">
        <v>106</v>
      </c>
      <c r="B120" s="100" t="s">
        <v>49</v>
      </c>
      <c r="C120" s="107" t="s">
        <v>384</v>
      </c>
      <c r="D120" s="107" t="s">
        <v>385</v>
      </c>
      <c r="E120" s="93" t="s">
        <v>147</v>
      </c>
      <c r="F120" s="102">
        <v>42409</v>
      </c>
      <c r="G120" s="103" t="s">
        <v>386</v>
      </c>
      <c r="H120" s="101">
        <v>4088292099</v>
      </c>
      <c r="I120" s="103" t="s">
        <v>387</v>
      </c>
      <c r="J120" s="102">
        <v>44645</v>
      </c>
      <c r="K120" s="106" t="s">
        <v>160</v>
      </c>
      <c r="L120" s="107" t="s">
        <v>126</v>
      </c>
      <c r="M120" s="103"/>
      <c r="N120" s="93" t="s">
        <v>41</v>
      </c>
      <c r="O120" s="104"/>
    </row>
    <row r="121" spans="1:46" ht="17.25" customHeight="1" x14ac:dyDescent="0.25">
      <c r="A121" s="93">
        <v>107</v>
      </c>
      <c r="B121" s="100" t="s">
        <v>89</v>
      </c>
      <c r="C121" s="107" t="s">
        <v>384</v>
      </c>
      <c r="D121" s="107" t="s">
        <v>385</v>
      </c>
      <c r="E121" s="93" t="s">
        <v>147</v>
      </c>
      <c r="F121" s="102">
        <v>42409</v>
      </c>
      <c r="G121" s="103" t="s">
        <v>386</v>
      </c>
      <c r="H121" s="101">
        <v>4088292099</v>
      </c>
      <c r="I121" s="103" t="s">
        <v>387</v>
      </c>
      <c r="J121" s="102">
        <v>44866</v>
      </c>
      <c r="K121" s="106" t="s">
        <v>248</v>
      </c>
      <c r="L121" s="107" t="s">
        <v>286</v>
      </c>
      <c r="M121" s="103" t="s">
        <v>388</v>
      </c>
      <c r="N121" s="93" t="s">
        <v>41</v>
      </c>
      <c r="O121" s="104"/>
    </row>
    <row r="122" spans="1:46" ht="17.25" customHeight="1" x14ac:dyDescent="0.25">
      <c r="A122" s="93">
        <v>108</v>
      </c>
      <c r="B122" s="100" t="s">
        <v>89</v>
      </c>
      <c r="C122" s="95" t="s">
        <v>389</v>
      </c>
      <c r="D122" s="95" t="s">
        <v>390</v>
      </c>
      <c r="E122" s="96">
        <v>3</v>
      </c>
      <c r="F122" s="97">
        <v>42124</v>
      </c>
      <c r="G122" s="98" t="s">
        <v>391</v>
      </c>
      <c r="H122" s="95">
        <v>4085076346</v>
      </c>
      <c r="I122" s="98" t="s">
        <v>392</v>
      </c>
      <c r="J122" s="97">
        <v>45159</v>
      </c>
      <c r="K122" s="98" t="s">
        <v>250</v>
      </c>
      <c r="L122" s="95" t="s">
        <v>159</v>
      </c>
      <c r="M122" s="98"/>
      <c r="N122" s="93" t="s">
        <v>41</v>
      </c>
      <c r="O122" s="99"/>
    </row>
    <row r="123" spans="1:46" ht="17.25" customHeight="1" x14ac:dyDescent="0.25">
      <c r="A123" s="93">
        <v>109</v>
      </c>
      <c r="B123" s="100" t="s">
        <v>89</v>
      </c>
      <c r="C123" s="95" t="s">
        <v>389</v>
      </c>
      <c r="D123" s="95" t="s">
        <v>393</v>
      </c>
      <c r="E123" s="96">
        <v>3</v>
      </c>
      <c r="F123" s="97">
        <v>42124</v>
      </c>
      <c r="G123" s="98" t="s">
        <v>391</v>
      </c>
      <c r="H123" s="95">
        <v>4085076346</v>
      </c>
      <c r="I123" s="98" t="s">
        <v>392</v>
      </c>
      <c r="J123" s="97">
        <v>45159</v>
      </c>
      <c r="K123" s="98" t="s">
        <v>248</v>
      </c>
      <c r="L123" s="95" t="s">
        <v>194</v>
      </c>
      <c r="M123" s="98"/>
      <c r="N123" s="93" t="s">
        <v>41</v>
      </c>
      <c r="O123" s="99"/>
    </row>
    <row r="124" spans="1:46" ht="17.25" customHeight="1" x14ac:dyDescent="0.25">
      <c r="A124" s="93">
        <v>110</v>
      </c>
      <c r="B124" s="100" t="s">
        <v>49</v>
      </c>
      <c r="C124" s="95" t="s">
        <v>394</v>
      </c>
      <c r="D124" s="95" t="s">
        <v>395</v>
      </c>
      <c r="E124" s="96">
        <v>1</v>
      </c>
      <c r="F124" s="97">
        <v>42976</v>
      </c>
      <c r="G124" s="98" t="s">
        <v>396</v>
      </c>
      <c r="H124" s="95">
        <v>5105579050</v>
      </c>
      <c r="I124" s="98" t="s">
        <v>397</v>
      </c>
      <c r="J124" s="97">
        <v>45174</v>
      </c>
      <c r="K124" s="98" t="s">
        <v>181</v>
      </c>
      <c r="L124" s="95" t="s">
        <v>398</v>
      </c>
      <c r="M124" s="98"/>
      <c r="N124" s="93" t="s">
        <v>41</v>
      </c>
      <c r="O124" s="99"/>
    </row>
    <row r="125" spans="1:46" ht="17.25" customHeight="1" x14ac:dyDescent="0.25">
      <c r="A125" s="93">
        <v>111</v>
      </c>
      <c r="B125" s="100" t="s">
        <v>89</v>
      </c>
      <c r="C125" s="95" t="s">
        <v>394</v>
      </c>
      <c r="D125" s="95" t="s">
        <v>395</v>
      </c>
      <c r="E125" s="96">
        <v>1</v>
      </c>
      <c r="F125" s="97">
        <v>42976</v>
      </c>
      <c r="G125" s="98" t="s">
        <v>396</v>
      </c>
      <c r="H125" s="95">
        <v>5105579050</v>
      </c>
      <c r="I125" s="98" t="s">
        <v>397</v>
      </c>
      <c r="J125" s="97">
        <v>45174</v>
      </c>
      <c r="K125" s="98" t="s">
        <v>163</v>
      </c>
      <c r="L125" s="95" t="s">
        <v>399</v>
      </c>
      <c r="M125" s="98"/>
      <c r="N125" s="93" t="s">
        <v>41</v>
      </c>
      <c r="O125" s="99"/>
    </row>
    <row r="126" spans="1:46" ht="17.25" customHeight="1" x14ac:dyDescent="0.25">
      <c r="A126" s="93">
        <v>114</v>
      </c>
      <c r="B126" s="100" t="s">
        <v>49</v>
      </c>
      <c r="C126" s="107" t="s">
        <v>394</v>
      </c>
      <c r="D126" s="107" t="s">
        <v>404</v>
      </c>
      <c r="E126" s="93">
        <v>5</v>
      </c>
      <c r="F126" s="102">
        <v>41298</v>
      </c>
      <c r="G126" s="103" t="s">
        <v>405</v>
      </c>
      <c r="H126" s="101">
        <v>7138395988</v>
      </c>
      <c r="I126" s="103" t="s">
        <v>406</v>
      </c>
      <c r="J126" s="102">
        <v>45124</v>
      </c>
      <c r="K126" s="106" t="s">
        <v>125</v>
      </c>
      <c r="L126" s="107" t="s">
        <v>151</v>
      </c>
      <c r="M126" s="103"/>
      <c r="N126" s="93" t="s">
        <v>41</v>
      </c>
      <c r="O126" s="104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  <c r="AA126" s="241"/>
      <c r="AB126" s="241"/>
      <c r="AC126" s="241"/>
      <c r="AD126" s="241"/>
      <c r="AE126" s="241"/>
      <c r="AF126" s="241"/>
      <c r="AG126" s="241"/>
      <c r="AH126" s="241"/>
      <c r="AI126" s="241"/>
      <c r="AJ126" s="241"/>
      <c r="AK126" s="241"/>
      <c r="AL126" s="241"/>
      <c r="AM126" s="241"/>
      <c r="AN126" s="241"/>
      <c r="AO126" s="241"/>
      <c r="AP126" s="241"/>
      <c r="AQ126" s="241"/>
      <c r="AR126" s="241"/>
      <c r="AS126" s="241"/>
      <c r="AT126" s="241"/>
    </row>
    <row r="127" spans="1:46" ht="17.25" customHeight="1" x14ac:dyDescent="0.25">
      <c r="A127" s="93">
        <v>115</v>
      </c>
      <c r="B127" s="100" t="s">
        <v>89</v>
      </c>
      <c r="C127" s="107" t="s">
        <v>394</v>
      </c>
      <c r="D127" s="107" t="s">
        <v>404</v>
      </c>
      <c r="E127" s="93">
        <v>5</v>
      </c>
      <c r="F127" s="102">
        <v>41298</v>
      </c>
      <c r="G127" s="103" t="s">
        <v>405</v>
      </c>
      <c r="H127" s="101">
        <v>7138395988</v>
      </c>
      <c r="I127" s="103" t="s">
        <v>406</v>
      </c>
      <c r="J127" s="102">
        <v>45124</v>
      </c>
      <c r="K127" s="106" t="s">
        <v>383</v>
      </c>
      <c r="L127" s="107" t="s">
        <v>407</v>
      </c>
      <c r="M127" s="103" t="s">
        <v>220</v>
      </c>
      <c r="N127" s="93" t="s">
        <v>41</v>
      </c>
      <c r="O127" s="104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</row>
    <row r="128" spans="1:46" ht="17.25" customHeight="1" x14ac:dyDescent="0.25">
      <c r="A128" s="93">
        <v>122</v>
      </c>
      <c r="B128" s="126" t="s">
        <v>49</v>
      </c>
      <c r="C128" s="127" t="s">
        <v>408</v>
      </c>
      <c r="D128" s="127" t="s">
        <v>420</v>
      </c>
      <c r="E128" s="128">
        <v>3</v>
      </c>
      <c r="F128" s="129">
        <v>42387</v>
      </c>
      <c r="G128" s="130" t="s">
        <v>421</v>
      </c>
      <c r="H128" s="130">
        <v>9258603355</v>
      </c>
      <c r="I128" s="130" t="s">
        <v>422</v>
      </c>
      <c r="J128" s="123">
        <v>45231</v>
      </c>
      <c r="K128" s="124" t="s">
        <v>110</v>
      </c>
      <c r="L128" s="125" t="s">
        <v>423</v>
      </c>
      <c r="M128" s="131"/>
      <c r="N128" s="128" t="s">
        <v>82</v>
      </c>
      <c r="O128" s="132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</row>
    <row r="129" spans="1:46" ht="17.25" customHeight="1" x14ac:dyDescent="0.25">
      <c r="A129" s="93">
        <v>123</v>
      </c>
      <c r="B129" s="126" t="s">
        <v>89</v>
      </c>
      <c r="C129" s="127" t="s">
        <v>408</v>
      </c>
      <c r="D129" s="127" t="s">
        <v>420</v>
      </c>
      <c r="E129" s="128">
        <v>3</v>
      </c>
      <c r="F129" s="129">
        <v>42387</v>
      </c>
      <c r="G129" s="130" t="s">
        <v>421</v>
      </c>
      <c r="H129" s="130">
        <v>9258603355</v>
      </c>
      <c r="I129" s="130" t="s">
        <v>422</v>
      </c>
      <c r="J129" s="123">
        <v>45231</v>
      </c>
      <c r="K129" s="124" t="s">
        <v>112</v>
      </c>
      <c r="L129" s="125" t="s">
        <v>286</v>
      </c>
      <c r="M129" s="131" t="s">
        <v>496</v>
      </c>
      <c r="N129" s="128" t="s">
        <v>82</v>
      </c>
      <c r="O129" s="132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</row>
    <row r="130" spans="1:46" ht="17.25" customHeight="1" x14ac:dyDescent="0.25">
      <c r="A130" s="93">
        <v>116</v>
      </c>
      <c r="B130" s="100" t="s">
        <v>49</v>
      </c>
      <c r="C130" s="101" t="s">
        <v>408</v>
      </c>
      <c r="D130" s="101" t="s">
        <v>323</v>
      </c>
      <c r="E130" s="93">
        <v>3</v>
      </c>
      <c r="F130" s="102">
        <v>42099</v>
      </c>
      <c r="G130" s="103" t="s">
        <v>409</v>
      </c>
      <c r="H130" s="101">
        <v>3104608958</v>
      </c>
      <c r="I130" s="103" t="s">
        <v>410</v>
      </c>
      <c r="J130" s="102">
        <v>45200</v>
      </c>
      <c r="K130" s="106" t="s">
        <v>365</v>
      </c>
      <c r="L130" s="107" t="s">
        <v>411</v>
      </c>
      <c r="M130" s="103"/>
      <c r="N130" s="93" t="s">
        <v>41</v>
      </c>
      <c r="O130" s="104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</row>
    <row r="131" spans="1:46" ht="17.25" customHeight="1" x14ac:dyDescent="0.25">
      <c r="A131" s="93">
        <v>117</v>
      </c>
      <c r="B131" s="100" t="s">
        <v>89</v>
      </c>
      <c r="C131" s="101" t="s">
        <v>408</v>
      </c>
      <c r="D131" s="101" t="s">
        <v>323</v>
      </c>
      <c r="E131" s="93">
        <v>3</v>
      </c>
      <c r="F131" s="102">
        <v>42099</v>
      </c>
      <c r="G131" s="103" t="s">
        <v>409</v>
      </c>
      <c r="H131" s="101">
        <v>3104608958</v>
      </c>
      <c r="I131" s="103" t="s">
        <v>410</v>
      </c>
      <c r="J131" s="102">
        <v>45200</v>
      </c>
      <c r="K131" s="106" t="s">
        <v>160</v>
      </c>
      <c r="L131" s="107" t="s">
        <v>411</v>
      </c>
      <c r="M131" s="103" t="s">
        <v>220</v>
      </c>
      <c r="N131" s="93" t="s">
        <v>41</v>
      </c>
      <c r="O131" s="104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</row>
    <row r="132" spans="1:46" ht="17.25" customHeight="1" x14ac:dyDescent="0.25">
      <c r="A132" s="93">
        <v>118</v>
      </c>
      <c r="B132" s="100" t="s">
        <v>49</v>
      </c>
      <c r="C132" s="101" t="s">
        <v>412</v>
      </c>
      <c r="D132" s="101" t="s">
        <v>310</v>
      </c>
      <c r="E132" s="93" t="s">
        <v>413</v>
      </c>
      <c r="F132" s="102">
        <v>42940</v>
      </c>
      <c r="G132" s="103" t="s">
        <v>414</v>
      </c>
      <c r="H132" s="101">
        <v>5105090555</v>
      </c>
      <c r="I132" s="103" t="s">
        <v>415</v>
      </c>
      <c r="J132" s="102">
        <v>44723</v>
      </c>
      <c r="K132" s="106" t="s">
        <v>150</v>
      </c>
      <c r="L132" s="107" t="s">
        <v>151</v>
      </c>
      <c r="M132" s="103"/>
      <c r="N132" s="93" t="s">
        <v>41</v>
      </c>
      <c r="O132" s="104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</row>
    <row r="133" spans="1:46" ht="17.25" customHeight="1" x14ac:dyDescent="0.25">
      <c r="A133" s="93">
        <v>119</v>
      </c>
      <c r="B133" s="100" t="s">
        <v>89</v>
      </c>
      <c r="C133" s="101" t="s">
        <v>412</v>
      </c>
      <c r="D133" s="101" t="s">
        <v>310</v>
      </c>
      <c r="E133" s="93" t="s">
        <v>413</v>
      </c>
      <c r="F133" s="102">
        <v>42940</v>
      </c>
      <c r="G133" s="103" t="s">
        <v>414</v>
      </c>
      <c r="H133" s="101">
        <v>5105090555</v>
      </c>
      <c r="I133" s="103" t="s">
        <v>415</v>
      </c>
      <c r="J133" s="102">
        <v>44723</v>
      </c>
      <c r="K133" s="106" t="s">
        <v>119</v>
      </c>
      <c r="L133" s="107" t="s">
        <v>111</v>
      </c>
      <c r="M133" s="103"/>
      <c r="N133" s="93" t="s">
        <v>41</v>
      </c>
      <c r="O133" s="104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</row>
    <row r="134" spans="1:46" ht="17.25" customHeight="1" x14ac:dyDescent="0.25">
      <c r="A134" s="93">
        <v>120</v>
      </c>
      <c r="B134" s="100" t="s">
        <v>49</v>
      </c>
      <c r="C134" s="101" t="s">
        <v>412</v>
      </c>
      <c r="D134" s="101" t="s">
        <v>416</v>
      </c>
      <c r="E134" s="93">
        <v>5</v>
      </c>
      <c r="F134" s="102">
        <v>40745</v>
      </c>
      <c r="G134" s="103" t="s">
        <v>417</v>
      </c>
      <c r="H134" s="101">
        <v>5105090555</v>
      </c>
      <c r="I134" s="103" t="s">
        <v>415</v>
      </c>
      <c r="J134" s="101" t="s">
        <v>418</v>
      </c>
      <c r="K134" s="106" t="s">
        <v>419</v>
      </c>
      <c r="L134" s="107" t="s">
        <v>137</v>
      </c>
      <c r="M134" s="103"/>
      <c r="N134" s="93" t="s">
        <v>41</v>
      </c>
      <c r="O134" s="104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  <c r="AD134" s="240"/>
      <c r="AE134" s="240"/>
      <c r="AF134" s="240"/>
      <c r="AG134" s="240"/>
      <c r="AH134" s="240"/>
      <c r="AI134" s="240"/>
      <c r="AJ134" s="240"/>
      <c r="AK134" s="240"/>
      <c r="AL134" s="240"/>
      <c r="AM134" s="240"/>
      <c r="AN134" s="240"/>
      <c r="AO134" s="240"/>
      <c r="AP134" s="240"/>
      <c r="AQ134" s="240"/>
      <c r="AR134" s="240"/>
      <c r="AS134" s="240"/>
      <c r="AT134" s="240"/>
    </row>
    <row r="135" spans="1:46" ht="17.25" customHeight="1" x14ac:dyDescent="0.25">
      <c r="A135" s="93">
        <v>121</v>
      </c>
      <c r="B135" s="100" t="s">
        <v>89</v>
      </c>
      <c r="C135" s="101" t="s">
        <v>412</v>
      </c>
      <c r="D135" s="101" t="s">
        <v>416</v>
      </c>
      <c r="E135" s="93">
        <v>5</v>
      </c>
      <c r="F135" s="102">
        <v>40745</v>
      </c>
      <c r="G135" s="103" t="s">
        <v>417</v>
      </c>
      <c r="H135" s="101">
        <v>5105090555</v>
      </c>
      <c r="I135" s="103" t="s">
        <v>415</v>
      </c>
      <c r="J135" s="101" t="s">
        <v>418</v>
      </c>
      <c r="K135" s="106" t="s">
        <v>239</v>
      </c>
      <c r="L135" s="107" t="s">
        <v>223</v>
      </c>
      <c r="M135" s="103"/>
      <c r="N135" s="93" t="s">
        <v>41</v>
      </c>
      <c r="O135" s="104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</row>
    <row r="136" spans="1:46" ht="17.25" customHeight="1" x14ac:dyDescent="0.35">
      <c r="A136" s="93"/>
      <c r="B136" s="136"/>
      <c r="C136" s="137"/>
      <c r="D136" s="137"/>
      <c r="E136" s="138"/>
      <c r="F136" s="139"/>
      <c r="G136" s="140"/>
      <c r="H136" s="137"/>
      <c r="I136" s="140"/>
      <c r="J136" s="137"/>
      <c r="K136" s="141"/>
      <c r="L136" s="142"/>
      <c r="M136" s="140"/>
      <c r="N136" s="138"/>
      <c r="O136" s="143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</row>
    <row r="137" spans="1:46" ht="17.25" customHeight="1" x14ac:dyDescent="0.35">
      <c r="A137" s="93"/>
      <c r="B137" s="136"/>
      <c r="C137" s="137"/>
      <c r="D137" s="137"/>
      <c r="E137" s="138"/>
      <c r="F137" s="139"/>
      <c r="G137" s="140"/>
      <c r="H137" s="137"/>
      <c r="I137" s="140"/>
      <c r="J137" s="137"/>
      <c r="K137" s="141"/>
      <c r="L137" s="142"/>
      <c r="M137" s="140"/>
      <c r="N137" s="138"/>
      <c r="O137" s="143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</row>
    <row r="138" spans="1:46" ht="17.25" customHeight="1" x14ac:dyDescent="0.35">
      <c r="A138" s="93"/>
      <c r="B138" s="136"/>
      <c r="C138" s="137"/>
      <c r="D138" s="137"/>
      <c r="E138" s="138"/>
      <c r="F138" s="139"/>
      <c r="G138" s="140"/>
      <c r="H138" s="137"/>
      <c r="I138" s="140"/>
      <c r="J138" s="137"/>
      <c r="K138" s="141"/>
      <c r="L138" s="142"/>
      <c r="M138" s="140"/>
      <c r="N138" s="138"/>
      <c r="O138" s="143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</row>
    <row r="139" spans="1:46" ht="17.25" customHeight="1" x14ac:dyDescent="0.35">
      <c r="A139" s="93"/>
      <c r="B139" s="136"/>
      <c r="C139" s="137"/>
      <c r="D139" s="137"/>
      <c r="E139" s="138"/>
      <c r="F139" s="139"/>
      <c r="G139" s="140"/>
      <c r="H139" s="137"/>
      <c r="I139" s="140"/>
      <c r="J139" s="137"/>
      <c r="K139" s="141"/>
      <c r="L139" s="142"/>
      <c r="M139" s="140"/>
      <c r="N139" s="138"/>
      <c r="O139" s="143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</row>
    <row r="140" spans="1:46" ht="17.25" customHeight="1" x14ac:dyDescent="0.35">
      <c r="A140" s="93"/>
      <c r="B140" s="136"/>
      <c r="C140" s="137"/>
      <c r="D140" s="137"/>
      <c r="E140" s="138"/>
      <c r="F140" s="139"/>
      <c r="G140" s="140"/>
      <c r="H140" s="137"/>
      <c r="I140" s="140"/>
      <c r="J140" s="137"/>
      <c r="K140" s="141"/>
      <c r="L140" s="142"/>
      <c r="M140" s="140"/>
      <c r="N140" s="138"/>
      <c r="O140" s="143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</row>
    <row r="141" spans="1:46" ht="17.25" customHeight="1" x14ac:dyDescent="0.35">
      <c r="A141" s="93"/>
      <c r="B141" s="136"/>
      <c r="C141" s="137"/>
      <c r="D141" s="137"/>
      <c r="E141" s="138"/>
      <c r="F141" s="139"/>
      <c r="G141" s="140"/>
      <c r="H141" s="137"/>
      <c r="I141" s="140"/>
      <c r="J141" s="137"/>
      <c r="K141" s="141"/>
      <c r="L141" s="142"/>
      <c r="M141" s="140"/>
      <c r="N141" s="138"/>
      <c r="O141" s="143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</row>
    <row r="142" spans="1:46" ht="17.25" customHeight="1" x14ac:dyDescent="0.35">
      <c r="A142" s="2"/>
      <c r="B142" s="11"/>
      <c r="C142" s="84"/>
      <c r="D142" s="84"/>
      <c r="E142" s="83"/>
      <c r="F142" s="84"/>
      <c r="G142" s="2"/>
      <c r="H142" s="84"/>
      <c r="I142" s="2"/>
      <c r="J142" s="84"/>
      <c r="K142" s="2"/>
      <c r="L142" s="84"/>
      <c r="M142" s="2"/>
      <c r="N142" s="83"/>
      <c r="O142" s="14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7.25" customHeight="1" x14ac:dyDescent="0.35">
      <c r="A143" s="2"/>
      <c r="B143" s="11"/>
      <c r="C143" s="84"/>
      <c r="D143" s="84"/>
      <c r="E143" s="83"/>
      <c r="F143" s="84"/>
      <c r="G143" s="2"/>
      <c r="H143" s="84"/>
      <c r="I143" s="2"/>
      <c r="J143" s="84"/>
      <c r="K143" s="2"/>
      <c r="L143" s="84"/>
      <c r="M143" s="2"/>
      <c r="N143" s="83"/>
      <c r="O143" s="14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7.25" customHeight="1" x14ac:dyDescent="0.35">
      <c r="A144" s="1" t="s">
        <v>445</v>
      </c>
      <c r="B144" s="11"/>
      <c r="C144" s="84"/>
      <c r="D144" s="84"/>
      <c r="E144" s="11"/>
      <c r="F144" s="79"/>
      <c r="G144" s="79"/>
      <c r="H144" s="79"/>
      <c r="I144" s="79"/>
      <c r="J144" s="79"/>
      <c r="K144" s="33"/>
      <c r="L144" s="79"/>
      <c r="M144" s="79"/>
      <c r="N144" s="11"/>
      <c r="O144" s="8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21" hidden="1" customHeight="1" x14ac:dyDescent="0.35">
      <c r="A145" s="146">
        <v>1</v>
      </c>
      <c r="B145" s="147" t="s">
        <v>49</v>
      </c>
      <c r="C145" s="148" t="s">
        <v>446</v>
      </c>
      <c r="D145" s="148" t="s">
        <v>447</v>
      </c>
      <c r="E145" s="149">
        <v>5</v>
      </c>
      <c r="F145" s="150">
        <v>41297</v>
      </c>
      <c r="G145" s="151" t="s">
        <v>448</v>
      </c>
      <c r="H145" s="148">
        <v>5108288339</v>
      </c>
      <c r="I145" s="151" t="s">
        <v>449</v>
      </c>
      <c r="J145" s="150">
        <v>45082</v>
      </c>
      <c r="K145" s="151" t="s">
        <v>110</v>
      </c>
      <c r="L145" s="148" t="s">
        <v>375</v>
      </c>
      <c r="M145" s="151"/>
      <c r="N145" s="149" t="s">
        <v>35</v>
      </c>
      <c r="O145" s="152">
        <v>45108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21" hidden="1" customHeight="1" x14ac:dyDescent="0.35">
      <c r="A146" s="153">
        <v>2</v>
      </c>
      <c r="B146" s="154" t="s">
        <v>89</v>
      </c>
      <c r="C146" s="155" t="s">
        <v>446</v>
      </c>
      <c r="D146" s="155" t="s">
        <v>447</v>
      </c>
      <c r="E146" s="156">
        <v>5</v>
      </c>
      <c r="F146" s="157">
        <v>41297</v>
      </c>
      <c r="G146" s="158" t="s">
        <v>448</v>
      </c>
      <c r="H146" s="155">
        <v>5108288339</v>
      </c>
      <c r="I146" s="158" t="s">
        <v>449</v>
      </c>
      <c r="J146" s="157">
        <v>45082</v>
      </c>
      <c r="K146" s="158" t="s">
        <v>250</v>
      </c>
      <c r="L146" s="155" t="s">
        <v>113</v>
      </c>
      <c r="M146" s="158" t="s">
        <v>220</v>
      </c>
      <c r="N146" s="156" t="s">
        <v>35</v>
      </c>
      <c r="O146" s="152">
        <v>45108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21" hidden="1" customHeight="1" x14ac:dyDescent="0.35">
      <c r="A147" s="159">
        <v>3</v>
      </c>
      <c r="B147" s="160" t="s">
        <v>49</v>
      </c>
      <c r="C147" s="161" t="s">
        <v>287</v>
      </c>
      <c r="D147" s="161" t="s">
        <v>292</v>
      </c>
      <c r="E147" s="162" t="s">
        <v>147</v>
      </c>
      <c r="F147" s="163">
        <v>42867</v>
      </c>
      <c r="G147" s="164" t="s">
        <v>293</v>
      </c>
      <c r="H147" s="161">
        <v>4086432868</v>
      </c>
      <c r="I147" s="164" t="s">
        <v>294</v>
      </c>
      <c r="J147" s="163">
        <v>44835</v>
      </c>
      <c r="K147" s="164" t="s">
        <v>450</v>
      </c>
      <c r="L147" s="161" t="s">
        <v>151</v>
      </c>
      <c r="M147" s="164" t="s">
        <v>295</v>
      </c>
      <c r="N147" s="162" t="s">
        <v>35</v>
      </c>
      <c r="O147" s="165">
        <v>45108</v>
      </c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</row>
    <row r="148" spans="1:46" ht="21" hidden="1" customHeight="1" x14ac:dyDescent="0.35">
      <c r="A148" s="159">
        <v>4</v>
      </c>
      <c r="B148" s="160"/>
      <c r="C148" s="161" t="s">
        <v>287</v>
      </c>
      <c r="D148" s="161" t="s">
        <v>292</v>
      </c>
      <c r="E148" s="162" t="s">
        <v>147</v>
      </c>
      <c r="F148" s="163">
        <v>42867</v>
      </c>
      <c r="G148" s="164" t="s">
        <v>293</v>
      </c>
      <c r="H148" s="161">
        <v>4086432868</v>
      </c>
      <c r="I148" s="164" t="s">
        <v>294</v>
      </c>
      <c r="J148" s="163">
        <v>44958</v>
      </c>
      <c r="K148" s="164" t="s">
        <v>436</v>
      </c>
      <c r="L148" s="161" t="s">
        <v>268</v>
      </c>
      <c r="M148" s="164" t="s">
        <v>295</v>
      </c>
      <c r="N148" s="162" t="s">
        <v>35</v>
      </c>
      <c r="O148" s="165">
        <v>45108</v>
      </c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6"/>
    </row>
    <row r="149" spans="1:46" ht="17.25" customHeight="1" x14ac:dyDescent="0.35">
      <c r="A149" s="167">
        <v>1</v>
      </c>
      <c r="B149" s="168" t="s">
        <v>49</v>
      </c>
      <c r="C149" s="169" t="s">
        <v>451</v>
      </c>
      <c r="D149" s="169" t="s">
        <v>230</v>
      </c>
      <c r="E149" s="167">
        <v>4</v>
      </c>
      <c r="F149" s="170">
        <v>41337</v>
      </c>
      <c r="G149" s="171" t="s">
        <v>452</v>
      </c>
      <c r="H149" s="169">
        <v>5103585536</v>
      </c>
      <c r="I149" s="171" t="s">
        <v>453</v>
      </c>
      <c r="J149" s="170">
        <v>44844</v>
      </c>
      <c r="K149" s="171" t="s">
        <v>382</v>
      </c>
      <c r="L149" s="169">
        <v>16</v>
      </c>
      <c r="M149" s="171"/>
      <c r="N149" s="167" t="s">
        <v>35</v>
      </c>
      <c r="O149" s="172">
        <v>45139</v>
      </c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</row>
    <row r="150" spans="1:46" ht="17.25" customHeight="1" x14ac:dyDescent="0.35">
      <c r="A150" s="138">
        <v>2</v>
      </c>
      <c r="B150" s="168" t="s">
        <v>49</v>
      </c>
      <c r="C150" s="169" t="s">
        <v>454</v>
      </c>
      <c r="D150" s="169" t="s">
        <v>455</v>
      </c>
      <c r="E150" s="167">
        <v>1</v>
      </c>
      <c r="F150" s="170">
        <v>43061</v>
      </c>
      <c r="G150" s="171" t="s">
        <v>456</v>
      </c>
      <c r="H150" s="169">
        <v>4152449059</v>
      </c>
      <c r="I150" s="171" t="s">
        <v>457</v>
      </c>
      <c r="J150" s="170">
        <v>45082</v>
      </c>
      <c r="K150" s="174" t="s">
        <v>181</v>
      </c>
      <c r="L150" s="175">
        <v>75</v>
      </c>
      <c r="M150" s="171"/>
      <c r="N150" s="167" t="s">
        <v>35</v>
      </c>
      <c r="O150" s="172">
        <v>45139</v>
      </c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3"/>
      <c r="AT150" s="173"/>
    </row>
    <row r="151" spans="1:46" ht="17.25" customHeight="1" x14ac:dyDescent="0.35">
      <c r="A151" s="138">
        <v>3</v>
      </c>
      <c r="B151" s="168" t="s">
        <v>89</v>
      </c>
      <c r="C151" s="169" t="s">
        <v>454</v>
      </c>
      <c r="D151" s="169" t="s">
        <v>455</v>
      </c>
      <c r="E151" s="167">
        <v>1</v>
      </c>
      <c r="F151" s="170">
        <v>43061</v>
      </c>
      <c r="G151" s="171" t="s">
        <v>456</v>
      </c>
      <c r="H151" s="169">
        <v>4152449059</v>
      </c>
      <c r="I151" s="171" t="s">
        <v>457</v>
      </c>
      <c r="J151" s="170">
        <v>45082</v>
      </c>
      <c r="K151" s="174" t="s">
        <v>458</v>
      </c>
      <c r="L151" s="175">
        <v>85</v>
      </c>
      <c r="M151" s="171" t="s">
        <v>220</v>
      </c>
      <c r="N151" s="167" t="s">
        <v>35</v>
      </c>
      <c r="O151" s="172">
        <v>45139</v>
      </c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</row>
    <row r="152" spans="1:46" s="194" customFormat="1" ht="15" customHeight="1" x14ac:dyDescent="0.25">
      <c r="A152" s="185">
        <v>4</v>
      </c>
      <c r="B152" s="186" t="s">
        <v>49</v>
      </c>
      <c r="C152" s="187" t="s">
        <v>199</v>
      </c>
      <c r="D152" s="187" t="s">
        <v>433</v>
      </c>
      <c r="E152" s="185">
        <v>3</v>
      </c>
      <c r="F152" s="188">
        <v>41924</v>
      </c>
      <c r="G152" s="189" t="s">
        <v>459</v>
      </c>
      <c r="H152" s="187">
        <v>5102921648</v>
      </c>
      <c r="I152" s="189" t="s">
        <v>460</v>
      </c>
      <c r="J152" s="188">
        <v>45093</v>
      </c>
      <c r="K152" s="190" t="s">
        <v>118</v>
      </c>
      <c r="L152" s="191">
        <v>91</v>
      </c>
      <c r="M152" s="189"/>
      <c r="N152" s="185" t="s">
        <v>35</v>
      </c>
      <c r="O152" s="192">
        <v>45139</v>
      </c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  <c r="AH152" s="193"/>
      <c r="AI152" s="193"/>
      <c r="AJ152" s="193"/>
      <c r="AK152" s="193"/>
      <c r="AL152" s="193"/>
      <c r="AM152" s="193"/>
      <c r="AN152" s="193"/>
      <c r="AO152" s="193"/>
      <c r="AP152" s="193"/>
      <c r="AQ152" s="193"/>
      <c r="AR152" s="193"/>
      <c r="AS152" s="193"/>
      <c r="AT152" s="193"/>
    </row>
    <row r="153" spans="1:46" ht="17.25" customHeight="1" x14ac:dyDescent="0.35">
      <c r="A153" s="138">
        <v>5</v>
      </c>
      <c r="B153" s="168" t="s">
        <v>49</v>
      </c>
      <c r="C153" s="169" t="s">
        <v>461</v>
      </c>
      <c r="D153" s="175" t="s">
        <v>462</v>
      </c>
      <c r="E153" s="167">
        <v>5</v>
      </c>
      <c r="F153" s="176">
        <v>40972</v>
      </c>
      <c r="G153" s="174" t="s">
        <v>463</v>
      </c>
      <c r="H153" s="175">
        <v>5105098418</v>
      </c>
      <c r="I153" s="174" t="s">
        <v>464</v>
      </c>
      <c r="J153" s="170">
        <v>45110</v>
      </c>
      <c r="K153" s="174" t="s">
        <v>308</v>
      </c>
      <c r="L153" s="175">
        <v>91</v>
      </c>
      <c r="M153" s="171"/>
      <c r="N153" s="167" t="s">
        <v>35</v>
      </c>
      <c r="O153" s="172">
        <v>45139</v>
      </c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3"/>
      <c r="AT153" s="173"/>
    </row>
    <row r="154" spans="1:46" ht="17.25" customHeight="1" x14ac:dyDescent="0.35">
      <c r="A154" s="138">
        <v>6</v>
      </c>
      <c r="B154" s="168" t="s">
        <v>89</v>
      </c>
      <c r="C154" s="169" t="s">
        <v>461</v>
      </c>
      <c r="D154" s="175" t="s">
        <v>462</v>
      </c>
      <c r="E154" s="167">
        <v>5</v>
      </c>
      <c r="F154" s="176">
        <v>40972</v>
      </c>
      <c r="G154" s="174" t="s">
        <v>463</v>
      </c>
      <c r="H154" s="175">
        <v>5105098418</v>
      </c>
      <c r="I154" s="174" t="s">
        <v>464</v>
      </c>
      <c r="J154" s="170">
        <v>45110</v>
      </c>
      <c r="K154" s="174" t="s">
        <v>112</v>
      </c>
      <c r="L154" s="175">
        <v>86</v>
      </c>
      <c r="M154" s="171" t="s">
        <v>220</v>
      </c>
      <c r="N154" s="167" t="s">
        <v>35</v>
      </c>
      <c r="O154" s="172">
        <v>45139</v>
      </c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  <c r="AE154" s="177"/>
      <c r="AF154" s="177"/>
      <c r="AG154" s="177"/>
      <c r="AH154" s="177"/>
      <c r="AI154" s="177"/>
      <c r="AJ154" s="177"/>
      <c r="AK154" s="177"/>
      <c r="AL154" s="177"/>
      <c r="AM154" s="177"/>
      <c r="AN154" s="177"/>
      <c r="AO154" s="177"/>
      <c r="AP154" s="177"/>
      <c r="AQ154" s="177"/>
      <c r="AR154" s="177"/>
      <c r="AS154" s="177"/>
      <c r="AT154" s="177"/>
    </row>
    <row r="155" spans="1:46" ht="17.25" customHeight="1" x14ac:dyDescent="0.35">
      <c r="A155" s="138">
        <v>7</v>
      </c>
      <c r="B155" s="168" t="s">
        <v>49</v>
      </c>
      <c r="C155" s="175" t="s">
        <v>461</v>
      </c>
      <c r="D155" s="175" t="s">
        <v>270</v>
      </c>
      <c r="E155" s="167">
        <v>7</v>
      </c>
      <c r="F155" s="170">
        <v>40193</v>
      </c>
      <c r="G155" s="174" t="s">
        <v>463</v>
      </c>
      <c r="H155" s="175">
        <v>5105098418</v>
      </c>
      <c r="I155" s="174" t="s">
        <v>464</v>
      </c>
      <c r="J155" s="170">
        <v>45110</v>
      </c>
      <c r="K155" s="174" t="s">
        <v>382</v>
      </c>
      <c r="L155" s="175">
        <v>16</v>
      </c>
      <c r="M155" s="171"/>
      <c r="N155" s="167" t="s">
        <v>35</v>
      </c>
      <c r="O155" s="172">
        <v>45139</v>
      </c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  <c r="AE155" s="177"/>
      <c r="AF155" s="177"/>
      <c r="AG155" s="177"/>
      <c r="AH155" s="177"/>
      <c r="AI155" s="177"/>
      <c r="AJ155" s="177"/>
      <c r="AK155" s="177"/>
      <c r="AL155" s="177"/>
      <c r="AM155" s="177"/>
      <c r="AN155" s="177"/>
      <c r="AO155" s="177"/>
      <c r="AP155" s="177"/>
      <c r="AQ155" s="177"/>
      <c r="AR155" s="177"/>
      <c r="AS155" s="177"/>
      <c r="AT155" s="177"/>
    </row>
    <row r="156" spans="1:46" ht="17.25" customHeight="1" x14ac:dyDescent="0.35">
      <c r="A156" s="138">
        <v>8</v>
      </c>
      <c r="B156" s="168" t="s">
        <v>89</v>
      </c>
      <c r="C156" s="175" t="s">
        <v>461</v>
      </c>
      <c r="D156" s="175" t="s">
        <v>270</v>
      </c>
      <c r="E156" s="167">
        <v>7</v>
      </c>
      <c r="F156" s="170">
        <v>40193</v>
      </c>
      <c r="G156" s="174" t="s">
        <v>463</v>
      </c>
      <c r="H156" s="175">
        <v>5105098418</v>
      </c>
      <c r="I156" s="174" t="s">
        <v>464</v>
      </c>
      <c r="J156" s="170">
        <v>45110</v>
      </c>
      <c r="K156" s="174" t="s">
        <v>128</v>
      </c>
      <c r="L156" s="175">
        <v>101</v>
      </c>
      <c r="M156" s="171" t="s">
        <v>220</v>
      </c>
      <c r="N156" s="167" t="s">
        <v>35</v>
      </c>
      <c r="O156" s="172">
        <v>45139</v>
      </c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</row>
    <row r="157" spans="1:46" ht="17.25" customHeight="1" x14ac:dyDescent="0.25">
      <c r="A157" s="195">
        <v>9</v>
      </c>
      <c r="B157" s="196" t="s">
        <v>49</v>
      </c>
      <c r="C157" s="197" t="s">
        <v>309</v>
      </c>
      <c r="D157" s="197" t="s">
        <v>316</v>
      </c>
      <c r="E157" s="195">
        <v>1</v>
      </c>
      <c r="F157" s="198">
        <v>42086</v>
      </c>
      <c r="G157" s="199" t="s">
        <v>317</v>
      </c>
      <c r="H157" s="197">
        <v>5109848496</v>
      </c>
      <c r="I157" s="199" t="s">
        <v>318</v>
      </c>
      <c r="J157" s="198">
        <v>44812</v>
      </c>
      <c r="K157" s="200" t="s">
        <v>211</v>
      </c>
      <c r="L157" s="201">
        <v>76</v>
      </c>
      <c r="M157" s="199" t="s">
        <v>319</v>
      </c>
      <c r="N157" s="195" t="s">
        <v>35</v>
      </c>
      <c r="O157" s="202">
        <v>45139</v>
      </c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</row>
    <row r="158" spans="1:46" ht="17.25" customHeight="1" x14ac:dyDescent="0.25">
      <c r="A158" s="195">
        <v>10</v>
      </c>
      <c r="B158" s="196" t="s">
        <v>89</v>
      </c>
      <c r="C158" s="197" t="s">
        <v>309</v>
      </c>
      <c r="D158" s="197" t="s">
        <v>316</v>
      </c>
      <c r="E158" s="195">
        <v>1</v>
      </c>
      <c r="F158" s="198">
        <v>42086</v>
      </c>
      <c r="G158" s="199" t="s">
        <v>317</v>
      </c>
      <c r="H158" s="197">
        <v>5109848496</v>
      </c>
      <c r="I158" s="199" t="s">
        <v>318</v>
      </c>
      <c r="J158" s="198">
        <v>44812</v>
      </c>
      <c r="K158" s="200" t="s">
        <v>250</v>
      </c>
      <c r="L158" s="201">
        <v>106</v>
      </c>
      <c r="M158" s="199" t="s">
        <v>319</v>
      </c>
      <c r="N158" s="195" t="s">
        <v>35</v>
      </c>
      <c r="O158" s="202">
        <v>45139</v>
      </c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</row>
    <row r="159" spans="1:46" ht="17.25" customHeight="1" x14ac:dyDescent="0.35">
      <c r="A159" s="138">
        <v>11</v>
      </c>
      <c r="B159" s="168" t="s">
        <v>49</v>
      </c>
      <c r="C159" s="169" t="s">
        <v>465</v>
      </c>
      <c r="D159" s="169" t="s">
        <v>466</v>
      </c>
      <c r="E159" s="167">
        <v>7</v>
      </c>
      <c r="F159" s="170">
        <v>40635</v>
      </c>
      <c r="G159" s="171" t="s">
        <v>467</v>
      </c>
      <c r="H159" s="169">
        <v>7605507063</v>
      </c>
      <c r="I159" s="171" t="s">
        <v>468</v>
      </c>
      <c r="J159" s="170">
        <v>45082</v>
      </c>
      <c r="K159" s="174" t="s">
        <v>382</v>
      </c>
      <c r="L159" s="175">
        <v>101</v>
      </c>
      <c r="M159" s="171" t="s">
        <v>469</v>
      </c>
      <c r="N159" s="167" t="s">
        <v>35</v>
      </c>
      <c r="O159" s="172">
        <v>45139</v>
      </c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</row>
    <row r="160" spans="1:46" ht="17.25" customHeight="1" x14ac:dyDescent="0.35">
      <c r="A160" s="138">
        <v>12</v>
      </c>
      <c r="B160" s="168" t="s">
        <v>89</v>
      </c>
      <c r="C160" s="169" t="s">
        <v>465</v>
      </c>
      <c r="D160" s="169" t="s">
        <v>466</v>
      </c>
      <c r="E160" s="167">
        <v>7</v>
      </c>
      <c r="F160" s="170">
        <v>40635</v>
      </c>
      <c r="G160" s="171" t="s">
        <v>467</v>
      </c>
      <c r="H160" s="169">
        <v>7605507063</v>
      </c>
      <c r="I160" s="171" t="s">
        <v>468</v>
      </c>
      <c r="J160" s="170">
        <v>45082</v>
      </c>
      <c r="K160" s="174" t="s">
        <v>250</v>
      </c>
      <c r="L160" s="175">
        <v>20</v>
      </c>
      <c r="M160" s="171" t="s">
        <v>469</v>
      </c>
      <c r="N160" s="167" t="s">
        <v>35</v>
      </c>
      <c r="O160" s="172">
        <v>45139</v>
      </c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</row>
    <row r="161" spans="1:46" ht="17.25" customHeight="1" x14ac:dyDescent="0.35">
      <c r="A161" s="138">
        <v>13</v>
      </c>
      <c r="B161" s="168" t="s">
        <v>49</v>
      </c>
      <c r="C161" s="169" t="s">
        <v>465</v>
      </c>
      <c r="D161" s="169" t="s">
        <v>470</v>
      </c>
      <c r="E161" s="167">
        <v>2</v>
      </c>
      <c r="F161" s="170">
        <v>42425</v>
      </c>
      <c r="G161" s="171" t="s">
        <v>467</v>
      </c>
      <c r="H161" s="169">
        <v>7605507063</v>
      </c>
      <c r="I161" s="171" t="s">
        <v>468</v>
      </c>
      <c r="J161" s="170">
        <v>45082</v>
      </c>
      <c r="K161" s="174" t="s">
        <v>168</v>
      </c>
      <c r="L161" s="175">
        <v>51</v>
      </c>
      <c r="M161" s="171" t="s">
        <v>469</v>
      </c>
      <c r="N161" s="167" t="s">
        <v>35</v>
      </c>
      <c r="O161" s="172">
        <v>45139</v>
      </c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</row>
    <row r="162" spans="1:46" ht="17.25" customHeight="1" x14ac:dyDescent="0.35">
      <c r="A162" s="138">
        <v>14</v>
      </c>
      <c r="B162" s="168" t="s">
        <v>89</v>
      </c>
      <c r="C162" s="169" t="s">
        <v>465</v>
      </c>
      <c r="D162" s="169" t="s">
        <v>470</v>
      </c>
      <c r="E162" s="167">
        <v>2</v>
      </c>
      <c r="F162" s="170">
        <v>42425</v>
      </c>
      <c r="G162" s="171" t="s">
        <v>467</v>
      </c>
      <c r="H162" s="169">
        <v>7605507063</v>
      </c>
      <c r="I162" s="171" t="s">
        <v>468</v>
      </c>
      <c r="J162" s="170">
        <v>45082</v>
      </c>
      <c r="K162" s="174" t="s">
        <v>136</v>
      </c>
      <c r="L162" s="175">
        <v>1</v>
      </c>
      <c r="M162" s="171" t="s">
        <v>469</v>
      </c>
      <c r="N162" s="167" t="s">
        <v>35</v>
      </c>
      <c r="O162" s="172">
        <v>45139</v>
      </c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</row>
    <row r="163" spans="1:46" ht="17.25" customHeight="1" x14ac:dyDescent="0.35">
      <c r="A163" s="138">
        <v>15</v>
      </c>
      <c r="B163" s="168" t="s">
        <v>49</v>
      </c>
      <c r="C163" s="169" t="s">
        <v>471</v>
      </c>
      <c r="D163" s="169" t="s">
        <v>472</v>
      </c>
      <c r="E163" s="167">
        <v>1</v>
      </c>
      <c r="F163" s="170">
        <v>42905</v>
      </c>
      <c r="G163" s="171" t="s">
        <v>473</v>
      </c>
      <c r="H163" s="169">
        <v>5303647578</v>
      </c>
      <c r="I163" s="171" t="s">
        <v>474</v>
      </c>
      <c r="J163" s="170">
        <v>45078</v>
      </c>
      <c r="K163" s="174" t="s">
        <v>153</v>
      </c>
      <c r="L163" s="175">
        <v>100</v>
      </c>
      <c r="M163" s="171" t="s">
        <v>475</v>
      </c>
      <c r="N163" s="167" t="s">
        <v>35</v>
      </c>
      <c r="O163" s="172">
        <v>45139</v>
      </c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</row>
    <row r="164" spans="1:46" ht="17.25" customHeight="1" x14ac:dyDescent="0.35">
      <c r="A164" s="138">
        <v>16</v>
      </c>
      <c r="B164" s="168" t="s">
        <v>89</v>
      </c>
      <c r="C164" s="169" t="s">
        <v>471</v>
      </c>
      <c r="D164" s="169" t="s">
        <v>472</v>
      </c>
      <c r="E164" s="167">
        <v>1</v>
      </c>
      <c r="F164" s="170">
        <v>42905</v>
      </c>
      <c r="G164" s="171" t="s">
        <v>473</v>
      </c>
      <c r="H164" s="169">
        <v>5303647578</v>
      </c>
      <c r="I164" s="171" t="s">
        <v>474</v>
      </c>
      <c r="J164" s="170">
        <v>45078</v>
      </c>
      <c r="K164" s="174" t="s">
        <v>136</v>
      </c>
      <c r="L164" s="175">
        <v>50</v>
      </c>
      <c r="M164" s="171" t="s">
        <v>475</v>
      </c>
      <c r="N164" s="167" t="s">
        <v>35</v>
      </c>
      <c r="O164" s="172">
        <v>45139</v>
      </c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</row>
    <row r="165" spans="1:46" ht="17.25" customHeight="1" x14ac:dyDescent="0.35">
      <c r="A165" s="167">
        <v>17</v>
      </c>
      <c r="B165" s="168" t="s">
        <v>49</v>
      </c>
      <c r="C165" s="169" t="s">
        <v>476</v>
      </c>
      <c r="D165" s="169" t="s">
        <v>477</v>
      </c>
      <c r="E165" s="167">
        <v>3</v>
      </c>
      <c r="F165" s="170">
        <v>41816</v>
      </c>
      <c r="G165" s="171" t="s">
        <v>478</v>
      </c>
      <c r="H165" s="169">
        <v>6692518555</v>
      </c>
      <c r="I165" s="171" t="s">
        <v>479</v>
      </c>
      <c r="J165" s="170">
        <v>45078</v>
      </c>
      <c r="K165" s="174" t="s">
        <v>110</v>
      </c>
      <c r="L165" s="175">
        <v>41</v>
      </c>
      <c r="M165" s="171" t="s">
        <v>480</v>
      </c>
      <c r="N165" s="167" t="s">
        <v>35</v>
      </c>
      <c r="O165" s="172">
        <v>45139</v>
      </c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</row>
    <row r="166" spans="1:46" ht="17.25" customHeight="1" x14ac:dyDescent="0.35">
      <c r="A166" s="138">
        <v>18</v>
      </c>
      <c r="B166" s="168" t="s">
        <v>89</v>
      </c>
      <c r="C166" s="169" t="s">
        <v>476</v>
      </c>
      <c r="D166" s="169" t="s">
        <v>477</v>
      </c>
      <c r="E166" s="167">
        <v>3</v>
      </c>
      <c r="F166" s="170">
        <v>41816</v>
      </c>
      <c r="G166" s="171" t="s">
        <v>478</v>
      </c>
      <c r="H166" s="169">
        <v>6692518555</v>
      </c>
      <c r="I166" s="171" t="s">
        <v>479</v>
      </c>
      <c r="J166" s="170">
        <v>45078</v>
      </c>
      <c r="K166" s="174" t="s">
        <v>160</v>
      </c>
      <c r="L166" s="175">
        <v>26</v>
      </c>
      <c r="M166" s="171" t="s">
        <v>480</v>
      </c>
      <c r="N166" s="167" t="s">
        <v>35</v>
      </c>
      <c r="O166" s="172">
        <v>45139</v>
      </c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</row>
    <row r="167" spans="1:46" ht="17.25" customHeight="1" x14ac:dyDescent="0.35">
      <c r="A167" s="138">
        <v>19</v>
      </c>
      <c r="B167" s="168" t="s">
        <v>49</v>
      </c>
      <c r="C167" s="169" t="s">
        <v>481</v>
      </c>
      <c r="D167" s="169" t="s">
        <v>482</v>
      </c>
      <c r="E167" s="167">
        <v>7</v>
      </c>
      <c r="F167" s="170">
        <v>40806</v>
      </c>
      <c r="G167" s="171" t="s">
        <v>478</v>
      </c>
      <c r="H167" s="169">
        <v>6692518555</v>
      </c>
      <c r="I167" s="171" t="s">
        <v>479</v>
      </c>
      <c r="J167" s="170">
        <v>45078</v>
      </c>
      <c r="K167" s="174" t="s">
        <v>382</v>
      </c>
      <c r="L167" s="175">
        <v>26</v>
      </c>
      <c r="M167" s="171" t="s">
        <v>480</v>
      </c>
      <c r="N167" s="167" t="s">
        <v>35</v>
      </c>
      <c r="O167" s="172">
        <v>45139</v>
      </c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</row>
    <row r="168" spans="1:46" ht="17.25" customHeight="1" x14ac:dyDescent="0.35">
      <c r="A168" s="138">
        <v>20</v>
      </c>
      <c r="B168" s="168" t="s">
        <v>89</v>
      </c>
      <c r="C168" s="169" t="s">
        <v>481</v>
      </c>
      <c r="D168" s="169" t="s">
        <v>482</v>
      </c>
      <c r="E168" s="167">
        <v>7</v>
      </c>
      <c r="F168" s="170">
        <v>40806</v>
      </c>
      <c r="G168" s="171" t="s">
        <v>478</v>
      </c>
      <c r="H168" s="169">
        <v>6692518555</v>
      </c>
      <c r="I168" s="171" t="s">
        <v>479</v>
      </c>
      <c r="J168" s="170">
        <v>45078</v>
      </c>
      <c r="K168" s="174" t="s">
        <v>128</v>
      </c>
      <c r="L168" s="175">
        <v>36</v>
      </c>
      <c r="M168" s="171" t="s">
        <v>480</v>
      </c>
      <c r="N168" s="167" t="s">
        <v>35</v>
      </c>
      <c r="O168" s="172">
        <v>45139</v>
      </c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</row>
    <row r="169" spans="1:46" ht="17.25" customHeight="1" x14ac:dyDescent="0.25">
      <c r="A169" s="195">
        <v>21</v>
      </c>
      <c r="B169" s="196" t="s">
        <v>89</v>
      </c>
      <c r="C169" s="197" t="s">
        <v>394</v>
      </c>
      <c r="D169" s="197" t="s">
        <v>400</v>
      </c>
      <c r="E169" s="195">
        <v>1</v>
      </c>
      <c r="F169" s="198">
        <v>42483</v>
      </c>
      <c r="G169" s="199" t="s">
        <v>401</v>
      </c>
      <c r="H169" s="197">
        <v>6692460021</v>
      </c>
      <c r="I169" s="199" t="s">
        <v>402</v>
      </c>
      <c r="J169" s="198">
        <v>45084</v>
      </c>
      <c r="K169" s="200" t="s">
        <v>119</v>
      </c>
      <c r="L169" s="201">
        <v>20</v>
      </c>
      <c r="M169" s="199" t="s">
        <v>483</v>
      </c>
      <c r="N169" s="195" t="s">
        <v>35</v>
      </c>
      <c r="O169" s="202">
        <v>45139</v>
      </c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</row>
    <row r="170" spans="1:46" ht="17.25" customHeight="1" x14ac:dyDescent="0.25">
      <c r="A170" s="204">
        <v>1</v>
      </c>
      <c r="B170" s="205" t="s">
        <v>89</v>
      </c>
      <c r="C170" s="206" t="s">
        <v>484</v>
      </c>
      <c r="D170" s="206" t="s">
        <v>485</v>
      </c>
      <c r="E170" s="207">
        <v>6</v>
      </c>
      <c r="F170" s="208">
        <v>41034</v>
      </c>
      <c r="G170" s="209" t="s">
        <v>486</v>
      </c>
      <c r="H170" s="206">
        <v>5108161486</v>
      </c>
      <c r="I170" s="209" t="s">
        <v>192</v>
      </c>
      <c r="J170" s="208">
        <v>45139</v>
      </c>
      <c r="K170" s="209" t="s">
        <v>128</v>
      </c>
      <c r="L170" s="206">
        <v>36</v>
      </c>
      <c r="M170" s="209" t="s">
        <v>487</v>
      </c>
      <c r="N170" s="204" t="s">
        <v>35</v>
      </c>
      <c r="O170" s="210">
        <v>45170</v>
      </c>
      <c r="P170" s="211"/>
      <c r="Q170" s="211"/>
      <c r="R170" s="211"/>
      <c r="S170" s="211"/>
      <c r="T170" s="211"/>
      <c r="U170" s="211"/>
      <c r="V170" s="211"/>
      <c r="W170" s="211"/>
      <c r="X170" s="211"/>
      <c r="Y170" s="211"/>
      <c r="Z170" s="211"/>
      <c r="AA170" s="211"/>
      <c r="AB170" s="211"/>
      <c r="AC170" s="211"/>
      <c r="AD170" s="211"/>
      <c r="AE170" s="211"/>
      <c r="AF170" s="211"/>
      <c r="AG170" s="211"/>
      <c r="AH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</row>
    <row r="171" spans="1:46" ht="17.25" customHeight="1" x14ac:dyDescent="0.25">
      <c r="A171" s="204">
        <v>2</v>
      </c>
      <c r="B171" s="205" t="s">
        <v>49</v>
      </c>
      <c r="C171" s="212" t="s">
        <v>488</v>
      </c>
      <c r="D171" s="212" t="s">
        <v>489</v>
      </c>
      <c r="E171" s="204" t="s">
        <v>147</v>
      </c>
      <c r="F171" s="213">
        <v>42776</v>
      </c>
      <c r="G171" s="214" t="s">
        <v>490</v>
      </c>
      <c r="H171" s="212">
        <v>6692385152</v>
      </c>
      <c r="I171" s="214" t="s">
        <v>491</v>
      </c>
      <c r="J171" s="213">
        <v>45093</v>
      </c>
      <c r="K171" s="215" t="s">
        <v>321</v>
      </c>
      <c r="L171" s="216">
        <v>1</v>
      </c>
      <c r="M171" s="214" t="s">
        <v>492</v>
      </c>
      <c r="N171" s="204" t="s">
        <v>35</v>
      </c>
      <c r="O171" s="210">
        <v>45170</v>
      </c>
      <c r="P171" s="211"/>
      <c r="Q171" s="211"/>
      <c r="R171" s="211"/>
      <c r="S171" s="211"/>
      <c r="T171" s="211"/>
      <c r="U171" s="211"/>
      <c r="V171" s="211"/>
      <c r="W171" s="211"/>
      <c r="X171" s="211"/>
      <c r="Y171" s="211"/>
      <c r="Z171" s="211"/>
      <c r="AA171" s="211"/>
      <c r="AB171" s="211"/>
      <c r="AC171" s="211"/>
      <c r="AD171" s="211"/>
      <c r="AE171" s="211"/>
      <c r="AF171" s="211"/>
      <c r="AG171" s="211"/>
      <c r="AH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</row>
    <row r="172" spans="1:46" ht="17.25" customHeight="1" x14ac:dyDescent="0.25">
      <c r="A172" s="204">
        <v>3</v>
      </c>
      <c r="B172" s="205" t="s">
        <v>89</v>
      </c>
      <c r="C172" s="216" t="s">
        <v>488</v>
      </c>
      <c r="D172" s="216" t="s">
        <v>489</v>
      </c>
      <c r="E172" s="204" t="s">
        <v>147</v>
      </c>
      <c r="F172" s="213">
        <v>42776</v>
      </c>
      <c r="G172" s="214" t="s">
        <v>490</v>
      </c>
      <c r="H172" s="212">
        <v>6692385152</v>
      </c>
      <c r="I172" s="214" t="s">
        <v>491</v>
      </c>
      <c r="J172" s="213">
        <v>45124</v>
      </c>
      <c r="K172" s="215" t="s">
        <v>493</v>
      </c>
      <c r="L172" s="216">
        <v>76</v>
      </c>
      <c r="M172" s="214" t="s">
        <v>492</v>
      </c>
      <c r="N172" s="204" t="s">
        <v>35</v>
      </c>
      <c r="O172" s="210">
        <v>45170</v>
      </c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</row>
    <row r="173" spans="1:46" ht="17.25" customHeight="1" x14ac:dyDescent="0.35">
      <c r="A173" s="178"/>
      <c r="B173" s="179"/>
      <c r="C173" s="180"/>
      <c r="D173" s="180"/>
      <c r="E173" s="178"/>
      <c r="F173" s="180"/>
      <c r="G173" s="144"/>
      <c r="H173" s="180"/>
      <c r="I173" s="144"/>
      <c r="J173" s="180"/>
      <c r="K173" s="144"/>
      <c r="L173" s="181"/>
      <c r="M173" s="181"/>
      <c r="N173" s="179"/>
      <c r="O173" s="182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</row>
    <row r="174" spans="1:46" ht="17.25" customHeight="1" x14ac:dyDescent="0.35">
      <c r="A174" s="178"/>
      <c r="B174" s="179"/>
      <c r="C174" s="180"/>
      <c r="D174" s="180"/>
      <c r="E174" s="178"/>
      <c r="F174" s="180"/>
      <c r="G174" s="144"/>
      <c r="H174" s="180"/>
      <c r="I174" s="144"/>
      <c r="J174" s="180"/>
      <c r="K174" s="144"/>
      <c r="L174" s="181"/>
      <c r="M174" s="181"/>
      <c r="N174" s="179"/>
      <c r="O174" s="182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</row>
    <row r="175" spans="1:46" ht="17.25" customHeight="1" x14ac:dyDescent="0.35">
      <c r="A175" s="83"/>
      <c r="B175" s="11"/>
      <c r="C175" s="84"/>
      <c r="D175" s="84"/>
      <c r="E175" s="83"/>
      <c r="F175" s="84"/>
      <c r="G175" s="2"/>
      <c r="H175" s="84"/>
      <c r="I175" s="2"/>
      <c r="J175" s="84"/>
      <c r="K175" s="2"/>
      <c r="L175" s="79"/>
      <c r="M175" s="79"/>
      <c r="N175" s="11"/>
      <c r="O175" s="8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7.25" customHeight="1" x14ac:dyDescent="0.35">
      <c r="A176" s="83"/>
      <c r="B176" s="11"/>
      <c r="C176" s="84"/>
      <c r="D176" s="84"/>
      <c r="E176" s="83"/>
      <c r="F176" s="84"/>
      <c r="G176" s="2"/>
      <c r="H176" s="84"/>
      <c r="I176" s="2"/>
      <c r="J176" s="84"/>
      <c r="K176" s="2"/>
      <c r="L176" s="79"/>
      <c r="M176" s="79"/>
      <c r="N176" s="11"/>
      <c r="O176" s="8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7.25" customHeight="1" x14ac:dyDescent="0.35">
      <c r="A177" s="83"/>
      <c r="B177" s="11"/>
      <c r="C177" s="84"/>
      <c r="D177" s="84"/>
      <c r="E177" s="83"/>
      <c r="F177" s="84"/>
      <c r="G177" s="2"/>
      <c r="H177" s="84"/>
      <c r="I177" s="2"/>
      <c r="J177" s="84"/>
      <c r="K177" s="2"/>
      <c r="L177" s="79"/>
      <c r="M177" s="79"/>
      <c r="N177" s="11"/>
      <c r="O177" s="8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7.25" customHeight="1" x14ac:dyDescent="0.35">
      <c r="A178" s="83"/>
      <c r="B178" s="11"/>
      <c r="C178" s="84"/>
      <c r="D178" s="84"/>
      <c r="E178" s="83"/>
      <c r="F178" s="84"/>
      <c r="G178" s="2"/>
      <c r="H178" s="84"/>
      <c r="I178" s="2"/>
      <c r="J178" s="84"/>
      <c r="K178" s="2"/>
      <c r="L178" s="79"/>
      <c r="M178" s="79"/>
      <c r="N178" s="11"/>
      <c r="O178" s="8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7.25" customHeight="1" x14ac:dyDescent="0.35">
      <c r="A179" s="83"/>
      <c r="B179" s="11"/>
      <c r="C179" s="84"/>
      <c r="D179" s="84"/>
      <c r="E179" s="83"/>
      <c r="F179" s="84"/>
      <c r="G179" s="2"/>
      <c r="H179" s="84"/>
      <c r="I179" s="2"/>
      <c r="J179" s="84"/>
      <c r="K179" s="2"/>
      <c r="L179" s="79"/>
      <c r="M179" s="79"/>
      <c r="N179" s="11"/>
      <c r="O179" s="8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7.25" customHeight="1" x14ac:dyDescent="0.35">
      <c r="A180" s="83"/>
      <c r="B180" s="11"/>
      <c r="C180" s="84"/>
      <c r="D180" s="84"/>
      <c r="E180" s="83"/>
      <c r="F180" s="84"/>
      <c r="G180" s="2"/>
      <c r="H180" s="84"/>
      <c r="I180" s="2"/>
      <c r="J180" s="84"/>
      <c r="K180" s="2"/>
      <c r="L180" s="79"/>
      <c r="M180" s="79"/>
      <c r="N180" s="11"/>
      <c r="O180" s="8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7.25" customHeight="1" x14ac:dyDescent="0.35">
      <c r="A181" s="83"/>
      <c r="B181" s="11"/>
      <c r="C181" s="84"/>
      <c r="D181" s="84"/>
      <c r="E181" s="83"/>
      <c r="F181" s="84"/>
      <c r="G181" s="2"/>
      <c r="H181" s="84"/>
      <c r="I181" s="2"/>
      <c r="J181" s="84"/>
      <c r="K181" s="2"/>
      <c r="L181" s="79"/>
      <c r="M181" s="79"/>
      <c r="N181" s="11"/>
      <c r="O181" s="8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7.25" customHeight="1" x14ac:dyDescent="0.35">
      <c r="A182" s="83"/>
      <c r="B182" s="11"/>
      <c r="C182" s="84"/>
      <c r="D182" s="84"/>
      <c r="E182" s="83"/>
      <c r="F182" s="84"/>
      <c r="G182" s="2"/>
      <c r="H182" s="84"/>
      <c r="I182" s="2"/>
      <c r="J182" s="84"/>
      <c r="K182" s="2"/>
      <c r="L182" s="79"/>
      <c r="M182" s="79"/>
      <c r="N182" s="11"/>
      <c r="O182" s="8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7.25" customHeight="1" x14ac:dyDescent="0.35">
      <c r="A183" s="83"/>
      <c r="B183" s="11"/>
      <c r="C183" s="84"/>
      <c r="D183" s="84"/>
      <c r="E183" s="83"/>
      <c r="F183" s="84"/>
      <c r="G183" s="2"/>
      <c r="H183" s="84"/>
      <c r="I183" s="2"/>
      <c r="J183" s="84"/>
      <c r="K183" s="2"/>
      <c r="L183" s="79"/>
      <c r="M183" s="79"/>
      <c r="N183" s="11"/>
      <c r="O183" s="8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7.25" customHeight="1" x14ac:dyDescent="0.35">
      <c r="A184" s="83"/>
      <c r="B184" s="11"/>
      <c r="C184" s="84"/>
      <c r="D184" s="84"/>
      <c r="E184" s="83"/>
      <c r="F184" s="84"/>
      <c r="G184" s="2"/>
      <c r="H184" s="84"/>
      <c r="I184" s="2"/>
      <c r="J184" s="84"/>
      <c r="K184" s="2"/>
      <c r="L184" s="79"/>
      <c r="M184" s="79"/>
      <c r="N184" s="11"/>
      <c r="O184" s="8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7.25" customHeight="1" x14ac:dyDescent="0.35">
      <c r="A185" s="83"/>
      <c r="B185" s="11"/>
      <c r="C185" s="84"/>
      <c r="D185" s="84"/>
      <c r="E185" s="83"/>
      <c r="F185" s="84"/>
      <c r="G185" s="2"/>
      <c r="H185" s="84"/>
      <c r="I185" s="2"/>
      <c r="J185" s="84"/>
      <c r="K185" s="2"/>
      <c r="L185" s="79"/>
      <c r="M185" s="79"/>
      <c r="N185" s="11"/>
      <c r="O185" s="8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7.25" customHeight="1" x14ac:dyDescent="0.35">
      <c r="A186" s="83"/>
      <c r="B186" s="11"/>
      <c r="C186" s="84"/>
      <c r="D186" s="84"/>
      <c r="E186" s="83"/>
      <c r="F186" s="84"/>
      <c r="G186" s="2"/>
      <c r="H186" s="84"/>
      <c r="I186" s="2"/>
      <c r="J186" s="84"/>
      <c r="K186" s="2"/>
      <c r="L186" s="79"/>
      <c r="M186" s="79"/>
      <c r="N186" s="11"/>
      <c r="O186" s="8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7.25" customHeight="1" x14ac:dyDescent="0.35">
      <c r="A187" s="83"/>
      <c r="B187" s="11"/>
      <c r="C187" s="84"/>
      <c r="D187" s="84"/>
      <c r="E187" s="83"/>
      <c r="F187" s="84"/>
      <c r="G187" s="2"/>
      <c r="H187" s="84"/>
      <c r="I187" s="2"/>
      <c r="J187" s="84"/>
      <c r="K187" s="2"/>
      <c r="L187" s="79"/>
      <c r="M187" s="79"/>
      <c r="N187" s="11"/>
      <c r="O187" s="8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7.25" customHeight="1" x14ac:dyDescent="0.35">
      <c r="A188" s="83"/>
      <c r="B188" s="11"/>
      <c r="C188" s="84"/>
      <c r="D188" s="84"/>
      <c r="E188" s="83"/>
      <c r="F188" s="84"/>
      <c r="G188" s="2"/>
      <c r="H188" s="84"/>
      <c r="I188" s="2"/>
      <c r="J188" s="84"/>
      <c r="K188" s="2"/>
      <c r="L188" s="79"/>
      <c r="M188" s="79"/>
      <c r="N188" s="11"/>
      <c r="O188" s="8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7.25" customHeight="1" x14ac:dyDescent="0.35">
      <c r="A189" s="83"/>
      <c r="B189" s="11"/>
      <c r="C189" s="84"/>
      <c r="D189" s="84"/>
      <c r="E189" s="83"/>
      <c r="F189" s="84"/>
      <c r="G189" s="2"/>
      <c r="H189" s="84"/>
      <c r="I189" s="2"/>
      <c r="J189" s="84"/>
      <c r="K189" s="2"/>
      <c r="L189" s="79"/>
      <c r="M189" s="79"/>
      <c r="N189" s="11"/>
      <c r="O189" s="8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7.25" customHeight="1" x14ac:dyDescent="0.35">
      <c r="A190" s="83"/>
      <c r="B190" s="11"/>
      <c r="C190" s="84"/>
      <c r="D190" s="84"/>
      <c r="E190" s="83"/>
      <c r="F190" s="84"/>
      <c r="G190" s="2"/>
      <c r="H190" s="84"/>
      <c r="I190" s="2"/>
      <c r="J190" s="84"/>
      <c r="K190" s="2"/>
      <c r="L190" s="79"/>
      <c r="M190" s="79"/>
      <c r="N190" s="11"/>
      <c r="O190" s="8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7.25" customHeight="1" x14ac:dyDescent="0.35">
      <c r="A191" s="83"/>
      <c r="B191" s="11"/>
      <c r="C191" s="84"/>
      <c r="D191" s="84"/>
      <c r="E191" s="83"/>
      <c r="F191" s="84"/>
      <c r="G191" s="2"/>
      <c r="H191" s="84"/>
      <c r="I191" s="2"/>
      <c r="J191" s="84"/>
      <c r="K191" s="2"/>
      <c r="L191" s="79"/>
      <c r="M191" s="79"/>
      <c r="N191" s="11"/>
      <c r="O191" s="8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7.25" customHeight="1" x14ac:dyDescent="0.35">
      <c r="A192" s="83"/>
      <c r="B192" s="11"/>
      <c r="C192" s="84"/>
      <c r="D192" s="84"/>
      <c r="E192" s="83"/>
      <c r="F192" s="84"/>
      <c r="G192" s="2"/>
      <c r="H192" s="84"/>
      <c r="I192" s="2"/>
      <c r="J192" s="84"/>
      <c r="K192" s="2"/>
      <c r="L192" s="79"/>
      <c r="M192" s="79"/>
      <c r="N192" s="11"/>
      <c r="O192" s="8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7.25" customHeight="1" x14ac:dyDescent="0.35">
      <c r="A193" s="83"/>
      <c r="B193" s="11"/>
      <c r="C193" s="84"/>
      <c r="D193" s="84"/>
      <c r="E193" s="83"/>
      <c r="F193" s="84"/>
      <c r="G193" s="2"/>
      <c r="H193" s="84"/>
      <c r="I193" s="2"/>
      <c r="J193" s="84"/>
      <c r="K193" s="2"/>
      <c r="L193" s="79"/>
      <c r="M193" s="79"/>
      <c r="N193" s="11"/>
      <c r="O193" s="8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7.25" customHeight="1" x14ac:dyDescent="0.35">
      <c r="A194" s="83"/>
      <c r="B194" s="11"/>
      <c r="C194" s="79"/>
      <c r="D194" s="79"/>
      <c r="E194" s="11"/>
      <c r="F194" s="79"/>
      <c r="G194" s="79"/>
      <c r="H194" s="79"/>
      <c r="I194" s="79"/>
      <c r="J194" s="79"/>
      <c r="K194" s="33"/>
      <c r="L194" s="79"/>
      <c r="M194" s="79"/>
      <c r="N194" s="11"/>
      <c r="O194" s="8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7.25" customHeight="1" x14ac:dyDescent="0.35">
      <c r="A195" s="83"/>
      <c r="B195" s="11"/>
      <c r="C195" s="79"/>
      <c r="D195" s="79"/>
      <c r="E195" s="11"/>
      <c r="F195" s="79"/>
      <c r="G195" s="79"/>
      <c r="H195" s="79"/>
      <c r="I195" s="79"/>
      <c r="J195" s="79"/>
      <c r="K195" s="33"/>
      <c r="L195" s="79"/>
      <c r="M195" s="79"/>
      <c r="N195" s="11"/>
      <c r="O195" s="8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7.25" customHeight="1" x14ac:dyDescent="0.35">
      <c r="A196" s="83"/>
      <c r="B196" s="11"/>
      <c r="C196" s="79"/>
      <c r="D196" s="79"/>
      <c r="E196" s="11"/>
      <c r="F196" s="79"/>
      <c r="G196" s="79"/>
      <c r="H196" s="79"/>
      <c r="I196" s="79"/>
      <c r="J196" s="79"/>
      <c r="K196" s="33"/>
      <c r="L196" s="79"/>
      <c r="M196" s="79"/>
      <c r="N196" s="11"/>
      <c r="O196" s="8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7.25" customHeight="1" x14ac:dyDescent="0.35">
      <c r="A197" s="83"/>
      <c r="B197" s="11"/>
      <c r="C197" s="79"/>
      <c r="D197" s="79"/>
      <c r="E197" s="11"/>
      <c r="F197" s="79"/>
      <c r="G197" s="79"/>
      <c r="H197" s="79"/>
      <c r="I197" s="79"/>
      <c r="J197" s="79"/>
      <c r="K197" s="33"/>
      <c r="L197" s="79"/>
      <c r="M197" s="79"/>
      <c r="N197" s="11"/>
      <c r="O197" s="8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7.25" customHeight="1" x14ac:dyDescent="0.35">
      <c r="A198" s="83"/>
      <c r="B198" s="11"/>
      <c r="C198" s="79"/>
      <c r="D198" s="79"/>
      <c r="E198" s="11"/>
      <c r="F198" s="79"/>
      <c r="G198" s="79"/>
      <c r="H198" s="79"/>
      <c r="I198" s="79"/>
      <c r="J198" s="79"/>
      <c r="K198" s="33"/>
      <c r="L198" s="79"/>
      <c r="M198" s="79"/>
      <c r="N198" s="11"/>
      <c r="O198" s="8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7.25" customHeight="1" x14ac:dyDescent="0.35">
      <c r="A199" s="83"/>
      <c r="B199" s="11"/>
      <c r="C199" s="79"/>
      <c r="D199" s="79"/>
      <c r="E199" s="11"/>
      <c r="F199" s="79"/>
      <c r="G199" s="79"/>
      <c r="H199" s="79"/>
      <c r="I199" s="79"/>
      <c r="J199" s="79"/>
      <c r="K199" s="33"/>
      <c r="L199" s="79"/>
      <c r="M199" s="79"/>
      <c r="N199" s="11"/>
      <c r="O199" s="8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7.25" customHeight="1" x14ac:dyDescent="0.35">
      <c r="A200" s="83"/>
      <c r="B200" s="11"/>
      <c r="C200" s="79"/>
      <c r="D200" s="79"/>
      <c r="E200" s="11"/>
      <c r="F200" s="79"/>
      <c r="G200" s="79"/>
      <c r="H200" s="79"/>
      <c r="I200" s="79"/>
      <c r="J200" s="79"/>
      <c r="K200" s="33"/>
      <c r="L200" s="79"/>
      <c r="M200" s="79"/>
      <c r="N200" s="11"/>
      <c r="O200" s="8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7.25" customHeight="1" x14ac:dyDescent="0.35">
      <c r="A201" s="83"/>
      <c r="B201" s="11"/>
      <c r="C201" s="79"/>
      <c r="D201" s="79"/>
      <c r="E201" s="11"/>
      <c r="F201" s="79"/>
      <c r="G201" s="79"/>
      <c r="H201" s="79"/>
      <c r="I201" s="79"/>
      <c r="J201" s="79"/>
      <c r="K201" s="33"/>
      <c r="L201" s="79"/>
      <c r="M201" s="79"/>
      <c r="N201" s="11"/>
      <c r="O201" s="8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7.25" customHeight="1" x14ac:dyDescent="0.35">
      <c r="A202" s="83"/>
      <c r="B202" s="11"/>
      <c r="C202" s="79"/>
      <c r="D202" s="79"/>
      <c r="E202" s="11"/>
      <c r="F202" s="79"/>
      <c r="G202" s="79"/>
      <c r="H202" s="79"/>
      <c r="I202" s="79"/>
      <c r="J202" s="79"/>
      <c r="K202" s="33"/>
      <c r="L202" s="79"/>
      <c r="M202" s="79"/>
      <c r="N202" s="11"/>
      <c r="O202" s="8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7.25" customHeight="1" x14ac:dyDescent="0.35">
      <c r="A203" s="83"/>
      <c r="B203" s="11"/>
      <c r="C203" s="79"/>
      <c r="D203" s="79"/>
      <c r="E203" s="11"/>
      <c r="F203" s="79"/>
      <c r="G203" s="79"/>
      <c r="H203" s="79"/>
      <c r="I203" s="79"/>
      <c r="J203" s="79"/>
      <c r="K203" s="33"/>
      <c r="L203" s="79"/>
      <c r="M203" s="79"/>
      <c r="N203" s="11"/>
      <c r="O203" s="8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7.25" customHeight="1" x14ac:dyDescent="0.35">
      <c r="A204" s="83"/>
      <c r="B204" s="11"/>
      <c r="C204" s="79"/>
      <c r="D204" s="79"/>
      <c r="E204" s="11"/>
      <c r="F204" s="79"/>
      <c r="G204" s="79"/>
      <c r="H204" s="79"/>
      <c r="I204" s="79"/>
      <c r="J204" s="79"/>
      <c r="K204" s="33"/>
      <c r="L204" s="79"/>
      <c r="M204" s="79"/>
      <c r="N204" s="11"/>
      <c r="O204" s="8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7.25" customHeight="1" x14ac:dyDescent="0.35">
      <c r="A205" s="83"/>
      <c r="B205" s="11"/>
      <c r="C205" s="79"/>
      <c r="D205" s="79"/>
      <c r="E205" s="11"/>
      <c r="F205" s="79"/>
      <c r="G205" s="79"/>
      <c r="H205" s="79"/>
      <c r="I205" s="79"/>
      <c r="J205" s="79"/>
      <c r="K205" s="33"/>
      <c r="L205" s="79"/>
      <c r="M205" s="79"/>
      <c r="N205" s="11"/>
      <c r="O205" s="8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customHeight="1" x14ac:dyDescent="0.35">
      <c r="A206" s="83"/>
      <c r="B206" s="11"/>
      <c r="C206" s="79"/>
      <c r="D206" s="79"/>
      <c r="E206" s="11"/>
      <c r="F206" s="79"/>
      <c r="G206" s="79"/>
      <c r="H206" s="79"/>
      <c r="I206" s="79"/>
      <c r="J206" s="79"/>
      <c r="K206" s="33"/>
      <c r="L206" s="79"/>
      <c r="M206" s="79"/>
      <c r="N206" s="11"/>
      <c r="O206" s="8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7.25" customHeight="1" x14ac:dyDescent="0.35">
      <c r="A207" s="83"/>
      <c r="B207" s="11"/>
      <c r="C207" s="79"/>
      <c r="D207" s="79"/>
      <c r="E207" s="11"/>
      <c r="F207" s="79"/>
      <c r="G207" s="79"/>
      <c r="H207" s="79"/>
      <c r="I207" s="79"/>
      <c r="J207" s="79"/>
      <c r="K207" s="33"/>
      <c r="L207" s="79"/>
      <c r="M207" s="79"/>
      <c r="N207" s="11"/>
      <c r="O207" s="8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7.25" customHeight="1" x14ac:dyDescent="0.35">
      <c r="A208" s="83"/>
      <c r="B208" s="11"/>
      <c r="C208" s="79"/>
      <c r="D208" s="79"/>
      <c r="E208" s="11"/>
      <c r="F208" s="79"/>
      <c r="G208" s="79"/>
      <c r="H208" s="79"/>
      <c r="I208" s="79"/>
      <c r="J208" s="79"/>
      <c r="K208" s="33"/>
      <c r="L208" s="79"/>
      <c r="M208" s="79"/>
      <c r="N208" s="11"/>
      <c r="O208" s="8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7.25" customHeight="1" x14ac:dyDescent="0.35">
      <c r="A209" s="83"/>
      <c r="B209" s="11"/>
      <c r="C209" s="79"/>
      <c r="D209" s="79"/>
      <c r="E209" s="11"/>
      <c r="F209" s="79"/>
      <c r="G209" s="79"/>
      <c r="H209" s="79"/>
      <c r="I209" s="79"/>
      <c r="J209" s="79"/>
      <c r="K209" s="33"/>
      <c r="L209" s="79"/>
      <c r="M209" s="79"/>
      <c r="N209" s="11"/>
      <c r="O209" s="8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7.25" customHeight="1" x14ac:dyDescent="0.35">
      <c r="A210" s="83"/>
      <c r="B210" s="11"/>
      <c r="C210" s="79"/>
      <c r="D210" s="79"/>
      <c r="E210" s="11"/>
      <c r="F210" s="79"/>
      <c r="G210" s="79"/>
      <c r="H210" s="79"/>
      <c r="I210" s="79"/>
      <c r="J210" s="79"/>
      <c r="K210" s="33"/>
      <c r="L210" s="79"/>
      <c r="M210" s="79"/>
      <c r="N210" s="11"/>
      <c r="O210" s="8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7.25" customHeight="1" x14ac:dyDescent="0.35">
      <c r="A211" s="83"/>
      <c r="B211" s="11"/>
      <c r="C211" s="79"/>
      <c r="D211" s="79"/>
      <c r="E211" s="11"/>
      <c r="F211" s="79"/>
      <c r="G211" s="79"/>
      <c r="H211" s="79"/>
      <c r="I211" s="79"/>
      <c r="J211" s="79"/>
      <c r="K211" s="33"/>
      <c r="L211" s="79"/>
      <c r="M211" s="79"/>
      <c r="N211" s="11"/>
      <c r="O211" s="8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7.25" customHeight="1" x14ac:dyDescent="0.35">
      <c r="A212" s="83"/>
      <c r="B212" s="11"/>
      <c r="C212" s="79"/>
      <c r="D212" s="79"/>
      <c r="E212" s="11"/>
      <c r="F212" s="79"/>
      <c r="G212" s="79"/>
      <c r="H212" s="79"/>
      <c r="I212" s="79"/>
      <c r="J212" s="79"/>
      <c r="K212" s="33"/>
      <c r="L212" s="79"/>
      <c r="M212" s="79"/>
      <c r="N212" s="11"/>
      <c r="O212" s="8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7.25" customHeight="1" x14ac:dyDescent="0.35">
      <c r="A213" s="83"/>
      <c r="B213" s="11"/>
      <c r="C213" s="79"/>
      <c r="D213" s="79"/>
      <c r="E213" s="11"/>
      <c r="F213" s="79"/>
      <c r="G213" s="79"/>
      <c r="H213" s="79"/>
      <c r="I213" s="79"/>
      <c r="J213" s="79"/>
      <c r="K213" s="33"/>
      <c r="L213" s="79"/>
      <c r="M213" s="79"/>
      <c r="N213" s="11"/>
      <c r="O213" s="8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7.25" customHeight="1" x14ac:dyDescent="0.35">
      <c r="A214" s="83"/>
      <c r="B214" s="11"/>
      <c r="C214" s="79"/>
      <c r="D214" s="79"/>
      <c r="E214" s="11"/>
      <c r="F214" s="79"/>
      <c r="G214" s="79"/>
      <c r="H214" s="79"/>
      <c r="I214" s="79"/>
      <c r="J214" s="79"/>
      <c r="K214" s="33"/>
      <c r="L214" s="79"/>
      <c r="M214" s="79"/>
      <c r="N214" s="11"/>
      <c r="O214" s="8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7.25" customHeight="1" x14ac:dyDescent="0.35">
      <c r="A215" s="83"/>
      <c r="B215" s="11"/>
      <c r="C215" s="79"/>
      <c r="D215" s="79"/>
      <c r="E215" s="11"/>
      <c r="F215" s="79"/>
      <c r="G215" s="79"/>
      <c r="H215" s="79"/>
      <c r="I215" s="79"/>
      <c r="J215" s="79"/>
      <c r="K215" s="33"/>
      <c r="L215" s="79"/>
      <c r="M215" s="79"/>
      <c r="N215" s="11"/>
      <c r="O215" s="8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7.25" customHeight="1" x14ac:dyDescent="0.35">
      <c r="A216" s="83"/>
      <c r="B216" s="11"/>
      <c r="C216" s="79"/>
      <c r="D216" s="79"/>
      <c r="E216" s="11"/>
      <c r="F216" s="79"/>
      <c r="G216" s="79"/>
      <c r="H216" s="79"/>
      <c r="I216" s="79"/>
      <c r="J216" s="79"/>
      <c r="K216" s="33"/>
      <c r="L216" s="79"/>
      <c r="M216" s="79"/>
      <c r="N216" s="11"/>
      <c r="O216" s="8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7.25" customHeight="1" x14ac:dyDescent="0.35">
      <c r="A217" s="83"/>
      <c r="B217" s="11"/>
      <c r="C217" s="79"/>
      <c r="D217" s="79"/>
      <c r="E217" s="11"/>
      <c r="F217" s="79"/>
      <c r="G217" s="79"/>
      <c r="H217" s="79"/>
      <c r="I217" s="79"/>
      <c r="J217" s="79"/>
      <c r="K217" s="33"/>
      <c r="L217" s="79"/>
      <c r="M217" s="79"/>
      <c r="N217" s="11"/>
      <c r="O217" s="8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7.25" customHeight="1" x14ac:dyDescent="0.35">
      <c r="A218" s="83"/>
      <c r="B218" s="11"/>
      <c r="C218" s="79"/>
      <c r="D218" s="79"/>
      <c r="E218" s="11"/>
      <c r="F218" s="79"/>
      <c r="G218" s="79"/>
      <c r="H218" s="79"/>
      <c r="I218" s="79"/>
      <c r="J218" s="79"/>
      <c r="K218" s="33"/>
      <c r="L218" s="79"/>
      <c r="M218" s="79"/>
      <c r="N218" s="11"/>
      <c r="O218" s="8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7.25" customHeight="1" x14ac:dyDescent="0.35">
      <c r="A219" s="83"/>
      <c r="B219" s="11"/>
      <c r="C219" s="79"/>
      <c r="D219" s="79"/>
      <c r="E219" s="11"/>
      <c r="F219" s="79"/>
      <c r="G219" s="79"/>
      <c r="H219" s="79"/>
      <c r="I219" s="79"/>
      <c r="J219" s="79"/>
      <c r="K219" s="33"/>
      <c r="L219" s="79"/>
      <c r="M219" s="79"/>
      <c r="N219" s="11"/>
      <c r="O219" s="8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7.25" customHeight="1" x14ac:dyDescent="0.35">
      <c r="A220" s="83"/>
      <c r="B220" s="11"/>
      <c r="C220" s="79"/>
      <c r="D220" s="79"/>
      <c r="E220" s="11"/>
      <c r="F220" s="79"/>
      <c r="G220" s="79"/>
      <c r="H220" s="79"/>
      <c r="I220" s="79"/>
      <c r="J220" s="79"/>
      <c r="K220" s="33"/>
      <c r="L220" s="79"/>
      <c r="M220" s="79"/>
      <c r="N220" s="11"/>
      <c r="O220" s="8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customHeight="1" x14ac:dyDescent="0.35">
      <c r="A221" s="83"/>
      <c r="B221" s="11"/>
      <c r="C221" s="79"/>
      <c r="D221" s="79"/>
      <c r="E221" s="11"/>
      <c r="F221" s="79"/>
      <c r="G221" s="79"/>
      <c r="H221" s="79"/>
      <c r="I221" s="79"/>
      <c r="J221" s="79"/>
      <c r="K221" s="33"/>
      <c r="L221" s="79"/>
      <c r="M221" s="79"/>
      <c r="N221" s="11"/>
      <c r="O221" s="8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7.25" customHeight="1" x14ac:dyDescent="0.35">
      <c r="A222" s="83"/>
      <c r="B222" s="11"/>
      <c r="C222" s="79"/>
      <c r="D222" s="79"/>
      <c r="E222" s="11"/>
      <c r="F222" s="79"/>
      <c r="G222" s="79"/>
      <c r="H222" s="79"/>
      <c r="I222" s="79"/>
      <c r="J222" s="79"/>
      <c r="K222" s="33"/>
      <c r="L222" s="79"/>
      <c r="M222" s="79"/>
      <c r="N222" s="11"/>
      <c r="O222" s="8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7.25" customHeight="1" x14ac:dyDescent="0.35">
      <c r="A223" s="83"/>
      <c r="B223" s="11"/>
      <c r="C223" s="79"/>
      <c r="D223" s="79"/>
      <c r="E223" s="11"/>
      <c r="F223" s="79"/>
      <c r="G223" s="79"/>
      <c r="H223" s="79"/>
      <c r="I223" s="79"/>
      <c r="J223" s="79"/>
      <c r="K223" s="33"/>
      <c r="L223" s="79"/>
      <c r="M223" s="79"/>
      <c r="N223" s="11"/>
      <c r="O223" s="8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7.25" customHeight="1" x14ac:dyDescent="0.35">
      <c r="A224" s="83"/>
      <c r="B224" s="11"/>
      <c r="C224" s="79"/>
      <c r="D224" s="79"/>
      <c r="E224" s="11"/>
      <c r="F224" s="79"/>
      <c r="G224" s="79"/>
      <c r="H224" s="79"/>
      <c r="I224" s="79"/>
      <c r="J224" s="79"/>
      <c r="K224" s="33"/>
      <c r="L224" s="79"/>
      <c r="M224" s="79"/>
      <c r="N224" s="11"/>
      <c r="O224" s="8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83"/>
      <c r="B225" s="11"/>
      <c r="C225" s="79"/>
      <c r="D225" s="79"/>
      <c r="E225" s="11"/>
      <c r="F225" s="79"/>
      <c r="G225" s="79"/>
      <c r="H225" s="79"/>
      <c r="I225" s="79"/>
      <c r="J225" s="79"/>
      <c r="K225" s="33"/>
      <c r="L225" s="79"/>
      <c r="M225" s="79"/>
      <c r="N225" s="11"/>
      <c r="O225" s="8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83"/>
      <c r="B226" s="11"/>
      <c r="C226" s="79"/>
      <c r="D226" s="79"/>
      <c r="E226" s="11"/>
      <c r="F226" s="79"/>
      <c r="G226" s="79"/>
      <c r="H226" s="79"/>
      <c r="I226" s="79"/>
      <c r="J226" s="79"/>
      <c r="K226" s="33"/>
      <c r="L226" s="79"/>
      <c r="M226" s="79"/>
      <c r="N226" s="11"/>
      <c r="O226" s="8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83"/>
      <c r="B227" s="11"/>
      <c r="C227" s="79"/>
      <c r="D227" s="79"/>
      <c r="E227" s="11"/>
      <c r="F227" s="79"/>
      <c r="G227" s="79"/>
      <c r="H227" s="79"/>
      <c r="I227" s="79"/>
      <c r="J227" s="79"/>
      <c r="K227" s="33"/>
      <c r="L227" s="79"/>
      <c r="M227" s="79"/>
      <c r="N227" s="11"/>
      <c r="O227" s="8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83"/>
      <c r="B228" s="11"/>
      <c r="C228" s="79"/>
      <c r="D228" s="79"/>
      <c r="E228" s="11"/>
      <c r="F228" s="79"/>
      <c r="G228" s="79"/>
      <c r="H228" s="79"/>
      <c r="I228" s="79"/>
      <c r="J228" s="79"/>
      <c r="K228" s="33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79"/>
      <c r="D229" s="79"/>
      <c r="E229" s="11"/>
      <c r="F229" s="79"/>
      <c r="G229" s="79"/>
      <c r="H229" s="79"/>
      <c r="I229" s="79"/>
      <c r="J229" s="79"/>
      <c r="K229" s="33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79"/>
      <c r="D230" s="79"/>
      <c r="E230" s="11"/>
      <c r="F230" s="79"/>
      <c r="G230" s="79"/>
      <c r="H230" s="79"/>
      <c r="I230" s="79"/>
      <c r="J230" s="79"/>
      <c r="K230" s="33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79"/>
      <c r="D231" s="79"/>
      <c r="E231" s="11"/>
      <c r="F231" s="79"/>
      <c r="G231" s="79"/>
      <c r="H231" s="79"/>
      <c r="I231" s="79"/>
      <c r="J231" s="79"/>
      <c r="K231" s="33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79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79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79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79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79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79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79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79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79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79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79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79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79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79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79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79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79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79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79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79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79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79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79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79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79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79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79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79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79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79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79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79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79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79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79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79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79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79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79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79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79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79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79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79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79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79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79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79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79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79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79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79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79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79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79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79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79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79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79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79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79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79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79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79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79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79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79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79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79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79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79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79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79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79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79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79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79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79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79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79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79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79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79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79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79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79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79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79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79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79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79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79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79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79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79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79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79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79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79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79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79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79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79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79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79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79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79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79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79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79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79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79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79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79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79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79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79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79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79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79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79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79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79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79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79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79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79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79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79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79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79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79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79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79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79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79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79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79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79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79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79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79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79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79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79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79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79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79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79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79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79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79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79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79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79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79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79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79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79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79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79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79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79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79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79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79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79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79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79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79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79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79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79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79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79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79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79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79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79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79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79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79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79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79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79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79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79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79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79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79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79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79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79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79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79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79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79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79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79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79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79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79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79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79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79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79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79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79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79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79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79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79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79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79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79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79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79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79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79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79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79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79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79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79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79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79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79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79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79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79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79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79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79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79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79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79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79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79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79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79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79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79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79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79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79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79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79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79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79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79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79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79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79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79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79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79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79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79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79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79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79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79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79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79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79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79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79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79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79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79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79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79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79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79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79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79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79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79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79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79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79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79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79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79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79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79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79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79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79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79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79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79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79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79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79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79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79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79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79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79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79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79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79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79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79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79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79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79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79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79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79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79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79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79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79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79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79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79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79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79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79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79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79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79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79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79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79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79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79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79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79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79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79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79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79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79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79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79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79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79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79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79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79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79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79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79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79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79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79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79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79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79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79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79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79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79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79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79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79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79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79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79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79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79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79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79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79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79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79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79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79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79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79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79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79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79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79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79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79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79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79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79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79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79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79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79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79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79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79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79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79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79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79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79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79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79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79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79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79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79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79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79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79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79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79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79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79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79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79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79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79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79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79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79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79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79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79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79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79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79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79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79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79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79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79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79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79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79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79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79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79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79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79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79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79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79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79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79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79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79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79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79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79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79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79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79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79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79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79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79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79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79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79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79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79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79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79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79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79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79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79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79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79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79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79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79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79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79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79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79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79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79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79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79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79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79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79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79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79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79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79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79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79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79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79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79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79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79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79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79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79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79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79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79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79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79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79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79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79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79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79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79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79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79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79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79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79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79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79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79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79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79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79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79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79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79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79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79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79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79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79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79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79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79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79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79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79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79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79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79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79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79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79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79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79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79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79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79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79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79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79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79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79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79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79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79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79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79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79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79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79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79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79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79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79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79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79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79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79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79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79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79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79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79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79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79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79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79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79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79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79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79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79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79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79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79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79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79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79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79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79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79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79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79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79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79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79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79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79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79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79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79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79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79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79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79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79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79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79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79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79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79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79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79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79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79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79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79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79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79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79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79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79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79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79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79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79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79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79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79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79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79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79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79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79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79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79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79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79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79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79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79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79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79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79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79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79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79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79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79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79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79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79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79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79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79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79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79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79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79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79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79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79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79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79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79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79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79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79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79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79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79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79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79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79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79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79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79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79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79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79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79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79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79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79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79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79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79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79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79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79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79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79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79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79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79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79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79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79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79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79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79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79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79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79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79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79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79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79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79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79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79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79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79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79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79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79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79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79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79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79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79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79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79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79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79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79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79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79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79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79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79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79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79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79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79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79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79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79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79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79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79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79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79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79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79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79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79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79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79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79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79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79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79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79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79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79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79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79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79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79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79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79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79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79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79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79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79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79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79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79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79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79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79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79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79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79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79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79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79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79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79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79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79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79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79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79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79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79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79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79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79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79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79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79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79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79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79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79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79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79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79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79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79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79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79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79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79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79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79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79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79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79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79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79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79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79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79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79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79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79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79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79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79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79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79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79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79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79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79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79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79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79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79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79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79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</sheetData>
  <sortState xmlns:xlrd2="http://schemas.microsoft.com/office/spreadsheetml/2017/richdata2" ref="A6:AT135">
    <sortCondition ref="C6:C135"/>
    <sortCondition ref="D6:D135"/>
  </sortState>
  <hyperlinks>
    <hyperlink ref="I29" r:id="rId1" xr:uid="{00000000-0004-0000-0100-000000000000}"/>
    <hyperlink ref="I48" r:id="rId2" xr:uid="{00000000-0004-0000-0100-000001000000}"/>
    <hyperlink ref="I49" r:id="rId3" xr:uid="{00000000-0004-0000-0100-000002000000}"/>
  </hyperlinks>
  <pageMargins left="0.25" right="0.25" top="0.75" bottom="0.75" header="0" footer="0"/>
  <pageSetup orientation="portrait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2023-12-17T14:58:18Z</dcterms:modified>
</cp:coreProperties>
</file>