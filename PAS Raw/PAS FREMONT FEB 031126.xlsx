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" sheetId="1" r:id="rId4"/>
    <sheet state="visible" name="S" sheetId="2" r:id="rId5"/>
    <sheet state="visible" name="Sheet5" sheetId="3" r:id="rId6"/>
  </sheets>
  <definedNames/>
  <calcPr/>
  <extLst>
    <ext uri="GoogleSheetsCustomDataVersion2">
      <go:sheetsCustomData xmlns:go="http://customooxmlschemas.google.com/" r:id="rId7" roundtripDataChecksum="4qbK8tjEfgqja4V0WWSsyg2xmdMhHDwgnAxE9mVNdmU="/>
    </ext>
  </extLst>
</workbook>
</file>

<file path=xl/sharedStrings.xml><?xml version="1.0" encoding="utf-8"?>
<sst xmlns="http://schemas.openxmlformats.org/spreadsheetml/2006/main" count="3965" uniqueCount="1120">
  <si>
    <t xml:space="preserve">  </t>
  </si>
  <si>
    <t>Due by: 3/1/26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</si>
  <si>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</si>
  <si>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</si>
  <si>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</si>
  <si>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</si>
  <si>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</si>
  <si>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</si>
  <si>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</si>
  <si>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</si>
  <si>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</si>
  <si>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</si>
  <si>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</si>
  <si>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</si>
  <si>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</si>
  <si>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</si>
  <si>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</si>
  <si>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</si>
  <si>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</si>
  <si>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</si>
  <si>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</si>
  <si>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</si>
  <si>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</si>
  <si>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</si>
  <si>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</si>
  <si>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</si>
  <si>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</si>
  <si>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</si>
  <si>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</si>
  <si>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</si>
  <si>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3/10/26)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</si>
  <si>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</si>
  <si>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</si>
  <si>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</si>
  <si>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</si>
  <si>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</si>
  <si>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</si>
  <si>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</si>
  <si>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</si>
  <si>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</si>
  <si>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</si>
  <si>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</si>
  <si>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</si>
  <si>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</si>
  <si>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</si>
  <si>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</si>
  <si>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</si>
  <si>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</si>
  <si>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</si>
  <si>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</si>
  <si>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</si>
  <si>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</si>
  <si>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</si>
  <si>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</si>
  <si>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</si>
  <si>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</si>
  <si>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</si>
  <si>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</si>
  <si>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</si>
  <si>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</si>
  <si>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</si>
  <si>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</si>
  <si>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</si>
  <si>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</si>
  <si>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</si>
  <si>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</si>
  <si>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</si>
  <si>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</si>
  <si>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</si>
  <si>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</si>
  <si>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</si>
  <si>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</si>
  <si>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</si>
  <si>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</si>
  <si>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</si>
  <si>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</si>
  <si>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</si>
  <si>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</si>
  <si>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</si>
  <si>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</si>
  <si>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</si>
  <si>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x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</si>
  <si>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</si>
  <si>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</si>
  <si>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</si>
  <si>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</si>
  <si>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</si>
  <si>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</si>
  <si>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</si>
  <si>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</si>
  <si>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</si>
  <si>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</si>
  <si>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</si>
  <si>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</si>
  <si>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</si>
  <si>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</si>
  <si>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</si>
  <si>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</si>
  <si>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</si>
  <si>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</si>
  <si>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Dec. WKS Lv</t>
  </si>
  <si>
    <t>Dec. WKS #</t>
  </si>
  <si>
    <t>Notes</t>
  </si>
  <si>
    <t>Code                  (C, N, A, R)</t>
  </si>
  <si>
    <t>Mth Absent</t>
  </si>
  <si>
    <t>Agnihotri</t>
  </si>
  <si>
    <t>Aarav</t>
  </si>
  <si>
    <t>49022 Meadowfaire Cmn</t>
  </si>
  <si>
    <t>amaragni78@gmail.com</t>
  </si>
  <si>
    <t>EG6</t>
  </si>
  <si>
    <t>first joined 6/16/2025; to Fremont on 10/1/25</t>
  </si>
  <si>
    <t>MG9</t>
  </si>
  <si>
    <t>moved to Fremont on 10/1/25</t>
  </si>
  <si>
    <t xml:space="preserve">Alagusakthi </t>
  </si>
  <si>
    <t>Inbaa</t>
  </si>
  <si>
    <t>45078 Fremont blvd</t>
  </si>
  <si>
    <t>Mohanakandavel@gmail.com</t>
  </si>
  <si>
    <t>EK3</t>
  </si>
  <si>
    <t>MG2</t>
  </si>
  <si>
    <t>added math in Feb.</t>
  </si>
  <si>
    <t>Arora</t>
  </si>
  <si>
    <t>Ivaan</t>
  </si>
  <si>
    <t xml:space="preserve">49001 Meadowfaire Common Fremont CA </t>
  </si>
  <si>
    <t>richa.tauras5@gmail.com</t>
  </si>
  <si>
    <t>EG2</t>
  </si>
  <si>
    <t>MG6</t>
  </si>
  <si>
    <t>2nd Subject</t>
  </si>
  <si>
    <t>Ashwin</t>
  </si>
  <si>
    <t>Advith</t>
  </si>
  <si>
    <t>48815 Big Horn Court, Fremont</t>
  </si>
  <si>
    <t>408-981-5120</t>
  </si>
  <si>
    <t>archana.ashwin@gmail.com</t>
  </si>
  <si>
    <t>MG7</t>
  </si>
  <si>
    <t>EG3</t>
  </si>
  <si>
    <t>Avyakth</t>
  </si>
  <si>
    <t>Sridhar</t>
  </si>
  <si>
    <t>3690 Innovation way</t>
  </si>
  <si>
    <t>reechshree@gmail.com</t>
  </si>
  <si>
    <t>EG2B</t>
  </si>
  <si>
    <t>Bansal</t>
  </si>
  <si>
    <t>Aashvi</t>
  </si>
  <si>
    <t>K</t>
  </si>
  <si>
    <t>47908 Wabana St</t>
  </si>
  <si>
    <t>adeetikaushal@gmail.com</t>
  </si>
  <si>
    <t>Cai</t>
  </si>
  <si>
    <t>Ethan</t>
  </si>
  <si>
    <t>10/16/2013</t>
  </si>
  <si>
    <t>136 Gamma Grass terFremontCA94539</t>
  </si>
  <si>
    <t>zoelulu9898@gmail.com</t>
  </si>
  <si>
    <t>7/22/2024</t>
  </si>
  <si>
    <t>MM3</t>
  </si>
  <si>
    <t>EM2</t>
  </si>
  <si>
    <t>Chan</t>
  </si>
  <si>
    <t xml:space="preserve">Samuel </t>
  </si>
  <si>
    <t>3685 Integration CommonFremontCA94538</t>
  </si>
  <si>
    <t>lipriss@gmail.com</t>
  </si>
  <si>
    <t>Chang</t>
  </si>
  <si>
    <t>Raeya</t>
  </si>
  <si>
    <t>3909 Engage Ter Unit 301</t>
  </si>
  <si>
    <t>lcleeman@gmail.com</t>
  </si>
  <si>
    <t>3910 Engage Ter Unit 301</t>
  </si>
  <si>
    <t>Chen</t>
  </si>
  <si>
    <t>Charlene</t>
  </si>
  <si>
    <t>46 Eagle Green, Fremont, CA</t>
  </si>
  <si>
    <t>bettyguan1990@gmail.com</t>
  </si>
  <si>
    <t>Ian</t>
  </si>
  <si>
    <t>473 Craycroft DrFremontCA94539</t>
  </si>
  <si>
    <t>victor_chen82@yahoo.com</t>
  </si>
  <si>
    <t>EK5</t>
  </si>
  <si>
    <t>MG3</t>
  </si>
  <si>
    <t>Kaylee</t>
  </si>
  <si>
    <t>11/25/2017</t>
  </si>
  <si>
    <t>Ryan</t>
  </si>
  <si>
    <t>EG1</t>
  </si>
  <si>
    <t>Yansu</t>
  </si>
  <si>
    <t>45060 Synergy st</t>
  </si>
  <si>
    <t>Tengyh1989@gmail.com</t>
  </si>
  <si>
    <t>CHENG</t>
  </si>
  <si>
    <t>PHOEBE</t>
  </si>
  <si>
    <t>6/2/2017</t>
  </si>
  <si>
    <t>46710 crawford St</t>
  </si>
  <si>
    <t>nancyw0602@gmail.com</t>
  </si>
  <si>
    <t>06/1/2024</t>
  </si>
  <si>
    <t>EG5</t>
  </si>
  <si>
    <t>Chinta</t>
  </si>
  <si>
    <t>Medha</t>
  </si>
  <si>
    <t>752 McDuff Avenue</t>
  </si>
  <si>
    <t>maddywared@gmail.com</t>
  </si>
  <si>
    <t>Choudhary</t>
  </si>
  <si>
    <t>Pryansh</t>
  </si>
  <si>
    <t>48175 Leigh St, Fremont</t>
  </si>
  <si>
    <t xml:space="preserve">	amit.2105@gmail.com</t>
  </si>
  <si>
    <t>EG4</t>
  </si>
  <si>
    <t>Chow</t>
  </si>
  <si>
    <t>Aileen</t>
  </si>
  <si>
    <t>10/10/2014</t>
  </si>
  <si>
    <t>506 Bristle Grass TerraceFremontCA94539</t>
  </si>
  <si>
    <t>ginah.kid@gmail.com</t>
  </si>
  <si>
    <t>EG7</t>
  </si>
  <si>
    <t>MG10</t>
  </si>
  <si>
    <t>Coodnapur</t>
  </si>
  <si>
    <t>Samarth</t>
  </si>
  <si>
    <t>47631 Gridley court</t>
  </si>
  <si>
    <t>rashmihholla@gmail.com</t>
  </si>
  <si>
    <t>Coondapur</t>
  </si>
  <si>
    <t>MG8</t>
  </si>
  <si>
    <t>Du</t>
  </si>
  <si>
    <t>Jeffrey</t>
  </si>
  <si>
    <t>2190 Cuesta Dr, Milpitas CA</t>
  </si>
  <si>
    <t>tingnaxu1120@gmail.com</t>
  </si>
  <si>
    <t>EG8</t>
  </si>
  <si>
    <t>MG11</t>
  </si>
  <si>
    <t>Terina</t>
  </si>
  <si>
    <t>2190 Cuesta Dr, Milpitas, CA, 95035</t>
  </si>
  <si>
    <t>EG2b</t>
  </si>
  <si>
    <t>Fan</t>
  </si>
  <si>
    <t>Angela</t>
  </si>
  <si>
    <t>295 Fusteria Ct., Fremont, CA</t>
  </si>
  <si>
    <t>fwentao@gmail.com</t>
  </si>
  <si>
    <t>EM4</t>
  </si>
  <si>
    <t>Gao</t>
  </si>
  <si>
    <t>Mira</t>
  </si>
  <si>
    <t>4534 SANDRA CTUNION CITYCA94587</t>
  </si>
  <si>
    <t>pei.3.1415926@gmail.com</t>
  </si>
  <si>
    <t>Golla</t>
  </si>
  <si>
    <t>Kanishk</t>
  </si>
  <si>
    <t>48943 Air fern common</t>
  </si>
  <si>
    <t xml:space="preserve">harish.golla@gmail.com
</t>
  </si>
  <si>
    <t>harish.golla@gmail.com</t>
  </si>
  <si>
    <t>Gong</t>
  </si>
  <si>
    <t>Lingxi</t>
  </si>
  <si>
    <t>48055 Purpleleaf St</t>
  </si>
  <si>
    <t>ameliaou1008@gmail.com</t>
  </si>
  <si>
    <t>Monica</t>
  </si>
  <si>
    <t>EG1b</t>
  </si>
  <si>
    <t>Hanumanula</t>
  </si>
  <si>
    <t>Vishnu Vardhan</t>
  </si>
  <si>
    <t>48907 Air Fern CommonFremontCA94539</t>
  </si>
  <si>
    <t>karempudi.bhavya@gmail.com</t>
  </si>
  <si>
    <t>Held</t>
  </si>
  <si>
    <t>Matthew</t>
  </si>
  <si>
    <t>Warm Spring Fremotn Ca 94540</t>
  </si>
  <si>
    <t>Zhuxi@hotmail.com</t>
  </si>
  <si>
    <t>MHT</t>
  </si>
  <si>
    <t>Michael</t>
  </si>
  <si>
    <t>Warm Spring, Fremont,CA</t>
  </si>
  <si>
    <t>EM1</t>
  </si>
  <si>
    <t>Hsieh</t>
  </si>
  <si>
    <t>Lawrence</t>
  </si>
  <si>
    <t>PK</t>
  </si>
  <si>
    <t>50 ESMERELDA FALLS TERRACE, Fremont, CA</t>
  </si>
  <si>
    <t>songjinglan@hotmail.com</t>
  </si>
  <si>
    <t>Melody</t>
  </si>
  <si>
    <t>51 ESMERELDA FALLS TERRACE</t>
  </si>
  <si>
    <t>50 ESMERELDA FALLS TERRACE</t>
  </si>
  <si>
    <t>EG1B</t>
  </si>
  <si>
    <t>Ivaturi</t>
  </si>
  <si>
    <t>Suhan</t>
  </si>
  <si>
    <t>49017 Wedge Grass Terrace</t>
  </si>
  <si>
    <t>408-613-3466</t>
  </si>
  <si>
    <t>swethaivaturi05@gmail.com</t>
  </si>
  <si>
    <t>Jain</t>
  </si>
  <si>
    <t>Aahana</t>
  </si>
  <si>
    <t>47646 Mardis St, Fremont CA 94539</t>
  </si>
  <si>
    <t>preetma.mishra@gmail.com</t>
  </si>
  <si>
    <t xml:space="preserve">Kapadia </t>
  </si>
  <si>
    <t>Arya</t>
  </si>
  <si>
    <t xml:space="preserve">47465 Mantis St Fremont CA </t>
  </si>
  <si>
    <t>manank@gmail.com</t>
  </si>
  <si>
    <t>typo, 2025-&gt;2026</t>
  </si>
  <si>
    <t>Karthik</t>
  </si>
  <si>
    <t>Krish</t>
  </si>
  <si>
    <t>4/17/2017</t>
  </si>
  <si>
    <t>3715 broadcast common，Fremont</t>
  </si>
  <si>
    <t>suchitra.pv@gmail.com</t>
  </si>
  <si>
    <t>4/18/2017</t>
  </si>
  <si>
    <t>3716 broadcast common，Fremont</t>
  </si>
  <si>
    <t>Kim</t>
  </si>
  <si>
    <t>Sophia</t>
  </si>
  <si>
    <t>47623 Hoyt St</t>
  </si>
  <si>
    <t>cbkim8677@gmail.com</t>
  </si>
  <si>
    <t>Lau</t>
  </si>
  <si>
    <t>Aria</t>
  </si>
  <si>
    <t>47560 Kinner Falls Cmn</t>
  </si>
  <si>
    <t>danlau168@gmail.com</t>
  </si>
  <si>
    <t>will add math soon</t>
  </si>
  <si>
    <t>LeBeuf</t>
  </si>
  <si>
    <t>Liam</t>
  </si>
  <si>
    <t>47500 Kinner Falls Cmn, Fremont, CA 94539</t>
  </si>
  <si>
    <t>hulanb@icloud.com</t>
  </si>
  <si>
    <t>Leo</t>
  </si>
  <si>
    <t>Tang</t>
  </si>
  <si>
    <t>2021 N Milpitas Blvd</t>
  </si>
  <si>
    <t>anglilly95@gmail.com</t>
  </si>
  <si>
    <t>Li</t>
  </si>
  <si>
    <t>Eli</t>
  </si>
  <si>
    <t>7/3/2020</t>
  </si>
  <si>
    <t>5431 shattuck aveFremontCA94555</t>
  </si>
  <si>
    <t>yoyomaidongxi@gmail.com</t>
  </si>
  <si>
    <t>EK2</t>
  </si>
  <si>
    <t>12/5/2017</t>
  </si>
  <si>
    <t>Lin</t>
  </si>
  <si>
    <t>Ian (Enyu)</t>
  </si>
  <si>
    <t xml:space="preserve">462 Wapama Falls Terr </t>
  </si>
  <si>
    <t>rachelenruixu@outlook.com</t>
  </si>
  <si>
    <t>Leyi</t>
  </si>
  <si>
    <t>294 Washington Dr.MilpitasCA95035</t>
  </si>
  <si>
    <t>jinfenghu42@gmail.com</t>
  </si>
  <si>
    <t>Yuehang</t>
  </si>
  <si>
    <t>294 Washington Dr. Milpitas, CA 95035</t>
  </si>
  <si>
    <t>chunmeixie15@gmail.com</t>
  </si>
  <si>
    <t>first joined 7/28/2025; to Fremont on 10/1/25</t>
  </si>
  <si>
    <t>LIN</t>
  </si>
  <si>
    <t>YUENING</t>
  </si>
  <si>
    <t>6/24/2018</t>
  </si>
  <si>
    <t>44908 Wisdom rd</t>
  </si>
  <si>
    <t>flora.qu@compass.com</t>
  </si>
  <si>
    <t>44909 Wisdom rd</t>
  </si>
  <si>
    <t>Liu</t>
  </si>
  <si>
    <t>Jasper</t>
  </si>
  <si>
    <t>455 Tonopah Drive, Fremont, CA</t>
  </si>
  <si>
    <t>xyanglove@gmail.com</t>
  </si>
  <si>
    <t>liu</t>
  </si>
  <si>
    <t>Jeremy</t>
  </si>
  <si>
    <t>455 Tonopah Drive, Fremont</t>
  </si>
  <si>
    <t>EH4</t>
  </si>
  <si>
    <t>Paisley</t>
  </si>
  <si>
    <t>5626 SNOWFLAKE CMNFremontCA94538</t>
  </si>
  <si>
    <t>zizizhong@yahoo.com</t>
  </si>
  <si>
    <t xml:space="preserve">Zeming </t>
  </si>
  <si>
    <t>3465 inspiration way</t>
  </si>
  <si>
    <t>Qinyuannie@hotmail.com</t>
  </si>
  <si>
    <t xml:space="preserve"> EG2</t>
  </si>
  <si>
    <t>Madhavan</t>
  </si>
  <si>
    <t>Avika</t>
  </si>
  <si>
    <t>47675 Mardis Street</t>
  </si>
  <si>
    <t>madhavans007@gmail.com</t>
  </si>
  <si>
    <t>47676 Mardis Street</t>
  </si>
  <si>
    <t>Mehta</t>
  </si>
  <si>
    <t>Maahi</t>
  </si>
  <si>
    <t>362 sequim cmn</t>
  </si>
  <si>
    <t>Viralmeh@gmail.com</t>
  </si>
  <si>
    <t xml:space="preserve">Maahi </t>
  </si>
  <si>
    <t>363 sequim cmn</t>
  </si>
  <si>
    <t>lawrence</t>
  </si>
  <si>
    <t>Mekala</t>
  </si>
  <si>
    <t>Prahan</t>
  </si>
  <si>
    <t>7/16/2019</t>
  </si>
  <si>
    <t>285 hackamore cmnfremontCA94539</t>
  </si>
  <si>
    <t>prashanthreddykm@gmail.com</t>
  </si>
  <si>
    <t>Munir</t>
  </si>
  <si>
    <t>Maaz</t>
  </si>
  <si>
    <t>464 Chardonnay drFremontCA94539</t>
  </si>
  <si>
    <t>adil_muneer@hotmail.com</t>
  </si>
  <si>
    <t>NERUKAR</t>
  </si>
  <si>
    <t>MEERA</t>
  </si>
  <si>
    <t>4/16/2018</t>
  </si>
  <si>
    <t>48432 Silva Pomar Ter</t>
  </si>
  <si>
    <t>ameyavnerurkar@gmail.com</t>
  </si>
  <si>
    <t>06/18/2024</t>
  </si>
  <si>
    <t>11/1/2024</t>
  </si>
  <si>
    <t>typo: M</t>
  </si>
  <si>
    <t>NGUYEN</t>
  </si>
  <si>
    <t>RICKY</t>
  </si>
  <si>
    <t>434 Curtner Dr, milpitas</t>
  </si>
  <si>
    <t>bichngocqn84@yahoo.com</t>
  </si>
  <si>
    <t>MM1</t>
  </si>
  <si>
    <t>RUBY</t>
  </si>
  <si>
    <t>Niu</t>
  </si>
  <si>
    <t>3871 Vanguard Cmn 1001, Fremont, CA, 94538</t>
  </si>
  <si>
    <t>nkniuchao@gmail.com</t>
  </si>
  <si>
    <t>Pan</t>
  </si>
  <si>
    <t>Winnie</t>
  </si>
  <si>
    <t>327 Bead Grass TerFremontCA94539</t>
  </si>
  <si>
    <t>emiliehua1981@gmail.com</t>
  </si>
  <si>
    <t>EG9</t>
  </si>
  <si>
    <t>Patil</t>
  </si>
  <si>
    <t>Anvika</t>
  </si>
  <si>
    <t>k</t>
  </si>
  <si>
    <t>4/1/2019</t>
  </si>
  <si>
    <t>3511 Vision Cmn Unit 1004FremontCA94538</t>
  </si>
  <si>
    <t>jeetenpatil@gmail.com</t>
  </si>
  <si>
    <t>Krishank</t>
  </si>
  <si>
    <t>4/5/2018</t>
  </si>
  <si>
    <t>375 Starlite WayFremontCA94539</t>
  </si>
  <si>
    <t>vaishali.khatale@gmail.com</t>
  </si>
  <si>
    <t>Pei</t>
  </si>
  <si>
    <t>Amy</t>
  </si>
  <si>
    <t>4503 longview ter</t>
  </si>
  <si>
    <t>otto28082008@gmail.com</t>
  </si>
  <si>
    <t>PRABHU YAMUNA</t>
  </si>
  <si>
    <t>Yuviksha</t>
  </si>
  <si>
    <t>3301 Innovation Way</t>
  </si>
  <si>
    <t>srprabhu08@gmail.com</t>
  </si>
  <si>
    <t>MK3</t>
  </si>
  <si>
    <t>Rajvaidya</t>
  </si>
  <si>
    <t>Shagun</t>
  </si>
  <si>
    <t>230 Acoma WayFremontCA94539</t>
  </si>
  <si>
    <t>sudhanshur@gmail.com</t>
  </si>
  <si>
    <t>MG4</t>
  </si>
  <si>
    <t>Vihaan</t>
  </si>
  <si>
    <t>Sarathkumar</t>
  </si>
  <si>
    <t xml:space="preserve">Raghav </t>
  </si>
  <si>
    <t>832 North Abbott Ave</t>
  </si>
  <si>
    <t>sharathrajkumar@gmail.com</t>
  </si>
  <si>
    <t xml:space="preserve">first joined 3/3/2025; </t>
  </si>
  <si>
    <t>Shoeb</t>
  </si>
  <si>
    <t>Arisha</t>
  </si>
  <si>
    <t>401 little foot drive</t>
  </si>
  <si>
    <t>sarah.shoeb1@gmail.com</t>
  </si>
  <si>
    <t>Zohan</t>
  </si>
  <si>
    <t>402 little foot drive</t>
  </si>
  <si>
    <t>403 little foot drive</t>
  </si>
  <si>
    <t>Sindri</t>
  </si>
  <si>
    <t>Vora</t>
  </si>
  <si>
    <t>44153 Boitano dr</t>
  </si>
  <si>
    <t>lindsayvora@gmail.com</t>
  </si>
  <si>
    <t>Singh</t>
  </si>
  <si>
    <t>Shivansh</t>
  </si>
  <si>
    <t>30 Washington Square</t>
  </si>
  <si>
    <t>aks.bitsg@gmail.com</t>
  </si>
  <si>
    <t>Singhal</t>
  </si>
  <si>
    <t>49186 Honeysuckle Terrace, Fremont, CA 94539</t>
  </si>
  <si>
    <t>aditiarya2001@gmail.com</t>
  </si>
  <si>
    <t>MG5</t>
  </si>
  <si>
    <t>SInghal</t>
  </si>
  <si>
    <t xml:space="preserve">Ivaan </t>
  </si>
  <si>
    <t>Rohan</t>
  </si>
  <si>
    <t>Xinyan</t>
  </si>
  <si>
    <t>39230 Sundale Dr</t>
  </si>
  <si>
    <t>tangj6784@gmail.com</t>
  </si>
  <si>
    <t>Yixing</t>
  </si>
  <si>
    <t>Yixuan</t>
  </si>
  <si>
    <t xml:space="preserve">Tang </t>
  </si>
  <si>
    <t>Aiden</t>
  </si>
  <si>
    <t>44642 Gabrielino Way</t>
  </si>
  <si>
    <t>etang@pacbell.net</t>
  </si>
  <si>
    <t>Tanutama</t>
  </si>
  <si>
    <t>Kai</t>
  </si>
  <si>
    <t>328 Grafton Terrace</t>
  </si>
  <si>
    <t>intanlilyana@gmail.com</t>
  </si>
  <si>
    <t>Vaddiraju</t>
  </si>
  <si>
    <t>Sahasra</t>
  </si>
  <si>
    <t>4/4/2017</t>
  </si>
  <si>
    <t>49062 Tickle Grass TerrFremontCA94539</t>
  </si>
  <si>
    <t>vaddirajs@yahoo.com</t>
  </si>
  <si>
    <t>Wang</t>
  </si>
  <si>
    <t>Eric</t>
  </si>
  <si>
    <t>5/1/2015</t>
  </si>
  <si>
    <t>251 Bunch Grass TerFremontCA94539</t>
  </si>
  <si>
    <t>mail.liang.wang@gmail.com</t>
  </si>
  <si>
    <t>8/1/2024</t>
  </si>
  <si>
    <t>EH2</t>
  </si>
  <si>
    <t>Erick</t>
  </si>
  <si>
    <t>322 Hiddenlake Dr.</t>
  </si>
  <si>
    <t>wangyi.ethan@gmail.com</t>
  </si>
  <si>
    <t>1326 Nelson Way</t>
  </si>
  <si>
    <t>lianzhigu5@gmail.com</t>
  </si>
  <si>
    <t>Vera</t>
  </si>
  <si>
    <t>1/1/2017</t>
  </si>
  <si>
    <t>Yvonne</t>
  </si>
  <si>
    <t>87 delta green</t>
  </si>
  <si>
    <t>mei5206543@gmail.com</t>
  </si>
  <si>
    <t>88 delta green</t>
  </si>
  <si>
    <t>Xu</t>
  </si>
  <si>
    <t>Cindy</t>
  </si>
  <si>
    <t>4092 Central Ave Fremont Ca 94536</t>
  </si>
  <si>
    <t>taozi5963527@outlook.com</t>
  </si>
  <si>
    <t>7/31/2017</t>
  </si>
  <si>
    <t>235 Lippert AveFremontCA94539</t>
  </si>
  <si>
    <t>bjunzhang@gmail.com</t>
  </si>
  <si>
    <t>Leo2</t>
  </si>
  <si>
    <t>4093 Central Ave Fremont Ca 94536</t>
  </si>
  <si>
    <t>Lucas</t>
  </si>
  <si>
    <t>46913 Fernald Common</t>
  </si>
  <si>
    <t>panpanfu1986@gmail.com</t>
  </si>
  <si>
    <t>Luna</t>
  </si>
  <si>
    <t>46912 Fernald Common</t>
  </si>
  <si>
    <t>Timothy</t>
  </si>
  <si>
    <t>3/14/2015</t>
  </si>
  <si>
    <t>Yi</t>
  </si>
  <si>
    <t>Zijin (Leo)</t>
  </si>
  <si>
    <t>392 Farley common, Fremont, CA 94539</t>
  </si>
  <si>
    <t>Liuxin170619@gmail.com</t>
  </si>
  <si>
    <t>Yin</t>
  </si>
  <si>
    <t>Cherie</t>
  </si>
  <si>
    <t>4157 Redstone Ter</t>
  </si>
  <si>
    <t>chialingwynn@gmail.com</t>
  </si>
  <si>
    <t xml:space="preserve">Kyrie </t>
  </si>
  <si>
    <t>4159 Redstone Ter</t>
  </si>
  <si>
    <t>Zeya</t>
  </si>
  <si>
    <t>Jayden</t>
  </si>
  <si>
    <t>3848 Advancement TerUnit 1009FremontCA94538</t>
  </si>
  <si>
    <t>saizeya@gmail.com</t>
  </si>
  <si>
    <t>Zhu</t>
  </si>
  <si>
    <t>Braden</t>
  </si>
  <si>
    <t>4589 Bianca Drive, Fremont</t>
  </si>
  <si>
    <t>510-673-8505</t>
  </si>
  <si>
    <t>winnybear@gmail.com</t>
  </si>
  <si>
    <t>Danyka Zhu</t>
  </si>
  <si>
    <t>Nguyen</t>
  </si>
  <si>
    <t>Tiffany</t>
  </si>
  <si>
    <t>4044 PAPILLON TER</t>
  </si>
  <si>
    <t>donguyen64@gmail.com</t>
  </si>
  <si>
    <t>Absent In Dec - returning Jan</t>
  </si>
  <si>
    <t>4045 PAPILLON TER</t>
  </si>
  <si>
    <t>2nd subject</t>
  </si>
  <si>
    <t>Dutia</t>
  </si>
  <si>
    <t>Manay</t>
  </si>
  <si>
    <t>12/26/2018</t>
  </si>
  <si>
    <t>3848 Advancement Ter, Unit 1000</t>
  </si>
  <si>
    <t>Jinal.jani@gmail.com</t>
  </si>
  <si>
    <t>Absent in Dec - Returning Feb.</t>
  </si>
  <si>
    <t>Law</t>
  </si>
  <si>
    <t>Theodore</t>
  </si>
  <si>
    <t>45228 Tom Blalock St, Unit 103</t>
  </si>
  <si>
    <t>viashinra@gmail.com</t>
  </si>
  <si>
    <t>Shah</t>
  </si>
  <si>
    <t>47471 Mantis St, Fremont</t>
  </si>
  <si>
    <t>Khyati310@gmail.com</t>
  </si>
  <si>
    <t>EK1</t>
  </si>
  <si>
    <t>Quit List</t>
  </si>
  <si>
    <t>Joanna</t>
  </si>
  <si>
    <t>Cao</t>
  </si>
  <si>
    <t>201 Starlite Way, Fremont 94539</t>
  </si>
  <si>
    <t>phyllis.yuen@gmail.com</t>
  </si>
  <si>
    <t>2nd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</si>
  <si>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</si>
  <si>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</si>
  <si>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</si>
  <si>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</si>
  <si>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</si>
  <si>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</si>
  <si>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</si>
  <si>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</si>
  <si>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</si>
  <si>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</si>
  <si>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</si>
  <si>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</si>
  <si>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</si>
  <si>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</si>
  <si>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</si>
  <si>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LingQun(Joy)</t>
  </si>
  <si>
    <t>44930 Lynx Dr., Fremont, CA, 94539</t>
  </si>
  <si>
    <t>jie9ding18@gmail.com</t>
  </si>
  <si>
    <t>back in Sep.</t>
  </si>
  <si>
    <t>Xiao</t>
  </si>
  <si>
    <t>251 Lippert Ave， Fremont</t>
  </si>
  <si>
    <t>sminyao@gmail.com</t>
  </si>
  <si>
    <t>will be back</t>
  </si>
  <si>
    <t>Andrew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</si>
  <si>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</si>
  <si>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</si>
  <si>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</si>
  <si>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</si>
  <si>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</si>
  <si>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</si>
  <si>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</si>
  <si>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</si>
  <si>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Zhang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</si>
  <si>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</si>
  <si>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</si>
  <si>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</si>
  <si>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</si>
  <si>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</si>
  <si>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</si>
  <si>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</si>
  <si>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</si>
  <si>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</si>
  <si>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</si>
  <si>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</si>
  <si>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</si>
  <si>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</si>
  <si>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</si>
  <si>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</si>
  <si>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</si>
  <si>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</si>
  <si>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</si>
  <si>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</si>
  <si>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</si>
  <si>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</si>
  <si>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</si>
  <si>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</si>
  <si>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</si>
  <si>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</si>
  <si>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</si>
  <si>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</si>
  <si>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</si>
  <si>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</si>
  <si>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</si>
  <si>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</si>
  <si>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</si>
  <si>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</si>
  <si>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</si>
  <si>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</si>
  <si>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</si>
  <si>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</si>
  <si>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</si>
  <si>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</si>
  <si>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</si>
  <si>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</si>
  <si>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</si>
  <si>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</si>
  <si>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</si>
  <si>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</si>
  <si>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</si>
  <si>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</si>
  <si>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</si>
  <si>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</si>
  <si>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</si>
  <si>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Yuan</t>
  </si>
  <si>
    <t>Arick</t>
  </si>
  <si>
    <t>450 s 19th st, San Jose</t>
  </si>
  <si>
    <t>Gfyuan@gmail.com</t>
  </si>
  <si>
    <t>over reported,  at Milpitas</t>
  </si>
  <si>
    <t>Zhao</t>
  </si>
  <si>
    <t>Chloe</t>
  </si>
  <si>
    <t>382 Wheat Grass Ter, Fremont, CA 94539</t>
  </si>
  <si>
    <t>screwyterror83@gmail.com</t>
  </si>
  <si>
    <t xml:space="preserve">Feng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</si>
  <si>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</si>
  <si>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</si>
  <si>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</si>
  <si>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</si>
  <si>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</si>
  <si>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</si>
  <si>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</si>
  <si>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</si>
  <si>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</si>
  <si>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</si>
  <si>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</si>
  <si>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</si>
  <si>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</si>
  <si>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</si>
  <si>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</si>
  <si>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</si>
  <si>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</si>
  <si>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</si>
  <si>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</si>
  <si>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</si>
  <si>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</si>
  <si>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</si>
  <si>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</si>
  <si>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</si>
  <si>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</si>
  <si>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</si>
  <si>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</si>
  <si>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</si>
  <si>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</si>
  <si>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</si>
  <si>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</si>
  <si>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</si>
  <si>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</si>
  <si>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</si>
  <si>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</si>
  <si>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</si>
  <si>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</si>
  <si>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</si>
  <si>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</si>
  <si>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</si>
  <si>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</si>
  <si>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</si>
  <si>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</si>
  <si>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</si>
  <si>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</si>
  <si>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</si>
  <si>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</si>
  <si>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</si>
  <si>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</si>
  <si>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</si>
  <si>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</si>
  <si>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</si>
  <si>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</si>
  <si>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</si>
  <si>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</si>
  <si>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Zheng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</si>
  <si>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</si>
  <si>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</si>
  <si>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</si>
  <si>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</si>
  <si>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</si>
  <si>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</si>
  <si>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</si>
  <si>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</si>
  <si>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</si>
  <si>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</si>
  <si>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</si>
  <si>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</si>
  <si>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44642 Gabrielino Way, Fremont, CA, 94539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</si>
  <si>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</si>
  <si>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</si>
  <si>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</si>
  <si>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</si>
  <si>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</si>
  <si>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</si>
  <si>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</si>
  <si>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</si>
  <si>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</si>
  <si>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</si>
  <si>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</si>
  <si>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</si>
  <si>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</si>
  <si>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</si>
  <si>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</si>
  <si>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</si>
  <si>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</si>
  <si>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</si>
  <si>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</si>
  <si>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</si>
  <si>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</si>
  <si>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</si>
  <si>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</si>
  <si>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</si>
  <si>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</si>
  <si>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</si>
  <si>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</si>
  <si>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</si>
  <si>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</si>
  <si>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</si>
  <si>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</si>
  <si>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</si>
  <si>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</si>
  <si>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</si>
  <si>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</si>
  <si>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</si>
  <si>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</si>
  <si>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</si>
  <si>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</si>
  <si>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</si>
  <si>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</si>
  <si>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</si>
  <si>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</si>
  <si>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Xin</t>
  </si>
  <si>
    <t>47260 Havasu Street</t>
  </si>
  <si>
    <t>xixirain@gmail.com</t>
  </si>
  <si>
    <t>will be back in Aug. add English</t>
  </si>
  <si>
    <t>Evan</t>
  </si>
  <si>
    <t>5480 borgia road, Fremont, CA 94539</t>
  </si>
  <si>
    <t>liusheng188888@gmail.com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</si>
  <si>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</si>
  <si>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</si>
  <si>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</si>
  <si>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</si>
  <si>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</si>
  <si>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</si>
  <si>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</si>
  <si>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</si>
  <si>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</si>
  <si>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</si>
  <si>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</si>
  <si>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</si>
  <si>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</si>
  <si>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</si>
  <si>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 xml:space="preserve">Jayden 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</si>
  <si>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</si>
  <si>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</si>
  <si>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</si>
  <si>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</si>
  <si>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</si>
  <si>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</si>
  <si>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</si>
  <si>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</si>
  <si>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</si>
  <si>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</si>
  <si>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</si>
  <si>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</si>
  <si>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</si>
  <si>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</si>
  <si>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</si>
  <si>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</si>
  <si>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</si>
  <si>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</si>
  <si>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</si>
  <si>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</si>
  <si>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</si>
  <si>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</si>
  <si>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</si>
  <si>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</si>
  <si>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</si>
  <si>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</si>
  <si>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</si>
  <si>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</si>
  <si>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</si>
  <si>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</si>
  <si>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</si>
  <si>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William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</si>
  <si>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</si>
  <si>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</si>
  <si>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</si>
  <si>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</si>
  <si>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</si>
  <si>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</si>
  <si>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</si>
  <si>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</si>
  <si>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</si>
  <si>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</si>
  <si>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</si>
  <si>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</si>
  <si>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</si>
  <si>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</si>
  <si>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</si>
  <si>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</si>
  <si>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</si>
  <si>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</si>
  <si>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</si>
  <si>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</si>
  <si>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</si>
  <si>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</si>
  <si>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</si>
  <si>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</si>
  <si>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</si>
  <si>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</si>
  <si>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</si>
  <si>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</si>
  <si>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</si>
  <si>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</si>
  <si>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</si>
  <si>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</si>
  <si>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</si>
  <si>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</si>
  <si>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</si>
  <si>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</si>
  <si>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</si>
  <si>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</si>
  <si>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</si>
  <si>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</si>
  <si>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</si>
  <si>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</si>
  <si>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</si>
  <si>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</si>
  <si>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</si>
  <si>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</si>
  <si>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</si>
  <si>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</si>
  <si>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</si>
  <si>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</si>
  <si>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</si>
  <si>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</si>
  <si>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</si>
  <si>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</si>
  <si>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</si>
  <si>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</si>
  <si>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</si>
  <si>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</si>
  <si>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</si>
  <si>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</si>
  <si>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</si>
  <si>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</si>
  <si>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</si>
  <si>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</si>
  <si>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</si>
  <si>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</si>
  <si>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</si>
  <si>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Wan</t>
  </si>
  <si>
    <t>Fang</t>
  </si>
  <si>
    <t>10/2/2017</t>
  </si>
  <si>
    <t>40930 Fairmont Ter</t>
  </si>
  <si>
    <t>shuichen17@gmail.com</t>
  </si>
  <si>
    <t>06/05/2024</t>
  </si>
  <si>
    <t>WAN</t>
  </si>
  <si>
    <t>YUAN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</si>
  <si>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</si>
  <si>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</si>
  <si>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</si>
  <si>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</si>
  <si>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</si>
  <si>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</si>
  <si>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</si>
  <si>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</si>
  <si>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</si>
  <si>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</si>
  <si>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</si>
  <si>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</si>
  <si>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</si>
  <si>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</si>
  <si>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</si>
  <si>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</si>
  <si>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</si>
  <si>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</si>
  <si>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</si>
  <si>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</si>
  <si>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>8/16/2024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</si>
  <si>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</si>
  <si>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</si>
  <si>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</si>
  <si>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</si>
  <si>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</si>
  <si>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</si>
  <si>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</si>
  <si>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</si>
  <si>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</si>
  <si>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</si>
  <si>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</si>
  <si>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Yiyao</t>
  </si>
  <si>
    <t>8930 Wave Cove Way</t>
  </si>
  <si>
    <t>caijie0620@gmail.com</t>
  </si>
  <si>
    <t>Correct to Math</t>
  </si>
  <si>
    <t>Atharva</t>
  </si>
  <si>
    <t>4269 Delaware Dr, Fremont, CA, 94538</t>
  </si>
  <si>
    <t>kameshwar2004@gmail.com</t>
  </si>
  <si>
    <t>78P</t>
  </si>
  <si>
    <t>absent in Feb.  back in late march</t>
  </si>
  <si>
    <t>1P</t>
  </si>
  <si>
    <t>4/28/2015</t>
  </si>
  <si>
    <t>350 Phantom Falls CMNFremontCA94539</t>
  </si>
  <si>
    <t>haimingw24@gmail.com</t>
  </si>
  <si>
    <t>61P</t>
  </si>
  <si>
    <t>changed school</t>
  </si>
  <si>
    <t>101P</t>
  </si>
  <si>
    <t>Andy</t>
  </si>
  <si>
    <t>39953 Cedar Blvd unit 221, Newark</t>
  </si>
  <si>
    <t>510-896-9021</t>
  </si>
  <si>
    <t>Cyberlei23@gmail.com</t>
  </si>
  <si>
    <t>86P</t>
  </si>
  <si>
    <t>Quit</t>
  </si>
  <si>
    <t>8/21/2024</t>
  </si>
  <si>
    <t xml:space="preserve">will be back </t>
  </si>
  <si>
    <t>back in Aug.</t>
  </si>
  <si>
    <t>Bhatti</t>
  </si>
  <si>
    <t>6/12/2014</t>
  </si>
  <si>
    <t>48016 leontine ctFremontCA94539</t>
  </si>
  <si>
    <t>Vaishali221@gmail.com</t>
  </si>
  <si>
    <t>7/23/2024</t>
  </si>
  <si>
    <t>QUIT leave after May</t>
  </si>
  <si>
    <t>Carson</t>
  </si>
  <si>
    <t>4/30/2015</t>
  </si>
  <si>
    <t>47522 Fortner StreetFREMONTCA94539</t>
  </si>
  <si>
    <t>EG10</t>
  </si>
  <si>
    <t>4/30/2016</t>
  </si>
  <si>
    <t>47523 Fortner StreetFREMONTCA94539</t>
  </si>
  <si>
    <t>4/5/2015</t>
  </si>
  <si>
    <t>382 Wheat Grass TerFremontCA94539</t>
  </si>
  <si>
    <t>8/20/2024</t>
  </si>
  <si>
    <t>3/28/2017</t>
  </si>
  <si>
    <t>47260 Havasu StreetFremontCA94539</t>
  </si>
  <si>
    <t>5/21/2016</t>
  </si>
  <si>
    <t>5480 borgia roadFremontCA94538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</si>
  <si>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</si>
  <si>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</si>
  <si>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</si>
  <si>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</si>
  <si>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</si>
  <si>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</si>
  <si>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Jasmine</t>
  </si>
  <si>
    <t xml:space="preserve">44 Essanay Ave , Fremont, CA </t>
  </si>
  <si>
    <t>jiazi3303@gmail.com</t>
  </si>
  <si>
    <t>Mekoyo</t>
  </si>
  <si>
    <t>Jean</t>
  </si>
  <si>
    <t>29505 mission Blvd Apt 406</t>
  </si>
  <si>
    <t>brunnelf@yahoo.com</t>
  </si>
  <si>
    <t>financial prob. will quit</t>
  </si>
  <si>
    <t>Kyna</t>
  </si>
  <si>
    <t>49119 Rose Ter Fremont Ca 94539</t>
  </si>
  <si>
    <t>gcychen@outlook.com</t>
  </si>
  <si>
    <t>8/19/2024</t>
  </si>
  <si>
    <t>Patrick</t>
  </si>
  <si>
    <t>MH3</t>
  </si>
  <si>
    <t>8/23/2024</t>
  </si>
  <si>
    <t>Shaik</t>
  </si>
  <si>
    <t>Rashid</t>
  </si>
  <si>
    <t>747 Choctaw Dr，Fremont</t>
  </si>
  <si>
    <t>hi.moulaali@gmail.com</t>
  </si>
  <si>
    <t>11/18/2024</t>
  </si>
  <si>
    <t>5/2/2015</t>
  </si>
  <si>
    <t>748 Choctaw Dr，Fremont</t>
  </si>
  <si>
    <t>Shelley</t>
  </si>
  <si>
    <t>1499 Piedmont Rd, San Jose, CA</t>
  </si>
  <si>
    <t>rannie_chen@hotmail.com</t>
  </si>
  <si>
    <t>Sophie</t>
  </si>
  <si>
    <t>12/11/2013</t>
  </si>
  <si>
    <t>47821 Masters Ct</t>
  </si>
  <si>
    <t>zhaocnus@gmail.com</t>
  </si>
  <si>
    <t>11/16/2024</t>
  </si>
  <si>
    <t>MH4</t>
  </si>
  <si>
    <t>8931 Wave Cove Way</t>
  </si>
  <si>
    <t>6/24/2019</t>
  </si>
  <si>
    <t>8/30/2024</t>
  </si>
  <si>
    <t>back in Sep</t>
  </si>
  <si>
    <t xml:space="preserve">Alysia </t>
  </si>
  <si>
    <t>10/5/1018</t>
  </si>
  <si>
    <t>47074 Palo Amarillo Dr, , Fremont, CA</t>
  </si>
  <si>
    <t>danlirealty@gmail.com</t>
  </si>
  <si>
    <t xml:space="preserve"> Vengalam</t>
  </si>
  <si>
    <t>753 Nodaway Ave</t>
  </si>
  <si>
    <t>njayanthi@gmail.com</t>
  </si>
  <si>
    <t>QUIT</t>
  </si>
  <si>
    <t>from Milpitas</t>
  </si>
  <si>
    <t>4158 Redstone Ter</t>
  </si>
  <si>
    <t>4160 Redstone Ter</t>
  </si>
  <si>
    <t>Second Subject.</t>
  </si>
  <si>
    <t>Chandra</t>
  </si>
  <si>
    <t>Vivaan</t>
  </si>
  <si>
    <t>6/23/2017</t>
  </si>
  <si>
    <t>3465 Inspiration Way #205</t>
  </si>
  <si>
    <t>vishsan06@gmail.com</t>
  </si>
  <si>
    <t>12/10/2024</t>
  </si>
  <si>
    <t>Chao</t>
  </si>
  <si>
    <t>Raydon</t>
  </si>
  <si>
    <t>1884 Travertine Way Union City CA</t>
  </si>
  <si>
    <t>wmaung07@gmail.com</t>
  </si>
  <si>
    <t>1885 Travertine Way Union City CA</t>
  </si>
  <si>
    <t>Hang</t>
  </si>
  <si>
    <t>Kate</t>
  </si>
  <si>
    <t>9/1/2014</t>
  </si>
  <si>
    <t>310 Stocker Ct，Fremont</t>
  </si>
  <si>
    <t>leeliantan@gmail.com</t>
  </si>
  <si>
    <t>9/2/2014</t>
  </si>
  <si>
    <t>311 Stocker Ct，Fremont</t>
  </si>
  <si>
    <t>Ivan</t>
  </si>
  <si>
    <t>4207 Ogden</t>
  </si>
  <si>
    <t>kathy09041101@gmail.com</t>
  </si>
  <si>
    <t>4208 Ogden</t>
  </si>
  <si>
    <t>6/30/0202</t>
  </si>
  <si>
    <t>Johnny</t>
  </si>
  <si>
    <t>Cheng</t>
  </si>
  <si>
    <t>4207 Ogden Drive</t>
  </si>
  <si>
    <t>Babality_4u@yahoo.com</t>
  </si>
  <si>
    <t>4208 Ogden Drive</t>
  </si>
  <si>
    <t>Kaiden Wong</t>
  </si>
  <si>
    <t>Wong</t>
  </si>
  <si>
    <t>47644 Bannon Ct, Fremont</t>
  </si>
  <si>
    <t>kcwong2002@gmail.com</t>
  </si>
  <si>
    <t>Kaiya</t>
  </si>
  <si>
    <t>Hooks</t>
  </si>
  <si>
    <t>34196 Rowland Dr</t>
  </si>
  <si>
    <t>aong47@yahoo.com</t>
  </si>
  <si>
    <t>34197 Rowland Dr</t>
  </si>
  <si>
    <t>Helena</t>
  </si>
  <si>
    <t>EM3</t>
  </si>
  <si>
    <t xml:space="preserve">Sharma </t>
  </si>
  <si>
    <t>Haanish</t>
  </si>
  <si>
    <t>3229 accelerator avn. Unit 1000</t>
  </si>
  <si>
    <t>Sharma.dipika5@gmail.com</t>
  </si>
  <si>
    <t>EK4</t>
  </si>
  <si>
    <t>Siddharth</t>
  </si>
  <si>
    <t>Darshan</t>
  </si>
  <si>
    <t>49114 Rose Ter</t>
  </si>
  <si>
    <t>darshan.d.komarlu@gmail.com</t>
  </si>
  <si>
    <t>736 Maya Ct. Fremont, CA 94539</t>
  </si>
  <si>
    <t>jinghuazhao950@gmail.com</t>
  </si>
  <si>
    <t xml:space="preserve">Taluna </t>
  </si>
  <si>
    <t>519 Mayten Way</t>
  </si>
  <si>
    <t>520 Mayten Way</t>
  </si>
  <si>
    <t xml:space="preserve">Tan </t>
  </si>
  <si>
    <t>48404 Ursa Dr, , Fremont, CA</t>
  </si>
  <si>
    <t>mingao168@yahoo.com</t>
  </si>
  <si>
    <t xml:space="preserve">Vivaan </t>
  </si>
  <si>
    <t>47613 MARDIS STREET</t>
  </si>
  <si>
    <t>vishwajit.kumaratsf@yahoo.com</t>
  </si>
  <si>
    <t>5630 central pkwy</t>
  </si>
  <si>
    <t>469 268 9535</t>
  </si>
  <si>
    <t>wenwen179505@gmail.com</t>
  </si>
  <si>
    <t>Dang</t>
  </si>
  <si>
    <t>Deion</t>
  </si>
  <si>
    <t>40989 Pajaro Dr</t>
  </si>
  <si>
    <t>bkmlxx@yahoo.com</t>
  </si>
  <si>
    <t xml:space="preserve">absent from Oct. </t>
  </si>
  <si>
    <t>No Math, mistake, will add math later</t>
  </si>
  <si>
    <t>no math, level too hard MH5</t>
  </si>
  <si>
    <t xml:space="preserve">Abigail </t>
  </si>
  <si>
    <t>Lee</t>
  </si>
  <si>
    <t>46180 Sentinel Drive</t>
  </si>
  <si>
    <t>vannguy+pel@gmail.com</t>
  </si>
  <si>
    <t>Quit will be back in summer</t>
  </si>
  <si>
    <t>Adalynn</t>
  </si>
  <si>
    <t>46182 Sentinel Drive</t>
  </si>
  <si>
    <t xml:space="preserve">Quit </t>
  </si>
  <si>
    <t>46183 Sentinel Drive</t>
  </si>
  <si>
    <t>No English from Nov.</t>
  </si>
  <si>
    <t>Karnam</t>
  </si>
  <si>
    <t>Spruha</t>
  </si>
  <si>
    <t>3819 improvement ter</t>
  </si>
  <si>
    <t>sree.2k@gmail.com</t>
  </si>
  <si>
    <t>3820 improvement ter</t>
  </si>
  <si>
    <t>MG1</t>
  </si>
  <si>
    <t>Reya</t>
  </si>
  <si>
    <t xml:space="preserve">389 Starlite Way, Fremont, CA </t>
  </si>
  <si>
    <t>sumitj@gmail.com</t>
  </si>
  <si>
    <t>Absent</t>
  </si>
  <si>
    <t>back in Feb.</t>
  </si>
  <si>
    <t>Vu</t>
  </si>
  <si>
    <t>Daniela</t>
  </si>
  <si>
    <t>2519 Riparian CtSan JoseCA95133</t>
  </si>
  <si>
    <t>mmindyvu@gmail.com</t>
  </si>
  <si>
    <t>Dean</t>
  </si>
  <si>
    <t xml:space="preserve">no math </t>
  </si>
  <si>
    <t>Ended Enrollment - Last Month Dec</t>
  </si>
  <si>
    <t>MH1</t>
  </si>
  <si>
    <t>Ended enrollment for Math in Dec</t>
  </si>
  <si>
    <t>Virani</t>
  </si>
  <si>
    <t>Ezar</t>
  </si>
  <si>
    <t>48867 Sauvignon Ct Fremont CA  94539</t>
  </si>
  <si>
    <t>sonia.12t@gmail.com</t>
  </si>
  <si>
    <t>Last Month Jan - Ended Enrollment</t>
  </si>
  <si>
    <t>Cho</t>
  </si>
  <si>
    <t>Eaint Khun(Hazel)</t>
  </si>
  <si>
    <t>5/17/2015</t>
  </si>
  <si>
    <t>49002 Cinnamon Fern Common</t>
  </si>
  <si>
    <t>hsumon.tarm@gmail.com</t>
  </si>
  <si>
    <t>12/9/2024</t>
  </si>
  <si>
    <t>Ended Enrollment - Last Month Jan</t>
  </si>
  <si>
    <t>Gu</t>
  </si>
  <si>
    <t>Mark</t>
  </si>
  <si>
    <t xml:space="preserve">	3909 Adams Ave, Fremont, CA</t>
  </si>
  <si>
    <t>(510)6737301</t>
  </si>
  <si>
    <t>qinlingli1985@gmail.com</t>
  </si>
  <si>
    <t>Last Month Jan, Move to China</t>
  </si>
  <si>
    <t>Student Last Name</t>
  </si>
  <si>
    <t>Guardian</t>
  </si>
  <si>
    <t>Age</t>
  </si>
  <si>
    <t>Dob</t>
  </si>
  <si>
    <t>Gender</t>
  </si>
  <si>
    <t>Performing</t>
  </si>
  <si>
    <t>Phone1</t>
  </si>
  <si>
    <t>Phone2</t>
  </si>
  <si>
    <t>Phone3</t>
  </si>
  <si>
    <t>Waiver</t>
  </si>
  <si>
    <t>Student Waiver Acceptance Date</t>
  </si>
  <si>
    <t>Last Measured Date</t>
  </si>
  <si>
    <t>First Enrolled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</si>
</sst>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&quot;$&quot;* #,##0.00_);_(&quot;$&quot;* \(#,##0.00\);_(&quot;$&quot;* &quot;-&quot;??_);_(@_)"/>
    <numFmt numFmtId="165" formatCode="_(* #,##0_);_(* \(#,##0\);_(* &quot;-&quot;??_);_(@_)"/>
    <numFmt numFmtId="166" formatCode="_(* #,##0.00_);_(* \(#,##0.00\);_(* &quot;-&quot;??_);_(@_)"/>
    <numFmt numFmtId="167" formatCode="mm/dd/yyyy"/>
    <numFmt numFmtId="168" formatCode="mmm\ d\,\ yyyy"/>
    <numFmt numFmtId="169" formatCode="yyyy\-mmm\-d"/>
    <numFmt numFmtId="170" formatCode="yyyy\-mmm\-dd"/>
    <numFmt numFmtId="171" formatCode="yyyy\-mmmm\-dd"/>
    <numFmt numFmtId="172" formatCode="yyyy-mmm-dd"/>
    <numFmt numFmtId="173" formatCode="yyyy-mmm-d h:mm am/pm"/>
    <numFmt numFmtId="174" formatCode="yyyy-mmm-d"/>
    <numFmt numFmtId="175" formatCode="yyyy-mmm-dd h:mm am/pm"/>
    <numFmt numFmtId="176" formatCode="yyyy-mmmm-d"/>
  </numFmts>
  <fonts count="35">
    <font>
      <sz val="11.0"/>
      <color theme="1"/>
      <name val="Calibri"/>
      <scheme val="minor"/>
    </font>
    <font>
      <b/>
      <sz val="20.0"/>
      <color theme="1"/>
      <name val="Century Gothic"/>
    </font>
    <font>
      <b/>
      <sz val="12.0"/>
      <color theme="1"/>
      <name val="Century Gothic"/>
    </font>
    <font>
      <sz val="12.0"/>
      <color theme="1"/>
      <name val="Century Gothic"/>
    </font>
    <font>
      <sz val="11.0"/>
      <color theme="1"/>
      <name val="Century Gothic"/>
    </font>
    <font>
      <b/>
      <i/>
      <sz val="12.0"/>
      <color theme="5"/>
      <name val="Century Gothic"/>
    </font>
    <font>
      <i/>
      <sz val="12.0"/>
      <color theme="1"/>
      <name val="Century Gothic"/>
    </font>
    <font>
      <b/>
      <i/>
      <sz val="12.0"/>
      <color theme="1"/>
      <name val="Century Gothic"/>
    </font>
    <font>
      <b/>
      <i/>
      <sz val="12.0"/>
      <color rgb="FFFF0000"/>
      <name val="Century Gothic"/>
    </font>
    <font>
      <b/>
      <sz val="12.0"/>
      <color rgb="FFFF0000"/>
      <name val="Century Gothic"/>
    </font>
    <font>
      <sz val="12.0"/>
      <color rgb="FFFF0000"/>
      <name val="Century Gothic"/>
    </font>
    <font>
      <b/>
      <sz val="12.0"/>
      <color rgb="FF00B050"/>
      <name val="Century Gothic"/>
    </font>
    <font>
      <sz val="12.0"/>
      <color rgb="FF9C0006"/>
      <name val="Century Gothic"/>
    </font>
    <font>
      <sz val="12.0"/>
      <color theme="1"/>
      <name val="Calibri"/>
    </font>
    <font>
      <sz val="12.0"/>
      <color rgb="FF333333"/>
      <name val="Open Sans"/>
    </font>
    <font>
      <sz val="12.0"/>
      <color rgb="FF333333"/>
      <name val="Century Gothic"/>
    </font>
    <font>
      <sz val="12.0"/>
      <color rgb="FF000000"/>
      <name val="Century Gothic"/>
    </font>
    <font>
      <u/>
      <sz val="12.0"/>
      <color rgb="FF0000FF"/>
      <name val="Century Gothic"/>
    </font>
    <font>
      <sz val="12.0"/>
      <color rgb="FF006100"/>
      <name val="Calibri"/>
    </font>
    <font>
      <sz val="11.0"/>
      <color theme="1"/>
      <name val="Calibri"/>
    </font>
    <font>
      <b/>
      <sz val="12.0"/>
      <color rgb="FF333333"/>
      <name val="Century Gothic"/>
    </font>
    <font>
      <b/>
      <sz val="11.0"/>
      <color theme="1"/>
      <name val="Century Gothic"/>
    </font>
    <font>
      <b/>
      <sz val="11.0"/>
      <color theme="1"/>
      <name val="Calibri"/>
    </font>
    <font>
      <b/>
      <sz val="11.0"/>
      <color rgb="FF333333"/>
      <name val="Open Sans"/>
    </font>
    <font>
      <u/>
      <sz val="11.0"/>
      <color rgb="FF0000FF"/>
      <name val="Century Gothic"/>
    </font>
    <font>
      <u/>
      <sz val="11.0"/>
      <color rgb="FF0000FF"/>
      <name val="Century Gothic"/>
    </font>
    <font>
      <sz val="11.0"/>
      <color rgb="FF000000"/>
      <name val="Century Gothic"/>
    </font>
    <font>
      <sz val="11.0"/>
      <color rgb="FF9C0006"/>
      <name val="Calibri"/>
    </font>
    <font>
      <u/>
      <sz val="12.0"/>
      <color theme="1"/>
      <name val="Century Gothic"/>
    </font>
    <font>
      <sz val="13.0"/>
      <color theme="1"/>
      <name val="Century Gothic"/>
    </font>
    <font>
      <sz val="11.0"/>
      <color rgb="FF333333"/>
      <name val="Open Sans"/>
    </font>
    <font>
      <b/>
      <sz val="12.0"/>
      <color theme="1"/>
      <name val="Calibri"/>
    </font>
    <font>
      <u/>
      <sz val="12.0"/>
      <color theme="1"/>
      <name val="Century Gothic"/>
    </font>
    <font>
      <u/>
      <sz val="12.0"/>
      <color rgb="FF333333"/>
      <name val="Century Gothic"/>
    </font>
    <font>
      <sz val="11.0"/>
      <color rgb="FF000000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top style="thin">
        <color rgb="FFE0E0E0"/>
      </top>
      <bottom style="thin">
        <color rgb="FFE0E0E0"/>
      </bottom>
    </border>
    <border>
      <left/>
      <right/>
      <top style="thin">
        <color rgb="FFE0E0E0"/>
      </top>
      <bottom style="thin">
        <color rgb="FFE0E0E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0" xfId="0" applyFont="1"/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0" fillId="0" fontId="4" numFmtId="0" xfId="0" applyFont="1"/>
    <xf borderId="0" fillId="0" fontId="4" numFmtId="0" xfId="0" applyAlignment="1" applyFont="1">
      <alignment horizontal="center" vertical="center"/>
    </xf>
    <xf borderId="0" fillId="0" fontId="3" numFmtId="14" xfId="0" applyFont="1" applyNumberFormat="1"/>
    <xf borderId="0" fillId="0" fontId="3" numFmtId="164" xfId="0" applyFont="1" applyNumberFormat="1"/>
    <xf borderId="0" fillId="0" fontId="4" numFmtId="164" xfId="0" applyFont="1" applyNumberFormat="1"/>
    <xf borderId="0" fillId="0" fontId="3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4" fillId="3" fontId="3" numFmtId="14" xfId="0" applyBorder="1" applyFill="1" applyFont="1" applyNumberFormat="1"/>
    <xf borderId="5" fillId="3" fontId="3" numFmtId="0" xfId="0" applyBorder="1" applyFont="1"/>
    <xf borderId="5" fillId="3" fontId="3" numFmtId="0" xfId="0" applyAlignment="1" applyBorder="1" applyFont="1">
      <alignment horizontal="center" vertical="center"/>
    </xf>
    <xf borderId="6" fillId="3" fontId="3" numFmtId="0" xfId="0" applyBorder="1" applyFont="1"/>
    <xf borderId="5" fillId="3" fontId="3" numFmtId="164" xfId="0" applyAlignment="1" applyBorder="1" applyFont="1" applyNumberFormat="1">
      <alignment horizontal="center" vertical="center"/>
    </xf>
    <xf borderId="5" fillId="3" fontId="3" numFmtId="164" xfId="0" applyBorder="1" applyFont="1" applyNumberFormat="1"/>
    <xf borderId="0" fillId="0" fontId="5" numFmtId="0" xfId="0" applyFont="1"/>
    <xf borderId="5" fillId="3" fontId="6" numFmtId="0" xfId="0" applyAlignment="1" applyBorder="1" applyFont="1">
      <alignment horizontal="center" vertical="center"/>
    </xf>
    <xf borderId="5" fillId="3" fontId="6" numFmtId="164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shrinkToFit="0" vertical="center" wrapText="1"/>
    </xf>
    <xf borderId="5" fillId="3" fontId="5" numFmtId="164" xfId="0" applyAlignment="1" applyBorder="1" applyFont="1" applyNumberFormat="1">
      <alignment horizontal="center" vertical="center"/>
    </xf>
    <xf borderId="5" fillId="3" fontId="5" numFmtId="0" xfId="0" applyAlignment="1" applyBorder="1" applyFont="1">
      <alignment horizontal="center" vertical="center"/>
    </xf>
    <xf borderId="5" fillId="3" fontId="3" numFmtId="0" xfId="0" applyAlignment="1" applyBorder="1" applyFont="1">
      <alignment shrinkToFit="0" vertical="center" wrapText="1"/>
    </xf>
    <xf borderId="5" fillId="3" fontId="2" numFmtId="164" xfId="0" applyBorder="1" applyFont="1" applyNumberFormat="1"/>
    <xf borderId="6" fillId="3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3" fontId="7" numFmtId="0" xfId="0" applyBorder="1" applyFont="1"/>
    <xf borderId="5" fillId="3" fontId="7" numFmtId="164" xfId="0" applyAlignment="1" applyBorder="1" applyFont="1" applyNumberFormat="1">
      <alignment horizontal="center" vertical="center"/>
    </xf>
    <xf borderId="5" fillId="3" fontId="7" numFmtId="165" xfId="0" applyAlignment="1" applyBorder="1" applyFont="1" applyNumberFormat="1">
      <alignment horizontal="center" vertical="center"/>
    </xf>
    <xf borderId="5" fillId="3" fontId="8" numFmtId="0" xfId="0" applyBorder="1" applyFont="1"/>
    <xf borderId="5" fillId="3" fontId="8" numFmtId="164" xfId="0" applyBorder="1" applyFont="1" applyNumberFormat="1"/>
    <xf borderId="5" fillId="3" fontId="9" numFmtId="164" xfId="0" applyAlignment="1" applyBorder="1" applyFont="1" applyNumberFormat="1">
      <alignment horizontal="center" vertical="center"/>
    </xf>
    <xf borderId="5" fillId="3" fontId="9" numFmtId="0" xfId="0" applyAlignment="1" applyBorder="1" applyFont="1">
      <alignment horizontal="center" vertical="center"/>
    </xf>
    <xf borderId="5" fillId="3" fontId="9" numFmtId="164" xfId="0" applyBorder="1" applyFont="1" applyNumberFormat="1"/>
    <xf borderId="5" fillId="3" fontId="3" numFmtId="164" xfId="0" applyAlignment="1" applyBorder="1" applyFont="1" applyNumberFormat="1">
      <alignment vertical="center"/>
    </xf>
    <xf borderId="5" fillId="3" fontId="2" numFmtId="0" xfId="0" applyBorder="1" applyFont="1"/>
    <xf borderId="5" fillId="3" fontId="2" numFmtId="164" xfId="0" applyAlignment="1" applyBorder="1" applyFont="1" applyNumberFormat="1">
      <alignment vertical="center"/>
    </xf>
    <xf borderId="7" fillId="3" fontId="3" numFmtId="14" xfId="0" applyBorder="1" applyFont="1" applyNumberFormat="1"/>
    <xf borderId="8" fillId="3" fontId="3" numFmtId="0" xfId="0" applyBorder="1" applyFont="1"/>
    <xf borderId="8" fillId="3" fontId="3" numFmtId="0" xfId="0" applyAlignment="1" applyBorder="1" applyFont="1">
      <alignment horizontal="center" vertical="center"/>
    </xf>
    <xf borderId="8" fillId="3" fontId="3" numFmtId="164" xfId="0" applyBorder="1" applyFont="1" applyNumberFormat="1"/>
    <xf borderId="9" fillId="3" fontId="3" numFmtId="0" xfId="0" applyBorder="1" applyFont="1"/>
    <xf borderId="10" fillId="4" fontId="2" numFmtId="0" xfId="0" applyBorder="1" applyFill="1" applyFont="1"/>
    <xf borderId="11" fillId="4" fontId="3" numFmtId="0" xfId="0" applyAlignment="1" applyBorder="1" applyFont="1">
      <alignment horizontal="center" vertical="center"/>
    </xf>
    <xf borderId="12" fillId="3" fontId="3" numFmtId="0" xfId="0" applyBorder="1" applyFont="1"/>
    <xf borderId="13" fillId="3" fontId="3" numFmtId="0" xfId="0" applyAlignment="1" applyBorder="1" applyFont="1">
      <alignment horizontal="center" readingOrder="0" vertical="center"/>
    </xf>
    <xf borderId="13" fillId="3" fontId="3" numFmtId="0" xfId="0" applyAlignment="1" applyBorder="1" applyFont="1">
      <alignment horizontal="center" vertical="center"/>
    </xf>
    <xf borderId="14" fillId="3" fontId="3" numFmtId="0" xfId="0" applyBorder="1" applyFont="1"/>
    <xf borderId="15" fillId="3" fontId="3" numFmtId="0" xfId="0" applyAlignment="1" applyBorder="1" applyFont="1">
      <alignment horizontal="center" readingOrder="0" vertical="center"/>
    </xf>
    <xf borderId="15" fillId="3" fontId="3" numFmtId="0" xfId="0" applyAlignment="1" applyBorder="1" applyFont="1">
      <alignment horizontal="center" vertical="center"/>
    </xf>
    <xf borderId="12" fillId="2" fontId="3" numFmtId="0" xfId="0" applyBorder="1" applyFont="1"/>
    <xf borderId="13" fillId="5" fontId="2" numFmtId="0" xfId="0" applyAlignment="1" applyBorder="1" applyFill="1" applyFont="1">
      <alignment horizontal="center" vertical="center"/>
    </xf>
    <xf borderId="12" fillId="6" fontId="3" numFmtId="0" xfId="0" applyBorder="1" applyFill="1" applyFont="1"/>
    <xf borderId="13" fillId="5" fontId="3" numFmtId="0" xfId="0" applyAlignment="1" applyBorder="1" applyFont="1">
      <alignment horizontal="center" vertical="center"/>
    </xf>
    <xf borderId="14" fillId="2" fontId="3" numFmtId="0" xfId="0" applyBorder="1" applyFont="1"/>
    <xf borderId="15" fillId="5" fontId="2" numFmtId="0" xfId="0" applyAlignment="1" applyBorder="1" applyFont="1">
      <alignment horizontal="center" vertical="center"/>
    </xf>
    <xf borderId="14" fillId="6" fontId="3" numFmtId="0" xfId="0" applyBorder="1" applyFont="1"/>
    <xf borderId="15" fillId="5" fontId="3" numFmtId="0" xfId="0" applyAlignment="1" applyBorder="1" applyFont="1">
      <alignment horizontal="center" vertical="center"/>
    </xf>
    <xf borderId="12" fillId="7" fontId="2" numFmtId="0" xfId="0" applyBorder="1" applyFill="1" applyFont="1"/>
    <xf borderId="13" fillId="7" fontId="2" numFmtId="0" xfId="0" applyAlignment="1" applyBorder="1" applyFont="1">
      <alignment horizontal="center" vertical="center"/>
    </xf>
    <xf borderId="14" fillId="7" fontId="2" numFmtId="0" xfId="0" applyBorder="1" applyFont="1"/>
    <xf borderId="16" fillId="7" fontId="2" numFmtId="0" xfId="0" applyAlignment="1" applyBorder="1" applyFont="1">
      <alignment horizontal="center" vertical="center"/>
    </xf>
    <xf borderId="0" fillId="0" fontId="3" numFmtId="166" xfId="0" applyAlignment="1" applyFont="1" applyNumberFormat="1">
      <alignment horizontal="center" vertical="center"/>
    </xf>
    <xf borderId="0" fillId="0" fontId="10" numFmtId="164" xfId="0" applyFont="1" applyNumberFormat="1"/>
    <xf borderId="12" fillId="7" fontId="3" numFmtId="0" xfId="0" applyBorder="1" applyFont="1"/>
    <xf borderId="13" fillId="7" fontId="3" numFmtId="0" xfId="0" applyAlignment="1" applyBorder="1" applyFont="1">
      <alignment horizontal="center" vertical="center"/>
    </xf>
    <xf borderId="14" fillId="7" fontId="3" numFmtId="0" xfId="0" applyBorder="1" applyFont="1"/>
    <xf borderId="15" fillId="7" fontId="3" numFmtId="0" xfId="0" applyAlignment="1" applyBorder="1" applyFont="1">
      <alignment horizontal="center" vertical="center"/>
    </xf>
    <xf borderId="0" fillId="0" fontId="2" numFmtId="164" xfId="0" applyFont="1" applyNumberFormat="1"/>
    <xf borderId="0" fillId="0" fontId="11" numFmtId="0" xfId="0" applyFont="1"/>
    <xf borderId="0" fillId="0" fontId="9" numFmtId="0" xfId="0" applyFont="1"/>
    <xf borderId="0" fillId="0" fontId="10" numFmtId="0" xfId="0" applyFont="1"/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/>
    </xf>
    <xf borderId="0" fillId="0" fontId="3" numFmtId="0" xfId="0" applyAlignment="1" applyFont="1">
      <alignment horizontal="left" vertical="center"/>
    </xf>
    <xf borderId="0" fillId="0" fontId="3" numFmtId="14" xfId="0" applyAlignment="1" applyFont="1" applyNumberFormat="1">
      <alignment horizontal="center" vertical="center"/>
    </xf>
    <xf borderId="5" fillId="0" fontId="2" numFmtId="0" xfId="0" applyAlignment="1" applyBorder="1" applyFont="1">
      <alignment horizontal="center"/>
    </xf>
    <xf borderId="5" fillId="8" fontId="12" numFmtId="0" xfId="0" applyAlignment="1" applyBorder="1" applyFill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14" xfId="0" applyAlignment="1" applyFont="1" applyNumberFormat="1">
      <alignment horizontal="left" vertical="center"/>
    </xf>
    <xf borderId="5" fillId="0" fontId="2" numFmtId="0" xfId="0" applyAlignment="1" applyBorder="1" applyFont="1">
      <alignment horizontal="center" vertical="center"/>
    </xf>
    <xf borderId="5" fillId="9" fontId="3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5" fillId="0" fontId="2" numFmtId="14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14" xfId="0" applyAlignment="1" applyBorder="1" applyFont="1" applyNumberFormat="1">
      <alignment horizontal="center" shrinkToFit="0" wrapText="1"/>
    </xf>
    <xf borderId="5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horizontal="left" shrinkToFit="0" wrapText="1"/>
    </xf>
    <xf borderId="5" fillId="0" fontId="3" numFmtId="0" xfId="0" applyAlignment="1" applyBorder="1" applyFont="1">
      <alignment horizontal="left"/>
    </xf>
    <xf borderId="5" fillId="0" fontId="3" numFmtId="14" xfId="0" applyBorder="1" applyFont="1" applyNumberFormat="1"/>
    <xf borderId="0" fillId="0" fontId="13" numFmtId="0" xfId="0" applyFont="1"/>
    <xf borderId="5" fillId="0" fontId="14" numFmtId="0" xfId="0" applyBorder="1" applyFont="1"/>
    <xf borderId="5" fillId="0" fontId="15" numFmtId="0" xfId="0" applyBorder="1" applyFont="1"/>
    <xf borderId="5" fillId="0" fontId="3" numFmtId="14" xfId="0" applyAlignment="1" applyBorder="1" applyFont="1" applyNumberForma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0" xfId="0" applyBorder="1" applyFont="1"/>
    <xf borderId="5" fillId="0" fontId="3" numFmtId="14" xfId="0" applyAlignment="1" applyBorder="1" applyFont="1" applyNumberFormat="1">
      <alignment shrinkToFit="0" wrapText="1"/>
    </xf>
    <xf borderId="5" fillId="0" fontId="3" numFmtId="0" xfId="0" applyAlignment="1" applyBorder="1" applyFont="1">
      <alignment horizontal="center"/>
    </xf>
    <xf borderId="5" fillId="0" fontId="3" numFmtId="167" xfId="0" applyAlignment="1" applyBorder="1" applyFont="1" applyNumberFormat="1">
      <alignment horizontal="center"/>
    </xf>
    <xf borderId="5" fillId="0" fontId="3" numFmtId="167" xfId="0" applyBorder="1" applyFont="1" applyNumberFormat="1"/>
    <xf borderId="5" fillId="0" fontId="13" numFmtId="0" xfId="0" applyBorder="1" applyFont="1"/>
    <xf borderId="5" fillId="0" fontId="15" numFmtId="0" xfId="0" applyAlignment="1" applyBorder="1" applyFont="1">
      <alignment horizontal="left"/>
    </xf>
    <xf borderId="5" fillId="0" fontId="15" numFmtId="168" xfId="0" applyAlignment="1" applyBorder="1" applyFont="1" applyNumberFormat="1">
      <alignment horizontal="center"/>
    </xf>
    <xf borderId="5" fillId="0" fontId="3" numFmtId="14" xfId="0" applyAlignment="1" applyBorder="1" applyFont="1" applyNumberFormat="1">
      <alignment horizontal="left" vertical="center"/>
    </xf>
    <xf borderId="5" fillId="0" fontId="3" numFmtId="0" xfId="0" applyAlignment="1" applyBorder="1" applyFont="1">
      <alignment horizontal="left" vertical="center"/>
    </xf>
    <xf borderId="5" fillId="0" fontId="3" numFmtId="14" xfId="0" applyAlignment="1" applyBorder="1" applyFont="1" applyNumberFormat="1">
      <alignment horizontal="center"/>
    </xf>
    <xf borderId="5" fillId="0" fontId="3" numFmtId="14" xfId="0" applyAlignment="1" applyBorder="1" applyFont="1" applyNumberFormat="1">
      <alignment horizontal="left"/>
    </xf>
    <xf borderId="0" fillId="0" fontId="16" numFmtId="0" xfId="0" applyFont="1"/>
    <xf borderId="5" fillId="0" fontId="3" numFmtId="169" xfId="0" applyAlignment="1" applyBorder="1" applyFont="1" applyNumberFormat="1">
      <alignment horizontal="center"/>
    </xf>
    <xf borderId="0" fillId="0" fontId="14" numFmtId="0" xfId="0" applyAlignment="1" applyFont="1">
      <alignment horizontal="left"/>
    </xf>
    <xf borderId="0" fillId="0" fontId="14" numFmtId="168" xfId="0" applyAlignment="1" applyFont="1" applyNumberFormat="1">
      <alignment horizontal="right"/>
    </xf>
    <xf borderId="5" fillId="0" fontId="3" numFmtId="170" xfId="0" applyAlignment="1" applyBorder="1" applyFont="1" applyNumberFormat="1">
      <alignment horizontal="center"/>
    </xf>
    <xf borderId="5" fillId="10" fontId="2" numFmtId="167" xfId="0" applyBorder="1" applyFill="1" applyFont="1" applyNumberFormat="1"/>
    <xf borderId="5" fillId="11" fontId="3" numFmtId="0" xfId="0" applyAlignment="1" applyBorder="1" applyFill="1" applyFont="1">
      <alignment horizontal="center" shrinkToFit="0" vertical="center" wrapText="1"/>
    </xf>
    <xf borderId="5" fillId="11" fontId="3" numFmtId="0" xfId="0" applyAlignment="1" applyBorder="1" applyFont="1">
      <alignment horizontal="left" shrinkToFit="0" wrapText="1"/>
    </xf>
    <xf borderId="5" fillId="11" fontId="3" numFmtId="0" xfId="0" applyAlignment="1" applyBorder="1" applyFont="1">
      <alignment horizontal="center" shrinkToFit="0" wrapText="1"/>
    </xf>
    <xf borderId="5" fillId="11" fontId="3" numFmtId="14" xfId="0" applyAlignment="1" applyBorder="1" applyFont="1" applyNumberFormat="1">
      <alignment horizontal="left" shrinkToFit="0" vertical="center" wrapText="1"/>
    </xf>
    <xf borderId="5" fillId="11" fontId="3" numFmtId="14" xfId="0" applyAlignment="1" applyBorder="1" applyFont="1" applyNumberFormat="1">
      <alignment shrinkToFit="0" wrapText="1"/>
    </xf>
    <xf borderId="17" fillId="11" fontId="3" numFmtId="0" xfId="0" applyBorder="1" applyFont="1"/>
    <xf borderId="17" fillId="11" fontId="13" numFmtId="0" xfId="0" applyBorder="1" applyFont="1"/>
    <xf borderId="5" fillId="0" fontId="3" numFmtId="0" xfId="0" applyAlignment="1" applyBorder="1" applyFont="1">
      <alignment horizontal="right"/>
    </xf>
    <xf borderId="5" fillId="11" fontId="3" numFmtId="0" xfId="0" applyAlignment="1" applyBorder="1" applyFont="1">
      <alignment horizontal="center" vertical="center"/>
    </xf>
    <xf borderId="5" fillId="11" fontId="3" numFmtId="0" xfId="0" applyBorder="1" applyFont="1"/>
    <xf borderId="5" fillId="11" fontId="3" numFmtId="0" xfId="0" applyAlignment="1" applyBorder="1" applyFont="1">
      <alignment horizontal="center"/>
    </xf>
    <xf borderId="5" fillId="11" fontId="3" numFmtId="14" xfId="0" applyAlignment="1" applyBorder="1" applyFont="1" applyNumberFormat="1">
      <alignment horizontal="center"/>
    </xf>
    <xf borderId="5" fillId="11" fontId="3" numFmtId="0" xfId="0" applyAlignment="1" applyBorder="1" applyFont="1">
      <alignment horizontal="right"/>
    </xf>
    <xf borderId="5" fillId="11" fontId="15" numFmtId="0" xfId="0" applyBorder="1" applyFont="1"/>
    <xf borderId="5" fillId="11" fontId="3" numFmtId="14" xfId="0" applyAlignment="1" applyBorder="1" applyFont="1" applyNumberFormat="1">
      <alignment horizontal="left" vertical="center"/>
    </xf>
    <xf borderId="5" fillId="11" fontId="3" numFmtId="0" xfId="0" applyAlignment="1" applyBorder="1" applyFont="1">
      <alignment horizontal="left" vertical="center"/>
    </xf>
    <xf borderId="5" fillId="11" fontId="3" numFmtId="0" xfId="0" applyAlignment="1" applyBorder="1" applyFont="1">
      <alignment horizontal="left"/>
    </xf>
    <xf borderId="5" fillId="0" fontId="17" numFmtId="0" xfId="0" applyAlignment="1" applyBorder="1" applyFont="1">
      <alignment shrinkToFit="0" wrapText="1"/>
    </xf>
    <xf borderId="5" fillId="0" fontId="3" numFmtId="1" xfId="0" applyAlignment="1" applyBorder="1" applyFont="1" applyNumberFormat="1">
      <alignment horizontal="left" shrinkToFit="0" wrapText="1"/>
    </xf>
    <xf borderId="18" fillId="0" fontId="14" numFmtId="0" xfId="0" applyAlignment="1" applyBorder="1" applyFont="1">
      <alignment horizontal="left"/>
    </xf>
    <xf borderId="18" fillId="0" fontId="14" numFmtId="168" xfId="0" applyAlignment="1" applyBorder="1" applyFont="1" applyNumberFormat="1">
      <alignment horizontal="right"/>
    </xf>
    <xf borderId="18" fillId="0" fontId="3" numFmtId="0" xfId="0" applyBorder="1" applyFont="1"/>
    <xf borderId="19" fillId="11" fontId="3" numFmtId="0" xfId="0" applyBorder="1" applyFont="1"/>
    <xf borderId="5" fillId="0" fontId="3" numFmtId="168" xfId="0" applyAlignment="1" applyBorder="1" applyFont="1" applyNumberFormat="1">
      <alignment horizontal="center"/>
    </xf>
    <xf borderId="18" fillId="0" fontId="13" numFmtId="0" xfId="0" applyBorder="1" applyFont="1"/>
    <xf borderId="18" fillId="0" fontId="16" numFmtId="0" xfId="0" applyBorder="1" applyFont="1"/>
    <xf borderId="0" fillId="0" fontId="18" numFmtId="0" xfId="0" applyFont="1"/>
    <xf borderId="18" fillId="0" fontId="18" numFmtId="0" xfId="0" applyBorder="1" applyFont="1"/>
    <xf borderId="5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/>
    </xf>
    <xf borderId="0" fillId="0" fontId="19" numFmtId="0" xfId="0" applyFont="1"/>
    <xf borderId="18" fillId="0" fontId="19" numFmtId="0" xfId="0" applyBorder="1" applyFont="1"/>
    <xf borderId="20" fillId="0" fontId="2" numFmtId="0" xfId="0" applyAlignment="1" applyBorder="1" applyFont="1">
      <alignment horizontal="center" shrinkToFit="0" vertical="center" wrapText="1"/>
    </xf>
    <xf borderId="20" fillId="0" fontId="2" numFmtId="0" xfId="0" applyAlignment="1" applyBorder="1" applyFont="1">
      <alignment horizontal="left" shrinkToFit="0" wrapText="1"/>
    </xf>
    <xf borderId="20" fillId="0" fontId="2" numFmtId="0" xfId="0" applyAlignment="1" applyBorder="1" applyFont="1">
      <alignment horizontal="center" shrinkToFit="0" wrapText="1"/>
    </xf>
    <xf borderId="20" fillId="0" fontId="2" numFmtId="14" xfId="0" applyAlignment="1" applyBorder="1" applyFont="1" applyNumberFormat="1">
      <alignment horizontal="center" shrinkToFit="0" wrapText="1"/>
    </xf>
    <xf borderId="20" fillId="0" fontId="20" numFmtId="0" xfId="0" applyBorder="1" applyFont="1"/>
    <xf borderId="20" fillId="0" fontId="2" numFmtId="14" xfId="0" applyAlignment="1" applyBorder="1" applyFont="1" applyNumberFormat="1">
      <alignment horizontal="left" shrinkToFit="0" wrapText="1"/>
    </xf>
    <xf borderId="20" fillId="0" fontId="2" numFmtId="0" xfId="0" applyAlignment="1" applyBorder="1" applyFont="1">
      <alignment shrinkToFit="0" wrapText="1"/>
    </xf>
    <xf borderId="20" fillId="0" fontId="3" numFmtId="0" xfId="0" applyAlignment="1" applyBorder="1" applyFont="1">
      <alignment horizontal="center" shrinkToFit="0" vertical="center" wrapText="1"/>
    </xf>
    <xf borderId="20" fillId="0" fontId="2" numFmtId="14" xfId="0" applyAlignment="1" applyBorder="1" applyFont="1" applyNumberFormat="1">
      <alignment shrinkToFit="0" wrapText="1"/>
    </xf>
    <xf borderId="0" fillId="0" fontId="21" numFmtId="0" xfId="0" applyFont="1"/>
    <xf borderId="0" fillId="0" fontId="22" numFmtId="0" xfId="0" applyFont="1"/>
    <xf borderId="0" fillId="0" fontId="3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2" numFmtId="0" xfId="0" applyAlignment="1" applyFont="1">
      <alignment horizontal="center" shrinkToFit="0" wrapText="1"/>
    </xf>
    <xf borderId="0" fillId="0" fontId="2" numFmtId="14" xfId="0" applyAlignment="1" applyFont="1" applyNumberFormat="1">
      <alignment horizontal="center" shrinkToFit="0" wrapText="1"/>
    </xf>
    <xf borderId="0" fillId="0" fontId="23" numFmtId="0" xfId="0" applyFont="1"/>
    <xf borderId="0" fillId="0" fontId="2" numFmtId="14" xfId="0" applyAlignment="1" applyFont="1" applyNumberForma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shrinkToFit="0" wrapText="1"/>
    </xf>
    <xf borderId="0" fillId="0" fontId="21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4" numFmtId="14" xfId="0" applyAlignment="1" applyFont="1" applyNumberFormat="1">
      <alignment horizontal="center" vertical="center"/>
    </xf>
    <xf borderId="21" fillId="10" fontId="4" numFmtId="0" xfId="0" applyAlignment="1" applyBorder="1" applyFont="1">
      <alignment horizontal="center" shrinkToFit="0" wrapText="1"/>
    </xf>
    <xf borderId="22" fillId="10" fontId="4" numFmtId="0" xfId="0" applyAlignment="1" applyBorder="1" applyFont="1">
      <alignment horizontal="center" shrinkToFit="0" vertical="center" wrapText="1"/>
    </xf>
    <xf borderId="22" fillId="10" fontId="4" numFmtId="0" xfId="0" applyAlignment="1" applyBorder="1" applyFont="1">
      <alignment horizontal="left" shrinkToFit="0" wrapText="1"/>
    </xf>
    <xf borderId="22" fillId="10" fontId="4" numFmtId="0" xfId="0" applyAlignment="1" applyBorder="1" applyFont="1">
      <alignment horizontal="center" shrinkToFit="0" wrapText="1"/>
    </xf>
    <xf borderId="22" fillId="10" fontId="4" numFmtId="14" xfId="0" applyAlignment="1" applyBorder="1" applyFont="1" applyNumberFormat="1">
      <alignment horizontal="center" shrinkToFit="0" wrapText="1"/>
    </xf>
    <xf borderId="22" fillId="10" fontId="4" numFmtId="0" xfId="0" applyAlignment="1" applyBorder="1" applyFont="1">
      <alignment shrinkToFit="0" wrapText="1"/>
    </xf>
    <xf borderId="22" fillId="10" fontId="4" numFmtId="14" xfId="0" applyAlignment="1" applyBorder="1" applyFont="1" applyNumberFormat="1">
      <alignment horizontal="left" shrinkToFit="0" wrapText="1"/>
    </xf>
    <xf borderId="22" fillId="10" fontId="4" numFmtId="14" xfId="0" applyAlignment="1" applyBorder="1" applyFont="1" applyNumberFormat="1">
      <alignment shrinkToFit="0" wrapText="1"/>
    </xf>
    <xf borderId="23" fillId="10" fontId="4" numFmtId="0" xfId="0" applyAlignment="1" applyBorder="1" applyFont="1">
      <alignment horizontal="center" shrinkToFit="0" wrapText="1"/>
    </xf>
    <xf borderId="24" fillId="10" fontId="4" numFmtId="0" xfId="0" applyAlignment="1" applyBorder="1" applyFont="1">
      <alignment horizontal="center" shrinkToFit="0" vertical="center" wrapText="1"/>
    </xf>
    <xf borderId="24" fillId="10" fontId="4" numFmtId="0" xfId="0" applyAlignment="1" applyBorder="1" applyFont="1">
      <alignment horizontal="left" shrinkToFit="0" wrapText="1"/>
    </xf>
    <xf borderId="24" fillId="10" fontId="4" numFmtId="0" xfId="0" applyAlignment="1" applyBorder="1" applyFont="1">
      <alignment horizontal="center" shrinkToFit="0" wrapText="1"/>
    </xf>
    <xf borderId="24" fillId="10" fontId="4" numFmtId="14" xfId="0" applyAlignment="1" applyBorder="1" applyFont="1" applyNumberFormat="1">
      <alignment horizontal="center" shrinkToFit="0" wrapText="1"/>
    </xf>
    <xf borderId="24" fillId="10" fontId="4" numFmtId="0" xfId="0" applyAlignment="1" applyBorder="1" applyFont="1">
      <alignment shrinkToFit="0" wrapText="1"/>
    </xf>
    <xf borderId="24" fillId="10" fontId="4" numFmtId="14" xfId="0" applyAlignment="1" applyBorder="1" applyFont="1" applyNumberFormat="1">
      <alignment horizontal="left" shrinkToFit="0" wrapText="1"/>
    </xf>
    <xf borderId="17" fillId="10" fontId="4" numFmtId="0" xfId="0" applyBorder="1" applyFont="1"/>
    <xf borderId="23" fillId="12" fontId="4" numFmtId="0" xfId="0" applyAlignment="1" applyBorder="1" applyFill="1" applyFont="1">
      <alignment horizontal="center" shrinkToFit="0" wrapText="1"/>
    </xf>
    <xf borderId="24" fillId="12" fontId="4" numFmtId="0" xfId="0" applyAlignment="1" applyBorder="1" applyFont="1">
      <alignment horizontal="center" shrinkToFit="0" vertical="center" wrapText="1"/>
    </xf>
    <xf borderId="24" fillId="12" fontId="4" numFmtId="0" xfId="0" applyAlignment="1" applyBorder="1" applyFont="1">
      <alignment horizontal="left" shrinkToFit="0" wrapText="1"/>
    </xf>
    <xf borderId="24" fillId="12" fontId="4" numFmtId="0" xfId="0" applyAlignment="1" applyBorder="1" applyFont="1">
      <alignment horizontal="center" shrinkToFit="0" wrapText="1"/>
    </xf>
    <xf borderId="24" fillId="12" fontId="4" numFmtId="14" xfId="0" applyAlignment="1" applyBorder="1" applyFont="1" applyNumberFormat="1">
      <alignment horizontal="center" shrinkToFit="0" wrapText="1"/>
    </xf>
    <xf borderId="24" fillId="12" fontId="4" numFmtId="0" xfId="0" applyAlignment="1" applyBorder="1" applyFont="1">
      <alignment shrinkToFit="0" wrapText="1"/>
    </xf>
    <xf borderId="24" fillId="12" fontId="4" numFmtId="14" xfId="0" applyAlignment="1" applyBorder="1" applyFont="1" applyNumberFormat="1">
      <alignment horizontal="left" shrinkToFit="0" wrapText="1"/>
    </xf>
    <xf borderId="22" fillId="12" fontId="4" numFmtId="14" xfId="0" applyAlignment="1" applyBorder="1" applyFont="1" applyNumberFormat="1">
      <alignment shrinkToFit="0" wrapText="1"/>
    </xf>
    <xf borderId="17" fillId="12" fontId="4" numFmtId="0" xfId="0" applyBorder="1" applyFont="1"/>
    <xf borderId="5" fillId="13" fontId="4" numFmtId="0" xfId="0" applyAlignment="1" applyBorder="1" applyFill="1" applyFont="1">
      <alignment horizontal="center" shrinkToFit="0" wrapText="1"/>
    </xf>
    <xf borderId="5" fillId="13" fontId="4" numFmtId="0" xfId="0" applyAlignment="1" applyBorder="1" applyFont="1">
      <alignment horizontal="center" shrinkToFit="0" vertical="center" wrapText="1"/>
    </xf>
    <xf borderId="5" fillId="13" fontId="4" numFmtId="0" xfId="0" applyAlignment="1" applyBorder="1" applyFont="1">
      <alignment horizontal="left" shrinkToFit="0" wrapText="1"/>
    </xf>
    <xf borderId="5" fillId="13" fontId="4" numFmtId="14" xfId="0" applyAlignment="1" applyBorder="1" applyFont="1" applyNumberFormat="1">
      <alignment horizontal="center" shrinkToFit="0" wrapText="1"/>
    </xf>
    <xf borderId="5" fillId="13" fontId="4" numFmtId="0" xfId="0" applyAlignment="1" applyBorder="1" applyFont="1">
      <alignment shrinkToFit="0" wrapText="1"/>
    </xf>
    <xf borderId="5" fillId="13" fontId="4" numFmtId="14" xfId="0" applyAlignment="1" applyBorder="1" applyFont="1" applyNumberFormat="1">
      <alignment horizontal="left" shrinkToFit="0" wrapText="1"/>
    </xf>
    <xf borderId="5" fillId="13" fontId="4" numFmtId="14" xfId="0" applyAlignment="1" applyBorder="1" applyFont="1" applyNumberFormat="1">
      <alignment shrinkToFit="0" wrapText="1"/>
    </xf>
    <xf borderId="17" fillId="13" fontId="4" numFmtId="0" xfId="0" applyBorder="1" applyFont="1"/>
    <xf borderId="17" fillId="14" fontId="4" numFmtId="0" xfId="0" applyBorder="1" applyFill="1" applyFont="1"/>
    <xf borderId="5" fillId="12" fontId="4" numFmtId="0" xfId="0" applyAlignment="1" applyBorder="1" applyFont="1">
      <alignment horizontal="center" shrinkToFit="0" wrapText="1"/>
    </xf>
    <xf borderId="5" fillId="12" fontId="4" numFmtId="0" xfId="0" applyAlignment="1" applyBorder="1" applyFont="1">
      <alignment horizontal="center" shrinkToFit="0" vertical="center" wrapText="1"/>
    </xf>
    <xf borderId="5" fillId="12" fontId="4" numFmtId="0" xfId="0" applyAlignment="1" applyBorder="1" applyFont="1">
      <alignment horizontal="left" shrinkToFit="0" wrapText="1"/>
    </xf>
    <xf borderId="5" fillId="12" fontId="4" numFmtId="14" xfId="0" applyAlignment="1" applyBorder="1" applyFont="1" applyNumberFormat="1">
      <alignment horizontal="center" shrinkToFit="0" wrapText="1"/>
    </xf>
    <xf borderId="5" fillId="12" fontId="4" numFmtId="0" xfId="0" applyAlignment="1" applyBorder="1" applyFont="1">
      <alignment shrinkToFit="0" wrapText="1"/>
    </xf>
    <xf borderId="5" fillId="12" fontId="4" numFmtId="14" xfId="0" applyAlignment="1" applyBorder="1" applyFont="1" applyNumberFormat="1">
      <alignment horizontal="left" shrinkToFit="0" wrapText="1"/>
    </xf>
    <xf borderId="5" fillId="12" fontId="4" numFmtId="14" xfId="0" applyAlignment="1" applyBorder="1" applyFont="1" applyNumberFormat="1">
      <alignment shrinkToFit="0" wrapText="1"/>
    </xf>
    <xf borderId="5" fillId="13" fontId="4" numFmtId="0" xfId="0" applyAlignment="1" applyBorder="1" applyFont="1">
      <alignment horizontal="left" shrinkToFit="0" vertical="center" wrapText="1"/>
    </xf>
    <xf borderId="5" fillId="13" fontId="4" numFmtId="14" xfId="0" applyAlignment="1" applyBorder="1" applyFont="1" applyNumberFormat="1">
      <alignment horizontal="center" shrinkToFit="0" vertical="center" wrapText="1"/>
    </xf>
    <xf borderId="5" fillId="13" fontId="4" numFmtId="0" xfId="0" applyAlignment="1" applyBorder="1" applyFont="1">
      <alignment shrinkToFit="0" vertical="center" wrapText="1"/>
    </xf>
    <xf borderId="17" fillId="13" fontId="4" numFmtId="0" xfId="0" applyAlignment="1" applyBorder="1" applyFont="1">
      <alignment horizontal="center" vertical="center"/>
    </xf>
    <xf borderId="5" fillId="8" fontId="4" numFmtId="0" xfId="0" applyAlignment="1" applyBorder="1" applyFont="1">
      <alignment horizontal="center" shrinkToFit="0" wrapText="1"/>
    </xf>
    <xf borderId="5" fillId="8" fontId="4" numFmtId="0" xfId="0" applyAlignment="1" applyBorder="1" applyFont="1">
      <alignment horizontal="center" shrinkToFit="0" vertical="center" wrapText="1"/>
    </xf>
    <xf borderId="5" fillId="8" fontId="4" numFmtId="0" xfId="0" applyAlignment="1" applyBorder="1" applyFont="1">
      <alignment horizontal="left"/>
    </xf>
    <xf borderId="5" fillId="8" fontId="4" numFmtId="0" xfId="0" applyAlignment="1" applyBorder="1" applyFont="1">
      <alignment horizontal="center"/>
    </xf>
    <xf borderId="5" fillId="8" fontId="4" numFmtId="14" xfId="0" applyAlignment="1" applyBorder="1" applyFont="1" applyNumberFormat="1">
      <alignment horizontal="center"/>
    </xf>
    <xf borderId="5" fillId="8" fontId="4" numFmtId="0" xfId="0" applyBorder="1" applyFont="1"/>
    <xf borderId="5" fillId="8" fontId="4" numFmtId="14" xfId="0" applyAlignment="1" applyBorder="1" applyFont="1" applyNumberFormat="1">
      <alignment horizontal="left"/>
    </xf>
    <xf borderId="5" fillId="8" fontId="4" numFmtId="14" xfId="0" applyAlignment="1" applyBorder="1" applyFont="1" applyNumberFormat="1">
      <alignment shrinkToFit="0" wrapText="1"/>
    </xf>
    <xf borderId="17" fillId="8" fontId="4" numFmtId="0" xfId="0" applyBorder="1" applyFont="1"/>
    <xf borderId="5" fillId="8" fontId="4" numFmtId="0" xfId="0" applyAlignment="1" applyBorder="1" applyFont="1">
      <alignment horizontal="left" shrinkToFit="0" wrapText="1"/>
    </xf>
    <xf borderId="5" fillId="8" fontId="4" numFmtId="14" xfId="0" applyAlignment="1" applyBorder="1" applyFont="1" applyNumberFormat="1">
      <alignment horizontal="center" shrinkToFit="0" wrapText="1"/>
    </xf>
    <xf borderId="5" fillId="8" fontId="4" numFmtId="0" xfId="0" applyAlignment="1" applyBorder="1" applyFont="1">
      <alignment shrinkToFit="0" wrapText="1"/>
    </xf>
    <xf borderId="5" fillId="8" fontId="4" numFmtId="14" xfId="0" applyAlignment="1" applyBorder="1" applyFont="1" applyNumberFormat="1">
      <alignment horizontal="left" shrinkToFit="0" wrapText="1"/>
    </xf>
    <xf borderId="5" fillId="8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center" shrinkToFit="0" wrapText="1"/>
    </xf>
    <xf borderId="5" fillId="10" fontId="4" numFmtId="0" xfId="0" applyAlignment="1" applyBorder="1" applyFont="1">
      <alignment horizontal="center" vertical="center"/>
    </xf>
    <xf borderId="5" fillId="10" fontId="4" numFmtId="0" xfId="0" applyAlignment="1" applyBorder="1" applyFont="1">
      <alignment horizontal="left"/>
    </xf>
    <xf borderId="5" fillId="10" fontId="4" numFmtId="0" xfId="0" applyAlignment="1" applyBorder="1" applyFont="1">
      <alignment horizontal="center"/>
    </xf>
    <xf borderId="5" fillId="10" fontId="4" numFmtId="14" xfId="0" applyAlignment="1" applyBorder="1" applyFont="1" applyNumberFormat="1">
      <alignment horizontal="center"/>
    </xf>
    <xf borderId="5" fillId="10" fontId="4" numFmtId="0" xfId="0" applyBorder="1" applyFont="1"/>
    <xf borderId="5" fillId="10" fontId="4" numFmtId="14" xfId="0" applyAlignment="1" applyBorder="1" applyFont="1" applyNumberFormat="1">
      <alignment horizontal="left"/>
    </xf>
    <xf borderId="5" fillId="10" fontId="4" numFmtId="0" xfId="0" applyAlignment="1" applyBorder="1" applyFont="1">
      <alignment horizontal="center" shrinkToFit="0" vertical="center" wrapText="1"/>
    </xf>
    <xf borderId="5" fillId="10" fontId="4" numFmtId="14" xfId="0" applyBorder="1" applyFont="1" applyNumberFormat="1"/>
    <xf borderId="5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left" shrinkToFit="0" wrapText="1"/>
    </xf>
    <xf borderId="5" fillId="0" fontId="4" numFmtId="14" xfId="0" applyAlignment="1" applyBorder="1" applyFont="1" applyNumberFormat="1">
      <alignment horizontal="center" shrinkToFit="0" wrapText="1"/>
    </xf>
    <xf borderId="5" fillId="0" fontId="4" numFmtId="0" xfId="0" applyBorder="1" applyFont="1"/>
    <xf borderId="5" fillId="0" fontId="4" numFmtId="14" xfId="0" applyAlignment="1" applyBorder="1" applyFont="1" applyNumberFormat="1">
      <alignment horizontal="left" shrinkToFit="0" wrapText="1"/>
    </xf>
    <xf borderId="5" fillId="0" fontId="4" numFmtId="0" xfId="0" applyAlignment="1" applyBorder="1" applyFont="1">
      <alignment shrinkToFit="0" wrapText="1"/>
    </xf>
    <xf borderId="5" fillId="0" fontId="4" numFmtId="14" xfId="0" applyAlignment="1" applyBorder="1" applyFont="1" applyNumberFormat="1">
      <alignment shrinkToFit="0" wrapText="1"/>
    </xf>
    <xf borderId="5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/>
    </xf>
    <xf borderId="5" fillId="0" fontId="4" numFmtId="0" xfId="0" applyAlignment="1" applyBorder="1" applyFont="1">
      <alignment horizontal="center"/>
    </xf>
    <xf borderId="5" fillId="0" fontId="4" numFmtId="14" xfId="0" applyAlignment="1" applyBorder="1" applyFont="1" applyNumberFormat="1">
      <alignment horizontal="center"/>
    </xf>
    <xf borderId="5" fillId="0" fontId="4" numFmtId="14" xfId="0" applyAlignment="1" applyBorder="1" applyFont="1" applyNumberFormat="1">
      <alignment horizontal="left"/>
    </xf>
    <xf borderId="5" fillId="0" fontId="4" numFmtId="14" xfId="0" applyBorder="1" applyFont="1" applyNumberFormat="1"/>
    <xf borderId="5" fillId="10" fontId="4" numFmtId="0" xfId="0" applyAlignment="1" applyBorder="1" applyFont="1">
      <alignment horizontal="center" shrinkToFit="0" wrapText="1"/>
    </xf>
    <xf borderId="17" fillId="10" fontId="4" numFmtId="0" xfId="0" applyAlignment="1" applyBorder="1" applyFont="1">
      <alignment horizontal="center" shrinkToFit="0" wrapText="1"/>
    </xf>
    <xf borderId="5" fillId="10" fontId="4" numFmtId="0" xfId="0" applyAlignment="1" applyBorder="1" applyFont="1">
      <alignment horizontal="left" shrinkToFit="0" wrapText="1"/>
    </xf>
    <xf borderId="5" fillId="10" fontId="4" numFmtId="14" xfId="0" applyAlignment="1" applyBorder="1" applyFont="1" applyNumberFormat="1">
      <alignment horizontal="center" shrinkToFit="0" wrapText="1"/>
    </xf>
    <xf borderId="5" fillId="10" fontId="4" numFmtId="0" xfId="0" applyAlignment="1" applyBorder="1" applyFont="1">
      <alignment shrinkToFit="0" wrapText="1"/>
    </xf>
    <xf borderId="5" fillId="10" fontId="24" numFmtId="0" xfId="0" applyAlignment="1" applyBorder="1" applyFont="1">
      <alignment shrinkToFit="0" wrapText="1"/>
    </xf>
    <xf borderId="5" fillId="10" fontId="4" numFmtId="14" xfId="0" applyAlignment="1" applyBorder="1" applyFont="1" applyNumberFormat="1">
      <alignment horizontal="left" shrinkToFit="0" wrapText="1"/>
    </xf>
    <xf borderId="5" fillId="14" fontId="4" numFmtId="0" xfId="0" applyAlignment="1" applyBorder="1" applyFont="1">
      <alignment horizontal="center" shrinkToFit="0" wrapText="1"/>
    </xf>
    <xf borderId="5" fillId="14" fontId="4" numFmtId="0" xfId="0" applyAlignment="1" applyBorder="1" applyFont="1">
      <alignment horizontal="center" shrinkToFit="0" vertical="center" wrapText="1"/>
    </xf>
    <xf borderId="5" fillId="14" fontId="4" numFmtId="0" xfId="0" applyAlignment="1" applyBorder="1" applyFont="1">
      <alignment horizontal="left" shrinkToFit="0" vertical="center" wrapText="1"/>
    </xf>
    <xf borderId="5" fillId="14" fontId="4" numFmtId="14" xfId="0" applyAlignment="1" applyBorder="1" applyFont="1" applyNumberFormat="1">
      <alignment horizontal="center" shrinkToFit="0" wrapText="1"/>
    </xf>
    <xf borderId="5" fillId="14" fontId="4" numFmtId="0" xfId="0" applyAlignment="1" applyBorder="1" applyFont="1">
      <alignment shrinkToFit="0" wrapText="1"/>
    </xf>
    <xf borderId="5" fillId="14" fontId="4" numFmtId="0" xfId="0" applyAlignment="1" applyBorder="1" applyFont="1">
      <alignment horizontal="left" shrinkToFit="0" wrapText="1"/>
    </xf>
    <xf borderId="5" fillId="14" fontId="4" numFmtId="14" xfId="0" applyAlignment="1" applyBorder="1" applyFont="1" applyNumberFormat="1">
      <alignment horizontal="left" shrinkToFit="0" wrapText="1"/>
    </xf>
    <xf borderId="5" fillId="0" fontId="4" numFmtId="0" xfId="0" applyAlignment="1" applyBorder="1" applyFont="1">
      <alignment shrinkToFit="0" vertical="center" wrapText="1"/>
    </xf>
    <xf borderId="5" fillId="15" fontId="4" numFmtId="0" xfId="0" applyAlignment="1" applyBorder="1" applyFill="1" applyFont="1">
      <alignment horizontal="center" shrinkToFit="0" wrapText="1"/>
    </xf>
    <xf borderId="5" fillId="15" fontId="4" numFmtId="0" xfId="0" applyAlignment="1" applyBorder="1" applyFont="1">
      <alignment horizontal="center" vertical="center"/>
    </xf>
    <xf borderId="5" fillId="15" fontId="4" numFmtId="0" xfId="0" applyAlignment="1" applyBorder="1" applyFont="1">
      <alignment horizontal="left"/>
    </xf>
    <xf borderId="5" fillId="15" fontId="4" numFmtId="0" xfId="0" applyAlignment="1" applyBorder="1" applyFont="1">
      <alignment horizontal="center"/>
    </xf>
    <xf borderId="5" fillId="15" fontId="4" numFmtId="14" xfId="0" applyAlignment="1" applyBorder="1" applyFont="1" applyNumberFormat="1">
      <alignment horizontal="center"/>
    </xf>
    <xf borderId="5" fillId="15" fontId="4" numFmtId="0" xfId="0" applyBorder="1" applyFont="1"/>
    <xf borderId="5" fillId="15" fontId="4" numFmtId="14" xfId="0" applyAlignment="1" applyBorder="1" applyFont="1" applyNumberFormat="1">
      <alignment horizontal="left"/>
    </xf>
    <xf borderId="5" fillId="15" fontId="4" numFmtId="0" xfId="0" applyAlignment="1" applyBorder="1" applyFont="1">
      <alignment horizontal="center" shrinkToFit="0" vertical="center" wrapText="1"/>
    </xf>
    <xf borderId="5" fillId="15" fontId="4" numFmtId="14" xfId="0" applyBorder="1" applyFont="1" applyNumberFormat="1"/>
    <xf borderId="5" fillId="15" fontId="4" numFmtId="0" xfId="0" applyAlignment="1" applyBorder="1" applyFont="1">
      <alignment horizontal="left" shrinkToFit="0" wrapText="1"/>
    </xf>
    <xf borderId="5" fillId="15" fontId="4" numFmtId="14" xfId="0" applyAlignment="1" applyBorder="1" applyFont="1" applyNumberFormat="1">
      <alignment horizontal="center" shrinkToFit="0" wrapText="1"/>
    </xf>
    <xf borderId="5" fillId="15" fontId="4" numFmtId="0" xfId="0" applyAlignment="1" applyBorder="1" applyFont="1">
      <alignment shrinkToFit="0" wrapText="1"/>
    </xf>
    <xf borderId="5" fillId="15" fontId="4" numFmtId="14" xfId="0" applyAlignment="1" applyBorder="1" applyFont="1" applyNumberFormat="1">
      <alignment horizontal="left" shrinkToFit="0" wrapText="1"/>
    </xf>
    <xf borderId="5" fillId="0" fontId="4" numFmtId="0" xfId="0" applyAlignment="1" applyBorder="1" applyFont="1">
      <alignment horizontal="center" vertical="center"/>
    </xf>
    <xf borderId="5" fillId="0" fontId="25" numFmtId="0" xfId="0" applyAlignment="1" applyBorder="1" applyFont="1">
      <alignment shrinkToFit="0" wrapText="1"/>
    </xf>
    <xf borderId="5" fillId="12" fontId="4" numFmtId="0" xfId="0" applyAlignment="1" applyBorder="1" applyFont="1">
      <alignment horizontal="center" vertical="center"/>
    </xf>
    <xf borderId="5" fillId="12" fontId="4" numFmtId="0" xfId="0" applyAlignment="1" applyBorder="1" applyFont="1">
      <alignment horizontal="left"/>
    </xf>
    <xf borderId="5" fillId="12" fontId="4" numFmtId="0" xfId="0" applyAlignment="1" applyBorder="1" applyFont="1">
      <alignment horizontal="center"/>
    </xf>
    <xf borderId="5" fillId="12" fontId="4" numFmtId="14" xfId="0" applyAlignment="1" applyBorder="1" applyFont="1" applyNumberFormat="1">
      <alignment horizontal="center"/>
    </xf>
    <xf borderId="5" fillId="12" fontId="4" numFmtId="0" xfId="0" applyBorder="1" applyFont="1"/>
    <xf borderId="5" fillId="12" fontId="4" numFmtId="14" xfId="0" applyAlignment="1" applyBorder="1" applyFont="1" applyNumberFormat="1">
      <alignment horizontal="left"/>
    </xf>
    <xf borderId="5" fillId="12" fontId="4" numFmtId="14" xfId="0" applyBorder="1" applyFont="1" applyNumberFormat="1"/>
    <xf borderId="5" fillId="8" fontId="4" numFmtId="0" xfId="0" applyAlignment="1" applyBorder="1" applyFont="1">
      <alignment horizontal="center" vertical="center"/>
    </xf>
    <xf borderId="17" fillId="16" fontId="4" numFmtId="0" xfId="0" applyBorder="1" applyFill="1" applyFont="1"/>
    <xf borderId="17" fillId="3" fontId="4" numFmtId="0" xfId="0" applyBorder="1" applyFont="1"/>
    <xf borderId="17" fillId="3" fontId="21" numFmtId="0" xfId="0" applyBorder="1" applyFont="1"/>
    <xf borderId="17" fillId="10" fontId="21" numFmtId="0" xfId="0" applyBorder="1" applyFont="1"/>
    <xf borderId="17" fillId="10" fontId="3" numFmtId="0" xfId="0" applyBorder="1" applyFont="1"/>
    <xf borderId="17" fillId="10" fontId="19" numFmtId="0" xfId="0" applyBorder="1" applyFont="1"/>
    <xf borderId="17" fillId="10" fontId="26" numFmtId="0" xfId="0" applyBorder="1" applyFont="1"/>
    <xf borderId="5" fillId="16" fontId="4" numFmtId="0" xfId="0" applyAlignment="1" applyBorder="1" applyFont="1">
      <alignment horizontal="center" shrinkToFit="0" wrapText="1"/>
    </xf>
    <xf borderId="5" fillId="16" fontId="4" numFmtId="0" xfId="0" applyAlignment="1" applyBorder="1" applyFont="1">
      <alignment horizontal="center" shrinkToFit="0" vertical="center" wrapText="1"/>
    </xf>
    <xf borderId="5" fillId="16" fontId="4" numFmtId="0" xfId="0" applyAlignment="1" applyBorder="1" applyFont="1">
      <alignment horizontal="left" shrinkToFit="0" wrapText="1"/>
    </xf>
    <xf borderId="5" fillId="16" fontId="4" numFmtId="14" xfId="0" applyAlignment="1" applyBorder="1" applyFont="1" applyNumberFormat="1">
      <alignment horizontal="center" shrinkToFit="0" wrapText="1"/>
    </xf>
    <xf borderId="5" fillId="16" fontId="4" numFmtId="0" xfId="0" applyBorder="1" applyFont="1"/>
    <xf borderId="5" fillId="16" fontId="4" numFmtId="14" xfId="0" applyAlignment="1" applyBorder="1" applyFont="1" applyNumberFormat="1">
      <alignment horizontal="left" shrinkToFit="0" wrapText="1"/>
    </xf>
    <xf borderId="5" fillId="16" fontId="4" numFmtId="0" xfId="0" applyAlignment="1" applyBorder="1" applyFont="1">
      <alignment shrinkToFit="0" wrapText="1"/>
    </xf>
    <xf borderId="5" fillId="16" fontId="4" numFmtId="14" xfId="0" applyBorder="1" applyFont="1" applyNumberFormat="1"/>
    <xf borderId="17" fillId="8" fontId="12" numFmtId="0" xfId="0" applyBorder="1" applyFont="1"/>
    <xf borderId="25" fillId="0" fontId="4" numFmtId="0" xfId="0" applyBorder="1" applyFont="1"/>
    <xf borderId="5" fillId="17" fontId="4" numFmtId="0" xfId="0" applyAlignment="1" applyBorder="1" applyFill="1" applyFont="1">
      <alignment horizontal="center" shrinkToFit="0" wrapText="1"/>
    </xf>
    <xf borderId="5" fillId="17" fontId="4" numFmtId="0" xfId="0" applyAlignment="1" applyBorder="1" applyFont="1">
      <alignment horizontal="center" shrinkToFit="0" vertical="center" wrapText="1"/>
    </xf>
    <xf borderId="5" fillId="17" fontId="4" numFmtId="0" xfId="0" applyAlignment="1" applyBorder="1" applyFont="1">
      <alignment horizontal="left"/>
    </xf>
    <xf borderId="5" fillId="17" fontId="4" numFmtId="0" xfId="0" applyAlignment="1" applyBorder="1" applyFont="1">
      <alignment horizontal="center"/>
    </xf>
    <xf borderId="5" fillId="17" fontId="4" numFmtId="14" xfId="0" applyAlignment="1" applyBorder="1" applyFont="1" applyNumberFormat="1">
      <alignment horizontal="center"/>
    </xf>
    <xf borderId="5" fillId="17" fontId="4" numFmtId="0" xfId="0" applyBorder="1" applyFont="1"/>
    <xf borderId="5" fillId="17" fontId="4" numFmtId="14" xfId="0" applyAlignment="1" applyBorder="1" applyFont="1" applyNumberFormat="1">
      <alignment horizontal="left"/>
    </xf>
    <xf borderId="5" fillId="17" fontId="4" numFmtId="14" xfId="0" applyBorder="1" applyFont="1" applyNumberFormat="1"/>
    <xf borderId="0" fillId="0" fontId="27" numFmtId="0" xfId="0" applyFont="1"/>
    <xf borderId="17" fillId="8" fontId="27" numFmtId="0" xfId="0" applyBorder="1" applyFont="1"/>
    <xf borderId="17" fillId="10" fontId="16" numFmtId="0" xfId="0" applyBorder="1" applyFont="1"/>
    <xf borderId="5" fillId="3" fontId="4" numFmtId="0" xfId="0" applyAlignment="1" applyBorder="1" applyFont="1">
      <alignment horizontal="center" shrinkToFit="0" wrapText="1"/>
    </xf>
    <xf borderId="5" fillId="3" fontId="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left"/>
    </xf>
    <xf borderId="5" fillId="3" fontId="4" numFmtId="0" xfId="0" applyAlignment="1" applyBorder="1" applyFont="1">
      <alignment horizontal="center"/>
    </xf>
    <xf borderId="5" fillId="3" fontId="4" numFmtId="14" xfId="0" applyAlignment="1" applyBorder="1" applyFont="1" applyNumberFormat="1">
      <alignment horizontal="center"/>
    </xf>
    <xf borderId="5" fillId="3" fontId="4" numFmtId="0" xfId="0" applyBorder="1" applyFont="1"/>
    <xf borderId="5" fillId="3" fontId="4" numFmtId="0" xfId="0" applyAlignment="1" applyBorder="1" applyFont="1">
      <alignment horizontal="right"/>
    </xf>
    <xf borderId="5" fillId="3" fontId="4" numFmtId="14" xfId="0" applyAlignment="1" applyBorder="1" applyFont="1" applyNumberFormat="1">
      <alignment horizontal="left"/>
    </xf>
    <xf borderId="5" fillId="3" fontId="4" numFmtId="14" xfId="0" applyBorder="1" applyFont="1" applyNumberFormat="1"/>
    <xf borderId="5" fillId="3" fontId="4" numFmtId="0" xfId="0" applyAlignment="1" applyBorder="1" applyFont="1">
      <alignment horizontal="left" shrinkToFit="0" wrapText="1"/>
    </xf>
    <xf borderId="5" fillId="3" fontId="4" numFmtId="14" xfId="0" applyAlignment="1" applyBorder="1" applyFont="1" applyNumberFormat="1">
      <alignment horizontal="center" shrinkToFit="0" wrapText="1"/>
    </xf>
    <xf borderId="5" fillId="3" fontId="4" numFmtId="0" xfId="0" applyAlignment="1" applyBorder="1" applyFont="1">
      <alignment shrinkToFit="0" wrapText="1"/>
    </xf>
    <xf borderId="5" fillId="3" fontId="4" numFmtId="0" xfId="0" applyAlignment="1" applyBorder="1" applyFont="1">
      <alignment horizontal="right" shrinkToFit="0" wrapText="1"/>
    </xf>
    <xf borderId="5" fillId="3" fontId="4" numFmtId="14" xfId="0" applyAlignment="1" applyBorder="1" applyFont="1" applyNumberFormat="1">
      <alignment horizontal="left" shrinkToFit="0" wrapText="1"/>
    </xf>
    <xf borderId="17" fillId="11" fontId="16" numFmtId="0" xfId="0" applyBorder="1" applyFont="1"/>
    <xf borderId="17" fillId="16" fontId="3" numFmtId="0" xfId="0" applyBorder="1" applyFont="1"/>
    <xf borderId="5" fillId="18" fontId="4" numFmtId="0" xfId="0" applyAlignment="1" applyBorder="1" applyFill="1" applyFont="1">
      <alignment horizontal="center" shrinkToFit="0" vertical="center" wrapText="1"/>
    </xf>
    <xf borderId="5" fillId="18" fontId="4" numFmtId="0" xfId="0" applyAlignment="1" applyBorder="1" applyFont="1">
      <alignment horizontal="left"/>
    </xf>
    <xf borderId="5" fillId="18" fontId="4" numFmtId="0" xfId="0" applyAlignment="1" applyBorder="1" applyFont="1">
      <alignment horizontal="center"/>
    </xf>
    <xf borderId="5" fillId="18" fontId="4" numFmtId="14" xfId="0" applyAlignment="1" applyBorder="1" applyFont="1" applyNumberFormat="1">
      <alignment horizontal="center"/>
    </xf>
    <xf borderId="5" fillId="18" fontId="4" numFmtId="0" xfId="0" applyBorder="1" applyFont="1"/>
    <xf borderId="5" fillId="18" fontId="4" numFmtId="0" xfId="0" applyAlignment="1" applyBorder="1" applyFont="1">
      <alignment horizontal="right"/>
    </xf>
    <xf borderId="5" fillId="18" fontId="4" numFmtId="14" xfId="0" applyAlignment="1" applyBorder="1" applyFont="1" applyNumberFormat="1">
      <alignment horizontal="left"/>
    </xf>
    <xf borderId="5" fillId="18" fontId="4" numFmtId="14" xfId="0" applyBorder="1" applyFont="1" applyNumberFormat="1"/>
    <xf borderId="5" fillId="18" fontId="3" numFmtId="0" xfId="0" applyAlignment="1" applyBorder="1" applyFont="1">
      <alignment horizontal="center" shrinkToFit="0" vertical="center" wrapText="1"/>
    </xf>
    <xf borderId="5" fillId="18" fontId="3" numFmtId="0" xfId="0" applyAlignment="1" applyBorder="1" applyFont="1">
      <alignment horizontal="left" shrinkToFit="0" wrapText="1"/>
    </xf>
    <xf borderId="5" fillId="18" fontId="3" numFmtId="0" xfId="0" applyAlignment="1" applyBorder="1" applyFont="1">
      <alignment horizontal="center" shrinkToFit="0" wrapText="1"/>
    </xf>
    <xf borderId="5" fillId="18" fontId="3" numFmtId="14" xfId="0" applyAlignment="1" applyBorder="1" applyFont="1" applyNumberFormat="1">
      <alignment horizontal="center" shrinkToFit="0" wrapText="1"/>
    </xf>
    <xf borderId="5" fillId="18" fontId="3" numFmtId="0" xfId="0" applyAlignment="1" applyBorder="1" applyFont="1">
      <alignment shrinkToFit="0" wrapText="1"/>
    </xf>
    <xf borderId="5" fillId="18" fontId="3" numFmtId="0" xfId="0" applyAlignment="1" applyBorder="1" applyFont="1">
      <alignment horizontal="right" shrinkToFit="0" wrapText="1"/>
    </xf>
    <xf borderId="5" fillId="18" fontId="3" numFmtId="14" xfId="0" applyAlignment="1" applyBorder="1" applyFont="1" applyNumberFormat="1">
      <alignment horizontal="left" shrinkToFit="0" wrapText="1"/>
    </xf>
    <xf borderId="17" fillId="18" fontId="3" numFmtId="0" xfId="0" applyAlignment="1" applyBorder="1" applyFont="1">
      <alignment horizontal="center" vertical="center"/>
    </xf>
    <xf borderId="17" fillId="18" fontId="3" numFmtId="0" xfId="0" applyAlignment="1" applyBorder="1" applyFont="1">
      <alignment horizontal="left" vertical="center"/>
    </xf>
    <xf borderId="17" fillId="18" fontId="3" numFmtId="0" xfId="0" applyAlignment="1" applyBorder="1" applyFont="1">
      <alignment vertical="center"/>
    </xf>
    <xf borderId="5" fillId="18" fontId="3" numFmtId="0" xfId="0" applyBorder="1" applyFont="1"/>
    <xf borderId="5" fillId="18" fontId="3" numFmtId="0" xfId="0" applyAlignment="1" applyBorder="1" applyFont="1">
      <alignment horizontal="left"/>
    </xf>
    <xf borderId="5" fillId="2" fontId="3" numFmtId="0" xfId="0" applyAlignment="1" applyBorder="1" applyFont="1">
      <alignment horizontal="center" shrinkToFit="0" wrapText="1"/>
    </xf>
    <xf borderId="5" fillId="2" fontId="16" numFmtId="0" xfId="0" applyAlignment="1" applyBorder="1" applyFont="1">
      <alignment horizontal="center" vertical="center"/>
    </xf>
    <xf borderId="5" fillId="2" fontId="16" numFmtId="0" xfId="0" applyBorder="1" applyFont="1"/>
    <xf borderId="5" fillId="2" fontId="16" numFmtId="0" xfId="0" applyAlignment="1" applyBorder="1" applyFont="1">
      <alignment horizontal="center"/>
    </xf>
    <xf borderId="5" fillId="2" fontId="16" numFmtId="14" xfId="0" applyAlignment="1" applyBorder="1" applyFont="1" applyNumberFormat="1">
      <alignment horizontal="center"/>
    </xf>
    <xf borderId="5" fillId="2" fontId="16" numFmtId="0" xfId="0" applyAlignment="1" applyBorder="1" applyFont="1">
      <alignment horizontal="right"/>
    </xf>
    <xf borderId="5" fillId="2" fontId="16" numFmtId="14" xfId="0" applyBorder="1" applyFont="1" applyNumberFormat="1"/>
    <xf borderId="5" fillId="2" fontId="16" numFmtId="0" xfId="0" applyAlignment="1" applyBorder="1" applyFont="1">
      <alignment horizontal="left"/>
    </xf>
    <xf borderId="5" fillId="8" fontId="12" numFmtId="0" xfId="0" applyAlignment="1" applyBorder="1" applyFont="1">
      <alignment horizontal="center" shrinkToFit="0" vertical="center" wrapText="1"/>
    </xf>
    <xf borderId="5" fillId="8" fontId="12" numFmtId="0" xfId="0" applyAlignment="1" applyBorder="1" applyFont="1">
      <alignment horizontal="left"/>
    </xf>
    <xf borderId="5" fillId="8" fontId="12" numFmtId="14" xfId="0" applyAlignment="1" applyBorder="1" applyFont="1" applyNumberFormat="1">
      <alignment horizontal="center"/>
    </xf>
    <xf borderId="5" fillId="8" fontId="12" numFmtId="0" xfId="0" applyBorder="1" applyFont="1"/>
    <xf borderId="5" fillId="8" fontId="12" numFmtId="0" xfId="0" applyAlignment="1" applyBorder="1" applyFont="1">
      <alignment horizontal="right"/>
    </xf>
    <xf borderId="5" fillId="8" fontId="12" numFmtId="14" xfId="0" applyAlignment="1" applyBorder="1" applyFont="1" applyNumberFormat="1">
      <alignment horizontal="left"/>
    </xf>
    <xf borderId="5" fillId="8" fontId="12" numFmtId="14" xfId="0" applyBorder="1" applyFont="1" applyNumberFormat="1"/>
    <xf borderId="5" fillId="8" fontId="12" numFmtId="0" xfId="0" applyAlignment="1" applyBorder="1" applyFont="1">
      <alignment horizontal="center" vertical="center"/>
    </xf>
    <xf borderId="5" fillId="8" fontId="12" numFmtId="0" xfId="0" applyAlignment="1" applyBorder="1" applyFont="1">
      <alignment horizontal="left" shrinkToFit="0" wrapText="1"/>
    </xf>
    <xf borderId="5" fillId="8" fontId="12" numFmtId="0" xfId="0" applyAlignment="1" applyBorder="1" applyFont="1">
      <alignment horizontal="center" shrinkToFit="0" wrapText="1"/>
    </xf>
    <xf borderId="5" fillId="8" fontId="12" numFmtId="14" xfId="0" applyAlignment="1" applyBorder="1" applyFont="1" applyNumberFormat="1">
      <alignment horizontal="center" shrinkToFit="0" wrapText="1"/>
    </xf>
    <xf borderId="5" fillId="8" fontId="12" numFmtId="0" xfId="0" applyAlignment="1" applyBorder="1" applyFont="1">
      <alignment shrinkToFit="0" wrapText="1"/>
    </xf>
    <xf borderId="26" fillId="0" fontId="3" numFmtId="0" xfId="0" applyAlignment="1" applyBorder="1" applyFont="1">
      <alignment horizontal="center" shrinkToFit="0" wrapText="1"/>
    </xf>
    <xf borderId="27" fillId="8" fontId="12" numFmtId="0" xfId="0" applyAlignment="1" applyBorder="1" applyFont="1">
      <alignment horizontal="center" shrinkToFit="0" vertical="center" wrapText="1"/>
    </xf>
    <xf borderId="27" fillId="8" fontId="12" numFmtId="0" xfId="0" applyAlignment="1" applyBorder="1" applyFont="1">
      <alignment horizontal="left" shrinkToFit="0" wrapText="1"/>
    </xf>
    <xf borderId="27" fillId="8" fontId="12" numFmtId="0" xfId="0" applyAlignment="1" applyBorder="1" applyFont="1">
      <alignment horizontal="center" shrinkToFit="0" wrapText="1"/>
    </xf>
    <xf borderId="27" fillId="8" fontId="12" numFmtId="14" xfId="0" applyAlignment="1" applyBorder="1" applyFont="1" applyNumberFormat="1">
      <alignment horizontal="center" shrinkToFit="0" wrapText="1"/>
    </xf>
    <xf borderId="27" fillId="8" fontId="12" numFmtId="0" xfId="0" applyBorder="1" applyFont="1"/>
    <xf borderId="27" fillId="8" fontId="12" numFmtId="0" xfId="0" applyAlignment="1" applyBorder="1" applyFont="1">
      <alignment horizontal="right"/>
    </xf>
    <xf borderId="27" fillId="8" fontId="12" numFmtId="0" xfId="0" applyAlignment="1" applyBorder="1" applyFont="1">
      <alignment shrinkToFit="0" wrapText="1"/>
    </xf>
    <xf borderId="27" fillId="8" fontId="12" numFmtId="14" xfId="0" applyBorder="1" applyFont="1" applyNumberFormat="1"/>
    <xf borderId="5" fillId="0" fontId="12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shrinkToFit="0" wrapText="1"/>
    </xf>
    <xf borderId="5" fillId="0" fontId="12" numFmtId="0" xfId="0" applyAlignment="1" applyBorder="1" applyFont="1">
      <alignment horizontal="center" shrinkToFit="0" wrapText="1"/>
    </xf>
    <xf borderId="5" fillId="0" fontId="12" numFmtId="0" xfId="0" applyAlignment="1" applyBorder="1" applyFont="1">
      <alignment horizontal="right" shrinkToFit="0" wrapText="1"/>
    </xf>
    <xf borderId="5" fillId="0" fontId="12" numFmtId="14" xfId="0" applyAlignment="1" applyBorder="1" applyFont="1" applyNumberFormat="1">
      <alignment horizontal="center" shrinkToFit="0" wrapText="1"/>
    </xf>
    <xf borderId="5" fillId="0" fontId="12" numFmtId="0" xfId="0" applyBorder="1" applyFont="1"/>
    <xf borderId="5" fillId="0" fontId="12" numFmtId="0" xfId="0" applyAlignment="1" applyBorder="1" applyFont="1">
      <alignment horizontal="left"/>
    </xf>
    <xf borderId="5" fillId="0" fontId="12" numFmtId="14" xfId="0" applyBorder="1" applyFont="1" applyNumberFormat="1"/>
    <xf borderId="5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/>
    </xf>
    <xf borderId="5" fillId="0" fontId="12" numFmtId="14" xfId="0" applyAlignment="1" applyBorder="1" applyFont="1" applyNumberFormat="1">
      <alignment horizontal="center"/>
    </xf>
    <xf borderId="5" fillId="0" fontId="12" numFmtId="0" xfId="0" applyAlignment="1" applyBorder="1" applyFont="1">
      <alignment horizontal="right"/>
    </xf>
    <xf borderId="5" fillId="10" fontId="3" numFmtId="0" xfId="0" applyAlignment="1" applyBorder="1" applyFont="1">
      <alignment horizontal="center" shrinkToFit="0" vertical="center" wrapText="1"/>
    </xf>
    <xf borderId="5" fillId="10" fontId="3" numFmtId="0" xfId="0" applyAlignment="1" applyBorder="1" applyFont="1">
      <alignment horizontal="left"/>
    </xf>
    <xf borderId="5" fillId="10" fontId="3" numFmtId="0" xfId="0" applyAlignment="1" applyBorder="1" applyFont="1">
      <alignment horizontal="center"/>
    </xf>
    <xf borderId="5" fillId="10" fontId="3" numFmtId="14" xfId="0" applyAlignment="1" applyBorder="1" applyFont="1" applyNumberFormat="1">
      <alignment horizontal="center"/>
    </xf>
    <xf borderId="5" fillId="10" fontId="3" numFmtId="0" xfId="0" applyBorder="1" applyFont="1"/>
    <xf borderId="5" fillId="10" fontId="3" numFmtId="0" xfId="0" applyAlignment="1" applyBorder="1" applyFont="1">
      <alignment horizontal="right"/>
    </xf>
    <xf borderId="5" fillId="10" fontId="28" numFmtId="0" xfId="0" applyBorder="1" applyFont="1"/>
    <xf borderId="5" fillId="10" fontId="3" numFmtId="0" xfId="0" applyAlignment="1" applyBorder="1" applyFont="1">
      <alignment shrinkToFit="0" wrapText="1"/>
    </xf>
    <xf borderId="5" fillId="10" fontId="3" numFmtId="0" xfId="0" applyAlignment="1" applyBorder="1" applyFont="1">
      <alignment horizontal="center" shrinkToFit="0" wrapText="1"/>
    </xf>
    <xf borderId="5" fillId="10" fontId="3" numFmtId="14" xfId="0" applyAlignment="1" applyBorder="1" applyFont="1" applyNumberFormat="1">
      <alignment horizontal="center" shrinkToFit="0" wrapText="1"/>
    </xf>
    <xf borderId="5" fillId="10" fontId="3" numFmtId="0" xfId="0" applyAlignment="1" applyBorder="1" applyFont="1">
      <alignment horizontal="right" shrinkToFit="0" wrapText="1"/>
    </xf>
    <xf borderId="5" fillId="15" fontId="3" numFmtId="0" xfId="0" applyAlignment="1" applyBorder="1" applyFont="1">
      <alignment horizontal="center" shrinkToFit="0" wrapText="1"/>
    </xf>
    <xf borderId="5" fillId="15" fontId="3" numFmtId="0" xfId="0" applyAlignment="1" applyBorder="1" applyFont="1">
      <alignment horizontal="center" vertical="center"/>
    </xf>
    <xf borderId="5" fillId="15" fontId="3" numFmtId="0" xfId="0" applyBorder="1" applyFont="1"/>
    <xf borderId="5" fillId="15" fontId="3" numFmtId="0" xfId="0" applyAlignment="1" applyBorder="1" applyFont="1">
      <alignment horizontal="center"/>
    </xf>
    <xf borderId="5" fillId="15" fontId="3" numFmtId="14" xfId="0" applyAlignment="1" applyBorder="1" applyFont="1" applyNumberFormat="1">
      <alignment horizontal="center"/>
    </xf>
    <xf borderId="5" fillId="15" fontId="3" numFmtId="0" xfId="0" applyAlignment="1" applyBorder="1" applyFont="1">
      <alignment horizontal="left"/>
    </xf>
    <xf borderId="5" fillId="15" fontId="3" numFmtId="0" xfId="0" applyAlignment="1" applyBorder="1" applyFont="1">
      <alignment horizontal="center" shrinkToFit="0" vertical="center" wrapText="1"/>
    </xf>
    <xf borderId="5" fillId="15" fontId="12" numFmtId="14" xfId="0" applyBorder="1" applyFont="1" applyNumberFormat="1"/>
    <xf borderId="17" fillId="11" fontId="19" numFmtId="0" xfId="0" applyBorder="1" applyFont="1"/>
    <xf borderId="5" fillId="15" fontId="3" numFmtId="0" xfId="0" applyAlignment="1" applyBorder="1" applyFont="1">
      <alignment horizontal="right"/>
    </xf>
    <xf borderId="5" fillId="15" fontId="3" numFmtId="0" xfId="0" applyAlignment="1" applyBorder="1" applyFont="1">
      <alignment shrinkToFit="0" wrapText="1"/>
    </xf>
    <xf borderId="5" fillId="15" fontId="3" numFmtId="14" xfId="0" applyAlignment="1" applyBorder="1" applyFont="1" applyNumberFormat="1">
      <alignment horizontal="center" shrinkToFit="0" wrapText="1"/>
    </xf>
    <xf borderId="5" fillId="15" fontId="3" numFmtId="0" xfId="0" applyAlignment="1" applyBorder="1" applyFont="1">
      <alignment horizontal="right" shrinkToFit="0" wrapText="1"/>
    </xf>
    <xf borderId="5" fillId="16" fontId="3" numFmtId="0" xfId="0" applyAlignment="1" applyBorder="1" applyFont="1">
      <alignment horizontal="center" shrinkToFit="0" wrapText="1"/>
    </xf>
    <xf borderId="5" fillId="16" fontId="3" numFmtId="0" xfId="0" applyAlignment="1" applyBorder="1" applyFont="1">
      <alignment horizontal="center" vertical="center"/>
    </xf>
    <xf borderId="5" fillId="16" fontId="3" numFmtId="0" xfId="0" applyAlignment="1" applyBorder="1" applyFont="1">
      <alignment horizontal="left"/>
    </xf>
    <xf borderId="5" fillId="16" fontId="3" numFmtId="0" xfId="0" applyAlignment="1" applyBorder="1" applyFont="1">
      <alignment horizontal="center"/>
    </xf>
    <xf borderId="5" fillId="16" fontId="3" numFmtId="14" xfId="0" applyAlignment="1" applyBorder="1" applyFont="1" applyNumberFormat="1">
      <alignment horizontal="center"/>
    </xf>
    <xf borderId="5" fillId="16" fontId="3" numFmtId="14" xfId="0" applyAlignment="1" applyBorder="1" applyFont="1" applyNumberFormat="1">
      <alignment horizontal="left"/>
    </xf>
    <xf borderId="5" fillId="16" fontId="3" numFmtId="0" xfId="0" applyAlignment="1" applyBorder="1" applyFont="1">
      <alignment horizontal="center" shrinkToFit="0" vertical="center" wrapText="1"/>
    </xf>
    <xf borderId="5" fillId="16" fontId="3" numFmtId="14" xfId="0" applyBorder="1" applyFont="1" applyNumberFormat="1"/>
    <xf borderId="17" fillId="16" fontId="19" numFmtId="0" xfId="0" applyBorder="1" applyFont="1"/>
    <xf borderId="5" fillId="10" fontId="3" numFmtId="14" xfId="0" applyAlignment="1" applyBorder="1" applyFont="1" applyNumberFormat="1">
      <alignment horizontal="left"/>
    </xf>
    <xf borderId="5" fillId="10" fontId="16" numFmtId="0" xfId="0" applyAlignment="1" applyBorder="1" applyFont="1">
      <alignment horizontal="left"/>
    </xf>
    <xf borderId="5" fillId="10" fontId="3" numFmtId="0" xfId="0" applyAlignment="1" applyBorder="1" applyFont="1">
      <alignment horizontal="center" vertical="center"/>
    </xf>
    <xf borderId="5" fillId="19" fontId="3" numFmtId="0" xfId="0" applyAlignment="1" applyBorder="1" applyFill="1" applyFont="1">
      <alignment horizontal="center" shrinkToFit="0" wrapText="1"/>
    </xf>
    <xf borderId="5" fillId="19" fontId="3" numFmtId="0" xfId="0" applyAlignment="1" applyBorder="1" applyFont="1">
      <alignment horizontal="center" vertical="center"/>
    </xf>
    <xf borderId="5" fillId="19" fontId="3" numFmtId="0" xfId="0" applyAlignment="1" applyBorder="1" applyFont="1">
      <alignment horizontal="left"/>
    </xf>
    <xf borderId="5" fillId="19" fontId="3" numFmtId="0" xfId="0" applyAlignment="1" applyBorder="1" applyFont="1">
      <alignment horizontal="center"/>
    </xf>
    <xf borderId="5" fillId="19" fontId="3" numFmtId="14" xfId="0" applyAlignment="1" applyBorder="1" applyFont="1" applyNumberFormat="1">
      <alignment horizontal="center"/>
    </xf>
    <xf borderId="5" fillId="19" fontId="3" numFmtId="14" xfId="0" applyAlignment="1" applyBorder="1" applyFont="1" applyNumberFormat="1">
      <alignment horizontal="left"/>
    </xf>
    <xf borderId="5" fillId="19" fontId="3" numFmtId="0" xfId="0" applyAlignment="1" applyBorder="1" applyFont="1">
      <alignment horizontal="center" shrinkToFit="0" vertical="center" wrapText="1"/>
    </xf>
    <xf borderId="5" fillId="19" fontId="3" numFmtId="14" xfId="0" applyBorder="1" applyFont="1" applyNumberFormat="1"/>
    <xf borderId="17" fillId="19" fontId="3" numFmtId="0" xfId="0" applyBorder="1" applyFont="1"/>
    <xf borderId="17" fillId="19" fontId="19" numFmtId="0" xfId="0" applyBorder="1" applyFont="1"/>
    <xf borderId="5" fillId="10" fontId="13" numFmtId="0" xfId="0" applyAlignment="1" applyBorder="1" applyFont="1">
      <alignment horizontal="center"/>
    </xf>
    <xf borderId="5" fillId="10" fontId="15" numFmtId="0" xfId="0" applyAlignment="1" applyBorder="1" applyFont="1">
      <alignment horizontal="left"/>
    </xf>
    <xf borderId="5" fillId="16" fontId="19" numFmtId="0" xfId="0" applyBorder="1" applyFont="1"/>
    <xf borderId="5" fillId="16" fontId="3" numFmtId="0" xfId="0" applyBorder="1" applyFont="1"/>
    <xf borderId="5" fillId="16" fontId="15" numFmtId="0" xfId="0" applyBorder="1" applyFont="1"/>
    <xf borderId="17" fillId="16" fontId="16" numFmtId="0" xfId="0" applyBorder="1" applyFont="1"/>
    <xf borderId="17" fillId="16" fontId="13" numFmtId="0" xfId="0" applyBorder="1" applyFont="1"/>
    <xf borderId="5" fillId="0" fontId="29" numFmtId="0" xfId="0" applyBorder="1" applyFont="1"/>
    <xf borderId="5" fillId="10" fontId="15" numFmtId="0" xfId="0" applyBorder="1" applyFont="1"/>
    <xf borderId="17" fillId="11" fontId="18" numFmtId="0" xfId="0" applyBorder="1" applyFont="1"/>
    <xf borderId="5" fillId="10" fontId="3" numFmtId="0" xfId="0" applyAlignment="1" applyBorder="1" applyFont="1">
      <alignment horizontal="left" shrinkToFit="0" wrapText="1"/>
    </xf>
    <xf borderId="5" fillId="10" fontId="3" numFmtId="14" xfId="0" applyAlignment="1" applyBorder="1" applyFont="1" applyNumberFormat="1">
      <alignment horizontal="left" shrinkToFit="0" wrapText="1"/>
    </xf>
    <xf borderId="5" fillId="10" fontId="3" numFmtId="14" xfId="0" applyBorder="1" applyFont="1" applyNumberFormat="1"/>
    <xf borderId="17" fillId="10" fontId="13" numFmtId="0" xfId="0" applyBorder="1" applyFont="1"/>
    <xf borderId="5" fillId="15" fontId="3" numFmtId="0" xfId="0" applyAlignment="1" applyBorder="1" applyFont="1">
      <alignment horizontal="left" shrinkToFit="0" wrapText="1"/>
    </xf>
    <xf borderId="5" fillId="15" fontId="15" numFmtId="0" xfId="0" applyBorder="1" applyFont="1"/>
    <xf borderId="5" fillId="15" fontId="3" numFmtId="14" xfId="0" applyAlignment="1" applyBorder="1" applyFont="1" applyNumberFormat="1">
      <alignment horizontal="left" shrinkToFit="0" vertical="center" wrapText="1"/>
    </xf>
    <xf borderId="5" fillId="15" fontId="3" numFmtId="0" xfId="0" applyAlignment="1" applyBorder="1" applyFont="1">
      <alignment horizontal="left" shrinkToFit="0" vertical="center" wrapText="1"/>
    </xf>
    <xf borderId="5" fillId="15" fontId="3" numFmtId="14" xfId="0" applyAlignment="1" applyBorder="1" applyFont="1" applyNumberFormat="1">
      <alignment shrinkToFit="0" wrapText="1"/>
    </xf>
    <xf borderId="17" fillId="15" fontId="3" numFmtId="0" xfId="0" applyBorder="1" applyFont="1"/>
    <xf borderId="17" fillId="15" fontId="13" numFmtId="0" xfId="0" applyBorder="1" applyFont="1"/>
    <xf borderId="5" fillId="15" fontId="3" numFmtId="14" xfId="0" applyAlignment="1" applyBorder="1" applyFont="1" applyNumberFormat="1">
      <alignment horizontal="left" vertical="center"/>
    </xf>
    <xf borderId="5" fillId="15" fontId="3" numFmtId="0" xfId="0" applyAlignment="1" applyBorder="1" applyFont="1">
      <alignment horizontal="left" vertical="center"/>
    </xf>
    <xf borderId="17" fillId="15" fontId="19" numFmtId="0" xfId="0" applyBorder="1" applyFont="1"/>
    <xf borderId="17" fillId="15" fontId="30" numFmtId="0" xfId="0" applyAlignment="1" applyBorder="1" applyFont="1">
      <alignment horizontal="left"/>
    </xf>
    <xf borderId="17" fillId="15" fontId="30" numFmtId="168" xfId="0" applyAlignment="1" applyBorder="1" applyFont="1" applyNumberFormat="1">
      <alignment horizontal="right"/>
    </xf>
    <xf borderId="5" fillId="15" fontId="15" numFmtId="0" xfId="0" applyAlignment="1" applyBorder="1" applyFont="1">
      <alignment horizontal="left"/>
    </xf>
    <xf borderId="5" fillId="15" fontId="15" numFmtId="0" xfId="0" applyAlignment="1" applyBorder="1" applyFont="1">
      <alignment horizontal="center"/>
    </xf>
    <xf borderId="5" fillId="15" fontId="3" numFmtId="171" xfId="0" applyAlignment="1" applyBorder="1" applyFont="1" applyNumberFormat="1">
      <alignment horizontal="center"/>
    </xf>
    <xf borderId="17" fillId="15" fontId="21" numFmtId="0" xfId="0" applyBorder="1" applyFont="1"/>
    <xf borderId="17" fillId="15" fontId="22" numFmtId="0" xfId="0" applyBorder="1" applyFont="1"/>
    <xf borderId="5" fillId="15" fontId="3" numFmtId="169" xfId="0" applyAlignment="1" applyBorder="1" applyFont="1" applyNumberFormat="1">
      <alignment horizontal="center"/>
    </xf>
    <xf borderId="5" fillId="0" fontId="9" numFmtId="0" xfId="0" applyBorder="1" applyFont="1"/>
    <xf borderId="0" fillId="0" fontId="31" numFmtId="0" xfId="0" applyFont="1"/>
    <xf borderId="5" fillId="10" fontId="3" numFmtId="14" xfId="0" applyAlignment="1" applyBorder="1" applyFont="1" applyNumberFormat="1">
      <alignment horizontal="left" vertical="center"/>
    </xf>
    <xf borderId="5" fillId="10" fontId="3" numFmtId="0" xfId="0" applyAlignment="1" applyBorder="1" applyFont="1">
      <alignment horizontal="left" vertical="center"/>
    </xf>
    <xf borderId="19" fillId="10" fontId="14" numFmtId="0" xfId="0" applyAlignment="1" applyBorder="1" applyFont="1">
      <alignment horizontal="left"/>
    </xf>
    <xf borderId="19" fillId="10" fontId="14" numFmtId="168" xfId="0" applyAlignment="1" applyBorder="1" applyFont="1" applyNumberFormat="1">
      <alignment horizontal="right"/>
    </xf>
    <xf borderId="17" fillId="10" fontId="2" numFmtId="0" xfId="0" applyBorder="1" applyFont="1"/>
    <xf borderId="19" fillId="10" fontId="13" numFmtId="0" xfId="0" applyBorder="1" applyFont="1"/>
    <xf borderId="17" fillId="10" fontId="31" numFmtId="0" xfId="0" applyBorder="1" applyFont="1"/>
    <xf borderId="19" fillId="10" fontId="3" numFmtId="0" xfId="0" applyBorder="1" applyFont="1"/>
    <xf borderId="0" fillId="11" fontId="3" numFmtId="0" xfId="0" applyFont="1"/>
    <xf borderId="0" fillId="11" fontId="13" numFmtId="0" xfId="0" applyFont="1"/>
    <xf borderId="5" fillId="10" fontId="32" numFmtId="0" xfId="0" applyAlignment="1" applyBorder="1" applyFont="1">
      <alignment horizontal="left"/>
    </xf>
    <xf borderId="5" fillId="10" fontId="14" numFmtId="0" xfId="0" applyBorder="1" applyFont="1"/>
    <xf borderId="5" fillId="10" fontId="33" numFmtId="0" xfId="0" applyBorder="1" applyFont="1"/>
    <xf borderId="5" fillId="10" fontId="3" numFmtId="14" xfId="0" applyAlignment="1" applyBorder="1" applyFont="1" applyNumberFormat="1">
      <alignment horizontal="left" shrinkToFit="0" vertical="center" wrapText="1"/>
    </xf>
    <xf borderId="5" fillId="10" fontId="3" numFmtId="0" xfId="0" applyAlignment="1" applyBorder="1" applyFont="1">
      <alignment horizontal="left" shrinkToFit="0" vertical="center" wrapText="1"/>
    </xf>
    <xf borderId="5" fillId="10" fontId="3" numFmtId="14" xfId="0" applyAlignment="1" applyBorder="1" applyFont="1" applyNumberFormat="1">
      <alignment shrinkToFit="0" wrapText="1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34" numFmtId="0" xfId="0" applyAlignment="1" applyFont="1">
      <alignment shrinkToFit="0" vertical="bottom" wrapText="0"/>
    </xf>
    <xf borderId="0" fillId="0" fontId="34" numFmtId="0" xfId="0" applyAlignment="1" applyFont="1">
      <alignment horizontal="right" shrinkToFit="0" vertical="bottom" wrapText="0"/>
    </xf>
    <xf borderId="0" fillId="0" fontId="34" numFmtId="172" xfId="0" applyAlignment="1" applyFont="1" applyNumberFormat="1">
      <alignment shrinkToFit="0" vertical="bottom" wrapText="0"/>
    </xf>
    <xf borderId="0" fillId="0" fontId="34" numFmtId="11" xfId="0" applyAlignment="1" applyFont="1" applyNumberFormat="1">
      <alignment horizontal="right" shrinkToFit="0" vertical="bottom" wrapText="0"/>
    </xf>
    <xf borderId="0" fillId="0" fontId="34" numFmtId="173" xfId="0" applyAlignment="1" applyFont="1" applyNumberFormat="1">
      <alignment shrinkToFit="0" vertical="bottom" wrapText="0"/>
    </xf>
    <xf borderId="0" fillId="0" fontId="34" numFmtId="174" xfId="0" applyAlignment="1" applyFont="1" applyNumberFormat="1">
      <alignment shrinkToFit="0" vertical="bottom" wrapText="0"/>
    </xf>
    <xf borderId="0" fillId="0" fontId="34" numFmtId="175" xfId="0" applyAlignment="1" applyFont="1" applyNumberFormat="1">
      <alignment shrinkToFit="0" vertical="bottom" wrapText="0"/>
    </xf>
    <xf borderId="0" fillId="0" fontId="34" numFmtId="17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133350</xdr:rowOff>
    </xdr:from>
    <xdr:ext cx="1076325" cy="1057275"/>
    <xdr:pic>
      <xdr:nvPicPr>
        <xdr:cNvPr descr="logo PEL Learning Center v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76200</xdr:rowOff>
    </xdr:from>
    <xdr:ext cx="742950" cy="504825"/>
    <xdr:pic>
      <xdr:nvPicPr>
        <xdr:cNvPr descr="logo PEL Learning Center v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chunmeixie15@gmail.com" TargetMode="External"/><Relationship Id="rId2" Type="http://schemas.openxmlformats.org/officeDocument/2006/relationships/hyperlink" Target="mailto:chunmeixie15@gmail.com" TargetMode="External"/><Relationship Id="rId3" Type="http://schemas.openxmlformats.org/officeDocument/2006/relationships/hyperlink" Target="mailto:zf426@hotmail.com" TargetMode="External"/><Relationship Id="rId4" Type="http://schemas.openxmlformats.org/officeDocument/2006/relationships/hyperlink" Target="mailto:janezh3080@gmail.com" TargetMode="External"/><Relationship Id="rId9" Type="http://schemas.openxmlformats.org/officeDocument/2006/relationships/drawing" Target="../drawings/drawing2.xml"/><Relationship Id="rId5" Type="http://schemas.openxmlformats.org/officeDocument/2006/relationships/hyperlink" Target="mailto:janezh3080@gmail.com" TargetMode="External"/><Relationship Id="rId6" Type="http://schemas.openxmlformats.org/officeDocument/2006/relationships/hyperlink" Target="mailto:zf426@hotmail.com" TargetMode="External"/><Relationship Id="rId7" Type="http://schemas.openxmlformats.org/officeDocument/2006/relationships/hyperlink" Target="mailto:qinlingli1985@gmail.com" TargetMode="External"/><Relationship Id="rId8" Type="http://schemas.openxmlformats.org/officeDocument/2006/relationships/hyperlink" Target="mailto:qinlingli1985@gmail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65.71"/>
    <col customWidth="1" min="3" max="4" width="10.29"/>
    <col customWidth="1" min="5" max="5" width="24.0"/>
    <col customWidth="1" min="6" max="6" width="12.71"/>
    <col customWidth="1" min="7" max="7" width="8.71"/>
    <col customWidth="1" min="8" max="8" width="36.29"/>
    <col customWidth="1" min="9" max="10" width="8.71"/>
    <col customWidth="1" min="11" max="11" width="41.71"/>
    <col customWidth="1" min="12" max="26" width="8.71"/>
  </cols>
  <sheetData>
    <row r="1">
      <c r="A1" s="1" t="s">
        <v>0</v>
      </c>
      <c r="E1" s="2" t="s">
        <v>1</v>
      </c>
      <c r="F1" s="3"/>
      <c r="G1" s="4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5"/>
      <c r="D2" s="5"/>
      <c r="E2" s="6" t="s">
        <v>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3</v>
      </c>
      <c r="B3" s="7" t="s">
        <v>4</v>
      </c>
      <c r="C3" s="8"/>
      <c r="D3" s="7"/>
      <c r="E3" s="7" t="s">
        <v>5</v>
      </c>
      <c r="F3" s="9">
        <v>46081.0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/>
      <c r="B4" s="7" t="s">
        <v>6</v>
      </c>
      <c r="C4" s="8"/>
      <c r="D4" s="7"/>
      <c r="E4" s="7" t="s">
        <v>7</v>
      </c>
      <c r="F4" s="10" t="s">
        <v>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/>
      <c r="B5" s="7"/>
      <c r="C5" s="8"/>
      <c r="D5" s="7"/>
      <c r="E5" s="1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/>
      <c r="B6" s="7" t="s">
        <v>9</v>
      </c>
      <c r="C6" s="8"/>
      <c r="D6" s="7"/>
      <c r="E6" s="1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/>
      <c r="B7" s="3"/>
      <c r="C7" s="12"/>
      <c r="D7" s="3"/>
      <c r="E7" s="10"/>
      <c r="F7" s="3"/>
      <c r="G7" s="3"/>
      <c r="H7" s="3"/>
      <c r="I7" s="10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13" t="s">
        <v>10</v>
      </c>
      <c r="B8" s="14" t="s">
        <v>11</v>
      </c>
      <c r="C8" s="14" t="s">
        <v>12</v>
      </c>
      <c r="D8" s="14" t="s">
        <v>13</v>
      </c>
      <c r="E8" s="14" t="s">
        <v>14</v>
      </c>
      <c r="F8" s="15"/>
      <c r="G8" s="16"/>
      <c r="H8" s="16"/>
      <c r="I8" s="17"/>
      <c r="J8" s="16"/>
      <c r="K8" s="16"/>
      <c r="L8" s="16"/>
      <c r="M8" s="16"/>
      <c r="N8" s="16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18">
        <f t="shared" ref="A9:A31" si="1">$F$3</f>
        <v>46081</v>
      </c>
      <c r="B9" s="19" t="s">
        <v>15</v>
      </c>
      <c r="C9" s="19"/>
      <c r="D9" s="20">
        <f t="shared" ref="D9:D10" si="2">C55</f>
        <v>75</v>
      </c>
      <c r="E9" s="19"/>
      <c r="F9" s="21"/>
      <c r="G9" s="3"/>
      <c r="H9" s="16"/>
      <c r="I9" s="17"/>
      <c r="J9" s="1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18">
        <f t="shared" si="1"/>
        <v>46081</v>
      </c>
      <c r="B10" s="19" t="s">
        <v>16</v>
      </c>
      <c r="C10" s="19"/>
      <c r="D10" s="20">
        <f t="shared" si="2"/>
        <v>93</v>
      </c>
      <c r="E10" s="19"/>
      <c r="F10" s="21"/>
      <c r="G10" s="3"/>
      <c r="H10" s="16"/>
      <c r="I10" s="17"/>
      <c r="J10" s="16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8">
        <f t="shared" si="1"/>
        <v>46081</v>
      </c>
      <c r="B11" s="19" t="s">
        <v>17</v>
      </c>
      <c r="C11" s="22">
        <v>25.0</v>
      </c>
      <c r="D11" s="20">
        <f>SUM(C37:C40)</f>
        <v>0</v>
      </c>
      <c r="E11" s="23">
        <f t="shared" ref="E11:E25" si="3">C11*D11</f>
        <v>0</v>
      </c>
      <c r="F11" s="21"/>
      <c r="G11" s="24"/>
      <c r="H11" s="16"/>
      <c r="I11" s="17"/>
      <c r="J11" s="16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8">
        <f t="shared" si="1"/>
        <v>46081</v>
      </c>
      <c r="B12" s="19" t="s">
        <v>18</v>
      </c>
      <c r="C12" s="22">
        <v>20.0</v>
      </c>
      <c r="D12" s="20">
        <f t="shared" ref="D12:D13" si="4">C35+C37-C41-C53</f>
        <v>75</v>
      </c>
      <c r="E12" s="23">
        <f t="shared" si="3"/>
        <v>1500</v>
      </c>
      <c r="F12" s="21"/>
      <c r="G12" s="3"/>
      <c r="H12" s="16"/>
      <c r="I12" s="17"/>
      <c r="J12" s="16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18">
        <f t="shared" si="1"/>
        <v>46081</v>
      </c>
      <c r="B13" s="19" t="s">
        <v>19</v>
      </c>
      <c r="C13" s="22">
        <v>20.0</v>
      </c>
      <c r="D13" s="20">
        <f t="shared" si="4"/>
        <v>93</v>
      </c>
      <c r="E13" s="23">
        <f t="shared" si="3"/>
        <v>1860</v>
      </c>
      <c r="F13" s="21"/>
      <c r="G13" s="3"/>
      <c r="H13" s="16"/>
      <c r="I13" s="17"/>
      <c r="J13" s="16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18">
        <f t="shared" si="1"/>
        <v>46081</v>
      </c>
      <c r="B14" s="19" t="s">
        <v>20</v>
      </c>
      <c r="C14" s="22">
        <f t="shared" ref="C14:C15" si="5">C12/2</f>
        <v>10</v>
      </c>
      <c r="D14" s="20" t="str">
        <f t="shared" ref="D14:D15" si="6">C39</f>
        <v/>
      </c>
      <c r="E14" s="23">
        <f t="shared" si="3"/>
        <v>0</v>
      </c>
      <c r="F14" s="21"/>
      <c r="G14" s="3"/>
      <c r="H14" s="16"/>
      <c r="I14" s="17"/>
      <c r="J14" s="16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18">
        <f t="shared" si="1"/>
        <v>46081</v>
      </c>
      <c r="B15" s="19" t="s">
        <v>21</v>
      </c>
      <c r="C15" s="22">
        <f t="shared" si="5"/>
        <v>10</v>
      </c>
      <c r="D15" s="20" t="str">
        <f t="shared" si="6"/>
        <v/>
      </c>
      <c r="E15" s="23">
        <f t="shared" si="3"/>
        <v>0</v>
      </c>
      <c r="F15" s="21"/>
      <c r="G15" s="3"/>
      <c r="H15" s="16"/>
      <c r="I15" s="17"/>
      <c r="J15" s="16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18">
        <f t="shared" si="1"/>
        <v>46081</v>
      </c>
      <c r="B16" s="19" t="s">
        <v>22</v>
      </c>
      <c r="C16" s="22">
        <f t="shared" ref="C16:C17" si="7">C12/2</f>
        <v>10</v>
      </c>
      <c r="D16" s="20">
        <f t="shared" ref="D16:D17" si="8">I41</f>
        <v>0</v>
      </c>
      <c r="E16" s="23">
        <f t="shared" si="3"/>
        <v>0</v>
      </c>
      <c r="F16" s="21"/>
      <c r="G16" s="3"/>
      <c r="H16" s="16"/>
      <c r="I16" s="17"/>
      <c r="J16" s="16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18">
        <f t="shared" si="1"/>
        <v>46081</v>
      </c>
      <c r="B17" s="19" t="s">
        <v>23</v>
      </c>
      <c r="C17" s="22">
        <f t="shared" si="7"/>
        <v>10</v>
      </c>
      <c r="D17" s="20">
        <f t="shared" si="8"/>
        <v>0</v>
      </c>
      <c r="E17" s="23">
        <f t="shared" si="3"/>
        <v>0</v>
      </c>
      <c r="F17" s="21"/>
      <c r="G17" s="3"/>
      <c r="H17" s="16"/>
      <c r="I17" s="17"/>
      <c r="J17" s="16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18">
        <f t="shared" si="1"/>
        <v>46081</v>
      </c>
      <c r="B18" s="19" t="s">
        <v>24</v>
      </c>
      <c r="C18" s="22">
        <v>150.0</v>
      </c>
      <c r="D18" s="20">
        <v>1.0</v>
      </c>
      <c r="E18" s="23">
        <f t="shared" si="3"/>
        <v>150</v>
      </c>
      <c r="F18" s="21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18">
        <f t="shared" si="1"/>
        <v>46081</v>
      </c>
      <c r="B19" s="19"/>
      <c r="C19" s="22"/>
      <c r="D19" s="25"/>
      <c r="E19" s="23">
        <f t="shared" si="3"/>
        <v>0</v>
      </c>
      <c r="F19" s="21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18">
        <f t="shared" si="1"/>
        <v>46081</v>
      </c>
      <c r="B20" s="19"/>
      <c r="C20" s="22"/>
      <c r="D20" s="25"/>
      <c r="E20" s="23">
        <f t="shared" si="3"/>
        <v>0</v>
      </c>
      <c r="F20" s="21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8">
        <f t="shared" si="1"/>
        <v>46081</v>
      </c>
      <c r="B21" s="19"/>
      <c r="C21" s="26"/>
      <c r="D21" s="25"/>
      <c r="E21" s="23">
        <f t="shared" si="3"/>
        <v>0</v>
      </c>
      <c r="F21" s="2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8">
        <f t="shared" si="1"/>
        <v>46081</v>
      </c>
      <c r="B22" s="27"/>
      <c r="C22" s="28"/>
      <c r="D22" s="29"/>
      <c r="E22" s="23">
        <f t="shared" si="3"/>
        <v>0</v>
      </c>
      <c r="F22" s="21"/>
      <c r="G22" s="2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8">
        <f t="shared" si="1"/>
        <v>46081</v>
      </c>
      <c r="B23" s="30" t="s">
        <v>25</v>
      </c>
      <c r="C23" s="22">
        <v>-25.0</v>
      </c>
      <c r="D23" s="20"/>
      <c r="E23" s="31">
        <f t="shared" si="3"/>
        <v>0</v>
      </c>
      <c r="F23" s="21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8">
        <f t="shared" si="1"/>
        <v>46081</v>
      </c>
      <c r="B24" s="30" t="s">
        <v>26</v>
      </c>
      <c r="C24" s="22">
        <v>-25.0</v>
      </c>
      <c r="D24" s="20"/>
      <c r="E24" s="31">
        <f t="shared" si="3"/>
        <v>0</v>
      </c>
      <c r="F24" s="32"/>
      <c r="G24" s="33"/>
      <c r="H24" s="33"/>
      <c r="I24" s="33"/>
      <c r="J24" s="33"/>
      <c r="K24" s="33"/>
      <c r="L24" s="33"/>
      <c r="M24" s="33"/>
      <c r="N24" s="3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8">
        <f t="shared" si="1"/>
        <v>46081</v>
      </c>
      <c r="B25" s="34"/>
      <c r="C25" s="35"/>
      <c r="D25" s="36"/>
      <c r="E25" s="31">
        <f t="shared" si="3"/>
        <v>0</v>
      </c>
      <c r="F25" s="21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8">
        <f t="shared" si="1"/>
        <v>46081</v>
      </c>
      <c r="B26" s="19" t="s">
        <v>27</v>
      </c>
      <c r="C26" s="22"/>
      <c r="D26" s="22"/>
      <c r="E26" s="23">
        <f>SUM(E11:E25)</f>
        <v>3510</v>
      </c>
      <c r="F26" s="2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8">
        <f t="shared" si="1"/>
        <v>46081</v>
      </c>
      <c r="B27" s="37"/>
      <c r="C27" s="22"/>
      <c r="D27" s="20"/>
      <c r="E27" s="38"/>
      <c r="F27" s="21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8">
        <f t="shared" si="1"/>
        <v>46081</v>
      </c>
      <c r="B28" s="37"/>
      <c r="C28" s="39"/>
      <c r="D28" s="40"/>
      <c r="E28" s="41"/>
      <c r="F28" s="21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8">
        <f t="shared" si="1"/>
        <v>46081</v>
      </c>
      <c r="B29" s="19" t="s">
        <v>28</v>
      </c>
      <c r="C29" s="22"/>
      <c r="D29" s="42"/>
      <c r="E29" s="42"/>
      <c r="F29" s="21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8">
        <f t="shared" si="1"/>
        <v>46081</v>
      </c>
      <c r="B30" s="19" t="s">
        <v>29</v>
      </c>
      <c r="C30" s="22"/>
      <c r="D30" s="23"/>
      <c r="E30" s="42">
        <v>0.0</v>
      </c>
      <c r="F30" s="21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8">
        <f t="shared" si="1"/>
        <v>46081</v>
      </c>
      <c r="B31" s="43" t="s">
        <v>30</v>
      </c>
      <c r="C31" s="22"/>
      <c r="D31" s="23"/>
      <c r="E31" s="44">
        <f>E26+E27+E28+E29-E30</f>
        <v>3510</v>
      </c>
      <c r="F31" s="21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5"/>
      <c r="B32" s="46"/>
      <c r="C32" s="47"/>
      <c r="D32" s="47"/>
      <c r="E32" s="48"/>
      <c r="F32" s="49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9"/>
      <c r="B33" s="3"/>
      <c r="C33" s="12"/>
      <c r="D33" s="3"/>
      <c r="E33" s="10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50" t="s">
        <v>31</v>
      </c>
      <c r="C34" s="51"/>
      <c r="D34" s="3"/>
      <c r="E34" s="10"/>
      <c r="F34" s="3"/>
      <c r="G34" s="3"/>
      <c r="H34" s="50" t="s">
        <v>32</v>
      </c>
      <c r="I34" s="51"/>
      <c r="J34" s="3"/>
      <c r="K34" s="50" t="s">
        <v>33</v>
      </c>
      <c r="L34" s="51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2" t="s">
        <v>34</v>
      </c>
      <c r="B35" s="52" t="s">
        <v>35</v>
      </c>
      <c r="C35" s="53">
        <v>75.0</v>
      </c>
      <c r="D35" s="3" t="s">
        <v>36</v>
      </c>
      <c r="E35" s="10"/>
      <c r="F35" s="3"/>
      <c r="G35" s="3"/>
      <c r="H35" s="52" t="s">
        <v>35</v>
      </c>
      <c r="I35" s="54">
        <v>0.0</v>
      </c>
      <c r="J35" s="3"/>
      <c r="K35" s="52" t="s">
        <v>35</v>
      </c>
      <c r="L35" s="54">
        <v>0.0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2" t="s">
        <v>37</v>
      </c>
      <c r="B36" s="55" t="s">
        <v>38</v>
      </c>
      <c r="C36" s="56">
        <v>93.0</v>
      </c>
      <c r="D36" s="3" t="s">
        <v>39</v>
      </c>
      <c r="E36" s="10"/>
      <c r="F36" s="12"/>
      <c r="G36" s="3"/>
      <c r="H36" s="55" t="s">
        <v>38</v>
      </c>
      <c r="I36" s="57">
        <v>0.0</v>
      </c>
      <c r="J36" s="3"/>
      <c r="K36" s="55" t="s">
        <v>38</v>
      </c>
      <c r="L36" s="57">
        <v>0.0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2" t="s">
        <v>40</v>
      </c>
      <c r="B37" s="58" t="s">
        <v>41</v>
      </c>
      <c r="C37" s="59"/>
      <c r="D37" s="3" t="s">
        <v>42</v>
      </c>
      <c r="E37" s="10"/>
      <c r="F37" s="3"/>
      <c r="G37" s="3"/>
      <c r="H37" s="60" t="s">
        <v>43</v>
      </c>
      <c r="I37" s="61">
        <v>0.0</v>
      </c>
      <c r="J37" s="3"/>
      <c r="K37" s="60" t="s">
        <v>43</v>
      </c>
      <c r="L37" s="61">
        <v>0.0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2" t="s">
        <v>44</v>
      </c>
      <c r="B38" s="62" t="s">
        <v>45</v>
      </c>
      <c r="C38" s="63"/>
      <c r="D38" s="3" t="s">
        <v>46</v>
      </c>
      <c r="E38" s="10"/>
      <c r="F38" s="3"/>
      <c r="G38" s="3"/>
      <c r="H38" s="64" t="s">
        <v>47</v>
      </c>
      <c r="I38" s="65">
        <v>0.0</v>
      </c>
      <c r="J38" s="3"/>
      <c r="K38" s="64" t="s">
        <v>47</v>
      </c>
      <c r="L38" s="65">
        <v>0.0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2" t="s">
        <v>48</v>
      </c>
      <c r="B39" s="58" t="s">
        <v>49</v>
      </c>
      <c r="C39" s="59"/>
      <c r="D39" s="3" t="s">
        <v>50</v>
      </c>
      <c r="E39" s="10"/>
      <c r="F39" s="3"/>
      <c r="G39" s="3"/>
      <c r="H39" s="58" t="s">
        <v>51</v>
      </c>
      <c r="I39" s="61">
        <v>0.0</v>
      </c>
      <c r="J39" s="10"/>
      <c r="K39" s="58" t="s">
        <v>51</v>
      </c>
      <c r="L39" s="61">
        <v>0.0</v>
      </c>
      <c r="M39" s="10"/>
      <c r="N39" s="10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2" t="s">
        <v>52</v>
      </c>
      <c r="B40" s="62" t="s">
        <v>53</v>
      </c>
      <c r="C40" s="63"/>
      <c r="D40" s="3" t="s">
        <v>54</v>
      </c>
      <c r="E40" s="10"/>
      <c r="F40" s="3"/>
      <c r="G40" s="3"/>
      <c r="H40" s="62" t="s">
        <v>55</v>
      </c>
      <c r="I40" s="65">
        <v>0.0</v>
      </c>
      <c r="J40" s="10"/>
      <c r="K40" s="62" t="s">
        <v>55</v>
      </c>
      <c r="L40" s="65">
        <v>0.0</v>
      </c>
      <c r="M40" s="10"/>
      <c r="N40" s="10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2" t="s">
        <v>56</v>
      </c>
      <c r="B41" s="60" t="s">
        <v>43</v>
      </c>
      <c r="C41" s="63"/>
      <c r="D41" s="3" t="s">
        <v>57</v>
      </c>
      <c r="E41" s="10"/>
      <c r="F41" s="3"/>
      <c r="G41" s="3"/>
      <c r="H41" s="66" t="s">
        <v>58</v>
      </c>
      <c r="I41" s="67">
        <f t="shared" ref="I41:I42" si="9">I35-I37+I39</f>
        <v>0</v>
      </c>
      <c r="J41" s="10"/>
      <c r="K41" s="66" t="s">
        <v>59</v>
      </c>
      <c r="L41" s="67">
        <f t="shared" ref="L41:L42" si="10">L35-L37+L39</f>
        <v>0</v>
      </c>
      <c r="M41" s="10"/>
      <c r="N41" s="10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2" t="s">
        <v>60</v>
      </c>
      <c r="B42" s="64" t="s">
        <v>47</v>
      </c>
      <c r="C42" s="63"/>
      <c r="D42" s="3" t="s">
        <v>61</v>
      </c>
      <c r="E42" s="10"/>
      <c r="F42" s="3"/>
      <c r="G42" s="3"/>
      <c r="H42" s="68" t="s">
        <v>62</v>
      </c>
      <c r="I42" s="69">
        <f t="shared" si="9"/>
        <v>0</v>
      </c>
      <c r="J42" s="10"/>
      <c r="K42" s="68" t="s">
        <v>63</v>
      </c>
      <c r="L42" s="69">
        <f t="shared" si="10"/>
        <v>0</v>
      </c>
      <c r="M42" s="10" t="s">
        <v>64</v>
      </c>
      <c r="N42" s="10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2" t="s">
        <v>65</v>
      </c>
      <c r="B43" s="66" t="s">
        <v>58</v>
      </c>
      <c r="C43" s="67">
        <f t="shared" ref="C43:C44" si="11">C35+C37+C39-C41</f>
        <v>75</v>
      </c>
      <c r="D43" s="3"/>
      <c r="E43" s="10"/>
      <c r="F43" s="3"/>
      <c r="G43" s="3"/>
      <c r="H43" s="3"/>
      <c r="I43" s="3"/>
      <c r="J43" s="3"/>
      <c r="K43" s="3"/>
      <c r="L43" s="3"/>
      <c r="M43" s="10"/>
      <c r="N43" s="10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2" t="s">
        <v>66</v>
      </c>
      <c r="B44" s="68" t="s">
        <v>62</v>
      </c>
      <c r="C44" s="69">
        <f t="shared" si="11"/>
        <v>93</v>
      </c>
      <c r="D44" s="3">
        <f>C44+C43</f>
        <v>168</v>
      </c>
      <c r="E44" s="10"/>
      <c r="F44" s="3"/>
      <c r="G44" s="3"/>
      <c r="H44" s="3"/>
      <c r="I44" s="3"/>
      <c r="J44" s="3"/>
      <c r="K44" s="3"/>
      <c r="L44" s="3"/>
      <c r="M44" s="10"/>
      <c r="N44" s="10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70"/>
      <c r="D45" s="3"/>
      <c r="E45" s="71"/>
      <c r="F45" s="3"/>
      <c r="G45" s="3"/>
      <c r="H45" s="3"/>
      <c r="I45" s="3"/>
      <c r="J45" s="3"/>
      <c r="K45" s="3"/>
      <c r="L45" s="3"/>
      <c r="M45" s="10"/>
      <c r="N45" s="10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70"/>
      <c r="D46" s="3"/>
      <c r="E46" s="10"/>
      <c r="F46" s="3"/>
      <c r="G46" s="3"/>
      <c r="H46" s="3"/>
      <c r="I46" s="3"/>
      <c r="J46" s="10"/>
      <c r="K46" s="10"/>
      <c r="L46" s="10"/>
      <c r="M46" s="10"/>
      <c r="N46" s="10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70"/>
      <c r="D47" s="3"/>
      <c r="E47" s="10"/>
      <c r="F47" s="3"/>
      <c r="G47" s="3"/>
      <c r="H47" s="3"/>
      <c r="I47" s="3"/>
      <c r="J47" s="10"/>
      <c r="K47" s="10"/>
      <c r="L47" s="10"/>
      <c r="M47" s="10"/>
      <c r="N47" s="10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50" t="s">
        <v>67</v>
      </c>
      <c r="C48" s="51"/>
      <c r="D48" s="3"/>
      <c r="E48" s="10"/>
      <c r="F48" s="3"/>
      <c r="G48" s="3"/>
      <c r="H48" s="3"/>
      <c r="I48" s="3"/>
      <c r="J48" s="10"/>
      <c r="K48" s="10" t="s">
        <v>64</v>
      </c>
      <c r="L48" s="10"/>
      <c r="M48" s="10"/>
      <c r="N48" s="10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72" t="s">
        <v>68</v>
      </c>
      <c r="C49" s="73">
        <f t="shared" ref="C49:C50" si="12">C43-I41-L41</f>
        <v>75</v>
      </c>
      <c r="D49" s="3"/>
      <c r="E49" s="10"/>
      <c r="F49" s="3"/>
      <c r="G49" s="3"/>
      <c r="H49" s="3"/>
      <c r="I49" s="3"/>
      <c r="J49" s="10"/>
      <c r="K49" s="10"/>
      <c r="L49" s="10"/>
      <c r="M49" s="10"/>
      <c r="N49" s="10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74" t="s">
        <v>69</v>
      </c>
      <c r="C50" s="73">
        <f t="shared" si="12"/>
        <v>93</v>
      </c>
      <c r="D50" s="3"/>
      <c r="E50" s="10"/>
      <c r="F50" s="3"/>
      <c r="G50" s="3"/>
      <c r="H50" s="3"/>
      <c r="I50" s="3"/>
      <c r="J50" s="10"/>
      <c r="K50" s="10"/>
      <c r="L50" s="10"/>
      <c r="M50" s="10"/>
      <c r="N50" s="10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72" t="s">
        <v>70</v>
      </c>
      <c r="C51" s="73">
        <f t="shared" ref="C51:C52" si="13">I41</f>
        <v>0</v>
      </c>
      <c r="D51" s="3"/>
      <c r="E51" s="10"/>
      <c r="F51" s="3"/>
      <c r="G51" s="3"/>
      <c r="H51" s="3"/>
      <c r="I51" s="3"/>
      <c r="J51" s="10"/>
      <c r="K51" s="10"/>
      <c r="L51" s="10"/>
      <c r="M51" s="10"/>
      <c r="N51" s="10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74" t="s">
        <v>71</v>
      </c>
      <c r="C52" s="75">
        <f t="shared" si="13"/>
        <v>0</v>
      </c>
      <c r="D52" s="3"/>
      <c r="E52" s="10"/>
      <c r="F52" s="3"/>
      <c r="G52" s="3"/>
      <c r="H52" s="3"/>
      <c r="I52" s="3"/>
      <c r="J52" s="10"/>
      <c r="K52" s="10"/>
      <c r="L52" s="10"/>
      <c r="M52" s="10"/>
      <c r="N52" s="10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/>
      <c r="B53" s="72" t="s">
        <v>72</v>
      </c>
      <c r="C53" s="73">
        <f t="shared" ref="C53:C54" si="14">L41</f>
        <v>0</v>
      </c>
      <c r="D53" s="4"/>
      <c r="E53" s="76"/>
      <c r="F53" s="4"/>
      <c r="G53" s="4"/>
      <c r="H53" s="4"/>
      <c r="I53" s="4"/>
      <c r="J53" s="76"/>
      <c r="K53" s="76"/>
      <c r="L53" s="76"/>
      <c r="M53" s="76"/>
      <c r="N53" s="76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74" t="s">
        <v>73</v>
      </c>
      <c r="C54" s="75">
        <f t="shared" si="14"/>
        <v>0</v>
      </c>
      <c r="D54" s="4"/>
      <c r="E54" s="10"/>
      <c r="F54" s="3"/>
      <c r="G54" s="3"/>
      <c r="H54" s="3"/>
      <c r="I54" s="3"/>
      <c r="J54" s="10"/>
      <c r="K54" s="10"/>
      <c r="L54" s="10"/>
      <c r="M54" s="10"/>
      <c r="N54" s="10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66" t="s">
        <v>58</v>
      </c>
      <c r="C55" s="67">
        <f t="shared" ref="C55:C56" si="15">C49+C51+C53</f>
        <v>75</v>
      </c>
      <c r="D55" s="3"/>
      <c r="E55" s="10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0"/>
      <c r="B56" s="68" t="s">
        <v>62</v>
      </c>
      <c r="C56" s="69">
        <f t="shared" si="15"/>
        <v>93</v>
      </c>
      <c r="D56" s="3">
        <f>C56+C55</f>
        <v>168</v>
      </c>
      <c r="E56" s="10"/>
      <c r="F56" s="3"/>
      <c r="G56" s="3"/>
      <c r="H56" s="3"/>
      <c r="I56" s="3"/>
      <c r="J56" s="10"/>
      <c r="K56" s="10"/>
      <c r="L56" s="10"/>
      <c r="M56" s="10"/>
      <c r="N56" s="10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10"/>
      <c r="F57" s="3"/>
      <c r="G57" s="3"/>
      <c r="H57" s="3"/>
      <c r="I57" s="3"/>
      <c r="J57" s="10"/>
      <c r="K57" s="10"/>
      <c r="L57" s="10"/>
      <c r="M57" s="10"/>
      <c r="N57" s="10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10"/>
      <c r="F58" s="3"/>
      <c r="G58" s="3"/>
      <c r="H58" s="3"/>
      <c r="I58" s="3"/>
      <c r="J58" s="10"/>
      <c r="K58" s="10"/>
      <c r="L58" s="10"/>
      <c r="M58" s="10"/>
      <c r="N58" s="10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 t="s">
        <v>74</v>
      </c>
      <c r="B59" s="3"/>
      <c r="C59" s="3"/>
      <c r="D59" s="3"/>
      <c r="E59" s="10"/>
      <c r="F59" s="3"/>
      <c r="G59" s="3"/>
      <c r="H59" s="3"/>
      <c r="I59" s="3"/>
      <c r="J59" s="10"/>
      <c r="K59" s="10"/>
      <c r="L59" s="10"/>
      <c r="M59" s="10"/>
      <c r="N59" s="10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12"/>
      <c r="D60" s="3"/>
      <c r="E60" s="10"/>
      <c r="F60" s="3"/>
      <c r="G60" s="3"/>
      <c r="H60" s="3"/>
      <c r="I60" s="3"/>
      <c r="J60" s="10"/>
      <c r="K60" s="10"/>
      <c r="L60" s="10"/>
      <c r="M60" s="10"/>
      <c r="N60" s="10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 t="s">
        <v>75</v>
      </c>
      <c r="B61" s="3"/>
      <c r="C61" s="12"/>
      <c r="D61" s="3"/>
      <c r="E61" s="10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 t="s">
        <v>76</v>
      </c>
      <c r="B62" s="3"/>
      <c r="C62" s="12"/>
      <c r="D62" s="3"/>
      <c r="E62" s="1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 t="s">
        <v>77</v>
      </c>
      <c r="B63" s="3"/>
      <c r="C63" s="12"/>
      <c r="D63" s="3"/>
      <c r="E63" s="1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77" t="s">
        <v>78</v>
      </c>
      <c r="B64" s="3"/>
      <c r="C64" s="12"/>
      <c r="D64" s="3"/>
      <c r="E64" s="1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78" t="s">
        <v>79</v>
      </c>
      <c r="B65" s="79"/>
      <c r="C65" s="80"/>
      <c r="D65" s="79"/>
      <c r="E65" s="71"/>
      <c r="F65" s="79"/>
      <c r="G65" s="79"/>
      <c r="H65" s="79"/>
      <c r="I65" s="79"/>
      <c r="J65" s="79"/>
      <c r="K65" s="79"/>
      <c r="L65" s="79"/>
      <c r="M65" s="79"/>
      <c r="N65" s="79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78"/>
      <c r="B66" s="79"/>
      <c r="C66" s="80"/>
      <c r="D66" s="79"/>
      <c r="E66" s="71"/>
      <c r="F66" s="79"/>
      <c r="G66" s="79"/>
      <c r="H66" s="79"/>
      <c r="I66" s="79"/>
      <c r="J66" s="79"/>
      <c r="K66" s="79"/>
      <c r="L66" s="79"/>
      <c r="M66" s="79"/>
      <c r="N66" s="79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78"/>
      <c r="B67" s="79"/>
      <c r="C67" s="80"/>
      <c r="D67" s="79"/>
      <c r="E67" s="71"/>
      <c r="F67" s="79"/>
      <c r="G67" s="79"/>
      <c r="H67" s="79"/>
      <c r="I67" s="79"/>
      <c r="J67" s="79"/>
      <c r="K67" s="79"/>
      <c r="L67" s="79"/>
      <c r="M67" s="79"/>
      <c r="N67" s="79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77"/>
      <c r="B68" s="3"/>
      <c r="C68" s="3"/>
      <c r="D68" s="12"/>
      <c r="E68" s="12"/>
      <c r="F68" s="12"/>
      <c r="G68" s="12"/>
      <c r="H68" s="12"/>
      <c r="I68" s="1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79"/>
      <c r="B69" s="79"/>
      <c r="C69" s="79"/>
      <c r="D69" s="80"/>
      <c r="E69" s="80"/>
      <c r="F69" s="80"/>
      <c r="G69" s="80"/>
      <c r="H69" s="80"/>
      <c r="I69" s="80"/>
      <c r="J69" s="79"/>
      <c r="K69" s="81"/>
      <c r="L69" s="79"/>
      <c r="M69" s="79"/>
      <c r="N69" s="79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79"/>
      <c r="B70" s="79"/>
      <c r="C70" s="79"/>
      <c r="D70" s="80"/>
      <c r="E70" s="80"/>
      <c r="F70" s="80"/>
      <c r="G70" s="80"/>
      <c r="H70" s="80"/>
      <c r="I70" s="80"/>
      <c r="J70" s="79"/>
      <c r="K70" s="81"/>
      <c r="L70" s="79"/>
      <c r="M70" s="79"/>
      <c r="N70" s="79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12"/>
      <c r="E71" s="12"/>
      <c r="F71" s="12"/>
      <c r="G71" s="12"/>
      <c r="H71" s="12"/>
      <c r="I71" s="1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12"/>
      <c r="D72" s="3"/>
      <c r="E72" s="1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12"/>
      <c r="D73" s="3"/>
      <c r="E73" s="1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5.0" topLeftCell="E6" activePane="bottomRight" state="frozen"/>
      <selection activeCell="E1" sqref="E1" pane="topRight"/>
      <selection activeCell="A6" sqref="A6" pane="bottomLeft"/>
      <selection activeCell="E6" sqref="E6" pane="bottomRight"/>
    </sheetView>
  </sheetViews>
  <sheetFormatPr customHeight="1" defaultColWidth="14.43" defaultRowHeight="15.0"/>
  <cols>
    <col customWidth="1" min="1" max="1" width="9.29"/>
    <col customWidth="1" min="2" max="2" width="7.0"/>
    <col customWidth="1" min="3" max="3" width="12.29"/>
    <col customWidth="1" min="4" max="4" width="17.71"/>
    <col customWidth="1" min="5" max="5" width="8.29"/>
    <col customWidth="1" min="6" max="6" width="14.86"/>
    <col customWidth="1" min="7" max="7" width="51.29"/>
    <col customWidth="1" min="8" max="8" width="14.14"/>
    <col customWidth="1" min="9" max="9" width="32.0"/>
    <col customWidth="1" min="10" max="10" width="13.29"/>
    <col customWidth="1" min="11" max="11" width="12.29"/>
    <col customWidth="1" min="12" max="12" width="11.71"/>
    <col customWidth="1" min="13" max="13" width="38.29"/>
    <col customWidth="1" min="14" max="14" width="6.71"/>
    <col customWidth="1" min="15" max="15" width="12.71"/>
    <col customWidth="1" min="16" max="16" width="3.14"/>
    <col customWidth="1" min="17" max="26" width="5.86"/>
    <col customWidth="1" min="27" max="27" width="5.29"/>
    <col customWidth="1" min="28" max="46" width="8.71"/>
    <col customWidth="1" min="47" max="48" width="14.29"/>
  </cols>
  <sheetData>
    <row r="1" ht="17.25" customHeight="1">
      <c r="A1" s="2" t="s">
        <v>0</v>
      </c>
      <c r="B1" s="12"/>
      <c r="C1" s="82" t="s">
        <v>4</v>
      </c>
      <c r="D1" s="82"/>
      <c r="E1" s="12"/>
      <c r="F1" s="12"/>
      <c r="G1" s="16" t="s">
        <v>80</v>
      </c>
      <c r="H1" s="82"/>
      <c r="I1" s="33"/>
      <c r="J1" s="82" t="s">
        <v>81</v>
      </c>
      <c r="K1" s="82"/>
      <c r="L1" s="82"/>
      <c r="M1" s="82" t="str">
        <f>P!E1</f>
        <v>Due by: 3/1/26</v>
      </c>
      <c r="N1" s="12"/>
      <c r="O1" s="83"/>
      <c r="P1" s="3"/>
      <c r="Q1" s="84"/>
      <c r="R1" s="84" t="s">
        <v>40</v>
      </c>
      <c r="S1" s="84" t="s">
        <v>82</v>
      </c>
      <c r="T1" s="84" t="s">
        <v>34</v>
      </c>
      <c r="U1" s="84" t="s">
        <v>52</v>
      </c>
      <c r="V1" s="84" t="s">
        <v>83</v>
      </c>
      <c r="W1" s="85" t="s">
        <v>84</v>
      </c>
      <c r="X1" s="84" t="s">
        <v>85</v>
      </c>
      <c r="Y1" s="84" t="s">
        <v>86</v>
      </c>
      <c r="Z1" s="84" t="s">
        <v>87</v>
      </c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 ht="15.75" customHeight="1">
      <c r="A2" s="86"/>
      <c r="B2" s="12"/>
      <c r="C2" s="82" t="str">
        <f>P!B4</f>
        <v>47958 Warm Springs Blvd, Fremont, CA 94539</v>
      </c>
      <c r="D2" s="87"/>
      <c r="E2" s="12"/>
      <c r="F2" s="86"/>
      <c r="G2" s="82"/>
      <c r="H2" s="82"/>
      <c r="I2" s="33"/>
      <c r="J2" s="82"/>
      <c r="K2" s="88"/>
      <c r="L2" s="88"/>
      <c r="M2" s="88">
        <f>P!F3</f>
        <v>46081</v>
      </c>
      <c r="N2" s="12"/>
      <c r="O2" s="83"/>
      <c r="P2" s="3"/>
      <c r="Q2" s="89" t="s">
        <v>88</v>
      </c>
      <c r="R2" s="90">
        <f>COUNTIFS(N6:N185,"=C",B6:B185,"=M")</f>
        <v>75</v>
      </c>
      <c r="S2" s="90">
        <f>COUNTIFS(N6:N185,"=N",B6:B185,"=M")</f>
        <v>0</v>
      </c>
      <c r="T2" s="90">
        <f>COUNTIFS(N6:N185,"=a",B6:B185,"=M")</f>
        <v>0</v>
      </c>
      <c r="U2" s="90">
        <f>COUNTIFS(N6:N185,"=F",B6:B185,"=M")</f>
        <v>0</v>
      </c>
      <c r="V2" s="90">
        <f>COUNTIFS(N6:N185,"=R",B6:B185,"=M")</f>
        <v>0</v>
      </c>
      <c r="W2" s="90">
        <f>COUNTIFS(N6:N185,"=IT",B6:B185,"=M")</f>
        <v>0</v>
      </c>
      <c r="X2" s="90">
        <f t="shared" ref="X2:X3" si="1">R2+T2+U2</f>
        <v>75</v>
      </c>
      <c r="Y2" s="90">
        <f t="shared" ref="Y2:Y3" si="2">R2+S2+U2+W2+V2</f>
        <v>75</v>
      </c>
      <c r="Z2" s="90">
        <f t="shared" ref="Z2:Z3" si="3">R2+S2+T2+U2+W2+V2</f>
        <v>75</v>
      </c>
      <c r="AA2" s="3"/>
      <c r="AB2" s="3">
        <f t="shared" ref="AB2:AB3" si="4">S2+V2+W2</f>
        <v>0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ht="17.25" customHeight="1">
      <c r="A3" s="86"/>
      <c r="B3" s="12"/>
      <c r="C3" s="82" t="str">
        <f>P!B6</f>
        <v>Tel: 408.888.2772</v>
      </c>
      <c r="D3" s="82"/>
      <c r="E3" s="12"/>
      <c r="F3" s="12"/>
      <c r="G3" s="82"/>
      <c r="H3" s="82"/>
      <c r="I3" s="33"/>
      <c r="J3" s="82"/>
      <c r="K3" s="82"/>
      <c r="L3" s="82"/>
      <c r="M3" s="82" t="s">
        <v>89</v>
      </c>
      <c r="N3" s="12"/>
      <c r="O3" s="83"/>
      <c r="P3" s="3"/>
      <c r="Q3" s="84" t="s">
        <v>48</v>
      </c>
      <c r="R3" s="90">
        <f>COUNTIFS(N6:N185,"=C",B6:B185,"=E")</f>
        <v>93</v>
      </c>
      <c r="S3" s="90">
        <f>COUNTIFS(N6:N185,"=N",B6:B185,"=E")</f>
        <v>0</v>
      </c>
      <c r="T3" s="90">
        <f>COUNTIFS(N6:N185,"=a",B6:B185,"=e")</f>
        <v>0</v>
      </c>
      <c r="U3" s="90">
        <f>COUNTIFS(N6:N185,"=F",B6:B185,"=E")</f>
        <v>0</v>
      </c>
      <c r="V3" s="90">
        <f>COUNTIFS(N6:N185,"=R",B6:B185,"=E")</f>
        <v>0</v>
      </c>
      <c r="W3" s="90">
        <f>COUNTIFS(N6:N185,"=IT",B6:B185,"=E")</f>
        <v>0</v>
      </c>
      <c r="X3" s="90">
        <f t="shared" si="1"/>
        <v>93</v>
      </c>
      <c r="Y3" s="90">
        <f t="shared" si="2"/>
        <v>93</v>
      </c>
      <c r="Z3" s="90">
        <f t="shared" si="3"/>
        <v>93</v>
      </c>
      <c r="AA3" s="3"/>
      <c r="AB3" s="3">
        <f t="shared" si="4"/>
        <v>0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 ht="17.25" customHeight="1">
      <c r="A4" s="86"/>
      <c r="B4" s="12"/>
      <c r="C4" s="82"/>
      <c r="D4" s="82"/>
      <c r="E4" s="12"/>
      <c r="F4" s="12"/>
      <c r="G4" s="82"/>
      <c r="H4" s="82"/>
      <c r="I4" s="33"/>
      <c r="J4" s="82"/>
      <c r="K4" s="82"/>
      <c r="L4" s="82"/>
      <c r="M4" s="82"/>
      <c r="N4" s="12"/>
      <c r="O4" s="83"/>
      <c r="P4" s="3"/>
      <c r="Q4" s="84" t="s">
        <v>90</v>
      </c>
      <c r="R4" s="91">
        <f t="shared" ref="R4:Z4" si="5">R2+R3</f>
        <v>168</v>
      </c>
      <c r="S4" s="91">
        <f t="shared" si="5"/>
        <v>0</v>
      </c>
      <c r="T4" s="91">
        <f t="shared" si="5"/>
        <v>0</v>
      </c>
      <c r="U4" s="91">
        <f t="shared" si="5"/>
        <v>0</v>
      </c>
      <c r="V4" s="91">
        <f t="shared" si="5"/>
        <v>0</v>
      </c>
      <c r="W4" s="91">
        <f t="shared" si="5"/>
        <v>0</v>
      </c>
      <c r="X4" s="91">
        <f t="shared" si="5"/>
        <v>168</v>
      </c>
      <c r="Y4" s="91">
        <f t="shared" si="5"/>
        <v>168</v>
      </c>
      <c r="Z4" s="89">
        <f t="shared" si="5"/>
        <v>168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>
      <c r="A5" s="92" t="s">
        <v>13</v>
      </c>
      <c r="B5" s="92" t="s">
        <v>91</v>
      </c>
      <c r="C5" s="92" t="s">
        <v>92</v>
      </c>
      <c r="D5" s="92" t="s">
        <v>93</v>
      </c>
      <c r="E5" s="92" t="s">
        <v>94</v>
      </c>
      <c r="F5" s="92" t="s">
        <v>95</v>
      </c>
      <c r="G5" s="92" t="s">
        <v>96</v>
      </c>
      <c r="H5" s="92" t="s">
        <v>97</v>
      </c>
      <c r="I5" s="92" t="s">
        <v>98</v>
      </c>
      <c r="J5" s="92" t="s">
        <v>99</v>
      </c>
      <c r="K5" s="92" t="s">
        <v>100</v>
      </c>
      <c r="L5" s="92" t="s">
        <v>101</v>
      </c>
      <c r="M5" s="92" t="s">
        <v>102</v>
      </c>
      <c r="N5" s="92" t="s">
        <v>103</v>
      </c>
      <c r="O5" s="93" t="s">
        <v>104</v>
      </c>
      <c r="P5" s="94"/>
      <c r="Q5" s="94"/>
      <c r="R5" s="94"/>
      <c r="S5" s="94">
        <f>Y4-X4</f>
        <v>0</v>
      </c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12"/>
      <c r="AV5" s="12"/>
    </row>
    <row r="6" ht="15.0" customHeight="1">
      <c r="A6" s="95">
        <v>1.0</v>
      </c>
      <c r="B6" s="96" t="s">
        <v>48</v>
      </c>
      <c r="C6" s="95" t="s">
        <v>105</v>
      </c>
      <c r="D6" s="95" t="s">
        <v>106</v>
      </c>
      <c r="E6" s="95">
        <v>4.0</v>
      </c>
      <c r="F6" s="97">
        <v>42252.0</v>
      </c>
      <c r="G6" s="98" t="s">
        <v>107</v>
      </c>
      <c r="H6" s="98">
        <v>4.083646794E9</v>
      </c>
      <c r="I6" s="98" t="s">
        <v>108</v>
      </c>
      <c r="J6" s="97">
        <v>45931.0</v>
      </c>
      <c r="K6" s="99" t="s">
        <v>109</v>
      </c>
      <c r="L6" s="100">
        <v>49.0</v>
      </c>
      <c r="M6" s="95" t="s">
        <v>110</v>
      </c>
      <c r="N6" s="96" t="s">
        <v>40</v>
      </c>
      <c r="O6" s="101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</row>
    <row r="7" ht="15.0" customHeight="1">
      <c r="A7" s="95">
        <v>2.0</v>
      </c>
      <c r="B7" s="96" t="s">
        <v>88</v>
      </c>
      <c r="C7" s="95" t="s">
        <v>105</v>
      </c>
      <c r="D7" s="95" t="s">
        <v>106</v>
      </c>
      <c r="E7" s="95">
        <v>4.0</v>
      </c>
      <c r="F7" s="97">
        <v>42252.0</v>
      </c>
      <c r="G7" s="98" t="s">
        <v>107</v>
      </c>
      <c r="H7" s="98">
        <v>4.083646794E9</v>
      </c>
      <c r="I7" s="98" t="s">
        <v>108</v>
      </c>
      <c r="J7" s="97">
        <v>45931.0</v>
      </c>
      <c r="K7" s="99" t="s">
        <v>111</v>
      </c>
      <c r="L7" s="100">
        <v>35.0</v>
      </c>
      <c r="M7" s="95" t="s">
        <v>112</v>
      </c>
      <c r="N7" s="96" t="s">
        <v>40</v>
      </c>
      <c r="O7" s="101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2"/>
      <c r="AJ7" s="102"/>
      <c r="AK7" s="102"/>
      <c r="AL7" s="102"/>
      <c r="AM7" s="102"/>
      <c r="AN7" s="102"/>
      <c r="AO7" s="102"/>
      <c r="AP7" s="102"/>
      <c r="AQ7" s="102"/>
      <c r="AR7" s="102"/>
      <c r="AS7" s="102"/>
      <c r="AT7" s="102"/>
      <c r="AU7" s="102"/>
      <c r="AV7" s="102"/>
    </row>
    <row r="8" ht="15.0" customHeight="1">
      <c r="A8" s="95">
        <v>3.0</v>
      </c>
      <c r="B8" s="96" t="s">
        <v>48</v>
      </c>
      <c r="C8" s="99" t="s">
        <v>113</v>
      </c>
      <c r="D8" s="99" t="s">
        <v>114</v>
      </c>
      <c r="E8" s="95">
        <v>3.0</v>
      </c>
      <c r="F8" s="97">
        <v>42954.0</v>
      </c>
      <c r="G8" s="103" t="s">
        <v>115</v>
      </c>
      <c r="H8" s="103">
        <v>5.712014277E9</v>
      </c>
      <c r="I8" s="104" t="s">
        <v>116</v>
      </c>
      <c r="J8" s="105">
        <v>45962.0</v>
      </c>
      <c r="K8" s="106" t="s">
        <v>117</v>
      </c>
      <c r="L8" s="106">
        <v>6.0</v>
      </c>
      <c r="M8" s="107"/>
      <c r="N8" s="96" t="s">
        <v>40</v>
      </c>
      <c r="O8" s="10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102"/>
      <c r="AV8" s="102"/>
    </row>
    <row r="9" ht="15.0" customHeight="1">
      <c r="A9" s="95">
        <v>4.0</v>
      </c>
      <c r="B9" s="96" t="s">
        <v>88</v>
      </c>
      <c r="C9" s="99" t="s">
        <v>113</v>
      </c>
      <c r="D9" s="99" t="s">
        <v>114</v>
      </c>
      <c r="E9" s="95">
        <v>3.0</v>
      </c>
      <c r="F9" s="97">
        <v>42954.0</v>
      </c>
      <c r="G9" s="103" t="s">
        <v>115</v>
      </c>
      <c r="H9" s="103">
        <v>5.712014277E9</v>
      </c>
      <c r="I9" s="104" t="s">
        <v>116</v>
      </c>
      <c r="J9" s="105">
        <v>46054.0</v>
      </c>
      <c r="K9" s="106" t="s">
        <v>118</v>
      </c>
      <c r="L9" s="106">
        <v>6.0</v>
      </c>
      <c r="M9" s="107" t="s">
        <v>119</v>
      </c>
      <c r="N9" s="96" t="s">
        <v>40</v>
      </c>
      <c r="O9" s="108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102"/>
      <c r="AV9" s="102"/>
    </row>
    <row r="10" ht="15.0" customHeight="1">
      <c r="A10" s="95">
        <v>5.0</v>
      </c>
      <c r="B10" s="91" t="s">
        <v>48</v>
      </c>
      <c r="C10" s="107" t="s">
        <v>120</v>
      </c>
      <c r="D10" s="107" t="s">
        <v>121</v>
      </c>
      <c r="E10" s="109">
        <v>2.0</v>
      </c>
      <c r="F10" s="110">
        <v>43148.0</v>
      </c>
      <c r="G10" s="107" t="s">
        <v>122</v>
      </c>
      <c r="H10" s="107">
        <v>4.156219291E9</v>
      </c>
      <c r="I10" s="107" t="s">
        <v>123</v>
      </c>
      <c r="J10" s="111">
        <v>45663.0</v>
      </c>
      <c r="K10" s="100" t="s">
        <v>124</v>
      </c>
      <c r="L10" s="100">
        <v>1.0</v>
      </c>
      <c r="M10" s="107"/>
      <c r="N10" s="96" t="s">
        <v>40</v>
      </c>
      <c r="O10" s="11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</row>
    <row r="11" ht="15.0" customHeight="1">
      <c r="A11" s="95">
        <v>6.0</v>
      </c>
      <c r="B11" s="91" t="s">
        <v>88</v>
      </c>
      <c r="C11" s="107" t="s">
        <v>120</v>
      </c>
      <c r="D11" s="107" t="s">
        <v>121</v>
      </c>
      <c r="E11" s="109">
        <v>2.0</v>
      </c>
      <c r="F11" s="110">
        <v>43148.0</v>
      </c>
      <c r="G11" s="107" t="s">
        <v>122</v>
      </c>
      <c r="H11" s="107">
        <v>4.156219291E9</v>
      </c>
      <c r="I11" s="107" t="s">
        <v>123</v>
      </c>
      <c r="J11" s="111">
        <v>45663.0</v>
      </c>
      <c r="K11" s="100" t="s">
        <v>125</v>
      </c>
      <c r="L11" s="100">
        <v>106.0</v>
      </c>
      <c r="M11" s="100" t="s">
        <v>126</v>
      </c>
      <c r="N11" s="96" t="s">
        <v>40</v>
      </c>
      <c r="O11" s="11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</row>
    <row r="12" ht="15.0" customHeight="1">
      <c r="A12" s="95">
        <v>7.0</v>
      </c>
      <c r="B12" s="91" t="s">
        <v>88</v>
      </c>
      <c r="C12" s="113" t="s">
        <v>127</v>
      </c>
      <c r="D12" s="113" t="s">
        <v>128</v>
      </c>
      <c r="E12" s="109">
        <v>2.0</v>
      </c>
      <c r="F12" s="114">
        <v>43030.0</v>
      </c>
      <c r="G12" s="104" t="s">
        <v>129</v>
      </c>
      <c r="H12" s="104" t="s">
        <v>130</v>
      </c>
      <c r="I12" s="104" t="s">
        <v>131</v>
      </c>
      <c r="J12" s="115">
        <v>45916.0</v>
      </c>
      <c r="K12" s="116" t="s">
        <v>132</v>
      </c>
      <c r="L12" s="116">
        <v>1.0</v>
      </c>
      <c r="M12" s="107"/>
      <c r="N12" s="96" t="s">
        <v>40</v>
      </c>
      <c r="O12" s="107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  <c r="AV12" s="102"/>
    </row>
    <row r="13" ht="15.0" customHeight="1">
      <c r="A13" s="95">
        <v>8.0</v>
      </c>
      <c r="B13" s="91" t="s">
        <v>48</v>
      </c>
      <c r="C13" s="113" t="s">
        <v>127</v>
      </c>
      <c r="D13" s="113" t="s">
        <v>128</v>
      </c>
      <c r="E13" s="109">
        <v>2.0</v>
      </c>
      <c r="F13" s="114">
        <v>43030.0</v>
      </c>
      <c r="G13" s="104" t="s">
        <v>129</v>
      </c>
      <c r="H13" s="104" t="s">
        <v>130</v>
      </c>
      <c r="I13" s="104" t="s">
        <v>131</v>
      </c>
      <c r="J13" s="115">
        <v>45916.0</v>
      </c>
      <c r="K13" s="116" t="s">
        <v>133</v>
      </c>
      <c r="L13" s="116">
        <v>106.0</v>
      </c>
      <c r="M13" s="107"/>
      <c r="N13" s="96" t="s">
        <v>40</v>
      </c>
      <c r="O13" s="107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</row>
    <row r="14" ht="15.0" customHeight="1">
      <c r="A14" s="95">
        <v>9.0</v>
      </c>
      <c r="B14" s="91" t="s">
        <v>88</v>
      </c>
      <c r="C14" s="107" t="s">
        <v>134</v>
      </c>
      <c r="D14" s="107" t="s">
        <v>135</v>
      </c>
      <c r="E14" s="109">
        <v>3.0</v>
      </c>
      <c r="F14" s="117">
        <v>42661.0</v>
      </c>
      <c r="G14" s="104" t="s">
        <v>136</v>
      </c>
      <c r="H14" s="104">
        <v>4.083320446E9</v>
      </c>
      <c r="I14" s="104" t="s">
        <v>137</v>
      </c>
      <c r="J14" s="115">
        <v>45810.0</v>
      </c>
      <c r="K14" s="116" t="s">
        <v>125</v>
      </c>
      <c r="L14" s="116">
        <v>85.0</v>
      </c>
      <c r="M14" s="118"/>
      <c r="N14" s="96" t="s">
        <v>40</v>
      </c>
      <c r="O14" s="101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02"/>
      <c r="AV14" s="102"/>
    </row>
    <row r="15" ht="15.0" customHeight="1">
      <c r="A15" s="95">
        <v>10.0</v>
      </c>
      <c r="B15" s="96" t="s">
        <v>48</v>
      </c>
      <c r="C15" s="99" t="s">
        <v>134</v>
      </c>
      <c r="D15" s="99" t="s">
        <v>135</v>
      </c>
      <c r="E15" s="95">
        <v>3.0</v>
      </c>
      <c r="F15" s="97">
        <v>42661.0</v>
      </c>
      <c r="G15" s="104" t="s">
        <v>136</v>
      </c>
      <c r="H15" s="104">
        <v>4.083320446E9</v>
      </c>
      <c r="I15" s="104" t="s">
        <v>137</v>
      </c>
      <c r="J15" s="105">
        <v>45810.0</v>
      </c>
      <c r="K15" s="106" t="s">
        <v>138</v>
      </c>
      <c r="L15" s="106">
        <v>28.0</v>
      </c>
      <c r="M15" s="99"/>
      <c r="N15" s="96" t="s">
        <v>40</v>
      </c>
      <c r="O15" s="108"/>
      <c r="P15" s="3"/>
      <c r="Q15" s="3"/>
      <c r="R15" s="3"/>
      <c r="S15" s="3"/>
      <c r="T15" s="119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102"/>
      <c r="AV15" s="102"/>
    </row>
    <row r="16" ht="15.0" customHeight="1">
      <c r="A16" s="95">
        <v>11.0</v>
      </c>
      <c r="B16" s="91" t="s">
        <v>88</v>
      </c>
      <c r="C16" s="107" t="s">
        <v>139</v>
      </c>
      <c r="D16" s="107" t="s">
        <v>140</v>
      </c>
      <c r="E16" s="109" t="s">
        <v>141</v>
      </c>
      <c r="F16" s="117">
        <v>44026.0</v>
      </c>
      <c r="G16" s="104" t="s">
        <v>142</v>
      </c>
      <c r="H16" s="104">
        <v>5.103714349E9</v>
      </c>
      <c r="I16" s="104" t="s">
        <v>143</v>
      </c>
      <c r="J16" s="115">
        <v>45901.0</v>
      </c>
      <c r="K16" s="116" t="s">
        <v>125</v>
      </c>
      <c r="L16" s="116">
        <v>50.0</v>
      </c>
      <c r="M16" s="107"/>
      <c r="N16" s="96" t="s">
        <v>40</v>
      </c>
      <c r="O16" s="107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</row>
    <row r="17" ht="15.0" customHeight="1">
      <c r="A17" s="95">
        <v>12.0</v>
      </c>
      <c r="B17" s="91" t="s">
        <v>48</v>
      </c>
      <c r="C17" s="107" t="s">
        <v>139</v>
      </c>
      <c r="D17" s="107" t="s">
        <v>140</v>
      </c>
      <c r="E17" s="109" t="s">
        <v>141</v>
      </c>
      <c r="F17" s="117">
        <v>44026.0</v>
      </c>
      <c r="G17" s="104" t="s">
        <v>142</v>
      </c>
      <c r="H17" s="104">
        <v>5.103714349E9</v>
      </c>
      <c r="I17" s="104" t="s">
        <v>143</v>
      </c>
      <c r="J17" s="115">
        <v>45901.0</v>
      </c>
      <c r="K17" s="116" t="s">
        <v>124</v>
      </c>
      <c r="L17" s="116">
        <v>6.0</v>
      </c>
      <c r="M17" s="107"/>
      <c r="N17" s="96" t="s">
        <v>40</v>
      </c>
      <c r="O17" s="107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</row>
    <row r="18" ht="15.0" customHeight="1">
      <c r="A18" s="95">
        <v>13.0</v>
      </c>
      <c r="B18" s="91" t="s">
        <v>88</v>
      </c>
      <c r="C18" s="100" t="s">
        <v>144</v>
      </c>
      <c r="D18" s="100" t="s">
        <v>145</v>
      </c>
      <c r="E18" s="109">
        <v>5.0</v>
      </c>
      <c r="F18" s="117" t="s">
        <v>146</v>
      </c>
      <c r="G18" s="100" t="s">
        <v>147</v>
      </c>
      <c r="H18" s="100">
        <v>5.103665279E9</v>
      </c>
      <c r="I18" s="100" t="s">
        <v>148</v>
      </c>
      <c r="J18" s="115" t="s">
        <v>149</v>
      </c>
      <c r="K18" s="116" t="s">
        <v>150</v>
      </c>
      <c r="L18" s="116">
        <v>11.0</v>
      </c>
      <c r="M18" s="100"/>
      <c r="N18" s="96" t="s">
        <v>40</v>
      </c>
      <c r="O18" s="107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02"/>
      <c r="AV18" s="102"/>
    </row>
    <row r="19" ht="15.0" customHeight="1">
      <c r="A19" s="95">
        <v>14.0</v>
      </c>
      <c r="B19" s="91" t="s">
        <v>48</v>
      </c>
      <c r="C19" s="100" t="s">
        <v>144</v>
      </c>
      <c r="D19" s="100" t="s">
        <v>145</v>
      </c>
      <c r="E19" s="109">
        <v>5.0</v>
      </c>
      <c r="F19" s="117" t="s">
        <v>146</v>
      </c>
      <c r="G19" s="100" t="s">
        <v>147</v>
      </c>
      <c r="H19" s="100">
        <v>5.103665279E9</v>
      </c>
      <c r="I19" s="100" t="s">
        <v>148</v>
      </c>
      <c r="J19" s="115">
        <v>45536.0</v>
      </c>
      <c r="K19" s="116" t="s">
        <v>151</v>
      </c>
      <c r="L19" s="116">
        <v>31.0</v>
      </c>
      <c r="M19" s="100"/>
      <c r="N19" s="96" t="s">
        <v>40</v>
      </c>
      <c r="O19" s="107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02"/>
      <c r="AV19" s="102"/>
    </row>
    <row r="20" ht="15.0" customHeight="1">
      <c r="A20" s="95">
        <v>15.0</v>
      </c>
      <c r="B20" s="91" t="s">
        <v>48</v>
      </c>
      <c r="C20" s="113" t="s">
        <v>152</v>
      </c>
      <c r="D20" s="113" t="s">
        <v>153</v>
      </c>
      <c r="E20" s="109">
        <v>3.0</v>
      </c>
      <c r="F20" s="120">
        <v>42726.0</v>
      </c>
      <c r="G20" s="100" t="s">
        <v>154</v>
      </c>
      <c r="H20" s="100">
        <v>6.502553705E9</v>
      </c>
      <c r="I20" s="100" t="s">
        <v>155</v>
      </c>
      <c r="J20" s="115">
        <v>45888.0</v>
      </c>
      <c r="K20" s="116" t="s">
        <v>133</v>
      </c>
      <c r="L20" s="116">
        <v>1.0</v>
      </c>
      <c r="M20" s="100"/>
      <c r="N20" s="96" t="s">
        <v>40</v>
      </c>
      <c r="O20" s="108"/>
      <c r="P20" s="3"/>
      <c r="Q20" s="3"/>
      <c r="R20" s="3"/>
      <c r="S20" s="3"/>
      <c r="T20" s="121"/>
      <c r="U20" s="121"/>
      <c r="V20" s="122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102"/>
      <c r="AV20" s="102"/>
    </row>
    <row r="21" ht="15.0" customHeight="1">
      <c r="A21" s="95">
        <v>16.0</v>
      </c>
      <c r="B21" s="91" t="s">
        <v>88</v>
      </c>
      <c r="C21" s="113" t="s">
        <v>152</v>
      </c>
      <c r="D21" s="113" t="s">
        <v>153</v>
      </c>
      <c r="E21" s="109">
        <v>3.0</v>
      </c>
      <c r="F21" s="120">
        <v>42726.0</v>
      </c>
      <c r="G21" s="100" t="s">
        <v>154</v>
      </c>
      <c r="H21" s="100">
        <v>6.502553705E9</v>
      </c>
      <c r="I21" s="100" t="s">
        <v>155</v>
      </c>
      <c r="J21" s="115">
        <v>45888.0</v>
      </c>
      <c r="K21" s="116" t="s">
        <v>132</v>
      </c>
      <c r="L21" s="116">
        <v>66.0</v>
      </c>
      <c r="M21" s="100"/>
      <c r="N21" s="96" t="s">
        <v>40</v>
      </c>
      <c r="O21" s="108"/>
      <c r="P21" s="3"/>
      <c r="Q21" s="3"/>
      <c r="R21" s="3"/>
      <c r="S21" s="3"/>
      <c r="T21" s="121"/>
      <c r="U21" s="121"/>
      <c r="V21" s="122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102"/>
      <c r="AV21" s="102"/>
    </row>
    <row r="22" ht="15.0" customHeight="1">
      <c r="A22" s="95">
        <v>17.0</v>
      </c>
      <c r="B22" s="91" t="s">
        <v>48</v>
      </c>
      <c r="C22" s="113" t="s">
        <v>156</v>
      </c>
      <c r="D22" s="113" t="s">
        <v>157</v>
      </c>
      <c r="E22" s="109">
        <v>1.0</v>
      </c>
      <c r="F22" s="120">
        <v>43285.0</v>
      </c>
      <c r="G22" s="100" t="s">
        <v>158</v>
      </c>
      <c r="H22" s="100">
        <v>8.584722267E9</v>
      </c>
      <c r="I22" s="100" t="s">
        <v>159</v>
      </c>
      <c r="J22" s="115">
        <v>45717.0</v>
      </c>
      <c r="K22" s="116" t="s">
        <v>133</v>
      </c>
      <c r="L22" s="116">
        <v>38.0</v>
      </c>
      <c r="M22" s="100"/>
      <c r="N22" s="96" t="s">
        <v>40</v>
      </c>
      <c r="O22" s="108"/>
      <c r="P22" s="3"/>
      <c r="Q22" s="3"/>
      <c r="R22" s="3"/>
      <c r="S22" s="3"/>
      <c r="T22" s="121"/>
      <c r="U22" s="121"/>
      <c r="V22" s="122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102"/>
      <c r="AV22" s="102"/>
    </row>
    <row r="23" ht="15.0" customHeight="1">
      <c r="A23" s="95">
        <v>18.0</v>
      </c>
      <c r="B23" s="91" t="s">
        <v>88</v>
      </c>
      <c r="C23" s="113" t="s">
        <v>156</v>
      </c>
      <c r="D23" s="113" t="s">
        <v>157</v>
      </c>
      <c r="E23" s="109">
        <v>1.0</v>
      </c>
      <c r="F23" s="120">
        <v>43285.0</v>
      </c>
      <c r="G23" s="100" t="s">
        <v>160</v>
      </c>
      <c r="H23" s="100">
        <v>8.584722267E9</v>
      </c>
      <c r="I23" s="100" t="s">
        <v>159</v>
      </c>
      <c r="J23" s="115">
        <v>45717.0</v>
      </c>
      <c r="K23" s="116" t="s">
        <v>132</v>
      </c>
      <c r="L23" s="116">
        <v>41.0</v>
      </c>
      <c r="M23" s="100"/>
      <c r="N23" s="96" t="s">
        <v>40</v>
      </c>
      <c r="O23" s="108"/>
      <c r="P23" s="3"/>
      <c r="Q23" s="3"/>
      <c r="R23" s="3"/>
      <c r="S23" s="3"/>
      <c r="T23" s="121"/>
      <c r="U23" s="121"/>
      <c r="V23" s="122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102"/>
      <c r="AV23" s="102"/>
    </row>
    <row r="24" ht="15.0" customHeight="1">
      <c r="A24" s="95">
        <v>19.0</v>
      </c>
      <c r="B24" s="91" t="s">
        <v>48</v>
      </c>
      <c r="C24" s="100" t="s">
        <v>161</v>
      </c>
      <c r="D24" s="100" t="s">
        <v>162</v>
      </c>
      <c r="E24" s="109">
        <v>1.0</v>
      </c>
      <c r="F24" s="117">
        <v>43091.0</v>
      </c>
      <c r="G24" s="100" t="s">
        <v>163</v>
      </c>
      <c r="H24" s="100">
        <v>6.509967701E9</v>
      </c>
      <c r="I24" s="100" t="s">
        <v>164</v>
      </c>
      <c r="J24" s="115">
        <v>45537.0</v>
      </c>
      <c r="K24" s="116" t="s">
        <v>138</v>
      </c>
      <c r="L24" s="116">
        <v>66.0</v>
      </c>
      <c r="M24" s="100"/>
      <c r="N24" s="96" t="s">
        <v>40</v>
      </c>
      <c r="O24" s="107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102"/>
      <c r="AV24" s="102"/>
    </row>
    <row r="25" ht="15.0" customHeight="1">
      <c r="A25" s="95">
        <v>20.0</v>
      </c>
      <c r="B25" s="91" t="s">
        <v>88</v>
      </c>
      <c r="C25" s="100" t="s">
        <v>161</v>
      </c>
      <c r="D25" s="100" t="s">
        <v>162</v>
      </c>
      <c r="E25" s="109">
        <v>1.0</v>
      </c>
      <c r="F25" s="117">
        <v>43091.0</v>
      </c>
      <c r="G25" s="100" t="s">
        <v>163</v>
      </c>
      <c r="H25" s="100">
        <v>6.509967701E9</v>
      </c>
      <c r="I25" s="100" t="s">
        <v>164</v>
      </c>
      <c r="J25" s="115">
        <v>45537.0</v>
      </c>
      <c r="K25" s="116" t="s">
        <v>132</v>
      </c>
      <c r="L25" s="116">
        <v>16.0</v>
      </c>
      <c r="M25" s="100"/>
      <c r="N25" s="96" t="s">
        <v>40</v>
      </c>
      <c r="O25" s="107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102"/>
      <c r="AV25" s="102"/>
    </row>
    <row r="26" ht="15.0" customHeight="1">
      <c r="A26" s="95">
        <v>21.0</v>
      </c>
      <c r="B26" s="96" t="s">
        <v>48</v>
      </c>
      <c r="C26" s="99" t="s">
        <v>161</v>
      </c>
      <c r="D26" s="99" t="s">
        <v>165</v>
      </c>
      <c r="E26" s="95" t="s">
        <v>141</v>
      </c>
      <c r="F26" s="97">
        <v>44197.0</v>
      </c>
      <c r="G26" s="100" t="s">
        <v>166</v>
      </c>
      <c r="H26" s="100">
        <v>2.177211536E9</v>
      </c>
      <c r="I26" s="100" t="s">
        <v>167</v>
      </c>
      <c r="J26" s="115">
        <v>45881.0</v>
      </c>
      <c r="K26" s="106" t="s">
        <v>168</v>
      </c>
      <c r="L26" s="106">
        <v>31.0</v>
      </c>
      <c r="M26" s="99"/>
      <c r="N26" s="96" t="s">
        <v>40</v>
      </c>
      <c r="O26" s="108"/>
      <c r="P26" s="3"/>
      <c r="Q26" s="3"/>
      <c r="R26" s="3"/>
      <c r="S26" s="3"/>
      <c r="T26" s="121"/>
      <c r="U26" s="121"/>
      <c r="V26" s="122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102"/>
      <c r="AV26" s="102"/>
    </row>
    <row r="27" ht="15.0" customHeight="1">
      <c r="A27" s="95">
        <v>22.0</v>
      </c>
      <c r="B27" s="96" t="s">
        <v>88</v>
      </c>
      <c r="C27" s="99" t="s">
        <v>161</v>
      </c>
      <c r="D27" s="99" t="s">
        <v>165</v>
      </c>
      <c r="E27" s="95" t="s">
        <v>141</v>
      </c>
      <c r="F27" s="97">
        <v>44197.0</v>
      </c>
      <c r="G27" s="100" t="s">
        <v>166</v>
      </c>
      <c r="H27" s="100">
        <v>2.177211536E9</v>
      </c>
      <c r="I27" s="100" t="s">
        <v>167</v>
      </c>
      <c r="J27" s="115">
        <v>45881.0</v>
      </c>
      <c r="K27" s="106" t="s">
        <v>169</v>
      </c>
      <c r="L27" s="106">
        <v>86.0</v>
      </c>
      <c r="M27" s="99"/>
      <c r="N27" s="96" t="s">
        <v>40</v>
      </c>
      <c r="O27" s="108"/>
      <c r="P27" s="3"/>
      <c r="Q27" s="3"/>
      <c r="R27" s="3"/>
      <c r="S27" s="3"/>
      <c r="T27" s="121"/>
      <c r="U27" s="121"/>
      <c r="V27" s="122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102"/>
      <c r="AV27" s="102"/>
    </row>
    <row r="28" ht="15.0" customHeight="1">
      <c r="A28" s="95">
        <v>23.0</v>
      </c>
      <c r="B28" s="96" t="s">
        <v>48</v>
      </c>
      <c r="C28" s="99" t="s">
        <v>161</v>
      </c>
      <c r="D28" s="99" t="s">
        <v>170</v>
      </c>
      <c r="E28" s="95">
        <v>2.0</v>
      </c>
      <c r="F28" s="117" t="s">
        <v>171</v>
      </c>
      <c r="G28" s="100" t="s">
        <v>166</v>
      </c>
      <c r="H28" s="100">
        <v>2.177211536E9</v>
      </c>
      <c r="I28" s="100" t="s">
        <v>167</v>
      </c>
      <c r="J28" s="115">
        <v>45888.0</v>
      </c>
      <c r="K28" s="106" t="s">
        <v>109</v>
      </c>
      <c r="L28" s="106">
        <v>38.0</v>
      </c>
      <c r="M28" s="99"/>
      <c r="N28" s="96" t="s">
        <v>40</v>
      </c>
      <c r="O28" s="101"/>
      <c r="P28" s="3"/>
      <c r="Q28" s="3"/>
      <c r="R28" s="3"/>
      <c r="S28" s="3"/>
      <c r="T28" s="121"/>
      <c r="U28" s="121"/>
      <c r="V28" s="122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102"/>
      <c r="AV28" s="102"/>
    </row>
    <row r="29" ht="15.0" customHeight="1">
      <c r="A29" s="95">
        <v>24.0</v>
      </c>
      <c r="B29" s="96" t="s">
        <v>88</v>
      </c>
      <c r="C29" s="99" t="s">
        <v>161</v>
      </c>
      <c r="D29" s="99" t="s">
        <v>170</v>
      </c>
      <c r="E29" s="95">
        <v>2.0</v>
      </c>
      <c r="F29" s="117" t="s">
        <v>171</v>
      </c>
      <c r="G29" s="100" t="s">
        <v>166</v>
      </c>
      <c r="H29" s="100">
        <v>2.177211536E9</v>
      </c>
      <c r="I29" s="100" t="s">
        <v>167</v>
      </c>
      <c r="J29" s="115">
        <v>45888.0</v>
      </c>
      <c r="K29" s="106" t="s">
        <v>111</v>
      </c>
      <c r="L29" s="106">
        <v>100.0</v>
      </c>
      <c r="M29" s="99"/>
      <c r="N29" s="96" t="s">
        <v>40</v>
      </c>
      <c r="O29" s="101"/>
      <c r="P29" s="3"/>
      <c r="Q29" s="3"/>
      <c r="R29" s="3"/>
      <c r="S29" s="3"/>
      <c r="T29" s="121"/>
      <c r="U29" s="121"/>
      <c r="V29" s="122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102"/>
      <c r="AV29" s="102"/>
    </row>
    <row r="30" ht="15.0" customHeight="1">
      <c r="A30" s="95">
        <v>25.0</v>
      </c>
      <c r="B30" s="96" t="s">
        <v>48</v>
      </c>
      <c r="C30" s="99" t="s">
        <v>161</v>
      </c>
      <c r="D30" s="99" t="s">
        <v>172</v>
      </c>
      <c r="E30" s="95" t="s">
        <v>141</v>
      </c>
      <c r="F30" s="97">
        <v>44197.0</v>
      </c>
      <c r="G30" s="100" t="s">
        <v>166</v>
      </c>
      <c r="H30" s="100">
        <v>2.177211536E9</v>
      </c>
      <c r="I30" s="100" t="s">
        <v>167</v>
      </c>
      <c r="J30" s="115">
        <v>45881.0</v>
      </c>
      <c r="K30" s="106" t="s">
        <v>173</v>
      </c>
      <c r="L30" s="106">
        <v>31.0</v>
      </c>
      <c r="M30" s="99"/>
      <c r="N30" s="96" t="s">
        <v>40</v>
      </c>
      <c r="O30" s="108"/>
      <c r="P30" s="3"/>
      <c r="Q30" s="3"/>
      <c r="R30" s="3"/>
      <c r="S30" s="3"/>
      <c r="T30" s="121"/>
      <c r="U30" s="121"/>
      <c r="V30" s="122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102"/>
      <c r="AV30" s="102"/>
    </row>
    <row r="31" ht="15.0" customHeight="1">
      <c r="A31" s="95">
        <v>26.0</v>
      </c>
      <c r="B31" s="96" t="s">
        <v>88</v>
      </c>
      <c r="C31" s="99" t="s">
        <v>161</v>
      </c>
      <c r="D31" s="99" t="s">
        <v>172</v>
      </c>
      <c r="E31" s="95" t="s">
        <v>141</v>
      </c>
      <c r="F31" s="97">
        <v>44197.0</v>
      </c>
      <c r="G31" s="100" t="s">
        <v>166</v>
      </c>
      <c r="H31" s="100">
        <v>2.177211536E9</v>
      </c>
      <c r="I31" s="100" t="s">
        <v>167</v>
      </c>
      <c r="J31" s="115">
        <v>45881.0</v>
      </c>
      <c r="K31" s="106" t="s">
        <v>169</v>
      </c>
      <c r="L31" s="106">
        <v>76.0</v>
      </c>
      <c r="M31" s="99"/>
      <c r="N31" s="96" t="s">
        <v>40</v>
      </c>
      <c r="O31" s="108"/>
      <c r="P31" s="3"/>
      <c r="Q31" s="3"/>
      <c r="R31" s="3"/>
      <c r="S31" s="3"/>
      <c r="T31" s="121"/>
      <c r="U31" s="121"/>
      <c r="V31" s="122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102"/>
      <c r="AV31" s="102"/>
    </row>
    <row r="32" ht="15.0" customHeight="1">
      <c r="A32" s="95">
        <v>27.0</v>
      </c>
      <c r="B32" s="91" t="s">
        <v>48</v>
      </c>
      <c r="C32" s="107" t="s">
        <v>161</v>
      </c>
      <c r="D32" s="107" t="s">
        <v>174</v>
      </c>
      <c r="E32" s="109">
        <v>5.0</v>
      </c>
      <c r="F32" s="117">
        <v>42047.0</v>
      </c>
      <c r="G32" s="104" t="s">
        <v>175</v>
      </c>
      <c r="H32" s="104">
        <v>5.109803448E9</v>
      </c>
      <c r="I32" s="104" t="s">
        <v>176</v>
      </c>
      <c r="J32" s="115">
        <v>45917.0</v>
      </c>
      <c r="K32" s="116" t="s">
        <v>124</v>
      </c>
      <c r="L32" s="116">
        <v>71.0</v>
      </c>
      <c r="M32" s="107"/>
      <c r="N32" s="96" t="s">
        <v>40</v>
      </c>
      <c r="O32" s="107"/>
      <c r="P32" s="102"/>
      <c r="Q32" s="10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2"/>
      <c r="AJ32" s="102"/>
      <c r="AK32" s="102"/>
      <c r="AL32" s="102"/>
      <c r="AM32" s="102"/>
      <c r="AN32" s="102"/>
      <c r="AO32" s="102"/>
      <c r="AP32" s="102"/>
      <c r="AQ32" s="102"/>
      <c r="AR32" s="102"/>
      <c r="AS32" s="102"/>
      <c r="AT32" s="102"/>
      <c r="AU32" s="102"/>
      <c r="AV32" s="102"/>
    </row>
    <row r="33" ht="15.0" customHeight="1">
      <c r="A33" s="95">
        <v>28.0</v>
      </c>
      <c r="B33" s="91" t="s">
        <v>48</v>
      </c>
      <c r="C33" s="100" t="s">
        <v>177</v>
      </c>
      <c r="D33" s="100" t="s">
        <v>178</v>
      </c>
      <c r="E33" s="109">
        <v>1.0</v>
      </c>
      <c r="F33" s="117" t="s">
        <v>179</v>
      </c>
      <c r="G33" s="100" t="s">
        <v>180</v>
      </c>
      <c r="H33" s="100">
        <v>6.282247551E9</v>
      </c>
      <c r="I33" s="100" t="s">
        <v>181</v>
      </c>
      <c r="J33" s="115" t="s">
        <v>182</v>
      </c>
      <c r="K33" s="116" t="s">
        <v>183</v>
      </c>
      <c r="L33" s="116">
        <v>71.0</v>
      </c>
      <c r="M33" s="100"/>
      <c r="N33" s="96" t="s">
        <v>40</v>
      </c>
      <c r="O33" s="107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102"/>
      <c r="AV33" s="102"/>
    </row>
    <row r="34" ht="15.0" customHeight="1">
      <c r="A34" s="95">
        <v>29.0</v>
      </c>
      <c r="B34" s="91" t="s">
        <v>88</v>
      </c>
      <c r="C34" s="100" t="s">
        <v>177</v>
      </c>
      <c r="D34" s="100" t="s">
        <v>178</v>
      </c>
      <c r="E34" s="109">
        <v>1.0</v>
      </c>
      <c r="F34" s="117" t="s">
        <v>179</v>
      </c>
      <c r="G34" s="100" t="s">
        <v>180</v>
      </c>
      <c r="H34" s="100">
        <v>6.282247551E9</v>
      </c>
      <c r="I34" s="100" t="s">
        <v>181</v>
      </c>
      <c r="J34" s="115" t="s">
        <v>182</v>
      </c>
      <c r="K34" s="116" t="s">
        <v>111</v>
      </c>
      <c r="L34" s="116">
        <v>84.0</v>
      </c>
      <c r="M34" s="100"/>
      <c r="N34" s="96" t="s">
        <v>40</v>
      </c>
      <c r="O34" s="107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102"/>
      <c r="AV34" s="102"/>
    </row>
    <row r="35" ht="15.0" customHeight="1">
      <c r="A35" s="95">
        <v>30.0</v>
      </c>
      <c r="B35" s="91" t="s">
        <v>88</v>
      </c>
      <c r="C35" s="107" t="s">
        <v>184</v>
      </c>
      <c r="D35" s="107" t="s">
        <v>185</v>
      </c>
      <c r="E35" s="109">
        <v>3.0</v>
      </c>
      <c r="F35" s="117">
        <v>42875.0</v>
      </c>
      <c r="G35" s="104" t="s">
        <v>186</v>
      </c>
      <c r="H35" s="104">
        <v>6.508805036E9</v>
      </c>
      <c r="I35" s="104" t="s">
        <v>187</v>
      </c>
      <c r="J35" s="115">
        <v>45901.0</v>
      </c>
      <c r="K35" s="116" t="s">
        <v>111</v>
      </c>
      <c r="L35" s="116">
        <v>68.0</v>
      </c>
      <c r="M35" s="107"/>
      <c r="N35" s="96" t="s">
        <v>40</v>
      </c>
      <c r="O35" s="107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</row>
    <row r="36" ht="15.0" customHeight="1">
      <c r="A36" s="95">
        <v>33.0</v>
      </c>
      <c r="B36" s="91" t="s">
        <v>48</v>
      </c>
      <c r="C36" s="100" t="s">
        <v>188</v>
      </c>
      <c r="D36" s="100" t="s">
        <v>189</v>
      </c>
      <c r="E36" s="109">
        <v>2.0</v>
      </c>
      <c r="F36" s="117">
        <v>43107.0</v>
      </c>
      <c r="G36" s="100" t="s">
        <v>190</v>
      </c>
      <c r="H36" s="100">
        <v>6.692516113E9</v>
      </c>
      <c r="I36" s="100" t="s">
        <v>191</v>
      </c>
      <c r="J36" s="115">
        <v>45566.0</v>
      </c>
      <c r="K36" s="116" t="s">
        <v>192</v>
      </c>
      <c r="L36" s="116">
        <v>61.0</v>
      </c>
      <c r="M36" s="100"/>
      <c r="N36" s="96" t="s">
        <v>40</v>
      </c>
      <c r="O36" s="107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102"/>
      <c r="AV36" s="102"/>
    </row>
    <row r="37" ht="15.0" customHeight="1">
      <c r="A37" s="95">
        <v>34.0</v>
      </c>
      <c r="B37" s="91" t="s">
        <v>88</v>
      </c>
      <c r="C37" s="100" t="s">
        <v>188</v>
      </c>
      <c r="D37" s="100" t="s">
        <v>189</v>
      </c>
      <c r="E37" s="109">
        <v>2.0</v>
      </c>
      <c r="F37" s="117">
        <v>43107.0</v>
      </c>
      <c r="G37" s="100" t="s">
        <v>190</v>
      </c>
      <c r="H37" s="100">
        <v>6.692516113E9</v>
      </c>
      <c r="I37" s="100" t="s">
        <v>191</v>
      </c>
      <c r="J37" s="115">
        <v>45889.0</v>
      </c>
      <c r="K37" s="116" t="s">
        <v>111</v>
      </c>
      <c r="L37" s="116">
        <v>8.0</v>
      </c>
      <c r="M37" s="100"/>
      <c r="N37" s="96" t="s">
        <v>40</v>
      </c>
      <c r="O37" s="10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102"/>
      <c r="AV37" s="102"/>
    </row>
    <row r="38" ht="15.0" customHeight="1">
      <c r="A38" s="95">
        <v>35.0</v>
      </c>
      <c r="B38" s="91" t="s">
        <v>48</v>
      </c>
      <c r="C38" s="100" t="s">
        <v>193</v>
      </c>
      <c r="D38" s="100" t="s">
        <v>194</v>
      </c>
      <c r="E38" s="109">
        <v>4.0</v>
      </c>
      <c r="F38" s="117" t="s">
        <v>195</v>
      </c>
      <c r="G38" s="100" t="s">
        <v>196</v>
      </c>
      <c r="H38" s="100">
        <v>5.10260202E9</v>
      </c>
      <c r="I38" s="100" t="s">
        <v>197</v>
      </c>
      <c r="J38" s="115">
        <v>45888.0</v>
      </c>
      <c r="K38" s="116" t="s">
        <v>198</v>
      </c>
      <c r="L38" s="116">
        <v>88.0</v>
      </c>
      <c r="M38" s="100"/>
      <c r="N38" s="96" t="s">
        <v>40</v>
      </c>
      <c r="O38" s="101"/>
      <c r="P38" s="3"/>
      <c r="Q38" s="3"/>
      <c r="R38" s="3"/>
      <c r="S38" s="3"/>
      <c r="T38" s="121"/>
      <c r="U38" s="121"/>
      <c r="V38" s="122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102"/>
      <c r="AV38" s="102"/>
    </row>
    <row r="39" ht="15.0" customHeight="1">
      <c r="A39" s="95">
        <v>36.0</v>
      </c>
      <c r="B39" s="91" t="s">
        <v>88</v>
      </c>
      <c r="C39" s="100" t="s">
        <v>193</v>
      </c>
      <c r="D39" s="100" t="s">
        <v>194</v>
      </c>
      <c r="E39" s="109">
        <v>4.0</v>
      </c>
      <c r="F39" s="117" t="s">
        <v>195</v>
      </c>
      <c r="G39" s="100" t="s">
        <v>196</v>
      </c>
      <c r="H39" s="100">
        <v>5.10260202E9</v>
      </c>
      <c r="I39" s="100" t="s">
        <v>197</v>
      </c>
      <c r="J39" s="115">
        <v>45888.0</v>
      </c>
      <c r="K39" s="116" t="s">
        <v>199</v>
      </c>
      <c r="L39" s="116">
        <v>85.0</v>
      </c>
      <c r="M39" s="100"/>
      <c r="N39" s="96" t="s">
        <v>40</v>
      </c>
      <c r="O39" s="101"/>
      <c r="P39" s="3"/>
      <c r="Q39" s="3"/>
      <c r="R39" s="3"/>
      <c r="S39" s="3"/>
      <c r="T39" s="121"/>
      <c r="U39" s="121"/>
      <c r="V39" s="122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102"/>
      <c r="AV39" s="102"/>
    </row>
    <row r="40" ht="15.0" customHeight="1">
      <c r="A40" s="95">
        <v>37.0</v>
      </c>
      <c r="B40" s="91" t="s">
        <v>48</v>
      </c>
      <c r="C40" s="100" t="s">
        <v>200</v>
      </c>
      <c r="D40" s="100" t="s">
        <v>201</v>
      </c>
      <c r="E40" s="109" t="s">
        <v>141</v>
      </c>
      <c r="F40" s="117">
        <v>43556.0</v>
      </c>
      <c r="G40" s="100" t="s">
        <v>202</v>
      </c>
      <c r="H40" s="100">
        <v>2.147624191E9</v>
      </c>
      <c r="I40" s="100" t="s">
        <v>203</v>
      </c>
      <c r="J40" s="115">
        <v>45740.0</v>
      </c>
      <c r="K40" s="116" t="s">
        <v>198</v>
      </c>
      <c r="L40" s="116">
        <v>56.0</v>
      </c>
      <c r="M40" s="99"/>
      <c r="N40" s="96" t="s">
        <v>40</v>
      </c>
      <c r="O40" s="101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02"/>
      <c r="AV40" s="102"/>
    </row>
    <row r="41" ht="15.0" customHeight="1">
      <c r="A41" s="95">
        <v>38.0</v>
      </c>
      <c r="B41" s="91" t="s">
        <v>88</v>
      </c>
      <c r="C41" s="100" t="s">
        <v>204</v>
      </c>
      <c r="D41" s="100" t="s">
        <v>201</v>
      </c>
      <c r="E41" s="109" t="s">
        <v>141</v>
      </c>
      <c r="F41" s="117">
        <v>43556.0</v>
      </c>
      <c r="G41" s="100" t="s">
        <v>202</v>
      </c>
      <c r="H41" s="100">
        <v>2.147624191E9</v>
      </c>
      <c r="I41" s="100" t="s">
        <v>203</v>
      </c>
      <c r="J41" s="115">
        <v>45740.0</v>
      </c>
      <c r="K41" s="116" t="s">
        <v>205</v>
      </c>
      <c r="L41" s="116">
        <v>41.0</v>
      </c>
      <c r="M41" s="99"/>
      <c r="N41" s="96" t="s">
        <v>40</v>
      </c>
      <c r="O41" s="101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02"/>
      <c r="AV41" s="102"/>
    </row>
    <row r="42" ht="15.0" customHeight="1">
      <c r="A42" s="95">
        <v>39.0</v>
      </c>
      <c r="B42" s="91" t="s">
        <v>48</v>
      </c>
      <c r="C42" s="100" t="s">
        <v>206</v>
      </c>
      <c r="D42" s="100" t="s">
        <v>207</v>
      </c>
      <c r="E42" s="109">
        <v>4.0</v>
      </c>
      <c r="F42" s="117">
        <v>42277.0</v>
      </c>
      <c r="G42" s="100" t="s">
        <v>208</v>
      </c>
      <c r="H42" s="100">
        <v>3.472777326E9</v>
      </c>
      <c r="I42" s="100" t="s">
        <v>209</v>
      </c>
      <c r="J42" s="115">
        <v>45536.0</v>
      </c>
      <c r="K42" s="116" t="s">
        <v>210</v>
      </c>
      <c r="L42" s="116">
        <v>75.0</v>
      </c>
      <c r="M42" s="100"/>
      <c r="N42" s="96" t="s">
        <v>40</v>
      </c>
      <c r="O42" s="107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102"/>
      <c r="AV42" s="102"/>
    </row>
    <row r="43" ht="15.0" customHeight="1">
      <c r="A43" s="95">
        <v>40.0</v>
      </c>
      <c r="B43" s="91" t="s">
        <v>88</v>
      </c>
      <c r="C43" s="100" t="s">
        <v>206</v>
      </c>
      <c r="D43" s="100" t="s">
        <v>207</v>
      </c>
      <c r="E43" s="109">
        <v>4.0</v>
      </c>
      <c r="F43" s="117">
        <v>42277.0</v>
      </c>
      <c r="G43" s="100" t="s">
        <v>208</v>
      </c>
      <c r="H43" s="100">
        <v>3.472777326E9</v>
      </c>
      <c r="I43" s="100" t="s">
        <v>209</v>
      </c>
      <c r="J43" s="115">
        <v>45536.0</v>
      </c>
      <c r="K43" s="116" t="s">
        <v>211</v>
      </c>
      <c r="L43" s="116">
        <v>11.0</v>
      </c>
      <c r="M43" s="100"/>
      <c r="N43" s="96" t="s">
        <v>40</v>
      </c>
      <c r="O43" s="107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102"/>
      <c r="AV43" s="102"/>
    </row>
    <row r="44" ht="15.0" customHeight="1">
      <c r="A44" s="95">
        <v>41.0</v>
      </c>
      <c r="B44" s="91" t="s">
        <v>48</v>
      </c>
      <c r="C44" s="100" t="s">
        <v>206</v>
      </c>
      <c r="D44" s="100" t="s">
        <v>212</v>
      </c>
      <c r="E44" s="109">
        <v>1.0</v>
      </c>
      <c r="F44" s="117">
        <v>43431.0</v>
      </c>
      <c r="G44" s="100" t="s">
        <v>213</v>
      </c>
      <c r="H44" s="100">
        <v>3.472777326E9</v>
      </c>
      <c r="I44" s="100" t="s">
        <v>209</v>
      </c>
      <c r="J44" s="115">
        <v>45536.0</v>
      </c>
      <c r="K44" s="116" t="s">
        <v>214</v>
      </c>
      <c r="L44" s="116">
        <v>78.0</v>
      </c>
      <c r="M44" s="100"/>
      <c r="N44" s="96" t="s">
        <v>40</v>
      </c>
      <c r="O44" s="107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102"/>
      <c r="AV44" s="102"/>
    </row>
    <row r="45" ht="15.0" customHeight="1">
      <c r="A45" s="95">
        <v>42.0</v>
      </c>
      <c r="B45" s="91" t="s">
        <v>88</v>
      </c>
      <c r="C45" s="100" t="s">
        <v>206</v>
      </c>
      <c r="D45" s="100" t="s">
        <v>212</v>
      </c>
      <c r="E45" s="109">
        <v>1.0</v>
      </c>
      <c r="F45" s="117">
        <v>43431.0</v>
      </c>
      <c r="G45" s="100" t="s">
        <v>213</v>
      </c>
      <c r="H45" s="100">
        <v>3.472777326E9</v>
      </c>
      <c r="I45" s="100" t="s">
        <v>209</v>
      </c>
      <c r="J45" s="115">
        <v>45536.0</v>
      </c>
      <c r="K45" s="116" t="s">
        <v>132</v>
      </c>
      <c r="L45" s="116">
        <v>58.0</v>
      </c>
      <c r="M45" s="100"/>
      <c r="N45" s="96" t="s">
        <v>40</v>
      </c>
      <c r="O45" s="107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102"/>
      <c r="AV45" s="102"/>
    </row>
    <row r="46" ht="15.0" customHeight="1">
      <c r="A46" s="95">
        <v>43.0</v>
      </c>
      <c r="B46" s="91" t="s">
        <v>48</v>
      </c>
      <c r="C46" s="100" t="s">
        <v>215</v>
      </c>
      <c r="D46" s="100" t="s">
        <v>216</v>
      </c>
      <c r="E46" s="109">
        <v>2.0</v>
      </c>
      <c r="F46" s="117">
        <v>42045.0</v>
      </c>
      <c r="G46" s="100" t="s">
        <v>217</v>
      </c>
      <c r="H46" s="100">
        <v>6.692138834E9</v>
      </c>
      <c r="I46" s="100" t="s">
        <v>218</v>
      </c>
      <c r="J46" s="115">
        <v>45293.0</v>
      </c>
      <c r="K46" s="116" t="s">
        <v>219</v>
      </c>
      <c r="L46" s="116">
        <v>41.0</v>
      </c>
      <c r="M46" s="100"/>
      <c r="N46" s="96" t="s">
        <v>40</v>
      </c>
      <c r="O46" s="107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102"/>
      <c r="AV46" s="102"/>
    </row>
    <row r="47" ht="15.0" customHeight="1">
      <c r="A47" s="95">
        <v>44.0</v>
      </c>
      <c r="B47" s="91" t="s">
        <v>88</v>
      </c>
      <c r="C47" s="100" t="s">
        <v>215</v>
      </c>
      <c r="D47" s="100" t="s">
        <v>216</v>
      </c>
      <c r="E47" s="109">
        <v>2.0</v>
      </c>
      <c r="F47" s="117">
        <v>42045.0</v>
      </c>
      <c r="G47" s="100" t="s">
        <v>217</v>
      </c>
      <c r="H47" s="100">
        <v>6.692138834E9</v>
      </c>
      <c r="I47" s="100" t="s">
        <v>218</v>
      </c>
      <c r="J47" s="115">
        <v>45293.0</v>
      </c>
      <c r="K47" s="116" t="s">
        <v>150</v>
      </c>
      <c r="L47" s="116">
        <v>58.0</v>
      </c>
      <c r="M47" s="100"/>
      <c r="N47" s="96" t="s">
        <v>40</v>
      </c>
      <c r="O47" s="10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102"/>
      <c r="AV47" s="102"/>
    </row>
    <row r="48" ht="15.0" customHeight="1">
      <c r="A48" s="95">
        <v>45.0</v>
      </c>
      <c r="B48" s="91" t="s">
        <v>48</v>
      </c>
      <c r="C48" s="100" t="s">
        <v>220</v>
      </c>
      <c r="D48" s="100" t="s">
        <v>221</v>
      </c>
      <c r="E48" s="109">
        <v>2.0</v>
      </c>
      <c r="F48" s="120">
        <v>43341.0</v>
      </c>
      <c r="G48" s="100" t="s">
        <v>222</v>
      </c>
      <c r="H48" s="100">
        <v>9.25451587E9</v>
      </c>
      <c r="I48" s="100" t="s">
        <v>223</v>
      </c>
      <c r="J48" s="115">
        <v>45888.0</v>
      </c>
      <c r="K48" s="116" t="s">
        <v>192</v>
      </c>
      <c r="L48" s="116">
        <v>41.0</v>
      </c>
      <c r="M48" s="100"/>
      <c r="N48" s="96" t="s">
        <v>40</v>
      </c>
      <c r="O48" s="108"/>
      <c r="P48" s="3"/>
      <c r="Q48" s="3"/>
      <c r="R48" s="3"/>
      <c r="S48" s="3"/>
      <c r="T48" s="102"/>
      <c r="U48" s="102"/>
      <c r="V48" s="102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102"/>
      <c r="AV48" s="102"/>
    </row>
    <row r="49" ht="15.0" customHeight="1">
      <c r="A49" s="95">
        <v>46.0</v>
      </c>
      <c r="B49" s="91" t="s">
        <v>88</v>
      </c>
      <c r="C49" s="100" t="s">
        <v>220</v>
      </c>
      <c r="D49" s="100" t="s">
        <v>221</v>
      </c>
      <c r="E49" s="109">
        <v>2.0</v>
      </c>
      <c r="F49" s="120">
        <v>43341.0</v>
      </c>
      <c r="G49" s="100" t="s">
        <v>222</v>
      </c>
      <c r="H49" s="100">
        <v>9.25451587E9</v>
      </c>
      <c r="I49" s="100" t="s">
        <v>223</v>
      </c>
      <c r="J49" s="115">
        <v>46024.0</v>
      </c>
      <c r="K49" s="116" t="s">
        <v>125</v>
      </c>
      <c r="L49" s="116">
        <v>1.0</v>
      </c>
      <c r="M49" s="100" t="s">
        <v>126</v>
      </c>
      <c r="N49" s="96" t="s">
        <v>40</v>
      </c>
      <c r="O49" s="112"/>
      <c r="P49" s="102"/>
      <c r="Q49" s="102"/>
      <c r="R49" s="102"/>
      <c r="S49" s="102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</row>
    <row r="50" ht="15.0" customHeight="1">
      <c r="A50" s="95">
        <v>47.0</v>
      </c>
      <c r="B50" s="91" t="s">
        <v>88</v>
      </c>
      <c r="C50" s="100" t="s">
        <v>224</v>
      </c>
      <c r="D50" s="100" t="s">
        <v>225</v>
      </c>
      <c r="E50" s="109">
        <v>1.0</v>
      </c>
      <c r="F50" s="117">
        <v>43329.0</v>
      </c>
      <c r="G50" s="100" t="s">
        <v>226</v>
      </c>
      <c r="H50" s="100">
        <v>6.692438102E9</v>
      </c>
      <c r="I50" s="100" t="s">
        <v>227</v>
      </c>
      <c r="J50" s="115">
        <v>45536.0</v>
      </c>
      <c r="K50" s="116" t="s">
        <v>132</v>
      </c>
      <c r="L50" s="116">
        <v>106.0</v>
      </c>
      <c r="M50" s="100"/>
      <c r="N50" s="96" t="s">
        <v>40</v>
      </c>
      <c r="O50" s="107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102"/>
      <c r="AV50" s="102"/>
    </row>
    <row r="51" ht="15.0" customHeight="1">
      <c r="A51" s="95">
        <v>48.0</v>
      </c>
      <c r="B51" s="91" t="s">
        <v>48</v>
      </c>
      <c r="C51" s="100" t="s">
        <v>224</v>
      </c>
      <c r="D51" s="100" t="s">
        <v>225</v>
      </c>
      <c r="E51" s="109">
        <v>1.0</v>
      </c>
      <c r="F51" s="117">
        <v>43329.0</v>
      </c>
      <c r="G51" s="100" t="s">
        <v>226</v>
      </c>
      <c r="H51" s="100">
        <v>6.692438102E9</v>
      </c>
      <c r="I51" s="100" t="s">
        <v>228</v>
      </c>
      <c r="J51" s="115">
        <v>45536.0</v>
      </c>
      <c r="K51" s="116" t="s">
        <v>192</v>
      </c>
      <c r="L51" s="116">
        <v>79.0</v>
      </c>
      <c r="M51" s="100"/>
      <c r="N51" s="96" t="s">
        <v>40</v>
      </c>
      <c r="O51" s="107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102"/>
      <c r="AV51" s="102"/>
    </row>
    <row r="52" ht="15.0" customHeight="1">
      <c r="A52" s="95">
        <v>49.0</v>
      </c>
      <c r="B52" s="91" t="s">
        <v>88</v>
      </c>
      <c r="C52" s="107" t="s">
        <v>229</v>
      </c>
      <c r="D52" s="107" t="s">
        <v>230</v>
      </c>
      <c r="E52" s="109">
        <v>1.0</v>
      </c>
      <c r="F52" s="117">
        <v>42827.0</v>
      </c>
      <c r="G52" s="104" t="s">
        <v>231</v>
      </c>
      <c r="H52" s="104">
        <v>5.107898628E9</v>
      </c>
      <c r="I52" s="104" t="s">
        <v>232</v>
      </c>
      <c r="J52" s="115">
        <v>45917.0</v>
      </c>
      <c r="K52" s="116" t="s">
        <v>117</v>
      </c>
      <c r="L52" s="116">
        <v>106.0</v>
      </c>
      <c r="M52" s="107"/>
      <c r="N52" s="96" t="s">
        <v>40</v>
      </c>
      <c r="O52" s="107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</row>
    <row r="53" ht="15.0" customHeight="1">
      <c r="A53" s="95">
        <v>50.0</v>
      </c>
      <c r="B53" s="91" t="s">
        <v>48</v>
      </c>
      <c r="C53" s="107" t="s">
        <v>229</v>
      </c>
      <c r="D53" s="107" t="s">
        <v>233</v>
      </c>
      <c r="E53" s="109">
        <v>3.0</v>
      </c>
      <c r="F53" s="117">
        <v>42827.0</v>
      </c>
      <c r="G53" s="104" t="s">
        <v>231</v>
      </c>
      <c r="H53" s="104">
        <v>5.107898628E9</v>
      </c>
      <c r="I53" s="104" t="s">
        <v>232</v>
      </c>
      <c r="J53" s="115">
        <v>45917.0</v>
      </c>
      <c r="K53" s="116" t="s">
        <v>234</v>
      </c>
      <c r="L53" s="116">
        <v>56.0</v>
      </c>
      <c r="M53" s="107"/>
      <c r="N53" s="96" t="s">
        <v>40</v>
      </c>
      <c r="O53" s="107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</row>
    <row r="54" ht="15.0" customHeight="1">
      <c r="A54" s="95">
        <v>53.0</v>
      </c>
      <c r="B54" s="91" t="s">
        <v>48</v>
      </c>
      <c r="C54" s="113" t="s">
        <v>235</v>
      </c>
      <c r="D54" s="113" t="s">
        <v>236</v>
      </c>
      <c r="E54" s="109">
        <v>2.0</v>
      </c>
      <c r="F54" s="123">
        <v>43409.0</v>
      </c>
      <c r="G54" s="100" t="s">
        <v>237</v>
      </c>
      <c r="H54" s="100">
        <v>6.5078915E9</v>
      </c>
      <c r="I54" s="100" t="s">
        <v>238</v>
      </c>
      <c r="J54" s="115">
        <v>45888.0</v>
      </c>
      <c r="K54" s="116" t="s">
        <v>133</v>
      </c>
      <c r="L54" s="116">
        <v>31.0</v>
      </c>
      <c r="M54" s="100"/>
      <c r="N54" s="96" t="s">
        <v>40</v>
      </c>
      <c r="O54" s="108"/>
      <c r="P54" s="3"/>
      <c r="Q54" s="3"/>
      <c r="R54" s="3"/>
      <c r="S54" s="3"/>
      <c r="T54" s="121"/>
      <c r="U54" s="121"/>
      <c r="V54" s="122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102"/>
      <c r="AV54" s="102"/>
    </row>
    <row r="55" ht="15.0" customHeight="1">
      <c r="A55" s="95">
        <v>54.0</v>
      </c>
      <c r="B55" s="91" t="s">
        <v>88</v>
      </c>
      <c r="C55" s="113" t="s">
        <v>235</v>
      </c>
      <c r="D55" s="113" t="s">
        <v>236</v>
      </c>
      <c r="E55" s="109">
        <v>2.0</v>
      </c>
      <c r="F55" s="123">
        <v>43409.0</v>
      </c>
      <c r="G55" s="100" t="s">
        <v>237</v>
      </c>
      <c r="H55" s="100">
        <v>6.5078915E9</v>
      </c>
      <c r="I55" s="100" t="s">
        <v>238</v>
      </c>
      <c r="J55" s="115">
        <v>45888.0</v>
      </c>
      <c r="K55" s="116" t="s">
        <v>132</v>
      </c>
      <c r="L55" s="116">
        <v>44.0</v>
      </c>
      <c r="M55" s="100"/>
      <c r="N55" s="96" t="s">
        <v>40</v>
      </c>
      <c r="O55" s="108"/>
      <c r="P55" s="3"/>
      <c r="Q55" s="3"/>
      <c r="R55" s="3"/>
      <c r="S55" s="3"/>
      <c r="T55" s="121"/>
      <c r="U55" s="121"/>
      <c r="V55" s="122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102"/>
      <c r="AV55" s="102"/>
    </row>
    <row r="56" ht="15.0" customHeight="1">
      <c r="A56" s="95">
        <v>55.0</v>
      </c>
      <c r="B56" s="91" t="s">
        <v>88</v>
      </c>
      <c r="C56" s="100" t="s">
        <v>239</v>
      </c>
      <c r="D56" s="100" t="s">
        <v>240</v>
      </c>
      <c r="E56" s="109">
        <v>9.0</v>
      </c>
      <c r="F56" s="117">
        <v>40647.0</v>
      </c>
      <c r="G56" s="100" t="s">
        <v>241</v>
      </c>
      <c r="H56" s="100">
        <v>4.084214334E9</v>
      </c>
      <c r="I56" s="100" t="s">
        <v>242</v>
      </c>
      <c r="J56" s="115">
        <v>45763.0</v>
      </c>
      <c r="K56" s="106" t="s">
        <v>243</v>
      </c>
      <c r="L56" s="116">
        <v>31.0</v>
      </c>
      <c r="M56" s="100"/>
      <c r="N56" s="96" t="s">
        <v>40</v>
      </c>
      <c r="O56" s="107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02"/>
      <c r="AV56" s="102"/>
    </row>
    <row r="57" ht="15.0" customHeight="1">
      <c r="A57" s="95">
        <v>56.0</v>
      </c>
      <c r="B57" s="91" t="s">
        <v>48</v>
      </c>
      <c r="C57" s="100" t="s">
        <v>239</v>
      </c>
      <c r="D57" s="100" t="s">
        <v>244</v>
      </c>
      <c r="E57" s="109">
        <v>3.0</v>
      </c>
      <c r="F57" s="117">
        <v>42342.0</v>
      </c>
      <c r="G57" s="100" t="s">
        <v>245</v>
      </c>
      <c r="H57" s="100">
        <v>4.084214334E9</v>
      </c>
      <c r="I57" s="100" t="s">
        <v>242</v>
      </c>
      <c r="J57" s="115">
        <v>45536.0</v>
      </c>
      <c r="K57" s="106" t="s">
        <v>246</v>
      </c>
      <c r="L57" s="116">
        <v>85.0</v>
      </c>
      <c r="M57" s="100"/>
      <c r="N57" s="96" t="s">
        <v>40</v>
      </c>
      <c r="O57" s="10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102"/>
      <c r="AV57" s="102"/>
    </row>
    <row r="58" ht="15.0" customHeight="1">
      <c r="A58" s="95">
        <v>57.0</v>
      </c>
      <c r="B58" s="91" t="s">
        <v>88</v>
      </c>
      <c r="C58" s="100" t="s">
        <v>239</v>
      </c>
      <c r="D58" s="100" t="s">
        <v>244</v>
      </c>
      <c r="E58" s="109">
        <v>3.0</v>
      </c>
      <c r="F58" s="117">
        <v>42342.0</v>
      </c>
      <c r="G58" s="100" t="s">
        <v>245</v>
      </c>
      <c r="H58" s="100">
        <v>4.084214334E9</v>
      </c>
      <c r="I58" s="100" t="s">
        <v>242</v>
      </c>
      <c r="J58" s="115">
        <v>45536.0</v>
      </c>
      <c r="K58" s="106" t="s">
        <v>150</v>
      </c>
      <c r="L58" s="116">
        <v>8.0</v>
      </c>
      <c r="M58" s="100"/>
      <c r="N58" s="96" t="s">
        <v>40</v>
      </c>
      <c r="O58" s="107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102"/>
      <c r="AV58" s="102"/>
    </row>
    <row r="59" ht="15.0" customHeight="1">
      <c r="A59" s="95">
        <v>58.0</v>
      </c>
      <c r="B59" s="91" t="s">
        <v>48</v>
      </c>
      <c r="C59" s="100" t="s">
        <v>247</v>
      </c>
      <c r="D59" s="100" t="s">
        <v>248</v>
      </c>
      <c r="E59" s="109" t="s">
        <v>249</v>
      </c>
      <c r="F59" s="117">
        <v>43120.0</v>
      </c>
      <c r="G59" s="100" t="s">
        <v>250</v>
      </c>
      <c r="H59" s="100">
        <v>4.158287529E9</v>
      </c>
      <c r="I59" s="100" t="s">
        <v>251</v>
      </c>
      <c r="J59" s="115">
        <v>45299.0</v>
      </c>
      <c r="K59" s="116" t="s">
        <v>183</v>
      </c>
      <c r="L59" s="116">
        <v>71.0</v>
      </c>
      <c r="M59" s="100"/>
      <c r="N59" s="96" t="s">
        <v>40</v>
      </c>
      <c r="O59" s="107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102"/>
      <c r="AV59" s="102"/>
    </row>
    <row r="60" ht="15.0" customHeight="1">
      <c r="A60" s="95">
        <v>59.0</v>
      </c>
      <c r="B60" s="91" t="s">
        <v>88</v>
      </c>
      <c r="C60" s="100" t="s">
        <v>247</v>
      </c>
      <c r="D60" s="100" t="s">
        <v>248</v>
      </c>
      <c r="E60" s="109" t="s">
        <v>249</v>
      </c>
      <c r="F60" s="117">
        <v>43120.0</v>
      </c>
      <c r="G60" s="100" t="s">
        <v>250</v>
      </c>
      <c r="H60" s="100">
        <v>4.158287529E9</v>
      </c>
      <c r="I60" s="100" t="s">
        <v>251</v>
      </c>
      <c r="J60" s="115">
        <v>45299.0</v>
      </c>
      <c r="K60" s="106" t="s">
        <v>111</v>
      </c>
      <c r="L60" s="116">
        <v>65.0</v>
      </c>
      <c r="M60" s="100"/>
      <c r="N60" s="96" t="s">
        <v>40</v>
      </c>
      <c r="O60" s="107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102"/>
      <c r="AV60" s="102"/>
    </row>
    <row r="61" ht="15.0" customHeight="1">
      <c r="A61" s="95">
        <v>60.0</v>
      </c>
      <c r="B61" s="96" t="s">
        <v>88</v>
      </c>
      <c r="C61" s="99" t="s">
        <v>247</v>
      </c>
      <c r="D61" s="99" t="s">
        <v>252</v>
      </c>
      <c r="E61" s="95">
        <v>1.0</v>
      </c>
      <c r="F61" s="97">
        <v>43466.0</v>
      </c>
      <c r="G61" s="104" t="s">
        <v>253</v>
      </c>
      <c r="H61" s="104">
        <v>4.158287529E9</v>
      </c>
      <c r="I61" s="104" t="s">
        <v>251</v>
      </c>
      <c r="J61" s="105">
        <v>45810.0</v>
      </c>
      <c r="K61" s="116" t="s">
        <v>125</v>
      </c>
      <c r="L61" s="106">
        <v>36.0</v>
      </c>
      <c r="M61" s="100"/>
      <c r="N61" s="96" t="s">
        <v>40</v>
      </c>
      <c r="O61" s="108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102"/>
      <c r="AV61" s="102"/>
    </row>
    <row r="62" ht="15.0" customHeight="1">
      <c r="A62" s="95">
        <v>61.0</v>
      </c>
      <c r="B62" s="96" t="s">
        <v>48</v>
      </c>
      <c r="C62" s="99" t="s">
        <v>247</v>
      </c>
      <c r="D62" s="99" t="s">
        <v>252</v>
      </c>
      <c r="E62" s="95">
        <v>1.0</v>
      </c>
      <c r="F62" s="97">
        <v>43466.0</v>
      </c>
      <c r="G62" s="104" t="s">
        <v>254</v>
      </c>
      <c r="H62" s="104">
        <v>4.158287529E9</v>
      </c>
      <c r="I62" s="104" t="s">
        <v>251</v>
      </c>
      <c r="J62" s="105">
        <v>45810.0</v>
      </c>
      <c r="K62" s="116" t="s">
        <v>255</v>
      </c>
      <c r="L62" s="106">
        <v>1.0</v>
      </c>
      <c r="M62" s="99"/>
      <c r="N62" s="96" t="s">
        <v>40</v>
      </c>
      <c r="O62" s="108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102"/>
      <c r="AV62" s="102"/>
    </row>
    <row r="63" ht="15.0" customHeight="1">
      <c r="A63" s="95">
        <v>62.0</v>
      </c>
      <c r="B63" s="91" t="s">
        <v>48</v>
      </c>
      <c r="C63" s="107" t="s">
        <v>256</v>
      </c>
      <c r="D63" s="107" t="s">
        <v>257</v>
      </c>
      <c r="E63" s="109">
        <v>1.0</v>
      </c>
      <c r="F63" s="117">
        <v>43378.0</v>
      </c>
      <c r="G63" s="104" t="s">
        <v>258</v>
      </c>
      <c r="H63" s="104" t="s">
        <v>259</v>
      </c>
      <c r="I63" s="104" t="s">
        <v>260</v>
      </c>
      <c r="J63" s="115">
        <v>45916.0</v>
      </c>
      <c r="K63" s="116" t="s">
        <v>117</v>
      </c>
      <c r="L63" s="116">
        <v>91.0</v>
      </c>
      <c r="M63" s="107"/>
      <c r="N63" s="96" t="s">
        <v>40</v>
      </c>
      <c r="O63" s="107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2"/>
      <c r="AP63" s="102"/>
      <c r="AQ63" s="102"/>
      <c r="AR63" s="102"/>
      <c r="AS63" s="102"/>
      <c r="AT63" s="102"/>
      <c r="AU63" s="102"/>
      <c r="AV63" s="102"/>
    </row>
    <row r="64" ht="15.0" customHeight="1">
      <c r="A64" s="95">
        <v>63.0</v>
      </c>
      <c r="B64" s="91" t="s">
        <v>88</v>
      </c>
      <c r="C64" s="107" t="s">
        <v>256</v>
      </c>
      <c r="D64" s="107" t="s">
        <v>257</v>
      </c>
      <c r="E64" s="109">
        <v>1.0</v>
      </c>
      <c r="F64" s="117">
        <v>43378.0</v>
      </c>
      <c r="G64" s="104" t="s">
        <v>258</v>
      </c>
      <c r="H64" s="104" t="s">
        <v>259</v>
      </c>
      <c r="I64" s="104" t="s">
        <v>260</v>
      </c>
      <c r="J64" s="115">
        <v>45916.0</v>
      </c>
      <c r="K64" s="116" t="s">
        <v>118</v>
      </c>
      <c r="L64" s="116">
        <v>81.0</v>
      </c>
      <c r="M64" s="107"/>
      <c r="N64" s="96" t="s">
        <v>40</v>
      </c>
      <c r="O64" s="107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</row>
    <row r="65" ht="15.0" customHeight="1">
      <c r="A65" s="95">
        <v>64.0</v>
      </c>
      <c r="B65" s="96" t="s">
        <v>48</v>
      </c>
      <c r="C65" s="99" t="s">
        <v>261</v>
      </c>
      <c r="D65" s="99" t="s">
        <v>262</v>
      </c>
      <c r="E65" s="95">
        <v>2.0</v>
      </c>
      <c r="F65" s="97">
        <v>43144.0</v>
      </c>
      <c r="G65" s="113" t="s">
        <v>263</v>
      </c>
      <c r="H65" s="113">
        <v>5.102535893E9</v>
      </c>
      <c r="I65" s="113" t="s">
        <v>264</v>
      </c>
      <c r="J65" s="105">
        <v>45742.0</v>
      </c>
      <c r="K65" s="116" t="s">
        <v>192</v>
      </c>
      <c r="L65" s="116">
        <v>36.0</v>
      </c>
      <c r="M65" s="100"/>
      <c r="N65" s="96" t="s">
        <v>40</v>
      </c>
      <c r="O65" s="101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02"/>
      <c r="AV65" s="102"/>
    </row>
    <row r="66" ht="15.0" customHeight="1">
      <c r="A66" s="95">
        <v>65.0</v>
      </c>
      <c r="B66" s="96" t="s">
        <v>88</v>
      </c>
      <c r="C66" s="99" t="s">
        <v>261</v>
      </c>
      <c r="D66" s="99" t="s">
        <v>262</v>
      </c>
      <c r="E66" s="95">
        <v>2.0</v>
      </c>
      <c r="F66" s="97">
        <v>43144.0</v>
      </c>
      <c r="G66" s="113" t="s">
        <v>263</v>
      </c>
      <c r="H66" s="113">
        <v>5.102535893E9</v>
      </c>
      <c r="I66" s="113" t="s">
        <v>264</v>
      </c>
      <c r="J66" s="105">
        <v>45742.0</v>
      </c>
      <c r="K66" s="116" t="s">
        <v>111</v>
      </c>
      <c r="L66" s="116">
        <v>91.0</v>
      </c>
      <c r="M66" s="100"/>
      <c r="N66" s="96" t="s">
        <v>40</v>
      </c>
      <c r="O66" s="101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02"/>
      <c r="AV66" s="102"/>
    </row>
    <row r="67" ht="15.0" customHeight="1">
      <c r="A67" s="95">
        <v>66.0</v>
      </c>
      <c r="B67" s="91" t="s">
        <v>88</v>
      </c>
      <c r="C67" s="107" t="s">
        <v>265</v>
      </c>
      <c r="D67" s="107" t="s">
        <v>266</v>
      </c>
      <c r="E67" s="109">
        <v>2.0</v>
      </c>
      <c r="F67" s="110">
        <v>43147.0</v>
      </c>
      <c r="G67" s="107" t="s">
        <v>267</v>
      </c>
      <c r="H67" s="107">
        <v>3.472992092E9</v>
      </c>
      <c r="I67" s="107" t="s">
        <v>268</v>
      </c>
      <c r="J67" s="124">
        <v>46038.0</v>
      </c>
      <c r="K67" s="100" t="s">
        <v>132</v>
      </c>
      <c r="L67" s="100">
        <v>16.0</v>
      </c>
      <c r="M67" s="107" t="s">
        <v>269</v>
      </c>
      <c r="N67" s="96" t="s">
        <v>40</v>
      </c>
      <c r="O67" s="11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</row>
    <row r="68" ht="15.0" customHeight="1">
      <c r="A68" s="95">
        <v>67.0</v>
      </c>
      <c r="B68" s="96" t="s">
        <v>48</v>
      </c>
      <c r="C68" s="99" t="s">
        <v>270</v>
      </c>
      <c r="D68" s="99" t="s">
        <v>271</v>
      </c>
      <c r="E68" s="95">
        <v>2.0</v>
      </c>
      <c r="F68" s="97" t="s">
        <v>272</v>
      </c>
      <c r="G68" s="113" t="s">
        <v>273</v>
      </c>
      <c r="H68" s="113">
        <v>5.102989555E9</v>
      </c>
      <c r="I68" s="113" t="s">
        <v>274</v>
      </c>
      <c r="J68" s="105">
        <v>45888.0</v>
      </c>
      <c r="K68" s="116" t="s">
        <v>210</v>
      </c>
      <c r="L68" s="116">
        <v>31.0</v>
      </c>
      <c r="M68" s="100"/>
      <c r="N68" s="96" t="s">
        <v>40</v>
      </c>
      <c r="O68" s="101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02"/>
      <c r="AV68" s="102"/>
    </row>
    <row r="69" ht="15.0" customHeight="1">
      <c r="A69" s="95">
        <v>68.0</v>
      </c>
      <c r="B69" s="96" t="s">
        <v>88</v>
      </c>
      <c r="C69" s="99" t="s">
        <v>270</v>
      </c>
      <c r="D69" s="99" t="s">
        <v>271</v>
      </c>
      <c r="E69" s="95">
        <v>2.0</v>
      </c>
      <c r="F69" s="97" t="s">
        <v>275</v>
      </c>
      <c r="G69" s="113" t="s">
        <v>276</v>
      </c>
      <c r="H69" s="113">
        <v>5.102989555E9</v>
      </c>
      <c r="I69" s="113" t="s">
        <v>274</v>
      </c>
      <c r="J69" s="105">
        <v>45888.0</v>
      </c>
      <c r="K69" s="116" t="s">
        <v>199</v>
      </c>
      <c r="L69" s="116">
        <v>41.0</v>
      </c>
      <c r="M69" s="100"/>
      <c r="N69" s="96" t="s">
        <v>40</v>
      </c>
      <c r="O69" s="101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02"/>
      <c r="AV69" s="102"/>
    </row>
    <row r="70" ht="15.0" customHeight="1">
      <c r="A70" s="95">
        <v>69.0</v>
      </c>
      <c r="B70" s="125" t="s">
        <v>88</v>
      </c>
      <c r="C70" s="126" t="s">
        <v>277</v>
      </c>
      <c r="D70" s="126" t="s">
        <v>278</v>
      </c>
      <c r="E70" s="127">
        <v>3.0</v>
      </c>
      <c r="F70" s="127">
        <v>42855.0</v>
      </c>
      <c r="G70" s="126" t="s">
        <v>279</v>
      </c>
      <c r="H70" s="126">
        <v>6.692510861E9</v>
      </c>
      <c r="I70" s="126" t="s">
        <v>280</v>
      </c>
      <c r="J70" s="128">
        <v>45992.0</v>
      </c>
      <c r="K70" s="126" t="s">
        <v>111</v>
      </c>
      <c r="L70" s="126">
        <v>1.0</v>
      </c>
      <c r="M70" s="126"/>
      <c r="N70" s="125" t="s">
        <v>40</v>
      </c>
      <c r="O70" s="129"/>
      <c r="P70" s="130"/>
      <c r="Q70" s="130"/>
      <c r="R70" s="130"/>
      <c r="S70" s="130"/>
      <c r="T70" s="130"/>
      <c r="U70" s="130"/>
      <c r="V70" s="130"/>
      <c r="W70" s="130"/>
      <c r="X70" s="130"/>
      <c r="Y70" s="130"/>
      <c r="Z70" s="130"/>
      <c r="AA70" s="130"/>
      <c r="AB70" s="130"/>
      <c r="AC70" s="130"/>
      <c r="AD70" s="130"/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130"/>
      <c r="AP70" s="130"/>
      <c r="AQ70" s="130"/>
      <c r="AR70" s="130"/>
      <c r="AS70" s="130"/>
      <c r="AT70" s="130"/>
      <c r="AU70" s="131"/>
      <c r="AV70" s="131"/>
    </row>
    <row r="71" ht="15.0" customHeight="1">
      <c r="A71" s="95">
        <v>70.0</v>
      </c>
      <c r="B71" s="96" t="s">
        <v>48</v>
      </c>
      <c r="C71" s="99" t="s">
        <v>281</v>
      </c>
      <c r="D71" s="99" t="s">
        <v>282</v>
      </c>
      <c r="E71" s="95">
        <v>1.0</v>
      </c>
      <c r="F71" s="97">
        <v>43401.0</v>
      </c>
      <c r="G71" s="103" t="s">
        <v>283</v>
      </c>
      <c r="H71" s="103">
        <v>5.104748909E9</v>
      </c>
      <c r="I71" s="104" t="s">
        <v>284</v>
      </c>
      <c r="J71" s="105">
        <v>45969.0</v>
      </c>
      <c r="K71" s="106" t="s">
        <v>124</v>
      </c>
      <c r="L71" s="106">
        <v>81.0</v>
      </c>
      <c r="M71" s="107" t="s">
        <v>285</v>
      </c>
      <c r="N71" s="96" t="s">
        <v>40</v>
      </c>
      <c r="O71" s="108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102"/>
      <c r="AV71" s="102"/>
    </row>
    <row r="72" ht="15.0" customHeight="1">
      <c r="A72" s="95">
        <v>71.0</v>
      </c>
      <c r="B72" s="96" t="s">
        <v>48</v>
      </c>
      <c r="C72" s="99" t="s">
        <v>286</v>
      </c>
      <c r="D72" s="99" t="s">
        <v>287</v>
      </c>
      <c r="E72" s="95">
        <v>1.0</v>
      </c>
      <c r="F72" s="97">
        <v>43194.0</v>
      </c>
      <c r="G72" s="113" t="s">
        <v>288</v>
      </c>
      <c r="H72" s="113">
        <v>4.155426994E9</v>
      </c>
      <c r="I72" s="113" t="s">
        <v>289</v>
      </c>
      <c r="J72" s="105">
        <v>45888.0</v>
      </c>
      <c r="K72" s="116" t="s">
        <v>133</v>
      </c>
      <c r="L72" s="116">
        <v>46.0</v>
      </c>
      <c r="M72" s="100"/>
      <c r="N72" s="96" t="s">
        <v>40</v>
      </c>
      <c r="O72" s="101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02"/>
      <c r="AV72" s="102"/>
    </row>
    <row r="73" ht="15.0" customHeight="1">
      <c r="A73" s="95">
        <v>72.0</v>
      </c>
      <c r="B73" s="91" t="s">
        <v>88</v>
      </c>
      <c r="C73" s="100" t="s">
        <v>286</v>
      </c>
      <c r="D73" s="100" t="s">
        <v>287</v>
      </c>
      <c r="E73" s="109">
        <v>1.0</v>
      </c>
      <c r="F73" s="117">
        <v>43194.0</v>
      </c>
      <c r="G73" s="100" t="s">
        <v>288</v>
      </c>
      <c r="H73" s="100">
        <v>4.155426994E9</v>
      </c>
      <c r="I73" s="100" t="s">
        <v>289</v>
      </c>
      <c r="J73" s="115">
        <v>45888.0</v>
      </c>
      <c r="K73" s="116" t="s">
        <v>125</v>
      </c>
      <c r="L73" s="116">
        <v>91.0</v>
      </c>
      <c r="M73" s="100"/>
      <c r="N73" s="96" t="s">
        <v>40</v>
      </c>
      <c r="O73" s="101"/>
      <c r="P73" s="3"/>
      <c r="Q73" s="3"/>
      <c r="R73" s="3"/>
      <c r="S73" s="3"/>
      <c r="T73" s="102"/>
      <c r="U73" s="102"/>
      <c r="V73" s="10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102"/>
      <c r="AV73" s="102"/>
    </row>
    <row r="74" ht="15.0" customHeight="1">
      <c r="A74" s="95">
        <v>73.0</v>
      </c>
      <c r="B74" s="91" t="s">
        <v>48</v>
      </c>
      <c r="C74" s="107" t="s">
        <v>290</v>
      </c>
      <c r="D74" s="107" t="s">
        <v>291</v>
      </c>
      <c r="E74" s="109">
        <v>5.0</v>
      </c>
      <c r="F74" s="117">
        <v>42124.0</v>
      </c>
      <c r="G74" s="107" t="s">
        <v>292</v>
      </c>
      <c r="H74" s="132">
        <v>4.083948518E9</v>
      </c>
      <c r="I74" s="104" t="s">
        <v>293</v>
      </c>
      <c r="J74" s="115">
        <v>45817.0</v>
      </c>
      <c r="K74" s="116" t="s">
        <v>192</v>
      </c>
      <c r="L74" s="116">
        <v>61.0</v>
      </c>
      <c r="M74" s="118"/>
      <c r="N74" s="96" t="s">
        <v>40</v>
      </c>
      <c r="O74" s="101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02"/>
      <c r="AV74" s="102"/>
    </row>
    <row r="75" ht="17.25" customHeight="1">
      <c r="A75" s="95">
        <v>74.0</v>
      </c>
      <c r="B75" s="133" t="s">
        <v>88</v>
      </c>
      <c r="C75" s="134" t="s">
        <v>290</v>
      </c>
      <c r="D75" s="134" t="s">
        <v>291</v>
      </c>
      <c r="E75" s="135">
        <v>5.0</v>
      </c>
      <c r="F75" s="136">
        <v>42124.0</v>
      </c>
      <c r="G75" s="134" t="s">
        <v>292</v>
      </c>
      <c r="H75" s="137">
        <v>4.083948518E9</v>
      </c>
      <c r="I75" s="138" t="s">
        <v>293</v>
      </c>
      <c r="J75" s="139">
        <v>45992.0</v>
      </c>
      <c r="K75" s="140" t="s">
        <v>199</v>
      </c>
      <c r="L75" s="140">
        <v>46.0</v>
      </c>
      <c r="M75" s="141"/>
      <c r="N75" s="125" t="s">
        <v>40</v>
      </c>
      <c r="O75" s="134"/>
      <c r="P75" s="130"/>
      <c r="Q75" s="130"/>
      <c r="R75" s="130"/>
      <c r="S75" s="130"/>
      <c r="T75" s="130"/>
      <c r="U75" s="130"/>
      <c r="V75" s="130"/>
      <c r="W75" s="130"/>
      <c r="X75" s="130"/>
      <c r="Y75" s="130"/>
      <c r="Z75" s="130"/>
      <c r="AA75" s="130"/>
      <c r="AB75" s="130"/>
      <c r="AC75" s="130"/>
      <c r="AD75" s="130"/>
      <c r="AE75" s="130"/>
      <c r="AF75" s="130"/>
      <c r="AG75" s="130"/>
      <c r="AH75" s="130"/>
      <c r="AI75" s="130"/>
      <c r="AJ75" s="130"/>
      <c r="AK75" s="130"/>
      <c r="AL75" s="130"/>
      <c r="AM75" s="130"/>
      <c r="AN75" s="130"/>
      <c r="AO75" s="130"/>
      <c r="AP75" s="130"/>
      <c r="AQ75" s="130"/>
      <c r="AR75" s="130"/>
      <c r="AS75" s="130"/>
      <c r="AT75" s="130"/>
      <c r="AU75" s="131"/>
      <c r="AV75" s="131"/>
    </row>
    <row r="76" ht="15.0" customHeight="1">
      <c r="A76" s="95">
        <v>75.0</v>
      </c>
      <c r="B76" s="91" t="s">
        <v>48</v>
      </c>
      <c r="C76" s="100" t="s">
        <v>294</v>
      </c>
      <c r="D76" s="100" t="s">
        <v>295</v>
      </c>
      <c r="E76" s="109" t="s">
        <v>141</v>
      </c>
      <c r="F76" s="117" t="s">
        <v>296</v>
      </c>
      <c r="G76" s="100" t="s">
        <v>297</v>
      </c>
      <c r="H76" s="100">
        <v>3.233374665E9</v>
      </c>
      <c r="I76" s="100" t="s">
        <v>298</v>
      </c>
      <c r="J76" s="115">
        <v>45522.0</v>
      </c>
      <c r="K76" s="116" t="s">
        <v>299</v>
      </c>
      <c r="L76" s="116">
        <v>91.0</v>
      </c>
      <c r="M76" s="100"/>
      <c r="N76" s="96" t="s">
        <v>40</v>
      </c>
      <c r="O76" s="107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102"/>
      <c r="AV76" s="102"/>
    </row>
    <row r="77" ht="15.0" customHeight="1">
      <c r="A77" s="95">
        <v>76.0</v>
      </c>
      <c r="B77" s="91" t="s">
        <v>48</v>
      </c>
      <c r="C77" s="100" t="s">
        <v>294</v>
      </c>
      <c r="D77" s="100" t="s">
        <v>165</v>
      </c>
      <c r="E77" s="109">
        <v>1.0</v>
      </c>
      <c r="F77" s="117" t="s">
        <v>300</v>
      </c>
      <c r="G77" s="100" t="s">
        <v>297</v>
      </c>
      <c r="H77" s="100">
        <v>3.233374665E9</v>
      </c>
      <c r="I77" s="100" t="s">
        <v>298</v>
      </c>
      <c r="J77" s="115">
        <v>45522.0</v>
      </c>
      <c r="K77" s="116" t="s">
        <v>183</v>
      </c>
      <c r="L77" s="116">
        <v>100.0</v>
      </c>
      <c r="M77" s="100"/>
      <c r="N77" s="96" t="s">
        <v>40</v>
      </c>
      <c r="O77" s="10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102"/>
      <c r="AV77" s="102"/>
    </row>
    <row r="78" ht="15.0" customHeight="1">
      <c r="A78" s="95">
        <v>77.0</v>
      </c>
      <c r="B78" s="91" t="s">
        <v>48</v>
      </c>
      <c r="C78" s="107" t="s">
        <v>301</v>
      </c>
      <c r="D78" s="107" t="s">
        <v>302</v>
      </c>
      <c r="E78" s="109">
        <v>8.0</v>
      </c>
      <c r="F78" s="117">
        <v>40901.0</v>
      </c>
      <c r="G78" s="107" t="s">
        <v>303</v>
      </c>
      <c r="H78" s="107">
        <v>5.108287544E9</v>
      </c>
      <c r="I78" s="107" t="s">
        <v>304</v>
      </c>
      <c r="J78" s="124">
        <v>46041.0</v>
      </c>
      <c r="K78" s="100" t="s">
        <v>133</v>
      </c>
      <c r="L78" s="100">
        <v>61.0</v>
      </c>
      <c r="M78" s="107" t="s">
        <v>269</v>
      </c>
      <c r="N78" s="96" t="s">
        <v>40</v>
      </c>
      <c r="O78" s="11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102"/>
      <c r="AO78" s="102"/>
      <c r="AP78" s="102"/>
      <c r="AQ78" s="102"/>
      <c r="AR78" s="102"/>
      <c r="AS78" s="102"/>
      <c r="AT78" s="102"/>
      <c r="AU78" s="102"/>
      <c r="AV78" s="102"/>
    </row>
    <row r="79" ht="15.0" customHeight="1">
      <c r="A79" s="95">
        <v>78.0</v>
      </c>
      <c r="B79" s="91" t="s">
        <v>48</v>
      </c>
      <c r="C79" s="100" t="s">
        <v>301</v>
      </c>
      <c r="D79" s="100" t="s">
        <v>305</v>
      </c>
      <c r="E79" s="109">
        <v>5.0</v>
      </c>
      <c r="F79" s="120">
        <v>42178.0</v>
      </c>
      <c r="G79" s="100" t="s">
        <v>306</v>
      </c>
      <c r="H79" s="100">
        <v>6.692331853E9</v>
      </c>
      <c r="I79" s="100" t="s">
        <v>307</v>
      </c>
      <c r="J79" s="115">
        <v>45888.0</v>
      </c>
      <c r="K79" s="116" t="s">
        <v>183</v>
      </c>
      <c r="L79" s="116">
        <v>100.0</v>
      </c>
      <c r="M79" s="100"/>
      <c r="N79" s="96" t="s">
        <v>40</v>
      </c>
      <c r="O79" s="108"/>
      <c r="P79" s="3"/>
      <c r="Q79" s="3"/>
      <c r="R79" s="3"/>
      <c r="S79" s="3"/>
      <c r="T79" s="102"/>
      <c r="U79" s="102"/>
      <c r="V79" s="10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102"/>
      <c r="AV79" s="102"/>
    </row>
    <row r="80" ht="15.0" customHeight="1">
      <c r="A80" s="95">
        <v>79.0</v>
      </c>
      <c r="B80" s="91" t="s">
        <v>48</v>
      </c>
      <c r="C80" s="100" t="s">
        <v>301</v>
      </c>
      <c r="D80" s="100" t="s">
        <v>305</v>
      </c>
      <c r="E80" s="109">
        <v>5.0</v>
      </c>
      <c r="F80" s="120">
        <v>42178.0</v>
      </c>
      <c r="G80" s="100" t="s">
        <v>306</v>
      </c>
      <c r="H80" s="100">
        <v>6.692331853E9</v>
      </c>
      <c r="I80" s="100" t="s">
        <v>307</v>
      </c>
      <c r="J80" s="115">
        <v>45888.0</v>
      </c>
      <c r="K80" s="116" t="s">
        <v>199</v>
      </c>
      <c r="L80" s="116">
        <v>5.0</v>
      </c>
      <c r="M80" s="100"/>
      <c r="N80" s="96" t="s">
        <v>40</v>
      </c>
      <c r="O80" s="108"/>
      <c r="P80" s="3"/>
      <c r="Q80" s="3"/>
      <c r="R80" s="3"/>
      <c r="S80" s="3"/>
      <c r="T80" s="102"/>
      <c r="U80" s="102"/>
      <c r="V80" s="102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102"/>
      <c r="AV80" s="102"/>
    </row>
    <row r="81" ht="15.0" customHeight="1">
      <c r="A81" s="95">
        <v>80.0</v>
      </c>
      <c r="B81" s="96" t="s">
        <v>48</v>
      </c>
      <c r="C81" s="95" t="s">
        <v>301</v>
      </c>
      <c r="D81" s="95" t="s">
        <v>308</v>
      </c>
      <c r="E81" s="95">
        <v>2.0</v>
      </c>
      <c r="F81" s="97">
        <v>43285.0</v>
      </c>
      <c r="G81" s="98" t="s">
        <v>309</v>
      </c>
      <c r="H81" s="142">
        <v>6.692613159E9</v>
      </c>
      <c r="I81" s="142" t="s">
        <v>310</v>
      </c>
      <c r="J81" s="97">
        <v>45931.0</v>
      </c>
      <c r="K81" s="99" t="s">
        <v>124</v>
      </c>
      <c r="L81" s="143">
        <v>20.0</v>
      </c>
      <c r="M81" s="95" t="s">
        <v>311</v>
      </c>
      <c r="N81" s="96" t="s">
        <v>40</v>
      </c>
      <c r="O81" s="101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2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</row>
    <row r="82" ht="15.0" customHeight="1">
      <c r="A82" s="95">
        <v>81.0</v>
      </c>
      <c r="B82" s="91" t="s">
        <v>48</v>
      </c>
      <c r="C82" s="100" t="s">
        <v>312</v>
      </c>
      <c r="D82" s="100" t="s">
        <v>313</v>
      </c>
      <c r="E82" s="109">
        <v>2.0</v>
      </c>
      <c r="F82" s="117" t="s">
        <v>314</v>
      </c>
      <c r="G82" s="100" t="s">
        <v>315</v>
      </c>
      <c r="H82" s="100">
        <v>2.016651117E9</v>
      </c>
      <c r="I82" s="100" t="s">
        <v>316</v>
      </c>
      <c r="J82" s="115">
        <v>45888.0</v>
      </c>
      <c r="K82" s="116" t="s">
        <v>133</v>
      </c>
      <c r="L82" s="116">
        <v>8.0</v>
      </c>
      <c r="M82" s="100"/>
      <c r="N82" s="96" t="s">
        <v>40</v>
      </c>
      <c r="O82" s="108"/>
      <c r="P82" s="3"/>
      <c r="Q82" s="3"/>
      <c r="R82" s="3"/>
      <c r="S82" s="3"/>
      <c r="T82" s="102"/>
      <c r="U82" s="102"/>
      <c r="V82" s="102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102"/>
      <c r="AV82" s="102"/>
    </row>
    <row r="83" ht="15.0" customHeight="1">
      <c r="A83" s="95">
        <v>82.0</v>
      </c>
      <c r="B83" s="91" t="s">
        <v>88</v>
      </c>
      <c r="C83" s="100" t="s">
        <v>312</v>
      </c>
      <c r="D83" s="100" t="s">
        <v>313</v>
      </c>
      <c r="E83" s="109">
        <v>2.0</v>
      </c>
      <c r="F83" s="117" t="s">
        <v>314</v>
      </c>
      <c r="G83" s="100" t="s">
        <v>317</v>
      </c>
      <c r="H83" s="100">
        <v>2.016651117E9</v>
      </c>
      <c r="I83" s="100" t="s">
        <v>316</v>
      </c>
      <c r="J83" s="115">
        <v>45888.0</v>
      </c>
      <c r="K83" s="116" t="s">
        <v>132</v>
      </c>
      <c r="L83" s="116">
        <v>95.0</v>
      </c>
      <c r="M83" s="100"/>
      <c r="N83" s="96" t="s">
        <v>40</v>
      </c>
      <c r="O83" s="108"/>
      <c r="P83" s="3"/>
      <c r="Q83" s="3"/>
      <c r="R83" s="3"/>
      <c r="S83" s="3"/>
      <c r="T83" s="102"/>
      <c r="U83" s="102"/>
      <c r="V83" s="102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102"/>
      <c r="AV83" s="102"/>
    </row>
    <row r="84" ht="15.0" customHeight="1">
      <c r="A84" s="95">
        <v>83.0</v>
      </c>
      <c r="B84" s="91" t="s">
        <v>48</v>
      </c>
      <c r="C84" s="100" t="s">
        <v>318</v>
      </c>
      <c r="D84" s="100" t="s">
        <v>319</v>
      </c>
      <c r="E84" s="109" t="s">
        <v>141</v>
      </c>
      <c r="F84" s="117">
        <v>43798.0</v>
      </c>
      <c r="G84" s="100" t="s">
        <v>320</v>
      </c>
      <c r="H84" s="100">
        <v>5.10207503E9</v>
      </c>
      <c r="I84" s="100" t="s">
        <v>321</v>
      </c>
      <c r="J84" s="115">
        <v>45537.0</v>
      </c>
      <c r="K84" s="116" t="s">
        <v>192</v>
      </c>
      <c r="L84" s="116">
        <v>88.0</v>
      </c>
      <c r="M84" s="100"/>
      <c r="N84" s="96" t="s">
        <v>40</v>
      </c>
      <c r="O84" s="107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102"/>
      <c r="AV84" s="102"/>
    </row>
    <row r="85" ht="15.0" customHeight="1">
      <c r="A85" s="95">
        <v>84.0</v>
      </c>
      <c r="B85" s="91" t="s">
        <v>88</v>
      </c>
      <c r="C85" s="100" t="s">
        <v>318</v>
      </c>
      <c r="D85" s="100" t="s">
        <v>319</v>
      </c>
      <c r="E85" s="109" t="s">
        <v>141</v>
      </c>
      <c r="F85" s="117">
        <v>43798.0</v>
      </c>
      <c r="G85" s="100" t="s">
        <v>320</v>
      </c>
      <c r="H85" s="100">
        <v>5.10207503E9</v>
      </c>
      <c r="I85" s="100" t="s">
        <v>321</v>
      </c>
      <c r="J85" s="115">
        <v>45809.0</v>
      </c>
      <c r="K85" s="116" t="s">
        <v>132</v>
      </c>
      <c r="L85" s="116">
        <v>91.0</v>
      </c>
      <c r="M85" s="99"/>
      <c r="N85" s="96" t="s">
        <v>40</v>
      </c>
      <c r="O85" s="107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102"/>
      <c r="AV85" s="102"/>
    </row>
    <row r="86" ht="15.0" customHeight="1">
      <c r="A86" s="95">
        <v>85.0</v>
      </c>
      <c r="B86" s="91" t="s">
        <v>48</v>
      </c>
      <c r="C86" s="100" t="s">
        <v>322</v>
      </c>
      <c r="D86" s="100" t="s">
        <v>323</v>
      </c>
      <c r="E86" s="109">
        <v>2.0</v>
      </c>
      <c r="F86" s="117">
        <v>42025.0</v>
      </c>
      <c r="G86" s="100" t="s">
        <v>324</v>
      </c>
      <c r="H86" s="100">
        <v>5.10207503E9</v>
      </c>
      <c r="I86" s="100" t="s">
        <v>321</v>
      </c>
      <c r="J86" s="115">
        <v>45110.0</v>
      </c>
      <c r="K86" s="116" t="s">
        <v>325</v>
      </c>
      <c r="L86" s="116">
        <v>50.0</v>
      </c>
      <c r="M86" s="100"/>
      <c r="N86" s="96" t="s">
        <v>40</v>
      </c>
      <c r="O86" s="107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102"/>
      <c r="AV86" s="102"/>
    </row>
    <row r="87" ht="15.0" customHeight="1">
      <c r="A87" s="95">
        <v>86.0</v>
      </c>
      <c r="B87" s="91" t="s">
        <v>48</v>
      </c>
      <c r="C87" s="100" t="s">
        <v>318</v>
      </c>
      <c r="D87" s="100" t="s">
        <v>326</v>
      </c>
      <c r="E87" s="109">
        <v>2.0</v>
      </c>
      <c r="F87" s="123">
        <v>43316.0</v>
      </c>
      <c r="G87" s="100" t="s">
        <v>327</v>
      </c>
      <c r="H87" s="100">
        <v>5.103864479E9</v>
      </c>
      <c r="I87" s="100" t="s">
        <v>328</v>
      </c>
      <c r="J87" s="115">
        <v>45888.0</v>
      </c>
      <c r="K87" s="116" t="s">
        <v>192</v>
      </c>
      <c r="L87" s="116">
        <v>58.0</v>
      </c>
      <c r="M87" s="100"/>
      <c r="N87" s="96" t="s">
        <v>40</v>
      </c>
      <c r="O87" s="108"/>
      <c r="P87" s="3"/>
      <c r="Q87" s="3"/>
      <c r="R87" s="3"/>
      <c r="S87" s="3"/>
      <c r="T87" s="102"/>
      <c r="U87" s="102"/>
      <c r="V87" s="102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102"/>
      <c r="AV87" s="102"/>
    </row>
    <row r="88" ht="15.0" customHeight="1">
      <c r="A88" s="95">
        <v>87.0</v>
      </c>
      <c r="B88" s="91" t="s">
        <v>48</v>
      </c>
      <c r="C88" s="107" t="s">
        <v>318</v>
      </c>
      <c r="D88" s="107" t="s">
        <v>329</v>
      </c>
      <c r="E88" s="109">
        <v>4.0</v>
      </c>
      <c r="F88" s="117">
        <v>42586.0</v>
      </c>
      <c r="G88" s="104" t="s">
        <v>330</v>
      </c>
      <c r="H88" s="104">
        <v>4.158663423E9</v>
      </c>
      <c r="I88" s="104" t="s">
        <v>331</v>
      </c>
      <c r="J88" s="115">
        <v>45931.0</v>
      </c>
      <c r="K88" s="116" t="s">
        <v>332</v>
      </c>
      <c r="L88" s="116">
        <v>36.0</v>
      </c>
      <c r="M88" s="107"/>
      <c r="N88" s="96" t="s">
        <v>40</v>
      </c>
      <c r="O88" s="107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102"/>
      <c r="AA88" s="102"/>
      <c r="AB88" s="102"/>
      <c r="AC88" s="102"/>
      <c r="AD88" s="102"/>
      <c r="AE88" s="102"/>
      <c r="AF88" s="102"/>
      <c r="AG88" s="102"/>
      <c r="AH88" s="102"/>
      <c r="AI88" s="102"/>
      <c r="AJ88" s="102"/>
      <c r="AK88" s="102"/>
      <c r="AL88" s="102"/>
      <c r="AM88" s="102"/>
      <c r="AN88" s="102"/>
      <c r="AO88" s="102"/>
      <c r="AP88" s="102"/>
      <c r="AQ88" s="102"/>
      <c r="AR88" s="102"/>
      <c r="AS88" s="102"/>
      <c r="AT88" s="102"/>
      <c r="AU88" s="102"/>
      <c r="AV88" s="102"/>
    </row>
    <row r="89" ht="17.25" customHeight="1">
      <c r="A89" s="95">
        <v>88.0</v>
      </c>
      <c r="B89" s="96" t="s">
        <v>48</v>
      </c>
      <c r="C89" s="91" t="s">
        <v>333</v>
      </c>
      <c r="D89" s="107" t="s">
        <v>334</v>
      </c>
      <c r="E89" s="109" t="s">
        <v>141</v>
      </c>
      <c r="F89" s="117">
        <v>43744.0</v>
      </c>
      <c r="G89" s="113" t="s">
        <v>335</v>
      </c>
      <c r="H89" s="104">
        <v>4.792681126E9</v>
      </c>
      <c r="I89" s="104" t="s">
        <v>336</v>
      </c>
      <c r="J89" s="115">
        <v>45845.0</v>
      </c>
      <c r="K89" s="116" t="s">
        <v>183</v>
      </c>
      <c r="L89" s="116">
        <v>36.0</v>
      </c>
      <c r="M89" s="107"/>
      <c r="N89" s="96" t="s">
        <v>40</v>
      </c>
      <c r="O89" s="108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102"/>
      <c r="AV89" s="102"/>
    </row>
    <row r="90" ht="17.25" customHeight="1">
      <c r="A90" s="95">
        <v>89.0</v>
      </c>
      <c r="B90" s="96" t="s">
        <v>88</v>
      </c>
      <c r="C90" s="91" t="s">
        <v>333</v>
      </c>
      <c r="D90" s="107" t="s">
        <v>334</v>
      </c>
      <c r="E90" s="109" t="s">
        <v>141</v>
      </c>
      <c r="F90" s="117">
        <v>43744.0</v>
      </c>
      <c r="G90" s="113" t="s">
        <v>337</v>
      </c>
      <c r="H90" s="104">
        <v>4.792681126E9</v>
      </c>
      <c r="I90" s="104" t="s">
        <v>336</v>
      </c>
      <c r="J90" s="115">
        <v>45845.0</v>
      </c>
      <c r="K90" s="116" t="s">
        <v>132</v>
      </c>
      <c r="L90" s="116">
        <v>1.0</v>
      </c>
      <c r="M90" s="107"/>
      <c r="N90" s="96" t="s">
        <v>40</v>
      </c>
      <c r="O90" s="108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102"/>
      <c r="AV90" s="102"/>
    </row>
    <row r="91" ht="17.25" customHeight="1">
      <c r="A91" s="95">
        <v>90.0</v>
      </c>
      <c r="B91" s="91" t="s">
        <v>48</v>
      </c>
      <c r="C91" s="107" t="s">
        <v>338</v>
      </c>
      <c r="D91" s="107" t="s">
        <v>339</v>
      </c>
      <c r="E91" s="109">
        <v>2.0</v>
      </c>
      <c r="F91" s="117">
        <v>43245.0</v>
      </c>
      <c r="G91" s="104" t="s">
        <v>340</v>
      </c>
      <c r="H91" s="104">
        <v>8.458253485E9</v>
      </c>
      <c r="I91" s="104" t="s">
        <v>341</v>
      </c>
      <c r="J91" s="115">
        <v>45931.0</v>
      </c>
      <c r="K91" s="116" t="s">
        <v>138</v>
      </c>
      <c r="L91" s="116">
        <v>16.0</v>
      </c>
      <c r="M91" s="107"/>
      <c r="N91" s="96" t="s">
        <v>40</v>
      </c>
      <c r="O91" s="107"/>
      <c r="P91" s="102"/>
      <c r="Q91" s="102"/>
      <c r="R91" s="102"/>
      <c r="S91" s="102"/>
      <c r="T91" s="102"/>
      <c r="U91" s="102"/>
      <c r="V91" s="102"/>
      <c r="W91" s="102"/>
      <c r="X91" s="102"/>
      <c r="Y91" s="102"/>
      <c r="Z91" s="102"/>
      <c r="AA91" s="102"/>
      <c r="AB91" s="102"/>
      <c r="AC91" s="102"/>
      <c r="AD91" s="102"/>
      <c r="AE91" s="102"/>
      <c r="AF91" s="102"/>
      <c r="AG91" s="102"/>
      <c r="AH91" s="102"/>
      <c r="AI91" s="102"/>
      <c r="AJ91" s="102"/>
      <c r="AK91" s="102"/>
      <c r="AL91" s="102"/>
      <c r="AM91" s="102"/>
      <c r="AN91" s="102"/>
      <c r="AO91" s="102"/>
      <c r="AP91" s="102"/>
      <c r="AQ91" s="102"/>
      <c r="AR91" s="102"/>
      <c r="AS91" s="102"/>
      <c r="AT91" s="102"/>
      <c r="AU91" s="102"/>
      <c r="AV91" s="102"/>
    </row>
    <row r="92" ht="17.25" customHeight="1">
      <c r="A92" s="95">
        <v>91.0</v>
      </c>
      <c r="B92" s="91" t="s">
        <v>88</v>
      </c>
      <c r="C92" s="107" t="s">
        <v>338</v>
      </c>
      <c r="D92" s="107" t="s">
        <v>342</v>
      </c>
      <c r="E92" s="109">
        <v>2.0</v>
      </c>
      <c r="F92" s="117">
        <v>43246.0</v>
      </c>
      <c r="G92" s="104" t="s">
        <v>343</v>
      </c>
      <c r="H92" s="104">
        <v>8.458253485E9</v>
      </c>
      <c r="I92" s="104" t="s">
        <v>341</v>
      </c>
      <c r="J92" s="115">
        <v>45931.0</v>
      </c>
      <c r="K92" s="116" t="s">
        <v>125</v>
      </c>
      <c r="L92" s="116">
        <v>71.0</v>
      </c>
      <c r="M92" s="107"/>
      <c r="N92" s="96" t="s">
        <v>40</v>
      </c>
      <c r="O92" s="107"/>
      <c r="P92" s="102"/>
      <c r="Q92" s="102"/>
      <c r="R92" s="102"/>
      <c r="S92" s="102"/>
      <c r="T92" s="102"/>
      <c r="U92" s="102"/>
      <c r="V92" s="102"/>
      <c r="W92" s="102"/>
      <c r="X92" s="102"/>
      <c r="Y92" s="102"/>
      <c r="Z92" s="102"/>
      <c r="AA92" s="102"/>
      <c r="AB92" s="102"/>
      <c r="AC92" s="102"/>
      <c r="AD92" s="102"/>
      <c r="AE92" s="102" t="s">
        <v>344</v>
      </c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</row>
    <row r="93" ht="17.25" customHeight="1">
      <c r="A93" s="95">
        <v>92.0</v>
      </c>
      <c r="B93" s="91" t="s">
        <v>48</v>
      </c>
      <c r="C93" s="107" t="s">
        <v>345</v>
      </c>
      <c r="D93" s="107" t="s">
        <v>346</v>
      </c>
      <c r="E93" s="109" t="s">
        <v>141</v>
      </c>
      <c r="F93" s="117" t="s">
        <v>347</v>
      </c>
      <c r="G93" s="104" t="s">
        <v>348</v>
      </c>
      <c r="H93" s="104">
        <v>4.08393687E9</v>
      </c>
      <c r="I93" s="104" t="s">
        <v>349</v>
      </c>
      <c r="J93" s="115">
        <v>45888.0</v>
      </c>
      <c r="K93" s="116" t="s">
        <v>138</v>
      </c>
      <c r="L93" s="116">
        <v>1.0</v>
      </c>
      <c r="M93" s="107"/>
      <c r="N93" s="96" t="s">
        <v>40</v>
      </c>
      <c r="O93" s="107"/>
      <c r="P93" s="102"/>
      <c r="Q93" s="102"/>
      <c r="R93" s="102"/>
      <c r="S93" s="102"/>
      <c r="T93" s="102"/>
      <c r="U93" s="102"/>
      <c r="V93" s="102"/>
      <c r="W93" s="102"/>
      <c r="X93" s="102"/>
      <c r="Y93" s="102"/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</row>
    <row r="94" ht="17.25" customHeight="1">
      <c r="A94" s="95">
        <v>93.0</v>
      </c>
      <c r="B94" s="91" t="s">
        <v>88</v>
      </c>
      <c r="C94" s="107" t="s">
        <v>345</v>
      </c>
      <c r="D94" s="107" t="s">
        <v>346</v>
      </c>
      <c r="E94" s="109" t="s">
        <v>141</v>
      </c>
      <c r="F94" s="117" t="s">
        <v>347</v>
      </c>
      <c r="G94" s="104" t="s">
        <v>348</v>
      </c>
      <c r="H94" s="104">
        <v>4.08393687E9</v>
      </c>
      <c r="I94" s="104" t="s">
        <v>349</v>
      </c>
      <c r="J94" s="115">
        <v>45888.0</v>
      </c>
      <c r="K94" s="116" t="s">
        <v>125</v>
      </c>
      <c r="L94" s="116">
        <v>41.0</v>
      </c>
      <c r="M94" s="107"/>
      <c r="N94" s="96" t="s">
        <v>40</v>
      </c>
      <c r="O94" s="107"/>
      <c r="P94" s="102"/>
      <c r="Q94" s="102"/>
      <c r="R94" s="102"/>
      <c r="S94" s="102"/>
      <c r="T94" s="102"/>
      <c r="U94" s="102"/>
      <c r="V94" s="102"/>
      <c r="W94" s="102"/>
      <c r="X94" s="102"/>
      <c r="Y94" s="102"/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</row>
    <row r="95" ht="17.25" customHeight="1">
      <c r="A95" s="95">
        <v>94.0</v>
      </c>
      <c r="B95" s="91" t="s">
        <v>48</v>
      </c>
      <c r="C95" s="107" t="s">
        <v>350</v>
      </c>
      <c r="D95" s="107" t="s">
        <v>351</v>
      </c>
      <c r="E95" s="109" t="s">
        <v>141</v>
      </c>
      <c r="F95" s="117">
        <v>43876.0</v>
      </c>
      <c r="G95" s="104" t="s">
        <v>352</v>
      </c>
      <c r="H95" s="104">
        <v>4.088297446E9</v>
      </c>
      <c r="I95" s="104" t="s">
        <v>353</v>
      </c>
      <c r="J95" s="115">
        <v>45888.0</v>
      </c>
      <c r="K95" s="116" t="s">
        <v>138</v>
      </c>
      <c r="L95" s="116">
        <v>21.0</v>
      </c>
      <c r="M95" s="107"/>
      <c r="N95" s="96" t="s">
        <v>40</v>
      </c>
      <c r="O95" s="107"/>
      <c r="P95" s="102"/>
      <c r="Q95" s="102"/>
      <c r="R95" s="102"/>
      <c r="S95" s="102"/>
      <c r="T95" s="102"/>
      <c r="U95" s="102"/>
      <c r="V95" s="102"/>
      <c r="W95" s="102"/>
      <c r="X95" s="102"/>
      <c r="Y95" s="102"/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</row>
    <row r="96" ht="17.25" customHeight="1">
      <c r="A96" s="95">
        <v>95.0</v>
      </c>
      <c r="B96" s="91" t="s">
        <v>88</v>
      </c>
      <c r="C96" s="100" t="s">
        <v>350</v>
      </c>
      <c r="D96" s="100" t="s">
        <v>351</v>
      </c>
      <c r="E96" s="109" t="s">
        <v>141</v>
      </c>
      <c r="F96" s="117">
        <v>43876.0</v>
      </c>
      <c r="G96" s="100" t="s">
        <v>352</v>
      </c>
      <c r="H96" s="100">
        <v>4.088297446E9</v>
      </c>
      <c r="I96" s="100" t="s">
        <v>353</v>
      </c>
      <c r="J96" s="115">
        <v>45888.0</v>
      </c>
      <c r="K96" s="116" t="s">
        <v>132</v>
      </c>
      <c r="L96" s="116">
        <v>71.0</v>
      </c>
      <c r="M96" s="100"/>
      <c r="N96" s="96" t="s">
        <v>40</v>
      </c>
      <c r="O96" s="101"/>
      <c r="P96" s="3"/>
      <c r="Q96" s="3"/>
      <c r="R96" s="3"/>
      <c r="S96" s="3"/>
      <c r="T96" s="121"/>
      <c r="U96" s="121"/>
      <c r="V96" s="122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102"/>
      <c r="AV96" s="102"/>
    </row>
    <row r="97" ht="17.25" customHeight="1">
      <c r="A97" s="95">
        <v>96.0</v>
      </c>
      <c r="B97" s="91" t="s">
        <v>48</v>
      </c>
      <c r="C97" s="113" t="s">
        <v>354</v>
      </c>
      <c r="D97" s="113" t="s">
        <v>355</v>
      </c>
      <c r="E97" s="109" t="s">
        <v>141</v>
      </c>
      <c r="F97" s="120" t="s">
        <v>356</v>
      </c>
      <c r="G97" s="100" t="s">
        <v>357</v>
      </c>
      <c r="H97" s="100">
        <v>4.086054758E9</v>
      </c>
      <c r="I97" s="100" t="s">
        <v>358</v>
      </c>
      <c r="J97" s="115" t="s">
        <v>359</v>
      </c>
      <c r="K97" s="116" t="s">
        <v>192</v>
      </c>
      <c r="L97" s="116">
        <v>96.0</v>
      </c>
      <c r="M97" s="100"/>
      <c r="N97" s="96" t="s">
        <v>40</v>
      </c>
      <c r="O97" s="108"/>
      <c r="P97" s="3"/>
      <c r="Q97" s="3"/>
      <c r="R97" s="3"/>
      <c r="S97" s="3"/>
      <c r="T97" s="121"/>
      <c r="U97" s="121"/>
      <c r="V97" s="122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102"/>
      <c r="AV97" s="102"/>
    </row>
    <row r="98" ht="17.25" customHeight="1">
      <c r="A98" s="95">
        <v>97.0</v>
      </c>
      <c r="B98" s="91" t="s">
        <v>48</v>
      </c>
      <c r="C98" s="100" t="s">
        <v>354</v>
      </c>
      <c r="D98" s="100" t="s">
        <v>355</v>
      </c>
      <c r="E98" s="109" t="s">
        <v>141</v>
      </c>
      <c r="F98" s="117" t="s">
        <v>356</v>
      </c>
      <c r="G98" s="100" t="s">
        <v>357</v>
      </c>
      <c r="H98" s="100">
        <v>4.086054758E9</v>
      </c>
      <c r="I98" s="100" t="s">
        <v>358</v>
      </c>
      <c r="J98" s="115" t="s">
        <v>360</v>
      </c>
      <c r="K98" s="116" t="s">
        <v>111</v>
      </c>
      <c r="L98" s="116">
        <v>37.0</v>
      </c>
      <c r="M98" s="100" t="s">
        <v>361</v>
      </c>
      <c r="N98" s="96" t="s">
        <v>40</v>
      </c>
      <c r="O98" s="101"/>
      <c r="P98" s="3"/>
      <c r="Q98" s="3"/>
      <c r="R98" s="3"/>
      <c r="S98" s="3"/>
      <c r="T98" s="121"/>
      <c r="U98" s="121"/>
      <c r="V98" s="122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102"/>
      <c r="AV98" s="102"/>
    </row>
    <row r="99" ht="17.25" customHeight="1">
      <c r="A99" s="95">
        <v>98.0</v>
      </c>
      <c r="B99" s="91" t="s">
        <v>48</v>
      </c>
      <c r="C99" s="113" t="s">
        <v>362</v>
      </c>
      <c r="D99" s="113" t="s">
        <v>363</v>
      </c>
      <c r="E99" s="109">
        <v>1.0</v>
      </c>
      <c r="F99" s="120">
        <v>42695.0</v>
      </c>
      <c r="G99" s="100" t="s">
        <v>364</v>
      </c>
      <c r="H99" s="100">
        <v>5.103147991E9</v>
      </c>
      <c r="I99" s="100" t="s">
        <v>365</v>
      </c>
      <c r="J99" s="115">
        <v>45523.0</v>
      </c>
      <c r="K99" s="116" t="s">
        <v>198</v>
      </c>
      <c r="L99" s="116">
        <v>46.0</v>
      </c>
      <c r="M99" s="100"/>
      <c r="N99" s="96" t="s">
        <v>40</v>
      </c>
      <c r="O99" s="108"/>
      <c r="P99" s="3"/>
      <c r="Q99" s="3"/>
      <c r="R99" s="3"/>
      <c r="S99" s="3"/>
      <c r="T99" s="121"/>
      <c r="U99" s="121"/>
      <c r="V99" s="122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102"/>
      <c r="AV99" s="102"/>
    </row>
    <row r="100" ht="17.25" customHeight="1">
      <c r="A100" s="95">
        <v>99.0</v>
      </c>
      <c r="B100" s="91" t="s">
        <v>88</v>
      </c>
      <c r="C100" s="100" t="s">
        <v>362</v>
      </c>
      <c r="D100" s="100" t="s">
        <v>363</v>
      </c>
      <c r="E100" s="109">
        <v>1.0</v>
      </c>
      <c r="F100" s="117">
        <v>42695.0</v>
      </c>
      <c r="G100" s="100" t="s">
        <v>364</v>
      </c>
      <c r="H100" s="100">
        <v>5.103147991E9</v>
      </c>
      <c r="I100" s="100" t="s">
        <v>365</v>
      </c>
      <c r="J100" s="115">
        <v>45523.0</v>
      </c>
      <c r="K100" s="116" t="s">
        <v>366</v>
      </c>
      <c r="L100" s="116">
        <v>21.0</v>
      </c>
      <c r="M100" s="100"/>
      <c r="N100" s="96" t="s">
        <v>40</v>
      </c>
      <c r="O100" s="101"/>
      <c r="P100" s="3"/>
      <c r="Q100" s="3"/>
      <c r="R100" s="3"/>
      <c r="S100" s="3"/>
      <c r="T100" s="121"/>
      <c r="U100" s="121"/>
      <c r="V100" s="12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102"/>
      <c r="AV100" s="102"/>
    </row>
    <row r="101" ht="17.25" customHeight="1">
      <c r="A101" s="95">
        <v>100.0</v>
      </c>
      <c r="B101" s="91" t="s">
        <v>88</v>
      </c>
      <c r="C101" s="113" t="s">
        <v>362</v>
      </c>
      <c r="D101" s="113" t="s">
        <v>367</v>
      </c>
      <c r="E101" s="109">
        <v>1.0</v>
      </c>
      <c r="F101" s="120">
        <v>42695.0</v>
      </c>
      <c r="G101" s="100" t="s">
        <v>364</v>
      </c>
      <c r="H101" s="100">
        <v>5.103147991E9</v>
      </c>
      <c r="I101" s="100" t="s">
        <v>365</v>
      </c>
      <c r="J101" s="115">
        <v>45523.0</v>
      </c>
      <c r="K101" s="116" t="s">
        <v>199</v>
      </c>
      <c r="L101" s="116">
        <v>35.0</v>
      </c>
      <c r="M101" s="100"/>
      <c r="N101" s="96" t="s">
        <v>40</v>
      </c>
      <c r="O101" s="108"/>
      <c r="P101" s="3"/>
      <c r="Q101" s="3"/>
      <c r="R101" s="3"/>
      <c r="S101" s="3"/>
      <c r="T101" s="121"/>
      <c r="U101" s="121"/>
      <c r="V101" s="12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102"/>
      <c r="AV101" s="102"/>
    </row>
    <row r="102" ht="17.25" customHeight="1">
      <c r="A102" s="95">
        <v>101.0</v>
      </c>
      <c r="B102" s="91" t="s">
        <v>48</v>
      </c>
      <c r="C102" s="100" t="s">
        <v>362</v>
      </c>
      <c r="D102" s="100" t="s">
        <v>367</v>
      </c>
      <c r="E102" s="109">
        <v>1.0</v>
      </c>
      <c r="F102" s="117">
        <v>42695.0</v>
      </c>
      <c r="G102" s="100" t="s">
        <v>364</v>
      </c>
      <c r="H102" s="100">
        <v>5.103147991E9</v>
      </c>
      <c r="I102" s="100" t="s">
        <v>365</v>
      </c>
      <c r="J102" s="115">
        <v>45523.0</v>
      </c>
      <c r="K102" s="116" t="s">
        <v>198</v>
      </c>
      <c r="L102" s="116">
        <v>41.0</v>
      </c>
      <c r="M102" s="100"/>
      <c r="N102" s="96" t="s">
        <v>40</v>
      </c>
      <c r="O102" s="107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102"/>
      <c r="AV102" s="102"/>
    </row>
    <row r="103" ht="17.25" customHeight="1">
      <c r="A103" s="95">
        <v>102.0</v>
      </c>
      <c r="B103" s="91" t="s">
        <v>48</v>
      </c>
      <c r="C103" s="100" t="s">
        <v>368</v>
      </c>
      <c r="D103" s="100" t="s">
        <v>145</v>
      </c>
      <c r="E103" s="109" t="s">
        <v>141</v>
      </c>
      <c r="F103" s="117">
        <v>43274.0</v>
      </c>
      <c r="G103" s="100" t="s">
        <v>369</v>
      </c>
      <c r="H103" s="100">
        <v>2.544004292E9</v>
      </c>
      <c r="I103" s="100" t="s">
        <v>370</v>
      </c>
      <c r="J103" s="115">
        <v>45870.0</v>
      </c>
      <c r="K103" s="116" t="s">
        <v>192</v>
      </c>
      <c r="L103" s="116">
        <v>91.0</v>
      </c>
      <c r="M103" s="100"/>
      <c r="N103" s="96" t="s">
        <v>40</v>
      </c>
      <c r="O103" s="101"/>
      <c r="P103" s="3"/>
      <c r="Q103" s="3"/>
      <c r="R103" s="3"/>
      <c r="S103" s="3"/>
      <c r="T103" s="121"/>
      <c r="U103" s="121"/>
      <c r="V103" s="12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102"/>
      <c r="AV103" s="102"/>
    </row>
    <row r="104" ht="17.25" customHeight="1">
      <c r="A104" s="95">
        <v>103.0</v>
      </c>
      <c r="B104" s="91" t="s">
        <v>88</v>
      </c>
      <c r="C104" s="100" t="s">
        <v>368</v>
      </c>
      <c r="D104" s="100" t="s">
        <v>145</v>
      </c>
      <c r="E104" s="109" t="s">
        <v>141</v>
      </c>
      <c r="F104" s="117">
        <v>43274.0</v>
      </c>
      <c r="G104" s="100" t="s">
        <v>369</v>
      </c>
      <c r="H104" s="100">
        <v>2.544004292E9</v>
      </c>
      <c r="I104" s="100" t="s">
        <v>370</v>
      </c>
      <c r="J104" s="115">
        <v>45870.0</v>
      </c>
      <c r="K104" s="116" t="s">
        <v>111</v>
      </c>
      <c r="L104" s="116">
        <v>35.0</v>
      </c>
      <c r="M104" s="100"/>
      <c r="N104" s="96" t="s">
        <v>40</v>
      </c>
      <c r="O104" s="101"/>
      <c r="P104" s="3"/>
      <c r="Q104" s="3"/>
      <c r="R104" s="3"/>
      <c r="S104" s="3"/>
      <c r="T104" s="144"/>
      <c r="U104" s="144"/>
      <c r="V104" s="145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102"/>
      <c r="AV104" s="102"/>
    </row>
    <row r="105" ht="17.25" customHeight="1">
      <c r="A105" s="95">
        <v>104.0</v>
      </c>
      <c r="B105" s="91" t="s">
        <v>48</v>
      </c>
      <c r="C105" s="113" t="s">
        <v>371</v>
      </c>
      <c r="D105" s="113" t="s">
        <v>372</v>
      </c>
      <c r="E105" s="109">
        <v>3.0</v>
      </c>
      <c r="F105" s="120">
        <v>42836.0</v>
      </c>
      <c r="G105" s="100" t="s">
        <v>373</v>
      </c>
      <c r="H105" s="100">
        <v>9.256635744E9</v>
      </c>
      <c r="I105" s="100" t="s">
        <v>374</v>
      </c>
      <c r="J105" s="115">
        <v>45888.0</v>
      </c>
      <c r="K105" s="116" t="s">
        <v>375</v>
      </c>
      <c r="L105" s="116">
        <v>5.0</v>
      </c>
      <c r="M105" s="100"/>
      <c r="N105" s="96" t="s">
        <v>40</v>
      </c>
      <c r="O105" s="108"/>
      <c r="P105" s="3"/>
      <c r="Q105" s="3"/>
      <c r="R105" s="3"/>
      <c r="S105" s="3"/>
      <c r="T105" s="144"/>
      <c r="U105" s="144"/>
      <c r="V105" s="145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102"/>
      <c r="AV105" s="102"/>
    </row>
    <row r="106" ht="17.25" customHeight="1">
      <c r="A106" s="95">
        <v>105.0</v>
      </c>
      <c r="B106" s="91" t="s">
        <v>88</v>
      </c>
      <c r="C106" s="113" t="s">
        <v>371</v>
      </c>
      <c r="D106" s="113" t="s">
        <v>372</v>
      </c>
      <c r="E106" s="109">
        <v>3.0</v>
      </c>
      <c r="F106" s="120">
        <v>42836.0</v>
      </c>
      <c r="G106" s="100" t="s">
        <v>373</v>
      </c>
      <c r="H106" s="100">
        <v>9.256635744E9</v>
      </c>
      <c r="I106" s="100" t="s">
        <v>374</v>
      </c>
      <c r="J106" s="115">
        <v>45888.0</v>
      </c>
      <c r="K106" s="116" t="s">
        <v>211</v>
      </c>
      <c r="L106" s="116">
        <v>5.0</v>
      </c>
      <c r="M106" s="100"/>
      <c r="N106" s="96" t="s">
        <v>40</v>
      </c>
      <c r="O106" s="108"/>
      <c r="P106" s="3"/>
      <c r="Q106" s="3"/>
      <c r="R106" s="3"/>
      <c r="S106" s="3"/>
      <c r="T106" s="144"/>
      <c r="U106" s="144"/>
      <c r="V106" s="145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102"/>
      <c r="AV106" s="102"/>
    </row>
    <row r="107" ht="17.25" customHeight="1">
      <c r="A107" s="95">
        <v>106.0</v>
      </c>
      <c r="B107" s="91" t="s">
        <v>48</v>
      </c>
      <c r="C107" s="100" t="s">
        <v>376</v>
      </c>
      <c r="D107" s="100" t="s">
        <v>377</v>
      </c>
      <c r="E107" s="109" t="s">
        <v>378</v>
      </c>
      <c r="F107" s="117" t="s">
        <v>379</v>
      </c>
      <c r="G107" s="100" t="s">
        <v>380</v>
      </c>
      <c r="H107" s="100">
        <v>7.063088178E9</v>
      </c>
      <c r="I107" s="100" t="s">
        <v>381</v>
      </c>
      <c r="J107" s="115">
        <v>45889.0</v>
      </c>
      <c r="K107" s="116" t="s">
        <v>192</v>
      </c>
      <c r="L107" s="116">
        <v>45.0</v>
      </c>
      <c r="M107" s="100"/>
      <c r="N107" s="96" t="s">
        <v>40</v>
      </c>
      <c r="O107" s="101"/>
      <c r="P107" s="3"/>
      <c r="Q107" s="3"/>
      <c r="R107" s="3"/>
      <c r="S107" s="3"/>
      <c r="T107" s="144"/>
      <c r="U107" s="144"/>
      <c r="V107" s="145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102"/>
      <c r="AV107" s="102"/>
    </row>
    <row r="108" ht="17.25" customHeight="1">
      <c r="A108" s="95">
        <v>107.0</v>
      </c>
      <c r="B108" s="91" t="s">
        <v>88</v>
      </c>
      <c r="C108" s="100" t="s">
        <v>376</v>
      </c>
      <c r="D108" s="100" t="s">
        <v>377</v>
      </c>
      <c r="E108" s="109" t="s">
        <v>378</v>
      </c>
      <c r="F108" s="117" t="s">
        <v>379</v>
      </c>
      <c r="G108" s="100" t="s">
        <v>380</v>
      </c>
      <c r="H108" s="100">
        <v>7.063088178E9</v>
      </c>
      <c r="I108" s="100" t="s">
        <v>381</v>
      </c>
      <c r="J108" s="115">
        <v>45888.0</v>
      </c>
      <c r="K108" s="116" t="s">
        <v>132</v>
      </c>
      <c r="L108" s="116">
        <v>105.0</v>
      </c>
      <c r="M108" s="100"/>
      <c r="N108" s="96" t="s">
        <v>40</v>
      </c>
      <c r="O108" s="101"/>
      <c r="P108" s="3"/>
      <c r="Q108" s="3"/>
      <c r="R108" s="3"/>
      <c r="S108" s="3"/>
      <c r="T108" s="144"/>
      <c r="U108" s="144"/>
      <c r="V108" s="145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102"/>
      <c r="AV108" s="102"/>
    </row>
    <row r="109" ht="17.25" customHeight="1">
      <c r="A109" s="95">
        <v>108.0</v>
      </c>
      <c r="B109" s="91" t="s">
        <v>48</v>
      </c>
      <c r="C109" s="100" t="s">
        <v>376</v>
      </c>
      <c r="D109" s="100" t="s">
        <v>382</v>
      </c>
      <c r="E109" s="109">
        <v>1.0</v>
      </c>
      <c r="F109" s="117" t="s">
        <v>383</v>
      </c>
      <c r="G109" s="100" t="s">
        <v>384</v>
      </c>
      <c r="H109" s="100">
        <v>4.088390577E9</v>
      </c>
      <c r="I109" s="100" t="s">
        <v>385</v>
      </c>
      <c r="J109" s="115">
        <v>45887.0</v>
      </c>
      <c r="K109" s="116" t="s">
        <v>138</v>
      </c>
      <c r="L109" s="116">
        <v>56.0</v>
      </c>
      <c r="M109" s="100"/>
      <c r="N109" s="96" t="s">
        <v>40</v>
      </c>
      <c r="O109" s="101"/>
      <c r="P109" s="3"/>
      <c r="Q109" s="3"/>
      <c r="R109" s="3"/>
      <c r="S109" s="3"/>
      <c r="T109" s="144"/>
      <c r="U109" s="144"/>
      <c r="V109" s="145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102"/>
      <c r="AV109" s="102"/>
    </row>
    <row r="110" ht="17.25" customHeight="1">
      <c r="A110" s="95">
        <v>109.0</v>
      </c>
      <c r="B110" s="91" t="s">
        <v>88</v>
      </c>
      <c r="C110" s="100" t="s">
        <v>376</v>
      </c>
      <c r="D110" s="100" t="s">
        <v>382</v>
      </c>
      <c r="E110" s="109">
        <v>1.0</v>
      </c>
      <c r="F110" s="117" t="s">
        <v>383</v>
      </c>
      <c r="G110" s="100" t="s">
        <v>384</v>
      </c>
      <c r="H110" s="100">
        <v>4.088390577E9</v>
      </c>
      <c r="I110" s="100" t="s">
        <v>385</v>
      </c>
      <c r="J110" s="115">
        <v>45887.0</v>
      </c>
      <c r="K110" s="116" t="s">
        <v>125</v>
      </c>
      <c r="L110" s="116">
        <v>51.0</v>
      </c>
      <c r="M110" s="100"/>
      <c r="N110" s="96" t="s">
        <v>40</v>
      </c>
      <c r="O110" s="101"/>
      <c r="P110" s="3"/>
      <c r="Q110" s="3"/>
      <c r="R110" s="3"/>
      <c r="S110" s="3"/>
      <c r="T110" s="144"/>
      <c r="U110" s="144"/>
      <c r="V110" s="145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102"/>
      <c r="AV110" s="102"/>
    </row>
    <row r="111" ht="17.25" customHeight="1">
      <c r="A111" s="95">
        <v>110.0</v>
      </c>
      <c r="B111" s="91" t="s">
        <v>48</v>
      </c>
      <c r="C111" s="100" t="s">
        <v>386</v>
      </c>
      <c r="D111" s="100" t="s">
        <v>387</v>
      </c>
      <c r="E111" s="109">
        <v>2.0</v>
      </c>
      <c r="F111" s="117">
        <v>42736.0</v>
      </c>
      <c r="G111" s="100" t="s">
        <v>388</v>
      </c>
      <c r="H111" s="100">
        <v>4.0880702E9</v>
      </c>
      <c r="I111" s="100" t="s">
        <v>389</v>
      </c>
      <c r="J111" s="115">
        <v>45323.0</v>
      </c>
      <c r="K111" s="116" t="s">
        <v>198</v>
      </c>
      <c r="L111" s="116">
        <v>15.0</v>
      </c>
      <c r="M111" s="100"/>
      <c r="N111" s="96" t="s">
        <v>40</v>
      </c>
      <c r="O111" s="107"/>
      <c r="P111" s="3"/>
      <c r="Q111" s="3"/>
      <c r="R111" s="3"/>
      <c r="S111" s="3"/>
      <c r="T111" s="146"/>
      <c r="U111" s="146"/>
      <c r="V111" s="146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102"/>
      <c r="AV111" s="102"/>
    </row>
    <row r="112" ht="17.25" customHeight="1">
      <c r="A112" s="95">
        <v>111.0</v>
      </c>
      <c r="B112" s="91" t="s">
        <v>88</v>
      </c>
      <c r="C112" s="100" t="s">
        <v>386</v>
      </c>
      <c r="D112" s="100" t="s">
        <v>387</v>
      </c>
      <c r="E112" s="109">
        <v>2.0</v>
      </c>
      <c r="F112" s="117">
        <v>42736.0</v>
      </c>
      <c r="G112" s="100" t="s">
        <v>388</v>
      </c>
      <c r="H112" s="100">
        <v>4.0880702E9</v>
      </c>
      <c r="I112" s="100" t="s">
        <v>389</v>
      </c>
      <c r="J112" s="115">
        <v>45525.0</v>
      </c>
      <c r="K112" s="116" t="s">
        <v>111</v>
      </c>
      <c r="L112" s="116">
        <v>55.0</v>
      </c>
      <c r="M112" s="100"/>
      <c r="N112" s="96" t="s">
        <v>40</v>
      </c>
      <c r="O112" s="107"/>
      <c r="P112" s="3"/>
      <c r="Q112" s="3"/>
      <c r="R112" s="3"/>
      <c r="S112" s="3"/>
      <c r="T112" s="146"/>
      <c r="U112" s="146"/>
      <c r="V112" s="146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102"/>
      <c r="AV112" s="102"/>
    </row>
    <row r="113" ht="17.25" customHeight="1">
      <c r="A113" s="95">
        <v>112.0</v>
      </c>
      <c r="B113" s="125" t="s">
        <v>88</v>
      </c>
      <c r="C113" s="126" t="s">
        <v>390</v>
      </c>
      <c r="D113" s="126" t="s">
        <v>391</v>
      </c>
      <c r="E113" s="127" t="s">
        <v>141</v>
      </c>
      <c r="F113" s="127">
        <v>44014.0</v>
      </c>
      <c r="G113" s="126" t="s">
        <v>392</v>
      </c>
      <c r="H113" s="126">
        <v>6.693018187E9</v>
      </c>
      <c r="I113" s="126" t="s">
        <v>393</v>
      </c>
      <c r="J113" s="128">
        <v>45992.0</v>
      </c>
      <c r="K113" s="126" t="s">
        <v>394</v>
      </c>
      <c r="L113" s="126">
        <v>71.0</v>
      </c>
      <c r="M113" s="126"/>
      <c r="N113" s="125" t="s">
        <v>40</v>
      </c>
      <c r="O113" s="129"/>
      <c r="P113" s="130"/>
      <c r="Q113" s="130"/>
      <c r="R113" s="130"/>
      <c r="S113" s="130"/>
      <c r="T113" s="147"/>
      <c r="U113" s="147"/>
      <c r="V113" s="147"/>
      <c r="W113" s="130"/>
      <c r="X113" s="130"/>
      <c r="Y113" s="130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30"/>
      <c r="AS113" s="130"/>
      <c r="AT113" s="130"/>
      <c r="AU113" s="131"/>
      <c r="AV113" s="131"/>
    </row>
    <row r="114" ht="17.25" customHeight="1">
      <c r="A114" s="95">
        <v>113.0</v>
      </c>
      <c r="B114" s="125" t="s">
        <v>48</v>
      </c>
      <c r="C114" s="126" t="s">
        <v>390</v>
      </c>
      <c r="D114" s="126" t="s">
        <v>391</v>
      </c>
      <c r="E114" s="127" t="s">
        <v>141</v>
      </c>
      <c r="F114" s="127">
        <v>44014.0</v>
      </c>
      <c r="G114" s="126" t="s">
        <v>392</v>
      </c>
      <c r="H114" s="126">
        <v>6.693018187E9</v>
      </c>
      <c r="I114" s="126" t="s">
        <v>393</v>
      </c>
      <c r="J114" s="128">
        <v>45992.0</v>
      </c>
      <c r="K114" s="126" t="s">
        <v>299</v>
      </c>
      <c r="L114" s="126">
        <v>1.0</v>
      </c>
      <c r="M114" s="126"/>
      <c r="N114" s="125" t="s">
        <v>40</v>
      </c>
      <c r="O114" s="129"/>
      <c r="P114" s="130"/>
      <c r="Q114" s="130"/>
      <c r="R114" s="130"/>
      <c r="S114" s="130"/>
      <c r="T114" s="147"/>
      <c r="U114" s="147"/>
      <c r="V114" s="147"/>
      <c r="W114" s="130"/>
      <c r="X114" s="130"/>
      <c r="Y114" s="130"/>
      <c r="Z114" s="130"/>
      <c r="AA114" s="130"/>
      <c r="AB114" s="130"/>
      <c r="AC114" s="130"/>
      <c r="AD114" s="130"/>
      <c r="AE114" s="130"/>
      <c r="AF114" s="130"/>
      <c r="AG114" s="130"/>
      <c r="AH114" s="130"/>
      <c r="AI114" s="130"/>
      <c r="AJ114" s="130"/>
      <c r="AK114" s="130"/>
      <c r="AL114" s="130"/>
      <c r="AM114" s="130"/>
      <c r="AN114" s="130"/>
      <c r="AO114" s="130"/>
      <c r="AP114" s="130"/>
      <c r="AQ114" s="130"/>
      <c r="AR114" s="130"/>
      <c r="AS114" s="130"/>
      <c r="AT114" s="130"/>
      <c r="AU114" s="131"/>
      <c r="AV114" s="131"/>
    </row>
    <row r="115" ht="17.25" customHeight="1">
      <c r="A115" s="95">
        <v>114.0</v>
      </c>
      <c r="B115" s="91" t="s">
        <v>48</v>
      </c>
      <c r="C115" s="113" t="s">
        <v>395</v>
      </c>
      <c r="D115" s="113" t="s">
        <v>396</v>
      </c>
      <c r="E115" s="109">
        <v>1.0</v>
      </c>
      <c r="F115" s="148">
        <v>43586.0</v>
      </c>
      <c r="G115" s="100" t="s">
        <v>397</v>
      </c>
      <c r="H115" s="100">
        <v>4.088934895E9</v>
      </c>
      <c r="I115" s="100" t="s">
        <v>398</v>
      </c>
      <c r="J115" s="115">
        <v>45888.0</v>
      </c>
      <c r="K115" s="116" t="s">
        <v>138</v>
      </c>
      <c r="L115" s="116">
        <v>66.0</v>
      </c>
      <c r="M115" s="100"/>
      <c r="N115" s="96" t="s">
        <v>40</v>
      </c>
      <c r="O115" s="108"/>
      <c r="P115" s="3"/>
      <c r="Q115" s="3"/>
      <c r="R115" s="3"/>
      <c r="S115" s="3"/>
      <c r="T115" s="144"/>
      <c r="U115" s="144"/>
      <c r="V115" s="145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102"/>
      <c r="AV115" s="102"/>
    </row>
    <row r="116" ht="17.25" customHeight="1">
      <c r="A116" s="95">
        <v>115.0</v>
      </c>
      <c r="B116" s="91" t="s">
        <v>88</v>
      </c>
      <c r="C116" s="113" t="s">
        <v>395</v>
      </c>
      <c r="D116" s="113" t="s">
        <v>396</v>
      </c>
      <c r="E116" s="109">
        <v>1.0</v>
      </c>
      <c r="F116" s="148">
        <v>43586.0</v>
      </c>
      <c r="G116" s="100" t="s">
        <v>397</v>
      </c>
      <c r="H116" s="100">
        <v>4.088934895E9</v>
      </c>
      <c r="I116" s="100" t="s">
        <v>398</v>
      </c>
      <c r="J116" s="115">
        <v>45888.0</v>
      </c>
      <c r="K116" s="116" t="s">
        <v>399</v>
      </c>
      <c r="L116" s="116">
        <v>91.0</v>
      </c>
      <c r="M116" s="100"/>
      <c r="N116" s="96" t="s">
        <v>40</v>
      </c>
      <c r="O116" s="108"/>
      <c r="P116" s="3"/>
      <c r="Q116" s="3"/>
      <c r="R116" s="3"/>
      <c r="S116" s="3"/>
      <c r="T116" s="144"/>
      <c r="U116" s="144"/>
      <c r="V116" s="145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102"/>
      <c r="AV116" s="102"/>
    </row>
    <row r="117" ht="17.25" customHeight="1">
      <c r="A117" s="95">
        <v>116.0</v>
      </c>
      <c r="B117" s="91" t="s">
        <v>48</v>
      </c>
      <c r="C117" s="113" t="s">
        <v>395</v>
      </c>
      <c r="D117" s="113" t="s">
        <v>400</v>
      </c>
      <c r="E117" s="109">
        <v>4.0</v>
      </c>
      <c r="F117" s="148">
        <v>42326.0</v>
      </c>
      <c r="G117" s="100" t="s">
        <v>397</v>
      </c>
      <c r="H117" s="100">
        <v>4.088934895E9</v>
      </c>
      <c r="I117" s="100" t="s">
        <v>398</v>
      </c>
      <c r="J117" s="115">
        <v>45888.0</v>
      </c>
      <c r="K117" s="116" t="s">
        <v>109</v>
      </c>
      <c r="L117" s="116">
        <v>106.0</v>
      </c>
      <c r="M117" s="100"/>
      <c r="N117" s="96" t="s">
        <v>40</v>
      </c>
      <c r="O117" s="108"/>
      <c r="P117" s="3"/>
      <c r="Q117" s="3"/>
      <c r="R117" s="3"/>
      <c r="S117" s="3"/>
      <c r="T117" s="144"/>
      <c r="U117" s="144"/>
      <c r="V117" s="145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102"/>
      <c r="AV117" s="102"/>
    </row>
    <row r="118" ht="17.25" customHeight="1">
      <c r="A118" s="95">
        <v>117.0</v>
      </c>
      <c r="B118" s="91" t="s">
        <v>88</v>
      </c>
      <c r="C118" s="113" t="s">
        <v>395</v>
      </c>
      <c r="D118" s="113" t="s">
        <v>400</v>
      </c>
      <c r="E118" s="109">
        <v>4.0</v>
      </c>
      <c r="F118" s="148">
        <v>42326.0</v>
      </c>
      <c r="G118" s="100" t="s">
        <v>397</v>
      </c>
      <c r="H118" s="100">
        <v>4.088934895E9</v>
      </c>
      <c r="I118" s="100" t="s">
        <v>398</v>
      </c>
      <c r="J118" s="115">
        <v>45888.0</v>
      </c>
      <c r="K118" s="116" t="s">
        <v>111</v>
      </c>
      <c r="L118" s="116">
        <v>56.0</v>
      </c>
      <c r="M118" s="100"/>
      <c r="N118" s="96" t="s">
        <v>40</v>
      </c>
      <c r="O118" s="108"/>
      <c r="P118" s="3"/>
      <c r="Q118" s="3"/>
      <c r="R118" s="3"/>
      <c r="S118" s="3"/>
      <c r="T118" s="144"/>
      <c r="U118" s="144"/>
      <c r="V118" s="145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102"/>
      <c r="AV118" s="102"/>
    </row>
    <row r="119" ht="17.25" customHeight="1">
      <c r="A119" s="95">
        <v>118.0</v>
      </c>
      <c r="B119" s="96" t="s">
        <v>48</v>
      </c>
      <c r="C119" s="95" t="s">
        <v>401</v>
      </c>
      <c r="D119" s="95" t="s">
        <v>402</v>
      </c>
      <c r="E119" s="95">
        <v>4.0</v>
      </c>
      <c r="F119" s="97">
        <v>42099.0</v>
      </c>
      <c r="G119" s="98" t="s">
        <v>403</v>
      </c>
      <c r="H119" s="98" t="s">
        <v>404</v>
      </c>
      <c r="I119" s="98" t="s">
        <v>404</v>
      </c>
      <c r="J119" s="97">
        <v>45931.0</v>
      </c>
      <c r="K119" s="99" t="s">
        <v>375</v>
      </c>
      <c r="L119" s="143">
        <v>31.0</v>
      </c>
      <c r="M119" s="95" t="s">
        <v>405</v>
      </c>
      <c r="N119" s="96" t="s">
        <v>40</v>
      </c>
      <c r="O119" s="101"/>
      <c r="P119" s="102"/>
      <c r="Q119" s="102"/>
      <c r="R119" s="102"/>
      <c r="S119" s="102"/>
      <c r="T119" s="149"/>
      <c r="U119" s="149"/>
      <c r="V119" s="149"/>
      <c r="W119" s="102"/>
      <c r="X119" s="102"/>
      <c r="Y119" s="102"/>
      <c r="Z119" s="102"/>
      <c r="AA119" s="102"/>
      <c r="AB119" s="102"/>
      <c r="AC119" s="102"/>
      <c r="AD119" s="102"/>
      <c r="AE119" s="102"/>
      <c r="AF119" s="102"/>
      <c r="AG119" s="102"/>
      <c r="AH119" s="102"/>
      <c r="AI119" s="102"/>
      <c r="AJ119" s="102"/>
      <c r="AK119" s="102"/>
      <c r="AL119" s="102"/>
      <c r="AM119" s="102"/>
      <c r="AN119" s="102"/>
      <c r="AO119" s="102"/>
      <c r="AP119" s="102"/>
      <c r="AQ119" s="102"/>
      <c r="AR119" s="102"/>
      <c r="AS119" s="102"/>
      <c r="AT119" s="102"/>
      <c r="AU119" s="102"/>
      <c r="AV119" s="102"/>
    </row>
    <row r="120" ht="17.25" customHeight="1">
      <c r="A120" s="95">
        <v>119.0</v>
      </c>
      <c r="B120" s="96" t="s">
        <v>88</v>
      </c>
      <c r="C120" s="95" t="s">
        <v>401</v>
      </c>
      <c r="D120" s="95" t="s">
        <v>402</v>
      </c>
      <c r="E120" s="95">
        <v>4.0</v>
      </c>
      <c r="F120" s="97">
        <v>42099.0</v>
      </c>
      <c r="G120" s="98" t="s">
        <v>403</v>
      </c>
      <c r="H120" s="98" t="s">
        <v>404</v>
      </c>
      <c r="I120" s="98" t="s">
        <v>404</v>
      </c>
      <c r="J120" s="97">
        <v>45931.0</v>
      </c>
      <c r="K120" s="99" t="s">
        <v>199</v>
      </c>
      <c r="L120" s="143">
        <v>40.0</v>
      </c>
      <c r="M120" s="95" t="s">
        <v>112</v>
      </c>
      <c r="N120" s="96" t="s">
        <v>40</v>
      </c>
      <c r="O120" s="101"/>
      <c r="P120" s="102"/>
      <c r="Q120" s="102"/>
      <c r="R120" s="102"/>
      <c r="S120" s="102"/>
      <c r="T120" s="149"/>
      <c r="U120" s="149"/>
      <c r="V120" s="149"/>
      <c r="W120" s="102"/>
      <c r="X120" s="102"/>
      <c r="Y120" s="102"/>
      <c r="Z120" s="102"/>
      <c r="AA120" s="102"/>
      <c r="AB120" s="102"/>
      <c r="AC120" s="102"/>
      <c r="AD120" s="102"/>
      <c r="AE120" s="102"/>
      <c r="AF120" s="102"/>
      <c r="AG120" s="102"/>
      <c r="AH120" s="102"/>
      <c r="AI120" s="102"/>
      <c r="AJ120" s="102"/>
      <c r="AK120" s="102"/>
      <c r="AL120" s="102"/>
      <c r="AM120" s="102"/>
      <c r="AN120" s="102"/>
      <c r="AO120" s="102"/>
      <c r="AP120" s="102"/>
      <c r="AQ120" s="102"/>
      <c r="AR120" s="102"/>
      <c r="AS120" s="102"/>
      <c r="AT120" s="102"/>
      <c r="AU120" s="102"/>
      <c r="AV120" s="102"/>
    </row>
    <row r="121" ht="17.25" customHeight="1">
      <c r="A121" s="95">
        <v>120.0</v>
      </c>
      <c r="B121" s="91" t="s">
        <v>48</v>
      </c>
      <c r="C121" s="107" t="s">
        <v>406</v>
      </c>
      <c r="D121" s="107" t="s">
        <v>407</v>
      </c>
      <c r="E121" s="109">
        <v>5.0</v>
      </c>
      <c r="F121" s="117">
        <v>42279.0</v>
      </c>
      <c r="G121" s="104" t="s">
        <v>408</v>
      </c>
      <c r="H121" s="104">
        <v>3.039316274E9</v>
      </c>
      <c r="I121" s="104" t="s">
        <v>409</v>
      </c>
      <c r="J121" s="115">
        <v>45936.0</v>
      </c>
      <c r="K121" s="116" t="s">
        <v>192</v>
      </c>
      <c r="L121" s="116">
        <v>26.0</v>
      </c>
      <c r="M121" s="107"/>
      <c r="N121" s="96" t="s">
        <v>40</v>
      </c>
      <c r="O121" s="107"/>
      <c r="P121" s="102"/>
      <c r="Q121" s="102"/>
      <c r="R121" s="102"/>
      <c r="S121" s="102"/>
      <c r="T121" s="149"/>
      <c r="U121" s="149"/>
      <c r="V121" s="149"/>
      <c r="W121" s="102"/>
      <c r="X121" s="102"/>
      <c r="Y121" s="102"/>
      <c r="Z121" s="102"/>
      <c r="AA121" s="102"/>
      <c r="AB121" s="102"/>
      <c r="AC121" s="102"/>
      <c r="AD121" s="102"/>
      <c r="AE121" s="102"/>
      <c r="AF121" s="102"/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</row>
    <row r="122" ht="17.25" customHeight="1">
      <c r="A122" s="95">
        <v>121.0</v>
      </c>
      <c r="B122" s="91" t="s">
        <v>88</v>
      </c>
      <c r="C122" s="107" t="s">
        <v>406</v>
      </c>
      <c r="D122" s="107" t="s">
        <v>410</v>
      </c>
      <c r="E122" s="109">
        <v>2.0</v>
      </c>
      <c r="F122" s="117">
        <v>43058.0</v>
      </c>
      <c r="G122" s="104" t="s">
        <v>411</v>
      </c>
      <c r="H122" s="104">
        <v>3.039316274E9</v>
      </c>
      <c r="I122" s="104" t="s">
        <v>409</v>
      </c>
      <c r="J122" s="115">
        <v>45936.0</v>
      </c>
      <c r="K122" s="116" t="s">
        <v>205</v>
      </c>
      <c r="L122" s="116">
        <v>26.0</v>
      </c>
      <c r="M122" s="107"/>
      <c r="N122" s="96" t="s">
        <v>40</v>
      </c>
      <c r="O122" s="107"/>
      <c r="P122" s="102"/>
      <c r="Q122" s="102"/>
      <c r="R122" s="102"/>
      <c r="S122" s="102"/>
      <c r="T122" s="149"/>
      <c r="U122" s="149"/>
      <c r="V122" s="149"/>
      <c r="W122" s="102"/>
      <c r="X122" s="102"/>
      <c r="Y122" s="102"/>
      <c r="Z122" s="102"/>
      <c r="AA122" s="102"/>
      <c r="AB122" s="102"/>
      <c r="AC122" s="102"/>
      <c r="AD122" s="102"/>
      <c r="AE122" s="102"/>
      <c r="AF122" s="102"/>
      <c r="AG122" s="102"/>
      <c r="AH122" s="102"/>
      <c r="AI122" s="102"/>
      <c r="AJ122" s="102"/>
      <c r="AK122" s="102"/>
      <c r="AL122" s="102"/>
      <c r="AM122" s="102"/>
      <c r="AN122" s="102"/>
      <c r="AO122" s="102"/>
      <c r="AP122" s="102"/>
      <c r="AQ122" s="102"/>
      <c r="AR122" s="102"/>
      <c r="AS122" s="102"/>
      <c r="AT122" s="102"/>
      <c r="AU122" s="102"/>
      <c r="AV122" s="102"/>
    </row>
    <row r="123" ht="17.25" customHeight="1">
      <c r="A123" s="95">
        <v>122.0</v>
      </c>
      <c r="B123" s="91" t="s">
        <v>48</v>
      </c>
      <c r="C123" s="107" t="s">
        <v>406</v>
      </c>
      <c r="D123" s="107" t="s">
        <v>410</v>
      </c>
      <c r="E123" s="109">
        <v>2.0</v>
      </c>
      <c r="F123" s="117">
        <v>43059.0</v>
      </c>
      <c r="G123" s="104" t="s">
        <v>412</v>
      </c>
      <c r="H123" s="104">
        <v>3.039316274E9</v>
      </c>
      <c r="I123" s="104" t="s">
        <v>409</v>
      </c>
      <c r="J123" s="115">
        <v>45936.0</v>
      </c>
      <c r="K123" s="116" t="s">
        <v>138</v>
      </c>
      <c r="L123" s="116">
        <v>26.0</v>
      </c>
      <c r="M123" s="107"/>
      <c r="N123" s="96" t="s">
        <v>40</v>
      </c>
      <c r="O123" s="107"/>
      <c r="P123" s="102"/>
      <c r="Q123" s="102"/>
      <c r="R123" s="102"/>
      <c r="S123" s="102"/>
      <c r="T123" s="149"/>
      <c r="U123" s="149"/>
      <c r="V123" s="149"/>
      <c r="W123" s="102"/>
      <c r="X123" s="102"/>
      <c r="Y123" s="102"/>
      <c r="Z123" s="102"/>
      <c r="AA123" s="102"/>
      <c r="AB123" s="102"/>
      <c r="AC123" s="102"/>
      <c r="AD123" s="102"/>
      <c r="AE123" s="102"/>
      <c r="AF123" s="102"/>
      <c r="AG123" s="102"/>
      <c r="AH123" s="102"/>
      <c r="AI123" s="102"/>
      <c r="AJ123" s="102"/>
      <c r="AK123" s="102"/>
      <c r="AL123" s="102"/>
      <c r="AM123" s="102"/>
      <c r="AN123" s="102"/>
      <c r="AO123" s="102"/>
      <c r="AP123" s="102"/>
      <c r="AQ123" s="102"/>
      <c r="AR123" s="102"/>
      <c r="AS123" s="102"/>
      <c r="AT123" s="102"/>
      <c r="AU123" s="102"/>
      <c r="AV123" s="102"/>
    </row>
    <row r="124" ht="17.25" customHeight="1">
      <c r="A124" s="95">
        <v>123.0</v>
      </c>
      <c r="B124" s="91" t="s">
        <v>48</v>
      </c>
      <c r="C124" s="107" t="s">
        <v>413</v>
      </c>
      <c r="D124" s="107" t="s">
        <v>414</v>
      </c>
      <c r="E124" s="109">
        <v>1.0</v>
      </c>
      <c r="F124" s="117">
        <v>43613.0</v>
      </c>
      <c r="G124" s="104" t="s">
        <v>415</v>
      </c>
      <c r="H124" s="104">
        <v>6.507406798E9</v>
      </c>
      <c r="I124" s="104" t="s">
        <v>416</v>
      </c>
      <c r="J124" s="115">
        <v>45809.0</v>
      </c>
      <c r="K124" s="116" t="s">
        <v>299</v>
      </c>
      <c r="L124" s="116">
        <v>56.0</v>
      </c>
      <c r="M124" s="118"/>
      <c r="N124" s="96" t="s">
        <v>40</v>
      </c>
      <c r="O124" s="101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102"/>
      <c r="AV124" s="102"/>
    </row>
    <row r="125" ht="17.25" customHeight="1">
      <c r="A125" s="95">
        <v>124.0</v>
      </c>
      <c r="B125" s="91" t="s">
        <v>48</v>
      </c>
      <c r="C125" s="107" t="s">
        <v>417</v>
      </c>
      <c r="D125" s="107" t="s">
        <v>418</v>
      </c>
      <c r="E125" s="109">
        <v>2.0</v>
      </c>
      <c r="F125" s="117">
        <v>42867.0</v>
      </c>
      <c r="G125" s="104" t="s">
        <v>419</v>
      </c>
      <c r="H125" s="104">
        <v>4.086432868E9</v>
      </c>
      <c r="I125" s="104" t="s">
        <v>420</v>
      </c>
      <c r="J125" s="115">
        <v>45866.0</v>
      </c>
      <c r="K125" s="116" t="s">
        <v>198</v>
      </c>
      <c r="L125" s="116">
        <v>91.0</v>
      </c>
      <c r="M125" s="118"/>
      <c r="N125" s="96" t="s">
        <v>40</v>
      </c>
      <c r="O125" s="101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19"/>
      <c r="AU125" s="102"/>
      <c r="AV125" s="102"/>
    </row>
    <row r="126" ht="17.25" customHeight="1">
      <c r="A126" s="95">
        <v>125.0</v>
      </c>
      <c r="B126" s="91" t="s">
        <v>88</v>
      </c>
      <c r="C126" s="107" t="s">
        <v>417</v>
      </c>
      <c r="D126" s="107" t="s">
        <v>418</v>
      </c>
      <c r="E126" s="109">
        <v>2.0</v>
      </c>
      <c r="F126" s="117">
        <v>42867.0</v>
      </c>
      <c r="G126" s="104" t="s">
        <v>419</v>
      </c>
      <c r="H126" s="104">
        <v>4.086432868E9</v>
      </c>
      <c r="I126" s="104" t="s">
        <v>420</v>
      </c>
      <c r="J126" s="115">
        <v>45866.0</v>
      </c>
      <c r="K126" s="116" t="s">
        <v>366</v>
      </c>
      <c r="L126" s="116">
        <v>29.0</v>
      </c>
      <c r="M126" s="118"/>
      <c r="N126" s="96" t="s">
        <v>40</v>
      </c>
      <c r="O126" s="101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19"/>
      <c r="AU126" s="102"/>
      <c r="AV126" s="102"/>
    </row>
    <row r="127" ht="17.25" customHeight="1">
      <c r="A127" s="95">
        <v>126.0</v>
      </c>
      <c r="B127" s="91" t="s">
        <v>48</v>
      </c>
      <c r="C127" s="107" t="s">
        <v>421</v>
      </c>
      <c r="D127" s="107" t="s">
        <v>121</v>
      </c>
      <c r="E127" s="109">
        <v>4.0</v>
      </c>
      <c r="F127" s="110">
        <v>42743.0</v>
      </c>
      <c r="G127" s="107" t="s">
        <v>422</v>
      </c>
      <c r="H127" s="107">
        <v>3.41252936E9</v>
      </c>
      <c r="I127" s="107" t="s">
        <v>423</v>
      </c>
      <c r="J127" s="111">
        <v>46043.0</v>
      </c>
      <c r="K127" s="100" t="s">
        <v>424</v>
      </c>
      <c r="L127" s="100">
        <v>71.0</v>
      </c>
      <c r="M127" s="107"/>
      <c r="N127" s="96" t="s">
        <v>40</v>
      </c>
      <c r="O127" s="112"/>
      <c r="P127" s="102"/>
      <c r="Q127" s="102"/>
      <c r="R127" s="102"/>
      <c r="S127" s="102"/>
      <c r="T127" s="102"/>
      <c r="U127" s="102"/>
      <c r="V127" s="102"/>
      <c r="W127" s="102"/>
      <c r="X127" s="102"/>
      <c r="Y127" s="102"/>
      <c r="Z127" s="102"/>
      <c r="AA127" s="102"/>
      <c r="AB127" s="102"/>
      <c r="AC127" s="102"/>
      <c r="AD127" s="102"/>
      <c r="AE127" s="102"/>
      <c r="AF127" s="102"/>
      <c r="AG127" s="102"/>
      <c r="AH127" s="102"/>
      <c r="AI127" s="102"/>
      <c r="AJ127" s="102"/>
      <c r="AK127" s="102"/>
      <c r="AL127" s="102"/>
      <c r="AM127" s="102"/>
      <c r="AN127" s="102"/>
      <c r="AO127" s="102"/>
      <c r="AP127" s="102"/>
      <c r="AQ127" s="102"/>
      <c r="AR127" s="102"/>
      <c r="AS127" s="102"/>
      <c r="AT127" s="102"/>
      <c r="AU127" s="102"/>
      <c r="AV127" s="102"/>
    </row>
    <row r="128" ht="17.25" customHeight="1">
      <c r="A128" s="95">
        <v>127.0</v>
      </c>
      <c r="B128" s="91" t="s">
        <v>88</v>
      </c>
      <c r="C128" s="107" t="s">
        <v>425</v>
      </c>
      <c r="D128" s="107" t="s">
        <v>426</v>
      </c>
      <c r="E128" s="109">
        <v>4.0</v>
      </c>
      <c r="F128" s="110">
        <v>42743.0</v>
      </c>
      <c r="G128" s="107" t="s">
        <v>422</v>
      </c>
      <c r="H128" s="107">
        <v>3.41252936E9</v>
      </c>
      <c r="I128" s="107" t="s">
        <v>423</v>
      </c>
      <c r="J128" s="111">
        <v>46043.0</v>
      </c>
      <c r="K128" s="100" t="s">
        <v>138</v>
      </c>
      <c r="L128" s="100">
        <v>66.0</v>
      </c>
      <c r="M128" s="100" t="s">
        <v>126</v>
      </c>
      <c r="N128" s="96" t="s">
        <v>40</v>
      </c>
      <c r="O128" s="11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  <c r="AG128" s="102"/>
      <c r="AH128" s="102"/>
      <c r="AI128" s="102"/>
      <c r="AJ128" s="102"/>
      <c r="AK128" s="102"/>
      <c r="AL128" s="102"/>
      <c r="AM128" s="102"/>
      <c r="AN128" s="102"/>
      <c r="AO128" s="102"/>
      <c r="AP128" s="102"/>
      <c r="AQ128" s="102"/>
      <c r="AR128" s="102"/>
      <c r="AS128" s="102"/>
      <c r="AT128" s="102"/>
      <c r="AU128" s="102"/>
      <c r="AV128" s="102"/>
    </row>
    <row r="129" ht="17.25" customHeight="1">
      <c r="A129" s="95">
        <v>128.0</v>
      </c>
      <c r="B129" s="91" t="s">
        <v>48</v>
      </c>
      <c r="C129" s="107" t="s">
        <v>421</v>
      </c>
      <c r="D129" s="107" t="s">
        <v>427</v>
      </c>
      <c r="E129" s="109" t="s">
        <v>141</v>
      </c>
      <c r="F129" s="110">
        <v>43770.0</v>
      </c>
      <c r="G129" s="107" t="s">
        <v>422</v>
      </c>
      <c r="H129" s="107">
        <v>3.41252936E9</v>
      </c>
      <c r="I129" s="107" t="s">
        <v>423</v>
      </c>
      <c r="J129" s="111">
        <v>46043.0</v>
      </c>
      <c r="K129" s="100" t="s">
        <v>118</v>
      </c>
      <c r="L129" s="100">
        <v>56.0</v>
      </c>
      <c r="M129" s="107"/>
      <c r="N129" s="96" t="s">
        <v>40</v>
      </c>
      <c r="O129" s="112"/>
      <c r="P129" s="102"/>
      <c r="Q129" s="102"/>
      <c r="R129" s="102"/>
      <c r="S129" s="102"/>
      <c r="T129" s="102"/>
      <c r="U129" s="102"/>
      <c r="V129" s="102"/>
      <c r="W129" s="102"/>
      <c r="X129" s="102"/>
      <c r="Y129" s="102"/>
      <c r="Z129" s="102"/>
      <c r="AA129" s="102"/>
      <c r="AB129" s="102"/>
      <c r="AC129" s="102"/>
      <c r="AD129" s="102"/>
      <c r="AE129" s="102"/>
      <c r="AF129" s="102"/>
      <c r="AG129" s="102"/>
      <c r="AH129" s="102"/>
      <c r="AI129" s="102"/>
      <c r="AJ129" s="102"/>
      <c r="AK129" s="102"/>
      <c r="AL129" s="102"/>
      <c r="AM129" s="102"/>
      <c r="AN129" s="102"/>
      <c r="AO129" s="102"/>
      <c r="AP129" s="102"/>
      <c r="AQ129" s="102"/>
      <c r="AR129" s="102"/>
      <c r="AS129" s="102"/>
      <c r="AT129" s="102"/>
      <c r="AU129" s="102"/>
      <c r="AV129" s="102"/>
    </row>
    <row r="130" ht="17.25" customHeight="1">
      <c r="A130" s="95">
        <v>129.0</v>
      </c>
      <c r="B130" s="91" t="s">
        <v>88</v>
      </c>
      <c r="C130" s="107" t="s">
        <v>421</v>
      </c>
      <c r="D130" s="107" t="s">
        <v>427</v>
      </c>
      <c r="E130" s="109" t="s">
        <v>141</v>
      </c>
      <c r="F130" s="110">
        <v>43770.0</v>
      </c>
      <c r="G130" s="107" t="s">
        <v>422</v>
      </c>
      <c r="H130" s="107">
        <v>3.41252936E9</v>
      </c>
      <c r="I130" s="107" t="s">
        <v>423</v>
      </c>
      <c r="J130" s="111">
        <v>46043.0</v>
      </c>
      <c r="K130" s="100" t="s">
        <v>299</v>
      </c>
      <c r="L130" s="100">
        <v>1.0</v>
      </c>
      <c r="M130" s="100" t="s">
        <v>126</v>
      </c>
      <c r="N130" s="96" t="s">
        <v>40</v>
      </c>
      <c r="O130" s="112"/>
      <c r="P130" s="102"/>
      <c r="Q130" s="102"/>
      <c r="R130" s="102"/>
      <c r="S130" s="102"/>
      <c r="T130" s="102"/>
      <c r="U130" s="102"/>
      <c r="V130" s="102"/>
      <c r="W130" s="102"/>
      <c r="X130" s="102"/>
      <c r="Y130" s="102"/>
      <c r="Z130" s="102"/>
      <c r="AA130" s="102"/>
      <c r="AB130" s="102"/>
      <c r="AC130" s="102"/>
      <c r="AD130" s="102"/>
      <c r="AE130" s="102"/>
      <c r="AF130" s="102"/>
      <c r="AG130" s="102"/>
      <c r="AH130" s="102"/>
      <c r="AI130" s="102"/>
      <c r="AJ130" s="102"/>
      <c r="AK130" s="102"/>
      <c r="AL130" s="102"/>
      <c r="AM130" s="102"/>
      <c r="AN130" s="102"/>
      <c r="AO130" s="102"/>
      <c r="AP130" s="102"/>
      <c r="AQ130" s="102"/>
      <c r="AR130" s="102"/>
      <c r="AS130" s="102"/>
      <c r="AT130" s="102"/>
      <c r="AU130" s="102"/>
      <c r="AV130" s="102"/>
    </row>
    <row r="131" ht="15.0" customHeight="1">
      <c r="A131" s="95">
        <v>130.0</v>
      </c>
      <c r="B131" s="91" t="s">
        <v>48</v>
      </c>
      <c r="C131" s="107" t="s">
        <v>291</v>
      </c>
      <c r="D131" s="107" t="s">
        <v>428</v>
      </c>
      <c r="E131" s="109">
        <v>6.0</v>
      </c>
      <c r="F131" s="117">
        <v>41765.0</v>
      </c>
      <c r="G131" s="104" t="s">
        <v>429</v>
      </c>
      <c r="H131" s="104">
        <v>3.413561987E9</v>
      </c>
      <c r="I131" s="104" t="s">
        <v>430</v>
      </c>
      <c r="J131" s="115">
        <v>45901.0</v>
      </c>
      <c r="K131" s="116" t="s">
        <v>255</v>
      </c>
      <c r="L131" s="116">
        <v>76.0</v>
      </c>
      <c r="M131" s="107"/>
      <c r="N131" s="96" t="s">
        <v>40</v>
      </c>
      <c r="O131" s="107"/>
      <c r="P131" s="102"/>
      <c r="Q131" s="102"/>
      <c r="R131" s="102"/>
      <c r="S131" s="102"/>
      <c r="T131" s="102"/>
      <c r="U131" s="102"/>
      <c r="V131" s="102"/>
      <c r="W131" s="102"/>
      <c r="X131" s="102"/>
      <c r="Y131" s="102"/>
      <c r="Z131" s="102"/>
      <c r="AA131" s="102"/>
      <c r="AB131" s="102"/>
      <c r="AC131" s="102"/>
      <c r="AD131" s="102"/>
      <c r="AE131" s="102"/>
      <c r="AF131" s="102"/>
      <c r="AG131" s="102"/>
      <c r="AH131" s="102"/>
      <c r="AI131" s="102"/>
      <c r="AJ131" s="102"/>
      <c r="AK131" s="102"/>
      <c r="AL131" s="102"/>
      <c r="AM131" s="102"/>
      <c r="AN131" s="102"/>
      <c r="AO131" s="102"/>
      <c r="AP131" s="102"/>
      <c r="AQ131" s="102"/>
      <c r="AR131" s="102"/>
      <c r="AS131" s="102"/>
      <c r="AT131" s="102"/>
      <c r="AU131" s="102"/>
      <c r="AV131" s="102"/>
    </row>
    <row r="132" ht="15.0" customHeight="1">
      <c r="A132" s="95">
        <v>131.0</v>
      </c>
      <c r="B132" s="91" t="s">
        <v>48</v>
      </c>
      <c r="C132" s="107" t="s">
        <v>291</v>
      </c>
      <c r="D132" s="107" t="s">
        <v>431</v>
      </c>
      <c r="E132" s="109">
        <v>2.0</v>
      </c>
      <c r="F132" s="117">
        <v>43355.0</v>
      </c>
      <c r="G132" s="104" t="s">
        <v>429</v>
      </c>
      <c r="H132" s="104">
        <v>3.413561987E9</v>
      </c>
      <c r="I132" s="104" t="s">
        <v>430</v>
      </c>
      <c r="J132" s="115">
        <v>45901.0</v>
      </c>
      <c r="K132" s="116" t="s">
        <v>117</v>
      </c>
      <c r="L132" s="116">
        <v>5.0</v>
      </c>
      <c r="M132" s="107"/>
      <c r="N132" s="96" t="s">
        <v>40</v>
      </c>
      <c r="O132" s="107"/>
      <c r="P132" s="102"/>
      <c r="Q132" s="102"/>
      <c r="R132" s="102"/>
      <c r="S132" s="102"/>
      <c r="T132" s="102"/>
      <c r="U132" s="102"/>
      <c r="V132" s="102"/>
      <c r="W132" s="102"/>
      <c r="X132" s="102"/>
      <c r="Y132" s="102"/>
      <c r="Z132" s="102"/>
      <c r="AA132" s="102"/>
      <c r="AB132" s="102"/>
      <c r="AC132" s="102"/>
      <c r="AD132" s="102"/>
      <c r="AE132" s="102"/>
      <c r="AF132" s="102"/>
      <c r="AG132" s="102"/>
      <c r="AH132" s="102"/>
      <c r="AI132" s="102"/>
      <c r="AJ132" s="102"/>
      <c r="AK132" s="102"/>
      <c r="AL132" s="102"/>
      <c r="AM132" s="102"/>
      <c r="AN132" s="102"/>
      <c r="AO132" s="102"/>
      <c r="AP132" s="102"/>
      <c r="AQ132" s="102"/>
      <c r="AR132" s="102"/>
      <c r="AS132" s="102"/>
      <c r="AT132" s="102"/>
      <c r="AU132" s="102"/>
      <c r="AV132" s="102"/>
    </row>
    <row r="133" ht="15.0" customHeight="1">
      <c r="A133" s="95">
        <v>132.0</v>
      </c>
      <c r="B133" s="91" t="s">
        <v>48</v>
      </c>
      <c r="C133" s="107" t="s">
        <v>291</v>
      </c>
      <c r="D133" s="107" t="s">
        <v>432</v>
      </c>
      <c r="E133" s="109">
        <v>7.0</v>
      </c>
      <c r="F133" s="117">
        <v>41245.0</v>
      </c>
      <c r="G133" s="104" t="s">
        <v>429</v>
      </c>
      <c r="H133" s="104">
        <v>3.413561987E9</v>
      </c>
      <c r="I133" s="104" t="s">
        <v>430</v>
      </c>
      <c r="J133" s="115">
        <v>45901.0</v>
      </c>
      <c r="K133" s="116" t="s">
        <v>124</v>
      </c>
      <c r="L133" s="116">
        <v>26.0</v>
      </c>
      <c r="M133" s="107"/>
      <c r="N133" s="96" t="s">
        <v>40</v>
      </c>
      <c r="O133" s="107"/>
      <c r="P133" s="102"/>
      <c r="Q133" s="102"/>
      <c r="R133" s="102"/>
      <c r="S133" s="102"/>
      <c r="T133" s="102"/>
      <c r="U133" s="102"/>
      <c r="V133" s="102"/>
      <c r="W133" s="102"/>
      <c r="X133" s="102"/>
      <c r="Y133" s="102"/>
      <c r="Z133" s="102"/>
      <c r="AA133" s="102"/>
      <c r="AB133" s="102"/>
      <c r="AC133" s="102"/>
      <c r="AD133" s="102"/>
      <c r="AE133" s="102"/>
      <c r="AF133" s="102"/>
      <c r="AG133" s="102"/>
      <c r="AH133" s="102"/>
      <c r="AI133" s="102"/>
      <c r="AJ133" s="102"/>
      <c r="AK133" s="102"/>
      <c r="AL133" s="102"/>
      <c r="AM133" s="102"/>
      <c r="AN133" s="102"/>
      <c r="AO133" s="102"/>
      <c r="AP133" s="102"/>
      <c r="AQ133" s="102"/>
      <c r="AR133" s="102"/>
      <c r="AS133" s="102"/>
      <c r="AT133" s="102"/>
      <c r="AU133" s="102"/>
      <c r="AV133" s="102"/>
    </row>
    <row r="134" ht="15.0" customHeight="1">
      <c r="A134" s="95">
        <v>133.0</v>
      </c>
      <c r="B134" s="96" t="s">
        <v>48</v>
      </c>
      <c r="C134" s="99" t="s">
        <v>433</v>
      </c>
      <c r="D134" s="99" t="s">
        <v>434</v>
      </c>
      <c r="E134" s="95">
        <v>4.0</v>
      </c>
      <c r="F134" s="97">
        <v>42348.0</v>
      </c>
      <c r="G134" s="103" t="s">
        <v>435</v>
      </c>
      <c r="H134" s="103">
        <v>4.157228574E9</v>
      </c>
      <c r="I134" s="104" t="s">
        <v>436</v>
      </c>
      <c r="J134" s="105">
        <v>45962.0</v>
      </c>
      <c r="K134" s="106" t="s">
        <v>375</v>
      </c>
      <c r="L134" s="106">
        <v>51.0</v>
      </c>
      <c r="M134" s="107"/>
      <c r="N134" s="96" t="s">
        <v>40</v>
      </c>
      <c r="O134" s="108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102"/>
      <c r="AV134" s="102"/>
    </row>
    <row r="135" ht="15.0" customHeight="1">
      <c r="A135" s="95">
        <v>134.0</v>
      </c>
      <c r="B135" s="96" t="s">
        <v>88</v>
      </c>
      <c r="C135" s="99" t="s">
        <v>433</v>
      </c>
      <c r="D135" s="99" t="s">
        <v>434</v>
      </c>
      <c r="E135" s="95">
        <v>4.0</v>
      </c>
      <c r="F135" s="97">
        <v>42348.0</v>
      </c>
      <c r="G135" s="103" t="s">
        <v>435</v>
      </c>
      <c r="H135" s="103">
        <v>4.157228574E9</v>
      </c>
      <c r="I135" s="104" t="s">
        <v>436</v>
      </c>
      <c r="J135" s="105">
        <v>45962.0</v>
      </c>
      <c r="K135" s="106" t="s">
        <v>366</v>
      </c>
      <c r="L135" s="106">
        <v>45.0</v>
      </c>
      <c r="M135" s="107"/>
      <c r="N135" s="96" t="s">
        <v>40</v>
      </c>
      <c r="O135" s="108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102"/>
      <c r="AV135" s="102"/>
    </row>
    <row r="136" ht="15.0" customHeight="1">
      <c r="A136" s="95">
        <v>135.0</v>
      </c>
      <c r="B136" s="91" t="s">
        <v>48</v>
      </c>
      <c r="C136" s="107" t="s">
        <v>437</v>
      </c>
      <c r="D136" s="107" t="s">
        <v>438</v>
      </c>
      <c r="E136" s="109">
        <v>2.0</v>
      </c>
      <c r="F136" s="117">
        <v>43142.0</v>
      </c>
      <c r="G136" s="104" t="s">
        <v>439</v>
      </c>
      <c r="H136" s="104">
        <v>4.083246817E9</v>
      </c>
      <c r="I136" s="104" t="s">
        <v>440</v>
      </c>
      <c r="J136" s="115">
        <v>45901.0</v>
      </c>
      <c r="K136" s="116" t="s">
        <v>109</v>
      </c>
      <c r="L136" s="116">
        <v>11.0</v>
      </c>
      <c r="M136" s="100"/>
      <c r="N136" s="96" t="s">
        <v>40</v>
      </c>
      <c r="O136" s="107"/>
      <c r="P136" s="102"/>
      <c r="Q136" s="102"/>
      <c r="R136" s="102"/>
      <c r="S136" s="102"/>
      <c r="T136" s="102"/>
      <c r="U136" s="102"/>
      <c r="V136" s="102"/>
      <c r="W136" s="102"/>
      <c r="X136" s="102"/>
      <c r="Y136" s="102"/>
      <c r="Z136" s="102"/>
      <c r="AA136" s="102"/>
      <c r="AB136" s="102"/>
      <c r="AC136" s="102"/>
      <c r="AD136" s="102"/>
      <c r="AE136" s="102"/>
      <c r="AF136" s="102"/>
      <c r="AG136" s="102"/>
      <c r="AH136" s="102"/>
      <c r="AI136" s="102"/>
      <c r="AJ136" s="102"/>
      <c r="AK136" s="102"/>
      <c r="AL136" s="102"/>
      <c r="AM136" s="102"/>
      <c r="AN136" s="102"/>
      <c r="AO136" s="102"/>
      <c r="AP136" s="102"/>
      <c r="AQ136" s="102"/>
      <c r="AR136" s="102"/>
      <c r="AS136" s="102"/>
      <c r="AT136" s="102"/>
      <c r="AU136" s="102"/>
      <c r="AV136" s="102"/>
    </row>
    <row r="137" ht="17.25" customHeight="1">
      <c r="A137" s="95">
        <v>136.0</v>
      </c>
      <c r="B137" s="91" t="s">
        <v>88</v>
      </c>
      <c r="C137" s="107" t="s">
        <v>437</v>
      </c>
      <c r="D137" s="107" t="s">
        <v>438</v>
      </c>
      <c r="E137" s="109">
        <v>2.0</v>
      </c>
      <c r="F137" s="117">
        <v>43142.0</v>
      </c>
      <c r="G137" s="104" t="s">
        <v>439</v>
      </c>
      <c r="H137" s="104">
        <v>4.083246817E9</v>
      </c>
      <c r="I137" s="104" t="s">
        <v>440</v>
      </c>
      <c r="J137" s="115">
        <v>45901.0</v>
      </c>
      <c r="K137" s="116" t="s">
        <v>111</v>
      </c>
      <c r="L137" s="116">
        <v>41.0</v>
      </c>
      <c r="M137" s="100"/>
      <c r="N137" s="96" t="s">
        <v>40</v>
      </c>
      <c r="O137" s="107"/>
      <c r="P137" s="102"/>
      <c r="Q137" s="102"/>
      <c r="R137" s="102"/>
      <c r="S137" s="102"/>
      <c r="T137" s="149"/>
      <c r="U137" s="149"/>
      <c r="V137" s="149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  <c r="AG137" s="102"/>
      <c r="AH137" s="102"/>
      <c r="AI137" s="102"/>
      <c r="AJ137" s="102"/>
      <c r="AK137" s="102"/>
      <c r="AL137" s="102"/>
      <c r="AM137" s="102"/>
      <c r="AN137" s="102"/>
      <c r="AO137" s="102"/>
      <c r="AP137" s="102"/>
      <c r="AQ137" s="102"/>
      <c r="AR137" s="102"/>
      <c r="AS137" s="102"/>
      <c r="AT137" s="102"/>
      <c r="AU137" s="102"/>
      <c r="AV137" s="102"/>
    </row>
    <row r="138" ht="17.25" customHeight="1">
      <c r="A138" s="95">
        <v>137.0</v>
      </c>
      <c r="B138" s="91" t="s">
        <v>48</v>
      </c>
      <c r="C138" s="100" t="s">
        <v>441</v>
      </c>
      <c r="D138" s="100" t="s">
        <v>442</v>
      </c>
      <c r="E138" s="109">
        <v>2.0</v>
      </c>
      <c r="F138" s="117" t="s">
        <v>443</v>
      </c>
      <c r="G138" s="100" t="s">
        <v>444</v>
      </c>
      <c r="H138" s="100">
        <v>3.473220327E9</v>
      </c>
      <c r="I138" s="100" t="s">
        <v>445</v>
      </c>
      <c r="J138" s="115">
        <v>45887.0</v>
      </c>
      <c r="K138" s="116" t="s">
        <v>183</v>
      </c>
      <c r="L138" s="116">
        <v>6.0</v>
      </c>
      <c r="M138" s="100"/>
      <c r="N138" s="96" t="s">
        <v>40</v>
      </c>
      <c r="O138" s="101"/>
      <c r="P138" s="102"/>
      <c r="Q138" s="102"/>
      <c r="R138" s="102"/>
      <c r="S138" s="102"/>
      <c r="T138" s="144"/>
      <c r="U138" s="144"/>
      <c r="V138" s="145"/>
      <c r="W138" s="102"/>
      <c r="X138" s="102"/>
      <c r="Y138" s="102"/>
      <c r="Z138" s="102"/>
      <c r="AA138" s="102"/>
      <c r="AB138" s="102"/>
      <c r="AC138" s="102"/>
      <c r="AD138" s="102"/>
      <c r="AE138" s="102"/>
      <c r="AF138" s="102"/>
      <c r="AG138" s="102"/>
      <c r="AH138" s="102"/>
      <c r="AI138" s="102"/>
      <c r="AJ138" s="102"/>
      <c r="AK138" s="102"/>
      <c r="AL138" s="102"/>
      <c r="AM138" s="102"/>
      <c r="AN138" s="102"/>
      <c r="AO138" s="102"/>
      <c r="AP138" s="102"/>
      <c r="AQ138" s="102"/>
      <c r="AR138" s="102"/>
      <c r="AS138" s="102"/>
      <c r="AT138" s="102"/>
      <c r="AU138" s="102"/>
      <c r="AV138" s="102"/>
    </row>
    <row r="139" ht="17.25" customHeight="1">
      <c r="A139" s="95">
        <v>138.0</v>
      </c>
      <c r="B139" s="91" t="s">
        <v>88</v>
      </c>
      <c r="C139" s="100" t="s">
        <v>441</v>
      </c>
      <c r="D139" s="100" t="s">
        <v>442</v>
      </c>
      <c r="E139" s="109">
        <v>2.0</v>
      </c>
      <c r="F139" s="117" t="s">
        <v>443</v>
      </c>
      <c r="G139" s="100" t="s">
        <v>444</v>
      </c>
      <c r="H139" s="100">
        <v>3.473220327E9</v>
      </c>
      <c r="I139" s="100" t="s">
        <v>445</v>
      </c>
      <c r="J139" s="115">
        <v>45887.0</v>
      </c>
      <c r="K139" s="116" t="s">
        <v>111</v>
      </c>
      <c r="L139" s="116">
        <v>31.0</v>
      </c>
      <c r="M139" s="100"/>
      <c r="N139" s="96" t="s">
        <v>40</v>
      </c>
      <c r="O139" s="101"/>
      <c r="P139" s="102"/>
      <c r="Q139" s="102"/>
      <c r="R139" s="102"/>
      <c r="S139" s="102"/>
      <c r="T139" s="144"/>
      <c r="U139" s="144"/>
      <c r="V139" s="145"/>
      <c r="W139" s="102"/>
      <c r="X139" s="102"/>
      <c r="Y139" s="102"/>
      <c r="Z139" s="102"/>
      <c r="AA139" s="102"/>
      <c r="AB139" s="102"/>
      <c r="AC139" s="102"/>
      <c r="AD139" s="102"/>
      <c r="AE139" s="102"/>
      <c r="AF139" s="102"/>
      <c r="AG139" s="102"/>
      <c r="AH139" s="102"/>
      <c r="AI139" s="102"/>
      <c r="AJ139" s="102"/>
      <c r="AK139" s="102"/>
      <c r="AL139" s="102"/>
      <c r="AM139" s="102"/>
      <c r="AN139" s="102"/>
      <c r="AO139" s="102"/>
      <c r="AP139" s="102"/>
      <c r="AQ139" s="102"/>
      <c r="AR139" s="102"/>
      <c r="AS139" s="102"/>
      <c r="AT139" s="102"/>
      <c r="AU139" s="102"/>
      <c r="AV139" s="102"/>
    </row>
    <row r="140" ht="17.25" customHeight="1">
      <c r="A140" s="95">
        <v>139.0</v>
      </c>
      <c r="B140" s="91" t="s">
        <v>48</v>
      </c>
      <c r="C140" s="100" t="s">
        <v>446</v>
      </c>
      <c r="D140" s="100" t="s">
        <v>447</v>
      </c>
      <c r="E140" s="109">
        <v>4.0</v>
      </c>
      <c r="F140" s="117" t="s">
        <v>448</v>
      </c>
      <c r="G140" s="100" t="s">
        <v>449</v>
      </c>
      <c r="H140" s="100">
        <v>6.266790497E9</v>
      </c>
      <c r="I140" s="100" t="s">
        <v>450</v>
      </c>
      <c r="J140" s="115" t="s">
        <v>451</v>
      </c>
      <c r="K140" s="116" t="s">
        <v>452</v>
      </c>
      <c r="L140" s="116">
        <v>91.0</v>
      </c>
      <c r="M140" s="100"/>
      <c r="N140" s="96" t="s">
        <v>40</v>
      </c>
      <c r="O140" s="107"/>
      <c r="P140" s="3"/>
      <c r="Q140" s="3"/>
      <c r="R140" s="3"/>
      <c r="S140" s="3"/>
      <c r="T140" s="146"/>
      <c r="U140" s="146"/>
      <c r="V140" s="146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102"/>
      <c r="AV140" s="102"/>
    </row>
    <row r="141" ht="17.25" customHeight="1">
      <c r="A141" s="95">
        <v>140.0</v>
      </c>
      <c r="B141" s="91" t="s">
        <v>88</v>
      </c>
      <c r="C141" s="100" t="s">
        <v>446</v>
      </c>
      <c r="D141" s="100" t="s">
        <v>447</v>
      </c>
      <c r="E141" s="109">
        <v>4.0</v>
      </c>
      <c r="F141" s="117" t="s">
        <v>448</v>
      </c>
      <c r="G141" s="100" t="s">
        <v>449</v>
      </c>
      <c r="H141" s="100">
        <v>6.266790497E9</v>
      </c>
      <c r="I141" s="100" t="s">
        <v>450</v>
      </c>
      <c r="J141" s="115" t="s">
        <v>451</v>
      </c>
      <c r="K141" s="116" t="s">
        <v>150</v>
      </c>
      <c r="L141" s="116">
        <v>65.0</v>
      </c>
      <c r="M141" s="100"/>
      <c r="N141" s="96" t="s">
        <v>40</v>
      </c>
      <c r="O141" s="107"/>
      <c r="P141" s="3"/>
      <c r="Q141" s="3"/>
      <c r="R141" s="3"/>
      <c r="S141" s="3"/>
      <c r="T141" s="146"/>
      <c r="U141" s="146"/>
      <c r="V141" s="146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102"/>
      <c r="AV141" s="102"/>
    </row>
    <row r="142" ht="17.25" customHeight="1">
      <c r="A142" s="95">
        <v>141.0</v>
      </c>
      <c r="B142" s="96" t="s">
        <v>88</v>
      </c>
      <c r="C142" s="99" t="s">
        <v>446</v>
      </c>
      <c r="D142" s="99" t="s">
        <v>453</v>
      </c>
      <c r="E142" s="95">
        <v>8.0</v>
      </c>
      <c r="F142" s="97">
        <v>40920.0</v>
      </c>
      <c r="G142" s="103" t="s">
        <v>454</v>
      </c>
      <c r="H142" s="103">
        <v>4.083290431E9</v>
      </c>
      <c r="I142" s="104" t="s">
        <v>455</v>
      </c>
      <c r="J142" s="105">
        <v>45962.0</v>
      </c>
      <c r="K142" s="106" t="s">
        <v>366</v>
      </c>
      <c r="L142" s="106">
        <v>36.0</v>
      </c>
      <c r="M142" s="107"/>
      <c r="N142" s="96" t="s">
        <v>40</v>
      </c>
      <c r="O142" s="108"/>
      <c r="P142" s="3"/>
      <c r="Q142" s="3"/>
      <c r="R142" s="3"/>
      <c r="S142" s="3"/>
      <c r="T142" s="146"/>
      <c r="U142" s="146"/>
      <c r="V142" s="146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102"/>
      <c r="AV142" s="102"/>
    </row>
    <row r="143" ht="17.25" customHeight="1">
      <c r="A143" s="95">
        <v>142.0</v>
      </c>
      <c r="B143" s="91" t="s">
        <v>48</v>
      </c>
      <c r="C143" s="100" t="s">
        <v>446</v>
      </c>
      <c r="D143" s="100" t="s">
        <v>145</v>
      </c>
      <c r="E143" s="109" t="s">
        <v>141</v>
      </c>
      <c r="F143" s="117">
        <v>42707.0</v>
      </c>
      <c r="G143" s="100" t="s">
        <v>456</v>
      </c>
      <c r="H143" s="100">
        <v>5.10896991E9</v>
      </c>
      <c r="I143" s="100" t="s">
        <v>457</v>
      </c>
      <c r="J143" s="115">
        <v>44805.0</v>
      </c>
      <c r="K143" s="116" t="s">
        <v>109</v>
      </c>
      <c r="L143" s="116">
        <v>18.0</v>
      </c>
      <c r="M143" s="100"/>
      <c r="N143" s="96" t="s">
        <v>40</v>
      </c>
      <c r="O143" s="107"/>
      <c r="P143" s="3"/>
      <c r="Q143" s="3"/>
      <c r="R143" s="3"/>
      <c r="S143" s="3"/>
      <c r="T143" s="146"/>
      <c r="U143" s="146"/>
      <c r="V143" s="146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102"/>
      <c r="AV143" s="102"/>
    </row>
    <row r="144" ht="17.25" customHeight="1">
      <c r="A144" s="95">
        <v>143.0</v>
      </c>
      <c r="B144" s="91" t="s">
        <v>88</v>
      </c>
      <c r="C144" s="100" t="s">
        <v>446</v>
      </c>
      <c r="D144" s="100" t="s">
        <v>145</v>
      </c>
      <c r="E144" s="109" t="s">
        <v>141</v>
      </c>
      <c r="F144" s="117">
        <v>42707.0</v>
      </c>
      <c r="G144" s="100" t="s">
        <v>456</v>
      </c>
      <c r="H144" s="100">
        <v>5.10896991E9</v>
      </c>
      <c r="I144" s="100" t="s">
        <v>457</v>
      </c>
      <c r="J144" s="115">
        <v>44805.0</v>
      </c>
      <c r="K144" s="116" t="s">
        <v>111</v>
      </c>
      <c r="L144" s="116">
        <v>88.0</v>
      </c>
      <c r="M144" s="100"/>
      <c r="N144" s="96" t="s">
        <v>40</v>
      </c>
      <c r="O144" s="107"/>
      <c r="P144" s="3"/>
      <c r="Q144" s="3"/>
      <c r="R144" s="3"/>
      <c r="S144" s="3"/>
      <c r="T144" s="146"/>
      <c r="U144" s="146"/>
      <c r="V144" s="146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102"/>
      <c r="AV144" s="102"/>
    </row>
    <row r="145" ht="17.25" customHeight="1">
      <c r="A145" s="95">
        <v>144.0</v>
      </c>
      <c r="B145" s="91" t="s">
        <v>48</v>
      </c>
      <c r="C145" s="100" t="s">
        <v>446</v>
      </c>
      <c r="D145" s="100" t="s">
        <v>458</v>
      </c>
      <c r="E145" s="109">
        <v>2.0</v>
      </c>
      <c r="F145" s="117" t="s">
        <v>459</v>
      </c>
      <c r="G145" s="100" t="s">
        <v>449</v>
      </c>
      <c r="H145" s="100">
        <v>6.266790497E9</v>
      </c>
      <c r="I145" s="100" t="s">
        <v>450</v>
      </c>
      <c r="J145" s="115" t="s">
        <v>451</v>
      </c>
      <c r="K145" s="116" t="s">
        <v>151</v>
      </c>
      <c r="L145" s="116">
        <v>41.0</v>
      </c>
      <c r="M145" s="100"/>
      <c r="N145" s="96" t="s">
        <v>40</v>
      </c>
      <c r="O145" s="107"/>
      <c r="P145" s="3"/>
      <c r="Q145" s="3"/>
      <c r="R145" s="3"/>
      <c r="S145" s="3"/>
      <c r="T145" s="146"/>
      <c r="U145" s="146"/>
      <c r="V145" s="146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102"/>
      <c r="AV145" s="102"/>
    </row>
    <row r="146" ht="17.25" customHeight="1">
      <c r="A146" s="95">
        <v>145.0</v>
      </c>
      <c r="B146" s="91" t="s">
        <v>88</v>
      </c>
      <c r="C146" s="100" t="s">
        <v>446</v>
      </c>
      <c r="D146" s="100" t="s">
        <v>458</v>
      </c>
      <c r="E146" s="109">
        <v>2.0</v>
      </c>
      <c r="F146" s="117" t="s">
        <v>459</v>
      </c>
      <c r="G146" s="100" t="s">
        <v>449</v>
      </c>
      <c r="H146" s="100">
        <v>6.266790497E9</v>
      </c>
      <c r="I146" s="100" t="s">
        <v>450</v>
      </c>
      <c r="J146" s="115" t="s">
        <v>451</v>
      </c>
      <c r="K146" s="116" t="s">
        <v>211</v>
      </c>
      <c r="L146" s="116">
        <v>100.0</v>
      </c>
      <c r="M146" s="100"/>
      <c r="N146" s="96" t="s">
        <v>40</v>
      </c>
      <c r="O146" s="107"/>
      <c r="P146" s="3"/>
      <c r="Q146" s="3"/>
      <c r="R146" s="3"/>
      <c r="S146" s="3"/>
      <c r="T146" s="146"/>
      <c r="U146" s="146"/>
      <c r="V146" s="146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102"/>
      <c r="AV146" s="102"/>
    </row>
    <row r="147" ht="17.25" customHeight="1">
      <c r="A147" s="95">
        <v>146.0</v>
      </c>
      <c r="B147" s="96" t="s">
        <v>48</v>
      </c>
      <c r="C147" s="99" t="s">
        <v>446</v>
      </c>
      <c r="D147" s="99" t="s">
        <v>460</v>
      </c>
      <c r="E147" s="95">
        <v>2.0</v>
      </c>
      <c r="F147" s="97">
        <v>43140.0</v>
      </c>
      <c r="G147" s="104" t="s">
        <v>461</v>
      </c>
      <c r="H147" s="104">
        <v>5.109994555E9</v>
      </c>
      <c r="I147" s="104" t="s">
        <v>462</v>
      </c>
      <c r="J147" s="105">
        <v>45838.0</v>
      </c>
      <c r="K147" s="106" t="s">
        <v>117</v>
      </c>
      <c r="L147" s="106">
        <v>56.0</v>
      </c>
      <c r="M147" s="99"/>
      <c r="N147" s="96" t="s">
        <v>40</v>
      </c>
      <c r="O147" s="108"/>
      <c r="P147" s="3"/>
      <c r="Q147" s="3"/>
      <c r="R147" s="3"/>
      <c r="S147" s="3"/>
      <c r="T147" s="146"/>
      <c r="U147" s="146"/>
      <c r="V147" s="146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102"/>
      <c r="AV147" s="102"/>
    </row>
    <row r="148" ht="17.25" customHeight="1">
      <c r="A148" s="95">
        <v>147.0</v>
      </c>
      <c r="B148" s="96" t="s">
        <v>88</v>
      </c>
      <c r="C148" s="99" t="s">
        <v>446</v>
      </c>
      <c r="D148" s="99" t="s">
        <v>460</v>
      </c>
      <c r="E148" s="95">
        <v>2.0</v>
      </c>
      <c r="F148" s="97">
        <v>43141.0</v>
      </c>
      <c r="G148" s="104" t="s">
        <v>463</v>
      </c>
      <c r="H148" s="104">
        <v>5.109994555E9</v>
      </c>
      <c r="I148" s="104" t="s">
        <v>462</v>
      </c>
      <c r="J148" s="105">
        <v>45838.0</v>
      </c>
      <c r="K148" s="106" t="s">
        <v>118</v>
      </c>
      <c r="L148" s="106">
        <v>11.0</v>
      </c>
      <c r="M148" s="99"/>
      <c r="N148" s="96" t="s">
        <v>40</v>
      </c>
      <c r="O148" s="108"/>
      <c r="P148" s="3"/>
      <c r="Q148" s="3"/>
      <c r="R148" s="3"/>
      <c r="S148" s="3"/>
      <c r="T148" s="146"/>
      <c r="U148" s="146"/>
      <c r="V148" s="146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102"/>
      <c r="AV148" s="102"/>
    </row>
    <row r="149" ht="17.25" customHeight="1">
      <c r="A149" s="95">
        <v>148.0</v>
      </c>
      <c r="B149" s="91" t="s">
        <v>48</v>
      </c>
      <c r="C149" s="107" t="s">
        <v>464</v>
      </c>
      <c r="D149" s="107" t="s">
        <v>465</v>
      </c>
      <c r="E149" s="109">
        <v>1.0</v>
      </c>
      <c r="F149" s="117">
        <v>43335.0</v>
      </c>
      <c r="G149" s="104" t="s">
        <v>466</v>
      </c>
      <c r="H149" s="104">
        <v>5.105574675E9</v>
      </c>
      <c r="I149" s="104" t="s">
        <v>467</v>
      </c>
      <c r="J149" s="115">
        <v>45766.0</v>
      </c>
      <c r="K149" s="116" t="s">
        <v>255</v>
      </c>
      <c r="L149" s="116">
        <v>88.0</v>
      </c>
      <c r="M149" s="100"/>
      <c r="N149" s="96" t="s">
        <v>40</v>
      </c>
      <c r="O149" s="101"/>
      <c r="P149" s="119"/>
      <c r="Q149" s="119"/>
      <c r="R149" s="119"/>
      <c r="S149" s="119"/>
      <c r="T149" s="150"/>
      <c r="U149" s="150"/>
      <c r="V149" s="150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19"/>
      <c r="AR149" s="119"/>
      <c r="AS149" s="119"/>
      <c r="AT149" s="119"/>
      <c r="AU149" s="102"/>
      <c r="AV149" s="102"/>
    </row>
    <row r="150" ht="17.25" customHeight="1">
      <c r="A150" s="95">
        <v>149.0</v>
      </c>
      <c r="B150" s="91" t="s">
        <v>48</v>
      </c>
      <c r="C150" s="100" t="s">
        <v>464</v>
      </c>
      <c r="D150" s="100" t="s">
        <v>290</v>
      </c>
      <c r="E150" s="109">
        <v>2.0</v>
      </c>
      <c r="F150" s="117" t="s">
        <v>468</v>
      </c>
      <c r="G150" s="100" t="s">
        <v>469</v>
      </c>
      <c r="H150" s="100">
        <v>4.085108805E9</v>
      </c>
      <c r="I150" s="100" t="s">
        <v>470</v>
      </c>
      <c r="J150" s="115">
        <v>45888.0</v>
      </c>
      <c r="K150" s="116" t="s">
        <v>198</v>
      </c>
      <c r="L150" s="116">
        <v>91.0</v>
      </c>
      <c r="M150" s="100"/>
      <c r="N150" s="96" t="s">
        <v>40</v>
      </c>
      <c r="O150" s="101"/>
      <c r="P150" s="102"/>
      <c r="Q150" s="102"/>
      <c r="R150" s="102"/>
      <c r="S150" s="102"/>
      <c r="T150" s="121"/>
      <c r="U150" s="121"/>
      <c r="V150" s="122"/>
      <c r="W150" s="102"/>
      <c r="X150" s="102"/>
      <c r="Y150" s="102"/>
      <c r="Z150" s="102"/>
      <c r="AA150" s="102"/>
      <c r="AB150" s="102"/>
      <c r="AC150" s="102"/>
      <c r="AD150" s="102"/>
      <c r="AE150" s="102"/>
      <c r="AF150" s="102"/>
      <c r="AG150" s="102"/>
      <c r="AH150" s="102"/>
      <c r="AI150" s="102"/>
      <c r="AJ150" s="102"/>
      <c r="AK150" s="102"/>
      <c r="AL150" s="102"/>
      <c r="AM150" s="102"/>
      <c r="AN150" s="102"/>
      <c r="AO150" s="102"/>
      <c r="AP150" s="102"/>
      <c r="AQ150" s="102"/>
      <c r="AR150" s="102"/>
      <c r="AS150" s="102"/>
      <c r="AT150" s="102"/>
      <c r="AU150" s="102"/>
      <c r="AV150" s="102"/>
    </row>
    <row r="151" ht="17.25" customHeight="1">
      <c r="A151" s="95">
        <v>150.0</v>
      </c>
      <c r="B151" s="91" t="s">
        <v>88</v>
      </c>
      <c r="C151" s="107" t="s">
        <v>464</v>
      </c>
      <c r="D151" s="107" t="s">
        <v>290</v>
      </c>
      <c r="E151" s="109">
        <v>2.0</v>
      </c>
      <c r="F151" s="117" t="s">
        <v>468</v>
      </c>
      <c r="G151" s="100" t="s">
        <v>469</v>
      </c>
      <c r="H151" s="100">
        <v>4.085108805E9</v>
      </c>
      <c r="I151" s="100" t="s">
        <v>470</v>
      </c>
      <c r="J151" s="115">
        <v>45888.0</v>
      </c>
      <c r="K151" s="116" t="s">
        <v>211</v>
      </c>
      <c r="L151" s="116">
        <v>41.0</v>
      </c>
      <c r="M151" s="100"/>
      <c r="N151" s="96" t="s">
        <v>40</v>
      </c>
      <c r="O151" s="101"/>
      <c r="P151" s="102"/>
      <c r="Q151" s="102"/>
      <c r="R151" s="102"/>
      <c r="S151" s="102"/>
      <c r="T151" s="121"/>
      <c r="U151" s="121"/>
      <c r="V151" s="122"/>
      <c r="W151" s="102"/>
      <c r="X151" s="102"/>
      <c r="Y151" s="102"/>
      <c r="Z151" s="102"/>
      <c r="AA151" s="102"/>
      <c r="AB151" s="102"/>
      <c r="AC151" s="102"/>
      <c r="AD151" s="102"/>
      <c r="AE151" s="102"/>
      <c r="AF151" s="102"/>
      <c r="AG151" s="102"/>
      <c r="AH151" s="102"/>
      <c r="AI151" s="102"/>
      <c r="AJ151" s="102"/>
      <c r="AK151" s="102"/>
      <c r="AL151" s="102"/>
      <c r="AM151" s="102"/>
      <c r="AN151" s="102"/>
      <c r="AO151" s="102"/>
      <c r="AP151" s="102"/>
      <c r="AQ151" s="102"/>
      <c r="AR151" s="102"/>
      <c r="AS151" s="102"/>
      <c r="AT151" s="102"/>
      <c r="AU151" s="102"/>
      <c r="AV151" s="102"/>
    </row>
    <row r="152" ht="17.25" customHeight="1">
      <c r="A152" s="95">
        <v>151.0</v>
      </c>
      <c r="B152" s="91" t="s">
        <v>48</v>
      </c>
      <c r="C152" s="100" t="s">
        <v>464</v>
      </c>
      <c r="D152" s="100" t="s">
        <v>471</v>
      </c>
      <c r="E152" s="109">
        <v>3.0</v>
      </c>
      <c r="F152" s="117">
        <v>42620.0</v>
      </c>
      <c r="G152" s="104" t="s">
        <v>472</v>
      </c>
      <c r="H152" s="104">
        <v>5.105574675E9</v>
      </c>
      <c r="I152" s="104" t="s">
        <v>467</v>
      </c>
      <c r="J152" s="115">
        <v>45766.0</v>
      </c>
      <c r="K152" s="116" t="s">
        <v>124</v>
      </c>
      <c r="L152" s="116">
        <v>81.0</v>
      </c>
      <c r="M152" s="100"/>
      <c r="N152" s="96" t="s">
        <v>40</v>
      </c>
      <c r="O152" s="107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102"/>
      <c r="AV152" s="102"/>
    </row>
    <row r="153" ht="17.25" customHeight="1">
      <c r="A153" s="95">
        <v>152.0</v>
      </c>
      <c r="B153" s="91" t="s">
        <v>48</v>
      </c>
      <c r="C153" s="107" t="s">
        <v>464</v>
      </c>
      <c r="D153" s="107" t="s">
        <v>473</v>
      </c>
      <c r="E153" s="109" t="s">
        <v>141</v>
      </c>
      <c r="F153" s="117">
        <v>43749.0</v>
      </c>
      <c r="G153" s="104" t="s">
        <v>474</v>
      </c>
      <c r="H153" s="104">
        <v>5.109966295E9</v>
      </c>
      <c r="I153" s="104" t="s">
        <v>475</v>
      </c>
      <c r="J153" s="115">
        <v>45824.0</v>
      </c>
      <c r="K153" s="116" t="s">
        <v>138</v>
      </c>
      <c r="L153" s="116">
        <v>96.0</v>
      </c>
      <c r="M153" s="100"/>
      <c r="N153" s="96" t="s">
        <v>40</v>
      </c>
      <c r="O153" s="107"/>
      <c r="P153" s="102"/>
      <c r="Q153" s="102"/>
      <c r="R153" s="102"/>
      <c r="S153" s="102"/>
      <c r="T153" s="102"/>
      <c r="U153" s="102"/>
      <c r="V153" s="102"/>
      <c r="W153" s="102"/>
      <c r="X153" s="102"/>
      <c r="Y153" s="102"/>
      <c r="Z153" s="102"/>
      <c r="AA153" s="102"/>
      <c r="AB153" s="102"/>
      <c r="AC153" s="102"/>
      <c r="AD153" s="102"/>
      <c r="AE153" s="102"/>
      <c r="AF153" s="102"/>
      <c r="AG153" s="102"/>
      <c r="AH153" s="102"/>
      <c r="AI153" s="102"/>
      <c r="AJ153" s="102"/>
      <c r="AK153" s="102"/>
      <c r="AL153" s="102"/>
      <c r="AM153" s="102"/>
      <c r="AN153" s="102"/>
      <c r="AO153" s="102"/>
      <c r="AP153" s="102"/>
      <c r="AQ153" s="102"/>
      <c r="AR153" s="102"/>
      <c r="AS153" s="102"/>
      <c r="AT153" s="102"/>
      <c r="AU153" s="3"/>
      <c r="AV153" s="3"/>
    </row>
    <row r="154" ht="17.25" customHeight="1">
      <c r="A154" s="95">
        <v>153.0</v>
      </c>
      <c r="B154" s="96" t="s">
        <v>88</v>
      </c>
      <c r="C154" s="99" t="s">
        <v>464</v>
      </c>
      <c r="D154" s="99" t="s">
        <v>473</v>
      </c>
      <c r="E154" s="95" t="s">
        <v>141</v>
      </c>
      <c r="F154" s="97">
        <v>43749.0</v>
      </c>
      <c r="G154" s="103" t="s">
        <v>474</v>
      </c>
      <c r="H154" s="103">
        <v>5.109966295E9</v>
      </c>
      <c r="I154" s="104" t="s">
        <v>475</v>
      </c>
      <c r="J154" s="105">
        <v>45962.0</v>
      </c>
      <c r="K154" s="106" t="s">
        <v>125</v>
      </c>
      <c r="L154" s="106">
        <v>61.0</v>
      </c>
      <c r="M154" s="107"/>
      <c r="N154" s="96" t="s">
        <v>40</v>
      </c>
      <c r="O154" s="108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102"/>
      <c r="AV154" s="102"/>
    </row>
    <row r="155" ht="17.25" customHeight="1">
      <c r="A155" s="95">
        <v>154.0</v>
      </c>
      <c r="B155" s="91" t="s">
        <v>48</v>
      </c>
      <c r="C155" s="107" t="s">
        <v>464</v>
      </c>
      <c r="D155" s="107" t="s">
        <v>476</v>
      </c>
      <c r="E155" s="109" t="s">
        <v>141</v>
      </c>
      <c r="F155" s="117">
        <v>43748.0</v>
      </c>
      <c r="G155" s="104" t="s">
        <v>477</v>
      </c>
      <c r="H155" s="104">
        <v>5.109966295E9</v>
      </c>
      <c r="I155" s="104" t="s">
        <v>475</v>
      </c>
      <c r="J155" s="115">
        <v>45824.0</v>
      </c>
      <c r="K155" s="116" t="s">
        <v>138</v>
      </c>
      <c r="L155" s="116">
        <v>81.0</v>
      </c>
      <c r="M155" s="118"/>
      <c r="N155" s="96" t="s">
        <v>40</v>
      </c>
      <c r="O155" s="101"/>
      <c r="P155" s="119"/>
      <c r="Q155" s="119"/>
      <c r="R155" s="119"/>
      <c r="S155" s="119"/>
      <c r="T155" s="150"/>
      <c r="U155" s="150"/>
      <c r="V155" s="150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  <c r="AS155" s="119"/>
      <c r="AT155" s="119"/>
      <c r="AU155" s="102"/>
      <c r="AV155" s="102"/>
    </row>
    <row r="156" ht="17.25" customHeight="1">
      <c r="A156" s="95">
        <v>155.0</v>
      </c>
      <c r="B156" s="96" t="s">
        <v>88</v>
      </c>
      <c r="C156" s="99" t="s">
        <v>464</v>
      </c>
      <c r="D156" s="99" t="s">
        <v>476</v>
      </c>
      <c r="E156" s="95" t="s">
        <v>141</v>
      </c>
      <c r="F156" s="97">
        <v>43748.0</v>
      </c>
      <c r="G156" s="103" t="s">
        <v>477</v>
      </c>
      <c r="H156" s="103">
        <v>5.109966295E9</v>
      </c>
      <c r="I156" s="104" t="s">
        <v>475</v>
      </c>
      <c r="J156" s="105">
        <v>45962.0</v>
      </c>
      <c r="K156" s="106" t="s">
        <v>125</v>
      </c>
      <c r="L156" s="106">
        <v>66.0</v>
      </c>
      <c r="M156" s="107"/>
      <c r="N156" s="96" t="s">
        <v>40</v>
      </c>
      <c r="O156" s="108"/>
      <c r="P156" s="3"/>
      <c r="Q156" s="3"/>
      <c r="R156" s="3"/>
      <c r="S156" s="3"/>
      <c r="T156" s="146"/>
      <c r="U156" s="146"/>
      <c r="V156" s="146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102"/>
      <c r="AV156" s="102"/>
    </row>
    <row r="157" ht="17.25" customHeight="1">
      <c r="A157" s="95">
        <v>156.0</v>
      </c>
      <c r="B157" s="91" t="s">
        <v>48</v>
      </c>
      <c r="C157" s="100" t="s">
        <v>464</v>
      </c>
      <c r="D157" s="100" t="s">
        <v>478</v>
      </c>
      <c r="E157" s="109">
        <v>4.0</v>
      </c>
      <c r="F157" s="117" t="s">
        <v>479</v>
      </c>
      <c r="G157" s="100" t="s">
        <v>469</v>
      </c>
      <c r="H157" s="100">
        <v>4.085108805E9</v>
      </c>
      <c r="I157" s="100" t="s">
        <v>470</v>
      </c>
      <c r="J157" s="115">
        <v>45888.0</v>
      </c>
      <c r="K157" s="116" t="s">
        <v>219</v>
      </c>
      <c r="L157" s="116">
        <v>61.0</v>
      </c>
      <c r="M157" s="100"/>
      <c r="N157" s="96" t="s">
        <v>40</v>
      </c>
      <c r="O157" s="101"/>
      <c r="P157" s="102"/>
      <c r="Q157" s="102"/>
      <c r="R157" s="102"/>
      <c r="S157" s="102"/>
      <c r="T157" s="144"/>
      <c r="U157" s="144"/>
      <c r="V157" s="145"/>
      <c r="W157" s="102"/>
      <c r="X157" s="102"/>
      <c r="Y157" s="102"/>
      <c r="Z157" s="102"/>
      <c r="AA157" s="102"/>
      <c r="AB157" s="102"/>
      <c r="AC157" s="102"/>
      <c r="AD157" s="102"/>
      <c r="AE157" s="102"/>
      <c r="AF157" s="102"/>
      <c r="AG157" s="102"/>
      <c r="AH157" s="102"/>
      <c r="AI157" s="102"/>
      <c r="AJ157" s="102"/>
      <c r="AK157" s="102"/>
      <c r="AL157" s="102"/>
      <c r="AM157" s="102"/>
      <c r="AN157" s="102"/>
      <c r="AO157" s="102"/>
      <c r="AP157" s="102"/>
      <c r="AQ157" s="102"/>
      <c r="AR157" s="102"/>
      <c r="AS157" s="102"/>
      <c r="AT157" s="102"/>
      <c r="AU157" s="102"/>
      <c r="AV157" s="102"/>
    </row>
    <row r="158" ht="17.25" customHeight="1">
      <c r="A158" s="95">
        <v>157.0</v>
      </c>
      <c r="B158" s="91" t="s">
        <v>48</v>
      </c>
      <c r="C158" s="100" t="s">
        <v>480</v>
      </c>
      <c r="D158" s="100" t="s">
        <v>481</v>
      </c>
      <c r="E158" s="109">
        <v>2.0</v>
      </c>
      <c r="F158" s="117">
        <v>42905.0</v>
      </c>
      <c r="G158" s="100" t="s">
        <v>482</v>
      </c>
      <c r="H158" s="100">
        <v>5.303647578E9</v>
      </c>
      <c r="I158" s="100" t="s">
        <v>483</v>
      </c>
      <c r="J158" s="115">
        <v>45717.0</v>
      </c>
      <c r="K158" s="116" t="s">
        <v>183</v>
      </c>
      <c r="L158" s="116"/>
      <c r="M158" s="100"/>
      <c r="N158" s="96" t="s">
        <v>40</v>
      </c>
      <c r="O158" s="107"/>
      <c r="P158" s="3"/>
      <c r="Q158" s="3"/>
      <c r="R158" s="3"/>
      <c r="S158" s="3"/>
      <c r="T158" s="146"/>
      <c r="U158" s="146"/>
      <c r="V158" s="146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102"/>
      <c r="AV158" s="102"/>
    </row>
    <row r="159" ht="17.25" customHeight="1">
      <c r="A159" s="95">
        <v>158.0</v>
      </c>
      <c r="B159" s="91" t="s">
        <v>88</v>
      </c>
      <c r="C159" s="107" t="s">
        <v>484</v>
      </c>
      <c r="D159" s="107" t="s">
        <v>485</v>
      </c>
      <c r="E159" s="109">
        <v>4.0</v>
      </c>
      <c r="F159" s="117">
        <v>42433.0</v>
      </c>
      <c r="G159" s="107" t="s">
        <v>486</v>
      </c>
      <c r="H159" s="104">
        <v>5.10520261E9</v>
      </c>
      <c r="I159" s="104" t="s">
        <v>487</v>
      </c>
      <c r="J159" s="115">
        <v>45810.0</v>
      </c>
      <c r="K159" s="116" t="s">
        <v>210</v>
      </c>
      <c r="L159" s="116">
        <v>70.0</v>
      </c>
      <c r="M159" s="100"/>
      <c r="N159" s="96" t="s">
        <v>40</v>
      </c>
      <c r="O159" s="107"/>
      <c r="P159" s="102"/>
      <c r="Q159" s="102"/>
      <c r="R159" s="102"/>
      <c r="S159" s="102"/>
      <c r="T159" s="149"/>
      <c r="U159" s="149"/>
      <c r="V159" s="149"/>
      <c r="W159" s="102"/>
      <c r="X159" s="102"/>
      <c r="Y159" s="102"/>
      <c r="Z159" s="102"/>
      <c r="AA159" s="102"/>
      <c r="AB159" s="102"/>
      <c r="AC159" s="102"/>
      <c r="AD159" s="102"/>
      <c r="AE159" s="102"/>
      <c r="AF159" s="102"/>
      <c r="AG159" s="102"/>
      <c r="AH159" s="102"/>
      <c r="AI159" s="102"/>
      <c r="AJ159" s="102"/>
      <c r="AK159" s="102"/>
      <c r="AL159" s="102"/>
      <c r="AM159" s="102"/>
      <c r="AN159" s="102"/>
      <c r="AO159" s="102"/>
      <c r="AP159" s="102"/>
      <c r="AQ159" s="102"/>
      <c r="AR159" s="102"/>
      <c r="AS159" s="102"/>
      <c r="AT159" s="102"/>
      <c r="AU159" s="3"/>
      <c r="AV159" s="3"/>
    </row>
    <row r="160" ht="17.25" customHeight="1">
      <c r="A160" s="95">
        <v>159.0</v>
      </c>
      <c r="B160" s="96" t="s">
        <v>48</v>
      </c>
      <c r="C160" s="100" t="s">
        <v>484</v>
      </c>
      <c r="D160" s="100" t="s">
        <v>488</v>
      </c>
      <c r="E160" s="109">
        <v>1.0</v>
      </c>
      <c r="F160" s="117">
        <v>43326.0</v>
      </c>
      <c r="G160" s="107" t="s">
        <v>489</v>
      </c>
      <c r="H160" s="104">
        <v>5.10520261E9</v>
      </c>
      <c r="I160" s="104" t="s">
        <v>487</v>
      </c>
      <c r="J160" s="115">
        <v>45810.0</v>
      </c>
      <c r="K160" s="116" t="s">
        <v>183</v>
      </c>
      <c r="L160" s="116">
        <v>21.0</v>
      </c>
      <c r="M160" s="100"/>
      <c r="N160" s="96" t="s">
        <v>40</v>
      </c>
      <c r="O160" s="101"/>
      <c r="P160" s="151"/>
      <c r="Q160" s="151"/>
      <c r="R160" s="151"/>
      <c r="S160" s="151"/>
      <c r="T160" s="152"/>
      <c r="U160" s="152"/>
      <c r="V160" s="152"/>
      <c r="W160" s="151"/>
      <c r="X160" s="151"/>
      <c r="Y160" s="151"/>
      <c r="Z160" s="151"/>
      <c r="AA160" s="151"/>
      <c r="AB160" s="151"/>
      <c r="AC160" s="151"/>
      <c r="AD160" s="151"/>
      <c r="AE160" s="151"/>
      <c r="AF160" s="151"/>
      <c r="AG160" s="151"/>
      <c r="AH160" s="151"/>
      <c r="AI160" s="151"/>
      <c r="AJ160" s="151"/>
      <c r="AK160" s="151"/>
      <c r="AL160" s="151"/>
      <c r="AM160" s="151"/>
      <c r="AN160" s="151"/>
      <c r="AO160" s="151"/>
      <c r="AP160" s="151"/>
      <c r="AQ160" s="151"/>
      <c r="AR160" s="151"/>
      <c r="AS160" s="151"/>
      <c r="AT160" s="151"/>
      <c r="AU160" s="102"/>
      <c r="AV160" s="102"/>
    </row>
    <row r="161" ht="17.25" customHeight="1">
      <c r="A161" s="95">
        <v>160.0</v>
      </c>
      <c r="B161" s="91" t="s">
        <v>48</v>
      </c>
      <c r="C161" s="113" t="s">
        <v>490</v>
      </c>
      <c r="D161" s="113" t="s">
        <v>491</v>
      </c>
      <c r="E161" s="109">
        <v>1.0</v>
      </c>
      <c r="F161" s="120">
        <v>43416.0</v>
      </c>
      <c r="G161" s="100" t="s">
        <v>492</v>
      </c>
      <c r="H161" s="100">
        <v>2.394940438E9</v>
      </c>
      <c r="I161" s="100" t="s">
        <v>493</v>
      </c>
      <c r="J161" s="115">
        <v>45888.0</v>
      </c>
      <c r="K161" s="116" t="s">
        <v>124</v>
      </c>
      <c r="L161" s="116">
        <v>6.0</v>
      </c>
      <c r="M161" s="100"/>
      <c r="N161" s="96" t="s">
        <v>40</v>
      </c>
      <c r="O161" s="108"/>
      <c r="P161" s="3"/>
      <c r="Q161" s="3"/>
      <c r="R161" s="3"/>
      <c r="S161" s="3"/>
      <c r="T161" s="144"/>
      <c r="U161" s="144"/>
      <c r="V161" s="145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102"/>
      <c r="AV161" s="102"/>
    </row>
    <row r="162" ht="17.25" customHeight="1">
      <c r="A162" s="95">
        <v>161.0</v>
      </c>
      <c r="B162" s="91" t="s">
        <v>48</v>
      </c>
      <c r="C162" s="107" t="s">
        <v>494</v>
      </c>
      <c r="D162" s="107" t="s">
        <v>495</v>
      </c>
      <c r="E162" s="109" t="s">
        <v>141</v>
      </c>
      <c r="F162" s="117">
        <v>43827.0</v>
      </c>
      <c r="G162" s="104" t="s">
        <v>496</v>
      </c>
      <c r="H162" s="104" t="s">
        <v>497</v>
      </c>
      <c r="I162" s="104" t="s">
        <v>498</v>
      </c>
      <c r="J162" s="115">
        <v>45901.0</v>
      </c>
      <c r="K162" s="116" t="s">
        <v>168</v>
      </c>
      <c r="L162" s="116">
        <v>91.0</v>
      </c>
      <c r="M162" s="107"/>
      <c r="N162" s="96" t="s">
        <v>40</v>
      </c>
      <c r="O162" s="107"/>
      <c r="P162" s="102"/>
      <c r="Q162" s="102"/>
      <c r="R162" s="102"/>
      <c r="S162" s="102"/>
      <c r="T162" s="149"/>
      <c r="U162" s="149"/>
      <c r="V162" s="149"/>
      <c r="W162" s="102"/>
      <c r="X162" s="102"/>
      <c r="Y162" s="102"/>
      <c r="Z162" s="102"/>
      <c r="AA162" s="102"/>
      <c r="AB162" s="102"/>
      <c r="AC162" s="102"/>
      <c r="AD162" s="102"/>
      <c r="AE162" s="102"/>
      <c r="AF162" s="102"/>
      <c r="AG162" s="102"/>
      <c r="AH162" s="102"/>
      <c r="AI162" s="102"/>
      <c r="AJ162" s="102"/>
      <c r="AK162" s="102"/>
      <c r="AL162" s="102"/>
      <c r="AM162" s="102"/>
      <c r="AN162" s="102"/>
      <c r="AO162" s="102"/>
      <c r="AP162" s="102"/>
      <c r="AQ162" s="102"/>
      <c r="AR162" s="102"/>
      <c r="AS162" s="102"/>
      <c r="AT162" s="102"/>
      <c r="AU162" s="102"/>
      <c r="AV162" s="102"/>
    </row>
    <row r="163" ht="17.25" customHeight="1">
      <c r="A163" s="95">
        <v>162.0</v>
      </c>
      <c r="B163" s="91" t="s">
        <v>88</v>
      </c>
      <c r="C163" s="107" t="s">
        <v>494</v>
      </c>
      <c r="D163" s="107" t="s">
        <v>495</v>
      </c>
      <c r="E163" s="109" t="s">
        <v>141</v>
      </c>
      <c r="F163" s="117">
        <v>43827.0</v>
      </c>
      <c r="G163" s="104" t="s">
        <v>496</v>
      </c>
      <c r="H163" s="104" t="s">
        <v>497</v>
      </c>
      <c r="I163" s="104" t="s">
        <v>498</v>
      </c>
      <c r="J163" s="115">
        <v>45901.0</v>
      </c>
      <c r="K163" s="116" t="s">
        <v>424</v>
      </c>
      <c r="L163" s="116">
        <v>105.0</v>
      </c>
      <c r="M163" s="107"/>
      <c r="N163" s="96" t="s">
        <v>40</v>
      </c>
      <c r="O163" s="107"/>
      <c r="P163" s="102"/>
      <c r="Q163" s="102"/>
      <c r="R163" s="102"/>
      <c r="S163" s="102"/>
      <c r="T163" s="149"/>
      <c r="U163" s="149"/>
      <c r="V163" s="149"/>
      <c r="W163" s="102"/>
      <c r="X163" s="102"/>
      <c r="Y163" s="102"/>
      <c r="Z163" s="102"/>
      <c r="AA163" s="102"/>
      <c r="AB163" s="102"/>
      <c r="AC163" s="102"/>
      <c r="AD163" s="102"/>
      <c r="AE163" s="102"/>
      <c r="AF163" s="102"/>
      <c r="AG163" s="102"/>
      <c r="AH163" s="102"/>
      <c r="AI163" s="102"/>
      <c r="AJ163" s="102"/>
      <c r="AK163" s="102"/>
      <c r="AL163" s="102"/>
      <c r="AM163" s="102"/>
      <c r="AN163" s="102"/>
      <c r="AO163" s="102"/>
      <c r="AP163" s="102"/>
      <c r="AQ163" s="102"/>
      <c r="AR163" s="102"/>
      <c r="AS163" s="102"/>
      <c r="AT163" s="102"/>
      <c r="AU163" s="102"/>
      <c r="AV163" s="102"/>
    </row>
    <row r="164" ht="17.25" customHeight="1">
      <c r="A164" s="95">
        <v>163.0</v>
      </c>
      <c r="B164" s="96" t="s">
        <v>48</v>
      </c>
      <c r="C164" s="99" t="s">
        <v>494</v>
      </c>
      <c r="D164" s="99" t="s">
        <v>499</v>
      </c>
      <c r="E164" s="95">
        <v>3.0</v>
      </c>
      <c r="F164" s="97">
        <v>42603.0</v>
      </c>
      <c r="G164" s="104" t="s">
        <v>496</v>
      </c>
      <c r="H164" s="104" t="s">
        <v>497</v>
      </c>
      <c r="I164" s="104" t="s">
        <v>498</v>
      </c>
      <c r="J164" s="105">
        <v>45859.0</v>
      </c>
      <c r="K164" s="106" t="s">
        <v>375</v>
      </c>
      <c r="L164" s="106">
        <v>98.0</v>
      </c>
      <c r="M164" s="99"/>
      <c r="N164" s="96" t="s">
        <v>40</v>
      </c>
      <c r="O164" s="108"/>
      <c r="P164" s="3"/>
      <c r="Q164" s="3"/>
      <c r="R164" s="3"/>
      <c r="S164" s="3"/>
      <c r="T164" s="146"/>
      <c r="U164" s="146"/>
      <c r="V164" s="146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102"/>
      <c r="AV164" s="102"/>
    </row>
    <row r="165" ht="17.25" customHeight="1">
      <c r="A165" s="95">
        <v>164.0</v>
      </c>
      <c r="B165" s="96" t="s">
        <v>88</v>
      </c>
      <c r="C165" s="99" t="s">
        <v>494</v>
      </c>
      <c r="D165" s="99" t="s">
        <v>499</v>
      </c>
      <c r="E165" s="95">
        <v>3.0</v>
      </c>
      <c r="F165" s="97">
        <v>42603.0</v>
      </c>
      <c r="G165" s="104" t="s">
        <v>496</v>
      </c>
      <c r="H165" s="104" t="s">
        <v>497</v>
      </c>
      <c r="I165" s="104" t="s">
        <v>498</v>
      </c>
      <c r="J165" s="105">
        <v>45859.0</v>
      </c>
      <c r="K165" s="106" t="s">
        <v>211</v>
      </c>
      <c r="L165" s="106">
        <v>51.0</v>
      </c>
      <c r="M165" s="107"/>
      <c r="N165" s="96" t="s">
        <v>40</v>
      </c>
      <c r="O165" s="108"/>
      <c r="P165" s="3"/>
      <c r="Q165" s="3"/>
      <c r="R165" s="3"/>
      <c r="S165" s="3"/>
      <c r="T165" s="146"/>
      <c r="U165" s="146"/>
      <c r="V165" s="146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102"/>
      <c r="AV165" s="102"/>
    </row>
    <row r="166" ht="17.25" customHeight="1">
      <c r="A166" s="95">
        <v>165.0</v>
      </c>
      <c r="B166" s="96" t="s">
        <v>48</v>
      </c>
      <c r="C166" s="99" t="s">
        <v>500</v>
      </c>
      <c r="D166" s="99" t="s">
        <v>501</v>
      </c>
      <c r="E166" s="95">
        <v>3.0</v>
      </c>
      <c r="F166" s="97">
        <v>42962.0</v>
      </c>
      <c r="G166" s="104" t="s">
        <v>502</v>
      </c>
      <c r="H166" s="104">
        <v>5.103869058E9</v>
      </c>
      <c r="I166" s="104" t="s">
        <v>503</v>
      </c>
      <c r="J166" s="105">
        <v>46054.0</v>
      </c>
      <c r="K166" s="106" t="s">
        <v>124</v>
      </c>
      <c r="L166" s="106">
        <v>60.0</v>
      </c>
      <c r="M166" s="99" t="s">
        <v>504</v>
      </c>
      <c r="N166" s="96" t="s">
        <v>40</v>
      </c>
      <c r="O166" s="108"/>
      <c r="P166" s="3"/>
      <c r="Q166" s="3"/>
      <c r="R166" s="3"/>
      <c r="S166" s="3"/>
      <c r="T166" s="146"/>
      <c r="U166" s="146"/>
      <c r="V166" s="146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102"/>
      <c r="AV166" s="102"/>
    </row>
    <row r="167" ht="17.25" customHeight="1">
      <c r="A167" s="95">
        <v>166.0</v>
      </c>
      <c r="B167" s="96" t="s">
        <v>88</v>
      </c>
      <c r="C167" s="99" t="s">
        <v>500</v>
      </c>
      <c r="D167" s="99" t="s">
        <v>501</v>
      </c>
      <c r="E167" s="95">
        <v>3.0</v>
      </c>
      <c r="F167" s="97">
        <v>42963.0</v>
      </c>
      <c r="G167" s="104" t="s">
        <v>505</v>
      </c>
      <c r="H167" s="104">
        <v>5.103869058E9</v>
      </c>
      <c r="I167" s="104" t="s">
        <v>503</v>
      </c>
      <c r="J167" s="105">
        <v>46054.0</v>
      </c>
      <c r="K167" s="106" t="s">
        <v>399</v>
      </c>
      <c r="L167" s="106">
        <v>101.0</v>
      </c>
      <c r="M167" s="99" t="s">
        <v>506</v>
      </c>
      <c r="N167" s="96" t="s">
        <v>40</v>
      </c>
      <c r="O167" s="108"/>
      <c r="P167" s="3"/>
      <c r="Q167" s="3"/>
      <c r="R167" s="3"/>
      <c r="S167" s="3"/>
      <c r="T167" s="146"/>
      <c r="U167" s="146"/>
      <c r="V167" s="146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102"/>
      <c r="AV167" s="102"/>
    </row>
    <row r="168" ht="17.25" customHeight="1">
      <c r="A168" s="95">
        <v>167.0</v>
      </c>
      <c r="B168" s="96" t="s">
        <v>48</v>
      </c>
      <c r="C168" s="99" t="s">
        <v>507</v>
      </c>
      <c r="D168" s="99" t="s">
        <v>508</v>
      </c>
      <c r="E168" s="95" t="s">
        <v>378</v>
      </c>
      <c r="F168" s="97" t="s">
        <v>509</v>
      </c>
      <c r="G168" s="104" t="s">
        <v>510</v>
      </c>
      <c r="H168" s="104">
        <v>6.176765481E9</v>
      </c>
      <c r="I168" s="104" t="s">
        <v>511</v>
      </c>
      <c r="J168" s="105">
        <v>46054.0</v>
      </c>
      <c r="K168" s="106" t="s">
        <v>138</v>
      </c>
      <c r="L168" s="106">
        <v>81.0</v>
      </c>
      <c r="M168" s="99" t="s">
        <v>512</v>
      </c>
      <c r="N168" s="96" t="s">
        <v>40</v>
      </c>
      <c r="O168" s="108"/>
      <c r="P168" s="3"/>
      <c r="Q168" s="3"/>
      <c r="R168" s="3"/>
      <c r="S168" s="3"/>
      <c r="T168" s="146"/>
      <c r="U168" s="146"/>
      <c r="V168" s="146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102"/>
      <c r="AV168" s="102"/>
    </row>
    <row r="169" ht="17.25" customHeight="1">
      <c r="A169" s="95">
        <v>168.0</v>
      </c>
      <c r="B169" s="96" t="s">
        <v>88</v>
      </c>
      <c r="C169" s="99" t="s">
        <v>507</v>
      </c>
      <c r="D169" s="99" t="s">
        <v>508</v>
      </c>
      <c r="E169" s="95" t="s">
        <v>378</v>
      </c>
      <c r="F169" s="97" t="s">
        <v>509</v>
      </c>
      <c r="G169" s="104" t="s">
        <v>510</v>
      </c>
      <c r="H169" s="104">
        <v>6.176765481E9</v>
      </c>
      <c r="I169" s="104" t="s">
        <v>511</v>
      </c>
      <c r="J169" s="105">
        <v>46054.0</v>
      </c>
      <c r="K169" s="106" t="s">
        <v>125</v>
      </c>
      <c r="L169" s="106">
        <v>61.0</v>
      </c>
      <c r="M169" s="99" t="s">
        <v>506</v>
      </c>
      <c r="N169" s="96" t="s">
        <v>40</v>
      </c>
      <c r="O169" s="108"/>
      <c r="P169" s="3"/>
      <c r="Q169" s="3"/>
      <c r="R169" s="3"/>
      <c r="S169" s="3"/>
      <c r="T169" s="146"/>
      <c r="U169" s="146"/>
      <c r="V169" s="146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102"/>
      <c r="AV169" s="102"/>
    </row>
    <row r="170" ht="17.25" customHeight="1">
      <c r="A170" s="95">
        <v>169.0</v>
      </c>
      <c r="B170" s="96" t="s">
        <v>48</v>
      </c>
      <c r="C170" s="99" t="s">
        <v>513</v>
      </c>
      <c r="D170" s="99" t="s">
        <v>514</v>
      </c>
      <c r="E170" s="95">
        <v>3.0</v>
      </c>
      <c r="F170" s="97">
        <v>43013.0</v>
      </c>
      <c r="G170" s="104" t="s">
        <v>515</v>
      </c>
      <c r="H170" s="104">
        <v>5.10371529E9</v>
      </c>
      <c r="I170" s="104" t="s">
        <v>516</v>
      </c>
      <c r="J170" s="105">
        <v>46054.0</v>
      </c>
      <c r="K170" s="106" t="s">
        <v>255</v>
      </c>
      <c r="L170" s="106">
        <v>76.0</v>
      </c>
      <c r="M170" s="99"/>
      <c r="N170" s="96" t="s">
        <v>40</v>
      </c>
      <c r="O170" s="108"/>
      <c r="P170" s="3"/>
      <c r="Q170" s="3"/>
      <c r="R170" s="3"/>
      <c r="S170" s="3"/>
      <c r="T170" s="146"/>
      <c r="U170" s="146"/>
      <c r="V170" s="146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102"/>
      <c r="AV170" s="102"/>
    </row>
    <row r="171" ht="17.25" customHeight="1">
      <c r="A171" s="95">
        <v>170.0</v>
      </c>
      <c r="B171" s="96" t="s">
        <v>88</v>
      </c>
      <c r="C171" s="99" t="s">
        <v>513</v>
      </c>
      <c r="D171" s="99" t="s">
        <v>514</v>
      </c>
      <c r="E171" s="95">
        <v>3.0</v>
      </c>
      <c r="F171" s="97">
        <v>43013.0</v>
      </c>
      <c r="G171" s="104" t="s">
        <v>515</v>
      </c>
      <c r="H171" s="104">
        <v>5.10371529E9</v>
      </c>
      <c r="I171" s="104" t="s">
        <v>516</v>
      </c>
      <c r="J171" s="105">
        <v>46054.0</v>
      </c>
      <c r="K171" s="106" t="s">
        <v>132</v>
      </c>
      <c r="L171" s="106">
        <v>1.0</v>
      </c>
      <c r="M171" s="99" t="s">
        <v>506</v>
      </c>
      <c r="N171" s="96" t="s">
        <v>40</v>
      </c>
      <c r="O171" s="108"/>
      <c r="P171" s="3"/>
      <c r="Q171" s="3"/>
      <c r="R171" s="3"/>
      <c r="S171" s="3"/>
      <c r="T171" s="146"/>
      <c r="U171" s="146"/>
      <c r="V171" s="146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102"/>
      <c r="AV171" s="102"/>
    </row>
    <row r="172" ht="17.25" customHeight="1">
      <c r="A172" s="95">
        <v>171.0</v>
      </c>
      <c r="B172" s="96" t="s">
        <v>48</v>
      </c>
      <c r="C172" s="99" t="s">
        <v>517</v>
      </c>
      <c r="D172" s="99" t="s">
        <v>271</v>
      </c>
      <c r="E172" s="95">
        <v>1.0</v>
      </c>
      <c r="F172" s="97">
        <v>43816.0</v>
      </c>
      <c r="G172" s="104" t="s">
        <v>518</v>
      </c>
      <c r="H172" s="104">
        <v>4.043172704E9</v>
      </c>
      <c r="I172" s="104" t="s">
        <v>519</v>
      </c>
      <c r="J172" s="105">
        <v>43502.0</v>
      </c>
      <c r="K172" s="106" t="s">
        <v>520</v>
      </c>
      <c r="L172" s="106">
        <v>50.0</v>
      </c>
      <c r="M172" s="99"/>
      <c r="N172" s="96" t="s">
        <v>40</v>
      </c>
      <c r="O172" s="108"/>
      <c r="P172" s="3"/>
      <c r="Q172" s="3"/>
      <c r="R172" s="3"/>
      <c r="S172" s="3"/>
      <c r="T172" s="146"/>
      <c r="U172" s="146"/>
      <c r="V172" s="146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102"/>
      <c r="AV172" s="102"/>
    </row>
    <row r="173" ht="17.25" customHeight="1">
      <c r="A173" s="95">
        <v>172.0</v>
      </c>
      <c r="B173" s="96" t="s">
        <v>88</v>
      </c>
      <c r="C173" s="99" t="s">
        <v>517</v>
      </c>
      <c r="D173" s="99" t="s">
        <v>271</v>
      </c>
      <c r="E173" s="95">
        <v>1.0</v>
      </c>
      <c r="F173" s="97">
        <v>43816.0</v>
      </c>
      <c r="G173" s="104" t="s">
        <v>518</v>
      </c>
      <c r="H173" s="104">
        <v>4.043172704E9</v>
      </c>
      <c r="I173" s="104" t="s">
        <v>519</v>
      </c>
      <c r="J173" s="105">
        <v>43502.0</v>
      </c>
      <c r="K173" s="106" t="s">
        <v>118</v>
      </c>
      <c r="L173" s="106">
        <v>50.0</v>
      </c>
      <c r="M173" s="99" t="s">
        <v>506</v>
      </c>
      <c r="N173" s="96" t="s">
        <v>40</v>
      </c>
      <c r="O173" s="108"/>
      <c r="P173" s="3"/>
      <c r="Q173" s="3"/>
      <c r="R173" s="3"/>
      <c r="S173" s="3"/>
      <c r="T173" s="146"/>
      <c r="U173" s="146"/>
      <c r="V173" s="146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102"/>
      <c r="AV173" s="102"/>
    </row>
    <row r="174" ht="17.25" customHeight="1">
      <c r="A174" s="95">
        <v>172.0</v>
      </c>
      <c r="B174" s="96"/>
      <c r="E174" s="95"/>
      <c r="F174" s="97"/>
      <c r="G174" s="104"/>
      <c r="H174" s="104"/>
      <c r="I174" s="104"/>
      <c r="J174" s="105"/>
      <c r="K174" s="106"/>
      <c r="L174" s="106"/>
      <c r="M174" s="107"/>
      <c r="N174" s="96" t="s">
        <v>82</v>
      </c>
      <c r="O174" s="108"/>
      <c r="P174" s="130"/>
      <c r="Q174" s="130"/>
      <c r="R174" s="130"/>
      <c r="S174" s="130"/>
      <c r="T174" s="147"/>
      <c r="U174" s="147"/>
      <c r="V174" s="147"/>
      <c r="W174" s="130"/>
      <c r="X174" s="130"/>
      <c r="Y174" s="130"/>
      <c r="Z174" s="130"/>
      <c r="AA174" s="130"/>
      <c r="AB174" s="130"/>
      <c r="AC174" s="130"/>
      <c r="AD174" s="130"/>
      <c r="AE174" s="130"/>
      <c r="AF174" s="130"/>
      <c r="AG174" s="130"/>
      <c r="AH174" s="130"/>
      <c r="AI174" s="130"/>
      <c r="AJ174" s="130"/>
      <c r="AK174" s="130"/>
      <c r="AL174" s="130"/>
      <c r="AM174" s="130"/>
      <c r="AN174" s="130"/>
      <c r="AO174" s="130"/>
      <c r="AP174" s="130"/>
      <c r="AQ174" s="130"/>
      <c r="AR174" s="130"/>
      <c r="AS174" s="130"/>
      <c r="AT174" s="130"/>
      <c r="AU174" s="131"/>
      <c r="AV174" s="131"/>
    </row>
    <row r="175" ht="17.25" customHeight="1">
      <c r="A175" s="95">
        <v>173.0</v>
      </c>
      <c r="B175" s="96"/>
      <c r="C175" s="99"/>
      <c r="D175" s="99"/>
      <c r="E175" s="95"/>
      <c r="F175" s="97"/>
      <c r="G175" s="104"/>
      <c r="H175" s="104"/>
      <c r="I175" s="104"/>
      <c r="J175" s="105"/>
      <c r="K175" s="106"/>
      <c r="L175" s="106"/>
      <c r="M175" s="107"/>
      <c r="N175" s="96" t="s">
        <v>82</v>
      </c>
      <c r="O175" s="108"/>
      <c r="P175" s="130"/>
      <c r="Q175" s="130"/>
      <c r="R175" s="130"/>
      <c r="S175" s="130"/>
      <c r="T175" s="147"/>
      <c r="U175" s="147"/>
      <c r="V175" s="147"/>
      <c r="W175" s="130"/>
      <c r="X175" s="130"/>
      <c r="Y175" s="130"/>
      <c r="Z175" s="130"/>
      <c r="AA175" s="130"/>
      <c r="AB175" s="130"/>
      <c r="AC175" s="130"/>
      <c r="AD175" s="130"/>
      <c r="AE175" s="130"/>
      <c r="AF175" s="130"/>
      <c r="AG175" s="130"/>
      <c r="AH175" s="130"/>
      <c r="AI175" s="130"/>
      <c r="AJ175" s="130"/>
      <c r="AK175" s="130"/>
      <c r="AL175" s="130"/>
      <c r="AM175" s="130"/>
      <c r="AN175" s="130"/>
      <c r="AO175" s="130"/>
      <c r="AP175" s="130"/>
      <c r="AQ175" s="130"/>
      <c r="AR175" s="130"/>
      <c r="AS175" s="130"/>
      <c r="AT175" s="130"/>
      <c r="AU175" s="131"/>
      <c r="AV175" s="131"/>
    </row>
    <row r="176" ht="17.25" customHeight="1">
      <c r="A176" s="95">
        <v>174.0</v>
      </c>
      <c r="B176" s="153"/>
      <c r="C176" s="112"/>
      <c r="D176" s="112"/>
      <c r="E176" s="154"/>
      <c r="F176" s="154"/>
      <c r="G176" s="112"/>
      <c r="H176" s="112"/>
      <c r="I176" s="112"/>
      <c r="J176" s="112"/>
      <c r="K176" s="112"/>
      <c r="L176" s="112"/>
      <c r="M176" s="112"/>
      <c r="N176" s="96" t="s">
        <v>82</v>
      </c>
      <c r="O176" s="112"/>
      <c r="P176" s="155"/>
      <c r="Q176" s="155"/>
      <c r="R176" s="155"/>
      <c r="S176" s="155"/>
      <c r="T176" s="156"/>
      <c r="U176" s="156"/>
      <c r="V176" s="156"/>
      <c r="W176" s="155"/>
      <c r="X176" s="155"/>
      <c r="Y176" s="155"/>
      <c r="Z176" s="155"/>
    </row>
    <row r="177" ht="17.25" customHeight="1">
      <c r="A177" s="95">
        <v>175.0</v>
      </c>
      <c r="B177" s="153"/>
      <c r="C177" s="112"/>
      <c r="D177" s="112"/>
      <c r="E177" s="154"/>
      <c r="F177" s="154"/>
      <c r="G177" s="112"/>
      <c r="H177" s="112"/>
      <c r="I177" s="112"/>
      <c r="J177" s="112"/>
      <c r="K177" s="112"/>
      <c r="L177" s="112"/>
      <c r="M177" s="112"/>
      <c r="N177" s="96" t="s">
        <v>82</v>
      </c>
      <c r="O177" s="112"/>
      <c r="P177" s="155"/>
      <c r="Q177" s="155"/>
      <c r="R177" s="155"/>
      <c r="S177" s="155"/>
      <c r="T177" s="156"/>
      <c r="U177" s="156"/>
      <c r="V177" s="156"/>
      <c r="W177" s="155"/>
      <c r="X177" s="155"/>
      <c r="Y177" s="155"/>
      <c r="Z177" s="155"/>
    </row>
    <row r="178" ht="17.25" customHeight="1">
      <c r="A178" s="95">
        <v>176.0</v>
      </c>
      <c r="B178" s="153"/>
      <c r="C178" s="112"/>
      <c r="D178" s="112"/>
      <c r="E178" s="154"/>
      <c r="F178" s="154"/>
      <c r="G178" s="112"/>
      <c r="H178" s="112"/>
      <c r="I178" s="112"/>
      <c r="J178" s="112"/>
      <c r="K178" s="112"/>
      <c r="L178" s="112"/>
      <c r="M178" s="112"/>
      <c r="N178" s="96" t="s">
        <v>82</v>
      </c>
      <c r="O178" s="112"/>
      <c r="P178" s="155"/>
      <c r="Q178" s="155"/>
      <c r="R178" s="155"/>
      <c r="S178" s="155"/>
      <c r="T178" s="156"/>
      <c r="U178" s="156"/>
      <c r="V178" s="156"/>
      <c r="W178" s="155"/>
      <c r="X178" s="155"/>
      <c r="Y178" s="155"/>
      <c r="Z178" s="155"/>
    </row>
    <row r="179" ht="15.0" customHeight="1">
      <c r="A179" s="95">
        <v>177.0</v>
      </c>
      <c r="B179" s="153"/>
      <c r="C179" s="112"/>
      <c r="D179" s="112"/>
      <c r="E179" s="154"/>
      <c r="F179" s="154"/>
      <c r="G179" s="112"/>
      <c r="H179" s="112"/>
      <c r="I179" s="112"/>
      <c r="J179" s="112"/>
      <c r="K179" s="112"/>
      <c r="L179" s="112"/>
      <c r="M179" s="112"/>
      <c r="N179" s="96" t="s">
        <v>82</v>
      </c>
      <c r="O179" s="112"/>
    </row>
    <row r="180" ht="15.0" customHeight="1">
      <c r="A180" s="95">
        <v>178.0</v>
      </c>
      <c r="B180" s="153"/>
      <c r="C180" s="112"/>
      <c r="D180" s="112"/>
      <c r="E180" s="154"/>
      <c r="F180" s="154"/>
      <c r="G180" s="112"/>
      <c r="H180" s="112"/>
      <c r="I180" s="112"/>
      <c r="J180" s="112"/>
      <c r="K180" s="112"/>
      <c r="L180" s="112"/>
      <c r="M180" s="112"/>
      <c r="N180" s="96" t="s">
        <v>82</v>
      </c>
      <c r="O180" s="112"/>
    </row>
    <row r="181" ht="15.0" customHeight="1">
      <c r="A181" s="95">
        <v>179.0</v>
      </c>
      <c r="B181" s="112"/>
      <c r="C181" s="112"/>
      <c r="D181" s="112"/>
      <c r="E181" s="154"/>
      <c r="F181" s="154"/>
      <c r="G181" s="112"/>
      <c r="H181" s="112"/>
      <c r="I181" s="112"/>
      <c r="J181" s="112"/>
      <c r="K181" s="112"/>
      <c r="L181" s="112"/>
      <c r="M181" s="112"/>
      <c r="N181" s="96" t="s">
        <v>82</v>
      </c>
      <c r="O181" s="112"/>
    </row>
    <row r="182" ht="15.0" customHeight="1">
      <c r="A182" s="95">
        <v>180.0</v>
      </c>
      <c r="B182" s="112"/>
      <c r="C182" s="112"/>
      <c r="D182" s="112"/>
      <c r="E182" s="154"/>
      <c r="F182" s="154"/>
      <c r="G182" s="112"/>
      <c r="H182" s="112"/>
      <c r="I182" s="112"/>
      <c r="J182" s="112"/>
      <c r="K182" s="112"/>
      <c r="L182" s="112"/>
      <c r="M182" s="112"/>
      <c r="N182" s="96" t="s">
        <v>82</v>
      </c>
      <c r="O182" s="112"/>
    </row>
    <row r="183" ht="15.0" customHeight="1">
      <c r="A183" s="95">
        <v>181.0</v>
      </c>
      <c r="B183" s="112"/>
      <c r="C183" s="112"/>
      <c r="D183" s="112"/>
      <c r="E183" s="154"/>
      <c r="F183" s="154"/>
      <c r="G183" s="112"/>
      <c r="H183" s="112"/>
      <c r="I183" s="112"/>
      <c r="J183" s="112"/>
      <c r="K183" s="112"/>
      <c r="L183" s="112"/>
      <c r="M183" s="112"/>
      <c r="N183" s="96" t="s">
        <v>82</v>
      </c>
      <c r="O183" s="112"/>
    </row>
    <row r="184" ht="17.25" customHeight="1">
      <c r="A184" s="95">
        <v>182.0</v>
      </c>
      <c r="B184" s="157"/>
      <c r="C184" s="158"/>
      <c r="D184" s="158"/>
      <c r="E184" s="159"/>
      <c r="F184" s="160"/>
      <c r="G184" s="161"/>
      <c r="H184" s="161"/>
      <c r="I184" s="161"/>
      <c r="J184" s="162"/>
      <c r="K184" s="163"/>
      <c r="L184" s="158"/>
      <c r="M184" s="158"/>
      <c r="N184" s="164" t="s">
        <v>82</v>
      </c>
      <c r="O184" s="165"/>
      <c r="P184" s="166"/>
      <c r="Q184" s="166"/>
      <c r="R184" s="166"/>
      <c r="S184" s="166"/>
      <c r="W184" s="166"/>
      <c r="X184" s="166"/>
      <c r="Y184" s="166"/>
      <c r="Z184" s="166"/>
      <c r="AA184" s="166"/>
      <c r="AB184" s="166"/>
      <c r="AC184" s="166"/>
      <c r="AD184" s="166"/>
      <c r="AE184" s="166"/>
      <c r="AF184" s="166"/>
      <c r="AG184" s="166"/>
      <c r="AH184" s="166"/>
      <c r="AI184" s="166"/>
      <c r="AJ184" s="166"/>
      <c r="AK184" s="166"/>
      <c r="AL184" s="166"/>
      <c r="AM184" s="166"/>
      <c r="AN184" s="166"/>
      <c r="AO184" s="166"/>
      <c r="AP184" s="166"/>
      <c r="AQ184" s="166"/>
      <c r="AR184" s="166"/>
      <c r="AS184" s="166"/>
      <c r="AT184" s="166"/>
      <c r="AU184" s="167"/>
      <c r="AV184" s="167"/>
    </row>
    <row r="185" ht="17.25" customHeight="1">
      <c r="A185" s="168"/>
      <c r="B185" s="94"/>
      <c r="C185" s="169"/>
      <c r="D185" s="169"/>
      <c r="E185" s="170"/>
      <c r="F185" s="171"/>
      <c r="G185" s="172"/>
      <c r="H185" s="172"/>
      <c r="I185" s="172"/>
      <c r="J185" s="173"/>
      <c r="K185" s="174"/>
      <c r="L185" s="169"/>
      <c r="M185" s="169"/>
      <c r="N185" s="175"/>
      <c r="O185" s="176"/>
      <c r="P185" s="166"/>
      <c r="Q185" s="166"/>
      <c r="R185" s="166"/>
      <c r="S185" s="166"/>
      <c r="W185" s="166"/>
      <c r="X185" s="166"/>
      <c r="Y185" s="166"/>
      <c r="Z185" s="166"/>
      <c r="AA185" s="166"/>
      <c r="AB185" s="166"/>
      <c r="AC185" s="166"/>
      <c r="AD185" s="166"/>
      <c r="AE185" s="166"/>
      <c r="AF185" s="166"/>
      <c r="AG185" s="166"/>
      <c r="AH185" s="166"/>
      <c r="AI185" s="166"/>
      <c r="AJ185" s="166"/>
      <c r="AK185" s="166"/>
      <c r="AL185" s="166"/>
      <c r="AM185" s="166"/>
      <c r="AN185" s="166"/>
      <c r="AO185" s="166"/>
      <c r="AP185" s="166"/>
      <c r="AQ185" s="166"/>
      <c r="AR185" s="166"/>
      <c r="AS185" s="166"/>
      <c r="AT185" s="166"/>
      <c r="AU185" s="167"/>
      <c r="AV185" s="167"/>
    </row>
    <row r="186" ht="17.25" customHeight="1">
      <c r="A186" s="168"/>
      <c r="B186" s="94"/>
      <c r="C186" s="169"/>
      <c r="D186" s="169"/>
      <c r="E186" s="170"/>
      <c r="F186" s="171"/>
      <c r="G186" s="172"/>
      <c r="H186" s="172"/>
      <c r="I186" s="172"/>
      <c r="J186" s="173"/>
      <c r="K186" s="174"/>
      <c r="L186" s="169"/>
      <c r="M186" s="169"/>
      <c r="N186" s="175"/>
      <c r="O186" s="176"/>
      <c r="P186" s="166"/>
      <c r="Q186" s="166"/>
      <c r="R186" s="166"/>
      <c r="S186" s="166"/>
      <c r="T186" s="7"/>
      <c r="U186" s="7"/>
      <c r="V186" s="7"/>
      <c r="W186" s="166"/>
      <c r="X186" s="166"/>
      <c r="Y186" s="166"/>
      <c r="Z186" s="166"/>
      <c r="AA186" s="166"/>
      <c r="AB186" s="166"/>
      <c r="AC186" s="166"/>
      <c r="AD186" s="166"/>
      <c r="AE186" s="166"/>
      <c r="AF186" s="166"/>
      <c r="AG186" s="166"/>
      <c r="AH186" s="166"/>
      <c r="AI186" s="166"/>
      <c r="AJ186" s="166"/>
      <c r="AK186" s="166"/>
      <c r="AL186" s="166"/>
      <c r="AM186" s="166"/>
      <c r="AN186" s="166"/>
      <c r="AO186" s="166"/>
      <c r="AP186" s="166"/>
      <c r="AQ186" s="166"/>
      <c r="AR186" s="166"/>
      <c r="AS186" s="166"/>
      <c r="AT186" s="166"/>
      <c r="AU186" s="167"/>
      <c r="AV186" s="167"/>
    </row>
    <row r="187" ht="17.25" customHeight="1">
      <c r="A187" s="177" t="s">
        <v>521</v>
      </c>
      <c r="B187" s="8"/>
      <c r="C187" s="178"/>
      <c r="D187" s="178"/>
      <c r="E187" s="8"/>
      <c r="F187" s="8"/>
      <c r="G187" s="179"/>
      <c r="H187" s="179"/>
      <c r="I187" s="180"/>
      <c r="J187" s="179"/>
      <c r="K187" s="179"/>
      <c r="L187" s="179"/>
      <c r="M187" s="179"/>
      <c r="N187" s="8"/>
      <c r="O187" s="181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</row>
    <row r="188" ht="21.0" hidden="1" customHeight="1">
      <c r="A188" s="182">
        <v>1.0</v>
      </c>
      <c r="B188" s="183" t="s">
        <v>48</v>
      </c>
      <c r="C188" s="184" t="s">
        <v>522</v>
      </c>
      <c r="D188" s="184" t="s">
        <v>523</v>
      </c>
      <c r="E188" s="185">
        <v>5.0</v>
      </c>
      <c r="F188" s="186">
        <v>41297.0</v>
      </c>
      <c r="G188" s="187" t="s">
        <v>524</v>
      </c>
      <c r="H188" s="184">
        <v>5.108288339E9</v>
      </c>
      <c r="I188" s="187" t="s">
        <v>525</v>
      </c>
      <c r="J188" s="188">
        <v>45082.0</v>
      </c>
      <c r="K188" s="187"/>
      <c r="L188" s="187"/>
      <c r="M188" s="184"/>
      <c r="N188" s="183" t="s">
        <v>34</v>
      </c>
      <c r="O188" s="189">
        <v>45108.0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</row>
    <row r="189" ht="21.0" hidden="1" customHeight="1">
      <c r="A189" s="190">
        <v>2.0</v>
      </c>
      <c r="B189" s="191" t="s">
        <v>88</v>
      </c>
      <c r="C189" s="192" t="s">
        <v>522</v>
      </c>
      <c r="D189" s="192" t="s">
        <v>523</v>
      </c>
      <c r="E189" s="193">
        <v>5.0</v>
      </c>
      <c r="F189" s="194">
        <v>41297.0</v>
      </c>
      <c r="G189" s="195" t="s">
        <v>524</v>
      </c>
      <c r="H189" s="192">
        <v>5.108288339E9</v>
      </c>
      <c r="I189" s="195" t="s">
        <v>525</v>
      </c>
      <c r="J189" s="196">
        <v>45082.0</v>
      </c>
      <c r="K189" s="195"/>
      <c r="L189" s="195"/>
      <c r="M189" s="192" t="s">
        <v>526</v>
      </c>
      <c r="N189" s="191" t="s">
        <v>34</v>
      </c>
      <c r="O189" s="189">
        <v>45108.0</v>
      </c>
      <c r="P189" s="7"/>
      <c r="Q189" s="7"/>
      <c r="R189" s="7"/>
      <c r="S189" s="7"/>
      <c r="T189" s="197"/>
      <c r="U189" s="197"/>
      <c r="V189" s="19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</row>
    <row r="190" ht="21.0" hidden="1" customHeight="1">
      <c r="A190" s="198">
        <v>3.0</v>
      </c>
      <c r="B190" s="199" t="s">
        <v>48</v>
      </c>
      <c r="C190" s="200" t="s">
        <v>417</v>
      </c>
      <c r="D190" s="200" t="s">
        <v>418</v>
      </c>
      <c r="E190" s="201" t="s">
        <v>141</v>
      </c>
      <c r="F190" s="202">
        <v>42867.0</v>
      </c>
      <c r="G190" s="203" t="s">
        <v>419</v>
      </c>
      <c r="H190" s="200">
        <v>4.086432868E9</v>
      </c>
      <c r="I190" s="203" t="s">
        <v>420</v>
      </c>
      <c r="J190" s="204">
        <v>44835.0</v>
      </c>
      <c r="K190" s="203"/>
      <c r="L190" s="203"/>
      <c r="M190" s="200" t="s">
        <v>527</v>
      </c>
      <c r="N190" s="199" t="s">
        <v>34</v>
      </c>
      <c r="O190" s="205">
        <v>45108.0</v>
      </c>
      <c r="P190" s="206"/>
      <c r="Q190" s="206"/>
      <c r="R190" s="206"/>
      <c r="S190" s="206"/>
      <c r="T190" s="197"/>
      <c r="U190" s="197"/>
      <c r="V190" s="197"/>
      <c r="W190" s="206"/>
      <c r="X190" s="206"/>
      <c r="Y190" s="206"/>
      <c r="Z190" s="206"/>
      <c r="AA190" s="206"/>
      <c r="AB190" s="206"/>
      <c r="AC190" s="206"/>
      <c r="AD190" s="206"/>
      <c r="AE190" s="206"/>
      <c r="AF190" s="206"/>
      <c r="AG190" s="206"/>
      <c r="AH190" s="206"/>
      <c r="AI190" s="206"/>
      <c r="AJ190" s="206"/>
      <c r="AK190" s="206"/>
      <c r="AL190" s="206"/>
      <c r="AM190" s="206"/>
      <c r="AN190" s="206"/>
      <c r="AO190" s="206"/>
      <c r="AP190" s="206"/>
      <c r="AQ190" s="206"/>
      <c r="AR190" s="206"/>
      <c r="AS190" s="206"/>
      <c r="AT190" s="206"/>
    </row>
    <row r="191" ht="21.0" hidden="1" customHeight="1">
      <c r="A191" s="198">
        <v>4.0</v>
      </c>
      <c r="B191" s="199"/>
      <c r="C191" s="200" t="s">
        <v>417</v>
      </c>
      <c r="D191" s="200" t="s">
        <v>418</v>
      </c>
      <c r="E191" s="201" t="s">
        <v>141</v>
      </c>
      <c r="F191" s="202">
        <v>42867.0</v>
      </c>
      <c r="G191" s="203" t="s">
        <v>419</v>
      </c>
      <c r="H191" s="200">
        <v>4.086432868E9</v>
      </c>
      <c r="I191" s="203" t="s">
        <v>420</v>
      </c>
      <c r="J191" s="204">
        <v>44958.0</v>
      </c>
      <c r="K191" s="203"/>
      <c r="L191" s="203"/>
      <c r="M191" s="200" t="s">
        <v>527</v>
      </c>
      <c r="N191" s="199" t="s">
        <v>34</v>
      </c>
      <c r="O191" s="205">
        <v>45108.0</v>
      </c>
      <c r="P191" s="206"/>
      <c r="Q191" s="206"/>
      <c r="R191" s="206"/>
      <c r="S191" s="206"/>
      <c r="T191" s="197"/>
      <c r="U191" s="197"/>
      <c r="V191" s="197"/>
      <c r="W191" s="206"/>
      <c r="X191" s="206"/>
      <c r="Y191" s="206"/>
      <c r="Z191" s="206"/>
      <c r="AA191" s="206"/>
      <c r="AB191" s="206"/>
      <c r="AC191" s="206"/>
      <c r="AD191" s="206"/>
      <c r="AE191" s="206"/>
      <c r="AF191" s="206"/>
      <c r="AG191" s="206"/>
      <c r="AH191" s="206"/>
      <c r="AI191" s="206"/>
      <c r="AJ191" s="206"/>
      <c r="AK191" s="206"/>
      <c r="AL191" s="206"/>
      <c r="AM191" s="206"/>
      <c r="AN191" s="206"/>
      <c r="AO191" s="206"/>
      <c r="AP191" s="206"/>
      <c r="AQ191" s="206"/>
      <c r="AR191" s="206"/>
      <c r="AS191" s="206"/>
      <c r="AT191" s="206"/>
    </row>
    <row r="192" ht="17.25" hidden="1" customHeight="1">
      <c r="A192" s="207">
        <v>1.0</v>
      </c>
      <c r="B192" s="208" t="s">
        <v>48</v>
      </c>
      <c r="C192" s="209" t="s">
        <v>156</v>
      </c>
      <c r="D192" s="209" t="s">
        <v>528</v>
      </c>
      <c r="E192" s="207">
        <v>4.0</v>
      </c>
      <c r="F192" s="210">
        <v>41337.0</v>
      </c>
      <c r="G192" s="211" t="s">
        <v>529</v>
      </c>
      <c r="H192" s="209">
        <v>5.103585536E9</v>
      </c>
      <c r="I192" s="211" t="s">
        <v>530</v>
      </c>
      <c r="J192" s="212">
        <v>44844.0</v>
      </c>
      <c r="K192" s="211"/>
      <c r="L192" s="211"/>
      <c r="M192" s="209"/>
      <c r="N192" s="208" t="s">
        <v>34</v>
      </c>
      <c r="O192" s="213">
        <v>45139.0</v>
      </c>
      <c r="P192" s="214"/>
      <c r="Q192" s="214"/>
      <c r="R192" s="214"/>
      <c r="S192" s="214"/>
      <c r="T192" s="197"/>
      <c r="U192" s="197"/>
      <c r="V192" s="197"/>
      <c r="W192" s="214"/>
      <c r="X192" s="214"/>
      <c r="Y192" s="214"/>
      <c r="Z192" s="214"/>
      <c r="AA192" s="214"/>
      <c r="AB192" s="214"/>
      <c r="AC192" s="214"/>
      <c r="AD192" s="214"/>
      <c r="AE192" s="214"/>
      <c r="AF192" s="214"/>
      <c r="AG192" s="214"/>
      <c r="AH192" s="214"/>
      <c r="AI192" s="214"/>
      <c r="AJ192" s="214"/>
      <c r="AK192" s="214"/>
      <c r="AL192" s="214"/>
      <c r="AM192" s="214"/>
      <c r="AN192" s="214"/>
      <c r="AO192" s="214"/>
      <c r="AP192" s="214"/>
      <c r="AQ192" s="214"/>
      <c r="AR192" s="214"/>
      <c r="AS192" s="214"/>
      <c r="AT192" s="214"/>
    </row>
    <row r="193" ht="17.25" hidden="1" customHeight="1">
      <c r="A193" s="207">
        <v>2.0</v>
      </c>
      <c r="B193" s="208" t="s">
        <v>48</v>
      </c>
      <c r="C193" s="209" t="s">
        <v>531</v>
      </c>
      <c r="D193" s="209" t="s">
        <v>532</v>
      </c>
      <c r="E193" s="207">
        <v>1.0</v>
      </c>
      <c r="F193" s="210">
        <v>43061.0</v>
      </c>
      <c r="G193" s="211" t="s">
        <v>533</v>
      </c>
      <c r="H193" s="209">
        <v>4.152449059E9</v>
      </c>
      <c r="I193" s="211" t="s">
        <v>534</v>
      </c>
      <c r="J193" s="212">
        <v>45082.0</v>
      </c>
      <c r="K193" s="211"/>
      <c r="L193" s="211"/>
      <c r="M193" s="209"/>
      <c r="N193" s="208" t="s">
        <v>34</v>
      </c>
      <c r="O193" s="213">
        <v>45139.0</v>
      </c>
      <c r="P193" s="214"/>
      <c r="Q193" s="214"/>
      <c r="R193" s="214"/>
      <c r="S193" s="214"/>
      <c r="T193" s="197"/>
      <c r="U193" s="197"/>
      <c r="V193" s="197"/>
      <c r="W193" s="214"/>
      <c r="X193" s="214"/>
      <c r="Y193" s="214"/>
      <c r="Z193" s="214"/>
      <c r="AA193" s="214"/>
      <c r="AB193" s="214"/>
      <c r="AC193" s="214"/>
      <c r="AD193" s="214"/>
      <c r="AE193" s="214"/>
      <c r="AF193" s="214"/>
      <c r="AG193" s="214"/>
      <c r="AH193" s="214"/>
      <c r="AI193" s="214"/>
      <c r="AJ193" s="214"/>
      <c r="AK193" s="214"/>
      <c r="AL193" s="214"/>
      <c r="AM193" s="214"/>
      <c r="AN193" s="214"/>
      <c r="AO193" s="214"/>
      <c r="AP193" s="214"/>
      <c r="AQ193" s="214"/>
      <c r="AR193" s="214"/>
      <c r="AS193" s="214"/>
      <c r="AT193" s="214"/>
    </row>
    <row r="194" ht="17.25" hidden="1" customHeight="1">
      <c r="A194" s="207">
        <v>3.0</v>
      </c>
      <c r="B194" s="208" t="s">
        <v>88</v>
      </c>
      <c r="C194" s="209" t="s">
        <v>531</v>
      </c>
      <c r="D194" s="209" t="s">
        <v>532</v>
      </c>
      <c r="E194" s="207">
        <v>1.0</v>
      </c>
      <c r="F194" s="210">
        <v>43061.0</v>
      </c>
      <c r="G194" s="211" t="s">
        <v>533</v>
      </c>
      <c r="H194" s="209">
        <v>4.152449059E9</v>
      </c>
      <c r="I194" s="211" t="s">
        <v>534</v>
      </c>
      <c r="J194" s="212">
        <v>45082.0</v>
      </c>
      <c r="K194" s="211"/>
      <c r="L194" s="211"/>
      <c r="M194" s="209" t="s">
        <v>526</v>
      </c>
      <c r="N194" s="208" t="s">
        <v>34</v>
      </c>
      <c r="O194" s="213">
        <v>45139.0</v>
      </c>
      <c r="P194" s="214"/>
      <c r="Q194" s="214"/>
      <c r="R194" s="214"/>
      <c r="S194" s="214"/>
      <c r="T194" s="215"/>
      <c r="U194" s="215"/>
      <c r="V194" s="215"/>
      <c r="W194" s="214"/>
      <c r="X194" s="214"/>
      <c r="Y194" s="214"/>
      <c r="Z194" s="214"/>
      <c r="AA194" s="214"/>
      <c r="AB194" s="214"/>
      <c r="AC194" s="214"/>
      <c r="AD194" s="214"/>
      <c r="AE194" s="214"/>
      <c r="AF194" s="214"/>
      <c r="AG194" s="214"/>
      <c r="AH194" s="214"/>
      <c r="AI194" s="214"/>
      <c r="AJ194" s="214"/>
      <c r="AK194" s="214"/>
      <c r="AL194" s="214"/>
      <c r="AM194" s="214"/>
      <c r="AN194" s="214"/>
      <c r="AO194" s="214"/>
      <c r="AP194" s="214"/>
      <c r="AQ194" s="214"/>
      <c r="AR194" s="214"/>
      <c r="AS194" s="214"/>
      <c r="AT194" s="214"/>
    </row>
    <row r="195" ht="15.0" hidden="1" customHeight="1">
      <c r="A195" s="216">
        <v>4.0</v>
      </c>
      <c r="B195" s="217" t="s">
        <v>48</v>
      </c>
      <c r="C195" s="218" t="s">
        <v>294</v>
      </c>
      <c r="D195" s="218" t="s">
        <v>535</v>
      </c>
      <c r="E195" s="216">
        <v>3.0</v>
      </c>
      <c r="F195" s="219">
        <v>41924.0</v>
      </c>
      <c r="G195" s="220" t="s">
        <v>536</v>
      </c>
      <c r="H195" s="218">
        <v>5.102921648E9</v>
      </c>
      <c r="I195" s="220" t="s">
        <v>537</v>
      </c>
      <c r="J195" s="221">
        <v>45093.0</v>
      </c>
      <c r="K195" s="220"/>
      <c r="L195" s="220"/>
      <c r="M195" s="218"/>
      <c r="N195" s="217" t="s">
        <v>34</v>
      </c>
      <c r="O195" s="222">
        <v>45139.0</v>
      </c>
      <c r="P195" s="206"/>
      <c r="Q195" s="206"/>
      <c r="R195" s="206"/>
      <c r="S195" s="206"/>
      <c r="T195" s="215"/>
      <c r="U195" s="215"/>
      <c r="V195" s="215"/>
      <c r="W195" s="206"/>
      <c r="X195" s="206"/>
      <c r="Y195" s="206"/>
      <c r="Z195" s="206"/>
      <c r="AA195" s="206"/>
      <c r="AB195" s="206"/>
      <c r="AC195" s="206"/>
      <c r="AD195" s="206"/>
      <c r="AE195" s="206"/>
      <c r="AF195" s="206"/>
      <c r="AG195" s="206"/>
      <c r="AH195" s="206"/>
      <c r="AI195" s="206"/>
      <c r="AJ195" s="206"/>
      <c r="AK195" s="206"/>
      <c r="AL195" s="206"/>
      <c r="AM195" s="206"/>
      <c r="AN195" s="206"/>
      <c r="AO195" s="206"/>
      <c r="AP195" s="206"/>
      <c r="AQ195" s="206"/>
      <c r="AR195" s="206"/>
      <c r="AS195" s="206"/>
      <c r="AT195" s="206"/>
    </row>
    <row r="196" ht="17.25" hidden="1" customHeight="1">
      <c r="A196" s="207">
        <v>5.0</v>
      </c>
      <c r="B196" s="208" t="s">
        <v>48</v>
      </c>
      <c r="C196" s="209" t="s">
        <v>538</v>
      </c>
      <c r="D196" s="223" t="s">
        <v>539</v>
      </c>
      <c r="E196" s="207">
        <v>5.0</v>
      </c>
      <c r="F196" s="224">
        <v>40972.0</v>
      </c>
      <c r="G196" s="225" t="s">
        <v>540</v>
      </c>
      <c r="H196" s="223">
        <v>5.105098418E9</v>
      </c>
      <c r="I196" s="225" t="s">
        <v>541</v>
      </c>
      <c r="J196" s="212">
        <v>45110.0</v>
      </c>
      <c r="K196" s="211"/>
      <c r="L196" s="211"/>
      <c r="M196" s="209"/>
      <c r="N196" s="208" t="s">
        <v>34</v>
      </c>
      <c r="O196" s="213">
        <v>45139.0</v>
      </c>
      <c r="P196" s="214"/>
      <c r="Q196" s="214"/>
      <c r="R196" s="214"/>
      <c r="S196" s="214"/>
      <c r="T196" s="197"/>
      <c r="U196" s="197"/>
      <c r="V196" s="197"/>
      <c r="W196" s="214"/>
      <c r="X196" s="214"/>
      <c r="Y196" s="214"/>
      <c r="Z196" s="214"/>
      <c r="AA196" s="214"/>
      <c r="AB196" s="214"/>
      <c r="AC196" s="214"/>
      <c r="AD196" s="214"/>
      <c r="AE196" s="214"/>
      <c r="AF196" s="214"/>
      <c r="AG196" s="214"/>
      <c r="AH196" s="214"/>
      <c r="AI196" s="214"/>
      <c r="AJ196" s="214"/>
      <c r="AK196" s="214"/>
      <c r="AL196" s="214"/>
      <c r="AM196" s="214"/>
      <c r="AN196" s="214"/>
      <c r="AO196" s="214"/>
      <c r="AP196" s="214"/>
      <c r="AQ196" s="214"/>
      <c r="AR196" s="214"/>
      <c r="AS196" s="214"/>
      <c r="AT196" s="214"/>
    </row>
    <row r="197" ht="17.25" hidden="1" customHeight="1">
      <c r="A197" s="207">
        <v>6.0</v>
      </c>
      <c r="B197" s="208" t="s">
        <v>88</v>
      </c>
      <c r="C197" s="209" t="s">
        <v>538</v>
      </c>
      <c r="D197" s="223" t="s">
        <v>539</v>
      </c>
      <c r="E197" s="207">
        <v>5.0</v>
      </c>
      <c r="F197" s="224">
        <v>40972.0</v>
      </c>
      <c r="G197" s="225" t="s">
        <v>540</v>
      </c>
      <c r="H197" s="223">
        <v>5.105098418E9</v>
      </c>
      <c r="I197" s="225" t="s">
        <v>541</v>
      </c>
      <c r="J197" s="212">
        <v>45110.0</v>
      </c>
      <c r="K197" s="211"/>
      <c r="L197" s="211"/>
      <c r="M197" s="209" t="s">
        <v>526</v>
      </c>
      <c r="N197" s="208" t="s">
        <v>34</v>
      </c>
      <c r="O197" s="213">
        <v>45139.0</v>
      </c>
      <c r="P197" s="226"/>
      <c r="Q197" s="226"/>
      <c r="R197" s="226"/>
      <c r="S197" s="226"/>
      <c r="T197" s="197"/>
      <c r="U197" s="197"/>
      <c r="V197" s="197"/>
      <c r="W197" s="226"/>
      <c r="X197" s="226"/>
      <c r="Y197" s="226"/>
      <c r="Z197" s="226"/>
      <c r="AA197" s="226"/>
      <c r="AB197" s="226"/>
      <c r="AC197" s="226"/>
      <c r="AD197" s="226"/>
      <c r="AE197" s="226"/>
      <c r="AF197" s="226"/>
      <c r="AG197" s="226"/>
      <c r="AH197" s="226"/>
      <c r="AI197" s="226"/>
      <c r="AJ197" s="226"/>
      <c r="AK197" s="226"/>
      <c r="AL197" s="226"/>
      <c r="AM197" s="226"/>
      <c r="AN197" s="226"/>
      <c r="AO197" s="226"/>
      <c r="AP197" s="226"/>
      <c r="AQ197" s="226"/>
      <c r="AR197" s="226"/>
      <c r="AS197" s="226"/>
      <c r="AT197" s="226"/>
    </row>
    <row r="198" ht="17.25" hidden="1" customHeight="1">
      <c r="A198" s="207">
        <v>7.0</v>
      </c>
      <c r="B198" s="208" t="s">
        <v>48</v>
      </c>
      <c r="C198" s="223" t="s">
        <v>538</v>
      </c>
      <c r="D198" s="223" t="s">
        <v>145</v>
      </c>
      <c r="E198" s="207">
        <v>7.0</v>
      </c>
      <c r="F198" s="210">
        <v>40193.0</v>
      </c>
      <c r="G198" s="225" t="s">
        <v>540</v>
      </c>
      <c r="H198" s="223">
        <v>5.105098418E9</v>
      </c>
      <c r="I198" s="225" t="s">
        <v>541</v>
      </c>
      <c r="J198" s="212">
        <v>45110.0</v>
      </c>
      <c r="K198" s="211"/>
      <c r="L198" s="211"/>
      <c r="M198" s="209"/>
      <c r="N198" s="208" t="s">
        <v>34</v>
      </c>
      <c r="O198" s="213">
        <v>45139.0</v>
      </c>
      <c r="P198" s="226"/>
      <c r="Q198" s="226"/>
      <c r="R198" s="226"/>
      <c r="S198" s="226"/>
      <c r="T198" s="7"/>
      <c r="U198" s="7"/>
      <c r="V198" s="7"/>
      <c r="W198" s="226"/>
      <c r="X198" s="226"/>
      <c r="Y198" s="226"/>
      <c r="Z198" s="226"/>
      <c r="AA198" s="226"/>
      <c r="AB198" s="226"/>
      <c r="AC198" s="226"/>
      <c r="AD198" s="226"/>
      <c r="AE198" s="226"/>
      <c r="AF198" s="226"/>
      <c r="AG198" s="226"/>
      <c r="AH198" s="226"/>
      <c r="AI198" s="226"/>
      <c r="AJ198" s="226"/>
      <c r="AK198" s="226"/>
      <c r="AL198" s="226"/>
      <c r="AM198" s="226"/>
      <c r="AN198" s="226"/>
      <c r="AO198" s="226"/>
      <c r="AP198" s="226"/>
      <c r="AQ198" s="226"/>
      <c r="AR198" s="226"/>
      <c r="AS198" s="226"/>
      <c r="AT198" s="226"/>
    </row>
    <row r="199" ht="17.25" hidden="1" customHeight="1">
      <c r="A199" s="207">
        <v>8.0</v>
      </c>
      <c r="B199" s="208" t="s">
        <v>88</v>
      </c>
      <c r="C199" s="223" t="s">
        <v>538</v>
      </c>
      <c r="D199" s="223" t="s">
        <v>145</v>
      </c>
      <c r="E199" s="207">
        <v>7.0</v>
      </c>
      <c r="F199" s="210">
        <v>40193.0</v>
      </c>
      <c r="G199" s="225" t="s">
        <v>540</v>
      </c>
      <c r="H199" s="223">
        <v>5.105098418E9</v>
      </c>
      <c r="I199" s="225" t="s">
        <v>541</v>
      </c>
      <c r="J199" s="212">
        <v>45110.0</v>
      </c>
      <c r="K199" s="211"/>
      <c r="L199" s="211"/>
      <c r="M199" s="209" t="s">
        <v>526</v>
      </c>
      <c r="N199" s="208" t="s">
        <v>34</v>
      </c>
      <c r="O199" s="213">
        <v>45139.0</v>
      </c>
      <c r="P199" s="214"/>
      <c r="Q199" s="214"/>
      <c r="R199" s="214"/>
      <c r="S199" s="214"/>
      <c r="T199" s="7"/>
      <c r="U199" s="7"/>
      <c r="V199" s="7"/>
      <c r="W199" s="214"/>
      <c r="X199" s="214"/>
      <c r="Y199" s="214"/>
      <c r="Z199" s="214"/>
      <c r="AA199" s="214"/>
      <c r="AB199" s="214"/>
      <c r="AC199" s="214"/>
      <c r="AD199" s="214"/>
      <c r="AE199" s="214"/>
      <c r="AF199" s="214"/>
      <c r="AG199" s="214"/>
      <c r="AH199" s="214"/>
      <c r="AI199" s="214"/>
      <c r="AJ199" s="214"/>
      <c r="AK199" s="214"/>
      <c r="AL199" s="214"/>
      <c r="AM199" s="214"/>
      <c r="AN199" s="214"/>
      <c r="AO199" s="214"/>
      <c r="AP199" s="214"/>
      <c r="AQ199" s="214"/>
      <c r="AR199" s="214"/>
      <c r="AS199" s="214"/>
      <c r="AT199" s="214"/>
    </row>
    <row r="200" ht="17.25" hidden="1" customHeight="1">
      <c r="A200" s="216">
        <v>9.0</v>
      </c>
      <c r="B200" s="217" t="s">
        <v>48</v>
      </c>
      <c r="C200" s="218" t="s">
        <v>291</v>
      </c>
      <c r="D200" s="218" t="s">
        <v>542</v>
      </c>
      <c r="E200" s="216">
        <v>1.0</v>
      </c>
      <c r="F200" s="219">
        <v>42086.0</v>
      </c>
      <c r="G200" s="220" t="s">
        <v>543</v>
      </c>
      <c r="H200" s="218">
        <v>5.109848496E9</v>
      </c>
      <c r="I200" s="220" t="s">
        <v>544</v>
      </c>
      <c r="J200" s="221">
        <v>44812.0</v>
      </c>
      <c r="K200" s="220"/>
      <c r="L200" s="220"/>
      <c r="M200" s="218" t="s">
        <v>545</v>
      </c>
      <c r="N200" s="217" t="s">
        <v>34</v>
      </c>
      <c r="O200" s="222">
        <v>45139.0</v>
      </c>
      <c r="P200" s="206"/>
      <c r="Q200" s="206"/>
      <c r="R200" s="206"/>
      <c r="S200" s="206"/>
      <c r="T200" s="7"/>
      <c r="U200" s="7"/>
      <c r="V200" s="7"/>
      <c r="W200" s="206"/>
      <c r="X200" s="206"/>
      <c r="Y200" s="206"/>
      <c r="Z200" s="206"/>
      <c r="AA200" s="206"/>
      <c r="AB200" s="206"/>
      <c r="AC200" s="206"/>
      <c r="AD200" s="206"/>
      <c r="AE200" s="206"/>
      <c r="AF200" s="206"/>
      <c r="AG200" s="206"/>
      <c r="AH200" s="206"/>
      <c r="AI200" s="206"/>
      <c r="AJ200" s="206"/>
      <c r="AK200" s="206"/>
      <c r="AL200" s="206"/>
      <c r="AM200" s="206"/>
      <c r="AN200" s="206"/>
      <c r="AO200" s="206"/>
      <c r="AP200" s="206"/>
      <c r="AQ200" s="206"/>
      <c r="AR200" s="206"/>
      <c r="AS200" s="206"/>
      <c r="AT200" s="206"/>
    </row>
    <row r="201" ht="17.25" hidden="1" customHeight="1">
      <c r="A201" s="216">
        <v>10.0</v>
      </c>
      <c r="B201" s="217" t="s">
        <v>88</v>
      </c>
      <c r="C201" s="218" t="s">
        <v>291</v>
      </c>
      <c r="D201" s="218" t="s">
        <v>542</v>
      </c>
      <c r="E201" s="216">
        <v>1.0</v>
      </c>
      <c r="F201" s="219">
        <v>42086.0</v>
      </c>
      <c r="G201" s="220" t="s">
        <v>543</v>
      </c>
      <c r="H201" s="218">
        <v>5.109848496E9</v>
      </c>
      <c r="I201" s="220" t="s">
        <v>544</v>
      </c>
      <c r="J201" s="221">
        <v>44812.0</v>
      </c>
      <c r="K201" s="220"/>
      <c r="L201" s="220"/>
      <c r="M201" s="218" t="s">
        <v>545</v>
      </c>
      <c r="N201" s="217" t="s">
        <v>34</v>
      </c>
      <c r="O201" s="222">
        <v>45139.0</v>
      </c>
      <c r="P201" s="206"/>
      <c r="Q201" s="206"/>
      <c r="R201" s="206"/>
      <c r="S201" s="206"/>
      <c r="T201" s="7"/>
      <c r="U201" s="7"/>
      <c r="V201" s="7"/>
      <c r="W201" s="206"/>
      <c r="X201" s="206"/>
      <c r="Y201" s="206"/>
      <c r="Z201" s="206"/>
      <c r="AA201" s="206"/>
      <c r="AB201" s="206"/>
      <c r="AC201" s="206"/>
      <c r="AD201" s="206"/>
      <c r="AE201" s="206"/>
      <c r="AF201" s="206"/>
      <c r="AG201" s="206"/>
      <c r="AH201" s="206"/>
      <c r="AI201" s="206"/>
      <c r="AJ201" s="206"/>
      <c r="AK201" s="206"/>
      <c r="AL201" s="206"/>
      <c r="AM201" s="206"/>
      <c r="AN201" s="206"/>
      <c r="AO201" s="206"/>
      <c r="AP201" s="206"/>
      <c r="AQ201" s="206"/>
      <c r="AR201" s="206"/>
      <c r="AS201" s="206"/>
      <c r="AT201" s="206"/>
    </row>
    <row r="202" ht="17.25" hidden="1" customHeight="1">
      <c r="A202" s="207">
        <v>11.0</v>
      </c>
      <c r="B202" s="208" t="s">
        <v>48</v>
      </c>
      <c r="C202" s="209" t="s">
        <v>546</v>
      </c>
      <c r="D202" s="209" t="s">
        <v>387</v>
      </c>
      <c r="E202" s="207">
        <v>7.0</v>
      </c>
      <c r="F202" s="210">
        <v>40635.0</v>
      </c>
      <c r="G202" s="211" t="s">
        <v>547</v>
      </c>
      <c r="H202" s="209">
        <v>7.605507063E9</v>
      </c>
      <c r="I202" s="211" t="s">
        <v>548</v>
      </c>
      <c r="J202" s="212">
        <v>45082.0</v>
      </c>
      <c r="K202" s="211"/>
      <c r="L202" s="211"/>
      <c r="M202" s="209" t="s">
        <v>549</v>
      </c>
      <c r="N202" s="208" t="s">
        <v>34</v>
      </c>
      <c r="O202" s="213">
        <v>45139.0</v>
      </c>
      <c r="P202" s="214"/>
      <c r="Q202" s="214"/>
      <c r="R202" s="214"/>
      <c r="S202" s="214"/>
      <c r="T202" s="7"/>
      <c r="U202" s="7"/>
      <c r="V202" s="7"/>
      <c r="W202" s="214"/>
      <c r="X202" s="214"/>
      <c r="Y202" s="214"/>
      <c r="Z202" s="214"/>
      <c r="AA202" s="214"/>
      <c r="AB202" s="214"/>
      <c r="AC202" s="214"/>
      <c r="AD202" s="214"/>
      <c r="AE202" s="214"/>
      <c r="AF202" s="214"/>
      <c r="AG202" s="214"/>
      <c r="AH202" s="214"/>
      <c r="AI202" s="214"/>
      <c r="AJ202" s="214"/>
      <c r="AK202" s="214"/>
      <c r="AL202" s="214"/>
      <c r="AM202" s="214"/>
      <c r="AN202" s="214"/>
      <c r="AO202" s="214"/>
      <c r="AP202" s="214"/>
      <c r="AQ202" s="214"/>
      <c r="AR202" s="214"/>
      <c r="AS202" s="214"/>
      <c r="AT202" s="214"/>
    </row>
    <row r="203" ht="17.25" hidden="1" customHeight="1">
      <c r="A203" s="207">
        <v>12.0</v>
      </c>
      <c r="B203" s="208" t="s">
        <v>88</v>
      </c>
      <c r="C203" s="209" t="s">
        <v>546</v>
      </c>
      <c r="D203" s="209" t="s">
        <v>387</v>
      </c>
      <c r="E203" s="207">
        <v>7.0</v>
      </c>
      <c r="F203" s="210">
        <v>40635.0</v>
      </c>
      <c r="G203" s="211" t="s">
        <v>547</v>
      </c>
      <c r="H203" s="209">
        <v>7.605507063E9</v>
      </c>
      <c r="I203" s="211" t="s">
        <v>548</v>
      </c>
      <c r="J203" s="212">
        <v>45082.0</v>
      </c>
      <c r="K203" s="211"/>
      <c r="L203" s="211"/>
      <c r="M203" s="209" t="s">
        <v>549</v>
      </c>
      <c r="N203" s="208" t="s">
        <v>34</v>
      </c>
      <c r="O203" s="213">
        <v>45139.0</v>
      </c>
      <c r="P203" s="214"/>
      <c r="Q203" s="214"/>
      <c r="R203" s="214"/>
      <c r="S203" s="214"/>
      <c r="T203" s="7"/>
      <c r="U203" s="7"/>
      <c r="V203" s="7"/>
      <c r="W203" s="214"/>
      <c r="X203" s="214"/>
      <c r="Y203" s="214"/>
      <c r="Z203" s="214"/>
      <c r="AA203" s="214"/>
      <c r="AB203" s="214"/>
      <c r="AC203" s="214"/>
      <c r="AD203" s="214"/>
      <c r="AE203" s="214"/>
      <c r="AF203" s="214"/>
      <c r="AG203" s="214"/>
      <c r="AH203" s="214"/>
      <c r="AI203" s="214"/>
      <c r="AJ203" s="214"/>
      <c r="AK203" s="214"/>
      <c r="AL203" s="214"/>
      <c r="AM203" s="214"/>
      <c r="AN203" s="214"/>
      <c r="AO203" s="214"/>
      <c r="AP203" s="214"/>
      <c r="AQ203" s="214"/>
      <c r="AR203" s="214"/>
      <c r="AS203" s="214"/>
      <c r="AT203" s="214"/>
    </row>
    <row r="204" ht="17.25" hidden="1" customHeight="1">
      <c r="A204" s="207">
        <v>13.0</v>
      </c>
      <c r="B204" s="208" t="s">
        <v>48</v>
      </c>
      <c r="C204" s="209" t="s">
        <v>546</v>
      </c>
      <c r="D204" s="209" t="s">
        <v>550</v>
      </c>
      <c r="E204" s="207">
        <v>2.0</v>
      </c>
      <c r="F204" s="210">
        <v>42425.0</v>
      </c>
      <c r="G204" s="211" t="s">
        <v>547</v>
      </c>
      <c r="H204" s="209">
        <v>7.605507063E9</v>
      </c>
      <c r="I204" s="211" t="s">
        <v>548</v>
      </c>
      <c r="J204" s="212">
        <v>45082.0</v>
      </c>
      <c r="K204" s="211"/>
      <c r="L204" s="211"/>
      <c r="M204" s="209" t="s">
        <v>549</v>
      </c>
      <c r="N204" s="208" t="s">
        <v>34</v>
      </c>
      <c r="O204" s="213">
        <v>45139.0</v>
      </c>
      <c r="P204" s="214"/>
      <c r="Q204" s="214"/>
      <c r="R204" s="214"/>
      <c r="S204" s="214"/>
      <c r="T204" s="7"/>
      <c r="U204" s="7"/>
      <c r="V204" s="7"/>
      <c r="W204" s="214"/>
      <c r="X204" s="214"/>
      <c r="Y204" s="214"/>
      <c r="Z204" s="214"/>
      <c r="AA204" s="214"/>
      <c r="AB204" s="214"/>
      <c r="AC204" s="214"/>
      <c r="AD204" s="214"/>
      <c r="AE204" s="214"/>
      <c r="AF204" s="214"/>
      <c r="AG204" s="214"/>
      <c r="AH204" s="214"/>
      <c r="AI204" s="214"/>
      <c r="AJ204" s="214"/>
      <c r="AK204" s="214"/>
      <c r="AL204" s="214"/>
      <c r="AM204" s="214"/>
      <c r="AN204" s="214"/>
      <c r="AO204" s="214"/>
      <c r="AP204" s="214"/>
      <c r="AQ204" s="214"/>
      <c r="AR204" s="214"/>
      <c r="AS204" s="214"/>
      <c r="AT204" s="214"/>
    </row>
    <row r="205" ht="17.25" hidden="1" customHeight="1">
      <c r="A205" s="207">
        <v>14.0</v>
      </c>
      <c r="B205" s="208" t="s">
        <v>88</v>
      </c>
      <c r="C205" s="209" t="s">
        <v>546</v>
      </c>
      <c r="D205" s="209" t="s">
        <v>550</v>
      </c>
      <c r="E205" s="207">
        <v>2.0</v>
      </c>
      <c r="F205" s="210">
        <v>42425.0</v>
      </c>
      <c r="G205" s="211" t="s">
        <v>547</v>
      </c>
      <c r="H205" s="209">
        <v>7.605507063E9</v>
      </c>
      <c r="I205" s="211" t="s">
        <v>548</v>
      </c>
      <c r="J205" s="212">
        <v>45082.0</v>
      </c>
      <c r="K205" s="211"/>
      <c r="L205" s="211"/>
      <c r="M205" s="209" t="s">
        <v>549</v>
      </c>
      <c r="N205" s="208" t="s">
        <v>34</v>
      </c>
      <c r="O205" s="213">
        <v>45139.0</v>
      </c>
      <c r="P205" s="214"/>
      <c r="Q205" s="214"/>
      <c r="R205" s="214"/>
      <c r="S205" s="214"/>
      <c r="T205" s="7"/>
      <c r="U205" s="7"/>
      <c r="V205" s="7"/>
      <c r="W205" s="214"/>
      <c r="X205" s="214"/>
      <c r="Y205" s="214"/>
      <c r="Z205" s="214"/>
      <c r="AA205" s="214"/>
      <c r="AB205" s="214"/>
      <c r="AC205" s="214"/>
      <c r="AD205" s="214"/>
      <c r="AE205" s="214"/>
      <c r="AF205" s="214"/>
      <c r="AG205" s="214"/>
      <c r="AH205" s="214"/>
      <c r="AI205" s="214"/>
      <c r="AJ205" s="214"/>
      <c r="AK205" s="214"/>
      <c r="AL205" s="214"/>
      <c r="AM205" s="214"/>
      <c r="AN205" s="214"/>
      <c r="AO205" s="214"/>
      <c r="AP205" s="214"/>
      <c r="AQ205" s="214"/>
      <c r="AR205" s="214"/>
      <c r="AS205" s="214"/>
      <c r="AT205" s="214"/>
    </row>
    <row r="206" ht="17.25" hidden="1" customHeight="1">
      <c r="A206" s="207">
        <v>15.0</v>
      </c>
      <c r="B206" s="208" t="s">
        <v>48</v>
      </c>
      <c r="C206" s="209" t="s">
        <v>480</v>
      </c>
      <c r="D206" s="209" t="s">
        <v>481</v>
      </c>
      <c r="E206" s="207">
        <v>1.0</v>
      </c>
      <c r="F206" s="210">
        <v>42905.0</v>
      </c>
      <c r="G206" s="211" t="s">
        <v>482</v>
      </c>
      <c r="H206" s="209">
        <v>5.303647578E9</v>
      </c>
      <c r="I206" s="211" t="s">
        <v>483</v>
      </c>
      <c r="J206" s="212">
        <v>45078.0</v>
      </c>
      <c r="K206" s="211"/>
      <c r="L206" s="211"/>
      <c r="M206" s="209" t="s">
        <v>551</v>
      </c>
      <c r="N206" s="208" t="s">
        <v>34</v>
      </c>
      <c r="O206" s="213">
        <v>45139.0</v>
      </c>
      <c r="P206" s="214"/>
      <c r="Q206" s="214"/>
      <c r="R206" s="214"/>
      <c r="S206" s="214"/>
      <c r="T206" s="7"/>
      <c r="U206" s="7"/>
      <c r="V206" s="7"/>
      <c r="W206" s="214"/>
      <c r="X206" s="214"/>
      <c r="Y206" s="214"/>
      <c r="Z206" s="214"/>
      <c r="AA206" s="214"/>
      <c r="AB206" s="214"/>
      <c r="AC206" s="214"/>
      <c r="AD206" s="214"/>
      <c r="AE206" s="214"/>
      <c r="AF206" s="214"/>
      <c r="AG206" s="214"/>
      <c r="AH206" s="214"/>
      <c r="AI206" s="214"/>
      <c r="AJ206" s="214"/>
      <c r="AK206" s="214"/>
      <c r="AL206" s="214"/>
      <c r="AM206" s="214"/>
      <c r="AN206" s="214"/>
      <c r="AO206" s="214"/>
      <c r="AP206" s="214"/>
      <c r="AQ206" s="214"/>
      <c r="AR206" s="214"/>
      <c r="AS206" s="214"/>
      <c r="AT206" s="214"/>
    </row>
    <row r="207" ht="17.25" hidden="1" customHeight="1">
      <c r="A207" s="207">
        <v>16.0</v>
      </c>
      <c r="B207" s="208" t="s">
        <v>88</v>
      </c>
      <c r="C207" s="209" t="s">
        <v>480</v>
      </c>
      <c r="D207" s="209" t="s">
        <v>481</v>
      </c>
      <c r="E207" s="207">
        <v>1.0</v>
      </c>
      <c r="F207" s="210">
        <v>42905.0</v>
      </c>
      <c r="G207" s="211" t="s">
        <v>482</v>
      </c>
      <c r="H207" s="209">
        <v>5.303647578E9</v>
      </c>
      <c r="I207" s="211" t="s">
        <v>483</v>
      </c>
      <c r="J207" s="212">
        <v>45078.0</v>
      </c>
      <c r="K207" s="211"/>
      <c r="L207" s="211"/>
      <c r="M207" s="209" t="s">
        <v>551</v>
      </c>
      <c r="N207" s="208" t="s">
        <v>34</v>
      </c>
      <c r="O207" s="213">
        <v>45139.0</v>
      </c>
      <c r="P207" s="214"/>
      <c r="Q207" s="214"/>
      <c r="R207" s="214"/>
      <c r="S207" s="214"/>
      <c r="T207" s="7"/>
      <c r="U207" s="7"/>
      <c r="V207" s="7"/>
      <c r="W207" s="214"/>
      <c r="X207" s="214"/>
      <c r="Y207" s="214"/>
      <c r="Z207" s="214"/>
      <c r="AA207" s="214"/>
      <c r="AB207" s="214"/>
      <c r="AC207" s="214"/>
      <c r="AD207" s="214"/>
      <c r="AE207" s="214"/>
      <c r="AF207" s="214"/>
      <c r="AG207" s="214"/>
      <c r="AH207" s="214"/>
      <c r="AI207" s="214"/>
      <c r="AJ207" s="214"/>
      <c r="AK207" s="214"/>
      <c r="AL207" s="214"/>
      <c r="AM207" s="214"/>
      <c r="AN207" s="214"/>
      <c r="AO207" s="214"/>
      <c r="AP207" s="214"/>
      <c r="AQ207" s="214"/>
      <c r="AR207" s="214"/>
      <c r="AS207" s="214"/>
      <c r="AT207" s="214"/>
    </row>
    <row r="208" ht="17.25" hidden="1" customHeight="1">
      <c r="A208" s="207">
        <v>17.0</v>
      </c>
      <c r="B208" s="208" t="s">
        <v>48</v>
      </c>
      <c r="C208" s="209" t="s">
        <v>552</v>
      </c>
      <c r="D208" s="209" t="s">
        <v>553</v>
      </c>
      <c r="E208" s="207">
        <v>3.0</v>
      </c>
      <c r="F208" s="210">
        <v>41816.0</v>
      </c>
      <c r="G208" s="211" t="s">
        <v>554</v>
      </c>
      <c r="H208" s="209">
        <v>6.692518555E9</v>
      </c>
      <c r="I208" s="211" t="s">
        <v>555</v>
      </c>
      <c r="J208" s="212">
        <v>45078.0</v>
      </c>
      <c r="K208" s="211"/>
      <c r="L208" s="211"/>
      <c r="M208" s="209" t="s">
        <v>556</v>
      </c>
      <c r="N208" s="208" t="s">
        <v>34</v>
      </c>
      <c r="O208" s="213">
        <v>45139.0</v>
      </c>
      <c r="P208" s="214"/>
      <c r="Q208" s="214"/>
      <c r="R208" s="214"/>
      <c r="S208" s="214"/>
      <c r="T208" s="7"/>
      <c r="U208" s="7"/>
      <c r="V208" s="7"/>
      <c r="W208" s="214"/>
      <c r="X208" s="214"/>
      <c r="Y208" s="214"/>
      <c r="Z208" s="214"/>
      <c r="AA208" s="214"/>
      <c r="AB208" s="214"/>
      <c r="AC208" s="214"/>
      <c r="AD208" s="214"/>
      <c r="AE208" s="214"/>
      <c r="AF208" s="214"/>
      <c r="AG208" s="214"/>
      <c r="AH208" s="214"/>
      <c r="AI208" s="214"/>
      <c r="AJ208" s="214"/>
      <c r="AK208" s="214"/>
      <c r="AL208" s="214"/>
      <c r="AM208" s="214"/>
      <c r="AN208" s="214"/>
      <c r="AO208" s="214"/>
      <c r="AP208" s="214"/>
      <c r="AQ208" s="214"/>
      <c r="AR208" s="214"/>
      <c r="AS208" s="214"/>
      <c r="AT208" s="214"/>
    </row>
    <row r="209" ht="17.25" hidden="1" customHeight="1">
      <c r="A209" s="207">
        <v>18.0</v>
      </c>
      <c r="B209" s="208" t="s">
        <v>88</v>
      </c>
      <c r="C209" s="209" t="s">
        <v>552</v>
      </c>
      <c r="D209" s="209" t="s">
        <v>553</v>
      </c>
      <c r="E209" s="207">
        <v>3.0</v>
      </c>
      <c r="F209" s="210">
        <v>41816.0</v>
      </c>
      <c r="G209" s="211" t="s">
        <v>554</v>
      </c>
      <c r="H209" s="209">
        <v>6.692518555E9</v>
      </c>
      <c r="I209" s="211" t="s">
        <v>555</v>
      </c>
      <c r="J209" s="212">
        <v>45078.0</v>
      </c>
      <c r="K209" s="211"/>
      <c r="L209" s="211"/>
      <c r="M209" s="209" t="s">
        <v>556</v>
      </c>
      <c r="N209" s="208" t="s">
        <v>34</v>
      </c>
      <c r="O209" s="213">
        <v>45139.0</v>
      </c>
      <c r="P209" s="214"/>
      <c r="Q209" s="214"/>
      <c r="R209" s="214"/>
      <c r="S209" s="214"/>
      <c r="T209" s="7"/>
      <c r="U209" s="7"/>
      <c r="V209" s="7"/>
      <c r="W209" s="214"/>
      <c r="X209" s="214"/>
      <c r="Y209" s="214"/>
      <c r="Z209" s="214"/>
      <c r="AA209" s="214"/>
      <c r="AB209" s="214"/>
      <c r="AC209" s="214"/>
      <c r="AD209" s="214"/>
      <c r="AE209" s="214"/>
      <c r="AF209" s="214"/>
      <c r="AG209" s="214"/>
      <c r="AH209" s="214"/>
      <c r="AI209" s="214"/>
      <c r="AJ209" s="214"/>
      <c r="AK209" s="214"/>
      <c r="AL209" s="214"/>
      <c r="AM209" s="214"/>
      <c r="AN209" s="214"/>
      <c r="AO209" s="214"/>
      <c r="AP209" s="214"/>
      <c r="AQ209" s="214"/>
      <c r="AR209" s="214"/>
      <c r="AS209" s="214"/>
      <c r="AT209" s="214"/>
    </row>
    <row r="210" ht="17.25" hidden="1" customHeight="1">
      <c r="A210" s="207">
        <v>19.0</v>
      </c>
      <c r="B210" s="208" t="s">
        <v>48</v>
      </c>
      <c r="C210" s="209" t="s">
        <v>557</v>
      </c>
      <c r="D210" s="209" t="s">
        <v>558</v>
      </c>
      <c r="E210" s="207">
        <v>7.0</v>
      </c>
      <c r="F210" s="210">
        <v>40806.0</v>
      </c>
      <c r="G210" s="211" t="s">
        <v>554</v>
      </c>
      <c r="H210" s="209">
        <v>6.692518555E9</v>
      </c>
      <c r="I210" s="211" t="s">
        <v>555</v>
      </c>
      <c r="J210" s="212">
        <v>45078.0</v>
      </c>
      <c r="K210" s="211"/>
      <c r="L210" s="211"/>
      <c r="M210" s="209" t="s">
        <v>556</v>
      </c>
      <c r="N210" s="208" t="s">
        <v>34</v>
      </c>
      <c r="O210" s="213">
        <v>45139.0</v>
      </c>
      <c r="P210" s="214"/>
      <c r="Q210" s="214"/>
      <c r="R210" s="214"/>
      <c r="S210" s="214"/>
      <c r="T210" s="7"/>
      <c r="U210" s="7"/>
      <c r="V210" s="7"/>
      <c r="W210" s="214"/>
      <c r="X210" s="214"/>
      <c r="Y210" s="214"/>
      <c r="Z210" s="214"/>
      <c r="AA210" s="214"/>
      <c r="AB210" s="214"/>
      <c r="AC210" s="214"/>
      <c r="AD210" s="214"/>
      <c r="AE210" s="214"/>
      <c r="AF210" s="214"/>
      <c r="AG210" s="214"/>
      <c r="AH210" s="214"/>
      <c r="AI210" s="214"/>
      <c r="AJ210" s="214"/>
      <c r="AK210" s="214"/>
      <c r="AL210" s="214"/>
      <c r="AM210" s="214"/>
      <c r="AN210" s="214"/>
      <c r="AO210" s="214"/>
      <c r="AP210" s="214"/>
      <c r="AQ210" s="214"/>
      <c r="AR210" s="214"/>
      <c r="AS210" s="214"/>
      <c r="AT210" s="214"/>
    </row>
    <row r="211" ht="17.25" hidden="1" customHeight="1">
      <c r="A211" s="207">
        <v>20.0</v>
      </c>
      <c r="B211" s="208" t="s">
        <v>88</v>
      </c>
      <c r="C211" s="209" t="s">
        <v>557</v>
      </c>
      <c r="D211" s="209" t="s">
        <v>558</v>
      </c>
      <c r="E211" s="207">
        <v>7.0</v>
      </c>
      <c r="F211" s="210">
        <v>40806.0</v>
      </c>
      <c r="G211" s="211" t="s">
        <v>554</v>
      </c>
      <c r="H211" s="209">
        <v>6.692518555E9</v>
      </c>
      <c r="I211" s="211" t="s">
        <v>555</v>
      </c>
      <c r="J211" s="212">
        <v>45078.0</v>
      </c>
      <c r="K211" s="211"/>
      <c r="L211" s="211"/>
      <c r="M211" s="209" t="s">
        <v>556</v>
      </c>
      <c r="N211" s="208" t="s">
        <v>34</v>
      </c>
      <c r="O211" s="213">
        <v>45139.0</v>
      </c>
      <c r="P211" s="214"/>
      <c r="Q211" s="214"/>
      <c r="R211" s="214"/>
      <c r="S211" s="214"/>
      <c r="T211" s="7"/>
      <c r="U211" s="7"/>
      <c r="V211" s="7"/>
      <c r="W211" s="214"/>
      <c r="X211" s="214"/>
      <c r="Y211" s="214"/>
      <c r="Z211" s="214"/>
      <c r="AA211" s="214"/>
      <c r="AB211" s="214"/>
      <c r="AC211" s="214"/>
      <c r="AD211" s="214"/>
      <c r="AE211" s="214"/>
      <c r="AF211" s="214"/>
      <c r="AG211" s="214"/>
      <c r="AH211" s="214"/>
      <c r="AI211" s="214"/>
      <c r="AJ211" s="214"/>
      <c r="AK211" s="214"/>
      <c r="AL211" s="214"/>
      <c r="AM211" s="214"/>
      <c r="AN211" s="214"/>
      <c r="AO211" s="214"/>
      <c r="AP211" s="214"/>
      <c r="AQ211" s="214"/>
      <c r="AR211" s="214"/>
      <c r="AS211" s="214"/>
      <c r="AT211" s="214"/>
    </row>
    <row r="212" ht="17.25" hidden="1" customHeight="1">
      <c r="A212" s="216">
        <v>21.0</v>
      </c>
      <c r="B212" s="217" t="s">
        <v>88</v>
      </c>
      <c r="C212" s="218" t="s">
        <v>559</v>
      </c>
      <c r="D212" s="218" t="s">
        <v>560</v>
      </c>
      <c r="E212" s="216">
        <v>1.0</v>
      </c>
      <c r="F212" s="219">
        <v>42483.0</v>
      </c>
      <c r="G212" s="220" t="s">
        <v>561</v>
      </c>
      <c r="H212" s="218">
        <v>6.692460021E9</v>
      </c>
      <c r="I212" s="220" t="s">
        <v>562</v>
      </c>
      <c r="J212" s="221">
        <v>45084.0</v>
      </c>
      <c r="K212" s="220"/>
      <c r="L212" s="220"/>
      <c r="M212" s="218" t="s">
        <v>563</v>
      </c>
      <c r="N212" s="217" t="s">
        <v>34</v>
      </c>
      <c r="O212" s="222">
        <v>45139.0</v>
      </c>
      <c r="P212" s="206"/>
      <c r="Q212" s="206"/>
      <c r="R212" s="206"/>
      <c r="S212" s="206"/>
      <c r="T212" s="7"/>
      <c r="U212" s="7"/>
      <c r="V212" s="7"/>
      <c r="W212" s="206"/>
      <c r="X212" s="206"/>
      <c r="Y212" s="206"/>
      <c r="Z212" s="206"/>
      <c r="AA212" s="206"/>
      <c r="AB212" s="206"/>
      <c r="AC212" s="206"/>
      <c r="AD212" s="206"/>
      <c r="AE212" s="206"/>
      <c r="AF212" s="206"/>
      <c r="AG212" s="206"/>
      <c r="AH212" s="206"/>
      <c r="AI212" s="206"/>
      <c r="AJ212" s="206"/>
      <c r="AK212" s="206"/>
      <c r="AL212" s="206"/>
      <c r="AM212" s="206"/>
      <c r="AN212" s="206"/>
      <c r="AO212" s="206"/>
      <c r="AP212" s="206"/>
      <c r="AQ212" s="206"/>
      <c r="AR212" s="206"/>
      <c r="AS212" s="206"/>
      <c r="AT212" s="206"/>
    </row>
    <row r="213" ht="17.25" hidden="1" customHeight="1">
      <c r="A213" s="227">
        <v>1.0</v>
      </c>
      <c r="B213" s="228" t="s">
        <v>88</v>
      </c>
      <c r="C213" s="229" t="s">
        <v>564</v>
      </c>
      <c r="D213" s="229" t="s">
        <v>565</v>
      </c>
      <c r="E213" s="230">
        <v>6.0</v>
      </c>
      <c r="F213" s="231">
        <v>41034.0</v>
      </c>
      <c r="G213" s="232" t="s">
        <v>566</v>
      </c>
      <c r="H213" s="229">
        <v>5.108161486E9</v>
      </c>
      <c r="I213" s="232" t="s">
        <v>567</v>
      </c>
      <c r="J213" s="233">
        <v>45139.0</v>
      </c>
      <c r="K213" s="232"/>
      <c r="L213" s="232"/>
      <c r="M213" s="229" t="s">
        <v>568</v>
      </c>
      <c r="N213" s="228" t="s">
        <v>34</v>
      </c>
      <c r="O213" s="234">
        <v>45170.0</v>
      </c>
      <c r="P213" s="235"/>
      <c r="Q213" s="235"/>
      <c r="R213" s="235"/>
      <c r="S213" s="235"/>
      <c r="T213" s="7"/>
      <c r="U213" s="7"/>
      <c r="V213" s="7"/>
      <c r="W213" s="235"/>
      <c r="X213" s="235"/>
      <c r="Y213" s="235"/>
      <c r="Z213" s="235"/>
      <c r="AA213" s="235"/>
      <c r="AB213" s="235"/>
      <c r="AC213" s="235"/>
      <c r="AD213" s="235"/>
      <c r="AE213" s="235"/>
      <c r="AF213" s="235"/>
      <c r="AG213" s="235"/>
      <c r="AH213" s="235"/>
      <c r="AI213" s="235"/>
      <c r="AJ213" s="235"/>
      <c r="AK213" s="235"/>
      <c r="AL213" s="235"/>
      <c r="AM213" s="235"/>
      <c r="AN213" s="235"/>
      <c r="AO213" s="235"/>
      <c r="AP213" s="235"/>
      <c r="AQ213" s="235"/>
      <c r="AR213" s="235"/>
      <c r="AS213" s="235"/>
      <c r="AT213" s="235"/>
    </row>
    <row r="214" ht="17.25" hidden="1" customHeight="1">
      <c r="A214" s="227">
        <v>2.0</v>
      </c>
      <c r="B214" s="228" t="s">
        <v>48</v>
      </c>
      <c r="C214" s="236" t="s">
        <v>301</v>
      </c>
      <c r="D214" s="236" t="s">
        <v>569</v>
      </c>
      <c r="E214" s="227" t="s">
        <v>141</v>
      </c>
      <c r="F214" s="237">
        <v>42776.0</v>
      </c>
      <c r="G214" s="238" t="s">
        <v>570</v>
      </c>
      <c r="H214" s="236">
        <v>6.692385152E9</v>
      </c>
      <c r="I214" s="238" t="s">
        <v>571</v>
      </c>
      <c r="J214" s="239">
        <v>45093.0</v>
      </c>
      <c r="K214" s="238"/>
      <c r="L214" s="238"/>
      <c r="M214" s="236" t="s">
        <v>572</v>
      </c>
      <c r="N214" s="228" t="s">
        <v>34</v>
      </c>
      <c r="O214" s="234">
        <v>45170.0</v>
      </c>
      <c r="P214" s="235"/>
      <c r="Q214" s="235"/>
      <c r="R214" s="235"/>
      <c r="S214" s="235"/>
      <c r="T214" s="206"/>
      <c r="U214" s="206"/>
      <c r="V214" s="206"/>
      <c r="W214" s="235"/>
      <c r="X214" s="235"/>
      <c r="Y214" s="235"/>
      <c r="Z214" s="235"/>
      <c r="AA214" s="235"/>
      <c r="AB214" s="235"/>
      <c r="AC214" s="235"/>
      <c r="AD214" s="235"/>
      <c r="AE214" s="235"/>
      <c r="AF214" s="235"/>
      <c r="AG214" s="235"/>
      <c r="AH214" s="235"/>
      <c r="AI214" s="235"/>
      <c r="AJ214" s="235"/>
      <c r="AK214" s="235"/>
      <c r="AL214" s="235"/>
      <c r="AM214" s="235"/>
      <c r="AN214" s="235"/>
      <c r="AO214" s="235"/>
      <c r="AP214" s="235"/>
      <c r="AQ214" s="235"/>
      <c r="AR214" s="235"/>
      <c r="AS214" s="235"/>
      <c r="AT214" s="235"/>
    </row>
    <row r="215" ht="17.25" hidden="1" customHeight="1">
      <c r="A215" s="227">
        <v>3.0</v>
      </c>
      <c r="B215" s="228" t="s">
        <v>88</v>
      </c>
      <c r="C215" s="240" t="s">
        <v>301</v>
      </c>
      <c r="D215" s="240" t="s">
        <v>569</v>
      </c>
      <c r="E215" s="227" t="s">
        <v>141</v>
      </c>
      <c r="F215" s="237">
        <v>42776.0</v>
      </c>
      <c r="G215" s="238" t="s">
        <v>570</v>
      </c>
      <c r="H215" s="236">
        <v>6.692385152E9</v>
      </c>
      <c r="I215" s="238" t="s">
        <v>571</v>
      </c>
      <c r="J215" s="239">
        <v>45124.0</v>
      </c>
      <c r="K215" s="238"/>
      <c r="L215" s="238"/>
      <c r="M215" s="236" t="s">
        <v>572</v>
      </c>
      <c r="N215" s="228" t="s">
        <v>34</v>
      </c>
      <c r="O215" s="234">
        <v>45170.0</v>
      </c>
      <c r="P215" s="235"/>
      <c r="Q215" s="235"/>
      <c r="R215" s="235"/>
      <c r="S215" s="235"/>
      <c r="T215" s="7"/>
      <c r="U215" s="7"/>
      <c r="V215" s="7"/>
      <c r="W215" s="235"/>
      <c r="X215" s="235"/>
      <c r="Y215" s="235"/>
      <c r="Z215" s="235"/>
      <c r="AA215" s="235"/>
      <c r="AB215" s="235"/>
      <c r="AC215" s="235"/>
      <c r="AD215" s="235"/>
      <c r="AE215" s="235"/>
      <c r="AF215" s="235"/>
      <c r="AG215" s="235"/>
      <c r="AH215" s="235"/>
      <c r="AI215" s="235"/>
      <c r="AJ215" s="235"/>
      <c r="AK215" s="235"/>
      <c r="AL215" s="235"/>
      <c r="AM215" s="235"/>
      <c r="AN215" s="235"/>
      <c r="AO215" s="235"/>
      <c r="AP215" s="235"/>
      <c r="AQ215" s="235"/>
      <c r="AR215" s="235"/>
      <c r="AS215" s="235"/>
      <c r="AT215" s="235"/>
    </row>
    <row r="216" ht="17.25" hidden="1" customHeight="1">
      <c r="A216" s="241">
        <v>1.0</v>
      </c>
      <c r="B216" s="242" t="s">
        <v>48</v>
      </c>
      <c r="C216" s="243" t="s">
        <v>573</v>
      </c>
      <c r="D216" s="243" t="s">
        <v>574</v>
      </c>
      <c r="E216" s="244" t="s">
        <v>249</v>
      </c>
      <c r="F216" s="245">
        <v>43461.0</v>
      </c>
      <c r="G216" s="246" t="s">
        <v>575</v>
      </c>
      <c r="H216" s="243">
        <v>4.086803486E9</v>
      </c>
      <c r="I216" s="246" t="s">
        <v>576</v>
      </c>
      <c r="J216" s="247">
        <v>45174.0</v>
      </c>
      <c r="K216" s="246"/>
      <c r="L216" s="246"/>
      <c r="M216" s="243" t="s">
        <v>577</v>
      </c>
      <c r="N216" s="248" t="s">
        <v>34</v>
      </c>
      <c r="O216" s="249">
        <v>45231.0</v>
      </c>
      <c r="P216" s="197"/>
      <c r="Q216" s="197"/>
      <c r="R216" s="197"/>
      <c r="S216" s="197"/>
      <c r="T216" s="7"/>
      <c r="U216" s="7"/>
      <c r="V216" s="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97"/>
      <c r="AO216" s="197"/>
      <c r="AP216" s="197"/>
      <c r="AQ216" s="197"/>
      <c r="AR216" s="197"/>
      <c r="AS216" s="197"/>
      <c r="AT216" s="197"/>
    </row>
    <row r="217" ht="17.25" hidden="1" customHeight="1">
      <c r="A217" s="241">
        <v>1.0</v>
      </c>
      <c r="B217" s="250" t="s">
        <v>48</v>
      </c>
      <c r="C217" s="251" t="s">
        <v>294</v>
      </c>
      <c r="D217" s="251" t="s">
        <v>535</v>
      </c>
      <c r="E217" s="241">
        <v>3.0</v>
      </c>
      <c r="F217" s="252">
        <v>41924.0</v>
      </c>
      <c r="G217" s="253" t="s">
        <v>578</v>
      </c>
      <c r="H217" s="253">
        <v>5.102921648E9</v>
      </c>
      <c r="I217" s="253" t="s">
        <v>579</v>
      </c>
      <c r="J217" s="254">
        <v>45246.0</v>
      </c>
      <c r="K217" s="255"/>
      <c r="L217" s="255"/>
      <c r="M217" s="251" t="s">
        <v>580</v>
      </c>
      <c r="N217" s="250" t="s">
        <v>34</v>
      </c>
      <c r="O217" s="256">
        <v>45261.0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</row>
    <row r="218" ht="17.25" hidden="1" customHeight="1">
      <c r="A218" s="241">
        <v>2.0</v>
      </c>
      <c r="B218" s="250" t="s">
        <v>88</v>
      </c>
      <c r="C218" s="251" t="s">
        <v>294</v>
      </c>
      <c r="D218" s="251" t="s">
        <v>535</v>
      </c>
      <c r="E218" s="241">
        <v>3.0</v>
      </c>
      <c r="F218" s="252">
        <v>41924.0</v>
      </c>
      <c r="G218" s="253" t="s">
        <v>578</v>
      </c>
      <c r="H218" s="253">
        <v>5.102921648E9</v>
      </c>
      <c r="I218" s="253" t="s">
        <v>579</v>
      </c>
      <c r="J218" s="254">
        <v>45246.0</v>
      </c>
      <c r="K218" s="255"/>
      <c r="L218" s="255"/>
      <c r="M218" s="251" t="s">
        <v>580</v>
      </c>
      <c r="N218" s="250" t="s">
        <v>34</v>
      </c>
      <c r="O218" s="256">
        <v>45261.0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</row>
    <row r="219" ht="17.25" hidden="1" customHeight="1">
      <c r="A219" s="241">
        <v>3.0</v>
      </c>
      <c r="B219" s="250" t="s">
        <v>48</v>
      </c>
      <c r="C219" s="251" t="s">
        <v>446</v>
      </c>
      <c r="D219" s="251" t="s">
        <v>581</v>
      </c>
      <c r="E219" s="241">
        <v>2.0</v>
      </c>
      <c r="F219" s="252">
        <v>42588.0</v>
      </c>
      <c r="G219" s="255" t="s">
        <v>582</v>
      </c>
      <c r="H219" s="251">
        <v>6.692068365E9</v>
      </c>
      <c r="I219" s="255" t="s">
        <v>583</v>
      </c>
      <c r="J219" s="254">
        <v>45170.0</v>
      </c>
      <c r="K219" s="255"/>
      <c r="L219" s="255"/>
      <c r="M219" s="251" t="s">
        <v>584</v>
      </c>
      <c r="N219" s="250" t="s">
        <v>34</v>
      </c>
      <c r="O219" s="256">
        <v>45261.0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</row>
    <row r="220" ht="17.25" hidden="1" customHeight="1">
      <c r="A220" s="241">
        <v>4.0</v>
      </c>
      <c r="B220" s="250" t="s">
        <v>48</v>
      </c>
      <c r="C220" s="257" t="s">
        <v>585</v>
      </c>
      <c r="D220" s="257" t="s">
        <v>586</v>
      </c>
      <c r="E220" s="241">
        <v>1.0</v>
      </c>
      <c r="F220" s="252">
        <v>42388.0</v>
      </c>
      <c r="G220" s="255" t="s">
        <v>587</v>
      </c>
      <c r="H220" s="251">
        <v>4.087977701E9</v>
      </c>
      <c r="I220" s="255" t="s">
        <v>588</v>
      </c>
      <c r="J220" s="254">
        <v>45033.0</v>
      </c>
      <c r="K220" s="255"/>
      <c r="L220" s="255"/>
      <c r="M220" s="251" t="s">
        <v>589</v>
      </c>
      <c r="N220" s="250" t="s">
        <v>34</v>
      </c>
      <c r="O220" s="256">
        <v>45261.0</v>
      </c>
      <c r="P220" s="7"/>
      <c r="Q220" s="7"/>
      <c r="R220" s="7"/>
      <c r="S220" s="7"/>
      <c r="T220" s="206"/>
      <c r="U220" s="206"/>
      <c r="V220" s="206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</row>
    <row r="221" ht="17.25" hidden="1" customHeight="1">
      <c r="A221" s="241">
        <v>5.0</v>
      </c>
      <c r="B221" s="250" t="s">
        <v>88</v>
      </c>
      <c r="C221" s="258" t="s">
        <v>590</v>
      </c>
      <c r="D221" s="258" t="s">
        <v>290</v>
      </c>
      <c r="E221" s="259">
        <v>1.0</v>
      </c>
      <c r="F221" s="260">
        <v>42947.0</v>
      </c>
      <c r="G221" s="253" t="s">
        <v>591</v>
      </c>
      <c r="H221" s="258">
        <v>4.085108805E9</v>
      </c>
      <c r="I221" s="253" t="s">
        <v>470</v>
      </c>
      <c r="J221" s="261">
        <v>45246.0</v>
      </c>
      <c r="K221" s="253"/>
      <c r="L221" s="253"/>
      <c r="M221" s="258" t="s">
        <v>592</v>
      </c>
      <c r="N221" s="250" t="s">
        <v>34</v>
      </c>
      <c r="O221" s="262">
        <v>45261.0</v>
      </c>
      <c r="P221" s="7"/>
      <c r="Q221" s="7"/>
      <c r="R221" s="7"/>
      <c r="S221" s="7"/>
      <c r="T221" s="206"/>
      <c r="U221" s="206"/>
      <c r="V221" s="206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</row>
    <row r="222" ht="17.25" hidden="1" customHeight="1">
      <c r="A222" s="241">
        <v>6.0</v>
      </c>
      <c r="B222" s="250" t="s">
        <v>48</v>
      </c>
      <c r="C222" s="251" t="s">
        <v>446</v>
      </c>
      <c r="D222" s="251" t="s">
        <v>593</v>
      </c>
      <c r="E222" s="241" t="s">
        <v>141</v>
      </c>
      <c r="F222" s="252">
        <v>43151.0</v>
      </c>
      <c r="G222" s="255" t="s">
        <v>582</v>
      </c>
      <c r="H222" s="251">
        <v>6.692068365E9</v>
      </c>
      <c r="I222" s="255" t="s">
        <v>583</v>
      </c>
      <c r="J222" s="254">
        <v>45170.0</v>
      </c>
      <c r="K222" s="255"/>
      <c r="L222" s="255"/>
      <c r="M222" s="251" t="s">
        <v>584</v>
      </c>
      <c r="N222" s="250" t="s">
        <v>34</v>
      </c>
      <c r="O222" s="256">
        <v>45261.0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</row>
    <row r="223" ht="17.25" hidden="1" customHeight="1">
      <c r="A223" s="241">
        <v>7.0</v>
      </c>
      <c r="B223" s="250" t="s">
        <v>88</v>
      </c>
      <c r="C223" s="257" t="s">
        <v>585</v>
      </c>
      <c r="D223" s="257" t="s">
        <v>594</v>
      </c>
      <c r="E223" s="241">
        <v>5.0</v>
      </c>
      <c r="F223" s="252">
        <v>40961.0</v>
      </c>
      <c r="G223" s="255" t="s">
        <v>595</v>
      </c>
      <c r="H223" s="251">
        <v>4.087977701E9</v>
      </c>
      <c r="I223" s="255" t="s">
        <v>588</v>
      </c>
      <c r="J223" s="254">
        <v>44791.0</v>
      </c>
      <c r="K223" s="255"/>
      <c r="L223" s="255"/>
      <c r="M223" s="251" t="s">
        <v>596</v>
      </c>
      <c r="N223" s="250" t="s">
        <v>34</v>
      </c>
      <c r="O223" s="256">
        <v>45261.0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</row>
    <row r="224" ht="17.25" hidden="1" customHeight="1">
      <c r="A224" s="263">
        <v>1.0</v>
      </c>
      <c r="B224" s="248" t="s">
        <v>48</v>
      </c>
      <c r="C224" s="243" t="s">
        <v>597</v>
      </c>
      <c r="D224" s="243" t="s">
        <v>598</v>
      </c>
      <c r="E224" s="244">
        <v>3.0</v>
      </c>
      <c r="F224" s="245">
        <v>42236.0</v>
      </c>
      <c r="G224" s="246" t="s">
        <v>599</v>
      </c>
      <c r="H224" s="243" t="s">
        <v>600</v>
      </c>
      <c r="I224" s="246" t="s">
        <v>601</v>
      </c>
      <c r="J224" s="247">
        <v>45174.0</v>
      </c>
      <c r="K224" s="246"/>
      <c r="L224" s="246"/>
      <c r="M224" s="243"/>
      <c r="N224" s="248" t="s">
        <v>34</v>
      </c>
      <c r="O224" s="249">
        <v>45292.0</v>
      </c>
      <c r="P224" s="197"/>
      <c r="Q224" s="197"/>
      <c r="R224" s="197"/>
      <c r="S224" s="197"/>
      <c r="T224" s="7"/>
      <c r="U224" s="7"/>
      <c r="V224" s="7"/>
      <c r="W224" s="197"/>
      <c r="X224" s="197"/>
      <c r="Y224" s="197"/>
      <c r="Z224" s="197"/>
      <c r="AA224" s="197"/>
      <c r="AB224" s="197"/>
      <c r="AC224" s="197"/>
      <c r="AD224" s="197"/>
      <c r="AE224" s="197"/>
      <c r="AF224" s="197"/>
      <c r="AG224" s="197"/>
      <c r="AH224" s="197"/>
      <c r="AI224" s="197"/>
      <c r="AJ224" s="197"/>
      <c r="AK224" s="197"/>
      <c r="AL224" s="197"/>
      <c r="AM224" s="197"/>
      <c r="AN224" s="197"/>
      <c r="AO224" s="197"/>
      <c r="AP224" s="197"/>
      <c r="AQ224" s="197"/>
      <c r="AR224" s="197"/>
      <c r="AS224" s="197"/>
      <c r="AT224" s="197"/>
    </row>
    <row r="225" ht="17.25" hidden="1" customHeight="1">
      <c r="A225" s="263">
        <v>2.0</v>
      </c>
      <c r="B225" s="248" t="s">
        <v>88</v>
      </c>
      <c r="C225" s="243" t="s">
        <v>597</v>
      </c>
      <c r="D225" s="243" t="s">
        <v>598</v>
      </c>
      <c r="E225" s="244">
        <v>3.0</v>
      </c>
      <c r="F225" s="245">
        <v>42236.0</v>
      </c>
      <c r="G225" s="246" t="s">
        <v>599</v>
      </c>
      <c r="H225" s="243" t="s">
        <v>600</v>
      </c>
      <c r="I225" s="246" t="s">
        <v>601</v>
      </c>
      <c r="J225" s="247">
        <v>45174.0</v>
      </c>
      <c r="K225" s="246"/>
      <c r="L225" s="246"/>
      <c r="M225" s="243"/>
      <c r="N225" s="248" t="s">
        <v>34</v>
      </c>
      <c r="O225" s="249">
        <v>45292.0</v>
      </c>
      <c r="P225" s="197"/>
      <c r="Q225" s="197"/>
      <c r="R225" s="197"/>
      <c r="S225" s="197"/>
      <c r="T225" s="7"/>
      <c r="U225" s="7"/>
      <c r="V225" s="7"/>
      <c r="W225" s="197"/>
      <c r="X225" s="197"/>
      <c r="Y225" s="197"/>
      <c r="Z225" s="197"/>
      <c r="AA225" s="197"/>
      <c r="AB225" s="197"/>
      <c r="AC225" s="197"/>
      <c r="AD225" s="197"/>
      <c r="AE225" s="197"/>
      <c r="AF225" s="197"/>
      <c r="AG225" s="197"/>
      <c r="AH225" s="197"/>
      <c r="AI225" s="197"/>
      <c r="AJ225" s="197"/>
      <c r="AK225" s="197"/>
      <c r="AL225" s="197"/>
      <c r="AM225" s="197"/>
      <c r="AN225" s="197"/>
      <c r="AO225" s="197"/>
      <c r="AP225" s="197"/>
      <c r="AQ225" s="197"/>
      <c r="AR225" s="197"/>
      <c r="AS225" s="197"/>
      <c r="AT225" s="197"/>
    </row>
    <row r="226" ht="17.25" hidden="1" customHeight="1">
      <c r="A226" s="264">
        <v>3.0</v>
      </c>
      <c r="B226" s="248" t="s">
        <v>88</v>
      </c>
      <c r="C226" s="265" t="s">
        <v>602</v>
      </c>
      <c r="D226" s="265" t="s">
        <v>603</v>
      </c>
      <c r="E226" s="263">
        <v>6.0</v>
      </c>
      <c r="F226" s="266">
        <v>41034.0</v>
      </c>
      <c r="G226" s="267" t="s">
        <v>604</v>
      </c>
      <c r="H226" s="265">
        <v>5.108161486E9</v>
      </c>
      <c r="I226" s="268" t="s">
        <v>567</v>
      </c>
      <c r="J226" s="269">
        <v>45093.0</v>
      </c>
      <c r="K226" s="267"/>
      <c r="L226" s="267"/>
      <c r="M226" s="265" t="s">
        <v>605</v>
      </c>
      <c r="N226" s="248" t="s">
        <v>34</v>
      </c>
      <c r="O226" s="249">
        <v>45292.0</v>
      </c>
      <c r="P226" s="197"/>
      <c r="Q226" s="197"/>
      <c r="R226" s="197"/>
      <c r="S226" s="197"/>
      <c r="T226" s="235"/>
      <c r="U226" s="235"/>
      <c r="V226" s="235"/>
      <c r="W226" s="197"/>
      <c r="X226" s="197"/>
      <c r="Y226" s="197"/>
      <c r="Z226" s="197"/>
      <c r="AA226" s="197"/>
      <c r="AB226" s="197"/>
      <c r="AC226" s="197"/>
      <c r="AD226" s="197"/>
      <c r="AE226" s="197"/>
      <c r="AF226" s="197"/>
      <c r="AG226" s="197"/>
      <c r="AH226" s="197"/>
      <c r="AI226" s="197"/>
      <c r="AJ226" s="197"/>
      <c r="AK226" s="197"/>
      <c r="AL226" s="197"/>
      <c r="AM226" s="197"/>
      <c r="AN226" s="197"/>
      <c r="AO226" s="197"/>
      <c r="AP226" s="197"/>
      <c r="AQ226" s="197"/>
      <c r="AR226" s="197"/>
      <c r="AS226" s="197"/>
      <c r="AT226" s="197"/>
    </row>
    <row r="227" ht="17.25" hidden="1" customHeight="1">
      <c r="A227" s="263">
        <v>4.0</v>
      </c>
      <c r="B227" s="248" t="s">
        <v>48</v>
      </c>
      <c r="C227" s="265" t="s">
        <v>318</v>
      </c>
      <c r="D227" s="265" t="s">
        <v>606</v>
      </c>
      <c r="E227" s="263">
        <v>7.0</v>
      </c>
      <c r="F227" s="266">
        <v>40552.0</v>
      </c>
      <c r="G227" s="267" t="s">
        <v>607</v>
      </c>
      <c r="H227" s="265">
        <v>5.10822171E9</v>
      </c>
      <c r="I227" s="267" t="s">
        <v>608</v>
      </c>
      <c r="J227" s="269">
        <v>45233.0</v>
      </c>
      <c r="K227" s="267"/>
      <c r="L227" s="267"/>
      <c r="M227" s="265"/>
      <c r="N227" s="248" t="s">
        <v>34</v>
      </c>
      <c r="O227" s="249">
        <v>45292.0</v>
      </c>
      <c r="P227" s="197"/>
      <c r="Q227" s="197"/>
      <c r="R227" s="197"/>
      <c r="S227" s="197"/>
      <c r="T227" s="235"/>
      <c r="U227" s="235"/>
      <c r="V227" s="235"/>
      <c r="W227" s="197"/>
      <c r="X227" s="197"/>
      <c r="Y227" s="197"/>
      <c r="Z227" s="197"/>
      <c r="AA227" s="197"/>
      <c r="AB227" s="197"/>
      <c r="AC227" s="197"/>
      <c r="AD227" s="197"/>
      <c r="AE227" s="197"/>
      <c r="AF227" s="197"/>
      <c r="AG227" s="197"/>
      <c r="AH227" s="197"/>
      <c r="AI227" s="197"/>
      <c r="AJ227" s="197"/>
      <c r="AK227" s="197"/>
      <c r="AL227" s="197"/>
      <c r="AM227" s="197"/>
      <c r="AN227" s="197"/>
      <c r="AO227" s="197"/>
      <c r="AP227" s="197"/>
      <c r="AQ227" s="197"/>
      <c r="AR227" s="197"/>
      <c r="AS227" s="197"/>
      <c r="AT227" s="197"/>
    </row>
    <row r="228" ht="17.25" hidden="1" customHeight="1">
      <c r="A228" s="263">
        <v>5.0</v>
      </c>
      <c r="B228" s="248" t="s">
        <v>48</v>
      </c>
      <c r="C228" s="243" t="s">
        <v>446</v>
      </c>
      <c r="D228" s="243" t="s">
        <v>560</v>
      </c>
      <c r="E228" s="244">
        <v>1.0</v>
      </c>
      <c r="F228" s="245">
        <v>42483.0</v>
      </c>
      <c r="G228" s="246" t="s">
        <v>561</v>
      </c>
      <c r="H228" s="243">
        <v>6.692460021E9</v>
      </c>
      <c r="I228" s="246" t="s">
        <v>562</v>
      </c>
      <c r="J228" s="247">
        <v>45247.0</v>
      </c>
      <c r="K228" s="246"/>
      <c r="L228" s="246"/>
      <c r="M228" s="243" t="s">
        <v>609</v>
      </c>
      <c r="N228" s="248" t="s">
        <v>34</v>
      </c>
      <c r="O228" s="249">
        <v>45292.0</v>
      </c>
      <c r="P228" s="197"/>
      <c r="Q228" s="197"/>
      <c r="R228" s="197"/>
      <c r="S228" s="197"/>
      <c r="T228" s="235"/>
      <c r="U228" s="235"/>
      <c r="V228" s="235"/>
      <c r="W228" s="197"/>
      <c r="X228" s="197"/>
      <c r="Y228" s="197"/>
      <c r="Z228" s="197"/>
      <c r="AA228" s="197"/>
      <c r="AB228" s="197"/>
      <c r="AC228" s="197"/>
      <c r="AD228" s="197"/>
      <c r="AE228" s="197"/>
      <c r="AF228" s="197"/>
      <c r="AG228" s="197"/>
      <c r="AH228" s="197"/>
      <c r="AI228" s="197"/>
      <c r="AJ228" s="197"/>
      <c r="AK228" s="197"/>
      <c r="AL228" s="197"/>
      <c r="AM228" s="197"/>
      <c r="AN228" s="197"/>
      <c r="AO228" s="197"/>
      <c r="AP228" s="197"/>
      <c r="AQ228" s="197"/>
      <c r="AR228" s="197"/>
      <c r="AS228" s="197"/>
      <c r="AT228" s="197"/>
    </row>
    <row r="229" ht="15.0" hidden="1" customHeight="1">
      <c r="A229" s="270">
        <v>6.0</v>
      </c>
      <c r="B229" s="271" t="s">
        <v>48</v>
      </c>
      <c r="C229" s="272" t="s">
        <v>610</v>
      </c>
      <c r="D229" s="272" t="s">
        <v>611</v>
      </c>
      <c r="E229" s="270" t="s">
        <v>141</v>
      </c>
      <c r="F229" s="273">
        <v>42409.0</v>
      </c>
      <c r="G229" s="274" t="s">
        <v>612</v>
      </c>
      <c r="H229" s="275">
        <v>4.088292099E9</v>
      </c>
      <c r="I229" s="274" t="s">
        <v>613</v>
      </c>
      <c r="J229" s="276">
        <v>44645.0</v>
      </c>
      <c r="K229" s="274"/>
      <c r="L229" s="274"/>
      <c r="M229" s="275" t="s">
        <v>614</v>
      </c>
      <c r="N229" s="271" t="s">
        <v>34</v>
      </c>
      <c r="O229" s="249">
        <v>45292.0</v>
      </c>
      <c r="P229" s="215"/>
      <c r="Q229" s="215"/>
      <c r="R229" s="215"/>
      <c r="S229" s="215"/>
      <c r="T229" s="206"/>
      <c r="U229" s="206"/>
      <c r="V229" s="206"/>
      <c r="W229" s="215"/>
      <c r="X229" s="215"/>
      <c r="Y229" s="215"/>
      <c r="Z229" s="215"/>
      <c r="AA229" s="215"/>
      <c r="AB229" s="215"/>
      <c r="AC229" s="215"/>
      <c r="AD229" s="215"/>
      <c r="AE229" s="215"/>
      <c r="AF229" s="215"/>
      <c r="AG229" s="215"/>
      <c r="AH229" s="215"/>
      <c r="AI229" s="215"/>
      <c r="AJ229" s="215"/>
      <c r="AK229" s="215"/>
      <c r="AL229" s="215"/>
      <c r="AM229" s="215"/>
      <c r="AN229" s="215"/>
      <c r="AO229" s="215"/>
      <c r="AP229" s="215"/>
      <c r="AQ229" s="215"/>
      <c r="AR229" s="215"/>
      <c r="AS229" s="215"/>
      <c r="AT229" s="215"/>
    </row>
    <row r="230" ht="17.25" hidden="1" customHeight="1">
      <c r="A230" s="270">
        <v>7.0</v>
      </c>
      <c r="B230" s="271" t="s">
        <v>88</v>
      </c>
      <c r="C230" s="272" t="s">
        <v>610</v>
      </c>
      <c r="D230" s="272" t="s">
        <v>611</v>
      </c>
      <c r="E230" s="270" t="s">
        <v>141</v>
      </c>
      <c r="F230" s="273">
        <v>42409.0</v>
      </c>
      <c r="G230" s="274" t="s">
        <v>612</v>
      </c>
      <c r="H230" s="275">
        <v>4.088292099E9</v>
      </c>
      <c r="I230" s="274" t="s">
        <v>613</v>
      </c>
      <c r="J230" s="276">
        <v>44866.0</v>
      </c>
      <c r="K230" s="274"/>
      <c r="L230" s="274"/>
      <c r="M230" s="275" t="s">
        <v>614</v>
      </c>
      <c r="N230" s="271" t="s">
        <v>34</v>
      </c>
      <c r="O230" s="249">
        <v>45292.0</v>
      </c>
      <c r="P230" s="215"/>
      <c r="Q230" s="215"/>
      <c r="R230" s="215"/>
      <c r="S230" s="215"/>
      <c r="T230" s="206"/>
      <c r="U230" s="206"/>
      <c r="V230" s="206"/>
      <c r="W230" s="215"/>
      <c r="X230" s="215"/>
      <c r="Y230" s="215"/>
      <c r="Z230" s="215"/>
      <c r="AA230" s="215"/>
      <c r="AB230" s="215"/>
      <c r="AC230" s="215"/>
      <c r="AD230" s="215"/>
      <c r="AE230" s="215"/>
      <c r="AF230" s="215"/>
      <c r="AG230" s="215"/>
      <c r="AH230" s="215"/>
      <c r="AI230" s="215"/>
      <c r="AJ230" s="215"/>
      <c r="AK230" s="215"/>
      <c r="AL230" s="215"/>
      <c r="AM230" s="215"/>
      <c r="AN230" s="215"/>
      <c r="AO230" s="215"/>
      <c r="AP230" s="215"/>
      <c r="AQ230" s="215"/>
      <c r="AR230" s="215"/>
      <c r="AS230" s="215"/>
      <c r="AT230" s="215"/>
    </row>
    <row r="231" ht="17.25" hidden="1" customHeight="1">
      <c r="A231" s="263">
        <v>8.0</v>
      </c>
      <c r="B231" s="248" t="s">
        <v>48</v>
      </c>
      <c r="C231" s="265" t="s">
        <v>615</v>
      </c>
      <c r="D231" s="265" t="s">
        <v>616</v>
      </c>
      <c r="E231" s="263">
        <v>3.0</v>
      </c>
      <c r="F231" s="266">
        <v>42099.0</v>
      </c>
      <c r="G231" s="267" t="s">
        <v>617</v>
      </c>
      <c r="H231" s="265">
        <v>3.104608958E9</v>
      </c>
      <c r="I231" s="267" t="s">
        <v>618</v>
      </c>
      <c r="J231" s="269">
        <v>45200.0</v>
      </c>
      <c r="K231" s="267"/>
      <c r="L231" s="267"/>
      <c r="M231" s="265"/>
      <c r="N231" s="248" t="s">
        <v>34</v>
      </c>
      <c r="O231" s="249">
        <v>45292.0</v>
      </c>
      <c r="P231" s="197"/>
      <c r="Q231" s="197"/>
      <c r="R231" s="197"/>
      <c r="S231" s="197"/>
      <c r="T231" s="235"/>
      <c r="U231" s="235"/>
      <c r="V231" s="235"/>
      <c r="W231" s="197"/>
      <c r="X231" s="197"/>
      <c r="Y231" s="197"/>
      <c r="Z231" s="197"/>
      <c r="AA231" s="197"/>
      <c r="AB231" s="197"/>
      <c r="AC231" s="197"/>
      <c r="AD231" s="197"/>
      <c r="AE231" s="197"/>
      <c r="AF231" s="197"/>
      <c r="AG231" s="197"/>
      <c r="AH231" s="197"/>
      <c r="AI231" s="197"/>
      <c r="AJ231" s="197"/>
      <c r="AK231" s="197"/>
      <c r="AL231" s="197"/>
      <c r="AM231" s="197"/>
      <c r="AN231" s="197"/>
      <c r="AO231" s="197"/>
      <c r="AP231" s="197"/>
      <c r="AQ231" s="197"/>
      <c r="AR231" s="197"/>
      <c r="AS231" s="197"/>
      <c r="AT231" s="197"/>
    </row>
    <row r="232" ht="17.25" hidden="1" customHeight="1">
      <c r="A232" s="263">
        <v>9.0</v>
      </c>
      <c r="B232" s="248" t="s">
        <v>88</v>
      </c>
      <c r="C232" s="265" t="s">
        <v>615</v>
      </c>
      <c r="D232" s="265" t="s">
        <v>616</v>
      </c>
      <c r="E232" s="263">
        <v>3.0</v>
      </c>
      <c r="F232" s="266">
        <v>42099.0</v>
      </c>
      <c r="G232" s="267" t="s">
        <v>617</v>
      </c>
      <c r="H232" s="265">
        <v>3.104608958E9</v>
      </c>
      <c r="I232" s="267" t="s">
        <v>618</v>
      </c>
      <c r="J232" s="269">
        <v>45200.0</v>
      </c>
      <c r="K232" s="267"/>
      <c r="L232" s="267"/>
      <c r="M232" s="265"/>
      <c r="N232" s="248" t="s">
        <v>34</v>
      </c>
      <c r="O232" s="249">
        <v>45292.0</v>
      </c>
      <c r="P232" s="197"/>
      <c r="Q232" s="197"/>
      <c r="R232" s="197"/>
      <c r="S232" s="197"/>
      <c r="T232" s="235"/>
      <c r="U232" s="235"/>
      <c r="V232" s="235"/>
      <c r="W232" s="197"/>
      <c r="X232" s="197"/>
      <c r="Y232" s="197"/>
      <c r="Z232" s="197"/>
      <c r="AA232" s="197"/>
      <c r="AB232" s="197"/>
      <c r="AC232" s="197"/>
      <c r="AD232" s="197"/>
      <c r="AE232" s="197"/>
      <c r="AF232" s="197"/>
      <c r="AG232" s="197"/>
      <c r="AH232" s="197"/>
      <c r="AI232" s="197"/>
      <c r="AJ232" s="197"/>
      <c r="AK232" s="197"/>
      <c r="AL232" s="197"/>
      <c r="AM232" s="197"/>
      <c r="AN232" s="197"/>
      <c r="AO232" s="197"/>
      <c r="AP232" s="197"/>
      <c r="AQ232" s="197"/>
      <c r="AR232" s="197"/>
      <c r="AS232" s="197"/>
      <c r="AT232" s="197"/>
    </row>
    <row r="233" ht="17.25" hidden="1" customHeight="1">
      <c r="A233" s="241">
        <v>1.0</v>
      </c>
      <c r="B233" s="250" t="s">
        <v>88</v>
      </c>
      <c r="C233" s="258" t="s">
        <v>619</v>
      </c>
      <c r="D233" s="258" t="s">
        <v>153</v>
      </c>
      <c r="E233" s="259">
        <v>1.0</v>
      </c>
      <c r="F233" s="260">
        <v>42894.0</v>
      </c>
      <c r="G233" s="253" t="s">
        <v>620</v>
      </c>
      <c r="H233" s="258">
        <v>6.503358676E9</v>
      </c>
      <c r="I233" s="253" t="s">
        <v>621</v>
      </c>
      <c r="J233" s="261">
        <v>45159.0</v>
      </c>
      <c r="K233" s="253"/>
      <c r="L233" s="253"/>
      <c r="M233" s="258" t="s">
        <v>622</v>
      </c>
      <c r="N233" s="250" t="s">
        <v>34</v>
      </c>
      <c r="O233" s="262">
        <v>45352.0</v>
      </c>
      <c r="P233" s="7"/>
      <c r="Q233" s="7"/>
      <c r="R233" s="7"/>
      <c r="S233" s="7"/>
      <c r="T233" s="206"/>
      <c r="U233" s="206"/>
      <c r="V233" s="206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</row>
    <row r="234" ht="17.25" hidden="1" customHeight="1">
      <c r="A234" s="241">
        <v>2.0</v>
      </c>
      <c r="B234" s="250" t="s">
        <v>48</v>
      </c>
      <c r="C234" s="257" t="s">
        <v>623</v>
      </c>
      <c r="D234" s="257" t="s">
        <v>624</v>
      </c>
      <c r="E234" s="241">
        <v>4.0</v>
      </c>
      <c r="F234" s="252">
        <v>41300.0</v>
      </c>
      <c r="G234" s="277" t="s">
        <v>625</v>
      </c>
      <c r="H234" s="257" t="s">
        <v>626</v>
      </c>
      <c r="I234" s="277" t="s">
        <v>627</v>
      </c>
      <c r="J234" s="254">
        <v>45110.0</v>
      </c>
      <c r="K234" s="255"/>
      <c r="L234" s="255"/>
      <c r="M234" s="251"/>
      <c r="N234" s="250" t="s">
        <v>34</v>
      </c>
      <c r="O234" s="262">
        <v>45352.0</v>
      </c>
      <c r="P234" s="7"/>
      <c r="Q234" s="7"/>
      <c r="R234" s="7"/>
      <c r="S234" s="7"/>
      <c r="T234" s="206"/>
      <c r="U234" s="206"/>
      <c r="V234" s="206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</row>
    <row r="235" ht="17.25" hidden="1" customHeight="1">
      <c r="A235" s="241">
        <v>3.0</v>
      </c>
      <c r="B235" s="250" t="s">
        <v>88</v>
      </c>
      <c r="C235" s="257" t="s">
        <v>623</v>
      </c>
      <c r="D235" s="257" t="s">
        <v>624</v>
      </c>
      <c r="E235" s="241">
        <v>4.0</v>
      </c>
      <c r="F235" s="252">
        <v>41301.0</v>
      </c>
      <c r="G235" s="277" t="s">
        <v>628</v>
      </c>
      <c r="H235" s="257" t="s">
        <v>629</v>
      </c>
      <c r="I235" s="277" t="s">
        <v>627</v>
      </c>
      <c r="J235" s="254">
        <v>45110.0</v>
      </c>
      <c r="K235" s="255"/>
      <c r="L235" s="255"/>
      <c r="M235" s="251"/>
      <c r="N235" s="250" t="s">
        <v>34</v>
      </c>
      <c r="O235" s="262">
        <v>45352.0</v>
      </c>
      <c r="P235" s="7"/>
      <c r="Q235" s="7"/>
      <c r="R235" s="7"/>
      <c r="S235" s="7"/>
      <c r="T235" s="235"/>
      <c r="U235" s="235"/>
      <c r="V235" s="235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</row>
    <row r="236" ht="17.25" hidden="1" customHeight="1">
      <c r="A236" s="278">
        <v>1.0</v>
      </c>
      <c r="B236" s="279" t="s">
        <v>48</v>
      </c>
      <c r="C236" s="280" t="s">
        <v>630</v>
      </c>
      <c r="D236" s="280" t="s">
        <v>631</v>
      </c>
      <c r="E236" s="281">
        <v>5.0</v>
      </c>
      <c r="F236" s="282">
        <v>41253.0</v>
      </c>
      <c r="G236" s="283" t="s">
        <v>632</v>
      </c>
      <c r="H236" s="280">
        <v>4.153956788E9</v>
      </c>
      <c r="I236" s="283" t="s">
        <v>633</v>
      </c>
      <c r="J236" s="284">
        <v>45180.0</v>
      </c>
      <c r="K236" s="283"/>
      <c r="L236" s="283"/>
      <c r="M236" s="280" t="s">
        <v>634</v>
      </c>
      <c r="N236" s="285" t="s">
        <v>34</v>
      </c>
      <c r="O236" s="286">
        <v>45383.0</v>
      </c>
      <c r="P236" s="7"/>
      <c r="Q236" s="7"/>
      <c r="R236" s="7"/>
      <c r="S236" s="7"/>
      <c r="T236" s="235"/>
      <c r="U236" s="235"/>
      <c r="V236" s="235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</row>
    <row r="237" ht="17.25" hidden="1" customHeight="1">
      <c r="A237" s="278">
        <v>2.0</v>
      </c>
      <c r="B237" s="279" t="s">
        <v>88</v>
      </c>
      <c r="C237" s="280" t="s">
        <v>630</v>
      </c>
      <c r="D237" s="280" t="s">
        <v>631</v>
      </c>
      <c r="E237" s="281">
        <v>5.0</v>
      </c>
      <c r="F237" s="282">
        <v>41253.0</v>
      </c>
      <c r="G237" s="283" t="s">
        <v>632</v>
      </c>
      <c r="H237" s="280">
        <v>4.153956788E9</v>
      </c>
      <c r="I237" s="283" t="s">
        <v>633</v>
      </c>
      <c r="J237" s="284">
        <v>45180.0</v>
      </c>
      <c r="K237" s="283"/>
      <c r="L237" s="283"/>
      <c r="M237" s="280" t="s">
        <v>634</v>
      </c>
      <c r="N237" s="285" t="s">
        <v>34</v>
      </c>
      <c r="O237" s="286">
        <v>45383.0</v>
      </c>
      <c r="P237" s="7"/>
      <c r="Q237" s="7"/>
      <c r="R237" s="7"/>
      <c r="S237" s="7"/>
      <c r="T237" s="235"/>
      <c r="U237" s="235"/>
      <c r="V237" s="235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</row>
    <row r="238" ht="17.25" hidden="1" customHeight="1">
      <c r="A238" s="278">
        <v>3.0</v>
      </c>
      <c r="B238" s="285" t="s">
        <v>48</v>
      </c>
      <c r="C238" s="287" t="s">
        <v>635</v>
      </c>
      <c r="D238" s="287" t="s">
        <v>636</v>
      </c>
      <c r="E238" s="278" t="s">
        <v>249</v>
      </c>
      <c r="F238" s="288">
        <v>43521.0</v>
      </c>
      <c r="G238" s="289" t="s">
        <v>637</v>
      </c>
      <c r="H238" s="287">
        <v>5.107505202E9</v>
      </c>
      <c r="I238" s="289" t="s">
        <v>638</v>
      </c>
      <c r="J238" s="290">
        <v>45317.0</v>
      </c>
      <c r="K238" s="289"/>
      <c r="L238" s="289"/>
      <c r="M238" s="287"/>
      <c r="N238" s="285" t="s">
        <v>34</v>
      </c>
      <c r="O238" s="286">
        <v>45383.0</v>
      </c>
      <c r="P238" s="7"/>
      <c r="Q238" s="7"/>
      <c r="R238" s="7"/>
      <c r="S238" s="7"/>
      <c r="T238" s="235"/>
      <c r="U238" s="235"/>
      <c r="V238" s="235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</row>
    <row r="239" ht="17.25" hidden="1" customHeight="1">
      <c r="A239" s="278">
        <v>4.0</v>
      </c>
      <c r="B239" s="285" t="s">
        <v>88</v>
      </c>
      <c r="C239" s="287" t="s">
        <v>635</v>
      </c>
      <c r="D239" s="287" t="s">
        <v>636</v>
      </c>
      <c r="E239" s="278" t="s">
        <v>249</v>
      </c>
      <c r="F239" s="288">
        <v>43521.0</v>
      </c>
      <c r="G239" s="289" t="s">
        <v>637</v>
      </c>
      <c r="H239" s="287">
        <v>5.107505202E9</v>
      </c>
      <c r="I239" s="289" t="s">
        <v>638</v>
      </c>
      <c r="J239" s="290">
        <v>45317.0</v>
      </c>
      <c r="K239" s="289"/>
      <c r="L239" s="289"/>
      <c r="M239" s="287" t="s">
        <v>526</v>
      </c>
      <c r="N239" s="285" t="s">
        <v>34</v>
      </c>
      <c r="O239" s="286">
        <v>45383.0</v>
      </c>
      <c r="P239" s="7"/>
      <c r="Q239" s="7"/>
      <c r="R239" s="7"/>
      <c r="S239" s="7"/>
      <c r="T239" s="235"/>
      <c r="U239" s="235"/>
      <c r="V239" s="235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</row>
    <row r="240" ht="17.25" hidden="1" customHeight="1">
      <c r="A240" s="278">
        <v>5.0</v>
      </c>
      <c r="B240" s="285" t="s">
        <v>48</v>
      </c>
      <c r="C240" s="287" t="s">
        <v>639</v>
      </c>
      <c r="D240" s="287" t="s">
        <v>640</v>
      </c>
      <c r="E240" s="278">
        <v>5.0</v>
      </c>
      <c r="F240" s="288">
        <v>41451.0</v>
      </c>
      <c r="G240" s="283" t="s">
        <v>641</v>
      </c>
      <c r="H240" s="283">
        <v>5.106820365E9</v>
      </c>
      <c r="I240" s="283" t="s">
        <v>642</v>
      </c>
      <c r="J240" s="290">
        <v>45078.0</v>
      </c>
      <c r="K240" s="289"/>
      <c r="L240" s="289"/>
      <c r="M240" s="287" t="s">
        <v>643</v>
      </c>
      <c r="N240" s="285" t="s">
        <v>34</v>
      </c>
      <c r="O240" s="286">
        <v>45383.0</v>
      </c>
      <c r="P240" s="7"/>
      <c r="Q240" s="7"/>
      <c r="R240" s="7"/>
      <c r="S240" s="7"/>
      <c r="T240" s="235"/>
      <c r="U240" s="235"/>
      <c r="V240" s="235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</row>
    <row r="241" ht="17.25" hidden="1" customHeight="1">
      <c r="A241" s="278">
        <v>6.0</v>
      </c>
      <c r="B241" s="285" t="s">
        <v>88</v>
      </c>
      <c r="C241" s="287" t="s">
        <v>639</v>
      </c>
      <c r="D241" s="287" t="s">
        <v>640</v>
      </c>
      <c r="E241" s="278">
        <v>5.0</v>
      </c>
      <c r="F241" s="288">
        <v>41451.0</v>
      </c>
      <c r="G241" s="283" t="s">
        <v>641</v>
      </c>
      <c r="H241" s="283">
        <v>5.106820365E9</v>
      </c>
      <c r="I241" s="283" t="s">
        <v>642</v>
      </c>
      <c r="J241" s="290">
        <v>45096.0</v>
      </c>
      <c r="K241" s="289"/>
      <c r="L241" s="289"/>
      <c r="M241" s="287" t="s">
        <v>643</v>
      </c>
      <c r="N241" s="285" t="s">
        <v>34</v>
      </c>
      <c r="O241" s="286">
        <v>45383.0</v>
      </c>
      <c r="P241" s="7"/>
      <c r="Q241" s="7"/>
      <c r="R241" s="7"/>
      <c r="S241" s="7"/>
      <c r="T241" s="235"/>
      <c r="U241" s="235"/>
      <c r="V241" s="235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</row>
    <row r="242" ht="17.25" hidden="1" customHeight="1">
      <c r="A242" s="278">
        <v>7.0</v>
      </c>
      <c r="B242" s="279" t="s">
        <v>48</v>
      </c>
      <c r="C242" s="280" t="s">
        <v>630</v>
      </c>
      <c r="D242" s="280" t="s">
        <v>644</v>
      </c>
      <c r="E242" s="281">
        <v>4.0</v>
      </c>
      <c r="F242" s="282">
        <v>41875.0</v>
      </c>
      <c r="G242" s="283" t="s">
        <v>632</v>
      </c>
      <c r="H242" s="280">
        <v>4.153956788E9</v>
      </c>
      <c r="I242" s="283" t="s">
        <v>633</v>
      </c>
      <c r="J242" s="284">
        <v>45180.0</v>
      </c>
      <c r="K242" s="283"/>
      <c r="L242" s="283"/>
      <c r="M242" s="280" t="s">
        <v>634</v>
      </c>
      <c r="N242" s="285" t="s">
        <v>34</v>
      </c>
      <c r="O242" s="286">
        <v>45383.0</v>
      </c>
      <c r="P242" s="7"/>
      <c r="Q242" s="7"/>
      <c r="R242" s="7"/>
      <c r="S242" s="7"/>
      <c r="T242" s="235"/>
      <c r="U242" s="235"/>
      <c r="V242" s="235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</row>
    <row r="243" ht="17.25" hidden="1" customHeight="1">
      <c r="A243" s="278">
        <v>8.0</v>
      </c>
      <c r="B243" s="279" t="s">
        <v>88</v>
      </c>
      <c r="C243" s="280" t="s">
        <v>630</v>
      </c>
      <c r="D243" s="280" t="s">
        <v>644</v>
      </c>
      <c r="E243" s="281">
        <v>4.0</v>
      </c>
      <c r="F243" s="282">
        <v>41875.0</v>
      </c>
      <c r="G243" s="283" t="s">
        <v>632</v>
      </c>
      <c r="H243" s="280">
        <v>4.153956788E9</v>
      </c>
      <c r="I243" s="283" t="s">
        <v>633</v>
      </c>
      <c r="J243" s="284">
        <v>45180.0</v>
      </c>
      <c r="K243" s="283"/>
      <c r="L243" s="283"/>
      <c r="M243" s="280" t="s">
        <v>634</v>
      </c>
      <c r="N243" s="285" t="s">
        <v>34</v>
      </c>
      <c r="O243" s="286">
        <v>45383.0</v>
      </c>
      <c r="P243" s="7"/>
      <c r="Q243" s="7"/>
      <c r="R243" s="7"/>
      <c r="S243" s="7"/>
      <c r="T243" s="235"/>
      <c r="U243" s="235"/>
      <c r="V243" s="235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</row>
    <row r="244" ht="17.25" hidden="1" customHeight="1">
      <c r="A244" s="278">
        <v>9.0</v>
      </c>
      <c r="B244" s="279" t="s">
        <v>48</v>
      </c>
      <c r="C244" s="280" t="s">
        <v>645</v>
      </c>
      <c r="D244" s="280" t="s">
        <v>646</v>
      </c>
      <c r="E244" s="281" t="s">
        <v>141</v>
      </c>
      <c r="F244" s="282">
        <v>43214.0</v>
      </c>
      <c r="G244" s="283" t="s">
        <v>647</v>
      </c>
      <c r="H244" s="280">
        <v>5.10388572E9</v>
      </c>
      <c r="I244" s="283" t="s">
        <v>648</v>
      </c>
      <c r="J244" s="284">
        <v>45178.0</v>
      </c>
      <c r="K244" s="283"/>
      <c r="L244" s="283"/>
      <c r="M244" s="280"/>
      <c r="N244" s="285" t="s">
        <v>34</v>
      </c>
      <c r="O244" s="286">
        <v>45383.0</v>
      </c>
      <c r="P244" s="7"/>
      <c r="Q244" s="7"/>
      <c r="R244" s="7"/>
      <c r="S244" s="7"/>
      <c r="T244" s="235"/>
      <c r="U244" s="235"/>
      <c r="V244" s="235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</row>
    <row r="245" ht="17.25" hidden="1" customHeight="1">
      <c r="A245" s="278">
        <v>10.0</v>
      </c>
      <c r="B245" s="279" t="s">
        <v>48</v>
      </c>
      <c r="C245" s="280" t="s">
        <v>645</v>
      </c>
      <c r="D245" s="280" t="s">
        <v>649</v>
      </c>
      <c r="E245" s="281">
        <v>2.0</v>
      </c>
      <c r="F245" s="282">
        <v>42626.0</v>
      </c>
      <c r="G245" s="283" t="s">
        <v>647</v>
      </c>
      <c r="H245" s="280">
        <v>5.10388572E9</v>
      </c>
      <c r="I245" s="283" t="s">
        <v>648</v>
      </c>
      <c r="J245" s="284">
        <v>45178.0</v>
      </c>
      <c r="K245" s="283"/>
      <c r="L245" s="283"/>
      <c r="M245" s="280"/>
      <c r="N245" s="285" t="s">
        <v>34</v>
      </c>
      <c r="O245" s="286">
        <v>45383.0</v>
      </c>
      <c r="P245" s="7"/>
      <c r="Q245" s="7"/>
      <c r="R245" s="7"/>
      <c r="S245" s="7"/>
      <c r="T245" s="235"/>
      <c r="U245" s="235"/>
      <c r="V245" s="235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</row>
    <row r="246" ht="17.25" hidden="1" customHeight="1">
      <c r="A246" s="241">
        <v>1.0</v>
      </c>
      <c r="B246" s="291" t="s">
        <v>48</v>
      </c>
      <c r="C246" s="258" t="s">
        <v>650</v>
      </c>
      <c r="D246" s="258" t="s">
        <v>651</v>
      </c>
      <c r="E246" s="259" t="s">
        <v>249</v>
      </c>
      <c r="F246" s="260">
        <v>43630.0</v>
      </c>
      <c r="G246" s="253" t="s">
        <v>652</v>
      </c>
      <c r="H246" s="258">
        <v>5.109444628E9</v>
      </c>
      <c r="I246" s="253" t="s">
        <v>653</v>
      </c>
      <c r="J246" s="261">
        <v>45170.0</v>
      </c>
      <c r="K246" s="253"/>
      <c r="L246" s="253"/>
      <c r="M246" s="258" t="s">
        <v>654</v>
      </c>
      <c r="N246" s="250" t="s">
        <v>34</v>
      </c>
      <c r="O246" s="262">
        <v>45413.0</v>
      </c>
      <c r="P246" s="7"/>
      <c r="Q246" s="7"/>
      <c r="R246" s="7"/>
      <c r="S246" s="7"/>
      <c r="T246" s="235"/>
      <c r="U246" s="235"/>
      <c r="V246" s="235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</row>
    <row r="247" ht="17.25" hidden="1" customHeight="1">
      <c r="A247" s="241">
        <v>2.0</v>
      </c>
      <c r="B247" s="250" t="s">
        <v>48</v>
      </c>
      <c r="C247" s="251" t="s">
        <v>318</v>
      </c>
      <c r="D247" s="251" t="s">
        <v>528</v>
      </c>
      <c r="E247" s="241" t="s">
        <v>141</v>
      </c>
      <c r="F247" s="252">
        <v>42943.0</v>
      </c>
      <c r="G247" s="255" t="s">
        <v>655</v>
      </c>
      <c r="H247" s="251">
        <v>5.103035129E9</v>
      </c>
      <c r="I247" s="292" t="s">
        <v>656</v>
      </c>
      <c r="J247" s="254">
        <v>44728.0</v>
      </c>
      <c r="K247" s="255"/>
      <c r="L247" s="255"/>
      <c r="M247" s="251" t="s">
        <v>657</v>
      </c>
      <c r="N247" s="250" t="s">
        <v>34</v>
      </c>
      <c r="O247" s="262">
        <v>45413.0</v>
      </c>
      <c r="P247" s="7"/>
      <c r="Q247" s="7"/>
      <c r="R247" s="7"/>
      <c r="S247" s="7"/>
      <c r="T247" s="206"/>
      <c r="U247" s="206"/>
      <c r="V247" s="206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</row>
    <row r="248" ht="17.25" hidden="1" customHeight="1">
      <c r="A248" s="241">
        <v>3.0</v>
      </c>
      <c r="B248" s="250" t="s">
        <v>88</v>
      </c>
      <c r="C248" s="251" t="s">
        <v>318</v>
      </c>
      <c r="D248" s="251" t="s">
        <v>528</v>
      </c>
      <c r="E248" s="241" t="s">
        <v>141</v>
      </c>
      <c r="F248" s="252">
        <v>42943.0</v>
      </c>
      <c r="G248" s="255" t="s">
        <v>655</v>
      </c>
      <c r="H248" s="251">
        <v>5.103035129E9</v>
      </c>
      <c r="I248" s="292" t="s">
        <v>656</v>
      </c>
      <c r="J248" s="254">
        <v>44728.0</v>
      </c>
      <c r="K248" s="255"/>
      <c r="L248" s="255"/>
      <c r="M248" s="251" t="s">
        <v>657</v>
      </c>
      <c r="N248" s="250" t="s">
        <v>34</v>
      </c>
      <c r="O248" s="262">
        <v>45413.0</v>
      </c>
      <c r="P248" s="7"/>
      <c r="Q248" s="7"/>
      <c r="R248" s="7"/>
      <c r="S248" s="7"/>
      <c r="T248" s="235"/>
      <c r="U248" s="235"/>
      <c r="V248" s="235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</row>
    <row r="249" ht="17.25" hidden="1" customHeight="1">
      <c r="A249" s="216">
        <v>4.0</v>
      </c>
      <c r="B249" s="293" t="s">
        <v>48</v>
      </c>
      <c r="C249" s="294" t="s">
        <v>368</v>
      </c>
      <c r="D249" s="294" t="s">
        <v>145</v>
      </c>
      <c r="E249" s="295" t="s">
        <v>141</v>
      </c>
      <c r="F249" s="296">
        <v>43274.0</v>
      </c>
      <c r="G249" s="297" t="s">
        <v>369</v>
      </c>
      <c r="H249" s="294">
        <v>2.544004292E9</v>
      </c>
      <c r="I249" s="297" t="s">
        <v>370</v>
      </c>
      <c r="J249" s="298">
        <v>45185.0</v>
      </c>
      <c r="K249" s="297"/>
      <c r="L249" s="297"/>
      <c r="M249" s="294" t="s">
        <v>658</v>
      </c>
      <c r="N249" s="217" t="s">
        <v>34</v>
      </c>
      <c r="O249" s="299">
        <v>45413.0</v>
      </c>
      <c r="P249" s="206"/>
      <c r="Q249" s="206"/>
      <c r="R249" s="206"/>
      <c r="S249" s="206"/>
      <c r="T249" s="235"/>
      <c r="U249" s="235"/>
      <c r="V249" s="235"/>
      <c r="W249" s="206"/>
      <c r="X249" s="206"/>
      <c r="Y249" s="206"/>
      <c r="Z249" s="206"/>
      <c r="AA249" s="206"/>
      <c r="AB249" s="206"/>
      <c r="AC249" s="206"/>
      <c r="AD249" s="206"/>
      <c r="AE249" s="206"/>
      <c r="AF249" s="206"/>
      <c r="AG249" s="206"/>
      <c r="AH249" s="206"/>
      <c r="AI249" s="206"/>
      <c r="AJ249" s="206"/>
      <c r="AK249" s="206"/>
      <c r="AL249" s="206"/>
      <c r="AM249" s="206"/>
      <c r="AN249" s="206"/>
      <c r="AO249" s="206"/>
      <c r="AP249" s="206"/>
      <c r="AQ249" s="206"/>
      <c r="AR249" s="206"/>
      <c r="AS249" s="206"/>
      <c r="AT249" s="206"/>
    </row>
    <row r="250" ht="17.25" hidden="1" customHeight="1">
      <c r="A250" s="241">
        <v>5.0</v>
      </c>
      <c r="B250" s="250" t="s">
        <v>48</v>
      </c>
      <c r="C250" s="251" t="s">
        <v>659</v>
      </c>
      <c r="D250" s="251" t="s">
        <v>660</v>
      </c>
      <c r="E250" s="241">
        <v>3.0</v>
      </c>
      <c r="F250" s="252">
        <v>42182.0</v>
      </c>
      <c r="G250" s="255" t="s">
        <v>661</v>
      </c>
      <c r="H250" s="251">
        <v>4.085948203E9</v>
      </c>
      <c r="I250" s="255" t="s">
        <v>662</v>
      </c>
      <c r="J250" s="254">
        <v>45215.0</v>
      </c>
      <c r="K250" s="255"/>
      <c r="L250" s="255"/>
      <c r="M250" s="251"/>
      <c r="N250" s="250" t="s">
        <v>34</v>
      </c>
      <c r="O250" s="262">
        <v>45413.0</v>
      </c>
      <c r="P250" s="7"/>
      <c r="Q250" s="7"/>
      <c r="R250" s="7"/>
      <c r="S250" s="7"/>
      <c r="T250" s="235"/>
      <c r="U250" s="235"/>
      <c r="V250" s="235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</row>
    <row r="251" ht="17.25" hidden="1" customHeight="1">
      <c r="A251" s="241">
        <v>6.0</v>
      </c>
      <c r="B251" s="250" t="s">
        <v>48</v>
      </c>
      <c r="C251" s="251" t="s">
        <v>663</v>
      </c>
      <c r="D251" s="251" t="s">
        <v>664</v>
      </c>
      <c r="E251" s="241">
        <v>6.0</v>
      </c>
      <c r="F251" s="252">
        <v>41089.0</v>
      </c>
      <c r="G251" s="253" t="s">
        <v>665</v>
      </c>
      <c r="H251" s="253">
        <v>4.085819618E9</v>
      </c>
      <c r="I251" s="253" t="s">
        <v>666</v>
      </c>
      <c r="J251" s="254">
        <v>45329.0</v>
      </c>
      <c r="K251" s="255"/>
      <c r="L251" s="255"/>
      <c r="M251" s="251"/>
      <c r="N251" s="250" t="s">
        <v>34</v>
      </c>
      <c r="O251" s="262">
        <v>45413.0</v>
      </c>
      <c r="P251" s="7"/>
      <c r="Q251" s="7"/>
      <c r="R251" s="7"/>
      <c r="S251" s="7"/>
      <c r="T251" s="235"/>
      <c r="U251" s="235"/>
      <c r="V251" s="235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</row>
    <row r="252" ht="17.25" hidden="1" customHeight="1">
      <c r="A252" s="241">
        <v>7.0</v>
      </c>
      <c r="B252" s="250" t="s">
        <v>88</v>
      </c>
      <c r="C252" s="251" t="s">
        <v>663</v>
      </c>
      <c r="D252" s="251" t="s">
        <v>664</v>
      </c>
      <c r="E252" s="241">
        <v>6.0</v>
      </c>
      <c r="F252" s="252">
        <v>41089.0</v>
      </c>
      <c r="G252" s="253" t="s">
        <v>665</v>
      </c>
      <c r="H252" s="253">
        <v>4.085819618E9</v>
      </c>
      <c r="I252" s="253" t="s">
        <v>666</v>
      </c>
      <c r="J252" s="254">
        <v>45329.0</v>
      </c>
      <c r="K252" s="255"/>
      <c r="L252" s="255"/>
      <c r="M252" s="251"/>
      <c r="N252" s="250" t="s">
        <v>34</v>
      </c>
      <c r="O252" s="262">
        <v>45413.0</v>
      </c>
      <c r="P252" s="7"/>
      <c r="Q252" s="7"/>
      <c r="R252" s="7"/>
      <c r="S252" s="7"/>
      <c r="T252" s="235"/>
      <c r="U252" s="235"/>
      <c r="V252" s="235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</row>
    <row r="253" ht="17.25" hidden="1" customHeight="1">
      <c r="A253" s="241">
        <v>8.0</v>
      </c>
      <c r="B253" s="250" t="s">
        <v>48</v>
      </c>
      <c r="C253" s="258" t="s">
        <v>446</v>
      </c>
      <c r="D253" s="258" t="s">
        <v>667</v>
      </c>
      <c r="E253" s="259">
        <v>2.0</v>
      </c>
      <c r="F253" s="260">
        <v>42516.0</v>
      </c>
      <c r="G253" s="253" t="s">
        <v>668</v>
      </c>
      <c r="H253" s="258">
        <v>6.318770767E9</v>
      </c>
      <c r="I253" s="253" t="s">
        <v>669</v>
      </c>
      <c r="J253" s="261">
        <v>45156.0</v>
      </c>
      <c r="K253" s="253"/>
      <c r="L253" s="253"/>
      <c r="M253" s="258" t="s">
        <v>657</v>
      </c>
      <c r="N253" s="250" t="s">
        <v>34</v>
      </c>
      <c r="O253" s="262">
        <v>45413.0</v>
      </c>
      <c r="P253" s="7"/>
      <c r="Q253" s="7"/>
      <c r="R253" s="7"/>
      <c r="S253" s="7"/>
      <c r="T253" s="206"/>
      <c r="U253" s="206"/>
      <c r="V253" s="206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</row>
    <row r="254" ht="17.25" hidden="1" customHeight="1">
      <c r="A254" s="241">
        <v>9.0</v>
      </c>
      <c r="B254" s="250" t="s">
        <v>88</v>
      </c>
      <c r="C254" s="251" t="s">
        <v>446</v>
      </c>
      <c r="D254" s="251" t="s">
        <v>667</v>
      </c>
      <c r="E254" s="241">
        <v>2.0</v>
      </c>
      <c r="F254" s="252">
        <v>42516.0</v>
      </c>
      <c r="G254" s="255" t="s">
        <v>668</v>
      </c>
      <c r="H254" s="251">
        <v>6.318770767E9</v>
      </c>
      <c r="I254" s="255" t="s">
        <v>669</v>
      </c>
      <c r="J254" s="254">
        <v>410535.0</v>
      </c>
      <c r="K254" s="253"/>
      <c r="L254" s="253"/>
      <c r="M254" s="258" t="s">
        <v>657</v>
      </c>
      <c r="N254" s="250" t="s">
        <v>34</v>
      </c>
      <c r="O254" s="262">
        <v>45413.0</v>
      </c>
      <c r="P254" s="7"/>
      <c r="Q254" s="7"/>
      <c r="R254" s="7"/>
      <c r="S254" s="7"/>
      <c r="T254" s="235"/>
      <c r="U254" s="235"/>
      <c r="V254" s="235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</row>
    <row r="255" ht="17.25" hidden="1" customHeight="1">
      <c r="A255" s="216">
        <v>10.0</v>
      </c>
      <c r="B255" s="217" t="s">
        <v>88</v>
      </c>
      <c r="C255" s="294" t="s">
        <v>670</v>
      </c>
      <c r="D255" s="294" t="s">
        <v>671</v>
      </c>
      <c r="E255" s="295">
        <v>3.0</v>
      </c>
      <c r="F255" s="296">
        <v>42124.0</v>
      </c>
      <c r="G255" s="297" t="s">
        <v>672</v>
      </c>
      <c r="H255" s="294">
        <v>4.085076346E9</v>
      </c>
      <c r="I255" s="297" t="s">
        <v>673</v>
      </c>
      <c r="J255" s="298">
        <v>45159.0</v>
      </c>
      <c r="K255" s="297"/>
      <c r="L255" s="297"/>
      <c r="M255" s="294"/>
      <c r="N255" s="217" t="s">
        <v>34</v>
      </c>
      <c r="O255" s="299">
        <v>45413.0</v>
      </c>
      <c r="P255" s="206"/>
      <c r="Q255" s="206"/>
      <c r="R255" s="206"/>
      <c r="S255" s="206"/>
      <c r="T255" s="235"/>
      <c r="U255" s="235"/>
      <c r="V255" s="235"/>
      <c r="W255" s="206"/>
      <c r="X255" s="206"/>
      <c r="Y255" s="206"/>
      <c r="Z255" s="206"/>
      <c r="AA255" s="206"/>
      <c r="AB255" s="206"/>
      <c r="AC255" s="206"/>
      <c r="AD255" s="206"/>
      <c r="AE255" s="206"/>
      <c r="AF255" s="206"/>
      <c r="AG255" s="206"/>
      <c r="AH255" s="206"/>
      <c r="AI255" s="206"/>
      <c r="AJ255" s="206"/>
      <c r="AK255" s="206"/>
      <c r="AL255" s="206"/>
      <c r="AM255" s="206"/>
      <c r="AN255" s="206"/>
      <c r="AO255" s="206"/>
      <c r="AP255" s="206"/>
      <c r="AQ255" s="206"/>
      <c r="AR255" s="206"/>
      <c r="AS255" s="206"/>
      <c r="AT255" s="206"/>
    </row>
    <row r="256" ht="17.25" hidden="1" customHeight="1">
      <c r="A256" s="216">
        <v>11.0</v>
      </c>
      <c r="B256" s="217" t="s">
        <v>88</v>
      </c>
      <c r="C256" s="294" t="s">
        <v>670</v>
      </c>
      <c r="D256" s="294" t="s">
        <v>674</v>
      </c>
      <c r="E256" s="295">
        <v>3.0</v>
      </c>
      <c r="F256" s="296">
        <v>42124.0</v>
      </c>
      <c r="G256" s="297" t="s">
        <v>672</v>
      </c>
      <c r="H256" s="294">
        <v>4.085076346E9</v>
      </c>
      <c r="I256" s="297" t="s">
        <v>673</v>
      </c>
      <c r="J256" s="298">
        <v>45159.0</v>
      </c>
      <c r="K256" s="297"/>
      <c r="L256" s="297"/>
      <c r="M256" s="294"/>
      <c r="N256" s="217" t="s">
        <v>34</v>
      </c>
      <c r="O256" s="299">
        <v>45413.0</v>
      </c>
      <c r="P256" s="206"/>
      <c r="Q256" s="206"/>
      <c r="R256" s="206"/>
      <c r="S256" s="206"/>
      <c r="T256" s="235"/>
      <c r="U256" s="235"/>
      <c r="V256" s="235"/>
      <c r="W256" s="206"/>
      <c r="X256" s="206"/>
      <c r="Y256" s="206"/>
      <c r="Z256" s="206"/>
      <c r="AA256" s="206"/>
      <c r="AB256" s="206"/>
      <c r="AC256" s="206"/>
      <c r="AD256" s="206"/>
      <c r="AE256" s="206"/>
      <c r="AF256" s="206"/>
      <c r="AG256" s="206"/>
      <c r="AH256" s="206"/>
      <c r="AI256" s="206"/>
      <c r="AJ256" s="206"/>
      <c r="AK256" s="206"/>
      <c r="AL256" s="206"/>
      <c r="AM256" s="206"/>
      <c r="AN256" s="206"/>
      <c r="AO256" s="206"/>
      <c r="AP256" s="206"/>
      <c r="AQ256" s="206"/>
      <c r="AR256" s="206"/>
      <c r="AS256" s="206"/>
      <c r="AT256" s="206"/>
    </row>
    <row r="257" ht="17.25" hidden="1" customHeight="1">
      <c r="A257" s="241">
        <v>12.0</v>
      </c>
      <c r="B257" s="250" t="s">
        <v>48</v>
      </c>
      <c r="C257" s="251" t="s">
        <v>675</v>
      </c>
      <c r="D257" s="251" t="s">
        <v>434</v>
      </c>
      <c r="E257" s="241" t="s">
        <v>378</v>
      </c>
      <c r="F257" s="252">
        <v>42940.0</v>
      </c>
      <c r="G257" s="255" t="s">
        <v>676</v>
      </c>
      <c r="H257" s="251">
        <v>5.105090555E9</v>
      </c>
      <c r="I257" s="255" t="s">
        <v>677</v>
      </c>
      <c r="J257" s="254">
        <v>44723.0</v>
      </c>
      <c r="K257" s="255"/>
      <c r="L257" s="255"/>
      <c r="M257" s="251" t="s">
        <v>678</v>
      </c>
      <c r="N257" s="250" t="s">
        <v>34</v>
      </c>
      <c r="O257" s="262">
        <v>45413.0</v>
      </c>
      <c r="P257" s="7"/>
      <c r="Q257" s="7"/>
      <c r="R257" s="7"/>
      <c r="S257" s="7"/>
      <c r="T257" s="235"/>
      <c r="U257" s="235"/>
      <c r="V257" s="235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</row>
    <row r="258" ht="17.25" hidden="1" customHeight="1">
      <c r="A258" s="241">
        <v>13.0</v>
      </c>
      <c r="B258" s="250" t="s">
        <v>88</v>
      </c>
      <c r="C258" s="251" t="s">
        <v>675</v>
      </c>
      <c r="D258" s="251" t="s">
        <v>434</v>
      </c>
      <c r="E258" s="241" t="s">
        <v>378</v>
      </c>
      <c r="F258" s="252">
        <v>42940.0</v>
      </c>
      <c r="G258" s="255" t="s">
        <v>676</v>
      </c>
      <c r="H258" s="251">
        <v>5.105090555E9</v>
      </c>
      <c r="I258" s="255" t="s">
        <v>677</v>
      </c>
      <c r="J258" s="254">
        <v>44723.0</v>
      </c>
      <c r="K258" s="255"/>
      <c r="L258" s="255"/>
      <c r="M258" s="251" t="s">
        <v>678</v>
      </c>
      <c r="N258" s="250" t="s">
        <v>34</v>
      </c>
      <c r="O258" s="262">
        <v>45413.0</v>
      </c>
      <c r="P258" s="7"/>
      <c r="Q258" s="7"/>
      <c r="R258" s="7"/>
      <c r="S258" s="7"/>
      <c r="T258" s="235"/>
      <c r="U258" s="235"/>
      <c r="V258" s="235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</row>
    <row r="259" ht="17.25" hidden="1" customHeight="1">
      <c r="A259" s="241">
        <v>14.0</v>
      </c>
      <c r="B259" s="250" t="s">
        <v>48</v>
      </c>
      <c r="C259" s="251" t="s">
        <v>675</v>
      </c>
      <c r="D259" s="251" t="s">
        <v>679</v>
      </c>
      <c r="E259" s="241">
        <v>5.0</v>
      </c>
      <c r="F259" s="252">
        <v>40745.0</v>
      </c>
      <c r="G259" s="255" t="s">
        <v>680</v>
      </c>
      <c r="H259" s="251">
        <v>5.105090555E9</v>
      </c>
      <c r="I259" s="255" t="s">
        <v>677</v>
      </c>
      <c r="J259" s="251" t="s">
        <v>681</v>
      </c>
      <c r="K259" s="255"/>
      <c r="L259" s="255"/>
      <c r="M259" s="251" t="s">
        <v>678</v>
      </c>
      <c r="N259" s="250" t="s">
        <v>34</v>
      </c>
      <c r="O259" s="262">
        <v>45413.0</v>
      </c>
      <c r="P259" s="7"/>
      <c r="Q259" s="7"/>
      <c r="R259" s="7"/>
      <c r="S259" s="7"/>
      <c r="T259" s="235"/>
      <c r="U259" s="235"/>
      <c r="V259" s="235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</row>
    <row r="260" ht="17.25" hidden="1" customHeight="1">
      <c r="A260" s="241">
        <v>15.0</v>
      </c>
      <c r="B260" s="250" t="s">
        <v>88</v>
      </c>
      <c r="C260" s="251" t="s">
        <v>675</v>
      </c>
      <c r="D260" s="251" t="s">
        <v>679</v>
      </c>
      <c r="E260" s="241">
        <v>5.0</v>
      </c>
      <c r="F260" s="252">
        <v>40745.0</v>
      </c>
      <c r="G260" s="255" t="s">
        <v>680</v>
      </c>
      <c r="H260" s="251">
        <v>5.105090555E9</v>
      </c>
      <c r="I260" s="255" t="s">
        <v>677</v>
      </c>
      <c r="J260" s="251" t="s">
        <v>681</v>
      </c>
      <c r="K260" s="255"/>
      <c r="L260" s="255"/>
      <c r="M260" s="251" t="s">
        <v>678</v>
      </c>
      <c r="N260" s="250" t="s">
        <v>34</v>
      </c>
      <c r="O260" s="262">
        <v>45413.0</v>
      </c>
      <c r="P260" s="7"/>
      <c r="Q260" s="7"/>
      <c r="R260" s="7"/>
      <c r="S260" s="7"/>
      <c r="T260" s="206"/>
      <c r="U260" s="206"/>
      <c r="V260" s="206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</row>
    <row r="261" ht="17.25" hidden="1" customHeight="1">
      <c r="A261" s="227">
        <v>1.0</v>
      </c>
      <c r="B261" s="228" t="s">
        <v>48</v>
      </c>
      <c r="C261" s="236" t="s">
        <v>682</v>
      </c>
      <c r="D261" s="236" t="s">
        <v>683</v>
      </c>
      <c r="E261" s="227">
        <v>2.0</v>
      </c>
      <c r="F261" s="237">
        <v>42279.0</v>
      </c>
      <c r="G261" s="238" t="s">
        <v>684</v>
      </c>
      <c r="H261" s="236">
        <v>4.256334423E9</v>
      </c>
      <c r="I261" s="238" t="s">
        <v>685</v>
      </c>
      <c r="J261" s="239">
        <v>45231.0</v>
      </c>
      <c r="K261" s="238"/>
      <c r="L261" s="238"/>
      <c r="M261" s="236" t="s">
        <v>686</v>
      </c>
      <c r="N261" s="228" t="s">
        <v>34</v>
      </c>
      <c r="O261" s="234">
        <v>45444.0</v>
      </c>
      <c r="P261" s="235"/>
      <c r="Q261" s="235"/>
      <c r="R261" s="235"/>
      <c r="S261" s="235"/>
      <c r="T261" s="206"/>
      <c r="U261" s="206"/>
      <c r="V261" s="206"/>
      <c r="W261" s="235"/>
      <c r="X261" s="235"/>
      <c r="Y261" s="235"/>
      <c r="Z261" s="235"/>
      <c r="AA261" s="235"/>
      <c r="AB261" s="235"/>
      <c r="AC261" s="235"/>
      <c r="AD261" s="235"/>
      <c r="AE261" s="235"/>
      <c r="AF261" s="235"/>
      <c r="AG261" s="235"/>
      <c r="AH261" s="235"/>
      <c r="AI261" s="235"/>
      <c r="AJ261" s="235"/>
      <c r="AK261" s="235"/>
      <c r="AL261" s="235"/>
      <c r="AM261" s="235"/>
      <c r="AN261" s="235"/>
      <c r="AO261" s="235"/>
      <c r="AP261" s="235"/>
      <c r="AQ261" s="235"/>
      <c r="AR261" s="235"/>
      <c r="AS261" s="235"/>
      <c r="AT261" s="235"/>
    </row>
    <row r="262" ht="17.25" hidden="1" customHeight="1">
      <c r="A262" s="227">
        <v>2.0</v>
      </c>
      <c r="B262" s="228" t="s">
        <v>48</v>
      </c>
      <c r="C262" s="229" t="s">
        <v>619</v>
      </c>
      <c r="D262" s="229" t="s">
        <v>687</v>
      </c>
      <c r="E262" s="230">
        <v>2.0</v>
      </c>
      <c r="F262" s="231">
        <v>42301.0</v>
      </c>
      <c r="G262" s="232" t="s">
        <v>620</v>
      </c>
      <c r="H262" s="229">
        <v>6.503358676E9</v>
      </c>
      <c r="I262" s="232" t="s">
        <v>621</v>
      </c>
      <c r="J262" s="233">
        <v>45159.0</v>
      </c>
      <c r="K262" s="232"/>
      <c r="L262" s="232"/>
      <c r="M262" s="229"/>
      <c r="N262" s="228" t="s">
        <v>34</v>
      </c>
      <c r="O262" s="234">
        <v>45444.0</v>
      </c>
      <c r="P262" s="235"/>
      <c r="Q262" s="235"/>
      <c r="R262" s="235"/>
      <c r="S262" s="235"/>
      <c r="T262" s="235"/>
      <c r="U262" s="235"/>
      <c r="V262" s="235"/>
      <c r="W262" s="235"/>
      <c r="X262" s="235"/>
      <c r="Y262" s="235"/>
      <c r="Z262" s="235"/>
      <c r="AA262" s="235"/>
      <c r="AB262" s="235"/>
      <c r="AC262" s="235"/>
      <c r="AD262" s="235"/>
      <c r="AE262" s="235"/>
      <c r="AF262" s="235"/>
      <c r="AG262" s="235"/>
      <c r="AH262" s="235"/>
      <c r="AI262" s="235"/>
      <c r="AJ262" s="235"/>
      <c r="AK262" s="235"/>
      <c r="AL262" s="235"/>
      <c r="AM262" s="235"/>
      <c r="AN262" s="235"/>
      <c r="AO262" s="235"/>
      <c r="AP262" s="235"/>
      <c r="AQ262" s="235"/>
      <c r="AR262" s="235"/>
      <c r="AS262" s="235"/>
      <c r="AT262" s="235"/>
    </row>
    <row r="263" ht="17.25" hidden="1" customHeight="1">
      <c r="A263" s="227">
        <v>3.0</v>
      </c>
      <c r="B263" s="228" t="s">
        <v>88</v>
      </c>
      <c r="C263" s="229" t="s">
        <v>619</v>
      </c>
      <c r="D263" s="229" t="s">
        <v>687</v>
      </c>
      <c r="E263" s="230">
        <v>2.0</v>
      </c>
      <c r="F263" s="231">
        <v>42301.0</v>
      </c>
      <c r="G263" s="232" t="s">
        <v>620</v>
      </c>
      <c r="H263" s="229">
        <v>6.503358676E9</v>
      </c>
      <c r="I263" s="232" t="s">
        <v>621</v>
      </c>
      <c r="J263" s="233">
        <v>45159.0</v>
      </c>
      <c r="K263" s="232"/>
      <c r="L263" s="232"/>
      <c r="M263" s="229"/>
      <c r="N263" s="228" t="s">
        <v>34</v>
      </c>
      <c r="O263" s="234">
        <v>45444.0</v>
      </c>
      <c r="P263" s="235"/>
      <c r="Q263" s="235"/>
      <c r="R263" s="235"/>
      <c r="S263" s="235"/>
      <c r="T263" s="235"/>
      <c r="U263" s="235"/>
      <c r="V263" s="235"/>
      <c r="W263" s="235"/>
      <c r="X263" s="235"/>
      <c r="Y263" s="235"/>
      <c r="Z263" s="235"/>
      <c r="AA263" s="235"/>
      <c r="AB263" s="235"/>
      <c r="AC263" s="235"/>
      <c r="AD263" s="235"/>
      <c r="AE263" s="235"/>
      <c r="AF263" s="235"/>
      <c r="AG263" s="235"/>
      <c r="AH263" s="235"/>
      <c r="AI263" s="235"/>
      <c r="AJ263" s="235"/>
      <c r="AK263" s="235"/>
      <c r="AL263" s="235"/>
      <c r="AM263" s="235"/>
      <c r="AN263" s="235"/>
      <c r="AO263" s="235"/>
      <c r="AP263" s="235"/>
      <c r="AQ263" s="235"/>
      <c r="AR263" s="235"/>
      <c r="AS263" s="235"/>
      <c r="AT263" s="235"/>
    </row>
    <row r="264" ht="17.25" hidden="1" customHeight="1">
      <c r="A264" s="216">
        <v>4.0</v>
      </c>
      <c r="B264" s="293" t="s">
        <v>48</v>
      </c>
      <c r="C264" s="294" t="s">
        <v>291</v>
      </c>
      <c r="D264" s="294" t="s">
        <v>434</v>
      </c>
      <c r="E264" s="295">
        <v>2.0</v>
      </c>
      <c r="F264" s="296">
        <v>42348.0</v>
      </c>
      <c r="G264" s="297" t="s">
        <v>688</v>
      </c>
      <c r="H264" s="294">
        <v>4.157228574E9</v>
      </c>
      <c r="I264" s="297" t="s">
        <v>436</v>
      </c>
      <c r="J264" s="298">
        <v>45170.0</v>
      </c>
      <c r="K264" s="297"/>
      <c r="L264" s="297"/>
      <c r="M264" s="294" t="s">
        <v>689</v>
      </c>
      <c r="N264" s="217" t="s">
        <v>34</v>
      </c>
      <c r="O264" s="222">
        <v>45444.0</v>
      </c>
      <c r="P264" s="206"/>
      <c r="Q264" s="206"/>
      <c r="R264" s="206"/>
      <c r="S264" s="206"/>
      <c r="T264" s="235"/>
      <c r="U264" s="235"/>
      <c r="V264" s="235"/>
      <c r="W264" s="206"/>
      <c r="X264" s="206"/>
      <c r="Y264" s="206"/>
      <c r="Z264" s="206"/>
      <c r="AA264" s="206"/>
      <c r="AB264" s="206"/>
      <c r="AC264" s="206"/>
      <c r="AD264" s="206"/>
      <c r="AE264" s="206"/>
      <c r="AF264" s="206"/>
      <c r="AG264" s="206"/>
      <c r="AH264" s="206"/>
      <c r="AI264" s="206"/>
      <c r="AJ264" s="206"/>
      <c r="AK264" s="206"/>
      <c r="AL264" s="206"/>
      <c r="AM264" s="206"/>
      <c r="AN264" s="206"/>
      <c r="AO264" s="206"/>
      <c r="AP264" s="206"/>
      <c r="AQ264" s="206"/>
      <c r="AR264" s="206"/>
      <c r="AS264" s="206"/>
      <c r="AT264" s="206"/>
    </row>
    <row r="265" ht="17.25" hidden="1" customHeight="1">
      <c r="A265" s="216">
        <v>5.0</v>
      </c>
      <c r="B265" s="293" t="s">
        <v>88</v>
      </c>
      <c r="C265" s="294" t="s">
        <v>291</v>
      </c>
      <c r="D265" s="294" t="s">
        <v>434</v>
      </c>
      <c r="E265" s="295">
        <v>2.0</v>
      </c>
      <c r="F265" s="296">
        <v>42348.0</v>
      </c>
      <c r="G265" s="297" t="s">
        <v>688</v>
      </c>
      <c r="H265" s="294">
        <v>4.157228574E9</v>
      </c>
      <c r="I265" s="297" t="s">
        <v>436</v>
      </c>
      <c r="J265" s="298">
        <v>45170.0</v>
      </c>
      <c r="K265" s="297"/>
      <c r="L265" s="297"/>
      <c r="M265" s="294" t="s">
        <v>689</v>
      </c>
      <c r="N265" s="217" t="s">
        <v>34</v>
      </c>
      <c r="O265" s="222">
        <v>45444.0</v>
      </c>
      <c r="P265" s="206"/>
      <c r="Q265" s="206"/>
      <c r="R265" s="206"/>
      <c r="S265" s="206"/>
      <c r="T265" s="235"/>
      <c r="U265" s="235"/>
      <c r="V265" s="235"/>
      <c r="W265" s="206"/>
      <c r="X265" s="206"/>
      <c r="Y265" s="206"/>
      <c r="Z265" s="206"/>
      <c r="AA265" s="206"/>
      <c r="AB265" s="206"/>
      <c r="AC265" s="206"/>
      <c r="AD265" s="206"/>
      <c r="AE265" s="206"/>
      <c r="AF265" s="206"/>
      <c r="AG265" s="206"/>
      <c r="AH265" s="206"/>
      <c r="AI265" s="206"/>
      <c r="AJ265" s="206"/>
      <c r="AK265" s="206"/>
      <c r="AL265" s="206"/>
      <c r="AM265" s="206"/>
      <c r="AN265" s="206"/>
      <c r="AO265" s="206"/>
      <c r="AP265" s="206"/>
      <c r="AQ265" s="206"/>
      <c r="AR265" s="206"/>
      <c r="AS265" s="206"/>
      <c r="AT265" s="206"/>
    </row>
    <row r="266" ht="17.25" hidden="1" customHeight="1">
      <c r="A266" s="227">
        <v>6.0</v>
      </c>
      <c r="B266" s="228" t="s">
        <v>48</v>
      </c>
      <c r="C266" s="229" t="s">
        <v>690</v>
      </c>
      <c r="D266" s="229" t="s">
        <v>434</v>
      </c>
      <c r="E266" s="230">
        <v>4.0</v>
      </c>
      <c r="F266" s="231">
        <v>41745.0</v>
      </c>
      <c r="G266" s="232" t="s">
        <v>691</v>
      </c>
      <c r="H266" s="229">
        <v>5.102828122E9</v>
      </c>
      <c r="I266" s="232" t="s">
        <v>692</v>
      </c>
      <c r="J266" s="233">
        <v>45159.0</v>
      </c>
      <c r="K266" s="232"/>
      <c r="L266" s="232"/>
      <c r="M266" s="229"/>
      <c r="N266" s="228" t="s">
        <v>34</v>
      </c>
      <c r="O266" s="234">
        <v>45444.0</v>
      </c>
      <c r="P266" s="235"/>
      <c r="Q266" s="235"/>
      <c r="R266" s="235"/>
      <c r="S266" s="235"/>
      <c r="T266" s="235"/>
      <c r="U266" s="235"/>
      <c r="V266" s="235"/>
      <c r="W266" s="235"/>
      <c r="X266" s="235"/>
      <c r="Y266" s="235"/>
      <c r="Z266" s="235"/>
      <c r="AA266" s="235"/>
      <c r="AB266" s="235"/>
      <c r="AC266" s="235"/>
      <c r="AD266" s="235"/>
      <c r="AE266" s="235"/>
      <c r="AF266" s="235"/>
      <c r="AG266" s="235"/>
      <c r="AH266" s="235"/>
      <c r="AI266" s="235"/>
      <c r="AJ266" s="235"/>
      <c r="AK266" s="235"/>
      <c r="AL266" s="235"/>
      <c r="AM266" s="235"/>
      <c r="AN266" s="235"/>
      <c r="AO266" s="235"/>
      <c r="AP266" s="235"/>
      <c r="AQ266" s="235"/>
      <c r="AR266" s="235"/>
      <c r="AS266" s="235"/>
      <c r="AT266" s="235"/>
    </row>
    <row r="267" ht="17.25" hidden="1" customHeight="1">
      <c r="A267" s="227">
        <v>7.0</v>
      </c>
      <c r="B267" s="228" t="s">
        <v>88</v>
      </c>
      <c r="C267" s="229" t="s">
        <v>690</v>
      </c>
      <c r="D267" s="229" t="s">
        <v>693</v>
      </c>
      <c r="E267" s="230">
        <v>4.0</v>
      </c>
      <c r="F267" s="231">
        <v>41745.0</v>
      </c>
      <c r="G267" s="232" t="s">
        <v>691</v>
      </c>
      <c r="H267" s="229">
        <v>5.102828122E9</v>
      </c>
      <c r="I267" s="232" t="s">
        <v>692</v>
      </c>
      <c r="J267" s="233">
        <v>45159.0</v>
      </c>
      <c r="K267" s="232"/>
      <c r="L267" s="232"/>
      <c r="M267" s="229"/>
      <c r="N267" s="228" t="s">
        <v>34</v>
      </c>
      <c r="O267" s="234">
        <v>45444.0</v>
      </c>
      <c r="P267" s="235"/>
      <c r="Q267" s="235"/>
      <c r="R267" s="235"/>
      <c r="S267" s="235"/>
      <c r="T267" s="235"/>
      <c r="U267" s="235"/>
      <c r="V267" s="235"/>
      <c r="W267" s="235"/>
      <c r="X267" s="235"/>
      <c r="Y267" s="235"/>
      <c r="Z267" s="235"/>
      <c r="AA267" s="235"/>
      <c r="AB267" s="235"/>
      <c r="AC267" s="235"/>
      <c r="AD267" s="235"/>
      <c r="AE267" s="235"/>
      <c r="AF267" s="235"/>
      <c r="AG267" s="235"/>
      <c r="AH267" s="235"/>
      <c r="AI267" s="235"/>
      <c r="AJ267" s="235"/>
      <c r="AK267" s="235"/>
      <c r="AL267" s="235"/>
      <c r="AM267" s="235"/>
      <c r="AN267" s="235"/>
      <c r="AO267" s="235"/>
      <c r="AP267" s="235"/>
      <c r="AQ267" s="235"/>
      <c r="AR267" s="235"/>
      <c r="AS267" s="235"/>
      <c r="AT267" s="235"/>
    </row>
    <row r="268" ht="17.25" hidden="1" customHeight="1">
      <c r="A268" s="216">
        <v>8.0</v>
      </c>
      <c r="B268" s="217" t="s">
        <v>48</v>
      </c>
      <c r="C268" s="218" t="s">
        <v>193</v>
      </c>
      <c r="D268" s="218" t="s">
        <v>194</v>
      </c>
      <c r="E268" s="216">
        <v>1.0</v>
      </c>
      <c r="F268" s="219">
        <v>41922.0</v>
      </c>
      <c r="G268" s="220" t="s">
        <v>694</v>
      </c>
      <c r="H268" s="218" t="s">
        <v>695</v>
      </c>
      <c r="I268" s="220" t="s">
        <v>197</v>
      </c>
      <c r="J268" s="221">
        <v>44795.0</v>
      </c>
      <c r="K268" s="220"/>
      <c r="L268" s="220"/>
      <c r="M268" s="218" t="s">
        <v>696</v>
      </c>
      <c r="N268" s="217" t="s">
        <v>34</v>
      </c>
      <c r="O268" s="222">
        <v>45444.0</v>
      </c>
      <c r="P268" s="206"/>
      <c r="Q268" s="206"/>
      <c r="R268" s="206"/>
      <c r="S268" s="206"/>
      <c r="T268" s="235"/>
      <c r="U268" s="235"/>
      <c r="V268" s="235"/>
      <c r="W268" s="206"/>
      <c r="X268" s="206"/>
      <c r="Y268" s="206"/>
      <c r="Z268" s="206"/>
      <c r="AA268" s="206"/>
      <c r="AB268" s="206"/>
      <c r="AC268" s="206"/>
      <c r="AD268" s="206"/>
      <c r="AE268" s="206"/>
      <c r="AF268" s="206"/>
      <c r="AG268" s="206"/>
      <c r="AH268" s="206"/>
      <c r="AI268" s="206"/>
      <c r="AJ268" s="206"/>
      <c r="AK268" s="206"/>
      <c r="AL268" s="206"/>
      <c r="AM268" s="206"/>
      <c r="AN268" s="206"/>
      <c r="AO268" s="206"/>
      <c r="AP268" s="206"/>
      <c r="AQ268" s="206"/>
      <c r="AR268" s="206"/>
      <c r="AS268" s="206"/>
      <c r="AT268" s="206"/>
    </row>
    <row r="269" ht="17.25" hidden="1" customHeight="1">
      <c r="A269" s="216">
        <v>9.0</v>
      </c>
      <c r="B269" s="217" t="s">
        <v>88</v>
      </c>
      <c r="C269" s="218" t="s">
        <v>193</v>
      </c>
      <c r="D269" s="218" t="s">
        <v>194</v>
      </c>
      <c r="E269" s="216">
        <v>1.0</v>
      </c>
      <c r="F269" s="219">
        <v>41922.0</v>
      </c>
      <c r="G269" s="220" t="s">
        <v>694</v>
      </c>
      <c r="H269" s="218" t="s">
        <v>695</v>
      </c>
      <c r="I269" s="220" t="s">
        <v>197</v>
      </c>
      <c r="J269" s="221">
        <v>44795.0</v>
      </c>
      <c r="K269" s="220"/>
      <c r="L269" s="220"/>
      <c r="M269" s="218" t="s">
        <v>696</v>
      </c>
      <c r="N269" s="217" t="s">
        <v>34</v>
      </c>
      <c r="O269" s="222">
        <v>45444.0</v>
      </c>
      <c r="P269" s="206"/>
      <c r="Q269" s="206"/>
      <c r="R269" s="206"/>
      <c r="S269" s="206"/>
      <c r="T269" s="235"/>
      <c r="U269" s="235"/>
      <c r="V269" s="235"/>
      <c r="W269" s="206"/>
      <c r="X269" s="206"/>
      <c r="Y269" s="206"/>
      <c r="Z269" s="206"/>
      <c r="AA269" s="206"/>
      <c r="AB269" s="206"/>
      <c r="AC269" s="206"/>
      <c r="AD269" s="206"/>
      <c r="AE269" s="206"/>
      <c r="AF269" s="206"/>
      <c r="AG269" s="206"/>
      <c r="AH269" s="206"/>
      <c r="AI269" s="206"/>
      <c r="AJ269" s="206"/>
      <c r="AK269" s="206"/>
      <c r="AL269" s="206"/>
      <c r="AM269" s="206"/>
      <c r="AN269" s="206"/>
      <c r="AO269" s="206"/>
      <c r="AP269" s="206"/>
      <c r="AQ269" s="206"/>
      <c r="AR269" s="206"/>
      <c r="AS269" s="206"/>
      <c r="AT269" s="206"/>
    </row>
    <row r="270" ht="17.25" hidden="1" customHeight="1">
      <c r="A270" s="227">
        <v>10.0</v>
      </c>
      <c r="B270" s="228" t="s">
        <v>88</v>
      </c>
      <c r="C270" s="229" t="s">
        <v>291</v>
      </c>
      <c r="D270" s="229" t="s">
        <v>697</v>
      </c>
      <c r="E270" s="230">
        <v>1.0</v>
      </c>
      <c r="F270" s="231">
        <v>42962.0</v>
      </c>
      <c r="G270" s="232" t="s">
        <v>698</v>
      </c>
      <c r="H270" s="229">
        <v>4.08718986E9</v>
      </c>
      <c r="I270" s="232" t="s">
        <v>699</v>
      </c>
      <c r="J270" s="233">
        <v>45156.0</v>
      </c>
      <c r="K270" s="232"/>
      <c r="L270" s="232"/>
      <c r="M270" s="229"/>
      <c r="N270" s="228" t="s">
        <v>34</v>
      </c>
      <c r="O270" s="234">
        <v>45444.0</v>
      </c>
      <c r="P270" s="235"/>
      <c r="Q270" s="235"/>
      <c r="R270" s="235"/>
      <c r="S270" s="235"/>
      <c r="T270" s="206"/>
      <c r="U270" s="206"/>
      <c r="V270" s="206"/>
      <c r="W270" s="235"/>
      <c r="X270" s="235"/>
      <c r="Y270" s="235"/>
      <c r="Z270" s="235"/>
      <c r="AA270" s="235"/>
      <c r="AB270" s="235"/>
      <c r="AC270" s="235"/>
      <c r="AD270" s="235"/>
      <c r="AE270" s="235"/>
      <c r="AF270" s="235"/>
      <c r="AG270" s="235"/>
      <c r="AH270" s="235"/>
      <c r="AI270" s="235"/>
      <c r="AJ270" s="235"/>
      <c r="AK270" s="235"/>
      <c r="AL270" s="235"/>
      <c r="AM270" s="235"/>
      <c r="AN270" s="235"/>
      <c r="AO270" s="235"/>
      <c r="AP270" s="235"/>
      <c r="AQ270" s="235"/>
      <c r="AR270" s="235"/>
      <c r="AS270" s="235"/>
      <c r="AT270" s="235"/>
    </row>
    <row r="271" ht="17.25" hidden="1" customHeight="1">
      <c r="A271" s="227">
        <v>11.0</v>
      </c>
      <c r="B271" s="228" t="s">
        <v>48</v>
      </c>
      <c r="C271" s="229" t="s">
        <v>433</v>
      </c>
      <c r="D271" s="229" t="s">
        <v>697</v>
      </c>
      <c r="E271" s="230">
        <v>1.0</v>
      </c>
      <c r="F271" s="231">
        <v>42962.0</v>
      </c>
      <c r="G271" s="232" t="s">
        <v>698</v>
      </c>
      <c r="H271" s="229">
        <v>4.08718986E9</v>
      </c>
      <c r="I271" s="232" t="s">
        <v>699</v>
      </c>
      <c r="J271" s="233">
        <v>45156.0</v>
      </c>
      <c r="K271" s="232"/>
      <c r="L271" s="232"/>
      <c r="M271" s="229"/>
      <c r="N271" s="228" t="s">
        <v>34</v>
      </c>
      <c r="O271" s="234">
        <v>45444.0</v>
      </c>
      <c r="P271" s="235"/>
      <c r="Q271" s="235"/>
      <c r="R271" s="235"/>
      <c r="S271" s="235"/>
      <c r="T271" s="206"/>
      <c r="U271" s="206"/>
      <c r="V271" s="206"/>
      <c r="W271" s="235"/>
      <c r="X271" s="235"/>
      <c r="Y271" s="235"/>
      <c r="Z271" s="235"/>
      <c r="AA271" s="235"/>
      <c r="AB271" s="235"/>
      <c r="AC271" s="235"/>
      <c r="AD271" s="235"/>
      <c r="AE271" s="235"/>
      <c r="AF271" s="235"/>
      <c r="AG271" s="235"/>
      <c r="AH271" s="235"/>
      <c r="AI271" s="235"/>
      <c r="AJ271" s="235"/>
      <c r="AK271" s="235"/>
      <c r="AL271" s="235"/>
      <c r="AM271" s="235"/>
      <c r="AN271" s="235"/>
      <c r="AO271" s="235"/>
      <c r="AP271" s="235"/>
      <c r="AQ271" s="235"/>
      <c r="AR271" s="235"/>
      <c r="AS271" s="235"/>
      <c r="AT271" s="235"/>
    </row>
    <row r="272" ht="17.25" hidden="1" customHeight="1">
      <c r="A272" s="227">
        <v>12.0</v>
      </c>
      <c r="B272" s="228" t="s">
        <v>48</v>
      </c>
      <c r="C272" s="229" t="s">
        <v>700</v>
      </c>
      <c r="D272" s="229" t="s">
        <v>697</v>
      </c>
      <c r="E272" s="230">
        <v>1.0</v>
      </c>
      <c r="F272" s="231">
        <v>44927.0</v>
      </c>
      <c r="G272" s="232" t="s">
        <v>701</v>
      </c>
      <c r="H272" s="229">
        <v>5.108813622E9</v>
      </c>
      <c r="I272" s="232" t="s">
        <v>702</v>
      </c>
      <c r="J272" s="233">
        <v>45154.0</v>
      </c>
      <c r="K272" s="232"/>
      <c r="L272" s="232"/>
      <c r="M272" s="229"/>
      <c r="N272" s="228" t="s">
        <v>34</v>
      </c>
      <c r="O272" s="234">
        <v>45444.0</v>
      </c>
      <c r="P272" s="235"/>
      <c r="Q272" s="235"/>
      <c r="R272" s="235"/>
      <c r="S272" s="235"/>
      <c r="T272" s="235"/>
      <c r="U272" s="235"/>
      <c r="V272" s="235"/>
      <c r="W272" s="235"/>
      <c r="X272" s="235"/>
      <c r="Y272" s="235"/>
      <c r="Z272" s="235"/>
      <c r="AA272" s="235"/>
      <c r="AB272" s="235"/>
      <c r="AC272" s="235"/>
      <c r="AD272" s="235"/>
      <c r="AE272" s="235"/>
      <c r="AF272" s="235"/>
      <c r="AG272" s="235"/>
      <c r="AH272" s="235"/>
      <c r="AI272" s="235"/>
      <c r="AJ272" s="235"/>
      <c r="AK272" s="235"/>
      <c r="AL272" s="235"/>
      <c r="AM272" s="235"/>
      <c r="AN272" s="235"/>
      <c r="AO272" s="235"/>
      <c r="AP272" s="235"/>
      <c r="AQ272" s="235"/>
      <c r="AR272" s="235"/>
      <c r="AS272" s="235"/>
      <c r="AT272" s="235"/>
    </row>
    <row r="273" ht="17.25" hidden="1" customHeight="1">
      <c r="A273" s="227">
        <v>13.0</v>
      </c>
      <c r="B273" s="228" t="s">
        <v>88</v>
      </c>
      <c r="C273" s="229" t="s">
        <v>700</v>
      </c>
      <c r="D273" s="229" t="s">
        <v>697</v>
      </c>
      <c r="E273" s="230">
        <v>1.0</v>
      </c>
      <c r="F273" s="231">
        <v>44927.0</v>
      </c>
      <c r="G273" s="232" t="s">
        <v>701</v>
      </c>
      <c r="H273" s="229">
        <v>5.108813622E9</v>
      </c>
      <c r="I273" s="232" t="s">
        <v>702</v>
      </c>
      <c r="J273" s="233">
        <v>45154.0</v>
      </c>
      <c r="K273" s="232"/>
      <c r="L273" s="232"/>
      <c r="M273" s="229"/>
      <c r="N273" s="228" t="s">
        <v>34</v>
      </c>
      <c r="O273" s="234">
        <v>45444.0</v>
      </c>
      <c r="P273" s="235"/>
      <c r="Q273" s="235"/>
      <c r="R273" s="235"/>
      <c r="S273" s="235"/>
      <c r="T273" s="235"/>
      <c r="U273" s="235"/>
      <c r="V273" s="235"/>
      <c r="W273" s="235"/>
      <c r="X273" s="235"/>
      <c r="Y273" s="235"/>
      <c r="Z273" s="235"/>
      <c r="AA273" s="235"/>
      <c r="AB273" s="235"/>
      <c r="AC273" s="235"/>
      <c r="AD273" s="235"/>
      <c r="AE273" s="235"/>
      <c r="AF273" s="235"/>
      <c r="AG273" s="235"/>
      <c r="AH273" s="235"/>
      <c r="AI273" s="235"/>
      <c r="AJ273" s="235"/>
      <c r="AK273" s="235"/>
      <c r="AL273" s="235"/>
      <c r="AM273" s="235"/>
      <c r="AN273" s="235"/>
      <c r="AO273" s="235"/>
      <c r="AP273" s="235"/>
      <c r="AQ273" s="235"/>
      <c r="AR273" s="235"/>
      <c r="AS273" s="235"/>
      <c r="AT273" s="235"/>
    </row>
    <row r="274" ht="17.25" hidden="1" customHeight="1">
      <c r="A274" s="227">
        <v>14.0</v>
      </c>
      <c r="B274" s="228" t="s">
        <v>48</v>
      </c>
      <c r="C274" s="229" t="s">
        <v>703</v>
      </c>
      <c r="D274" s="229" t="s">
        <v>704</v>
      </c>
      <c r="E274" s="230">
        <v>3.0</v>
      </c>
      <c r="F274" s="231">
        <v>42125.0</v>
      </c>
      <c r="G274" s="232" t="s">
        <v>705</v>
      </c>
      <c r="H274" s="229">
        <v>5.10579525E9</v>
      </c>
      <c r="I274" s="232" t="s">
        <v>706</v>
      </c>
      <c r="J274" s="233">
        <v>45156.0</v>
      </c>
      <c r="K274" s="232"/>
      <c r="L274" s="232"/>
      <c r="M274" s="229"/>
      <c r="N274" s="228" t="s">
        <v>34</v>
      </c>
      <c r="O274" s="234">
        <v>45444.0</v>
      </c>
      <c r="P274" s="235"/>
      <c r="Q274" s="235"/>
      <c r="R274" s="235"/>
      <c r="S274" s="235"/>
      <c r="T274" s="235"/>
      <c r="U274" s="235"/>
      <c r="V274" s="235"/>
      <c r="W274" s="235"/>
      <c r="X274" s="235"/>
      <c r="Y274" s="235"/>
      <c r="Z274" s="235"/>
      <c r="AA274" s="235"/>
      <c r="AB274" s="235"/>
      <c r="AC274" s="235"/>
      <c r="AD274" s="235"/>
      <c r="AE274" s="235"/>
      <c r="AF274" s="235"/>
      <c r="AG274" s="235"/>
      <c r="AH274" s="235"/>
      <c r="AI274" s="235"/>
      <c r="AJ274" s="235"/>
      <c r="AK274" s="235"/>
      <c r="AL274" s="235"/>
      <c r="AM274" s="235"/>
      <c r="AN274" s="235"/>
      <c r="AO274" s="235"/>
      <c r="AP274" s="235"/>
      <c r="AQ274" s="235"/>
      <c r="AR274" s="235"/>
      <c r="AS274" s="235"/>
      <c r="AT274" s="235"/>
    </row>
    <row r="275" ht="17.25" hidden="1" customHeight="1">
      <c r="A275" s="227">
        <v>15.0</v>
      </c>
      <c r="B275" s="228" t="s">
        <v>88</v>
      </c>
      <c r="C275" s="229" t="s">
        <v>703</v>
      </c>
      <c r="D275" s="229" t="s">
        <v>704</v>
      </c>
      <c r="E275" s="230">
        <v>3.0</v>
      </c>
      <c r="F275" s="231">
        <v>42125.0</v>
      </c>
      <c r="G275" s="232" t="s">
        <v>705</v>
      </c>
      <c r="H275" s="229">
        <v>5.10579525E9</v>
      </c>
      <c r="I275" s="232" t="s">
        <v>706</v>
      </c>
      <c r="J275" s="233">
        <v>45156.0</v>
      </c>
      <c r="K275" s="232"/>
      <c r="L275" s="232"/>
      <c r="M275" s="229"/>
      <c r="N275" s="228" t="s">
        <v>34</v>
      </c>
      <c r="O275" s="234">
        <v>45444.0</v>
      </c>
      <c r="P275" s="235"/>
      <c r="Q275" s="235"/>
      <c r="R275" s="235"/>
      <c r="S275" s="235"/>
      <c r="T275" s="235"/>
      <c r="U275" s="235"/>
      <c r="V275" s="235"/>
      <c r="W275" s="235"/>
      <c r="X275" s="235"/>
      <c r="Y275" s="235"/>
      <c r="Z275" s="235"/>
      <c r="AA275" s="235"/>
      <c r="AB275" s="235"/>
      <c r="AC275" s="235"/>
      <c r="AD275" s="235"/>
      <c r="AE275" s="235"/>
      <c r="AF275" s="235"/>
      <c r="AG275" s="235"/>
      <c r="AH275" s="235"/>
      <c r="AI275" s="235"/>
      <c r="AJ275" s="235"/>
      <c r="AK275" s="235"/>
      <c r="AL275" s="235"/>
      <c r="AM275" s="235"/>
      <c r="AN275" s="235"/>
      <c r="AO275" s="235"/>
      <c r="AP275" s="235"/>
      <c r="AQ275" s="235"/>
      <c r="AR275" s="235"/>
      <c r="AS275" s="235"/>
      <c r="AT275" s="235"/>
    </row>
    <row r="276" ht="17.25" hidden="1" customHeight="1">
      <c r="A276" s="227">
        <v>16.0</v>
      </c>
      <c r="B276" s="228" t="s">
        <v>48</v>
      </c>
      <c r="C276" s="236" t="s">
        <v>707</v>
      </c>
      <c r="D276" s="236" t="s">
        <v>708</v>
      </c>
      <c r="E276" s="227">
        <v>3.0</v>
      </c>
      <c r="F276" s="237">
        <v>42162.0</v>
      </c>
      <c r="G276" s="238" t="s">
        <v>709</v>
      </c>
      <c r="H276" s="236">
        <v>4.087992378E9</v>
      </c>
      <c r="I276" s="238" t="s">
        <v>710</v>
      </c>
      <c r="J276" s="239">
        <v>45383.0</v>
      </c>
      <c r="K276" s="238"/>
      <c r="L276" s="238"/>
      <c r="M276" s="236"/>
      <c r="N276" s="228" t="s">
        <v>34</v>
      </c>
      <c r="O276" s="234">
        <v>45444.0</v>
      </c>
      <c r="P276" s="235"/>
      <c r="Q276" s="235"/>
      <c r="R276" s="235"/>
      <c r="S276" s="235"/>
      <c r="T276" s="235"/>
      <c r="U276" s="235"/>
      <c r="V276" s="235"/>
      <c r="W276" s="235"/>
      <c r="X276" s="235"/>
      <c r="Y276" s="235"/>
      <c r="Z276" s="235"/>
      <c r="AA276" s="235"/>
      <c r="AB276" s="235"/>
      <c r="AC276" s="235"/>
      <c r="AD276" s="235"/>
      <c r="AE276" s="235"/>
      <c r="AF276" s="235"/>
      <c r="AG276" s="235"/>
      <c r="AH276" s="235"/>
      <c r="AI276" s="235"/>
      <c r="AJ276" s="235"/>
      <c r="AK276" s="235"/>
      <c r="AL276" s="235"/>
      <c r="AM276" s="235"/>
      <c r="AN276" s="235"/>
      <c r="AO276" s="235"/>
      <c r="AP276" s="235"/>
      <c r="AQ276" s="235"/>
      <c r="AR276" s="235"/>
      <c r="AS276" s="235"/>
      <c r="AT276" s="235"/>
    </row>
    <row r="277" ht="17.25" hidden="1" customHeight="1">
      <c r="A277" s="227">
        <v>17.0</v>
      </c>
      <c r="B277" s="228" t="s">
        <v>88</v>
      </c>
      <c r="C277" s="236" t="s">
        <v>707</v>
      </c>
      <c r="D277" s="236" t="s">
        <v>708</v>
      </c>
      <c r="E277" s="227">
        <v>3.0</v>
      </c>
      <c r="F277" s="237">
        <v>42162.0</v>
      </c>
      <c r="G277" s="238" t="s">
        <v>709</v>
      </c>
      <c r="H277" s="236">
        <v>4.087992378E9</v>
      </c>
      <c r="I277" s="238" t="s">
        <v>710</v>
      </c>
      <c r="J277" s="239">
        <v>45383.0</v>
      </c>
      <c r="K277" s="238"/>
      <c r="L277" s="238"/>
      <c r="M277" s="236"/>
      <c r="N277" s="228" t="s">
        <v>34</v>
      </c>
      <c r="O277" s="234">
        <v>45444.0</v>
      </c>
      <c r="P277" s="235"/>
      <c r="Q277" s="235"/>
      <c r="R277" s="235"/>
      <c r="S277" s="235"/>
      <c r="T277" s="235"/>
      <c r="U277" s="235"/>
      <c r="V277" s="235"/>
      <c r="W277" s="235"/>
      <c r="X277" s="235"/>
      <c r="Y277" s="235"/>
      <c r="Z277" s="235"/>
      <c r="AA277" s="235"/>
      <c r="AB277" s="235"/>
      <c r="AC277" s="235"/>
      <c r="AD277" s="235"/>
      <c r="AE277" s="235"/>
      <c r="AF277" s="235"/>
      <c r="AG277" s="235"/>
      <c r="AH277" s="235"/>
      <c r="AI277" s="235"/>
      <c r="AJ277" s="235"/>
      <c r="AK277" s="235"/>
      <c r="AL277" s="235"/>
      <c r="AM277" s="235"/>
      <c r="AN277" s="235"/>
      <c r="AO277" s="235"/>
      <c r="AP277" s="235"/>
      <c r="AQ277" s="235"/>
      <c r="AR277" s="235"/>
      <c r="AS277" s="235"/>
      <c r="AT277" s="235"/>
    </row>
    <row r="278" ht="17.25" hidden="1" customHeight="1">
      <c r="A278" s="227">
        <v>18.0</v>
      </c>
      <c r="B278" s="228" t="s">
        <v>48</v>
      </c>
      <c r="C278" s="229" t="s">
        <v>711</v>
      </c>
      <c r="D278" s="229" t="s">
        <v>712</v>
      </c>
      <c r="E278" s="230" t="s">
        <v>141</v>
      </c>
      <c r="F278" s="231">
        <v>43210.0</v>
      </c>
      <c r="G278" s="232" t="s">
        <v>713</v>
      </c>
      <c r="H278" s="229">
        <v>4.089133406E9</v>
      </c>
      <c r="I278" s="232" t="s">
        <v>714</v>
      </c>
      <c r="J278" s="233">
        <v>45154.0</v>
      </c>
      <c r="K278" s="232"/>
      <c r="L278" s="232"/>
      <c r="M278" s="229"/>
      <c r="N278" s="228" t="s">
        <v>34</v>
      </c>
      <c r="O278" s="234">
        <v>45444.0</v>
      </c>
      <c r="P278" s="235"/>
      <c r="Q278" s="235"/>
      <c r="R278" s="235"/>
      <c r="S278" s="235"/>
      <c r="T278" s="206"/>
      <c r="U278" s="206"/>
      <c r="V278" s="206"/>
      <c r="W278" s="235"/>
      <c r="X278" s="235"/>
      <c r="Y278" s="235"/>
      <c r="Z278" s="235"/>
      <c r="AA278" s="235"/>
      <c r="AB278" s="235"/>
      <c r="AC278" s="235"/>
      <c r="AD278" s="235"/>
      <c r="AE278" s="235"/>
      <c r="AF278" s="235"/>
      <c r="AG278" s="235"/>
      <c r="AH278" s="235"/>
      <c r="AI278" s="235"/>
      <c r="AJ278" s="235"/>
      <c r="AK278" s="235"/>
      <c r="AL278" s="235"/>
      <c r="AM278" s="235"/>
      <c r="AN278" s="235"/>
      <c r="AO278" s="235"/>
      <c r="AP278" s="235"/>
      <c r="AQ278" s="235"/>
      <c r="AR278" s="235"/>
      <c r="AS278" s="235"/>
      <c r="AT278" s="235"/>
    </row>
    <row r="279" ht="17.25" hidden="1" customHeight="1">
      <c r="A279" s="227">
        <v>19.0</v>
      </c>
      <c r="B279" s="228" t="s">
        <v>88</v>
      </c>
      <c r="C279" s="229" t="s">
        <v>711</v>
      </c>
      <c r="D279" s="229" t="s">
        <v>712</v>
      </c>
      <c r="E279" s="230" t="s">
        <v>141</v>
      </c>
      <c r="F279" s="231">
        <v>43210.0</v>
      </c>
      <c r="G279" s="232" t="s">
        <v>713</v>
      </c>
      <c r="H279" s="229">
        <v>4.089133406E9</v>
      </c>
      <c r="I279" s="232" t="s">
        <v>714</v>
      </c>
      <c r="J279" s="233">
        <v>45154.0</v>
      </c>
      <c r="K279" s="232"/>
      <c r="L279" s="232"/>
      <c r="M279" s="229"/>
      <c r="N279" s="228" t="s">
        <v>34</v>
      </c>
      <c r="O279" s="234">
        <v>45444.0</v>
      </c>
      <c r="P279" s="235"/>
      <c r="Q279" s="235"/>
      <c r="R279" s="235"/>
      <c r="S279" s="235"/>
      <c r="T279" s="206"/>
      <c r="U279" s="206"/>
      <c r="V279" s="206"/>
      <c r="W279" s="235"/>
      <c r="X279" s="235"/>
      <c r="Y279" s="235"/>
      <c r="Z279" s="235"/>
      <c r="AA279" s="235"/>
      <c r="AB279" s="235"/>
      <c r="AC279" s="235"/>
      <c r="AD279" s="235"/>
      <c r="AE279" s="235"/>
      <c r="AF279" s="235"/>
      <c r="AG279" s="235"/>
      <c r="AH279" s="235"/>
      <c r="AI279" s="235"/>
      <c r="AJ279" s="235"/>
      <c r="AK279" s="235"/>
      <c r="AL279" s="235"/>
      <c r="AM279" s="235"/>
      <c r="AN279" s="235"/>
      <c r="AO279" s="235"/>
      <c r="AP279" s="235"/>
      <c r="AQ279" s="235"/>
      <c r="AR279" s="235"/>
      <c r="AS279" s="235"/>
      <c r="AT279" s="235"/>
    </row>
    <row r="280" ht="17.25" hidden="1" customHeight="1">
      <c r="A280" s="227">
        <v>20.0</v>
      </c>
      <c r="B280" s="228" t="s">
        <v>48</v>
      </c>
      <c r="C280" s="229" t="s">
        <v>715</v>
      </c>
      <c r="D280" s="229" t="s">
        <v>716</v>
      </c>
      <c r="E280" s="230">
        <v>1.0</v>
      </c>
      <c r="F280" s="231">
        <v>42828.0</v>
      </c>
      <c r="G280" s="232" t="s">
        <v>717</v>
      </c>
      <c r="H280" s="229">
        <v>5.109196544E9</v>
      </c>
      <c r="I280" s="232" t="s">
        <v>718</v>
      </c>
      <c r="J280" s="233">
        <v>45159.0</v>
      </c>
      <c r="K280" s="232"/>
      <c r="L280" s="232"/>
      <c r="M280" s="229"/>
      <c r="N280" s="228" t="s">
        <v>34</v>
      </c>
      <c r="O280" s="234">
        <v>45444.0</v>
      </c>
      <c r="P280" s="235"/>
      <c r="Q280" s="235"/>
      <c r="R280" s="235"/>
      <c r="S280" s="235"/>
      <c r="T280" s="235"/>
      <c r="U280" s="235"/>
      <c r="V280" s="235"/>
      <c r="W280" s="235"/>
      <c r="X280" s="235"/>
      <c r="Y280" s="235"/>
      <c r="Z280" s="235"/>
      <c r="AA280" s="235"/>
      <c r="AB280" s="235"/>
      <c r="AC280" s="235"/>
      <c r="AD280" s="235"/>
      <c r="AE280" s="235"/>
      <c r="AF280" s="235"/>
      <c r="AG280" s="235"/>
      <c r="AH280" s="235"/>
      <c r="AI280" s="235"/>
      <c r="AJ280" s="235"/>
      <c r="AK280" s="235"/>
      <c r="AL280" s="235"/>
      <c r="AM280" s="235"/>
      <c r="AN280" s="235"/>
      <c r="AO280" s="235"/>
      <c r="AP280" s="235"/>
      <c r="AQ280" s="235"/>
      <c r="AR280" s="235"/>
      <c r="AS280" s="235"/>
      <c r="AT280" s="235"/>
    </row>
    <row r="281" ht="17.25" hidden="1" customHeight="1">
      <c r="A281" s="227">
        <v>21.0</v>
      </c>
      <c r="B281" s="228" t="s">
        <v>88</v>
      </c>
      <c r="C281" s="229" t="s">
        <v>719</v>
      </c>
      <c r="D281" s="229" t="s">
        <v>716</v>
      </c>
      <c r="E281" s="230">
        <v>1.0</v>
      </c>
      <c r="F281" s="231">
        <v>42828.0</v>
      </c>
      <c r="G281" s="232" t="s">
        <v>717</v>
      </c>
      <c r="H281" s="229">
        <v>5.109196544E9</v>
      </c>
      <c r="I281" s="232" t="s">
        <v>718</v>
      </c>
      <c r="J281" s="233">
        <v>45159.0</v>
      </c>
      <c r="K281" s="232"/>
      <c r="L281" s="232"/>
      <c r="M281" s="229"/>
      <c r="N281" s="228" t="s">
        <v>34</v>
      </c>
      <c r="O281" s="234">
        <v>45444.0</v>
      </c>
      <c r="P281" s="235"/>
      <c r="Q281" s="235"/>
      <c r="R281" s="235"/>
      <c r="S281" s="235"/>
      <c r="T281" s="235"/>
      <c r="U281" s="235"/>
      <c r="V281" s="235"/>
      <c r="W281" s="235"/>
      <c r="X281" s="235"/>
      <c r="Y281" s="235"/>
      <c r="Z281" s="235"/>
      <c r="AA281" s="235"/>
      <c r="AB281" s="235"/>
      <c r="AC281" s="235"/>
      <c r="AD281" s="235"/>
      <c r="AE281" s="235"/>
      <c r="AF281" s="235"/>
      <c r="AG281" s="235"/>
      <c r="AH281" s="235"/>
      <c r="AI281" s="235"/>
      <c r="AJ281" s="235"/>
      <c r="AK281" s="235"/>
      <c r="AL281" s="235"/>
      <c r="AM281" s="235"/>
      <c r="AN281" s="235"/>
      <c r="AO281" s="235"/>
      <c r="AP281" s="235"/>
      <c r="AQ281" s="235"/>
      <c r="AR281" s="235"/>
      <c r="AS281" s="235"/>
      <c r="AT281" s="235"/>
    </row>
    <row r="282" ht="17.25" hidden="1" customHeight="1">
      <c r="A282" s="216">
        <v>22.0</v>
      </c>
      <c r="B282" s="217" t="s">
        <v>48</v>
      </c>
      <c r="C282" s="218" t="s">
        <v>670</v>
      </c>
      <c r="D282" s="218" t="s">
        <v>671</v>
      </c>
      <c r="E282" s="216">
        <v>3.0</v>
      </c>
      <c r="F282" s="219">
        <v>42124.0</v>
      </c>
      <c r="G282" s="220" t="s">
        <v>672</v>
      </c>
      <c r="H282" s="218">
        <v>4.085076346E9</v>
      </c>
      <c r="I282" s="220" t="s">
        <v>673</v>
      </c>
      <c r="J282" s="221">
        <v>45293.0</v>
      </c>
      <c r="K282" s="297"/>
      <c r="L282" s="297"/>
      <c r="M282" s="294" t="s">
        <v>696</v>
      </c>
      <c r="N282" s="217" t="s">
        <v>34</v>
      </c>
      <c r="O282" s="222">
        <v>45444.0</v>
      </c>
      <c r="P282" s="206"/>
      <c r="Q282" s="206"/>
      <c r="R282" s="206"/>
      <c r="S282" s="206"/>
      <c r="T282" s="235"/>
      <c r="U282" s="235"/>
      <c r="V282" s="235"/>
      <c r="W282" s="206"/>
      <c r="X282" s="206"/>
      <c r="Y282" s="206"/>
      <c r="Z282" s="206"/>
      <c r="AA282" s="206"/>
      <c r="AB282" s="206"/>
      <c r="AC282" s="206"/>
      <c r="AD282" s="206"/>
      <c r="AE282" s="206"/>
      <c r="AF282" s="206"/>
      <c r="AG282" s="206"/>
      <c r="AH282" s="206"/>
      <c r="AI282" s="206"/>
      <c r="AJ282" s="206"/>
      <c r="AK282" s="206"/>
      <c r="AL282" s="206"/>
      <c r="AM282" s="206"/>
      <c r="AN282" s="206"/>
      <c r="AO282" s="206"/>
      <c r="AP282" s="206"/>
      <c r="AQ282" s="206"/>
      <c r="AR282" s="206"/>
      <c r="AS282" s="206"/>
      <c r="AT282" s="206"/>
    </row>
    <row r="283" ht="16.5" hidden="1" customHeight="1">
      <c r="A283" s="227">
        <v>23.0</v>
      </c>
      <c r="B283" s="228" t="s">
        <v>48</v>
      </c>
      <c r="C283" s="229" t="s">
        <v>720</v>
      </c>
      <c r="D283" s="229" t="s">
        <v>721</v>
      </c>
      <c r="E283" s="230">
        <v>2.0</v>
      </c>
      <c r="F283" s="231">
        <v>42534.0</v>
      </c>
      <c r="G283" s="232" t="s">
        <v>722</v>
      </c>
      <c r="H283" s="229">
        <v>6.188035803E9</v>
      </c>
      <c r="I283" s="232" t="s">
        <v>723</v>
      </c>
      <c r="J283" s="233">
        <v>45161.0</v>
      </c>
      <c r="K283" s="232"/>
      <c r="L283" s="232"/>
      <c r="M283" s="229"/>
      <c r="N283" s="228" t="s">
        <v>34</v>
      </c>
      <c r="O283" s="234">
        <v>45444.0</v>
      </c>
      <c r="P283" s="235"/>
      <c r="Q283" s="235"/>
      <c r="R283" s="235"/>
      <c r="S283" s="235"/>
      <c r="T283" s="235"/>
      <c r="U283" s="235"/>
      <c r="V283" s="235"/>
      <c r="W283" s="235"/>
      <c r="X283" s="235"/>
      <c r="Y283" s="235"/>
      <c r="Z283" s="235"/>
      <c r="AA283" s="235"/>
      <c r="AB283" s="235"/>
      <c r="AC283" s="235"/>
      <c r="AD283" s="235"/>
      <c r="AE283" s="235"/>
      <c r="AF283" s="235"/>
      <c r="AG283" s="235"/>
      <c r="AH283" s="235"/>
      <c r="AI283" s="235"/>
      <c r="AJ283" s="235"/>
      <c r="AK283" s="235"/>
      <c r="AL283" s="235"/>
      <c r="AM283" s="235"/>
      <c r="AN283" s="235"/>
      <c r="AO283" s="235"/>
      <c r="AP283" s="235"/>
      <c r="AQ283" s="235"/>
      <c r="AR283" s="235"/>
      <c r="AS283" s="235"/>
      <c r="AT283" s="235"/>
    </row>
    <row r="284" ht="17.25" hidden="1" customHeight="1">
      <c r="A284" s="227">
        <v>24.0</v>
      </c>
      <c r="B284" s="228" t="s">
        <v>88</v>
      </c>
      <c r="C284" s="229" t="s">
        <v>720</v>
      </c>
      <c r="D284" s="229" t="s">
        <v>721</v>
      </c>
      <c r="E284" s="230">
        <v>2.0</v>
      </c>
      <c r="F284" s="231">
        <v>42534.0</v>
      </c>
      <c r="G284" s="232" t="s">
        <v>722</v>
      </c>
      <c r="H284" s="229">
        <v>6.188035803E9</v>
      </c>
      <c r="I284" s="232" t="s">
        <v>723</v>
      </c>
      <c r="J284" s="233">
        <v>45161.0</v>
      </c>
      <c r="K284" s="232"/>
      <c r="L284" s="232"/>
      <c r="M284" s="229"/>
      <c r="N284" s="228" t="s">
        <v>34</v>
      </c>
      <c r="O284" s="234">
        <v>45444.0</v>
      </c>
      <c r="P284" s="235"/>
      <c r="Q284" s="235"/>
      <c r="R284" s="235"/>
      <c r="S284" s="235"/>
      <c r="T284" s="206"/>
      <c r="U284" s="206"/>
      <c r="V284" s="206"/>
      <c r="W284" s="235"/>
      <c r="X284" s="235"/>
      <c r="Y284" s="235"/>
      <c r="Z284" s="235"/>
      <c r="AA284" s="235"/>
      <c r="AB284" s="235"/>
      <c r="AC284" s="235"/>
      <c r="AD284" s="235"/>
      <c r="AE284" s="235"/>
      <c r="AF284" s="235"/>
      <c r="AG284" s="235"/>
      <c r="AH284" s="235"/>
      <c r="AI284" s="235"/>
      <c r="AJ284" s="235"/>
      <c r="AK284" s="235"/>
      <c r="AL284" s="235"/>
      <c r="AM284" s="235"/>
      <c r="AN284" s="235"/>
      <c r="AO284" s="235"/>
      <c r="AP284" s="235"/>
      <c r="AQ284" s="235"/>
      <c r="AR284" s="235"/>
      <c r="AS284" s="235"/>
      <c r="AT284" s="235"/>
    </row>
    <row r="285" ht="17.25" hidden="1" customHeight="1">
      <c r="A285" s="227">
        <v>25.0</v>
      </c>
      <c r="B285" s="228" t="s">
        <v>88</v>
      </c>
      <c r="C285" s="236" t="s">
        <v>724</v>
      </c>
      <c r="D285" s="236" t="s">
        <v>725</v>
      </c>
      <c r="E285" s="227">
        <v>5.0</v>
      </c>
      <c r="F285" s="237">
        <v>41363.0</v>
      </c>
      <c r="G285" s="232" t="s">
        <v>726</v>
      </c>
      <c r="H285" s="232">
        <v>4.082064921E9</v>
      </c>
      <c r="I285" s="232" t="s">
        <v>727</v>
      </c>
      <c r="J285" s="239">
        <v>45352.0</v>
      </c>
      <c r="K285" s="238"/>
      <c r="L285" s="238"/>
      <c r="M285" s="236"/>
      <c r="N285" s="228" t="s">
        <v>34</v>
      </c>
      <c r="O285" s="234">
        <v>45444.0</v>
      </c>
      <c r="P285" s="235"/>
      <c r="Q285" s="235"/>
      <c r="R285" s="235"/>
      <c r="S285" s="235"/>
      <c r="T285" s="235"/>
      <c r="U285" s="235"/>
      <c r="V285" s="235"/>
      <c r="W285" s="235"/>
      <c r="X285" s="235"/>
      <c r="Y285" s="235"/>
      <c r="Z285" s="235"/>
      <c r="AA285" s="235"/>
      <c r="AB285" s="235"/>
      <c r="AC285" s="235"/>
      <c r="AD285" s="235"/>
      <c r="AE285" s="235"/>
      <c r="AF285" s="235"/>
      <c r="AG285" s="235"/>
      <c r="AH285" s="235"/>
      <c r="AI285" s="235"/>
      <c r="AJ285" s="235"/>
      <c r="AK285" s="235"/>
      <c r="AL285" s="235"/>
      <c r="AM285" s="235"/>
      <c r="AN285" s="235"/>
      <c r="AO285" s="235"/>
      <c r="AP285" s="235"/>
      <c r="AQ285" s="235"/>
      <c r="AR285" s="235"/>
      <c r="AS285" s="235"/>
      <c r="AT285" s="235"/>
    </row>
    <row r="286" ht="17.25" hidden="1" customHeight="1">
      <c r="A286" s="227">
        <v>26.0</v>
      </c>
      <c r="B286" s="228" t="s">
        <v>48</v>
      </c>
      <c r="C286" s="229" t="s">
        <v>728</v>
      </c>
      <c r="D286" s="229" t="s">
        <v>729</v>
      </c>
      <c r="E286" s="230">
        <v>1.0</v>
      </c>
      <c r="F286" s="231">
        <v>42820.0</v>
      </c>
      <c r="G286" s="232" t="s">
        <v>730</v>
      </c>
      <c r="H286" s="229">
        <v>6.692526762E9</v>
      </c>
      <c r="I286" s="232" t="s">
        <v>731</v>
      </c>
      <c r="J286" s="233">
        <v>45159.0</v>
      </c>
      <c r="K286" s="232"/>
      <c r="L286" s="232"/>
      <c r="M286" s="229"/>
      <c r="N286" s="228" t="s">
        <v>34</v>
      </c>
      <c r="O286" s="234">
        <v>45444.0</v>
      </c>
      <c r="P286" s="235"/>
      <c r="Q286" s="235"/>
      <c r="R286" s="235"/>
      <c r="S286" s="235"/>
      <c r="T286" s="235"/>
      <c r="U286" s="235"/>
      <c r="V286" s="235"/>
      <c r="W286" s="235"/>
      <c r="X286" s="235"/>
      <c r="Y286" s="235"/>
      <c r="Z286" s="235"/>
      <c r="AA286" s="235"/>
      <c r="AB286" s="235"/>
      <c r="AC286" s="235"/>
      <c r="AD286" s="235"/>
      <c r="AE286" s="235"/>
      <c r="AF286" s="235"/>
      <c r="AG286" s="235"/>
      <c r="AH286" s="235"/>
      <c r="AI286" s="235"/>
      <c r="AJ286" s="235"/>
      <c r="AK286" s="235"/>
      <c r="AL286" s="235"/>
      <c r="AM286" s="235"/>
      <c r="AN286" s="235"/>
      <c r="AO286" s="235"/>
      <c r="AP286" s="235"/>
      <c r="AQ286" s="235"/>
      <c r="AR286" s="235"/>
      <c r="AS286" s="235"/>
      <c r="AT286" s="235"/>
    </row>
    <row r="287" ht="17.25" hidden="1" customHeight="1">
      <c r="A287" s="227">
        <v>27.0</v>
      </c>
      <c r="B287" s="228" t="s">
        <v>88</v>
      </c>
      <c r="C287" s="229" t="s">
        <v>728</v>
      </c>
      <c r="D287" s="229" t="s">
        <v>729</v>
      </c>
      <c r="E287" s="230">
        <v>1.0</v>
      </c>
      <c r="F287" s="231">
        <v>42820.0</v>
      </c>
      <c r="G287" s="232" t="s">
        <v>730</v>
      </c>
      <c r="H287" s="229">
        <v>6.692526762E9</v>
      </c>
      <c r="I287" s="232" t="s">
        <v>731</v>
      </c>
      <c r="J287" s="233">
        <v>45159.0</v>
      </c>
      <c r="K287" s="232"/>
      <c r="L287" s="232"/>
      <c r="M287" s="229"/>
      <c r="N287" s="228" t="s">
        <v>34</v>
      </c>
      <c r="O287" s="234">
        <v>45444.0</v>
      </c>
      <c r="P287" s="235"/>
      <c r="Q287" s="235"/>
      <c r="R287" s="235"/>
      <c r="S287" s="235"/>
      <c r="T287" s="235"/>
      <c r="U287" s="235"/>
      <c r="V287" s="235"/>
      <c r="W287" s="235"/>
      <c r="X287" s="235"/>
      <c r="Y287" s="235"/>
      <c r="Z287" s="235"/>
      <c r="AA287" s="235"/>
      <c r="AB287" s="235"/>
      <c r="AC287" s="235"/>
      <c r="AD287" s="235"/>
      <c r="AE287" s="235"/>
      <c r="AF287" s="235"/>
      <c r="AG287" s="235"/>
      <c r="AH287" s="235"/>
      <c r="AI287" s="235"/>
      <c r="AJ287" s="235"/>
      <c r="AK287" s="235"/>
      <c r="AL287" s="235"/>
      <c r="AM287" s="235"/>
      <c r="AN287" s="235"/>
      <c r="AO287" s="235"/>
      <c r="AP287" s="235"/>
      <c r="AQ287" s="235"/>
      <c r="AR287" s="235"/>
      <c r="AS287" s="235"/>
      <c r="AT287" s="235"/>
    </row>
    <row r="288" ht="17.25" hidden="1" customHeight="1">
      <c r="A288" s="216">
        <v>28.0</v>
      </c>
      <c r="B288" s="217" t="s">
        <v>88</v>
      </c>
      <c r="C288" s="294" t="s">
        <v>732</v>
      </c>
      <c r="D288" s="294" t="s">
        <v>145</v>
      </c>
      <c r="E288" s="295">
        <v>1.0</v>
      </c>
      <c r="F288" s="296">
        <v>42822.0</v>
      </c>
      <c r="G288" s="297" t="s">
        <v>733</v>
      </c>
      <c r="H288" s="294">
        <v>4.087591928E9</v>
      </c>
      <c r="I288" s="297" t="s">
        <v>734</v>
      </c>
      <c r="J288" s="298">
        <v>45246.0</v>
      </c>
      <c r="K288" s="297"/>
      <c r="L288" s="297"/>
      <c r="M288" s="294" t="s">
        <v>735</v>
      </c>
      <c r="N288" s="217" t="s">
        <v>34</v>
      </c>
      <c r="O288" s="222">
        <v>45444.0</v>
      </c>
      <c r="P288" s="206"/>
      <c r="Q288" s="206"/>
      <c r="R288" s="206"/>
      <c r="S288" s="206"/>
      <c r="T288" s="235"/>
      <c r="U288" s="235"/>
      <c r="V288" s="235"/>
      <c r="W288" s="206"/>
      <c r="X288" s="206"/>
      <c r="Y288" s="206"/>
      <c r="Z288" s="206"/>
      <c r="AA288" s="206"/>
      <c r="AB288" s="206"/>
      <c r="AC288" s="206"/>
      <c r="AD288" s="206"/>
      <c r="AE288" s="206"/>
      <c r="AF288" s="206"/>
      <c r="AG288" s="206"/>
      <c r="AH288" s="206"/>
      <c r="AI288" s="206"/>
      <c r="AJ288" s="206"/>
      <c r="AK288" s="206"/>
      <c r="AL288" s="206"/>
      <c r="AM288" s="206"/>
      <c r="AN288" s="206"/>
      <c r="AO288" s="206"/>
      <c r="AP288" s="206"/>
      <c r="AQ288" s="206"/>
      <c r="AR288" s="206"/>
      <c r="AS288" s="206"/>
      <c r="AT288" s="206"/>
    </row>
    <row r="289" ht="17.25" hidden="1" customHeight="1">
      <c r="A289" s="227">
        <v>29.0</v>
      </c>
      <c r="B289" s="228" t="s">
        <v>48</v>
      </c>
      <c r="C289" s="236" t="s">
        <v>318</v>
      </c>
      <c r="D289" s="236" t="s">
        <v>736</v>
      </c>
      <c r="E289" s="227">
        <v>2.0</v>
      </c>
      <c r="F289" s="237">
        <v>42511.0</v>
      </c>
      <c r="G289" s="238" t="s">
        <v>737</v>
      </c>
      <c r="H289" s="236">
        <v>5.103336666E9</v>
      </c>
      <c r="I289" s="238" t="s">
        <v>738</v>
      </c>
      <c r="J289" s="236" t="s">
        <v>739</v>
      </c>
      <c r="K289" s="238"/>
      <c r="L289" s="238"/>
      <c r="M289" s="236" t="s">
        <v>696</v>
      </c>
      <c r="N289" s="228" t="s">
        <v>34</v>
      </c>
      <c r="O289" s="234">
        <v>45444.0</v>
      </c>
      <c r="P289" s="235"/>
      <c r="Q289" s="235"/>
      <c r="R289" s="235"/>
      <c r="S289" s="235"/>
      <c r="T289" s="235"/>
      <c r="U289" s="235"/>
      <c r="V289" s="235"/>
      <c r="W289" s="235"/>
      <c r="X289" s="235"/>
      <c r="Y289" s="235"/>
      <c r="Z289" s="235"/>
      <c r="AA289" s="235"/>
      <c r="AB289" s="235"/>
      <c r="AC289" s="235"/>
      <c r="AD289" s="235"/>
      <c r="AE289" s="235"/>
      <c r="AF289" s="235"/>
      <c r="AG289" s="235"/>
      <c r="AH289" s="235"/>
      <c r="AI289" s="235"/>
      <c r="AJ289" s="235"/>
      <c r="AK289" s="235"/>
      <c r="AL289" s="235"/>
      <c r="AM289" s="235"/>
      <c r="AN289" s="235"/>
      <c r="AO289" s="235"/>
      <c r="AP289" s="235"/>
      <c r="AQ289" s="235"/>
      <c r="AR289" s="235"/>
      <c r="AS289" s="235"/>
      <c r="AT289" s="235"/>
    </row>
    <row r="290" ht="17.25" hidden="1" customHeight="1">
      <c r="A290" s="227">
        <v>30.0</v>
      </c>
      <c r="B290" s="228" t="s">
        <v>48</v>
      </c>
      <c r="C290" s="236" t="s">
        <v>585</v>
      </c>
      <c r="D290" s="236" t="s">
        <v>586</v>
      </c>
      <c r="E290" s="227">
        <v>2.0</v>
      </c>
      <c r="F290" s="237">
        <v>42388.0</v>
      </c>
      <c r="G290" s="232" t="s">
        <v>740</v>
      </c>
      <c r="H290" s="232">
        <v>4.087977701E9</v>
      </c>
      <c r="I290" s="232" t="s">
        <v>588</v>
      </c>
      <c r="J290" s="239">
        <v>45323.0</v>
      </c>
      <c r="K290" s="238"/>
      <c r="L290" s="238"/>
      <c r="M290" s="236" t="s">
        <v>741</v>
      </c>
      <c r="N290" s="228" t="s">
        <v>34</v>
      </c>
      <c r="O290" s="234">
        <v>45444.0</v>
      </c>
      <c r="P290" s="235"/>
      <c r="Q290" s="235"/>
      <c r="R290" s="235"/>
      <c r="S290" s="235"/>
      <c r="T290" s="206"/>
      <c r="U290" s="206"/>
      <c r="V290" s="206"/>
      <c r="W290" s="235"/>
      <c r="X290" s="235"/>
      <c r="Y290" s="235"/>
      <c r="Z290" s="235"/>
      <c r="AA290" s="235"/>
      <c r="AB290" s="235"/>
      <c r="AC290" s="235"/>
      <c r="AD290" s="235"/>
      <c r="AE290" s="235"/>
      <c r="AF290" s="235"/>
      <c r="AG290" s="235"/>
      <c r="AH290" s="235"/>
      <c r="AI290" s="235"/>
      <c r="AJ290" s="235"/>
      <c r="AK290" s="235"/>
      <c r="AL290" s="235"/>
      <c r="AM290" s="235"/>
      <c r="AN290" s="235"/>
      <c r="AO290" s="235"/>
      <c r="AP290" s="235"/>
      <c r="AQ290" s="235"/>
      <c r="AR290" s="235"/>
      <c r="AS290" s="235"/>
      <c r="AT290" s="235"/>
    </row>
    <row r="291" ht="17.25" hidden="1" customHeight="1">
      <c r="A291" s="227">
        <v>31.0</v>
      </c>
      <c r="B291" s="300" t="s">
        <v>48</v>
      </c>
      <c r="C291" s="229" t="s">
        <v>161</v>
      </c>
      <c r="D291" s="229" t="s">
        <v>742</v>
      </c>
      <c r="E291" s="230">
        <v>5.0</v>
      </c>
      <c r="F291" s="231">
        <v>41514.0</v>
      </c>
      <c r="G291" s="232" t="s">
        <v>743</v>
      </c>
      <c r="H291" s="229">
        <v>5.107883613E9</v>
      </c>
      <c r="I291" s="232" t="s">
        <v>744</v>
      </c>
      <c r="J291" s="233">
        <v>45189.0</v>
      </c>
      <c r="K291" s="232"/>
      <c r="L291" s="232"/>
      <c r="M291" s="229"/>
      <c r="N291" s="228" t="s">
        <v>34</v>
      </c>
      <c r="O291" s="234">
        <v>45444.0</v>
      </c>
      <c r="P291" s="235"/>
      <c r="Q291" s="235"/>
      <c r="R291" s="235"/>
      <c r="S291" s="235"/>
      <c r="T291" s="206"/>
      <c r="U291" s="206"/>
      <c r="V291" s="206"/>
      <c r="W291" s="235"/>
      <c r="X291" s="235"/>
      <c r="Y291" s="235"/>
      <c r="Z291" s="235"/>
      <c r="AA291" s="235"/>
      <c r="AB291" s="235"/>
      <c r="AC291" s="235"/>
      <c r="AD291" s="235"/>
      <c r="AE291" s="235"/>
      <c r="AF291" s="235"/>
      <c r="AG291" s="235"/>
      <c r="AH291" s="235"/>
      <c r="AI291" s="235"/>
      <c r="AJ291" s="235"/>
      <c r="AK291" s="235"/>
      <c r="AL291" s="235"/>
      <c r="AM291" s="235"/>
      <c r="AN291" s="235"/>
      <c r="AO291" s="235"/>
      <c r="AP291" s="235"/>
      <c r="AQ291" s="235"/>
      <c r="AR291" s="235"/>
      <c r="AS291" s="235"/>
      <c r="AT291" s="235"/>
    </row>
    <row r="292" ht="17.25" hidden="1" customHeight="1">
      <c r="A292" s="227">
        <v>32.0</v>
      </c>
      <c r="B292" s="300" t="s">
        <v>88</v>
      </c>
      <c r="C292" s="229" t="s">
        <v>161</v>
      </c>
      <c r="D292" s="229" t="s">
        <v>742</v>
      </c>
      <c r="E292" s="230">
        <v>5.0</v>
      </c>
      <c r="F292" s="231">
        <v>41514.0</v>
      </c>
      <c r="G292" s="232" t="s">
        <v>743</v>
      </c>
      <c r="H292" s="229">
        <v>5.107883613E9</v>
      </c>
      <c r="I292" s="232" t="s">
        <v>744</v>
      </c>
      <c r="J292" s="233">
        <v>45189.0</v>
      </c>
      <c r="K292" s="232"/>
      <c r="L292" s="232"/>
      <c r="M292" s="229"/>
      <c r="N292" s="228" t="s">
        <v>34</v>
      </c>
      <c r="O292" s="234">
        <v>45444.0</v>
      </c>
      <c r="P292" s="235"/>
      <c r="Q292" s="235"/>
      <c r="R292" s="235"/>
      <c r="S292" s="235"/>
      <c r="T292" s="235"/>
      <c r="U292" s="235"/>
      <c r="V292" s="235"/>
      <c r="W292" s="235"/>
      <c r="X292" s="235"/>
      <c r="Y292" s="235"/>
      <c r="Z292" s="235"/>
      <c r="AA292" s="235"/>
      <c r="AB292" s="235"/>
      <c r="AC292" s="235"/>
      <c r="AD292" s="235"/>
      <c r="AE292" s="235"/>
      <c r="AF292" s="235"/>
      <c r="AG292" s="235"/>
      <c r="AH292" s="235"/>
      <c r="AI292" s="235"/>
      <c r="AJ292" s="235"/>
      <c r="AK292" s="235"/>
      <c r="AL292" s="235"/>
      <c r="AM292" s="235"/>
      <c r="AN292" s="235"/>
      <c r="AO292" s="235"/>
      <c r="AP292" s="235"/>
      <c r="AQ292" s="235"/>
      <c r="AR292" s="235"/>
      <c r="AS292" s="235"/>
      <c r="AT292" s="235"/>
    </row>
    <row r="293" ht="17.25" hidden="1" customHeight="1">
      <c r="A293" s="227">
        <v>33.0</v>
      </c>
      <c r="B293" s="228" t="s">
        <v>48</v>
      </c>
      <c r="C293" s="229" t="s">
        <v>745</v>
      </c>
      <c r="D293" s="229" t="s">
        <v>746</v>
      </c>
      <c r="E293" s="230">
        <v>4.0</v>
      </c>
      <c r="F293" s="231">
        <v>41619.0</v>
      </c>
      <c r="G293" s="232" t="s">
        <v>747</v>
      </c>
      <c r="H293" s="229">
        <v>6.26465859E9</v>
      </c>
      <c r="I293" s="232" t="s">
        <v>748</v>
      </c>
      <c r="J293" s="233">
        <v>45154.0</v>
      </c>
      <c r="K293" s="232"/>
      <c r="L293" s="232"/>
      <c r="M293" s="229"/>
      <c r="N293" s="228" t="s">
        <v>34</v>
      </c>
      <c r="O293" s="234">
        <v>45444.0</v>
      </c>
      <c r="P293" s="235"/>
      <c r="Q293" s="235"/>
      <c r="R293" s="235"/>
      <c r="S293" s="235"/>
      <c r="T293" s="235"/>
      <c r="U293" s="235"/>
      <c r="V293" s="235"/>
      <c r="W293" s="235"/>
      <c r="X293" s="235"/>
      <c r="Y293" s="235"/>
      <c r="Z293" s="235"/>
      <c r="AA293" s="235"/>
      <c r="AB293" s="235"/>
      <c r="AC293" s="235"/>
      <c r="AD293" s="235"/>
      <c r="AE293" s="235"/>
      <c r="AF293" s="235"/>
      <c r="AG293" s="235"/>
      <c r="AH293" s="235"/>
      <c r="AI293" s="235"/>
      <c r="AJ293" s="235"/>
      <c r="AK293" s="235"/>
      <c r="AL293" s="235"/>
      <c r="AM293" s="235"/>
      <c r="AN293" s="235"/>
      <c r="AO293" s="235"/>
      <c r="AP293" s="235"/>
      <c r="AQ293" s="235"/>
      <c r="AR293" s="235"/>
      <c r="AS293" s="235"/>
      <c r="AT293" s="235"/>
    </row>
    <row r="294" ht="17.25" hidden="1" customHeight="1">
      <c r="A294" s="227">
        <v>34.0</v>
      </c>
      <c r="B294" s="228" t="s">
        <v>88</v>
      </c>
      <c r="C294" s="229" t="s">
        <v>745</v>
      </c>
      <c r="D294" s="229" t="s">
        <v>746</v>
      </c>
      <c r="E294" s="230">
        <v>4.0</v>
      </c>
      <c r="F294" s="231">
        <v>41619.0</v>
      </c>
      <c r="G294" s="232" t="s">
        <v>747</v>
      </c>
      <c r="H294" s="229">
        <v>6.26465859E9</v>
      </c>
      <c r="I294" s="232" t="s">
        <v>748</v>
      </c>
      <c r="J294" s="233">
        <v>45154.0</v>
      </c>
      <c r="K294" s="232"/>
      <c r="L294" s="232"/>
      <c r="M294" s="229"/>
      <c r="N294" s="228" t="s">
        <v>34</v>
      </c>
      <c r="O294" s="234">
        <v>45444.0</v>
      </c>
      <c r="P294" s="235"/>
      <c r="Q294" s="235"/>
      <c r="R294" s="235"/>
      <c r="S294" s="235"/>
      <c r="T294" s="206"/>
      <c r="U294" s="206"/>
      <c r="V294" s="206"/>
      <c r="W294" s="235"/>
      <c r="X294" s="235"/>
      <c r="Y294" s="235"/>
      <c r="Z294" s="235"/>
      <c r="AA294" s="235"/>
      <c r="AB294" s="235"/>
      <c r="AC294" s="235"/>
      <c r="AD294" s="235"/>
      <c r="AE294" s="235"/>
      <c r="AF294" s="235"/>
      <c r="AG294" s="235"/>
      <c r="AH294" s="235"/>
      <c r="AI294" s="235"/>
      <c r="AJ294" s="235"/>
      <c r="AK294" s="235"/>
      <c r="AL294" s="235"/>
      <c r="AM294" s="235"/>
      <c r="AN294" s="235"/>
      <c r="AO294" s="235"/>
      <c r="AP294" s="235"/>
      <c r="AQ294" s="235"/>
      <c r="AR294" s="235"/>
      <c r="AS294" s="235"/>
      <c r="AT294" s="235"/>
    </row>
    <row r="295" ht="17.25" hidden="1" customHeight="1">
      <c r="A295" s="216">
        <v>35.0</v>
      </c>
      <c r="B295" s="217" t="s">
        <v>48</v>
      </c>
      <c r="C295" s="294" t="s">
        <v>446</v>
      </c>
      <c r="D295" s="294" t="s">
        <v>749</v>
      </c>
      <c r="E295" s="295">
        <v>1.0</v>
      </c>
      <c r="F295" s="296">
        <v>42122.0</v>
      </c>
      <c r="G295" s="297" t="s">
        <v>750</v>
      </c>
      <c r="H295" s="294" t="s">
        <v>751</v>
      </c>
      <c r="I295" s="297" t="s">
        <v>752</v>
      </c>
      <c r="J295" s="298">
        <v>45154.0</v>
      </c>
      <c r="K295" s="297"/>
      <c r="L295" s="297"/>
      <c r="M295" s="294" t="s">
        <v>696</v>
      </c>
      <c r="N295" s="217" t="s">
        <v>34</v>
      </c>
      <c r="O295" s="222">
        <v>45444.0</v>
      </c>
      <c r="P295" s="206"/>
      <c r="Q295" s="206"/>
      <c r="R295" s="206"/>
      <c r="S295" s="206"/>
      <c r="T295" s="235"/>
      <c r="U295" s="235"/>
      <c r="V295" s="235"/>
      <c r="W295" s="206"/>
      <c r="X295" s="206"/>
      <c r="Y295" s="206"/>
      <c r="Z295" s="206"/>
      <c r="AA295" s="206"/>
      <c r="AB295" s="206"/>
      <c r="AC295" s="206"/>
      <c r="AD295" s="206"/>
      <c r="AE295" s="206"/>
      <c r="AF295" s="206"/>
      <c r="AG295" s="206"/>
      <c r="AH295" s="206"/>
      <c r="AI295" s="206"/>
      <c r="AJ295" s="206"/>
      <c r="AK295" s="206"/>
      <c r="AL295" s="206"/>
      <c r="AM295" s="206"/>
      <c r="AN295" s="206"/>
      <c r="AO295" s="206"/>
      <c r="AP295" s="206"/>
      <c r="AQ295" s="206"/>
      <c r="AR295" s="206"/>
      <c r="AS295" s="206"/>
      <c r="AT295" s="206"/>
    </row>
    <row r="296" ht="17.25" hidden="1" customHeight="1">
      <c r="A296" s="216">
        <v>36.0</v>
      </c>
      <c r="B296" s="217" t="s">
        <v>88</v>
      </c>
      <c r="C296" s="294" t="s">
        <v>446</v>
      </c>
      <c r="D296" s="294" t="s">
        <v>749</v>
      </c>
      <c r="E296" s="295">
        <v>1.0</v>
      </c>
      <c r="F296" s="296">
        <v>42122.0</v>
      </c>
      <c r="G296" s="297" t="s">
        <v>750</v>
      </c>
      <c r="H296" s="294" t="s">
        <v>751</v>
      </c>
      <c r="I296" s="297" t="s">
        <v>752</v>
      </c>
      <c r="J296" s="298">
        <v>45154.0</v>
      </c>
      <c r="K296" s="297"/>
      <c r="L296" s="297"/>
      <c r="M296" s="294" t="s">
        <v>696</v>
      </c>
      <c r="N296" s="217" t="s">
        <v>34</v>
      </c>
      <c r="O296" s="222">
        <v>45444.0</v>
      </c>
      <c r="P296" s="206"/>
      <c r="Q296" s="206"/>
      <c r="R296" s="206"/>
      <c r="S296" s="206"/>
      <c r="T296" s="7"/>
      <c r="U296" s="7"/>
      <c r="V296" s="7"/>
      <c r="W296" s="206"/>
      <c r="X296" s="206"/>
      <c r="Y296" s="206"/>
      <c r="Z296" s="206"/>
      <c r="AA296" s="206"/>
      <c r="AB296" s="206"/>
      <c r="AC296" s="206"/>
      <c r="AD296" s="206"/>
      <c r="AE296" s="206"/>
      <c r="AF296" s="206"/>
      <c r="AG296" s="206"/>
      <c r="AH296" s="206"/>
      <c r="AI296" s="206"/>
      <c r="AJ296" s="206"/>
      <c r="AK296" s="206"/>
      <c r="AL296" s="206"/>
      <c r="AM296" s="206"/>
      <c r="AN296" s="206"/>
      <c r="AO296" s="206"/>
      <c r="AP296" s="206"/>
      <c r="AQ296" s="206"/>
      <c r="AR296" s="206"/>
      <c r="AS296" s="206"/>
      <c r="AT296" s="206"/>
    </row>
    <row r="297" ht="17.25" hidden="1" customHeight="1">
      <c r="A297" s="227">
        <v>37.0</v>
      </c>
      <c r="B297" s="228" t="s">
        <v>48</v>
      </c>
      <c r="C297" s="229" t="s">
        <v>690</v>
      </c>
      <c r="D297" s="229" t="s">
        <v>753</v>
      </c>
      <c r="E297" s="230">
        <v>1.0</v>
      </c>
      <c r="F297" s="231">
        <v>42954.0</v>
      </c>
      <c r="G297" s="232" t="s">
        <v>754</v>
      </c>
      <c r="H297" s="229">
        <v>5.105656975E9</v>
      </c>
      <c r="I297" s="232" t="s">
        <v>755</v>
      </c>
      <c r="J297" s="233">
        <v>45159.0</v>
      </c>
      <c r="K297" s="232"/>
      <c r="L297" s="232"/>
      <c r="M297" s="229" t="s">
        <v>696</v>
      </c>
      <c r="N297" s="228" t="s">
        <v>34</v>
      </c>
      <c r="O297" s="234">
        <v>45444.0</v>
      </c>
      <c r="P297" s="235"/>
      <c r="Q297" s="235"/>
      <c r="R297" s="235"/>
      <c r="S297" s="235"/>
      <c r="T297" s="7"/>
      <c r="U297" s="7"/>
      <c r="V297" s="7"/>
      <c r="W297" s="235"/>
      <c r="X297" s="235"/>
      <c r="Y297" s="235"/>
      <c r="Z297" s="235"/>
      <c r="AA297" s="235"/>
      <c r="AB297" s="235"/>
      <c r="AC297" s="235"/>
      <c r="AD297" s="235"/>
      <c r="AE297" s="235"/>
      <c r="AF297" s="235"/>
      <c r="AG297" s="235"/>
      <c r="AH297" s="235"/>
      <c r="AI297" s="235"/>
      <c r="AJ297" s="235"/>
      <c r="AK297" s="235"/>
      <c r="AL297" s="235"/>
      <c r="AM297" s="235"/>
      <c r="AN297" s="235"/>
      <c r="AO297" s="235"/>
      <c r="AP297" s="235"/>
      <c r="AQ297" s="235"/>
      <c r="AR297" s="235"/>
      <c r="AS297" s="235"/>
      <c r="AT297" s="235"/>
    </row>
    <row r="298" ht="17.25" hidden="1" customHeight="1">
      <c r="A298" s="227">
        <v>38.0</v>
      </c>
      <c r="B298" s="228" t="s">
        <v>88</v>
      </c>
      <c r="C298" s="229" t="s">
        <v>690</v>
      </c>
      <c r="D298" s="229" t="s">
        <v>753</v>
      </c>
      <c r="E298" s="230">
        <v>1.0</v>
      </c>
      <c r="F298" s="231">
        <v>42954.0</v>
      </c>
      <c r="G298" s="232" t="s">
        <v>754</v>
      </c>
      <c r="H298" s="229">
        <v>5.105656975E9</v>
      </c>
      <c r="I298" s="232" t="s">
        <v>755</v>
      </c>
      <c r="J298" s="233">
        <v>45159.0</v>
      </c>
      <c r="K298" s="232"/>
      <c r="L298" s="232"/>
      <c r="M298" s="229" t="s">
        <v>696</v>
      </c>
      <c r="N298" s="228" t="s">
        <v>34</v>
      </c>
      <c r="O298" s="234">
        <v>45444.0</v>
      </c>
      <c r="P298" s="235"/>
      <c r="Q298" s="235"/>
      <c r="R298" s="235"/>
      <c r="S298" s="235"/>
      <c r="T298" s="7"/>
      <c r="U298" s="7"/>
      <c r="V298" s="7"/>
      <c r="W298" s="235"/>
      <c r="X298" s="235"/>
      <c r="Y298" s="235"/>
      <c r="Z298" s="235"/>
      <c r="AA298" s="235"/>
      <c r="AB298" s="235"/>
      <c r="AC298" s="235"/>
      <c r="AD298" s="235"/>
      <c r="AE298" s="235"/>
      <c r="AF298" s="235"/>
      <c r="AG298" s="235"/>
      <c r="AH298" s="235"/>
      <c r="AI298" s="235"/>
      <c r="AJ298" s="235"/>
      <c r="AK298" s="235"/>
      <c r="AL298" s="235"/>
      <c r="AM298" s="235"/>
      <c r="AN298" s="235"/>
      <c r="AO298" s="235"/>
      <c r="AP298" s="235"/>
      <c r="AQ298" s="235"/>
      <c r="AR298" s="235"/>
      <c r="AS298" s="235"/>
      <c r="AT298" s="235"/>
    </row>
    <row r="299" ht="17.25" hidden="1" customHeight="1">
      <c r="A299" s="227">
        <v>39.0</v>
      </c>
      <c r="B299" s="228" t="s">
        <v>48</v>
      </c>
      <c r="C299" s="229" t="s">
        <v>711</v>
      </c>
      <c r="D299" s="229" t="s">
        <v>756</v>
      </c>
      <c r="E299" s="230">
        <v>1.0</v>
      </c>
      <c r="F299" s="231">
        <v>42810.0</v>
      </c>
      <c r="G299" s="232" t="s">
        <v>757</v>
      </c>
      <c r="H299" s="229">
        <v>5.103742897E9</v>
      </c>
      <c r="I299" s="232" t="s">
        <v>758</v>
      </c>
      <c r="J299" s="233">
        <v>45154.0</v>
      </c>
      <c r="K299" s="232"/>
      <c r="L299" s="232"/>
      <c r="M299" s="229"/>
      <c r="N299" s="228" t="s">
        <v>34</v>
      </c>
      <c r="O299" s="234">
        <v>45444.0</v>
      </c>
      <c r="P299" s="235"/>
      <c r="Q299" s="235"/>
      <c r="R299" s="235"/>
      <c r="S299" s="235"/>
      <c r="T299" s="7"/>
      <c r="U299" s="7"/>
      <c r="V299" s="7"/>
      <c r="W299" s="235"/>
      <c r="X299" s="235"/>
      <c r="Y299" s="235"/>
      <c r="Z299" s="235"/>
      <c r="AA299" s="235"/>
      <c r="AB299" s="235"/>
      <c r="AC299" s="235"/>
      <c r="AD299" s="235"/>
      <c r="AE299" s="235"/>
      <c r="AF299" s="235"/>
      <c r="AG299" s="235"/>
      <c r="AH299" s="235"/>
      <c r="AI299" s="235"/>
      <c r="AJ299" s="235"/>
      <c r="AK299" s="235"/>
      <c r="AL299" s="235"/>
      <c r="AM299" s="235"/>
      <c r="AN299" s="235"/>
      <c r="AO299" s="235"/>
      <c r="AP299" s="235"/>
      <c r="AQ299" s="235"/>
      <c r="AR299" s="235"/>
      <c r="AS299" s="235"/>
      <c r="AT299" s="235"/>
    </row>
    <row r="300" ht="17.25" hidden="1" customHeight="1">
      <c r="A300" s="227">
        <v>40.0</v>
      </c>
      <c r="B300" s="228" t="s">
        <v>88</v>
      </c>
      <c r="C300" s="236" t="s">
        <v>711</v>
      </c>
      <c r="D300" s="236" t="s">
        <v>756</v>
      </c>
      <c r="E300" s="227">
        <v>1.0</v>
      </c>
      <c r="F300" s="237">
        <v>42810.0</v>
      </c>
      <c r="G300" s="238" t="s">
        <v>757</v>
      </c>
      <c r="H300" s="236">
        <v>5.103742897E9</v>
      </c>
      <c r="I300" s="238" t="s">
        <v>758</v>
      </c>
      <c r="J300" s="239">
        <v>45293.0</v>
      </c>
      <c r="K300" s="238"/>
      <c r="L300" s="238"/>
      <c r="M300" s="236"/>
      <c r="N300" s="228" t="s">
        <v>34</v>
      </c>
      <c r="O300" s="234">
        <v>45444.0</v>
      </c>
      <c r="P300" s="235"/>
      <c r="Q300" s="235"/>
      <c r="R300" s="235"/>
      <c r="S300" s="235"/>
      <c r="T300" s="7"/>
      <c r="U300" s="7"/>
      <c r="V300" s="7"/>
      <c r="W300" s="235"/>
      <c r="X300" s="235"/>
      <c r="Y300" s="235"/>
      <c r="Z300" s="235"/>
      <c r="AA300" s="235"/>
      <c r="AB300" s="235"/>
      <c r="AC300" s="235"/>
      <c r="AD300" s="235"/>
      <c r="AE300" s="235"/>
      <c r="AF300" s="235"/>
      <c r="AG300" s="235"/>
      <c r="AH300" s="235"/>
      <c r="AI300" s="235"/>
      <c r="AJ300" s="235"/>
      <c r="AK300" s="235"/>
      <c r="AL300" s="235"/>
      <c r="AM300" s="235"/>
      <c r="AN300" s="235"/>
      <c r="AO300" s="235"/>
      <c r="AP300" s="235"/>
      <c r="AQ300" s="235"/>
      <c r="AR300" s="235"/>
      <c r="AS300" s="235"/>
      <c r="AT300" s="235"/>
    </row>
    <row r="301" ht="17.25" hidden="1" customHeight="1">
      <c r="A301" s="227">
        <v>41.0</v>
      </c>
      <c r="B301" s="228" t="s">
        <v>88</v>
      </c>
      <c r="C301" s="229" t="s">
        <v>759</v>
      </c>
      <c r="D301" s="229" t="s">
        <v>760</v>
      </c>
      <c r="E301" s="230">
        <v>7.0</v>
      </c>
      <c r="F301" s="231">
        <v>40748.0</v>
      </c>
      <c r="G301" s="232" t="s">
        <v>761</v>
      </c>
      <c r="H301" s="229" t="s">
        <v>762</v>
      </c>
      <c r="I301" s="232" t="s">
        <v>763</v>
      </c>
      <c r="J301" s="233">
        <v>45154.0</v>
      </c>
      <c r="K301" s="232"/>
      <c r="L301" s="232"/>
      <c r="M301" s="229"/>
      <c r="N301" s="228" t="s">
        <v>34</v>
      </c>
      <c r="O301" s="234">
        <v>45444.0</v>
      </c>
      <c r="P301" s="235"/>
      <c r="Q301" s="235"/>
      <c r="R301" s="235"/>
      <c r="S301" s="235"/>
      <c r="T301" s="7"/>
      <c r="U301" s="7"/>
      <c r="V301" s="7"/>
      <c r="W301" s="235"/>
      <c r="X301" s="235"/>
      <c r="Y301" s="235"/>
      <c r="Z301" s="235"/>
      <c r="AA301" s="235"/>
      <c r="AB301" s="235"/>
      <c r="AC301" s="235"/>
      <c r="AD301" s="235"/>
      <c r="AE301" s="235"/>
      <c r="AF301" s="235"/>
      <c r="AG301" s="235"/>
      <c r="AH301" s="235"/>
      <c r="AI301" s="235"/>
      <c r="AJ301" s="235"/>
      <c r="AK301" s="235"/>
      <c r="AL301" s="235"/>
      <c r="AM301" s="235"/>
      <c r="AN301" s="235"/>
      <c r="AO301" s="235"/>
      <c r="AP301" s="235"/>
      <c r="AQ301" s="235"/>
      <c r="AR301" s="235"/>
      <c r="AS301" s="235"/>
      <c r="AT301" s="235"/>
    </row>
    <row r="302" ht="17.25" hidden="1" customHeight="1">
      <c r="A302" s="227">
        <v>42.0</v>
      </c>
      <c r="B302" s="228" t="s">
        <v>48</v>
      </c>
      <c r="C302" s="229" t="s">
        <v>759</v>
      </c>
      <c r="D302" s="229" t="s">
        <v>764</v>
      </c>
      <c r="E302" s="230">
        <v>7.0</v>
      </c>
      <c r="F302" s="231">
        <v>40748.0</v>
      </c>
      <c r="G302" s="232" t="s">
        <v>761</v>
      </c>
      <c r="H302" s="229" t="s">
        <v>762</v>
      </c>
      <c r="I302" s="232" t="s">
        <v>763</v>
      </c>
      <c r="J302" s="233">
        <v>45154.0</v>
      </c>
      <c r="K302" s="232"/>
      <c r="L302" s="232"/>
      <c r="M302" s="229"/>
      <c r="N302" s="228" t="s">
        <v>34</v>
      </c>
      <c r="O302" s="234">
        <v>45444.0</v>
      </c>
      <c r="P302" s="235"/>
      <c r="Q302" s="235"/>
      <c r="R302" s="235"/>
      <c r="S302" s="235"/>
      <c r="T302" s="301"/>
      <c r="U302" s="301"/>
      <c r="V302" s="301"/>
      <c r="W302" s="235"/>
      <c r="X302" s="235"/>
      <c r="Y302" s="235"/>
      <c r="Z302" s="235"/>
      <c r="AA302" s="235"/>
      <c r="AB302" s="235"/>
      <c r="AC302" s="235"/>
      <c r="AD302" s="235"/>
      <c r="AE302" s="235"/>
      <c r="AF302" s="235"/>
      <c r="AG302" s="235"/>
      <c r="AH302" s="235"/>
      <c r="AI302" s="235"/>
      <c r="AJ302" s="235"/>
      <c r="AK302" s="235"/>
      <c r="AL302" s="235"/>
      <c r="AM302" s="235"/>
      <c r="AN302" s="235"/>
      <c r="AO302" s="235"/>
      <c r="AP302" s="235"/>
      <c r="AQ302" s="235"/>
      <c r="AR302" s="235"/>
      <c r="AS302" s="235"/>
      <c r="AT302" s="235"/>
    </row>
    <row r="303" ht="17.25" hidden="1" customHeight="1">
      <c r="A303" s="227">
        <v>43.0</v>
      </c>
      <c r="B303" s="228" t="s">
        <v>48</v>
      </c>
      <c r="C303" s="229" t="s">
        <v>745</v>
      </c>
      <c r="D303" s="229" t="s">
        <v>765</v>
      </c>
      <c r="E303" s="230">
        <v>7.0</v>
      </c>
      <c r="F303" s="231">
        <v>40732.0</v>
      </c>
      <c r="G303" s="232" t="s">
        <v>747</v>
      </c>
      <c r="H303" s="236">
        <v>6.26465859E9</v>
      </c>
      <c r="I303" s="232" t="s">
        <v>748</v>
      </c>
      <c r="J303" s="233">
        <v>45154.0</v>
      </c>
      <c r="K303" s="232"/>
      <c r="L303" s="232"/>
      <c r="M303" s="229"/>
      <c r="N303" s="228" t="s">
        <v>34</v>
      </c>
      <c r="O303" s="234">
        <v>45444.0</v>
      </c>
      <c r="P303" s="235"/>
      <c r="Q303" s="235"/>
      <c r="R303" s="235"/>
      <c r="S303" s="235"/>
      <c r="T303" s="301"/>
      <c r="U303" s="301"/>
      <c r="V303" s="301"/>
      <c r="W303" s="235"/>
      <c r="X303" s="235"/>
      <c r="Y303" s="235"/>
      <c r="Z303" s="235"/>
      <c r="AA303" s="235"/>
      <c r="AB303" s="235"/>
      <c r="AC303" s="235"/>
      <c r="AD303" s="235"/>
      <c r="AE303" s="235"/>
      <c r="AF303" s="235"/>
      <c r="AG303" s="235"/>
      <c r="AH303" s="235"/>
      <c r="AI303" s="235"/>
      <c r="AJ303" s="235"/>
      <c r="AK303" s="235"/>
      <c r="AL303" s="235"/>
      <c r="AM303" s="235"/>
      <c r="AN303" s="235"/>
      <c r="AO303" s="235"/>
      <c r="AP303" s="235"/>
      <c r="AQ303" s="235"/>
      <c r="AR303" s="235"/>
      <c r="AS303" s="235"/>
      <c r="AT303" s="235"/>
    </row>
    <row r="304" ht="17.25" hidden="1" customHeight="1">
      <c r="A304" s="227">
        <v>44.0</v>
      </c>
      <c r="B304" s="228" t="s">
        <v>88</v>
      </c>
      <c r="C304" s="229" t="s">
        <v>745</v>
      </c>
      <c r="D304" s="229" t="s">
        <v>765</v>
      </c>
      <c r="E304" s="230">
        <v>7.0</v>
      </c>
      <c r="F304" s="231">
        <v>40732.0</v>
      </c>
      <c r="G304" s="232" t="s">
        <v>747</v>
      </c>
      <c r="H304" s="236">
        <v>6.26465859E9</v>
      </c>
      <c r="I304" s="232" t="s">
        <v>748</v>
      </c>
      <c r="J304" s="233">
        <v>45154.0</v>
      </c>
      <c r="K304" s="232"/>
      <c r="L304" s="232"/>
      <c r="M304" s="229"/>
      <c r="N304" s="228" t="s">
        <v>34</v>
      </c>
      <c r="O304" s="234">
        <v>45444.0</v>
      </c>
      <c r="P304" s="235"/>
      <c r="Q304" s="235"/>
      <c r="R304" s="235"/>
      <c r="S304" s="235"/>
      <c r="T304" s="301"/>
      <c r="U304" s="301"/>
      <c r="V304" s="301"/>
      <c r="W304" s="235"/>
      <c r="X304" s="235"/>
      <c r="Y304" s="235"/>
      <c r="Z304" s="235"/>
      <c r="AA304" s="235"/>
      <c r="AB304" s="235"/>
      <c r="AC304" s="235"/>
      <c r="AD304" s="235"/>
      <c r="AE304" s="235"/>
      <c r="AF304" s="235"/>
      <c r="AG304" s="235"/>
      <c r="AH304" s="235"/>
      <c r="AI304" s="235"/>
      <c r="AJ304" s="235"/>
      <c r="AK304" s="235"/>
      <c r="AL304" s="235"/>
      <c r="AM304" s="235"/>
      <c r="AN304" s="235"/>
      <c r="AO304" s="235"/>
      <c r="AP304" s="235"/>
      <c r="AQ304" s="235"/>
      <c r="AR304" s="235"/>
      <c r="AS304" s="235"/>
      <c r="AT304" s="235"/>
    </row>
    <row r="305" ht="17.25" hidden="1" customHeight="1">
      <c r="A305" s="216">
        <v>45.0</v>
      </c>
      <c r="B305" s="217" t="s">
        <v>48</v>
      </c>
      <c r="C305" s="294" t="s">
        <v>590</v>
      </c>
      <c r="D305" s="294" t="s">
        <v>290</v>
      </c>
      <c r="E305" s="295">
        <v>1.0</v>
      </c>
      <c r="F305" s="296">
        <v>42947.0</v>
      </c>
      <c r="G305" s="297" t="s">
        <v>591</v>
      </c>
      <c r="H305" s="294">
        <v>4.085108805E9</v>
      </c>
      <c r="I305" s="297" t="s">
        <v>470</v>
      </c>
      <c r="J305" s="298">
        <v>45160.0</v>
      </c>
      <c r="K305" s="297"/>
      <c r="L305" s="297"/>
      <c r="M305" s="294" t="s">
        <v>696</v>
      </c>
      <c r="N305" s="217" t="s">
        <v>34</v>
      </c>
      <c r="O305" s="222">
        <v>45444.0</v>
      </c>
      <c r="P305" s="206"/>
      <c r="Q305" s="206"/>
      <c r="R305" s="206"/>
      <c r="S305" s="206"/>
      <c r="T305" s="301"/>
      <c r="U305" s="301"/>
      <c r="V305" s="301"/>
      <c r="W305" s="206"/>
      <c r="X305" s="206"/>
      <c r="Y305" s="206"/>
      <c r="Z305" s="206"/>
      <c r="AA305" s="206"/>
      <c r="AB305" s="206"/>
      <c r="AC305" s="206"/>
      <c r="AD305" s="206"/>
      <c r="AE305" s="206"/>
      <c r="AF305" s="206"/>
      <c r="AG305" s="206"/>
      <c r="AH305" s="206"/>
      <c r="AI305" s="206"/>
      <c r="AJ305" s="206"/>
      <c r="AK305" s="206"/>
      <c r="AL305" s="206"/>
      <c r="AM305" s="206"/>
      <c r="AN305" s="206"/>
      <c r="AO305" s="206"/>
      <c r="AP305" s="206"/>
      <c r="AQ305" s="206"/>
      <c r="AR305" s="206"/>
      <c r="AS305" s="206"/>
      <c r="AT305" s="206"/>
    </row>
    <row r="306" ht="17.25" hidden="1" customHeight="1">
      <c r="A306" s="216">
        <v>46.0</v>
      </c>
      <c r="B306" s="217" t="s">
        <v>88</v>
      </c>
      <c r="C306" s="294" t="s">
        <v>590</v>
      </c>
      <c r="D306" s="294" t="s">
        <v>290</v>
      </c>
      <c r="E306" s="295">
        <v>1.0</v>
      </c>
      <c r="F306" s="296">
        <v>42947.0</v>
      </c>
      <c r="G306" s="297" t="s">
        <v>591</v>
      </c>
      <c r="H306" s="294">
        <v>4.085108805E9</v>
      </c>
      <c r="I306" s="297" t="s">
        <v>470</v>
      </c>
      <c r="J306" s="298">
        <v>45383.0</v>
      </c>
      <c r="K306" s="297"/>
      <c r="L306" s="297"/>
      <c r="M306" s="294" t="s">
        <v>696</v>
      </c>
      <c r="N306" s="217" t="s">
        <v>34</v>
      </c>
      <c r="O306" s="222">
        <v>45444.0</v>
      </c>
      <c r="P306" s="206"/>
      <c r="Q306" s="206"/>
      <c r="R306" s="206"/>
      <c r="S306" s="206"/>
      <c r="T306" s="253"/>
      <c r="U306" s="253"/>
      <c r="V306" s="253"/>
      <c r="W306" s="206"/>
      <c r="X306" s="206"/>
      <c r="Y306" s="206"/>
      <c r="Z306" s="206"/>
      <c r="AA306" s="206"/>
      <c r="AB306" s="206"/>
      <c r="AC306" s="206"/>
      <c r="AD306" s="206"/>
      <c r="AE306" s="206"/>
      <c r="AF306" s="206"/>
      <c r="AG306" s="206"/>
      <c r="AH306" s="206"/>
      <c r="AI306" s="206"/>
      <c r="AJ306" s="206"/>
      <c r="AK306" s="206"/>
      <c r="AL306" s="206"/>
      <c r="AM306" s="206"/>
      <c r="AN306" s="206"/>
      <c r="AO306" s="206"/>
      <c r="AP306" s="206"/>
      <c r="AQ306" s="206"/>
      <c r="AR306" s="206"/>
      <c r="AS306" s="206"/>
      <c r="AT306" s="206"/>
    </row>
    <row r="307" ht="17.25" hidden="1" customHeight="1">
      <c r="A307" s="227">
        <v>47.0</v>
      </c>
      <c r="B307" s="228" t="s">
        <v>48</v>
      </c>
      <c r="C307" s="236" t="s">
        <v>446</v>
      </c>
      <c r="D307" s="236" t="s">
        <v>240</v>
      </c>
      <c r="E307" s="227" t="s">
        <v>141</v>
      </c>
      <c r="F307" s="237">
        <v>42902.0</v>
      </c>
      <c r="G307" s="238" t="s">
        <v>766</v>
      </c>
      <c r="H307" s="236">
        <v>4.3522522E9</v>
      </c>
      <c r="I307" s="238" t="s">
        <v>767</v>
      </c>
      <c r="J307" s="239">
        <v>44835.0</v>
      </c>
      <c r="K307" s="232"/>
      <c r="L307" s="232"/>
      <c r="M307" s="229" t="s">
        <v>696</v>
      </c>
      <c r="N307" s="228" t="s">
        <v>34</v>
      </c>
      <c r="O307" s="234">
        <v>45444.0</v>
      </c>
      <c r="P307" s="235"/>
      <c r="Q307" s="235"/>
      <c r="R307" s="235"/>
      <c r="S307" s="235"/>
      <c r="T307" s="253"/>
      <c r="U307" s="253"/>
      <c r="V307" s="253"/>
      <c r="W307" s="235"/>
      <c r="X307" s="235"/>
      <c r="Y307" s="235"/>
      <c r="Z307" s="235"/>
      <c r="AA307" s="235"/>
      <c r="AB307" s="235"/>
      <c r="AC307" s="235"/>
      <c r="AD307" s="235"/>
      <c r="AE307" s="235"/>
      <c r="AF307" s="235"/>
      <c r="AG307" s="235"/>
      <c r="AH307" s="235"/>
      <c r="AI307" s="235"/>
      <c r="AJ307" s="235"/>
      <c r="AK307" s="235"/>
      <c r="AL307" s="235"/>
      <c r="AM307" s="235"/>
      <c r="AN307" s="235"/>
      <c r="AO307" s="235"/>
      <c r="AP307" s="235"/>
      <c r="AQ307" s="235"/>
      <c r="AR307" s="235"/>
      <c r="AS307" s="235"/>
      <c r="AT307" s="235"/>
    </row>
    <row r="308" ht="17.25" hidden="1" customHeight="1">
      <c r="A308" s="227">
        <v>48.0</v>
      </c>
      <c r="B308" s="228" t="s">
        <v>88</v>
      </c>
      <c r="C308" s="236" t="s">
        <v>446</v>
      </c>
      <c r="D308" s="236" t="s">
        <v>240</v>
      </c>
      <c r="E308" s="227" t="s">
        <v>141</v>
      </c>
      <c r="F308" s="237">
        <v>42902.0</v>
      </c>
      <c r="G308" s="238" t="s">
        <v>766</v>
      </c>
      <c r="H308" s="236">
        <v>4.3522522E9</v>
      </c>
      <c r="I308" s="238" t="s">
        <v>767</v>
      </c>
      <c r="J308" s="239">
        <v>45078.0</v>
      </c>
      <c r="K308" s="232"/>
      <c r="L308" s="232"/>
      <c r="M308" s="229" t="s">
        <v>696</v>
      </c>
      <c r="N308" s="228" t="s">
        <v>34</v>
      </c>
      <c r="O308" s="234">
        <v>45444.0</v>
      </c>
      <c r="P308" s="235"/>
      <c r="Q308" s="235"/>
      <c r="R308" s="235"/>
      <c r="S308" s="235"/>
      <c r="T308" s="7"/>
      <c r="U308" s="7"/>
      <c r="V308" s="7"/>
      <c r="W308" s="235"/>
      <c r="X308" s="235"/>
      <c r="Y308" s="235"/>
      <c r="Z308" s="235"/>
      <c r="AA308" s="235"/>
      <c r="AB308" s="235"/>
      <c r="AC308" s="235"/>
      <c r="AD308" s="235"/>
      <c r="AE308" s="235"/>
      <c r="AF308" s="235"/>
      <c r="AG308" s="235"/>
      <c r="AH308" s="235"/>
      <c r="AI308" s="235"/>
      <c r="AJ308" s="235"/>
      <c r="AK308" s="235"/>
      <c r="AL308" s="235"/>
      <c r="AM308" s="235"/>
      <c r="AN308" s="235"/>
      <c r="AO308" s="235"/>
      <c r="AP308" s="235"/>
      <c r="AQ308" s="235"/>
      <c r="AR308" s="235"/>
      <c r="AS308" s="235"/>
      <c r="AT308" s="235"/>
    </row>
    <row r="309" ht="17.25" hidden="1" customHeight="1">
      <c r="A309" s="227">
        <v>49.0</v>
      </c>
      <c r="B309" s="228" t="s">
        <v>48</v>
      </c>
      <c r="C309" s="236" t="s">
        <v>294</v>
      </c>
      <c r="D309" s="236" t="s">
        <v>768</v>
      </c>
      <c r="E309" s="227">
        <v>4.0</v>
      </c>
      <c r="F309" s="237">
        <v>40736.0</v>
      </c>
      <c r="G309" s="238" t="s">
        <v>769</v>
      </c>
      <c r="H309" s="236">
        <v>4.083321491E9</v>
      </c>
      <c r="I309" s="238" t="s">
        <v>770</v>
      </c>
      <c r="J309" s="239">
        <v>44004.0</v>
      </c>
      <c r="K309" s="238"/>
      <c r="L309" s="238"/>
      <c r="M309" s="236"/>
      <c r="N309" s="228" t="s">
        <v>34</v>
      </c>
      <c r="O309" s="234">
        <v>45444.0</v>
      </c>
      <c r="P309" s="235"/>
      <c r="Q309" s="235"/>
      <c r="R309" s="235"/>
      <c r="S309" s="235"/>
      <c r="T309" s="7"/>
      <c r="U309" s="7"/>
      <c r="V309" s="7"/>
      <c r="W309" s="235"/>
      <c r="X309" s="235"/>
      <c r="Y309" s="235"/>
      <c r="Z309" s="235"/>
      <c r="AA309" s="235"/>
      <c r="AB309" s="235"/>
      <c r="AC309" s="235"/>
      <c r="AD309" s="235"/>
      <c r="AE309" s="235"/>
      <c r="AF309" s="235"/>
      <c r="AG309" s="235"/>
      <c r="AH309" s="235"/>
      <c r="AI309" s="235"/>
      <c r="AJ309" s="235"/>
      <c r="AK309" s="235"/>
      <c r="AL309" s="235"/>
      <c r="AM309" s="235"/>
      <c r="AN309" s="235"/>
      <c r="AO309" s="235"/>
      <c r="AP309" s="235"/>
      <c r="AQ309" s="235"/>
      <c r="AR309" s="235"/>
      <c r="AS309" s="235"/>
      <c r="AT309" s="235"/>
    </row>
    <row r="310" ht="17.25" hidden="1" customHeight="1">
      <c r="A310" s="227">
        <v>50.0</v>
      </c>
      <c r="B310" s="228" t="s">
        <v>88</v>
      </c>
      <c r="C310" s="236" t="s">
        <v>294</v>
      </c>
      <c r="D310" s="236" t="s">
        <v>768</v>
      </c>
      <c r="E310" s="227">
        <v>4.0</v>
      </c>
      <c r="F310" s="237">
        <v>40736.0</v>
      </c>
      <c r="G310" s="238" t="s">
        <v>769</v>
      </c>
      <c r="H310" s="236">
        <v>4.083321491E9</v>
      </c>
      <c r="I310" s="238" t="s">
        <v>770</v>
      </c>
      <c r="J310" s="239">
        <v>44004.0</v>
      </c>
      <c r="K310" s="238"/>
      <c r="L310" s="238"/>
      <c r="M310" s="236"/>
      <c r="N310" s="228" t="s">
        <v>34</v>
      </c>
      <c r="O310" s="234">
        <v>45444.0</v>
      </c>
      <c r="P310" s="235"/>
      <c r="Q310" s="235"/>
      <c r="R310" s="235"/>
      <c r="S310" s="235"/>
      <c r="T310" s="7"/>
      <c r="U310" s="7"/>
      <c r="V310" s="7"/>
      <c r="W310" s="235"/>
      <c r="X310" s="235"/>
      <c r="Y310" s="235"/>
      <c r="Z310" s="235"/>
      <c r="AA310" s="235"/>
      <c r="AB310" s="235"/>
      <c r="AC310" s="235"/>
      <c r="AD310" s="235"/>
      <c r="AE310" s="235"/>
      <c r="AF310" s="235"/>
      <c r="AG310" s="235"/>
      <c r="AH310" s="235"/>
      <c r="AI310" s="235"/>
      <c r="AJ310" s="235"/>
      <c r="AK310" s="235"/>
      <c r="AL310" s="235"/>
      <c r="AM310" s="235"/>
      <c r="AN310" s="235"/>
      <c r="AO310" s="235"/>
      <c r="AP310" s="235"/>
      <c r="AQ310" s="235"/>
      <c r="AR310" s="235"/>
      <c r="AS310" s="235"/>
      <c r="AT310" s="235"/>
    </row>
    <row r="311" ht="17.25" hidden="1" customHeight="1">
      <c r="A311" s="227">
        <v>51.0</v>
      </c>
      <c r="B311" s="300" t="s">
        <v>48</v>
      </c>
      <c r="C311" s="229" t="s">
        <v>239</v>
      </c>
      <c r="D311" s="229" t="s">
        <v>244</v>
      </c>
      <c r="E311" s="230">
        <v>2.0</v>
      </c>
      <c r="F311" s="231">
        <v>42342.0</v>
      </c>
      <c r="G311" s="232" t="s">
        <v>771</v>
      </c>
      <c r="H311" s="229">
        <v>4.084214334E9</v>
      </c>
      <c r="I311" s="232" t="s">
        <v>242</v>
      </c>
      <c r="J311" s="233">
        <v>45170.0</v>
      </c>
      <c r="K311" s="232"/>
      <c r="L311" s="232"/>
      <c r="M311" s="229" t="s">
        <v>772</v>
      </c>
      <c r="N311" s="228" t="s">
        <v>34</v>
      </c>
      <c r="O311" s="234">
        <v>45444.0</v>
      </c>
      <c r="P311" s="235"/>
      <c r="Q311" s="235"/>
      <c r="R311" s="235"/>
      <c r="S311" s="235"/>
      <c r="T311" s="7"/>
      <c r="U311" s="7"/>
      <c r="V311" s="7"/>
      <c r="W311" s="235"/>
      <c r="X311" s="235"/>
      <c r="Y311" s="235"/>
      <c r="Z311" s="235"/>
      <c r="AA311" s="235"/>
      <c r="AB311" s="235"/>
      <c r="AC311" s="235"/>
      <c r="AD311" s="235"/>
      <c r="AE311" s="235"/>
      <c r="AF311" s="235"/>
      <c r="AG311" s="235"/>
      <c r="AH311" s="235"/>
      <c r="AI311" s="235"/>
      <c r="AJ311" s="235"/>
      <c r="AK311" s="235"/>
      <c r="AL311" s="235"/>
      <c r="AM311" s="235"/>
      <c r="AN311" s="235"/>
      <c r="AO311" s="235"/>
      <c r="AP311" s="235"/>
      <c r="AQ311" s="235"/>
      <c r="AR311" s="235"/>
      <c r="AS311" s="235"/>
      <c r="AT311" s="235"/>
    </row>
    <row r="312" ht="17.25" hidden="1" customHeight="1">
      <c r="A312" s="227">
        <v>52.0</v>
      </c>
      <c r="B312" s="300" t="s">
        <v>88</v>
      </c>
      <c r="C312" s="229" t="s">
        <v>239</v>
      </c>
      <c r="D312" s="229" t="s">
        <v>244</v>
      </c>
      <c r="E312" s="230">
        <v>2.0</v>
      </c>
      <c r="F312" s="231">
        <v>42342.0</v>
      </c>
      <c r="G312" s="232" t="s">
        <v>771</v>
      </c>
      <c r="H312" s="229">
        <v>4.084214334E9</v>
      </c>
      <c r="I312" s="232" t="s">
        <v>242</v>
      </c>
      <c r="J312" s="233">
        <v>45170.0</v>
      </c>
      <c r="K312" s="232"/>
      <c r="L312" s="232"/>
      <c r="M312" s="229" t="s">
        <v>772</v>
      </c>
      <c r="N312" s="228" t="s">
        <v>34</v>
      </c>
      <c r="O312" s="234">
        <v>45444.0</v>
      </c>
      <c r="P312" s="235"/>
      <c r="Q312" s="235"/>
      <c r="R312" s="235"/>
      <c r="S312" s="235"/>
      <c r="T312" s="7"/>
      <c r="U312" s="7"/>
      <c r="V312" s="7"/>
      <c r="W312" s="235"/>
      <c r="X312" s="235"/>
      <c r="Y312" s="235"/>
      <c r="Z312" s="235"/>
      <c r="AA312" s="235"/>
      <c r="AB312" s="235"/>
      <c r="AC312" s="235"/>
      <c r="AD312" s="235"/>
      <c r="AE312" s="235"/>
      <c r="AF312" s="235"/>
      <c r="AG312" s="235"/>
      <c r="AH312" s="235"/>
      <c r="AI312" s="235"/>
      <c r="AJ312" s="235"/>
      <c r="AK312" s="235"/>
      <c r="AL312" s="235"/>
      <c r="AM312" s="235"/>
      <c r="AN312" s="235"/>
      <c r="AO312" s="235"/>
      <c r="AP312" s="235"/>
      <c r="AQ312" s="235"/>
      <c r="AR312" s="235"/>
      <c r="AS312" s="235"/>
      <c r="AT312" s="235"/>
    </row>
    <row r="313" ht="17.25" hidden="1" customHeight="1">
      <c r="A313" s="216">
        <v>53.0</v>
      </c>
      <c r="B313" s="217" t="s">
        <v>48</v>
      </c>
      <c r="C313" s="218" t="s">
        <v>773</v>
      </c>
      <c r="D313" s="218" t="s">
        <v>774</v>
      </c>
      <c r="E313" s="216">
        <v>1.0</v>
      </c>
      <c r="F313" s="219">
        <v>42177.0</v>
      </c>
      <c r="G313" s="297" t="s">
        <v>775</v>
      </c>
      <c r="H313" s="297">
        <v>4.436532199E9</v>
      </c>
      <c r="I313" s="297" t="s">
        <v>776</v>
      </c>
      <c r="J313" s="221">
        <v>45154.0</v>
      </c>
      <c r="K313" s="220"/>
      <c r="L313" s="220"/>
      <c r="M313" s="218" t="s">
        <v>696</v>
      </c>
      <c r="N313" s="217" t="s">
        <v>34</v>
      </c>
      <c r="O313" s="222">
        <v>45444.0</v>
      </c>
      <c r="P313" s="206"/>
      <c r="Q313" s="206"/>
      <c r="R313" s="206"/>
      <c r="S313" s="206"/>
      <c r="T313" s="7"/>
      <c r="U313" s="7"/>
      <c r="V313" s="7"/>
      <c r="W313" s="206"/>
      <c r="X313" s="206"/>
      <c r="Y313" s="206"/>
      <c r="Z313" s="206"/>
      <c r="AA313" s="206"/>
      <c r="AB313" s="206"/>
      <c r="AC313" s="206"/>
      <c r="AD313" s="206"/>
      <c r="AE313" s="206"/>
      <c r="AF313" s="206"/>
      <c r="AG313" s="206"/>
      <c r="AH313" s="206"/>
      <c r="AI313" s="206"/>
      <c r="AJ313" s="206"/>
      <c r="AK313" s="206"/>
      <c r="AL313" s="206"/>
      <c r="AM313" s="206"/>
      <c r="AN313" s="206"/>
      <c r="AO313" s="206"/>
      <c r="AP313" s="206"/>
      <c r="AQ313" s="206"/>
      <c r="AR313" s="206"/>
      <c r="AS313" s="206"/>
      <c r="AT313" s="206"/>
    </row>
    <row r="314" ht="17.25" hidden="1" customHeight="1">
      <c r="A314" s="216">
        <v>54.0</v>
      </c>
      <c r="B314" s="217" t="s">
        <v>88</v>
      </c>
      <c r="C314" s="218" t="s">
        <v>773</v>
      </c>
      <c r="D314" s="218" t="s">
        <v>774</v>
      </c>
      <c r="E314" s="216">
        <v>1.0</v>
      </c>
      <c r="F314" s="219">
        <v>42177.0</v>
      </c>
      <c r="G314" s="297" t="s">
        <v>775</v>
      </c>
      <c r="H314" s="297">
        <v>4.436532199E9</v>
      </c>
      <c r="I314" s="297" t="s">
        <v>776</v>
      </c>
      <c r="J314" s="221">
        <v>45154.0</v>
      </c>
      <c r="K314" s="220"/>
      <c r="L314" s="220"/>
      <c r="M314" s="218" t="s">
        <v>696</v>
      </c>
      <c r="N314" s="217" t="s">
        <v>34</v>
      </c>
      <c r="O314" s="222">
        <v>45444.0</v>
      </c>
      <c r="P314" s="206"/>
      <c r="Q314" s="206"/>
      <c r="R314" s="206"/>
      <c r="S314" s="206"/>
      <c r="T314" s="7"/>
      <c r="U314" s="7"/>
      <c r="V314" s="7"/>
      <c r="W314" s="206"/>
      <c r="X314" s="206"/>
      <c r="Y314" s="206"/>
      <c r="Z314" s="206"/>
      <c r="AA314" s="206"/>
      <c r="AB314" s="206"/>
      <c r="AC314" s="206"/>
      <c r="AD314" s="206"/>
      <c r="AE314" s="206"/>
      <c r="AF314" s="206"/>
      <c r="AG314" s="206"/>
      <c r="AH314" s="206"/>
      <c r="AI314" s="206"/>
      <c r="AJ314" s="206"/>
      <c r="AK314" s="206"/>
      <c r="AL314" s="206"/>
      <c r="AM314" s="206"/>
      <c r="AN314" s="206"/>
      <c r="AO314" s="206"/>
      <c r="AP314" s="206"/>
      <c r="AQ314" s="206"/>
      <c r="AR314" s="206"/>
      <c r="AS314" s="206"/>
      <c r="AT314" s="206"/>
    </row>
    <row r="315" ht="17.25" hidden="1" customHeight="1">
      <c r="A315" s="227">
        <v>55.0</v>
      </c>
      <c r="B315" s="228" t="s">
        <v>48</v>
      </c>
      <c r="C315" s="236" t="s">
        <v>446</v>
      </c>
      <c r="D315" s="236" t="s">
        <v>644</v>
      </c>
      <c r="E315" s="227" t="s">
        <v>141</v>
      </c>
      <c r="F315" s="237">
        <v>42902.0</v>
      </c>
      <c r="G315" s="238" t="s">
        <v>766</v>
      </c>
      <c r="H315" s="236">
        <v>4.3522522E9</v>
      </c>
      <c r="I315" s="238" t="s">
        <v>767</v>
      </c>
      <c r="J315" s="239">
        <v>44835.0</v>
      </c>
      <c r="K315" s="238"/>
      <c r="L315" s="238"/>
      <c r="M315" s="236"/>
      <c r="N315" s="228" t="s">
        <v>34</v>
      </c>
      <c r="O315" s="234">
        <v>45444.0</v>
      </c>
      <c r="P315" s="235"/>
      <c r="Q315" s="235"/>
      <c r="R315" s="235"/>
      <c r="S315" s="235"/>
      <c r="T315" s="7"/>
      <c r="U315" s="7"/>
      <c r="V315" s="7"/>
      <c r="W315" s="235"/>
      <c r="X315" s="235"/>
      <c r="Y315" s="235"/>
      <c r="Z315" s="235"/>
      <c r="AA315" s="235"/>
      <c r="AB315" s="235"/>
      <c r="AC315" s="235"/>
      <c r="AD315" s="235"/>
      <c r="AE315" s="235"/>
      <c r="AF315" s="235"/>
      <c r="AG315" s="235"/>
      <c r="AH315" s="235"/>
      <c r="AI315" s="235"/>
      <c r="AJ315" s="235"/>
      <c r="AK315" s="235"/>
      <c r="AL315" s="235"/>
      <c r="AM315" s="235"/>
      <c r="AN315" s="235"/>
      <c r="AO315" s="235"/>
      <c r="AP315" s="235"/>
      <c r="AQ315" s="235"/>
      <c r="AR315" s="235"/>
      <c r="AS315" s="235"/>
      <c r="AT315" s="235"/>
    </row>
    <row r="316" ht="17.25" hidden="1" customHeight="1">
      <c r="A316" s="227">
        <v>56.0</v>
      </c>
      <c r="B316" s="228" t="s">
        <v>88</v>
      </c>
      <c r="C316" s="236" t="s">
        <v>446</v>
      </c>
      <c r="D316" s="236" t="s">
        <v>644</v>
      </c>
      <c r="E316" s="227" t="s">
        <v>141</v>
      </c>
      <c r="F316" s="237">
        <v>42902.0</v>
      </c>
      <c r="G316" s="238" t="s">
        <v>766</v>
      </c>
      <c r="H316" s="236">
        <v>4.3522522E9</v>
      </c>
      <c r="I316" s="238" t="s">
        <v>767</v>
      </c>
      <c r="J316" s="239">
        <v>45078.0</v>
      </c>
      <c r="K316" s="238"/>
      <c r="L316" s="238"/>
      <c r="M316" s="236"/>
      <c r="N316" s="228" t="s">
        <v>34</v>
      </c>
      <c r="O316" s="234">
        <v>45444.0</v>
      </c>
      <c r="P316" s="235"/>
      <c r="Q316" s="235"/>
      <c r="R316" s="235"/>
      <c r="S316" s="235"/>
      <c r="T316" s="7"/>
      <c r="U316" s="7"/>
      <c r="V316" s="7"/>
      <c r="W316" s="235"/>
      <c r="X316" s="235"/>
      <c r="Y316" s="235"/>
      <c r="Z316" s="235"/>
      <c r="AA316" s="235"/>
      <c r="AB316" s="235"/>
      <c r="AC316" s="235"/>
      <c r="AD316" s="235"/>
      <c r="AE316" s="235"/>
      <c r="AF316" s="235"/>
      <c r="AG316" s="235"/>
      <c r="AH316" s="235"/>
      <c r="AI316" s="235"/>
      <c r="AJ316" s="235"/>
      <c r="AK316" s="235"/>
      <c r="AL316" s="235"/>
      <c r="AM316" s="235"/>
      <c r="AN316" s="235"/>
      <c r="AO316" s="235"/>
      <c r="AP316" s="235"/>
      <c r="AQ316" s="235"/>
      <c r="AR316" s="235"/>
      <c r="AS316" s="235"/>
      <c r="AT316" s="235"/>
    </row>
    <row r="317" ht="17.25" hidden="1" customHeight="1">
      <c r="A317" s="227">
        <v>57.0</v>
      </c>
      <c r="B317" s="228" t="s">
        <v>48</v>
      </c>
      <c r="C317" s="236" t="s">
        <v>623</v>
      </c>
      <c r="D317" s="236" t="s">
        <v>777</v>
      </c>
      <c r="E317" s="227">
        <v>1.0</v>
      </c>
      <c r="F317" s="237">
        <v>42568.0</v>
      </c>
      <c r="G317" s="232" t="s">
        <v>625</v>
      </c>
      <c r="H317" s="232" t="s">
        <v>626</v>
      </c>
      <c r="I317" s="232" t="s">
        <v>627</v>
      </c>
      <c r="J317" s="239">
        <v>45110.0</v>
      </c>
      <c r="K317" s="238"/>
      <c r="L317" s="238"/>
      <c r="M317" s="236"/>
      <c r="N317" s="228" t="s">
        <v>34</v>
      </c>
      <c r="O317" s="234">
        <v>45444.0</v>
      </c>
      <c r="P317" s="235"/>
      <c r="Q317" s="235"/>
      <c r="R317" s="235"/>
      <c r="S317" s="235"/>
      <c r="T317" s="7"/>
      <c r="U317" s="7"/>
      <c r="V317" s="7"/>
      <c r="W317" s="235"/>
      <c r="X317" s="235"/>
      <c r="Y317" s="235"/>
      <c r="Z317" s="235"/>
      <c r="AA317" s="235"/>
      <c r="AB317" s="235"/>
      <c r="AC317" s="235"/>
      <c r="AD317" s="235"/>
      <c r="AE317" s="235"/>
      <c r="AF317" s="235"/>
      <c r="AG317" s="235"/>
      <c r="AH317" s="235"/>
      <c r="AI317" s="235"/>
      <c r="AJ317" s="235"/>
      <c r="AK317" s="235"/>
      <c r="AL317" s="235"/>
      <c r="AM317" s="235"/>
      <c r="AN317" s="235"/>
      <c r="AO317" s="235"/>
      <c r="AP317" s="235"/>
      <c r="AQ317" s="235"/>
      <c r="AR317" s="235"/>
      <c r="AS317" s="235"/>
      <c r="AT317" s="235"/>
    </row>
    <row r="318" ht="17.25" hidden="1" customHeight="1">
      <c r="A318" s="227">
        <v>58.0</v>
      </c>
      <c r="B318" s="228" t="s">
        <v>88</v>
      </c>
      <c r="C318" s="236" t="s">
        <v>623</v>
      </c>
      <c r="D318" s="236" t="s">
        <v>777</v>
      </c>
      <c r="E318" s="227">
        <v>1.0</v>
      </c>
      <c r="F318" s="237">
        <v>42568.0</v>
      </c>
      <c r="G318" s="232" t="s">
        <v>628</v>
      </c>
      <c r="H318" s="232" t="s">
        <v>629</v>
      </c>
      <c r="I318" s="232" t="s">
        <v>627</v>
      </c>
      <c r="J318" s="239">
        <v>45110.0</v>
      </c>
      <c r="K318" s="238"/>
      <c r="L318" s="238"/>
      <c r="M318" s="236"/>
      <c r="N318" s="228" t="s">
        <v>34</v>
      </c>
      <c r="O318" s="234">
        <v>45444.0</v>
      </c>
      <c r="P318" s="235"/>
      <c r="Q318" s="235"/>
      <c r="R318" s="235"/>
      <c r="S318" s="235"/>
      <c r="T318" s="7"/>
      <c r="U318" s="7"/>
      <c r="V318" s="7"/>
      <c r="W318" s="235"/>
      <c r="X318" s="235"/>
      <c r="Y318" s="235"/>
      <c r="Z318" s="235"/>
      <c r="AA318" s="235"/>
      <c r="AB318" s="235"/>
      <c r="AC318" s="235"/>
      <c r="AD318" s="235"/>
      <c r="AE318" s="235"/>
      <c r="AF318" s="235"/>
      <c r="AG318" s="235"/>
      <c r="AH318" s="235"/>
      <c r="AI318" s="235"/>
      <c r="AJ318" s="235"/>
      <c r="AK318" s="235"/>
      <c r="AL318" s="235"/>
      <c r="AM318" s="235"/>
      <c r="AN318" s="235"/>
      <c r="AO318" s="235"/>
      <c r="AP318" s="235"/>
      <c r="AQ318" s="235"/>
      <c r="AR318" s="235"/>
      <c r="AS318" s="235"/>
      <c r="AT318" s="235"/>
    </row>
    <row r="319" ht="17.25" hidden="1" customHeight="1">
      <c r="A319" s="216">
        <v>59.0</v>
      </c>
      <c r="B319" s="217" t="s">
        <v>48</v>
      </c>
      <c r="C319" s="218" t="s">
        <v>670</v>
      </c>
      <c r="D319" s="218" t="s">
        <v>674</v>
      </c>
      <c r="E319" s="216">
        <v>3.0</v>
      </c>
      <c r="F319" s="219">
        <v>42124.0</v>
      </c>
      <c r="G319" s="220" t="s">
        <v>672</v>
      </c>
      <c r="H319" s="218">
        <v>4.085076346E9</v>
      </c>
      <c r="I319" s="220" t="s">
        <v>673</v>
      </c>
      <c r="J319" s="221">
        <v>45293.0</v>
      </c>
      <c r="K319" s="297"/>
      <c r="L319" s="297"/>
      <c r="M319" s="294" t="s">
        <v>696</v>
      </c>
      <c r="N319" s="217" t="s">
        <v>34</v>
      </c>
      <c r="O319" s="222">
        <v>45444.0</v>
      </c>
      <c r="P319" s="206"/>
      <c r="Q319" s="206"/>
      <c r="R319" s="206"/>
      <c r="S319" s="206"/>
      <c r="T319" s="7"/>
      <c r="U319" s="7"/>
      <c r="V319" s="7"/>
      <c r="W319" s="206"/>
      <c r="X319" s="206"/>
      <c r="Y319" s="206"/>
      <c r="Z319" s="206"/>
      <c r="AA319" s="206"/>
      <c r="AB319" s="206"/>
      <c r="AC319" s="206"/>
      <c r="AD319" s="206"/>
      <c r="AE319" s="206"/>
      <c r="AF319" s="206"/>
      <c r="AG319" s="206"/>
      <c r="AH319" s="206"/>
      <c r="AI319" s="206"/>
      <c r="AJ319" s="206"/>
      <c r="AK319" s="206"/>
      <c r="AL319" s="206"/>
      <c r="AM319" s="206"/>
      <c r="AN319" s="206"/>
      <c r="AO319" s="206"/>
      <c r="AP319" s="206"/>
      <c r="AQ319" s="206"/>
      <c r="AR319" s="206"/>
      <c r="AS319" s="206"/>
      <c r="AT319" s="206"/>
    </row>
    <row r="320" ht="17.25" hidden="1" customHeight="1">
      <c r="A320" s="227">
        <v>60.0</v>
      </c>
      <c r="B320" s="228" t="s">
        <v>48</v>
      </c>
      <c r="C320" s="229" t="s">
        <v>619</v>
      </c>
      <c r="D320" s="229" t="s">
        <v>153</v>
      </c>
      <c r="E320" s="230">
        <v>1.0</v>
      </c>
      <c r="F320" s="231">
        <v>42894.0</v>
      </c>
      <c r="G320" s="232" t="s">
        <v>620</v>
      </c>
      <c r="H320" s="229">
        <v>6.503358676E9</v>
      </c>
      <c r="I320" s="232" t="s">
        <v>621</v>
      </c>
      <c r="J320" s="233">
        <v>45159.0</v>
      </c>
      <c r="K320" s="232"/>
      <c r="L320" s="232"/>
      <c r="M320" s="229"/>
      <c r="N320" s="228" t="s">
        <v>34</v>
      </c>
      <c r="O320" s="234">
        <v>45444.0</v>
      </c>
      <c r="P320" s="235"/>
      <c r="Q320" s="235"/>
      <c r="R320" s="235"/>
      <c r="S320" s="235"/>
      <c r="T320" s="302"/>
      <c r="U320" s="302"/>
      <c r="V320" s="302"/>
      <c r="W320" s="235"/>
      <c r="X320" s="235"/>
      <c r="Y320" s="235"/>
      <c r="Z320" s="235"/>
      <c r="AA320" s="235"/>
      <c r="AB320" s="235"/>
      <c r="AC320" s="235"/>
      <c r="AD320" s="235"/>
      <c r="AE320" s="235"/>
      <c r="AF320" s="235"/>
      <c r="AG320" s="235"/>
      <c r="AH320" s="235"/>
      <c r="AI320" s="235"/>
      <c r="AJ320" s="235"/>
      <c r="AK320" s="235"/>
      <c r="AL320" s="235"/>
      <c r="AM320" s="235"/>
      <c r="AN320" s="235"/>
      <c r="AO320" s="235"/>
      <c r="AP320" s="235"/>
      <c r="AQ320" s="235"/>
      <c r="AR320" s="235"/>
      <c r="AS320" s="235"/>
      <c r="AT320" s="235"/>
    </row>
    <row r="321" ht="17.25" hidden="1" customHeight="1">
      <c r="A321" s="227">
        <v>61.0</v>
      </c>
      <c r="B321" s="228" t="s">
        <v>48</v>
      </c>
      <c r="C321" s="236" t="s">
        <v>778</v>
      </c>
      <c r="D321" s="236" t="s">
        <v>779</v>
      </c>
      <c r="E321" s="227">
        <v>4.0</v>
      </c>
      <c r="F321" s="237">
        <v>41881.0</v>
      </c>
      <c r="G321" s="232" t="s">
        <v>780</v>
      </c>
      <c r="H321" s="232">
        <v>5.103587899E9</v>
      </c>
      <c r="I321" s="232" t="s">
        <v>781</v>
      </c>
      <c r="J321" s="239">
        <v>45159.0</v>
      </c>
      <c r="K321" s="238"/>
      <c r="L321" s="238"/>
      <c r="M321" s="236"/>
      <c r="N321" s="228" t="s">
        <v>34</v>
      </c>
      <c r="O321" s="234">
        <v>45444.0</v>
      </c>
      <c r="P321" s="235"/>
      <c r="Q321" s="235"/>
      <c r="R321" s="235"/>
      <c r="S321" s="235"/>
      <c r="T321" s="302"/>
      <c r="U321" s="302"/>
      <c r="V321" s="302"/>
      <c r="W321" s="235"/>
      <c r="X321" s="235"/>
      <c r="Y321" s="235"/>
      <c r="Z321" s="235"/>
      <c r="AA321" s="235"/>
      <c r="AB321" s="235"/>
      <c r="AC321" s="235"/>
      <c r="AD321" s="235"/>
      <c r="AE321" s="235"/>
      <c r="AF321" s="235"/>
      <c r="AG321" s="235"/>
      <c r="AH321" s="235"/>
      <c r="AI321" s="235"/>
      <c r="AJ321" s="235"/>
      <c r="AK321" s="235"/>
      <c r="AL321" s="235"/>
      <c r="AM321" s="235"/>
      <c r="AN321" s="235"/>
      <c r="AO321" s="235"/>
      <c r="AP321" s="235"/>
      <c r="AQ321" s="235"/>
      <c r="AR321" s="235"/>
      <c r="AS321" s="235"/>
      <c r="AT321" s="235"/>
    </row>
    <row r="322" ht="17.25" hidden="1" customHeight="1">
      <c r="A322" s="227">
        <v>62.0</v>
      </c>
      <c r="B322" s="228" t="s">
        <v>88</v>
      </c>
      <c r="C322" s="229" t="s">
        <v>778</v>
      </c>
      <c r="D322" s="229" t="s">
        <v>779</v>
      </c>
      <c r="E322" s="230">
        <v>4.0</v>
      </c>
      <c r="F322" s="231">
        <v>41881.0</v>
      </c>
      <c r="G322" s="232" t="s">
        <v>780</v>
      </c>
      <c r="H322" s="229">
        <v>5.103587899E9</v>
      </c>
      <c r="I322" s="232" t="s">
        <v>781</v>
      </c>
      <c r="J322" s="233">
        <v>45159.0</v>
      </c>
      <c r="K322" s="232"/>
      <c r="L322" s="232"/>
      <c r="M322" s="229"/>
      <c r="N322" s="228" t="s">
        <v>34</v>
      </c>
      <c r="O322" s="234">
        <v>45444.0</v>
      </c>
      <c r="P322" s="235"/>
      <c r="Q322" s="235"/>
      <c r="R322" s="235"/>
      <c r="S322" s="235"/>
      <c r="T322" s="302"/>
      <c r="U322" s="302"/>
      <c r="V322" s="302"/>
      <c r="W322" s="235"/>
      <c r="X322" s="235"/>
      <c r="Y322" s="235"/>
      <c r="Z322" s="235"/>
      <c r="AA322" s="235"/>
      <c r="AB322" s="235"/>
      <c r="AC322" s="235"/>
      <c r="AD322" s="235"/>
      <c r="AE322" s="235"/>
      <c r="AF322" s="235"/>
      <c r="AG322" s="235"/>
      <c r="AH322" s="235"/>
      <c r="AI322" s="235"/>
      <c r="AJ322" s="235"/>
      <c r="AK322" s="235"/>
      <c r="AL322" s="235"/>
      <c r="AM322" s="235"/>
      <c r="AN322" s="235"/>
      <c r="AO322" s="235"/>
      <c r="AP322" s="235"/>
      <c r="AQ322" s="235"/>
      <c r="AR322" s="235"/>
      <c r="AS322" s="235"/>
      <c r="AT322" s="235"/>
    </row>
    <row r="323" ht="17.25" hidden="1" customHeight="1">
      <c r="A323" s="227">
        <v>63.0</v>
      </c>
      <c r="B323" s="228" t="s">
        <v>48</v>
      </c>
      <c r="C323" s="236" t="s">
        <v>724</v>
      </c>
      <c r="D323" s="236" t="s">
        <v>782</v>
      </c>
      <c r="E323" s="227">
        <v>1.0</v>
      </c>
      <c r="F323" s="237">
        <v>42637.0</v>
      </c>
      <c r="G323" s="232" t="s">
        <v>726</v>
      </c>
      <c r="H323" s="232">
        <v>4.082064921E9</v>
      </c>
      <c r="I323" s="232" t="s">
        <v>727</v>
      </c>
      <c r="J323" s="239">
        <v>45352.0</v>
      </c>
      <c r="K323" s="238"/>
      <c r="L323" s="238"/>
      <c r="M323" s="236"/>
      <c r="N323" s="228" t="s">
        <v>34</v>
      </c>
      <c r="O323" s="234">
        <v>45444.0</v>
      </c>
      <c r="P323" s="235"/>
      <c r="Q323" s="235"/>
      <c r="R323" s="235"/>
      <c r="S323" s="235"/>
      <c r="T323" s="302"/>
      <c r="U323" s="302"/>
      <c r="V323" s="302"/>
      <c r="W323" s="235"/>
      <c r="X323" s="235"/>
      <c r="Y323" s="235"/>
      <c r="Z323" s="235"/>
      <c r="AA323" s="235"/>
      <c r="AB323" s="235"/>
      <c r="AC323" s="235"/>
      <c r="AD323" s="235"/>
      <c r="AE323" s="235"/>
      <c r="AF323" s="235"/>
      <c r="AG323" s="235"/>
      <c r="AH323" s="235"/>
      <c r="AI323" s="235"/>
      <c r="AJ323" s="235"/>
      <c r="AK323" s="235"/>
      <c r="AL323" s="235"/>
      <c r="AM323" s="235"/>
      <c r="AN323" s="235"/>
      <c r="AO323" s="235"/>
      <c r="AP323" s="235"/>
      <c r="AQ323" s="235"/>
      <c r="AR323" s="235"/>
      <c r="AS323" s="235"/>
      <c r="AT323" s="235"/>
    </row>
    <row r="324" ht="17.25" hidden="1" customHeight="1">
      <c r="A324" s="227">
        <v>64.0</v>
      </c>
      <c r="B324" s="228" t="s">
        <v>88</v>
      </c>
      <c r="C324" s="229" t="s">
        <v>446</v>
      </c>
      <c r="D324" s="229" t="s">
        <v>560</v>
      </c>
      <c r="E324" s="230">
        <v>1.0</v>
      </c>
      <c r="F324" s="231">
        <v>42483.0</v>
      </c>
      <c r="G324" s="232" t="s">
        <v>561</v>
      </c>
      <c r="H324" s="229">
        <v>6.692460021E9</v>
      </c>
      <c r="I324" s="232" t="s">
        <v>562</v>
      </c>
      <c r="J324" s="233">
        <v>45174.0</v>
      </c>
      <c r="K324" s="232"/>
      <c r="L324" s="232"/>
      <c r="M324" s="229"/>
      <c r="N324" s="228" t="s">
        <v>34</v>
      </c>
      <c r="O324" s="234">
        <v>45444.0</v>
      </c>
      <c r="P324" s="235"/>
      <c r="Q324" s="235"/>
      <c r="R324" s="235"/>
      <c r="S324" s="235"/>
      <c r="T324" s="303"/>
      <c r="U324" s="303"/>
      <c r="V324" s="303"/>
      <c r="W324" s="235"/>
      <c r="X324" s="235"/>
      <c r="Y324" s="235"/>
      <c r="Z324" s="235"/>
      <c r="AA324" s="235"/>
      <c r="AB324" s="235"/>
      <c r="AC324" s="235"/>
      <c r="AD324" s="235"/>
      <c r="AE324" s="235"/>
      <c r="AF324" s="235"/>
      <c r="AG324" s="235"/>
      <c r="AH324" s="235"/>
      <c r="AI324" s="235"/>
      <c r="AJ324" s="235"/>
      <c r="AK324" s="235"/>
      <c r="AL324" s="235"/>
      <c r="AM324" s="235"/>
      <c r="AN324" s="235"/>
      <c r="AO324" s="235"/>
      <c r="AP324" s="235"/>
      <c r="AQ324" s="235"/>
      <c r="AR324" s="235"/>
      <c r="AS324" s="235"/>
      <c r="AT324" s="235"/>
    </row>
    <row r="325" ht="17.25" hidden="1" customHeight="1">
      <c r="A325" s="216">
        <v>65.0</v>
      </c>
      <c r="B325" s="217" t="s">
        <v>48</v>
      </c>
      <c r="C325" s="294" t="s">
        <v>590</v>
      </c>
      <c r="D325" s="294" t="s">
        <v>783</v>
      </c>
      <c r="E325" s="295">
        <v>3.0</v>
      </c>
      <c r="F325" s="296">
        <v>42077.0</v>
      </c>
      <c r="G325" s="297" t="s">
        <v>591</v>
      </c>
      <c r="H325" s="294">
        <v>4.085108805E9</v>
      </c>
      <c r="I325" s="297" t="s">
        <v>470</v>
      </c>
      <c r="J325" s="298">
        <v>45160.0</v>
      </c>
      <c r="K325" s="297"/>
      <c r="L325" s="297"/>
      <c r="M325" s="294" t="s">
        <v>696</v>
      </c>
      <c r="N325" s="217" t="s">
        <v>34</v>
      </c>
      <c r="O325" s="222">
        <v>45444.0</v>
      </c>
      <c r="P325" s="206"/>
      <c r="Q325" s="206"/>
      <c r="R325" s="206"/>
      <c r="S325" s="206"/>
      <c r="T325" s="302"/>
      <c r="U325" s="302"/>
      <c r="V325" s="302"/>
      <c r="W325" s="206"/>
      <c r="X325" s="206"/>
      <c r="Y325" s="206"/>
      <c r="Z325" s="206"/>
      <c r="AA325" s="206"/>
      <c r="AB325" s="206"/>
      <c r="AC325" s="206"/>
      <c r="AD325" s="206"/>
      <c r="AE325" s="206"/>
      <c r="AF325" s="206"/>
      <c r="AG325" s="206"/>
      <c r="AH325" s="206"/>
      <c r="AI325" s="206"/>
      <c r="AJ325" s="206"/>
      <c r="AK325" s="206"/>
      <c r="AL325" s="206"/>
      <c r="AM325" s="206"/>
      <c r="AN325" s="206"/>
      <c r="AO325" s="206"/>
      <c r="AP325" s="206"/>
      <c r="AQ325" s="206"/>
      <c r="AR325" s="206"/>
      <c r="AS325" s="206"/>
      <c r="AT325" s="206"/>
    </row>
    <row r="326" ht="17.25" hidden="1" customHeight="1">
      <c r="A326" s="216">
        <v>66.0</v>
      </c>
      <c r="B326" s="217" t="s">
        <v>88</v>
      </c>
      <c r="C326" s="294" t="s">
        <v>590</v>
      </c>
      <c r="D326" s="294" t="s">
        <v>783</v>
      </c>
      <c r="E326" s="295">
        <v>3.0</v>
      </c>
      <c r="F326" s="296">
        <v>42077.0</v>
      </c>
      <c r="G326" s="297" t="s">
        <v>591</v>
      </c>
      <c r="H326" s="294">
        <v>4.085108805E9</v>
      </c>
      <c r="I326" s="297" t="s">
        <v>470</v>
      </c>
      <c r="J326" s="298">
        <v>45160.0</v>
      </c>
      <c r="K326" s="297"/>
      <c r="L326" s="297"/>
      <c r="M326" s="294" t="s">
        <v>696</v>
      </c>
      <c r="N326" s="217" t="s">
        <v>34</v>
      </c>
      <c r="O326" s="222">
        <v>45444.0</v>
      </c>
      <c r="P326" s="206"/>
      <c r="Q326" s="206"/>
      <c r="R326" s="206"/>
      <c r="S326" s="206"/>
      <c r="T326" s="303"/>
      <c r="U326" s="303"/>
      <c r="V326" s="303"/>
      <c r="W326" s="206"/>
      <c r="X326" s="206"/>
      <c r="Y326" s="206"/>
      <c r="Z326" s="206"/>
      <c r="AA326" s="206"/>
      <c r="AB326" s="206"/>
      <c r="AC326" s="206"/>
      <c r="AD326" s="206"/>
      <c r="AE326" s="206"/>
      <c r="AF326" s="206"/>
      <c r="AG326" s="206"/>
      <c r="AH326" s="206"/>
      <c r="AI326" s="206"/>
      <c r="AJ326" s="206"/>
      <c r="AK326" s="206"/>
      <c r="AL326" s="206"/>
      <c r="AM326" s="206"/>
      <c r="AN326" s="206"/>
      <c r="AO326" s="206"/>
      <c r="AP326" s="206"/>
      <c r="AQ326" s="206"/>
      <c r="AR326" s="206"/>
      <c r="AS326" s="206"/>
      <c r="AT326" s="206"/>
    </row>
    <row r="327" ht="17.25" hidden="1" customHeight="1">
      <c r="A327" s="227">
        <v>67.0</v>
      </c>
      <c r="B327" s="228" t="s">
        <v>48</v>
      </c>
      <c r="C327" s="229" t="s">
        <v>700</v>
      </c>
      <c r="D327" s="229" t="s">
        <v>784</v>
      </c>
      <c r="E327" s="230">
        <v>6.0</v>
      </c>
      <c r="F327" s="231">
        <v>41153.0</v>
      </c>
      <c r="G327" s="232" t="s">
        <v>701</v>
      </c>
      <c r="H327" s="229">
        <v>5.108813622E9</v>
      </c>
      <c r="I327" s="232" t="s">
        <v>702</v>
      </c>
      <c r="J327" s="233">
        <v>45154.0</v>
      </c>
      <c r="K327" s="232"/>
      <c r="L327" s="232"/>
      <c r="M327" s="229"/>
      <c r="N327" s="228" t="s">
        <v>34</v>
      </c>
      <c r="O327" s="234">
        <v>45444.0</v>
      </c>
      <c r="P327" s="235"/>
      <c r="Q327" s="235"/>
      <c r="R327" s="235"/>
      <c r="S327" s="235"/>
      <c r="T327" s="302"/>
      <c r="U327" s="302"/>
      <c r="V327" s="302"/>
      <c r="W327" s="235"/>
      <c r="X327" s="235"/>
      <c r="Y327" s="235"/>
      <c r="Z327" s="235"/>
      <c r="AA327" s="235"/>
      <c r="AB327" s="235"/>
      <c r="AC327" s="235"/>
      <c r="AD327" s="235"/>
      <c r="AE327" s="235"/>
      <c r="AF327" s="235"/>
      <c r="AG327" s="235"/>
      <c r="AH327" s="235"/>
      <c r="AI327" s="235"/>
      <c r="AJ327" s="235"/>
      <c r="AK327" s="235"/>
      <c r="AL327" s="235"/>
      <c r="AM327" s="235"/>
      <c r="AN327" s="235"/>
      <c r="AO327" s="235"/>
      <c r="AP327" s="235"/>
      <c r="AQ327" s="235"/>
      <c r="AR327" s="235"/>
      <c r="AS327" s="235"/>
      <c r="AT327" s="235"/>
    </row>
    <row r="328" ht="17.25" hidden="1" customHeight="1">
      <c r="A328" s="227">
        <v>68.0</v>
      </c>
      <c r="B328" s="228" t="s">
        <v>88</v>
      </c>
      <c r="C328" s="229" t="s">
        <v>700</v>
      </c>
      <c r="D328" s="229" t="s">
        <v>784</v>
      </c>
      <c r="E328" s="230">
        <v>6.0</v>
      </c>
      <c r="F328" s="231">
        <v>41153.0</v>
      </c>
      <c r="G328" s="232" t="s">
        <v>701</v>
      </c>
      <c r="H328" s="229">
        <v>5.108813622E9</v>
      </c>
      <c r="I328" s="232" t="s">
        <v>702</v>
      </c>
      <c r="J328" s="233">
        <v>45154.0</v>
      </c>
      <c r="K328" s="232"/>
      <c r="L328" s="232"/>
      <c r="M328" s="229"/>
      <c r="N328" s="228" t="s">
        <v>34</v>
      </c>
      <c r="O328" s="234">
        <v>45444.0</v>
      </c>
      <c r="P328" s="235"/>
      <c r="Q328" s="235"/>
      <c r="R328" s="235"/>
      <c r="S328" s="235"/>
      <c r="T328" s="304"/>
      <c r="U328" s="304"/>
      <c r="V328" s="304"/>
      <c r="W328" s="235"/>
      <c r="X328" s="235"/>
      <c r="Y328" s="235"/>
      <c r="Z328" s="235"/>
      <c r="AA328" s="235"/>
      <c r="AB328" s="235"/>
      <c r="AC328" s="235"/>
      <c r="AD328" s="235"/>
      <c r="AE328" s="235"/>
      <c r="AF328" s="235"/>
      <c r="AG328" s="235"/>
      <c r="AH328" s="235"/>
      <c r="AI328" s="235"/>
      <c r="AJ328" s="235"/>
      <c r="AK328" s="235"/>
      <c r="AL328" s="235"/>
      <c r="AM328" s="235"/>
      <c r="AN328" s="235"/>
      <c r="AO328" s="235"/>
      <c r="AP328" s="235"/>
      <c r="AQ328" s="235"/>
      <c r="AR328" s="235"/>
      <c r="AS328" s="235"/>
      <c r="AT328" s="235"/>
    </row>
    <row r="329" ht="17.25" hidden="1" customHeight="1">
      <c r="A329" s="216">
        <v>69.0</v>
      </c>
      <c r="B329" s="217" t="s">
        <v>88</v>
      </c>
      <c r="C329" s="294" t="s">
        <v>732</v>
      </c>
      <c r="D329" s="294" t="s">
        <v>785</v>
      </c>
      <c r="E329" s="295">
        <v>3.0</v>
      </c>
      <c r="F329" s="296">
        <v>42122.0</v>
      </c>
      <c r="G329" s="297" t="s">
        <v>733</v>
      </c>
      <c r="H329" s="294">
        <v>4.087591928E9</v>
      </c>
      <c r="I329" s="297" t="s">
        <v>734</v>
      </c>
      <c r="J329" s="298">
        <v>45246.0</v>
      </c>
      <c r="K329" s="297"/>
      <c r="L329" s="297"/>
      <c r="M329" s="294" t="s">
        <v>735</v>
      </c>
      <c r="N329" s="217" t="s">
        <v>34</v>
      </c>
      <c r="O329" s="222">
        <v>45444.0</v>
      </c>
      <c r="P329" s="206"/>
      <c r="Q329" s="206"/>
      <c r="R329" s="206"/>
      <c r="S329" s="206"/>
      <c r="T329" s="197"/>
      <c r="U329" s="197"/>
      <c r="V329" s="197"/>
      <c r="W329" s="206"/>
      <c r="X329" s="206"/>
      <c r="Y329" s="206"/>
      <c r="Z329" s="206"/>
      <c r="AA329" s="206"/>
      <c r="AB329" s="206"/>
      <c r="AC329" s="206"/>
      <c r="AD329" s="206"/>
      <c r="AE329" s="206"/>
      <c r="AF329" s="206"/>
      <c r="AG329" s="206"/>
      <c r="AH329" s="206"/>
      <c r="AI329" s="206"/>
      <c r="AJ329" s="206"/>
      <c r="AK329" s="206"/>
      <c r="AL329" s="206"/>
      <c r="AM329" s="206"/>
      <c r="AN329" s="206"/>
      <c r="AO329" s="206"/>
      <c r="AP329" s="206"/>
      <c r="AQ329" s="206"/>
      <c r="AR329" s="206"/>
      <c r="AS329" s="206"/>
      <c r="AT329" s="206"/>
    </row>
    <row r="330" ht="17.25" hidden="1" customHeight="1">
      <c r="A330" s="227">
        <v>70.0</v>
      </c>
      <c r="B330" s="228" t="s">
        <v>88</v>
      </c>
      <c r="C330" s="236" t="s">
        <v>585</v>
      </c>
      <c r="D330" s="236" t="s">
        <v>594</v>
      </c>
      <c r="E330" s="227">
        <v>6.0</v>
      </c>
      <c r="F330" s="237">
        <v>40961.0</v>
      </c>
      <c r="G330" s="232" t="s">
        <v>740</v>
      </c>
      <c r="H330" s="232">
        <v>4.087977701E9</v>
      </c>
      <c r="I330" s="232" t="s">
        <v>588</v>
      </c>
      <c r="J330" s="239">
        <v>45323.0</v>
      </c>
      <c r="K330" s="238"/>
      <c r="L330" s="238"/>
      <c r="M330" s="236" t="s">
        <v>741</v>
      </c>
      <c r="N330" s="228" t="s">
        <v>34</v>
      </c>
      <c r="O330" s="234">
        <v>45444.0</v>
      </c>
      <c r="P330" s="235"/>
      <c r="Q330" s="235"/>
      <c r="R330" s="235"/>
      <c r="S330" s="235"/>
      <c r="T330" s="304"/>
      <c r="U330" s="304"/>
      <c r="V330" s="304"/>
      <c r="W330" s="235"/>
      <c r="X330" s="235"/>
      <c r="Y330" s="235"/>
      <c r="Z330" s="235"/>
      <c r="AA330" s="235"/>
      <c r="AB330" s="235"/>
      <c r="AC330" s="235"/>
      <c r="AD330" s="235"/>
      <c r="AE330" s="235"/>
      <c r="AF330" s="235"/>
      <c r="AG330" s="235"/>
      <c r="AH330" s="235"/>
      <c r="AI330" s="235"/>
      <c r="AJ330" s="235"/>
      <c r="AK330" s="235"/>
      <c r="AL330" s="235"/>
      <c r="AM330" s="235"/>
      <c r="AN330" s="235"/>
      <c r="AO330" s="235"/>
      <c r="AP330" s="235"/>
      <c r="AQ330" s="235"/>
      <c r="AR330" s="235"/>
      <c r="AS330" s="235"/>
      <c r="AT330" s="235"/>
    </row>
    <row r="331" ht="17.25" hidden="1" customHeight="1">
      <c r="A331" s="241">
        <v>1.0</v>
      </c>
      <c r="B331" s="250" t="s">
        <v>48</v>
      </c>
      <c r="C331" s="257" t="s">
        <v>615</v>
      </c>
      <c r="D331" s="257" t="s">
        <v>786</v>
      </c>
      <c r="E331" s="241">
        <v>3.0</v>
      </c>
      <c r="F331" s="252">
        <v>42387.0</v>
      </c>
      <c r="G331" s="255" t="s">
        <v>787</v>
      </c>
      <c r="H331" s="251">
        <v>9.258603355E9</v>
      </c>
      <c r="I331" s="255" t="s">
        <v>788</v>
      </c>
      <c r="J331" s="254">
        <v>45231.0</v>
      </c>
      <c r="K331" s="255"/>
      <c r="L331" s="255"/>
      <c r="M331" s="251" t="s">
        <v>789</v>
      </c>
      <c r="N331" s="250" t="s">
        <v>34</v>
      </c>
      <c r="O331" s="262">
        <v>45474.0</v>
      </c>
      <c r="P331" s="7"/>
      <c r="Q331" s="7"/>
      <c r="R331" s="7"/>
      <c r="S331" s="7"/>
      <c r="T331" s="197"/>
      <c r="U331" s="197"/>
      <c r="V331" s="19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</row>
    <row r="332" ht="17.25" hidden="1" customHeight="1">
      <c r="A332" s="241">
        <v>2.0</v>
      </c>
      <c r="B332" s="250" t="s">
        <v>88</v>
      </c>
      <c r="C332" s="257" t="s">
        <v>615</v>
      </c>
      <c r="D332" s="257" t="s">
        <v>786</v>
      </c>
      <c r="E332" s="241">
        <v>3.0</v>
      </c>
      <c r="F332" s="252">
        <v>42387.0</v>
      </c>
      <c r="G332" s="255" t="s">
        <v>787</v>
      </c>
      <c r="H332" s="251">
        <v>9.258603355E9</v>
      </c>
      <c r="I332" s="255" t="s">
        <v>788</v>
      </c>
      <c r="J332" s="254">
        <v>45231.0</v>
      </c>
      <c r="K332" s="255"/>
      <c r="L332" s="255"/>
      <c r="M332" s="251" t="s">
        <v>789</v>
      </c>
      <c r="N332" s="250" t="s">
        <v>34</v>
      </c>
      <c r="O332" s="262">
        <v>45474.0</v>
      </c>
      <c r="P332" s="7"/>
      <c r="Q332" s="7"/>
      <c r="R332" s="7"/>
      <c r="S332" s="7"/>
      <c r="T332" s="305"/>
      <c r="U332" s="305"/>
      <c r="V332" s="305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</row>
    <row r="333" ht="17.25" hidden="1" customHeight="1">
      <c r="A333" s="241">
        <v>3.0</v>
      </c>
      <c r="B333" s="250" t="s">
        <v>48</v>
      </c>
      <c r="C333" s="258" t="s">
        <v>790</v>
      </c>
      <c r="D333" s="258" t="s">
        <v>791</v>
      </c>
      <c r="E333" s="259">
        <v>2.0</v>
      </c>
      <c r="F333" s="260">
        <v>42521.0</v>
      </c>
      <c r="G333" s="253" t="s">
        <v>792</v>
      </c>
      <c r="H333" s="258">
        <v>4.089311977E9</v>
      </c>
      <c r="I333" s="253" t="s">
        <v>793</v>
      </c>
      <c r="J333" s="261">
        <v>45161.0</v>
      </c>
      <c r="K333" s="253"/>
      <c r="L333" s="253"/>
      <c r="M333" s="258" t="s">
        <v>794</v>
      </c>
      <c r="N333" s="250" t="s">
        <v>34</v>
      </c>
      <c r="O333" s="262">
        <v>45474.0</v>
      </c>
      <c r="P333" s="7"/>
      <c r="Q333" s="7"/>
      <c r="R333" s="7"/>
      <c r="S333" s="7"/>
      <c r="T333" s="305"/>
      <c r="U333" s="305"/>
      <c r="V333" s="305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</row>
    <row r="334" ht="17.25" hidden="1" customHeight="1">
      <c r="A334" s="241">
        <v>4.0</v>
      </c>
      <c r="B334" s="250" t="s">
        <v>88</v>
      </c>
      <c r="C334" s="258" t="s">
        <v>790</v>
      </c>
      <c r="D334" s="258" t="s">
        <v>791</v>
      </c>
      <c r="E334" s="259">
        <v>2.0</v>
      </c>
      <c r="F334" s="260">
        <v>42521.0</v>
      </c>
      <c r="G334" s="253" t="s">
        <v>792</v>
      </c>
      <c r="H334" s="258">
        <v>4.089311977E9</v>
      </c>
      <c r="I334" s="253" t="s">
        <v>793</v>
      </c>
      <c r="J334" s="261">
        <v>45161.0</v>
      </c>
      <c r="K334" s="253"/>
      <c r="L334" s="253"/>
      <c r="M334" s="258" t="s">
        <v>794</v>
      </c>
      <c r="N334" s="250" t="s">
        <v>34</v>
      </c>
      <c r="O334" s="262">
        <v>45474.0</v>
      </c>
      <c r="P334" s="7"/>
      <c r="Q334" s="7"/>
      <c r="R334" s="7"/>
      <c r="S334" s="7"/>
      <c r="T334" s="306"/>
      <c r="U334" s="306"/>
      <c r="V334" s="306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</row>
    <row r="335" ht="17.25" hidden="1" customHeight="1">
      <c r="A335" s="241">
        <v>5.0</v>
      </c>
      <c r="B335" s="250" t="s">
        <v>48</v>
      </c>
      <c r="C335" s="258" t="s">
        <v>795</v>
      </c>
      <c r="D335" s="258" t="s">
        <v>796</v>
      </c>
      <c r="E335" s="259">
        <v>1.0</v>
      </c>
      <c r="F335" s="260" t="s">
        <v>797</v>
      </c>
      <c r="G335" s="253" t="s">
        <v>798</v>
      </c>
      <c r="H335" s="258">
        <v>5.105654841E9</v>
      </c>
      <c r="I335" s="253" t="s">
        <v>799</v>
      </c>
      <c r="J335" s="261" t="s">
        <v>359</v>
      </c>
      <c r="K335" s="253"/>
      <c r="L335" s="253"/>
      <c r="M335" s="258"/>
      <c r="N335" s="250" t="s">
        <v>34</v>
      </c>
      <c r="O335" s="262">
        <v>45474.0</v>
      </c>
      <c r="P335" s="7"/>
      <c r="Q335" s="7"/>
      <c r="R335" s="7"/>
      <c r="S335" s="7"/>
      <c r="T335" s="306"/>
      <c r="U335" s="306"/>
      <c r="V335" s="306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</row>
    <row r="336" ht="17.25" hidden="1" customHeight="1">
      <c r="A336" s="241">
        <v>6.0</v>
      </c>
      <c r="B336" s="250" t="s">
        <v>88</v>
      </c>
      <c r="C336" s="258" t="s">
        <v>795</v>
      </c>
      <c r="D336" s="258" t="s">
        <v>796</v>
      </c>
      <c r="E336" s="259">
        <v>1.0</v>
      </c>
      <c r="F336" s="260" t="s">
        <v>797</v>
      </c>
      <c r="G336" s="253" t="s">
        <v>798</v>
      </c>
      <c r="H336" s="258">
        <v>5.105654841E9</v>
      </c>
      <c r="I336" s="253" t="s">
        <v>799</v>
      </c>
      <c r="J336" s="261" t="s">
        <v>359</v>
      </c>
      <c r="K336" s="253"/>
      <c r="L336" s="253"/>
      <c r="M336" s="258"/>
      <c r="N336" s="250" t="s">
        <v>34</v>
      </c>
      <c r="O336" s="262">
        <v>45474.0</v>
      </c>
      <c r="P336" s="7"/>
      <c r="Q336" s="7"/>
      <c r="R336" s="7"/>
      <c r="S336" s="7"/>
      <c r="T336" s="307"/>
      <c r="U336" s="307"/>
      <c r="V336" s="30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</row>
    <row r="337" ht="17.25" hidden="1" customHeight="1">
      <c r="A337" s="308">
        <v>7.0</v>
      </c>
      <c r="B337" s="309" t="s">
        <v>48</v>
      </c>
      <c r="C337" s="310" t="s">
        <v>301</v>
      </c>
      <c r="D337" s="310" t="s">
        <v>800</v>
      </c>
      <c r="E337" s="308">
        <v>2.0</v>
      </c>
      <c r="F337" s="311">
        <v>42933.0</v>
      </c>
      <c r="G337" s="312" t="s">
        <v>801</v>
      </c>
      <c r="H337" s="312">
        <v>4.083986905E9</v>
      </c>
      <c r="I337" s="312" t="s">
        <v>802</v>
      </c>
      <c r="J337" s="313">
        <v>45323.0</v>
      </c>
      <c r="K337" s="314"/>
      <c r="L337" s="314"/>
      <c r="M337" s="310" t="s">
        <v>803</v>
      </c>
      <c r="N337" s="309" t="s">
        <v>34</v>
      </c>
      <c r="O337" s="315">
        <v>45474.0</v>
      </c>
      <c r="P337" s="301"/>
      <c r="Q337" s="301"/>
      <c r="R337" s="301"/>
      <c r="S337" s="301"/>
      <c r="T337" s="307"/>
      <c r="U337" s="307"/>
      <c r="V337" s="307"/>
      <c r="W337" s="301"/>
      <c r="X337" s="301"/>
      <c r="Y337" s="301"/>
      <c r="Z337" s="301"/>
      <c r="AA337" s="301"/>
      <c r="AB337" s="301"/>
      <c r="AC337" s="301"/>
      <c r="AD337" s="301"/>
      <c r="AE337" s="301"/>
      <c r="AF337" s="301"/>
      <c r="AG337" s="301"/>
      <c r="AH337" s="301"/>
      <c r="AI337" s="301"/>
      <c r="AJ337" s="301"/>
      <c r="AK337" s="301"/>
      <c r="AL337" s="301"/>
      <c r="AM337" s="301"/>
      <c r="AN337" s="301"/>
      <c r="AO337" s="301"/>
      <c r="AP337" s="301"/>
      <c r="AQ337" s="301"/>
      <c r="AR337" s="301"/>
      <c r="AS337" s="301"/>
      <c r="AT337" s="301"/>
    </row>
    <row r="338" ht="17.25" hidden="1" customHeight="1">
      <c r="A338" s="308">
        <v>8.0</v>
      </c>
      <c r="B338" s="309" t="s">
        <v>88</v>
      </c>
      <c r="C338" s="310" t="s">
        <v>301</v>
      </c>
      <c r="D338" s="310" t="s">
        <v>800</v>
      </c>
      <c r="E338" s="308">
        <v>2.0</v>
      </c>
      <c r="F338" s="311">
        <v>42933.0</v>
      </c>
      <c r="G338" s="312" t="s">
        <v>801</v>
      </c>
      <c r="H338" s="312">
        <v>4.083986905E9</v>
      </c>
      <c r="I338" s="312" t="s">
        <v>802</v>
      </c>
      <c r="J338" s="313">
        <v>45323.0</v>
      </c>
      <c r="K338" s="314"/>
      <c r="L338" s="314"/>
      <c r="M338" s="310" t="s">
        <v>803</v>
      </c>
      <c r="N338" s="309" t="s">
        <v>34</v>
      </c>
      <c r="O338" s="315">
        <v>45474.0</v>
      </c>
      <c r="P338" s="301"/>
      <c r="Q338" s="301"/>
      <c r="R338" s="301"/>
      <c r="S338" s="301"/>
      <c r="T338" s="307"/>
      <c r="U338" s="307"/>
      <c r="V338" s="307"/>
      <c r="W338" s="301"/>
      <c r="X338" s="301"/>
      <c r="Y338" s="301"/>
      <c r="Z338" s="301"/>
      <c r="AA338" s="301"/>
      <c r="AB338" s="301"/>
      <c r="AC338" s="301"/>
      <c r="AD338" s="301"/>
      <c r="AE338" s="301"/>
      <c r="AF338" s="301"/>
      <c r="AG338" s="301"/>
      <c r="AH338" s="301"/>
      <c r="AI338" s="301"/>
      <c r="AJ338" s="301"/>
      <c r="AK338" s="301"/>
      <c r="AL338" s="301"/>
      <c r="AM338" s="301"/>
      <c r="AN338" s="301"/>
      <c r="AO338" s="301"/>
      <c r="AP338" s="301"/>
      <c r="AQ338" s="301"/>
      <c r="AR338" s="301"/>
      <c r="AS338" s="301"/>
      <c r="AT338" s="301"/>
    </row>
    <row r="339" ht="17.25" hidden="1" customHeight="1">
      <c r="A339" s="308">
        <v>9.0</v>
      </c>
      <c r="B339" s="309" t="s">
        <v>48</v>
      </c>
      <c r="C339" s="310" t="s">
        <v>417</v>
      </c>
      <c r="D339" s="310" t="s">
        <v>418</v>
      </c>
      <c r="E339" s="308" t="s">
        <v>141</v>
      </c>
      <c r="F339" s="311">
        <v>42867.0</v>
      </c>
      <c r="G339" s="312" t="s">
        <v>419</v>
      </c>
      <c r="H339" s="312">
        <v>4.086432868E9</v>
      </c>
      <c r="I339" s="312" t="s">
        <v>420</v>
      </c>
      <c r="J339" s="313">
        <v>45154.0</v>
      </c>
      <c r="K339" s="314"/>
      <c r="L339" s="314"/>
      <c r="M339" s="310" t="s">
        <v>804</v>
      </c>
      <c r="N339" s="309" t="s">
        <v>34</v>
      </c>
      <c r="O339" s="315">
        <v>45474.0</v>
      </c>
      <c r="P339" s="301"/>
      <c r="Q339" s="301"/>
      <c r="R339" s="301"/>
      <c r="S339" s="301"/>
      <c r="T339" s="307"/>
      <c r="U339" s="307"/>
      <c r="V339" s="307"/>
      <c r="W339" s="301"/>
      <c r="X339" s="301"/>
      <c r="Y339" s="301"/>
      <c r="Z339" s="301"/>
      <c r="AA339" s="301"/>
      <c r="AB339" s="301"/>
      <c r="AC339" s="301"/>
      <c r="AD339" s="301"/>
      <c r="AE339" s="301"/>
      <c r="AF339" s="301"/>
      <c r="AG339" s="301"/>
      <c r="AH339" s="301"/>
      <c r="AI339" s="301"/>
      <c r="AJ339" s="301"/>
      <c r="AK339" s="301"/>
      <c r="AL339" s="301"/>
      <c r="AM339" s="301"/>
      <c r="AN339" s="301"/>
      <c r="AO339" s="301"/>
      <c r="AP339" s="301"/>
      <c r="AQ339" s="301"/>
      <c r="AR339" s="301"/>
      <c r="AS339" s="301"/>
      <c r="AT339" s="301"/>
    </row>
    <row r="340" ht="17.25" hidden="1" customHeight="1">
      <c r="A340" s="308">
        <v>10.0</v>
      </c>
      <c r="B340" s="309" t="s">
        <v>88</v>
      </c>
      <c r="C340" s="310" t="s">
        <v>417</v>
      </c>
      <c r="D340" s="310" t="s">
        <v>418</v>
      </c>
      <c r="E340" s="308" t="s">
        <v>141</v>
      </c>
      <c r="F340" s="311">
        <v>42867.0</v>
      </c>
      <c r="G340" s="312" t="s">
        <v>419</v>
      </c>
      <c r="H340" s="312">
        <v>4.086432868E9</v>
      </c>
      <c r="I340" s="312" t="s">
        <v>420</v>
      </c>
      <c r="J340" s="313">
        <v>45154.0</v>
      </c>
      <c r="K340" s="314"/>
      <c r="L340" s="314"/>
      <c r="M340" s="310" t="s">
        <v>803</v>
      </c>
      <c r="N340" s="309" t="s">
        <v>34</v>
      </c>
      <c r="O340" s="315">
        <v>45474.0</v>
      </c>
      <c r="P340" s="301"/>
      <c r="Q340" s="301"/>
      <c r="R340" s="301"/>
      <c r="S340" s="301"/>
      <c r="T340" s="316"/>
      <c r="U340" s="316"/>
      <c r="V340" s="316"/>
      <c r="W340" s="301"/>
      <c r="X340" s="301"/>
      <c r="Y340" s="301"/>
      <c r="Z340" s="301"/>
      <c r="AA340" s="301"/>
      <c r="AB340" s="301"/>
      <c r="AC340" s="301"/>
      <c r="AD340" s="301"/>
      <c r="AE340" s="301"/>
      <c r="AF340" s="301"/>
      <c r="AG340" s="301"/>
      <c r="AH340" s="301"/>
      <c r="AI340" s="301"/>
      <c r="AJ340" s="301"/>
      <c r="AK340" s="301"/>
      <c r="AL340" s="301"/>
      <c r="AM340" s="301"/>
      <c r="AN340" s="301"/>
      <c r="AO340" s="301"/>
      <c r="AP340" s="301"/>
      <c r="AQ340" s="301"/>
      <c r="AR340" s="301"/>
      <c r="AS340" s="301"/>
      <c r="AT340" s="301"/>
    </row>
    <row r="341" ht="17.25" hidden="1" customHeight="1">
      <c r="A341" s="241">
        <v>11.0</v>
      </c>
      <c r="B341" s="250" t="s">
        <v>48</v>
      </c>
      <c r="C341" s="257" t="s">
        <v>559</v>
      </c>
      <c r="D341" s="257" t="s">
        <v>805</v>
      </c>
      <c r="E341" s="241">
        <v>5.0</v>
      </c>
      <c r="F341" s="252">
        <v>41298.0</v>
      </c>
      <c r="G341" s="255" t="s">
        <v>806</v>
      </c>
      <c r="H341" s="251">
        <v>7.138395988E9</v>
      </c>
      <c r="I341" s="255" t="s">
        <v>807</v>
      </c>
      <c r="J341" s="254">
        <v>45124.0</v>
      </c>
      <c r="K341" s="255"/>
      <c r="L341" s="255"/>
      <c r="M341" s="251" t="s">
        <v>808</v>
      </c>
      <c r="N341" s="250" t="s">
        <v>34</v>
      </c>
      <c r="O341" s="262">
        <v>45474.0</v>
      </c>
      <c r="P341" s="317"/>
      <c r="Q341" s="253"/>
      <c r="R341" s="253"/>
      <c r="S341" s="253"/>
      <c r="T341" s="316"/>
      <c r="U341" s="316"/>
      <c r="V341" s="316"/>
      <c r="W341" s="253"/>
      <c r="X341" s="253"/>
      <c r="Y341" s="253"/>
      <c r="Z341" s="253"/>
      <c r="AA341" s="253"/>
      <c r="AB341" s="253"/>
      <c r="AC341" s="253"/>
      <c r="AD341" s="253"/>
      <c r="AE341" s="253"/>
      <c r="AF341" s="253"/>
      <c r="AG341" s="253"/>
      <c r="AH341" s="253"/>
      <c r="AI341" s="253"/>
      <c r="AJ341" s="253"/>
      <c r="AK341" s="253"/>
      <c r="AL341" s="253"/>
      <c r="AM341" s="253"/>
      <c r="AN341" s="253"/>
      <c r="AO341" s="253"/>
      <c r="AP341" s="253"/>
      <c r="AQ341" s="253"/>
      <c r="AR341" s="253"/>
      <c r="AS341" s="253"/>
      <c r="AT341" s="253"/>
    </row>
    <row r="342" ht="17.25" hidden="1" customHeight="1">
      <c r="A342" s="241">
        <v>12.0</v>
      </c>
      <c r="B342" s="250" t="s">
        <v>88</v>
      </c>
      <c r="C342" s="257" t="s">
        <v>559</v>
      </c>
      <c r="D342" s="257" t="s">
        <v>805</v>
      </c>
      <c r="E342" s="241">
        <v>5.0</v>
      </c>
      <c r="F342" s="252">
        <v>41298.0</v>
      </c>
      <c r="G342" s="255" t="s">
        <v>806</v>
      </c>
      <c r="H342" s="251">
        <v>7.138395988E9</v>
      </c>
      <c r="I342" s="255" t="s">
        <v>807</v>
      </c>
      <c r="J342" s="254">
        <v>45124.0</v>
      </c>
      <c r="K342" s="255"/>
      <c r="L342" s="255"/>
      <c r="M342" s="251" t="s">
        <v>808</v>
      </c>
      <c r="N342" s="250" t="s">
        <v>34</v>
      </c>
      <c r="O342" s="262">
        <v>45474.0</v>
      </c>
      <c r="P342" s="317"/>
      <c r="Q342" s="253"/>
      <c r="R342" s="253"/>
      <c r="S342" s="253"/>
      <c r="T342" s="316"/>
      <c r="U342" s="316"/>
      <c r="V342" s="316"/>
      <c r="W342" s="253"/>
      <c r="X342" s="253"/>
      <c r="Y342" s="253"/>
      <c r="Z342" s="253"/>
      <c r="AA342" s="253"/>
      <c r="AB342" s="253"/>
      <c r="AC342" s="253"/>
      <c r="AD342" s="253"/>
      <c r="AE342" s="253"/>
      <c r="AF342" s="253"/>
      <c r="AG342" s="253"/>
      <c r="AH342" s="253"/>
      <c r="AI342" s="253"/>
      <c r="AJ342" s="253"/>
      <c r="AK342" s="253"/>
      <c r="AL342" s="253"/>
      <c r="AM342" s="253"/>
      <c r="AN342" s="253"/>
      <c r="AO342" s="253"/>
      <c r="AP342" s="253"/>
      <c r="AQ342" s="253"/>
      <c r="AR342" s="253"/>
      <c r="AS342" s="253"/>
      <c r="AT342" s="253"/>
    </row>
    <row r="343" ht="17.25" hidden="1" customHeight="1">
      <c r="A343" s="318">
        <v>1.0</v>
      </c>
      <c r="B343" s="319" t="s">
        <v>48</v>
      </c>
      <c r="C343" s="320" t="s">
        <v>177</v>
      </c>
      <c r="D343" s="320" t="s">
        <v>809</v>
      </c>
      <c r="E343" s="321">
        <v>5.0</v>
      </c>
      <c r="F343" s="322" t="s">
        <v>810</v>
      </c>
      <c r="G343" s="323" t="s">
        <v>811</v>
      </c>
      <c r="H343" s="320">
        <v>6.506053215E9</v>
      </c>
      <c r="I343" s="323" t="s">
        <v>812</v>
      </c>
      <c r="J343" s="324" t="s">
        <v>813</v>
      </c>
      <c r="K343" s="323"/>
      <c r="L343" s="323"/>
      <c r="M343" s="320"/>
      <c r="N343" s="319" t="s">
        <v>34</v>
      </c>
      <c r="O343" s="325">
        <v>45505.0</v>
      </c>
      <c r="P343" s="7"/>
      <c r="Q343" s="7"/>
      <c r="R343" s="7"/>
      <c r="S343" s="7"/>
      <c r="T343" s="316"/>
      <c r="U343" s="316"/>
      <c r="V343" s="316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</row>
    <row r="344" ht="17.25" hidden="1" customHeight="1">
      <c r="A344" s="318">
        <v>2.0</v>
      </c>
      <c r="B344" s="319" t="s">
        <v>88</v>
      </c>
      <c r="C344" s="320" t="s">
        <v>177</v>
      </c>
      <c r="D344" s="320" t="s">
        <v>809</v>
      </c>
      <c r="E344" s="321">
        <v>5.0</v>
      </c>
      <c r="F344" s="322" t="s">
        <v>810</v>
      </c>
      <c r="G344" s="323" t="s">
        <v>811</v>
      </c>
      <c r="H344" s="320">
        <v>6.506053215E9</v>
      </c>
      <c r="I344" s="323" t="s">
        <v>812</v>
      </c>
      <c r="J344" s="324" t="s">
        <v>813</v>
      </c>
      <c r="K344" s="323"/>
      <c r="L344" s="323"/>
      <c r="M344" s="320" t="s">
        <v>506</v>
      </c>
      <c r="N344" s="319" t="s">
        <v>34</v>
      </c>
      <c r="O344" s="325">
        <v>45505.0</v>
      </c>
      <c r="P344" s="7"/>
      <c r="Q344" s="7"/>
      <c r="R344" s="7"/>
      <c r="S344" s="7"/>
      <c r="T344" s="316"/>
      <c r="U344" s="316"/>
      <c r="V344" s="316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</row>
    <row r="345" ht="17.25" hidden="1" customHeight="1">
      <c r="A345" s="318">
        <v>3.0</v>
      </c>
      <c r="B345" s="319" t="s">
        <v>48</v>
      </c>
      <c r="C345" s="320" t="s">
        <v>814</v>
      </c>
      <c r="D345" s="320" t="s">
        <v>815</v>
      </c>
      <c r="E345" s="321">
        <v>6.0</v>
      </c>
      <c r="F345" s="322" t="s">
        <v>816</v>
      </c>
      <c r="G345" s="323" t="s">
        <v>817</v>
      </c>
      <c r="H345" s="320" t="s">
        <v>818</v>
      </c>
      <c r="I345" s="323" t="s">
        <v>819</v>
      </c>
      <c r="J345" s="324" t="s">
        <v>820</v>
      </c>
      <c r="K345" s="323"/>
      <c r="L345" s="323"/>
      <c r="M345" s="320" t="s">
        <v>821</v>
      </c>
      <c r="N345" s="319" t="s">
        <v>34</v>
      </c>
      <c r="O345" s="325">
        <v>45505.0</v>
      </c>
      <c r="P345" s="7"/>
      <c r="Q345" s="7"/>
      <c r="R345" s="7"/>
      <c r="S345" s="7"/>
      <c r="T345" s="316"/>
      <c r="U345" s="316"/>
      <c r="V345" s="316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</row>
    <row r="346" ht="17.25" hidden="1" customHeight="1">
      <c r="A346" s="318">
        <v>4.0</v>
      </c>
      <c r="B346" s="319" t="s">
        <v>88</v>
      </c>
      <c r="C346" s="320" t="s">
        <v>814</v>
      </c>
      <c r="D346" s="320" t="s">
        <v>815</v>
      </c>
      <c r="E346" s="321">
        <v>6.0</v>
      </c>
      <c r="F346" s="322" t="s">
        <v>816</v>
      </c>
      <c r="G346" s="323" t="s">
        <v>817</v>
      </c>
      <c r="H346" s="320" t="s">
        <v>818</v>
      </c>
      <c r="I346" s="323" t="s">
        <v>819</v>
      </c>
      <c r="J346" s="324" t="s">
        <v>820</v>
      </c>
      <c r="K346" s="323"/>
      <c r="L346" s="323"/>
      <c r="M346" s="320" t="s">
        <v>821</v>
      </c>
      <c r="N346" s="319" t="s">
        <v>34</v>
      </c>
      <c r="O346" s="325">
        <v>45505.0</v>
      </c>
      <c r="P346" s="7"/>
      <c r="Q346" s="7"/>
      <c r="R346" s="7"/>
      <c r="S346" s="7"/>
      <c r="T346" s="316"/>
      <c r="U346" s="316"/>
      <c r="V346" s="316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</row>
    <row r="347" ht="17.25" hidden="1" customHeight="1">
      <c r="A347" s="318">
        <v>5.0</v>
      </c>
      <c r="B347" s="319" t="s">
        <v>48</v>
      </c>
      <c r="C347" s="320" t="s">
        <v>814</v>
      </c>
      <c r="D347" s="320" t="s">
        <v>491</v>
      </c>
      <c r="E347" s="321">
        <v>9.0</v>
      </c>
      <c r="F347" s="322" t="s">
        <v>822</v>
      </c>
      <c r="G347" s="323" t="s">
        <v>817</v>
      </c>
      <c r="H347" s="320" t="s">
        <v>818</v>
      </c>
      <c r="I347" s="323" t="s">
        <v>819</v>
      </c>
      <c r="J347" s="324" t="s">
        <v>820</v>
      </c>
      <c r="K347" s="323"/>
      <c r="L347" s="323"/>
      <c r="M347" s="320" t="s">
        <v>821</v>
      </c>
      <c r="N347" s="319" t="s">
        <v>34</v>
      </c>
      <c r="O347" s="325">
        <v>45505.0</v>
      </c>
      <c r="P347" s="7"/>
      <c r="Q347" s="7"/>
      <c r="R347" s="7"/>
      <c r="S347" s="7"/>
      <c r="T347" s="316"/>
      <c r="U347" s="316"/>
      <c r="V347" s="316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</row>
    <row r="348" ht="17.25" hidden="1" customHeight="1">
      <c r="A348" s="318">
        <v>6.0</v>
      </c>
      <c r="B348" s="319" t="s">
        <v>88</v>
      </c>
      <c r="C348" s="320" t="s">
        <v>814</v>
      </c>
      <c r="D348" s="320" t="s">
        <v>491</v>
      </c>
      <c r="E348" s="321">
        <v>9.0</v>
      </c>
      <c r="F348" s="322" t="s">
        <v>822</v>
      </c>
      <c r="G348" s="323" t="s">
        <v>817</v>
      </c>
      <c r="H348" s="320" t="s">
        <v>818</v>
      </c>
      <c r="I348" s="323" t="s">
        <v>819</v>
      </c>
      <c r="J348" s="324" t="s">
        <v>820</v>
      </c>
      <c r="K348" s="323"/>
      <c r="L348" s="323"/>
      <c r="M348" s="320" t="s">
        <v>821</v>
      </c>
      <c r="N348" s="319" t="s">
        <v>34</v>
      </c>
      <c r="O348" s="325">
        <v>45505.0</v>
      </c>
      <c r="P348" s="7"/>
      <c r="Q348" s="7"/>
      <c r="R348" s="7"/>
      <c r="S348" s="7"/>
      <c r="T348" s="326"/>
      <c r="U348" s="326"/>
      <c r="V348" s="326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</row>
    <row r="349" ht="17.25" hidden="1" customHeight="1">
      <c r="A349" s="318">
        <v>7.0</v>
      </c>
      <c r="B349" s="319" t="s">
        <v>48</v>
      </c>
      <c r="C349" s="320" t="s">
        <v>823</v>
      </c>
      <c r="D349" s="320" t="s">
        <v>824</v>
      </c>
      <c r="E349" s="321">
        <v>1.0</v>
      </c>
      <c r="F349" s="322" t="s">
        <v>825</v>
      </c>
      <c r="G349" s="323" t="s">
        <v>826</v>
      </c>
      <c r="H349" s="320" t="s">
        <v>827</v>
      </c>
      <c r="I349" s="323" t="s">
        <v>828</v>
      </c>
      <c r="J349" s="324" t="s">
        <v>829</v>
      </c>
      <c r="K349" s="323"/>
      <c r="L349" s="323"/>
      <c r="M349" s="320" t="s">
        <v>549</v>
      </c>
      <c r="N349" s="319" t="s">
        <v>34</v>
      </c>
      <c r="O349" s="325">
        <v>45505.0</v>
      </c>
      <c r="P349" s="7"/>
      <c r="Q349" s="7"/>
      <c r="R349" s="7"/>
      <c r="S349" s="7"/>
      <c r="T349" s="326"/>
      <c r="U349" s="326"/>
      <c r="V349" s="326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</row>
    <row r="350" ht="17.25" hidden="1" customHeight="1">
      <c r="A350" s="318">
        <v>8.0</v>
      </c>
      <c r="B350" s="319" t="s">
        <v>88</v>
      </c>
      <c r="C350" s="320" t="s">
        <v>823</v>
      </c>
      <c r="D350" s="320" t="s">
        <v>824</v>
      </c>
      <c r="E350" s="321">
        <v>1.0</v>
      </c>
      <c r="F350" s="322" t="s">
        <v>825</v>
      </c>
      <c r="G350" s="323" t="s">
        <v>826</v>
      </c>
      <c r="H350" s="320" t="s">
        <v>827</v>
      </c>
      <c r="I350" s="323" t="s">
        <v>828</v>
      </c>
      <c r="J350" s="324" t="s">
        <v>829</v>
      </c>
      <c r="K350" s="323"/>
      <c r="L350" s="323"/>
      <c r="M350" s="320" t="s">
        <v>549</v>
      </c>
      <c r="N350" s="319" t="s">
        <v>34</v>
      </c>
      <c r="O350" s="325">
        <v>45505.0</v>
      </c>
      <c r="P350" s="7"/>
      <c r="Q350" s="7"/>
      <c r="R350" s="7"/>
      <c r="S350" s="7"/>
      <c r="T350" s="326"/>
      <c r="U350" s="326"/>
      <c r="V350" s="326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</row>
    <row r="351" ht="17.25" hidden="1" customHeight="1">
      <c r="A351" s="318">
        <v>9.0</v>
      </c>
      <c r="B351" s="319" t="s">
        <v>48</v>
      </c>
      <c r="C351" s="320" t="s">
        <v>291</v>
      </c>
      <c r="D351" s="320" t="s">
        <v>542</v>
      </c>
      <c r="E351" s="321">
        <v>1.0</v>
      </c>
      <c r="F351" s="322">
        <v>42086.0</v>
      </c>
      <c r="G351" s="323" t="s">
        <v>543</v>
      </c>
      <c r="H351" s="320">
        <v>5.109848496E9</v>
      </c>
      <c r="I351" s="323" t="s">
        <v>544</v>
      </c>
      <c r="J351" s="324">
        <v>45174.0</v>
      </c>
      <c r="K351" s="323"/>
      <c r="L351" s="323"/>
      <c r="M351" s="320" t="s">
        <v>830</v>
      </c>
      <c r="N351" s="319" t="s">
        <v>34</v>
      </c>
      <c r="O351" s="325">
        <v>45505.0</v>
      </c>
      <c r="P351" s="7"/>
      <c r="Q351" s="7"/>
      <c r="R351" s="7"/>
      <c r="S351" s="7"/>
      <c r="T351" s="326"/>
      <c r="U351" s="326"/>
      <c r="V351" s="326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</row>
    <row r="352" ht="17.25" hidden="1" customHeight="1">
      <c r="A352" s="318">
        <v>10.0</v>
      </c>
      <c r="B352" s="319" t="s">
        <v>88</v>
      </c>
      <c r="C352" s="320" t="s">
        <v>291</v>
      </c>
      <c r="D352" s="320" t="s">
        <v>542</v>
      </c>
      <c r="E352" s="321">
        <v>1.0</v>
      </c>
      <c r="F352" s="322">
        <v>42086.0</v>
      </c>
      <c r="G352" s="323" t="s">
        <v>543</v>
      </c>
      <c r="H352" s="320">
        <v>5.109848496E9</v>
      </c>
      <c r="I352" s="323" t="s">
        <v>544</v>
      </c>
      <c r="J352" s="324">
        <v>45174.0</v>
      </c>
      <c r="K352" s="323"/>
      <c r="L352" s="323"/>
      <c r="M352" s="320" t="s">
        <v>830</v>
      </c>
      <c r="N352" s="319" t="s">
        <v>34</v>
      </c>
      <c r="O352" s="325">
        <v>45505.0</v>
      </c>
      <c r="P352" s="7"/>
      <c r="Q352" s="7"/>
      <c r="R352" s="7"/>
      <c r="S352" s="7"/>
      <c r="T352" s="327"/>
      <c r="U352" s="327"/>
      <c r="V352" s="32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</row>
    <row r="353" ht="17.25" hidden="1" customHeight="1">
      <c r="A353" s="318">
        <v>11.0</v>
      </c>
      <c r="B353" s="319" t="s">
        <v>48</v>
      </c>
      <c r="C353" s="320" t="s">
        <v>831</v>
      </c>
      <c r="D353" s="320" t="s">
        <v>832</v>
      </c>
      <c r="E353" s="321">
        <v>5.0</v>
      </c>
      <c r="F353" s="322" t="s">
        <v>833</v>
      </c>
      <c r="G353" s="323" t="s">
        <v>834</v>
      </c>
      <c r="H353" s="320">
        <v>5.105098478E9</v>
      </c>
      <c r="I353" s="323" t="s">
        <v>835</v>
      </c>
      <c r="J353" s="324" t="s">
        <v>836</v>
      </c>
      <c r="K353" s="323"/>
      <c r="L353" s="323"/>
      <c r="M353" s="320"/>
      <c r="N353" s="319" t="s">
        <v>34</v>
      </c>
      <c r="O353" s="325">
        <v>45505.0</v>
      </c>
      <c r="P353" s="7"/>
      <c r="Q353" s="7"/>
      <c r="R353" s="7"/>
      <c r="S353" s="7"/>
      <c r="T353" s="328"/>
      <c r="U353" s="328"/>
      <c r="V353" s="328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</row>
    <row r="354" ht="17.25" hidden="1" customHeight="1">
      <c r="A354" s="318">
        <v>12.0</v>
      </c>
      <c r="B354" s="319" t="s">
        <v>88</v>
      </c>
      <c r="C354" s="320" t="s">
        <v>831</v>
      </c>
      <c r="D354" s="320" t="s">
        <v>832</v>
      </c>
      <c r="E354" s="321">
        <v>5.0</v>
      </c>
      <c r="F354" s="322" t="s">
        <v>833</v>
      </c>
      <c r="G354" s="323" t="s">
        <v>834</v>
      </c>
      <c r="H354" s="320">
        <v>5.105098478E9</v>
      </c>
      <c r="I354" s="323" t="s">
        <v>835</v>
      </c>
      <c r="J354" s="324" t="s">
        <v>836</v>
      </c>
      <c r="K354" s="323"/>
      <c r="L354" s="323"/>
      <c r="M354" s="320" t="s">
        <v>506</v>
      </c>
      <c r="N354" s="319" t="s">
        <v>34</v>
      </c>
      <c r="O354" s="325">
        <v>45505.0</v>
      </c>
      <c r="P354" s="7"/>
      <c r="Q354" s="7"/>
      <c r="R354" s="7"/>
      <c r="S354" s="7"/>
      <c r="T354" s="305"/>
      <c r="U354" s="305"/>
      <c r="V354" s="305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</row>
    <row r="355" ht="15.0" hidden="1" customHeight="1">
      <c r="A355" s="329">
        <v>1.0</v>
      </c>
      <c r="B355" s="330" t="s">
        <v>48</v>
      </c>
      <c r="C355" s="331" t="s">
        <v>837</v>
      </c>
      <c r="D355" s="331" t="s">
        <v>838</v>
      </c>
      <c r="E355" s="332" t="s">
        <v>839</v>
      </c>
      <c r="F355" s="333" t="s">
        <v>840</v>
      </c>
      <c r="G355" s="334" t="s">
        <v>254</v>
      </c>
      <c r="H355" s="335">
        <v>4.158287529E9</v>
      </c>
      <c r="I355" s="334" t="s">
        <v>251</v>
      </c>
      <c r="J355" s="336" t="s">
        <v>841</v>
      </c>
      <c r="K355" s="334"/>
      <c r="L355" s="334"/>
      <c r="M355" s="331"/>
      <c r="N355" s="330" t="s">
        <v>34</v>
      </c>
      <c r="O355" s="337">
        <v>45536.0</v>
      </c>
      <c r="P355" s="302"/>
      <c r="Q355" s="302"/>
      <c r="R355" s="302"/>
      <c r="S355" s="302"/>
      <c r="T355" s="130"/>
      <c r="U355" s="130"/>
      <c r="V355" s="130"/>
      <c r="W355" s="302"/>
      <c r="X355" s="302"/>
      <c r="Y355" s="302"/>
      <c r="Z355" s="302"/>
      <c r="AA355" s="302"/>
      <c r="AB355" s="302"/>
      <c r="AC355" s="302"/>
      <c r="AD355" s="302"/>
      <c r="AE355" s="302"/>
      <c r="AF355" s="302"/>
      <c r="AG355" s="302"/>
      <c r="AH355" s="302"/>
      <c r="AI355" s="302"/>
      <c r="AJ355" s="302"/>
      <c r="AK355" s="302"/>
      <c r="AL355" s="302"/>
      <c r="AM355" s="302"/>
      <c r="AN355" s="302"/>
      <c r="AO355" s="302"/>
      <c r="AP355" s="302"/>
      <c r="AQ355" s="302"/>
      <c r="AR355" s="302"/>
      <c r="AS355" s="302"/>
      <c r="AT355" s="302"/>
    </row>
    <row r="356" ht="15.0" hidden="1" customHeight="1">
      <c r="A356" s="329">
        <v>2.0</v>
      </c>
      <c r="B356" s="330" t="s">
        <v>88</v>
      </c>
      <c r="C356" s="331" t="s">
        <v>837</v>
      </c>
      <c r="D356" s="331" t="s">
        <v>838</v>
      </c>
      <c r="E356" s="332" t="s">
        <v>839</v>
      </c>
      <c r="F356" s="333" t="s">
        <v>840</v>
      </c>
      <c r="G356" s="334" t="s">
        <v>254</v>
      </c>
      <c r="H356" s="335">
        <v>4.158287529E9</v>
      </c>
      <c r="I356" s="334" t="s">
        <v>251</v>
      </c>
      <c r="J356" s="336" t="s">
        <v>841</v>
      </c>
      <c r="K356" s="334"/>
      <c r="L356" s="334"/>
      <c r="M356" s="331" t="s">
        <v>506</v>
      </c>
      <c r="N356" s="330" t="s">
        <v>34</v>
      </c>
      <c r="O356" s="337">
        <v>45536.0</v>
      </c>
      <c r="P356" s="302"/>
      <c r="Q356" s="302"/>
      <c r="R356" s="302"/>
      <c r="S356" s="302"/>
      <c r="T356" s="130"/>
      <c r="U356" s="130"/>
      <c r="V356" s="130"/>
      <c r="W356" s="302"/>
      <c r="X356" s="302"/>
      <c r="Y356" s="302"/>
      <c r="Z356" s="302"/>
      <c r="AA356" s="302"/>
      <c r="AB356" s="302"/>
      <c r="AC356" s="302"/>
      <c r="AD356" s="302"/>
      <c r="AE356" s="302"/>
      <c r="AF356" s="302"/>
      <c r="AG356" s="302"/>
      <c r="AH356" s="302"/>
      <c r="AI356" s="302"/>
      <c r="AJ356" s="302"/>
      <c r="AK356" s="302"/>
      <c r="AL356" s="302"/>
      <c r="AM356" s="302"/>
      <c r="AN356" s="302"/>
      <c r="AO356" s="302"/>
      <c r="AP356" s="302"/>
      <c r="AQ356" s="302"/>
      <c r="AR356" s="302"/>
      <c r="AS356" s="302"/>
      <c r="AT356" s="302"/>
    </row>
    <row r="357" ht="15.0" hidden="1" customHeight="1">
      <c r="A357" s="329">
        <v>3.0</v>
      </c>
      <c r="B357" s="330" t="s">
        <v>48</v>
      </c>
      <c r="C357" s="338" t="s">
        <v>842</v>
      </c>
      <c r="D357" s="338" t="s">
        <v>843</v>
      </c>
      <c r="E357" s="329">
        <v>5.0</v>
      </c>
      <c r="F357" s="339">
        <v>41572.0</v>
      </c>
      <c r="G357" s="340" t="s">
        <v>844</v>
      </c>
      <c r="H357" s="341">
        <v>6.503838201E9</v>
      </c>
      <c r="I357" s="340" t="s">
        <v>845</v>
      </c>
      <c r="J357" s="342">
        <v>45232.0</v>
      </c>
      <c r="K357" s="340"/>
      <c r="L357" s="340"/>
      <c r="M357" s="338" t="s">
        <v>846</v>
      </c>
      <c r="N357" s="330" t="s">
        <v>34</v>
      </c>
      <c r="O357" s="337">
        <v>45536.0</v>
      </c>
      <c r="P357" s="302"/>
      <c r="Q357" s="302"/>
      <c r="R357" s="302"/>
      <c r="S357" s="302"/>
      <c r="T357" s="343"/>
      <c r="U357" s="343"/>
      <c r="V357" s="343"/>
      <c r="W357" s="302"/>
      <c r="X357" s="302"/>
      <c r="Y357" s="302"/>
      <c r="Z357" s="302"/>
      <c r="AA357" s="302"/>
      <c r="AB357" s="302"/>
      <c r="AC357" s="302"/>
      <c r="AD357" s="302"/>
      <c r="AE357" s="302"/>
      <c r="AF357" s="302"/>
      <c r="AG357" s="302"/>
      <c r="AH357" s="302"/>
      <c r="AI357" s="302"/>
      <c r="AJ357" s="302"/>
      <c r="AK357" s="302"/>
      <c r="AL357" s="302"/>
      <c r="AM357" s="302"/>
      <c r="AN357" s="302"/>
      <c r="AO357" s="302"/>
      <c r="AP357" s="302"/>
      <c r="AQ357" s="302"/>
      <c r="AR357" s="302"/>
      <c r="AS357" s="302"/>
      <c r="AT357" s="302"/>
    </row>
    <row r="358" ht="15.0" hidden="1" customHeight="1">
      <c r="A358" s="329">
        <v>4.0</v>
      </c>
      <c r="B358" s="330" t="s">
        <v>48</v>
      </c>
      <c r="C358" s="331" t="s">
        <v>847</v>
      </c>
      <c r="D358" s="331" t="s">
        <v>848</v>
      </c>
      <c r="E358" s="332">
        <v>4.0</v>
      </c>
      <c r="F358" s="333" t="s">
        <v>849</v>
      </c>
      <c r="G358" s="334" t="s">
        <v>850</v>
      </c>
      <c r="H358" s="335">
        <v>6.028204006E9</v>
      </c>
      <c r="I358" s="334" t="s">
        <v>851</v>
      </c>
      <c r="J358" s="336" t="s">
        <v>852</v>
      </c>
      <c r="K358" s="334"/>
      <c r="L358" s="334"/>
      <c r="M358" s="331"/>
      <c r="N358" s="330" t="s">
        <v>34</v>
      </c>
      <c r="O358" s="337">
        <v>45536.0</v>
      </c>
      <c r="P358" s="302"/>
      <c r="Q358" s="302"/>
      <c r="R358" s="302"/>
      <c r="S358" s="302"/>
      <c r="T358" s="130"/>
      <c r="U358" s="130"/>
      <c r="V358" s="130"/>
      <c r="W358" s="302"/>
      <c r="X358" s="302"/>
      <c r="Y358" s="302"/>
      <c r="Z358" s="302"/>
      <c r="AA358" s="302"/>
      <c r="AB358" s="302"/>
      <c r="AC358" s="302"/>
      <c r="AD358" s="302"/>
      <c r="AE358" s="302"/>
      <c r="AF358" s="302"/>
      <c r="AG358" s="302"/>
      <c r="AH358" s="302"/>
      <c r="AI358" s="302"/>
      <c r="AJ358" s="302"/>
      <c r="AK358" s="302"/>
      <c r="AL358" s="302"/>
      <c r="AM358" s="302"/>
      <c r="AN358" s="302"/>
      <c r="AO358" s="302"/>
      <c r="AP358" s="302"/>
      <c r="AQ358" s="302"/>
      <c r="AR358" s="302"/>
      <c r="AS358" s="302"/>
      <c r="AT358" s="302"/>
    </row>
    <row r="359" ht="15.0" hidden="1" customHeight="1">
      <c r="A359" s="329">
        <v>5.0</v>
      </c>
      <c r="B359" s="330" t="s">
        <v>88</v>
      </c>
      <c r="C359" s="331" t="s">
        <v>847</v>
      </c>
      <c r="D359" s="331" t="s">
        <v>848</v>
      </c>
      <c r="E359" s="332">
        <v>4.0</v>
      </c>
      <c r="F359" s="333" t="s">
        <v>849</v>
      </c>
      <c r="G359" s="334" t="s">
        <v>850</v>
      </c>
      <c r="H359" s="335">
        <v>6.028204006E9</v>
      </c>
      <c r="I359" s="334" t="s">
        <v>851</v>
      </c>
      <c r="J359" s="336" t="s">
        <v>852</v>
      </c>
      <c r="K359" s="334"/>
      <c r="L359" s="334"/>
      <c r="M359" s="331" t="s">
        <v>506</v>
      </c>
      <c r="N359" s="330" t="s">
        <v>34</v>
      </c>
      <c r="O359" s="337">
        <v>45536.0</v>
      </c>
      <c r="P359" s="303"/>
      <c r="Q359" s="303"/>
      <c r="R359" s="303"/>
      <c r="S359" s="303"/>
      <c r="T359" s="3"/>
      <c r="U359" s="3"/>
      <c r="V359" s="3"/>
      <c r="W359" s="303"/>
      <c r="X359" s="303"/>
      <c r="Y359" s="303"/>
      <c r="Z359" s="303"/>
      <c r="AA359" s="303"/>
      <c r="AB359" s="303"/>
      <c r="AC359" s="303"/>
      <c r="AD359" s="303"/>
      <c r="AE359" s="303"/>
      <c r="AF359" s="303"/>
      <c r="AG359" s="303"/>
      <c r="AH359" s="303"/>
      <c r="AI359" s="303"/>
      <c r="AJ359" s="303"/>
      <c r="AK359" s="303"/>
      <c r="AL359" s="303"/>
      <c r="AM359" s="303"/>
      <c r="AN359" s="303"/>
      <c r="AO359" s="303"/>
      <c r="AP359" s="303"/>
      <c r="AQ359" s="303"/>
      <c r="AR359" s="303"/>
      <c r="AS359" s="303"/>
      <c r="AT359" s="303"/>
    </row>
    <row r="360" ht="15.0" hidden="1" customHeight="1">
      <c r="A360" s="329">
        <v>6.0</v>
      </c>
      <c r="B360" s="330" t="s">
        <v>48</v>
      </c>
      <c r="C360" s="331" t="s">
        <v>853</v>
      </c>
      <c r="D360" s="331" t="s">
        <v>854</v>
      </c>
      <c r="E360" s="332" t="s">
        <v>141</v>
      </c>
      <c r="F360" s="333" t="s">
        <v>855</v>
      </c>
      <c r="G360" s="334" t="s">
        <v>856</v>
      </c>
      <c r="H360" s="335">
        <v>4.052306385E9</v>
      </c>
      <c r="I360" s="334" t="s">
        <v>857</v>
      </c>
      <c r="J360" s="336" t="s">
        <v>858</v>
      </c>
      <c r="K360" s="334"/>
      <c r="L360" s="334"/>
      <c r="M360" s="331"/>
      <c r="N360" s="330" t="s">
        <v>34</v>
      </c>
      <c r="O360" s="337">
        <v>45536.0</v>
      </c>
      <c r="P360" s="302"/>
      <c r="Q360" s="302"/>
      <c r="R360" s="302"/>
      <c r="S360" s="302"/>
      <c r="T360" s="344"/>
      <c r="U360" s="344"/>
      <c r="V360" s="344"/>
      <c r="W360" s="302"/>
      <c r="X360" s="302"/>
      <c r="Y360" s="302"/>
      <c r="Z360" s="302"/>
      <c r="AA360" s="302"/>
      <c r="AB360" s="302"/>
      <c r="AC360" s="302"/>
      <c r="AD360" s="302"/>
      <c r="AE360" s="302"/>
      <c r="AF360" s="302"/>
      <c r="AG360" s="302"/>
      <c r="AH360" s="302"/>
      <c r="AI360" s="302"/>
      <c r="AJ360" s="302"/>
      <c r="AK360" s="302"/>
      <c r="AL360" s="302"/>
      <c r="AM360" s="302"/>
      <c r="AN360" s="302"/>
      <c r="AO360" s="302"/>
      <c r="AP360" s="302"/>
      <c r="AQ360" s="302"/>
      <c r="AR360" s="302"/>
      <c r="AS360" s="302"/>
      <c r="AT360" s="302"/>
    </row>
    <row r="361" ht="15.0" hidden="1" customHeight="1">
      <c r="A361" s="329">
        <v>7.0</v>
      </c>
      <c r="B361" s="330" t="s">
        <v>48</v>
      </c>
      <c r="C361" s="331" t="s">
        <v>859</v>
      </c>
      <c r="D361" s="331" t="s">
        <v>860</v>
      </c>
      <c r="E361" s="332" t="s">
        <v>141</v>
      </c>
      <c r="F361" s="333" t="s">
        <v>855</v>
      </c>
      <c r="G361" s="334" t="s">
        <v>856</v>
      </c>
      <c r="H361" s="335">
        <v>4.052306385E9</v>
      </c>
      <c r="I361" s="334" t="s">
        <v>857</v>
      </c>
      <c r="J361" s="336" t="s">
        <v>858</v>
      </c>
      <c r="K361" s="334"/>
      <c r="L361" s="334"/>
      <c r="M361" s="331"/>
      <c r="N361" s="330" t="s">
        <v>34</v>
      </c>
      <c r="O361" s="337">
        <v>45536.0</v>
      </c>
      <c r="P361" s="303"/>
      <c r="Q361" s="303"/>
      <c r="R361" s="303"/>
      <c r="S361" s="303"/>
      <c r="T361" s="328"/>
      <c r="U361" s="328"/>
      <c r="V361" s="328"/>
      <c r="W361" s="303"/>
      <c r="X361" s="303"/>
      <c r="Y361" s="303"/>
      <c r="Z361" s="303"/>
      <c r="AA361" s="303"/>
      <c r="AB361" s="303"/>
      <c r="AC361" s="303"/>
      <c r="AD361" s="303"/>
      <c r="AE361" s="303"/>
      <c r="AF361" s="303"/>
      <c r="AG361" s="303"/>
      <c r="AH361" s="303"/>
      <c r="AI361" s="303"/>
      <c r="AJ361" s="303"/>
      <c r="AK361" s="303"/>
      <c r="AL361" s="303"/>
      <c r="AM361" s="303"/>
      <c r="AN361" s="303"/>
      <c r="AO361" s="303"/>
      <c r="AP361" s="303"/>
      <c r="AQ361" s="303"/>
      <c r="AR361" s="303"/>
      <c r="AS361" s="303"/>
      <c r="AT361" s="303"/>
    </row>
    <row r="362" ht="15.0" hidden="1" customHeight="1">
      <c r="A362" s="329">
        <v>8.0</v>
      </c>
      <c r="B362" s="345" t="s">
        <v>48</v>
      </c>
      <c r="C362" s="346" t="s">
        <v>861</v>
      </c>
      <c r="D362" s="346" t="s">
        <v>862</v>
      </c>
      <c r="E362" s="347" t="s">
        <v>141</v>
      </c>
      <c r="F362" s="348" t="s">
        <v>863</v>
      </c>
      <c r="G362" s="349" t="s">
        <v>864</v>
      </c>
      <c r="H362" s="350">
        <v>6.692158549E9</v>
      </c>
      <c r="I362" s="349" t="s">
        <v>865</v>
      </c>
      <c r="J362" s="351" t="s">
        <v>858</v>
      </c>
      <c r="K362" s="349"/>
      <c r="L362" s="349"/>
      <c r="M362" s="346"/>
      <c r="N362" s="345" t="s">
        <v>34</v>
      </c>
      <c r="O362" s="352">
        <v>45536.0</v>
      </c>
      <c r="P362" s="302"/>
      <c r="Q362" s="302"/>
      <c r="R362" s="302"/>
      <c r="S362" s="302"/>
      <c r="T362" s="305"/>
      <c r="U362" s="305"/>
      <c r="V362" s="305"/>
      <c r="W362" s="302"/>
      <c r="X362" s="302"/>
      <c r="Y362" s="302"/>
      <c r="Z362" s="302"/>
      <c r="AA362" s="302"/>
      <c r="AB362" s="302"/>
      <c r="AC362" s="302"/>
      <c r="AD362" s="302"/>
      <c r="AE362" s="302"/>
      <c r="AF362" s="302"/>
      <c r="AG362" s="302"/>
      <c r="AH362" s="302"/>
      <c r="AI362" s="302"/>
      <c r="AJ362" s="302"/>
      <c r="AK362" s="302"/>
      <c r="AL362" s="302"/>
      <c r="AM362" s="302"/>
      <c r="AN362" s="302"/>
      <c r="AO362" s="302"/>
      <c r="AP362" s="302"/>
      <c r="AQ362" s="302"/>
      <c r="AR362" s="302"/>
      <c r="AS362" s="302"/>
      <c r="AT362" s="302"/>
    </row>
    <row r="363" ht="17.25" hidden="1" customHeight="1">
      <c r="A363" s="329">
        <v>9.0</v>
      </c>
      <c r="B363" s="353" t="s">
        <v>48</v>
      </c>
      <c r="C363" s="354" t="s">
        <v>322</v>
      </c>
      <c r="D363" s="354" t="s">
        <v>866</v>
      </c>
      <c r="E363" s="355">
        <v>4.0</v>
      </c>
      <c r="F363" s="356">
        <v>41496.0</v>
      </c>
      <c r="G363" s="357" t="s">
        <v>867</v>
      </c>
      <c r="H363" s="358">
        <v>4.156099128E9</v>
      </c>
      <c r="I363" s="357" t="s">
        <v>868</v>
      </c>
      <c r="J363" s="359">
        <v>45082.0</v>
      </c>
      <c r="K363" s="357"/>
      <c r="L363" s="357"/>
      <c r="M363" s="354"/>
      <c r="N363" s="345" t="s">
        <v>34</v>
      </c>
      <c r="O363" s="352">
        <v>45536.0</v>
      </c>
      <c r="P363" s="304"/>
      <c r="Q363" s="304"/>
      <c r="R363" s="304"/>
      <c r="S363" s="304"/>
      <c r="T363" s="130"/>
      <c r="U363" s="130"/>
      <c r="V363" s="130"/>
      <c r="W363" s="304"/>
      <c r="X363" s="304"/>
      <c r="Y363" s="304"/>
      <c r="Z363" s="304"/>
      <c r="AA363" s="304"/>
      <c r="AB363" s="304"/>
      <c r="AC363" s="304"/>
      <c r="AD363" s="304"/>
      <c r="AE363" s="304"/>
      <c r="AF363" s="304"/>
      <c r="AG363" s="304"/>
      <c r="AH363" s="304"/>
      <c r="AI363" s="304"/>
      <c r="AJ363" s="304"/>
      <c r="AK363" s="304"/>
      <c r="AL363" s="304"/>
      <c r="AM363" s="304"/>
      <c r="AN363" s="304"/>
      <c r="AO363" s="304"/>
      <c r="AP363" s="304"/>
      <c r="AQ363" s="304"/>
      <c r="AR363" s="304"/>
      <c r="AS363" s="304"/>
      <c r="AT363" s="304"/>
    </row>
    <row r="364" ht="17.25" hidden="1" customHeight="1">
      <c r="A364" s="329">
        <v>10.0</v>
      </c>
      <c r="B364" s="353" t="s">
        <v>88</v>
      </c>
      <c r="C364" s="354" t="s">
        <v>322</v>
      </c>
      <c r="D364" s="354" t="s">
        <v>866</v>
      </c>
      <c r="E364" s="355">
        <v>4.0</v>
      </c>
      <c r="F364" s="356">
        <v>41496.0</v>
      </c>
      <c r="G364" s="357" t="s">
        <v>867</v>
      </c>
      <c r="H364" s="358">
        <v>4.156099128E9</v>
      </c>
      <c r="I364" s="357" t="s">
        <v>868</v>
      </c>
      <c r="J364" s="359">
        <v>45082.0</v>
      </c>
      <c r="K364" s="357"/>
      <c r="L364" s="357"/>
      <c r="M364" s="354"/>
      <c r="N364" s="345" t="s">
        <v>34</v>
      </c>
      <c r="O364" s="352">
        <v>45536.0</v>
      </c>
      <c r="P364" s="197"/>
      <c r="Q364" s="197"/>
      <c r="R364" s="197"/>
      <c r="S364" s="197"/>
      <c r="T364" s="130"/>
      <c r="U364" s="130"/>
      <c r="V364" s="130"/>
      <c r="W364" s="197"/>
      <c r="X364" s="197"/>
      <c r="Y364" s="197"/>
      <c r="Z364" s="197"/>
      <c r="AA364" s="197"/>
      <c r="AB364" s="197"/>
      <c r="AC364" s="197"/>
      <c r="AD364" s="197"/>
      <c r="AE364" s="197"/>
      <c r="AF364" s="197"/>
      <c r="AG364" s="197"/>
      <c r="AH364" s="197"/>
      <c r="AI364" s="197"/>
      <c r="AJ364" s="197"/>
      <c r="AK364" s="197"/>
      <c r="AL364" s="197"/>
      <c r="AM364" s="197"/>
      <c r="AN364" s="197"/>
      <c r="AO364" s="197"/>
      <c r="AP364" s="197"/>
      <c r="AQ364" s="197"/>
      <c r="AR364" s="197"/>
      <c r="AS364" s="197"/>
      <c r="AT364" s="197"/>
    </row>
    <row r="365" ht="17.25" hidden="1" customHeight="1">
      <c r="A365" s="329">
        <v>11.0</v>
      </c>
      <c r="B365" s="353" t="s">
        <v>48</v>
      </c>
      <c r="C365" s="354" t="s">
        <v>322</v>
      </c>
      <c r="D365" s="354" t="s">
        <v>869</v>
      </c>
      <c r="E365" s="355">
        <v>1.0</v>
      </c>
      <c r="F365" s="356">
        <v>42757.0</v>
      </c>
      <c r="G365" s="357" t="s">
        <v>867</v>
      </c>
      <c r="H365" s="358">
        <v>4.156099128E9</v>
      </c>
      <c r="I365" s="357" t="s">
        <v>868</v>
      </c>
      <c r="J365" s="359">
        <v>45082.0</v>
      </c>
      <c r="K365" s="357"/>
      <c r="L365" s="357"/>
      <c r="M365" s="354"/>
      <c r="N365" s="345" t="s">
        <v>34</v>
      </c>
      <c r="O365" s="352">
        <v>45536.0</v>
      </c>
      <c r="P365" s="304"/>
      <c r="Q365" s="304"/>
      <c r="R365" s="304"/>
      <c r="S365" s="304"/>
      <c r="T365" s="343"/>
      <c r="U365" s="343"/>
      <c r="V365" s="343"/>
      <c r="W365" s="304"/>
      <c r="X365" s="304"/>
      <c r="Y365" s="304"/>
      <c r="Z365" s="304"/>
      <c r="AA365" s="304"/>
      <c r="AB365" s="304"/>
      <c r="AC365" s="304"/>
      <c r="AD365" s="304"/>
      <c r="AE365" s="304"/>
      <c r="AF365" s="304"/>
      <c r="AG365" s="304"/>
      <c r="AH365" s="304"/>
      <c r="AI365" s="304"/>
      <c r="AJ365" s="304"/>
      <c r="AK365" s="304"/>
      <c r="AL365" s="304"/>
      <c r="AM365" s="304"/>
      <c r="AN365" s="304"/>
      <c r="AO365" s="304"/>
      <c r="AP365" s="304"/>
      <c r="AQ365" s="304"/>
      <c r="AR365" s="304"/>
      <c r="AS365" s="304"/>
      <c r="AT365" s="304"/>
    </row>
    <row r="366" ht="17.25" hidden="1" customHeight="1">
      <c r="A366" s="329">
        <v>12.0</v>
      </c>
      <c r="B366" s="353" t="s">
        <v>88</v>
      </c>
      <c r="C366" s="354" t="s">
        <v>322</v>
      </c>
      <c r="D366" s="354" t="s">
        <v>869</v>
      </c>
      <c r="E366" s="355">
        <v>1.0</v>
      </c>
      <c r="F366" s="356">
        <v>42757.0</v>
      </c>
      <c r="G366" s="357" t="s">
        <v>867</v>
      </c>
      <c r="H366" s="358">
        <v>4.156099128E9</v>
      </c>
      <c r="I366" s="357" t="s">
        <v>868</v>
      </c>
      <c r="J366" s="359">
        <v>45082.0</v>
      </c>
      <c r="K366" s="357"/>
      <c r="L366" s="357"/>
      <c r="M366" s="354"/>
      <c r="N366" s="345" t="s">
        <v>34</v>
      </c>
      <c r="O366" s="352">
        <v>45536.0</v>
      </c>
      <c r="P366" s="197"/>
      <c r="Q366" s="197"/>
      <c r="R366" s="197"/>
      <c r="S366" s="197"/>
      <c r="T366" s="130"/>
      <c r="U366" s="130"/>
      <c r="V366" s="130"/>
      <c r="W366" s="197"/>
      <c r="X366" s="197"/>
      <c r="Y366" s="197"/>
      <c r="Z366" s="197"/>
      <c r="AA366" s="197"/>
      <c r="AB366" s="197"/>
      <c r="AC366" s="197"/>
      <c r="AD366" s="197"/>
      <c r="AE366" s="197"/>
      <c r="AF366" s="197"/>
      <c r="AG366" s="197"/>
      <c r="AH366" s="197"/>
      <c r="AI366" s="197"/>
      <c r="AJ366" s="197"/>
      <c r="AK366" s="197"/>
      <c r="AL366" s="197"/>
      <c r="AM366" s="197"/>
      <c r="AN366" s="197"/>
      <c r="AO366" s="197"/>
      <c r="AP366" s="197"/>
      <c r="AQ366" s="197"/>
      <c r="AR366" s="197"/>
      <c r="AS366" s="197"/>
      <c r="AT366" s="197"/>
    </row>
    <row r="367" ht="17.25" hidden="1" customHeight="1">
      <c r="A367" s="329">
        <v>13.0</v>
      </c>
      <c r="B367" s="360" t="s">
        <v>48</v>
      </c>
      <c r="C367" s="361" t="s">
        <v>870</v>
      </c>
      <c r="D367" s="361" t="s">
        <v>871</v>
      </c>
      <c r="E367" s="360">
        <v>4.0</v>
      </c>
      <c r="F367" s="360" t="s">
        <v>872</v>
      </c>
      <c r="G367" s="361" t="s">
        <v>873</v>
      </c>
      <c r="H367" s="361">
        <v>5.103144836E9</v>
      </c>
      <c r="I367" s="362" t="s">
        <v>874</v>
      </c>
      <c r="J367" s="361" t="s">
        <v>875</v>
      </c>
      <c r="K367" s="361"/>
      <c r="L367" s="361"/>
      <c r="M367" s="361" t="s">
        <v>876</v>
      </c>
      <c r="N367" s="345" t="s">
        <v>34</v>
      </c>
      <c r="O367" s="352">
        <v>45536.0</v>
      </c>
      <c r="P367" s="305"/>
      <c r="Q367" s="305"/>
      <c r="R367" s="305"/>
      <c r="S367" s="305"/>
      <c r="T367" s="3"/>
      <c r="U367" s="3"/>
      <c r="V367" s="3"/>
      <c r="W367" s="305"/>
      <c r="X367" s="305"/>
      <c r="Y367" s="305"/>
      <c r="Z367" s="305"/>
      <c r="AA367" s="305"/>
      <c r="AB367" s="305"/>
      <c r="AC367" s="305"/>
      <c r="AD367" s="305"/>
      <c r="AE367" s="305"/>
      <c r="AF367" s="305"/>
      <c r="AG367" s="305"/>
      <c r="AH367" s="305"/>
      <c r="AI367" s="305"/>
      <c r="AJ367" s="305"/>
      <c r="AK367" s="305"/>
      <c r="AL367" s="305"/>
      <c r="AM367" s="305"/>
      <c r="AN367" s="305"/>
      <c r="AO367" s="305"/>
      <c r="AP367" s="305"/>
      <c r="AQ367" s="305"/>
      <c r="AR367" s="305"/>
      <c r="AS367" s="305"/>
      <c r="AT367" s="305"/>
    </row>
    <row r="368" ht="17.25" hidden="1" customHeight="1">
      <c r="A368" s="329">
        <v>14.0</v>
      </c>
      <c r="B368" s="360" t="s">
        <v>88</v>
      </c>
      <c r="C368" s="361" t="s">
        <v>870</v>
      </c>
      <c r="D368" s="361" t="s">
        <v>871</v>
      </c>
      <c r="E368" s="360">
        <v>4.0</v>
      </c>
      <c r="F368" s="360" t="s">
        <v>872</v>
      </c>
      <c r="G368" s="361" t="s">
        <v>873</v>
      </c>
      <c r="H368" s="361">
        <v>5.103144836E9</v>
      </c>
      <c r="I368" s="362" t="s">
        <v>874</v>
      </c>
      <c r="J368" s="361" t="s">
        <v>875</v>
      </c>
      <c r="K368" s="361"/>
      <c r="L368" s="361"/>
      <c r="M368" s="361"/>
      <c r="N368" s="345" t="s">
        <v>34</v>
      </c>
      <c r="O368" s="352">
        <v>45536.0</v>
      </c>
      <c r="P368" s="305"/>
      <c r="Q368" s="305"/>
      <c r="R368" s="305"/>
      <c r="S368" s="305"/>
      <c r="T368" s="344"/>
      <c r="U368" s="344"/>
      <c r="V368" s="344"/>
      <c r="W368" s="305"/>
      <c r="X368" s="305"/>
      <c r="Y368" s="305"/>
      <c r="Z368" s="305"/>
      <c r="AA368" s="305"/>
      <c r="AB368" s="305"/>
      <c r="AC368" s="305"/>
      <c r="AD368" s="305"/>
      <c r="AE368" s="305"/>
      <c r="AF368" s="305"/>
      <c r="AG368" s="305"/>
      <c r="AH368" s="305"/>
      <c r="AI368" s="305"/>
      <c r="AJ368" s="305"/>
      <c r="AK368" s="305"/>
      <c r="AL368" s="305"/>
      <c r="AM368" s="305"/>
      <c r="AN368" s="305"/>
      <c r="AO368" s="305"/>
      <c r="AP368" s="305"/>
      <c r="AQ368" s="305"/>
      <c r="AR368" s="305"/>
      <c r="AS368" s="305"/>
      <c r="AT368" s="305"/>
    </row>
    <row r="369" ht="17.25" hidden="1" customHeight="1">
      <c r="A369" s="329">
        <v>15.0</v>
      </c>
      <c r="B369" s="353" t="s">
        <v>48</v>
      </c>
      <c r="C369" s="357" t="s">
        <v>877</v>
      </c>
      <c r="D369" s="357" t="s">
        <v>878</v>
      </c>
      <c r="E369" s="355">
        <v>4.0</v>
      </c>
      <c r="F369" s="355" t="s">
        <v>879</v>
      </c>
      <c r="G369" s="357" t="s">
        <v>880</v>
      </c>
      <c r="H369" s="358">
        <v>4.436532199E9</v>
      </c>
      <c r="I369" s="357" t="s">
        <v>776</v>
      </c>
      <c r="J369" s="357" t="s">
        <v>881</v>
      </c>
      <c r="K369" s="363"/>
      <c r="L369" s="363"/>
      <c r="M369" s="364" t="s">
        <v>882</v>
      </c>
      <c r="N369" s="345" t="s">
        <v>34</v>
      </c>
      <c r="O369" s="352">
        <v>45536.0</v>
      </c>
      <c r="P369" s="306"/>
      <c r="Q369" s="306"/>
      <c r="R369" s="306"/>
      <c r="S369" s="306"/>
      <c r="T369" s="344"/>
      <c r="U369" s="344"/>
      <c r="V369" s="344"/>
      <c r="W369" s="306"/>
      <c r="X369" s="306"/>
      <c r="Y369" s="306"/>
      <c r="Z369" s="306"/>
      <c r="AA369" s="306"/>
      <c r="AB369" s="306"/>
      <c r="AC369" s="306"/>
      <c r="AD369" s="306"/>
      <c r="AE369" s="306"/>
      <c r="AF369" s="306"/>
      <c r="AG369" s="306"/>
      <c r="AH369" s="306"/>
      <c r="AI369" s="306"/>
      <c r="AJ369" s="306"/>
      <c r="AK369" s="306"/>
      <c r="AL369" s="306"/>
      <c r="AM369" s="306"/>
      <c r="AN369" s="306"/>
      <c r="AO369" s="306"/>
      <c r="AP369" s="306"/>
      <c r="AQ369" s="306"/>
      <c r="AR369" s="306"/>
      <c r="AS369" s="306"/>
      <c r="AT369" s="306"/>
    </row>
    <row r="370" ht="17.25" hidden="1" customHeight="1">
      <c r="A370" s="329">
        <v>16.0</v>
      </c>
      <c r="B370" s="353" t="s">
        <v>88</v>
      </c>
      <c r="C370" s="357" t="s">
        <v>877</v>
      </c>
      <c r="D370" s="357" t="s">
        <v>878</v>
      </c>
      <c r="E370" s="355">
        <v>4.0</v>
      </c>
      <c r="F370" s="355" t="s">
        <v>879</v>
      </c>
      <c r="G370" s="357" t="s">
        <v>880</v>
      </c>
      <c r="H370" s="358">
        <v>4.436532199E9</v>
      </c>
      <c r="I370" s="357" t="s">
        <v>776</v>
      </c>
      <c r="J370" s="357" t="s">
        <v>881</v>
      </c>
      <c r="K370" s="363"/>
      <c r="L370" s="363"/>
      <c r="M370" s="364" t="s">
        <v>882</v>
      </c>
      <c r="N370" s="345" t="s">
        <v>34</v>
      </c>
      <c r="O370" s="352">
        <v>45536.0</v>
      </c>
      <c r="P370" s="306"/>
      <c r="Q370" s="306"/>
      <c r="R370" s="306"/>
      <c r="S370" s="306"/>
      <c r="T370" s="343"/>
      <c r="U370" s="343"/>
      <c r="V370" s="343"/>
      <c r="W370" s="306"/>
      <c r="X370" s="306"/>
      <c r="Y370" s="306"/>
      <c r="Z370" s="306"/>
      <c r="AA370" s="306"/>
      <c r="AB370" s="306"/>
      <c r="AC370" s="306"/>
      <c r="AD370" s="306"/>
      <c r="AE370" s="306"/>
      <c r="AF370" s="306"/>
      <c r="AG370" s="306"/>
      <c r="AH370" s="306"/>
      <c r="AI370" s="306"/>
      <c r="AJ370" s="306"/>
      <c r="AK370" s="306"/>
      <c r="AL370" s="306"/>
      <c r="AM370" s="306"/>
      <c r="AN370" s="306"/>
      <c r="AO370" s="306"/>
      <c r="AP370" s="306"/>
      <c r="AQ370" s="306"/>
      <c r="AR370" s="306"/>
      <c r="AS370" s="306"/>
      <c r="AT370" s="306"/>
    </row>
    <row r="371" ht="15.0" hidden="1" customHeight="1">
      <c r="A371" s="365">
        <v>1.0</v>
      </c>
      <c r="B371" s="366" t="s">
        <v>48</v>
      </c>
      <c r="C371" s="367" t="s">
        <v>870</v>
      </c>
      <c r="D371" s="367" t="s">
        <v>871</v>
      </c>
      <c r="E371" s="368">
        <v>4.0</v>
      </c>
      <c r="F371" s="369">
        <v>42071.0</v>
      </c>
      <c r="G371" s="367" t="s">
        <v>873</v>
      </c>
      <c r="H371" s="370">
        <v>5.103144836E9</v>
      </c>
      <c r="I371" s="367" t="s">
        <v>874</v>
      </c>
      <c r="J371" s="371">
        <v>45530.0</v>
      </c>
      <c r="K371" s="367"/>
      <c r="L371" s="367"/>
      <c r="M371" s="372" t="s">
        <v>876</v>
      </c>
      <c r="N371" s="368" t="s">
        <v>34</v>
      </c>
      <c r="O371" s="352">
        <v>45566.0</v>
      </c>
      <c r="P371" s="307"/>
      <c r="Q371" s="307"/>
      <c r="R371" s="307"/>
      <c r="S371" s="307"/>
      <c r="T371" s="344"/>
      <c r="U371" s="344"/>
      <c r="V371" s="344"/>
      <c r="W371" s="307"/>
      <c r="X371" s="307"/>
      <c r="Y371" s="307"/>
      <c r="Z371" s="307"/>
      <c r="AA371" s="307"/>
      <c r="AB371" s="307"/>
      <c r="AC371" s="307"/>
      <c r="AD371" s="307"/>
      <c r="AE371" s="307"/>
      <c r="AF371" s="307"/>
      <c r="AG371" s="307"/>
      <c r="AH371" s="307"/>
      <c r="AI371" s="307"/>
      <c r="AJ371" s="307"/>
      <c r="AK371" s="307"/>
      <c r="AL371" s="307"/>
      <c r="AM371" s="307"/>
      <c r="AN371" s="307"/>
      <c r="AO371" s="307"/>
      <c r="AP371" s="307"/>
      <c r="AQ371" s="307"/>
      <c r="AR371" s="307"/>
      <c r="AS371" s="306"/>
      <c r="AT371" s="306"/>
    </row>
    <row r="372" ht="15.0" hidden="1" customHeight="1">
      <c r="A372" s="365">
        <v>2.0</v>
      </c>
      <c r="B372" s="366" t="s">
        <v>88</v>
      </c>
      <c r="C372" s="367" t="s">
        <v>870</v>
      </c>
      <c r="D372" s="367" t="s">
        <v>871</v>
      </c>
      <c r="E372" s="368">
        <v>4.0</v>
      </c>
      <c r="F372" s="369">
        <v>42071.0</v>
      </c>
      <c r="G372" s="367" t="s">
        <v>873</v>
      </c>
      <c r="H372" s="370">
        <v>5.103144836E9</v>
      </c>
      <c r="I372" s="367" t="s">
        <v>874</v>
      </c>
      <c r="J372" s="371">
        <v>45530.0</v>
      </c>
      <c r="K372" s="367"/>
      <c r="L372" s="367"/>
      <c r="M372" s="372"/>
      <c r="N372" s="368" t="s">
        <v>34</v>
      </c>
      <c r="O372" s="352">
        <v>45566.0</v>
      </c>
      <c r="P372" s="307"/>
      <c r="Q372" s="307"/>
      <c r="R372" s="307"/>
      <c r="S372" s="307"/>
      <c r="T372" s="344"/>
      <c r="U372" s="344"/>
      <c r="V372" s="344"/>
      <c r="W372" s="307"/>
      <c r="X372" s="307"/>
      <c r="Y372" s="307"/>
      <c r="Z372" s="307"/>
      <c r="AA372" s="307"/>
      <c r="AB372" s="307"/>
      <c r="AC372" s="307"/>
      <c r="AD372" s="307"/>
      <c r="AE372" s="307"/>
      <c r="AF372" s="307"/>
      <c r="AG372" s="307"/>
      <c r="AH372" s="307"/>
      <c r="AI372" s="307"/>
      <c r="AJ372" s="307"/>
      <c r="AK372" s="307"/>
      <c r="AL372" s="307"/>
      <c r="AM372" s="307"/>
      <c r="AN372" s="307"/>
      <c r="AO372" s="307"/>
      <c r="AP372" s="307"/>
      <c r="AQ372" s="307"/>
      <c r="AR372" s="307"/>
      <c r="AS372" s="306"/>
      <c r="AT372" s="306"/>
    </row>
    <row r="373" ht="15.75" hidden="1" customHeight="1">
      <c r="A373" s="365">
        <v>3.0</v>
      </c>
      <c r="B373" s="366" t="s">
        <v>48</v>
      </c>
      <c r="C373" s="367" t="s">
        <v>877</v>
      </c>
      <c r="D373" s="367" t="s">
        <v>878</v>
      </c>
      <c r="E373" s="368">
        <v>4.0</v>
      </c>
      <c r="F373" s="369">
        <v>42177.0</v>
      </c>
      <c r="G373" s="367" t="s">
        <v>880</v>
      </c>
      <c r="H373" s="370">
        <v>4.436532199E9</v>
      </c>
      <c r="I373" s="367" t="s">
        <v>776</v>
      </c>
      <c r="J373" s="371">
        <v>45520.0</v>
      </c>
      <c r="K373" s="367"/>
      <c r="L373" s="367"/>
      <c r="M373" s="372" t="s">
        <v>883</v>
      </c>
      <c r="N373" s="368" t="s">
        <v>34</v>
      </c>
      <c r="O373" s="352">
        <v>45566.0</v>
      </c>
      <c r="P373" s="307"/>
      <c r="Q373" s="307"/>
      <c r="R373" s="307"/>
      <c r="S373" s="307"/>
      <c r="T373" s="130"/>
      <c r="U373" s="130"/>
      <c r="V373" s="130"/>
      <c r="W373" s="307"/>
      <c r="X373" s="307"/>
      <c r="Y373" s="307"/>
      <c r="Z373" s="307"/>
      <c r="AA373" s="307"/>
      <c r="AB373" s="307"/>
      <c r="AC373" s="307"/>
      <c r="AD373" s="307"/>
      <c r="AE373" s="307"/>
      <c r="AF373" s="307"/>
      <c r="AG373" s="307"/>
      <c r="AH373" s="307"/>
      <c r="AI373" s="307"/>
      <c r="AJ373" s="307"/>
      <c r="AK373" s="307"/>
      <c r="AL373" s="307"/>
      <c r="AM373" s="307"/>
      <c r="AN373" s="307"/>
      <c r="AO373" s="307"/>
      <c r="AP373" s="307"/>
      <c r="AQ373" s="307"/>
      <c r="AR373" s="307"/>
      <c r="AS373" s="197"/>
      <c r="AT373" s="197"/>
    </row>
    <row r="374" ht="15.0" hidden="1" customHeight="1">
      <c r="A374" s="365">
        <v>4.0</v>
      </c>
      <c r="B374" s="366" t="s">
        <v>88</v>
      </c>
      <c r="C374" s="367" t="s">
        <v>877</v>
      </c>
      <c r="D374" s="367" t="s">
        <v>878</v>
      </c>
      <c r="E374" s="368">
        <v>4.0</v>
      </c>
      <c r="F374" s="369">
        <v>42177.0</v>
      </c>
      <c r="G374" s="367" t="s">
        <v>880</v>
      </c>
      <c r="H374" s="370">
        <v>4.436532199E9</v>
      </c>
      <c r="I374" s="367" t="s">
        <v>776</v>
      </c>
      <c r="J374" s="371">
        <v>45520.0</v>
      </c>
      <c r="K374" s="367"/>
      <c r="L374" s="367"/>
      <c r="M374" s="372" t="s">
        <v>883</v>
      </c>
      <c r="N374" s="368" t="s">
        <v>34</v>
      </c>
      <c r="O374" s="352">
        <v>45566.0</v>
      </c>
      <c r="P374" s="307"/>
      <c r="Q374" s="307"/>
      <c r="R374" s="307"/>
      <c r="S374" s="307"/>
      <c r="T374" s="316"/>
      <c r="U374" s="316"/>
      <c r="V374" s="316"/>
      <c r="W374" s="307"/>
      <c r="X374" s="307"/>
      <c r="Y374" s="307"/>
      <c r="Z374" s="307"/>
      <c r="AA374" s="307"/>
      <c r="AB374" s="307"/>
      <c r="AC374" s="307"/>
      <c r="AD374" s="307"/>
      <c r="AE374" s="307"/>
      <c r="AF374" s="307"/>
      <c r="AG374" s="307"/>
      <c r="AH374" s="307"/>
      <c r="AI374" s="307"/>
      <c r="AJ374" s="307"/>
      <c r="AK374" s="307"/>
      <c r="AL374" s="307"/>
      <c r="AM374" s="307"/>
      <c r="AN374" s="307"/>
      <c r="AO374" s="307"/>
      <c r="AP374" s="307"/>
      <c r="AQ374" s="307"/>
      <c r="AR374" s="307"/>
      <c r="AS374" s="197"/>
      <c r="AT374" s="197"/>
    </row>
    <row r="375" ht="15.0" hidden="1" customHeight="1">
      <c r="A375" s="95">
        <v>1.0</v>
      </c>
      <c r="B375" s="373" t="s">
        <v>48</v>
      </c>
      <c r="C375" s="374" t="s">
        <v>814</v>
      </c>
      <c r="D375" s="374" t="s">
        <v>815</v>
      </c>
      <c r="E375" s="85">
        <v>6.0</v>
      </c>
      <c r="F375" s="375">
        <v>40840.0</v>
      </c>
      <c r="G375" s="376" t="s">
        <v>817</v>
      </c>
      <c r="H375" s="377" t="s">
        <v>818</v>
      </c>
      <c r="I375" s="376" t="s">
        <v>819</v>
      </c>
      <c r="J375" s="378">
        <v>45536.0</v>
      </c>
      <c r="K375" s="376"/>
      <c r="L375" s="376"/>
      <c r="M375" s="374" t="s">
        <v>884</v>
      </c>
      <c r="N375" s="373" t="s">
        <v>34</v>
      </c>
      <c r="O375" s="379">
        <v>45597.0</v>
      </c>
      <c r="P375" s="316"/>
      <c r="Q375" s="316"/>
      <c r="R375" s="316"/>
      <c r="S375" s="316"/>
      <c r="T375" s="326"/>
      <c r="U375" s="326"/>
      <c r="V375" s="326"/>
      <c r="W375" s="316"/>
      <c r="X375" s="316"/>
      <c r="Y375" s="316"/>
      <c r="Z375" s="316"/>
      <c r="AA375" s="316"/>
      <c r="AB375" s="316"/>
      <c r="AC375" s="316"/>
      <c r="AD375" s="316"/>
      <c r="AE375" s="316"/>
      <c r="AF375" s="316"/>
      <c r="AG375" s="316"/>
      <c r="AH375" s="316"/>
      <c r="AI375" s="316"/>
      <c r="AJ375" s="316"/>
      <c r="AK375" s="316"/>
      <c r="AL375" s="316"/>
      <c r="AM375" s="316"/>
      <c r="AN375" s="316"/>
      <c r="AO375" s="316"/>
      <c r="AP375" s="316"/>
      <c r="AQ375" s="316"/>
      <c r="AR375" s="316"/>
      <c r="AS375" s="316"/>
      <c r="AT375" s="316"/>
      <c r="AU375" s="3"/>
      <c r="AV375" s="3"/>
    </row>
    <row r="376" ht="15.0" hidden="1" customHeight="1">
      <c r="A376" s="95">
        <v>2.0</v>
      </c>
      <c r="B376" s="373" t="s">
        <v>88</v>
      </c>
      <c r="C376" s="374" t="s">
        <v>814</v>
      </c>
      <c r="D376" s="374" t="s">
        <v>491</v>
      </c>
      <c r="E376" s="85">
        <v>9.0</v>
      </c>
      <c r="F376" s="375">
        <v>39818.0</v>
      </c>
      <c r="G376" s="376" t="s">
        <v>817</v>
      </c>
      <c r="H376" s="377" t="s">
        <v>818</v>
      </c>
      <c r="I376" s="376" t="s">
        <v>819</v>
      </c>
      <c r="J376" s="378">
        <v>45536.0</v>
      </c>
      <c r="K376" s="376"/>
      <c r="L376" s="376"/>
      <c r="M376" s="374" t="s">
        <v>884</v>
      </c>
      <c r="N376" s="373" t="s">
        <v>34</v>
      </c>
      <c r="O376" s="379">
        <v>45597.0</v>
      </c>
      <c r="P376" s="316"/>
      <c r="Q376" s="316"/>
      <c r="R376" s="316"/>
      <c r="S376" s="316"/>
      <c r="T376" s="326"/>
      <c r="U376" s="326"/>
      <c r="V376" s="326"/>
      <c r="W376" s="316"/>
      <c r="X376" s="316"/>
      <c r="Y376" s="316"/>
      <c r="Z376" s="316"/>
      <c r="AA376" s="316"/>
      <c r="AB376" s="316"/>
      <c r="AC376" s="316"/>
      <c r="AD376" s="316"/>
      <c r="AE376" s="316"/>
      <c r="AF376" s="316"/>
      <c r="AG376" s="316"/>
      <c r="AH376" s="316"/>
      <c r="AI376" s="316"/>
      <c r="AJ376" s="316"/>
      <c r="AK376" s="316"/>
      <c r="AL376" s="316"/>
      <c r="AM376" s="316"/>
      <c r="AN376" s="316"/>
      <c r="AO376" s="316"/>
      <c r="AP376" s="316"/>
      <c r="AQ376" s="316"/>
      <c r="AR376" s="316"/>
      <c r="AS376" s="316"/>
      <c r="AT376" s="316"/>
      <c r="AU376" s="3"/>
      <c r="AV376" s="3"/>
    </row>
    <row r="377" ht="15.0" hidden="1" customHeight="1">
      <c r="A377" s="95">
        <v>3.0</v>
      </c>
      <c r="B377" s="380" t="s">
        <v>48</v>
      </c>
      <c r="C377" s="374" t="s">
        <v>322</v>
      </c>
      <c r="D377" s="374" t="s">
        <v>866</v>
      </c>
      <c r="E377" s="85">
        <v>4.0</v>
      </c>
      <c r="F377" s="375">
        <v>41496.0</v>
      </c>
      <c r="G377" s="376" t="s">
        <v>867</v>
      </c>
      <c r="H377" s="377">
        <v>4.156099128E9</v>
      </c>
      <c r="I377" s="376" t="s">
        <v>868</v>
      </c>
      <c r="J377" s="378">
        <v>45082.0</v>
      </c>
      <c r="K377" s="376"/>
      <c r="L377" s="376"/>
      <c r="M377" s="374" t="s">
        <v>885</v>
      </c>
      <c r="N377" s="85" t="s">
        <v>34</v>
      </c>
      <c r="O377" s="379">
        <v>45597.0</v>
      </c>
      <c r="P377" s="316"/>
      <c r="Q377" s="316"/>
      <c r="R377" s="316"/>
      <c r="S377" s="316"/>
      <c r="T377" s="326"/>
      <c r="U377" s="326"/>
      <c r="V377" s="326"/>
      <c r="W377" s="316"/>
      <c r="X377" s="316"/>
      <c r="Y377" s="316"/>
      <c r="Z377" s="316"/>
      <c r="AA377" s="316"/>
      <c r="AB377" s="316"/>
      <c r="AC377" s="316"/>
      <c r="AD377" s="316"/>
      <c r="AE377" s="316"/>
      <c r="AF377" s="316"/>
      <c r="AG377" s="316"/>
      <c r="AH377" s="316"/>
      <c r="AI377" s="316"/>
      <c r="AJ377" s="316"/>
      <c r="AK377" s="316"/>
      <c r="AL377" s="316"/>
      <c r="AM377" s="316"/>
      <c r="AN377" s="316"/>
      <c r="AO377" s="316"/>
      <c r="AP377" s="316"/>
      <c r="AQ377" s="316"/>
      <c r="AR377" s="316"/>
      <c r="AS377" s="316"/>
      <c r="AT377" s="316"/>
      <c r="AU377" s="3"/>
      <c r="AV377" s="3"/>
    </row>
    <row r="378" ht="15.0" hidden="1" customHeight="1">
      <c r="A378" s="95">
        <v>4.0</v>
      </c>
      <c r="B378" s="380" t="s">
        <v>88</v>
      </c>
      <c r="C378" s="374" t="s">
        <v>322</v>
      </c>
      <c r="D378" s="374" t="s">
        <v>866</v>
      </c>
      <c r="E378" s="85">
        <v>4.0</v>
      </c>
      <c r="F378" s="375">
        <v>41496.0</v>
      </c>
      <c r="G378" s="376" t="s">
        <v>867</v>
      </c>
      <c r="H378" s="377">
        <v>4.156099128E9</v>
      </c>
      <c r="I378" s="376" t="s">
        <v>868</v>
      </c>
      <c r="J378" s="378">
        <v>45082.0</v>
      </c>
      <c r="K378" s="376"/>
      <c r="L378" s="376"/>
      <c r="M378" s="374" t="s">
        <v>885</v>
      </c>
      <c r="N378" s="85" t="s">
        <v>34</v>
      </c>
      <c r="O378" s="379">
        <v>45597.0</v>
      </c>
      <c r="P378" s="316"/>
      <c r="Q378" s="316"/>
      <c r="R378" s="316"/>
      <c r="S378" s="316"/>
      <c r="T378" s="326"/>
      <c r="U378" s="326"/>
      <c r="V378" s="326"/>
      <c r="W378" s="316"/>
      <c r="X378" s="316"/>
      <c r="Y378" s="316"/>
      <c r="Z378" s="316"/>
      <c r="AA378" s="316"/>
      <c r="AB378" s="316"/>
      <c r="AC378" s="316"/>
      <c r="AD378" s="316"/>
      <c r="AE378" s="316"/>
      <c r="AF378" s="316"/>
      <c r="AG378" s="316"/>
      <c r="AH378" s="316"/>
      <c r="AI378" s="316"/>
      <c r="AJ378" s="316"/>
      <c r="AK378" s="316"/>
      <c r="AL378" s="316"/>
      <c r="AM378" s="316"/>
      <c r="AN378" s="316"/>
      <c r="AO378" s="316"/>
      <c r="AP378" s="316"/>
      <c r="AQ378" s="316"/>
      <c r="AR378" s="316"/>
      <c r="AS378" s="316"/>
      <c r="AT378" s="316"/>
      <c r="AU378" s="3"/>
      <c r="AV378" s="3"/>
    </row>
    <row r="379" ht="15.0" hidden="1" customHeight="1">
      <c r="A379" s="95">
        <v>5.0</v>
      </c>
      <c r="B379" s="380" t="s">
        <v>48</v>
      </c>
      <c r="C379" s="374" t="s">
        <v>322</v>
      </c>
      <c r="D379" s="374" t="s">
        <v>869</v>
      </c>
      <c r="E379" s="85">
        <v>1.0</v>
      </c>
      <c r="F379" s="375">
        <v>42757.0</v>
      </c>
      <c r="G379" s="376" t="s">
        <v>867</v>
      </c>
      <c r="H379" s="377">
        <v>4.156099128E9</v>
      </c>
      <c r="I379" s="376" t="s">
        <v>868</v>
      </c>
      <c r="J379" s="378">
        <v>45082.0</v>
      </c>
      <c r="K379" s="376"/>
      <c r="L379" s="376"/>
      <c r="M379" s="374"/>
      <c r="N379" s="85" t="s">
        <v>34</v>
      </c>
      <c r="O379" s="379">
        <v>45597.0</v>
      </c>
      <c r="P379" s="316"/>
      <c r="Q379" s="316"/>
      <c r="R379" s="316"/>
      <c r="S379" s="316"/>
      <c r="T379" s="327"/>
      <c r="U379" s="327"/>
      <c r="V379" s="327"/>
      <c r="W379" s="316"/>
      <c r="X379" s="316"/>
      <c r="Y379" s="316"/>
      <c r="Z379" s="316"/>
      <c r="AA379" s="316"/>
      <c r="AB379" s="316"/>
      <c r="AC379" s="316"/>
      <c r="AD379" s="316"/>
      <c r="AE379" s="316"/>
      <c r="AF379" s="316"/>
      <c r="AG379" s="316"/>
      <c r="AH379" s="316"/>
      <c r="AI379" s="316"/>
      <c r="AJ379" s="316"/>
      <c r="AK379" s="316"/>
      <c r="AL379" s="316"/>
      <c r="AM379" s="316"/>
      <c r="AN379" s="316"/>
      <c r="AO379" s="316"/>
      <c r="AP379" s="316"/>
      <c r="AQ379" s="316"/>
      <c r="AR379" s="316"/>
      <c r="AS379" s="316"/>
      <c r="AT379" s="316"/>
      <c r="AU379" s="3"/>
      <c r="AV379" s="3"/>
    </row>
    <row r="380" ht="15.0" hidden="1" customHeight="1">
      <c r="A380" s="95">
        <v>6.0</v>
      </c>
      <c r="B380" s="380" t="s">
        <v>88</v>
      </c>
      <c r="C380" s="374" t="s">
        <v>322</v>
      </c>
      <c r="D380" s="374" t="s">
        <v>869</v>
      </c>
      <c r="E380" s="85">
        <v>1.0</v>
      </c>
      <c r="F380" s="375">
        <v>42757.0</v>
      </c>
      <c r="G380" s="376" t="s">
        <v>867</v>
      </c>
      <c r="H380" s="377">
        <v>4.156099128E9</v>
      </c>
      <c r="I380" s="376" t="s">
        <v>868</v>
      </c>
      <c r="J380" s="378">
        <v>45082.0</v>
      </c>
      <c r="K380" s="376"/>
      <c r="L380" s="376"/>
      <c r="M380" s="374"/>
      <c r="N380" s="85" t="s">
        <v>34</v>
      </c>
      <c r="O380" s="379">
        <v>45597.0</v>
      </c>
      <c r="P380" s="316"/>
      <c r="Q380" s="316"/>
      <c r="R380" s="316"/>
      <c r="S380" s="316"/>
      <c r="T380" s="328"/>
      <c r="U380" s="328"/>
      <c r="V380" s="328"/>
      <c r="W380" s="316"/>
      <c r="X380" s="316"/>
      <c r="Y380" s="316"/>
      <c r="Z380" s="316"/>
      <c r="AA380" s="316"/>
      <c r="AB380" s="316"/>
      <c r="AC380" s="316"/>
      <c r="AD380" s="316"/>
      <c r="AE380" s="316"/>
      <c r="AF380" s="316"/>
      <c r="AG380" s="316"/>
      <c r="AH380" s="316"/>
      <c r="AI380" s="316"/>
      <c r="AJ380" s="316"/>
      <c r="AK380" s="316"/>
      <c r="AL380" s="316"/>
      <c r="AM380" s="316"/>
      <c r="AN380" s="316"/>
      <c r="AO380" s="316"/>
      <c r="AP380" s="316"/>
      <c r="AQ380" s="316"/>
      <c r="AR380" s="316"/>
      <c r="AS380" s="316"/>
      <c r="AT380" s="316"/>
      <c r="AU380" s="3"/>
      <c r="AV380" s="3"/>
    </row>
    <row r="381" ht="15.0" hidden="1" customHeight="1">
      <c r="A381" s="95">
        <v>7.0</v>
      </c>
      <c r="B381" s="373" t="s">
        <v>48</v>
      </c>
      <c r="C381" s="381" t="s">
        <v>301</v>
      </c>
      <c r="D381" s="381" t="s">
        <v>800</v>
      </c>
      <c r="E381" s="382">
        <v>2.0</v>
      </c>
      <c r="F381" s="383">
        <v>42933.0</v>
      </c>
      <c r="G381" s="376" t="s">
        <v>801</v>
      </c>
      <c r="H381" s="377">
        <v>4.083986905E9</v>
      </c>
      <c r="I381" s="376" t="s">
        <v>802</v>
      </c>
      <c r="J381" s="384" t="s">
        <v>881</v>
      </c>
      <c r="K381" s="384"/>
      <c r="L381" s="384"/>
      <c r="M381" s="381" t="s">
        <v>886</v>
      </c>
      <c r="N381" s="373" t="s">
        <v>34</v>
      </c>
      <c r="O381" s="379">
        <v>45597.0</v>
      </c>
      <c r="P381" s="316"/>
      <c r="Q381" s="316"/>
      <c r="R381" s="316"/>
      <c r="S381" s="316"/>
      <c r="T381" s="305"/>
      <c r="U381" s="305"/>
      <c r="V381" s="305"/>
      <c r="W381" s="316"/>
      <c r="X381" s="316"/>
      <c r="Y381" s="316"/>
      <c r="Z381" s="316"/>
      <c r="AA381" s="316"/>
      <c r="AB381" s="316"/>
      <c r="AC381" s="316"/>
      <c r="AD381" s="316"/>
      <c r="AE381" s="316"/>
      <c r="AF381" s="316"/>
      <c r="AG381" s="316"/>
      <c r="AH381" s="316"/>
      <c r="AI381" s="316"/>
      <c r="AJ381" s="316"/>
      <c r="AK381" s="316"/>
      <c r="AL381" s="316"/>
      <c r="AM381" s="316"/>
      <c r="AN381" s="316"/>
      <c r="AO381" s="316"/>
      <c r="AP381" s="316"/>
      <c r="AQ381" s="316"/>
      <c r="AR381" s="316"/>
      <c r="AS381" s="316"/>
      <c r="AT381" s="316"/>
      <c r="AU381" s="3"/>
      <c r="AV381" s="3"/>
    </row>
    <row r="382" ht="15.0" hidden="1" customHeight="1">
      <c r="A382" s="385">
        <v>8.0</v>
      </c>
      <c r="B382" s="386" t="s">
        <v>88</v>
      </c>
      <c r="C382" s="387" t="s">
        <v>301</v>
      </c>
      <c r="D382" s="387" t="s">
        <v>800</v>
      </c>
      <c r="E382" s="388">
        <v>2.0</v>
      </c>
      <c r="F382" s="389">
        <v>42933.0</v>
      </c>
      <c r="G382" s="390" t="s">
        <v>801</v>
      </c>
      <c r="H382" s="391">
        <v>4.083986905E9</v>
      </c>
      <c r="I382" s="390" t="s">
        <v>802</v>
      </c>
      <c r="J382" s="392" t="s">
        <v>881</v>
      </c>
      <c r="K382" s="392"/>
      <c r="L382" s="392"/>
      <c r="M382" s="387"/>
      <c r="N382" s="386" t="s">
        <v>34</v>
      </c>
      <c r="O382" s="393">
        <v>45597.0</v>
      </c>
      <c r="P382" s="316"/>
      <c r="Q382" s="316"/>
      <c r="R382" s="316"/>
      <c r="S382" s="316"/>
      <c r="T382" s="130"/>
      <c r="U382" s="130"/>
      <c r="V382" s="130"/>
      <c r="W382" s="316"/>
      <c r="X382" s="316"/>
      <c r="Y382" s="316"/>
      <c r="Z382" s="316"/>
      <c r="AA382" s="316"/>
      <c r="AB382" s="316"/>
      <c r="AC382" s="316"/>
      <c r="AD382" s="316"/>
      <c r="AE382" s="316"/>
      <c r="AF382" s="316"/>
      <c r="AG382" s="316"/>
      <c r="AH382" s="316"/>
      <c r="AI382" s="316"/>
      <c r="AJ382" s="316"/>
      <c r="AK382" s="316"/>
      <c r="AL382" s="316"/>
      <c r="AM382" s="316"/>
      <c r="AN382" s="316"/>
      <c r="AO382" s="316"/>
      <c r="AP382" s="316"/>
      <c r="AQ382" s="316"/>
      <c r="AR382" s="316"/>
      <c r="AS382" s="316"/>
      <c r="AT382" s="316"/>
      <c r="AU382" s="3"/>
      <c r="AV382" s="3"/>
    </row>
    <row r="383" ht="15.0" hidden="1" customHeight="1">
      <c r="A383" s="95">
        <v>1.0</v>
      </c>
      <c r="B383" s="394" t="s">
        <v>48</v>
      </c>
      <c r="C383" s="395" t="s">
        <v>887</v>
      </c>
      <c r="D383" s="395" t="s">
        <v>888</v>
      </c>
      <c r="E383" s="396">
        <v>2.0</v>
      </c>
      <c r="F383" s="396">
        <v>42157.0</v>
      </c>
      <c r="G383" s="395" t="s">
        <v>889</v>
      </c>
      <c r="H383" s="397">
        <v>5.857522132E9</v>
      </c>
      <c r="I383" s="395" t="s">
        <v>890</v>
      </c>
      <c r="J383" s="398">
        <v>45299.0</v>
      </c>
      <c r="K383" s="399"/>
      <c r="L383" s="399"/>
      <c r="M383" s="400" t="s">
        <v>891</v>
      </c>
      <c r="N383" s="394" t="s">
        <v>34</v>
      </c>
      <c r="O383" s="401">
        <v>45627.0</v>
      </c>
      <c r="P383" s="326"/>
      <c r="Q383" s="326"/>
      <c r="R383" s="326"/>
      <c r="S383" s="326"/>
      <c r="T383" s="130"/>
      <c r="U383" s="130"/>
      <c r="V383" s="130"/>
      <c r="W383" s="326"/>
      <c r="X383" s="326"/>
      <c r="Y383" s="326"/>
      <c r="Z383" s="326"/>
      <c r="AA383" s="326"/>
      <c r="AB383" s="326"/>
      <c r="AC383" s="326"/>
      <c r="AD383" s="326"/>
      <c r="AE383" s="326"/>
      <c r="AF383" s="326"/>
      <c r="AG383" s="326"/>
      <c r="AH383" s="326"/>
      <c r="AI383" s="326"/>
      <c r="AJ383" s="326"/>
      <c r="AK383" s="326"/>
      <c r="AL383" s="326"/>
      <c r="AM383" s="326"/>
      <c r="AN383" s="326"/>
      <c r="AO383" s="326"/>
      <c r="AP383" s="326"/>
      <c r="AQ383" s="326"/>
      <c r="AR383" s="326"/>
      <c r="AS383" s="326"/>
      <c r="AT383" s="326"/>
      <c r="AU383" s="326"/>
      <c r="AV383" s="326"/>
    </row>
    <row r="384" ht="15.0" hidden="1" customHeight="1">
      <c r="A384" s="95">
        <v>2.0</v>
      </c>
      <c r="B384" s="402" t="s">
        <v>88</v>
      </c>
      <c r="C384" s="399" t="s">
        <v>887</v>
      </c>
      <c r="D384" s="399" t="s">
        <v>888</v>
      </c>
      <c r="E384" s="403">
        <v>2.0</v>
      </c>
      <c r="F384" s="404">
        <v>42157.0</v>
      </c>
      <c r="G384" s="399" t="s">
        <v>889</v>
      </c>
      <c r="H384" s="399">
        <v>5.857522132E9</v>
      </c>
      <c r="I384" s="399" t="s">
        <v>890</v>
      </c>
      <c r="J384" s="404">
        <v>45299.0</v>
      </c>
      <c r="K384" s="399"/>
      <c r="L384" s="399"/>
      <c r="M384" s="400" t="s">
        <v>891</v>
      </c>
      <c r="N384" s="394" t="s">
        <v>34</v>
      </c>
      <c r="O384" s="401">
        <v>45627.0</v>
      </c>
      <c r="P384" s="326"/>
      <c r="Q384" s="326"/>
      <c r="R384" s="326"/>
      <c r="S384" s="326"/>
      <c r="T384" s="343"/>
      <c r="U384" s="343"/>
      <c r="V384" s="343"/>
      <c r="W384" s="326"/>
      <c r="X384" s="326"/>
      <c r="Y384" s="326"/>
      <c r="Z384" s="326"/>
      <c r="AA384" s="326"/>
      <c r="AB384" s="326"/>
      <c r="AC384" s="326"/>
      <c r="AD384" s="326"/>
      <c r="AE384" s="326"/>
      <c r="AF384" s="326"/>
      <c r="AG384" s="326"/>
      <c r="AH384" s="326"/>
      <c r="AI384" s="326"/>
      <c r="AJ384" s="326"/>
      <c r="AK384" s="326"/>
      <c r="AL384" s="326"/>
      <c r="AM384" s="326"/>
      <c r="AN384" s="326"/>
      <c r="AO384" s="326"/>
      <c r="AP384" s="326"/>
      <c r="AQ384" s="326"/>
      <c r="AR384" s="326"/>
      <c r="AS384" s="326"/>
      <c r="AT384" s="326"/>
      <c r="AU384" s="326"/>
      <c r="AV384" s="326"/>
    </row>
    <row r="385" ht="15.0" hidden="1" customHeight="1">
      <c r="A385" s="95">
        <v>3.0</v>
      </c>
      <c r="B385" s="394" t="s">
        <v>48</v>
      </c>
      <c r="C385" s="400" t="s">
        <v>573</v>
      </c>
      <c r="D385" s="400" t="s">
        <v>574</v>
      </c>
      <c r="E385" s="403" t="s">
        <v>249</v>
      </c>
      <c r="F385" s="404">
        <v>43461.0</v>
      </c>
      <c r="G385" s="400" t="s">
        <v>575</v>
      </c>
      <c r="H385" s="405">
        <v>4.086803486E9</v>
      </c>
      <c r="I385" s="399" t="s">
        <v>576</v>
      </c>
      <c r="J385" s="404">
        <v>45323.0</v>
      </c>
      <c r="K385" s="399"/>
      <c r="L385" s="399"/>
      <c r="M385" s="400" t="s">
        <v>892</v>
      </c>
      <c r="N385" s="394" t="s">
        <v>34</v>
      </c>
      <c r="O385" s="401">
        <v>45627.0</v>
      </c>
      <c r="P385" s="326"/>
      <c r="Q385" s="326"/>
      <c r="R385" s="326"/>
      <c r="S385" s="326"/>
      <c r="T385" s="130"/>
      <c r="U385" s="130"/>
      <c r="V385" s="130"/>
      <c r="W385" s="326"/>
      <c r="X385" s="326"/>
      <c r="Y385" s="326"/>
      <c r="Z385" s="326"/>
      <c r="AA385" s="326"/>
      <c r="AB385" s="326"/>
      <c r="AC385" s="326"/>
      <c r="AD385" s="326"/>
      <c r="AE385" s="326"/>
      <c r="AF385" s="326"/>
      <c r="AG385" s="326"/>
      <c r="AH385" s="326"/>
      <c r="AI385" s="326"/>
      <c r="AJ385" s="326"/>
      <c r="AK385" s="326"/>
      <c r="AL385" s="326"/>
      <c r="AM385" s="326"/>
      <c r="AN385" s="326"/>
      <c r="AO385" s="326"/>
      <c r="AP385" s="326"/>
      <c r="AQ385" s="326"/>
      <c r="AR385" s="326"/>
      <c r="AS385" s="326"/>
      <c r="AT385" s="326"/>
      <c r="AU385" s="326"/>
      <c r="AV385" s="326"/>
    </row>
    <row r="386" ht="15.0" hidden="1" customHeight="1">
      <c r="A386" s="95">
        <v>4.0</v>
      </c>
      <c r="B386" s="394" t="s">
        <v>88</v>
      </c>
      <c r="C386" s="395" t="s">
        <v>573</v>
      </c>
      <c r="D386" s="395" t="s">
        <v>574</v>
      </c>
      <c r="E386" s="396" t="s">
        <v>249</v>
      </c>
      <c r="F386" s="398">
        <v>43461.0</v>
      </c>
      <c r="G386" s="395" t="s">
        <v>575</v>
      </c>
      <c r="H386" s="397">
        <v>4.086803486E9</v>
      </c>
      <c r="I386" s="395" t="s">
        <v>576</v>
      </c>
      <c r="J386" s="398">
        <v>45352.0</v>
      </c>
      <c r="K386" s="399"/>
      <c r="L386" s="399"/>
      <c r="M386" s="400" t="s">
        <v>892</v>
      </c>
      <c r="N386" s="394" t="s">
        <v>34</v>
      </c>
      <c r="O386" s="401">
        <v>45627.0</v>
      </c>
      <c r="P386" s="326"/>
      <c r="Q386" s="326"/>
      <c r="R386" s="326"/>
      <c r="S386" s="326"/>
      <c r="T386" s="3"/>
      <c r="U386" s="3"/>
      <c r="V386" s="3"/>
      <c r="W386" s="326"/>
      <c r="X386" s="326"/>
      <c r="Y386" s="326"/>
      <c r="Z386" s="326"/>
      <c r="AA386" s="326"/>
      <c r="AB386" s="326"/>
      <c r="AC386" s="326"/>
      <c r="AD386" s="326"/>
      <c r="AE386" s="326"/>
      <c r="AF386" s="326"/>
      <c r="AG386" s="326"/>
      <c r="AH386" s="326"/>
      <c r="AI386" s="326"/>
      <c r="AJ386" s="326"/>
      <c r="AK386" s="326"/>
      <c r="AL386" s="326"/>
      <c r="AM386" s="326"/>
      <c r="AN386" s="326"/>
      <c r="AO386" s="326"/>
      <c r="AP386" s="326"/>
      <c r="AQ386" s="326"/>
      <c r="AR386" s="326"/>
      <c r="AS386" s="326"/>
      <c r="AT386" s="326"/>
      <c r="AU386" s="326"/>
      <c r="AV386" s="326"/>
    </row>
    <row r="387" ht="15.0" hidden="1" customHeight="1">
      <c r="A387" s="382">
        <v>1.0</v>
      </c>
      <c r="B387" s="380" t="s">
        <v>48</v>
      </c>
      <c r="C387" s="376" t="s">
        <v>144</v>
      </c>
      <c r="D387" s="376" t="s">
        <v>893</v>
      </c>
      <c r="E387" s="85">
        <v>1.0</v>
      </c>
      <c r="F387" s="375">
        <v>43199.0</v>
      </c>
      <c r="G387" s="376" t="s">
        <v>894</v>
      </c>
      <c r="H387" s="376">
        <v>6.503046747E9</v>
      </c>
      <c r="I387" s="376" t="s">
        <v>895</v>
      </c>
      <c r="J387" s="375">
        <v>45572.0</v>
      </c>
      <c r="K387" s="376"/>
      <c r="L387" s="376"/>
      <c r="M387" s="374" t="s">
        <v>896</v>
      </c>
      <c r="N387" s="373" t="s">
        <v>34</v>
      </c>
      <c r="O387" s="379">
        <v>45658.0</v>
      </c>
      <c r="P387" s="327"/>
      <c r="Q387" s="327"/>
      <c r="R387" s="327"/>
      <c r="S387" s="327"/>
      <c r="T387" s="344"/>
      <c r="U387" s="344"/>
      <c r="V387" s="344"/>
      <c r="W387" s="327"/>
      <c r="X387" s="327"/>
      <c r="Y387" s="327"/>
      <c r="Z387" s="327"/>
      <c r="AA387" s="327"/>
      <c r="AB387" s="327"/>
      <c r="AC387" s="327"/>
      <c r="AD387" s="327"/>
      <c r="AE387" s="327"/>
      <c r="AF387" s="327"/>
      <c r="AG387" s="327"/>
      <c r="AH387" s="327"/>
      <c r="AI387" s="327"/>
      <c r="AJ387" s="327"/>
      <c r="AK387" s="327"/>
      <c r="AL387" s="327"/>
      <c r="AM387" s="327"/>
      <c r="AN387" s="327"/>
      <c r="AO387" s="327"/>
      <c r="AP387" s="327"/>
      <c r="AQ387" s="327"/>
      <c r="AR387" s="327"/>
      <c r="AS387" s="327"/>
      <c r="AT387" s="327"/>
      <c r="AU387" s="327"/>
      <c r="AV387" s="327"/>
    </row>
    <row r="388" ht="15.0" hidden="1" customHeight="1">
      <c r="A388" s="95">
        <v>2.0</v>
      </c>
      <c r="B388" s="406" t="s">
        <v>48</v>
      </c>
      <c r="C388" s="407" t="s">
        <v>602</v>
      </c>
      <c r="D388" s="407" t="s">
        <v>603</v>
      </c>
      <c r="E388" s="408">
        <v>6.0</v>
      </c>
      <c r="F388" s="409">
        <v>41034.0</v>
      </c>
      <c r="G388" s="410" t="s">
        <v>604</v>
      </c>
      <c r="H388" s="411">
        <v>5.108161486E9</v>
      </c>
      <c r="I388" s="412" t="s">
        <v>567</v>
      </c>
      <c r="J388" s="409">
        <v>45293.0</v>
      </c>
      <c r="K388" s="410"/>
      <c r="L388" s="410"/>
      <c r="M388" s="407" t="s">
        <v>580</v>
      </c>
      <c r="N388" s="406" t="s">
        <v>34</v>
      </c>
      <c r="O388" s="379">
        <v>45658.0</v>
      </c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  <c r="Z388" s="328"/>
      <c r="AA388" s="328"/>
      <c r="AB388" s="328"/>
      <c r="AC388" s="328"/>
      <c r="AD388" s="328"/>
      <c r="AE388" s="328"/>
      <c r="AF388" s="328"/>
      <c r="AG388" s="328"/>
      <c r="AH388" s="328"/>
      <c r="AI388" s="328"/>
      <c r="AJ388" s="328"/>
      <c r="AK388" s="328"/>
      <c r="AL388" s="328"/>
      <c r="AM388" s="328"/>
      <c r="AN388" s="328"/>
      <c r="AO388" s="328"/>
      <c r="AP388" s="328"/>
      <c r="AQ388" s="328"/>
      <c r="AR388" s="328"/>
      <c r="AS388" s="328"/>
      <c r="AT388" s="328"/>
      <c r="AU388" s="306"/>
      <c r="AV388" s="306"/>
    </row>
    <row r="389" ht="15.0" hidden="1" customHeight="1">
      <c r="A389" s="95">
        <v>3.0</v>
      </c>
      <c r="B389" s="406" t="s">
        <v>48</v>
      </c>
      <c r="C389" s="413" t="s">
        <v>417</v>
      </c>
      <c r="D389" s="413" t="s">
        <v>897</v>
      </c>
      <c r="E389" s="414">
        <v>1.0</v>
      </c>
      <c r="F389" s="415">
        <v>42977.0</v>
      </c>
      <c r="G389" s="413" t="s">
        <v>898</v>
      </c>
      <c r="H389" s="416">
        <v>8.173712065E9</v>
      </c>
      <c r="I389" s="413" t="s">
        <v>899</v>
      </c>
      <c r="J389" s="415">
        <v>45174.0</v>
      </c>
      <c r="K389" s="410"/>
      <c r="L389" s="410"/>
      <c r="M389" s="407"/>
      <c r="N389" s="406" t="s">
        <v>34</v>
      </c>
      <c r="O389" s="379">
        <v>45658.0</v>
      </c>
      <c r="P389" s="305"/>
      <c r="Q389" s="305"/>
      <c r="R389" s="305"/>
      <c r="S389" s="305"/>
      <c r="T389" s="305"/>
      <c r="U389" s="305"/>
      <c r="V389" s="305"/>
      <c r="W389" s="305"/>
      <c r="X389" s="305"/>
      <c r="Y389" s="305"/>
      <c r="Z389" s="305"/>
      <c r="AA389" s="305"/>
      <c r="AB389" s="305"/>
      <c r="AC389" s="305"/>
      <c r="AD389" s="305"/>
      <c r="AE389" s="305"/>
      <c r="AF389" s="305"/>
      <c r="AG389" s="305"/>
      <c r="AH389" s="305"/>
      <c r="AI389" s="305"/>
      <c r="AJ389" s="305"/>
      <c r="AK389" s="305"/>
      <c r="AL389" s="305"/>
      <c r="AM389" s="305"/>
      <c r="AN389" s="305"/>
      <c r="AO389" s="305"/>
      <c r="AP389" s="305"/>
      <c r="AQ389" s="305"/>
      <c r="AR389" s="305"/>
      <c r="AS389" s="305"/>
      <c r="AT389" s="305"/>
      <c r="AU389" s="305"/>
      <c r="AV389" s="305"/>
    </row>
    <row r="390" ht="15.0" hidden="1" customHeight="1">
      <c r="A390" s="417">
        <v>1.0</v>
      </c>
      <c r="B390" s="418" t="s">
        <v>48</v>
      </c>
      <c r="C390" s="419" t="s">
        <v>200</v>
      </c>
      <c r="D390" s="419" t="s">
        <v>201</v>
      </c>
      <c r="E390" s="420" t="s">
        <v>141</v>
      </c>
      <c r="F390" s="421">
        <v>43556.0</v>
      </c>
      <c r="G390" s="419" t="s">
        <v>202</v>
      </c>
      <c r="H390" s="419">
        <v>2.147624191E9</v>
      </c>
      <c r="I390" s="419" t="s">
        <v>203</v>
      </c>
      <c r="J390" s="421">
        <v>45585.0</v>
      </c>
      <c r="K390" s="419" t="s">
        <v>117</v>
      </c>
      <c r="L390" s="419" t="s">
        <v>900</v>
      </c>
      <c r="M390" s="422" t="s">
        <v>901</v>
      </c>
      <c r="N390" s="423" t="s">
        <v>34</v>
      </c>
      <c r="O390" s="424">
        <v>45689.0</v>
      </c>
      <c r="P390" s="130"/>
      <c r="Q390" s="130"/>
      <c r="R390" s="130"/>
      <c r="S390" s="130"/>
      <c r="T390" s="130"/>
      <c r="U390" s="130"/>
      <c r="V390" s="130"/>
      <c r="W390" s="130"/>
      <c r="X390" s="130"/>
      <c r="Y390" s="130"/>
      <c r="Z390" s="130"/>
      <c r="AA390" s="130"/>
      <c r="AB390" s="130"/>
      <c r="AC390" s="130"/>
      <c r="AD390" s="130"/>
      <c r="AE390" s="130"/>
      <c r="AF390" s="130"/>
      <c r="AG390" s="130"/>
      <c r="AH390" s="130"/>
      <c r="AI390" s="130"/>
      <c r="AJ390" s="130"/>
      <c r="AK390" s="130"/>
      <c r="AL390" s="130"/>
      <c r="AM390" s="130"/>
      <c r="AN390" s="130"/>
      <c r="AO390" s="130"/>
      <c r="AP390" s="130"/>
      <c r="AQ390" s="130"/>
      <c r="AR390" s="130"/>
      <c r="AS390" s="130"/>
      <c r="AT390" s="130"/>
      <c r="AU390" s="130"/>
      <c r="AV390" s="130"/>
    </row>
    <row r="391" ht="15.0" hidden="1" customHeight="1">
      <c r="A391" s="417">
        <v>2.0</v>
      </c>
      <c r="B391" s="418" t="s">
        <v>88</v>
      </c>
      <c r="C391" s="419" t="s">
        <v>204</v>
      </c>
      <c r="D391" s="419" t="s">
        <v>201</v>
      </c>
      <c r="E391" s="420" t="s">
        <v>141</v>
      </c>
      <c r="F391" s="421">
        <v>43556.0</v>
      </c>
      <c r="G391" s="419" t="s">
        <v>202</v>
      </c>
      <c r="H391" s="419">
        <v>2.147624191E9</v>
      </c>
      <c r="I391" s="419" t="s">
        <v>203</v>
      </c>
      <c r="J391" s="421">
        <v>45585.0</v>
      </c>
      <c r="K391" s="419" t="s">
        <v>399</v>
      </c>
      <c r="L391" s="419" t="s">
        <v>902</v>
      </c>
      <c r="M391" s="422" t="s">
        <v>901</v>
      </c>
      <c r="N391" s="423" t="s">
        <v>34</v>
      </c>
      <c r="O391" s="424">
        <v>45689.0</v>
      </c>
      <c r="P391" s="130"/>
      <c r="Q391" s="130"/>
      <c r="R391" s="130"/>
      <c r="S391" s="130"/>
      <c r="T391" s="130"/>
      <c r="U391" s="130"/>
      <c r="V391" s="130"/>
      <c r="W391" s="130"/>
      <c r="X391" s="130"/>
      <c r="Y391" s="130"/>
      <c r="Z391" s="130"/>
      <c r="AA391" s="130"/>
      <c r="AB391" s="130"/>
      <c r="AC391" s="130"/>
      <c r="AD391" s="130"/>
      <c r="AE391" s="130"/>
      <c r="AF391" s="130"/>
      <c r="AG391" s="130"/>
      <c r="AH391" s="130"/>
      <c r="AI391" s="130"/>
      <c r="AJ391" s="130"/>
      <c r="AK391" s="130"/>
      <c r="AL391" s="130"/>
      <c r="AM391" s="130"/>
      <c r="AN391" s="130"/>
      <c r="AO391" s="130"/>
      <c r="AP391" s="130"/>
      <c r="AQ391" s="130"/>
      <c r="AR391" s="130"/>
      <c r="AS391" s="130"/>
      <c r="AT391" s="130"/>
      <c r="AU391" s="425"/>
      <c r="AV391" s="425"/>
    </row>
    <row r="392" ht="15.0" hidden="1" customHeight="1">
      <c r="A392" s="417">
        <v>3.0</v>
      </c>
      <c r="B392" s="423" t="s">
        <v>48</v>
      </c>
      <c r="C392" s="422" t="s">
        <v>446</v>
      </c>
      <c r="D392" s="422" t="s">
        <v>749</v>
      </c>
      <c r="E392" s="420">
        <v>4.0</v>
      </c>
      <c r="F392" s="421" t="s">
        <v>903</v>
      </c>
      <c r="G392" s="422" t="s">
        <v>904</v>
      </c>
      <c r="H392" s="426">
        <v>7.324916636E9</v>
      </c>
      <c r="I392" s="419" t="s">
        <v>905</v>
      </c>
      <c r="J392" s="421" t="s">
        <v>881</v>
      </c>
      <c r="K392" s="419" t="s">
        <v>375</v>
      </c>
      <c r="L392" s="419" t="s">
        <v>906</v>
      </c>
      <c r="M392" s="422" t="s">
        <v>907</v>
      </c>
      <c r="N392" s="423" t="s">
        <v>34</v>
      </c>
      <c r="O392" s="424">
        <v>45689.0</v>
      </c>
      <c r="P392" s="343"/>
      <c r="Q392" s="343"/>
      <c r="R392" s="343"/>
      <c r="S392" s="343"/>
      <c r="T392" s="343"/>
      <c r="U392" s="343"/>
      <c r="V392" s="343"/>
      <c r="W392" s="343"/>
      <c r="X392" s="343"/>
      <c r="Y392" s="343"/>
      <c r="Z392" s="343"/>
      <c r="AA392" s="343"/>
      <c r="AB392" s="343"/>
      <c r="AC392" s="343"/>
      <c r="AD392" s="343"/>
      <c r="AE392" s="343"/>
      <c r="AF392" s="343"/>
      <c r="AG392" s="343"/>
      <c r="AH392" s="343"/>
      <c r="AI392" s="343"/>
      <c r="AJ392" s="343"/>
      <c r="AK392" s="343"/>
      <c r="AL392" s="343"/>
      <c r="AM392" s="343"/>
      <c r="AN392" s="343"/>
      <c r="AO392" s="343"/>
      <c r="AP392" s="343"/>
      <c r="AQ392" s="343"/>
      <c r="AR392" s="343"/>
      <c r="AS392" s="343"/>
      <c r="AT392" s="343"/>
      <c r="AU392" s="130"/>
      <c r="AV392" s="130"/>
    </row>
    <row r="393" ht="15.0" hidden="1" customHeight="1">
      <c r="A393" s="417">
        <v>4.0</v>
      </c>
      <c r="B393" s="423" t="s">
        <v>88</v>
      </c>
      <c r="C393" s="427" t="s">
        <v>446</v>
      </c>
      <c r="D393" s="427" t="s">
        <v>749</v>
      </c>
      <c r="E393" s="417">
        <v>4.0</v>
      </c>
      <c r="F393" s="428" t="s">
        <v>903</v>
      </c>
      <c r="G393" s="427" t="s">
        <v>904</v>
      </c>
      <c r="H393" s="429">
        <v>7.324916636E9</v>
      </c>
      <c r="I393" s="427" t="s">
        <v>905</v>
      </c>
      <c r="J393" s="428" t="s">
        <v>881</v>
      </c>
      <c r="K393" s="419" t="s">
        <v>205</v>
      </c>
      <c r="L393" s="419" t="s">
        <v>908</v>
      </c>
      <c r="M393" s="422" t="s">
        <v>907</v>
      </c>
      <c r="N393" s="423" t="s">
        <v>34</v>
      </c>
      <c r="O393" s="424">
        <v>45689.0</v>
      </c>
      <c r="P393" s="130"/>
      <c r="Q393" s="130"/>
      <c r="R393" s="130"/>
      <c r="S393" s="130"/>
      <c r="T393" s="130"/>
      <c r="U393" s="130"/>
      <c r="V393" s="130"/>
      <c r="W393" s="130"/>
      <c r="X393" s="130"/>
      <c r="Y393" s="130"/>
      <c r="Z393" s="130"/>
      <c r="AA393" s="130"/>
      <c r="AB393" s="130"/>
      <c r="AC393" s="130"/>
      <c r="AD393" s="130"/>
      <c r="AE393" s="130"/>
      <c r="AF393" s="130"/>
      <c r="AG393" s="130"/>
      <c r="AH393" s="130"/>
      <c r="AI393" s="130"/>
      <c r="AJ393" s="130"/>
      <c r="AK393" s="130"/>
      <c r="AL393" s="130"/>
      <c r="AM393" s="130"/>
      <c r="AN393" s="130"/>
      <c r="AO393" s="130"/>
      <c r="AP393" s="130"/>
      <c r="AQ393" s="130"/>
      <c r="AR393" s="130"/>
      <c r="AS393" s="130"/>
      <c r="AT393" s="130"/>
      <c r="AU393" s="130"/>
      <c r="AV393" s="130"/>
    </row>
    <row r="394" ht="15.0" hidden="1" customHeight="1">
      <c r="A394" s="95">
        <v>1.0</v>
      </c>
      <c r="B394" s="91" t="s">
        <v>48</v>
      </c>
      <c r="C394" s="100" t="s">
        <v>446</v>
      </c>
      <c r="D394" s="100" t="s">
        <v>909</v>
      </c>
      <c r="E394" s="109">
        <v>5.0</v>
      </c>
      <c r="F394" s="117">
        <v>41774.0</v>
      </c>
      <c r="G394" s="100" t="s">
        <v>910</v>
      </c>
      <c r="H394" s="100" t="s">
        <v>911</v>
      </c>
      <c r="I394" s="100" t="s">
        <v>912</v>
      </c>
      <c r="J394" s="118">
        <v>45588.0</v>
      </c>
      <c r="K394" s="100" t="s">
        <v>246</v>
      </c>
      <c r="L394" s="100" t="s">
        <v>913</v>
      </c>
      <c r="M394" s="100" t="s">
        <v>914</v>
      </c>
      <c r="N394" s="96" t="s">
        <v>34</v>
      </c>
      <c r="O394" s="101">
        <v>45748.0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155"/>
      <c r="AV394" s="155"/>
    </row>
    <row r="395" ht="15.0" hidden="1" customHeight="1">
      <c r="A395" s="430">
        <v>1.0</v>
      </c>
      <c r="B395" s="431" t="s">
        <v>48</v>
      </c>
      <c r="C395" s="432" t="s">
        <v>193</v>
      </c>
      <c r="D395" s="432" t="s">
        <v>194</v>
      </c>
      <c r="E395" s="433">
        <v>4.0</v>
      </c>
      <c r="F395" s="434" t="s">
        <v>195</v>
      </c>
      <c r="G395" s="432" t="s">
        <v>196</v>
      </c>
      <c r="H395" s="432">
        <v>5.10260202E9</v>
      </c>
      <c r="I395" s="432" t="s">
        <v>197</v>
      </c>
      <c r="J395" s="435" t="s">
        <v>915</v>
      </c>
      <c r="K395" s="432" t="s">
        <v>198</v>
      </c>
      <c r="L395" s="432">
        <v>26.0</v>
      </c>
      <c r="M395" s="432"/>
      <c r="N395" s="436" t="s">
        <v>34</v>
      </c>
      <c r="O395" s="437">
        <v>45809.0</v>
      </c>
      <c r="P395" s="344"/>
      <c r="Q395" s="344"/>
      <c r="R395" s="344"/>
      <c r="S395" s="344"/>
      <c r="T395" s="344"/>
      <c r="U395" s="344"/>
      <c r="V395" s="344"/>
      <c r="W395" s="344"/>
      <c r="X395" s="344"/>
      <c r="Y395" s="344"/>
      <c r="Z395" s="344"/>
      <c r="AA395" s="344"/>
      <c r="AB395" s="344"/>
      <c r="AC395" s="344"/>
      <c r="AD395" s="344"/>
      <c r="AE395" s="344"/>
      <c r="AF395" s="344"/>
      <c r="AG395" s="344"/>
      <c r="AH395" s="344"/>
      <c r="AI395" s="344"/>
      <c r="AJ395" s="344"/>
      <c r="AK395" s="344"/>
      <c r="AL395" s="344"/>
      <c r="AM395" s="344"/>
      <c r="AN395" s="344"/>
      <c r="AO395" s="344"/>
      <c r="AP395" s="344"/>
      <c r="AQ395" s="344"/>
      <c r="AR395" s="344"/>
      <c r="AS395" s="344"/>
      <c r="AT395" s="344"/>
      <c r="AU395" s="438"/>
      <c r="AV395" s="438"/>
    </row>
    <row r="396" ht="15.0" hidden="1" customHeight="1">
      <c r="A396" s="430">
        <v>2.0</v>
      </c>
      <c r="B396" s="431" t="s">
        <v>88</v>
      </c>
      <c r="C396" s="432" t="s">
        <v>193</v>
      </c>
      <c r="D396" s="432" t="s">
        <v>194</v>
      </c>
      <c r="E396" s="433">
        <v>4.0</v>
      </c>
      <c r="F396" s="434" t="s">
        <v>195</v>
      </c>
      <c r="G396" s="432" t="s">
        <v>196</v>
      </c>
      <c r="H396" s="432">
        <v>5.10260202E9</v>
      </c>
      <c r="I396" s="432" t="s">
        <v>197</v>
      </c>
      <c r="J396" s="435" t="s">
        <v>915</v>
      </c>
      <c r="K396" s="432" t="s">
        <v>199</v>
      </c>
      <c r="L396" s="432">
        <v>61.0</v>
      </c>
      <c r="M396" s="432"/>
      <c r="N396" s="436" t="s">
        <v>34</v>
      </c>
      <c r="O396" s="437">
        <v>45809.0</v>
      </c>
      <c r="P396" s="344"/>
      <c r="Q396" s="344"/>
      <c r="R396" s="344"/>
      <c r="S396" s="344"/>
      <c r="T396" s="344"/>
      <c r="U396" s="344"/>
      <c r="V396" s="344"/>
      <c r="W396" s="344"/>
      <c r="X396" s="344"/>
      <c r="Y396" s="344"/>
      <c r="Z396" s="344"/>
      <c r="AA396" s="344"/>
      <c r="AB396" s="344"/>
      <c r="AC396" s="344"/>
      <c r="AD396" s="344"/>
      <c r="AE396" s="344"/>
      <c r="AF396" s="344"/>
      <c r="AG396" s="344"/>
      <c r="AH396" s="344"/>
      <c r="AI396" s="344"/>
      <c r="AJ396" s="344"/>
      <c r="AK396" s="344"/>
      <c r="AL396" s="344"/>
      <c r="AM396" s="344"/>
      <c r="AN396" s="344"/>
      <c r="AO396" s="344"/>
      <c r="AP396" s="344"/>
      <c r="AQ396" s="344"/>
      <c r="AR396" s="344"/>
      <c r="AS396" s="344"/>
      <c r="AT396" s="344"/>
      <c r="AU396" s="438"/>
      <c r="AV396" s="438"/>
    </row>
    <row r="397" ht="15.0" hidden="1" customHeight="1">
      <c r="A397" s="95">
        <v>3.0</v>
      </c>
      <c r="B397" s="408" t="s">
        <v>88</v>
      </c>
      <c r="C397" s="407" t="s">
        <v>446</v>
      </c>
      <c r="D397" s="407" t="s">
        <v>909</v>
      </c>
      <c r="E397" s="408">
        <v>5.0</v>
      </c>
      <c r="F397" s="409">
        <v>41774.0</v>
      </c>
      <c r="G397" s="407" t="s">
        <v>910</v>
      </c>
      <c r="H397" s="407" t="s">
        <v>911</v>
      </c>
      <c r="I397" s="407" t="s">
        <v>912</v>
      </c>
      <c r="J397" s="439">
        <v>45740.0</v>
      </c>
      <c r="K397" s="440"/>
      <c r="L397" s="440"/>
      <c r="M397" s="407" t="s">
        <v>916</v>
      </c>
      <c r="N397" s="406" t="s">
        <v>34</v>
      </c>
      <c r="O397" s="101">
        <v>45809.0</v>
      </c>
      <c r="P397" s="343"/>
      <c r="Q397" s="343"/>
      <c r="R397" s="343"/>
      <c r="S397" s="343"/>
      <c r="T397" s="343"/>
      <c r="U397" s="343"/>
      <c r="V397" s="343"/>
      <c r="W397" s="343"/>
      <c r="X397" s="343"/>
      <c r="Y397" s="343"/>
      <c r="Z397" s="343"/>
      <c r="AA397" s="343"/>
      <c r="AB397" s="343"/>
      <c r="AC397" s="343"/>
      <c r="AD397" s="343"/>
      <c r="AE397" s="343"/>
      <c r="AF397" s="343"/>
      <c r="AG397" s="343"/>
      <c r="AH397" s="343"/>
      <c r="AI397" s="343"/>
      <c r="AJ397" s="343"/>
      <c r="AK397" s="343"/>
      <c r="AL397" s="343"/>
      <c r="AM397" s="343"/>
      <c r="AN397" s="343"/>
      <c r="AO397" s="343"/>
      <c r="AP397" s="343"/>
      <c r="AQ397" s="343"/>
      <c r="AR397" s="343"/>
      <c r="AS397" s="343"/>
      <c r="AT397" s="343"/>
      <c r="AU397" s="425"/>
      <c r="AV397" s="425"/>
    </row>
    <row r="398" ht="15.0" hidden="1" customHeight="1">
      <c r="A398" s="430">
        <v>4.0</v>
      </c>
      <c r="B398" s="431" t="s">
        <v>88</v>
      </c>
      <c r="C398" s="432" t="s">
        <v>376</v>
      </c>
      <c r="D398" s="432" t="s">
        <v>377</v>
      </c>
      <c r="E398" s="433" t="s">
        <v>378</v>
      </c>
      <c r="F398" s="434" t="s">
        <v>379</v>
      </c>
      <c r="G398" s="432" t="s">
        <v>380</v>
      </c>
      <c r="H398" s="432">
        <v>7.063088178E9</v>
      </c>
      <c r="I398" s="432" t="s">
        <v>381</v>
      </c>
      <c r="J398" s="435" t="s">
        <v>149</v>
      </c>
      <c r="K398" s="432" t="s">
        <v>424</v>
      </c>
      <c r="L398" s="432">
        <v>105.0</v>
      </c>
      <c r="M398" s="432" t="s">
        <v>917</v>
      </c>
      <c r="N398" s="436" t="s">
        <v>34</v>
      </c>
      <c r="O398" s="437">
        <v>45809.0</v>
      </c>
      <c r="P398" s="344"/>
      <c r="Q398" s="344"/>
      <c r="R398" s="344"/>
      <c r="S398" s="344"/>
      <c r="T398" s="344"/>
      <c r="U398" s="344"/>
      <c r="V398" s="344"/>
      <c r="W398" s="344"/>
      <c r="X398" s="344"/>
      <c r="Y398" s="344"/>
      <c r="Z398" s="344"/>
      <c r="AA398" s="344"/>
      <c r="AB398" s="344"/>
      <c r="AC398" s="344"/>
      <c r="AD398" s="344"/>
      <c r="AE398" s="344"/>
      <c r="AF398" s="344"/>
      <c r="AG398" s="344"/>
      <c r="AH398" s="344"/>
      <c r="AI398" s="344"/>
      <c r="AJ398" s="344"/>
      <c r="AK398" s="344"/>
      <c r="AL398" s="344"/>
      <c r="AM398" s="344"/>
      <c r="AN398" s="344"/>
      <c r="AO398" s="344"/>
      <c r="AP398" s="344"/>
      <c r="AQ398" s="344"/>
      <c r="AR398" s="344"/>
      <c r="AS398" s="344"/>
      <c r="AT398" s="344"/>
      <c r="AU398" s="438"/>
      <c r="AV398" s="438"/>
    </row>
    <row r="399" ht="15.0" hidden="1" customHeight="1">
      <c r="A399" s="430">
        <v>5.0</v>
      </c>
      <c r="B399" s="431" t="s">
        <v>48</v>
      </c>
      <c r="C399" s="432" t="s">
        <v>376</v>
      </c>
      <c r="D399" s="432" t="s">
        <v>377</v>
      </c>
      <c r="E399" s="433" t="s">
        <v>378</v>
      </c>
      <c r="F399" s="434" t="s">
        <v>379</v>
      </c>
      <c r="G399" s="432" t="s">
        <v>380</v>
      </c>
      <c r="H399" s="432">
        <v>7.063088178E9</v>
      </c>
      <c r="I399" s="432" t="s">
        <v>381</v>
      </c>
      <c r="J399" s="435" t="s">
        <v>149</v>
      </c>
      <c r="K399" s="432" t="s">
        <v>124</v>
      </c>
      <c r="L399" s="432">
        <v>1.0</v>
      </c>
      <c r="M399" s="432" t="s">
        <v>917</v>
      </c>
      <c r="N399" s="436" t="s">
        <v>34</v>
      </c>
      <c r="O399" s="437">
        <v>45809.0</v>
      </c>
      <c r="P399" s="344"/>
      <c r="Q399" s="344"/>
      <c r="R399" s="344"/>
      <c r="S399" s="344"/>
      <c r="T399" s="344"/>
      <c r="U399" s="344"/>
      <c r="V399" s="344"/>
      <c r="W399" s="344"/>
      <c r="X399" s="344"/>
      <c r="Y399" s="344"/>
      <c r="Z399" s="344"/>
      <c r="AA399" s="344"/>
      <c r="AB399" s="344"/>
      <c r="AC399" s="344"/>
      <c r="AD399" s="344"/>
      <c r="AE399" s="344"/>
      <c r="AF399" s="344"/>
      <c r="AG399" s="344"/>
      <c r="AH399" s="344"/>
      <c r="AI399" s="344"/>
      <c r="AJ399" s="344"/>
      <c r="AK399" s="344"/>
      <c r="AL399" s="344"/>
      <c r="AM399" s="344"/>
      <c r="AN399" s="344"/>
      <c r="AO399" s="344"/>
      <c r="AP399" s="344"/>
      <c r="AQ399" s="344"/>
      <c r="AR399" s="344"/>
      <c r="AS399" s="344"/>
      <c r="AT399" s="344"/>
      <c r="AU399" s="438"/>
      <c r="AV399" s="438"/>
    </row>
    <row r="400" ht="15.0" hidden="1" customHeight="1">
      <c r="A400" s="95">
        <v>6.0</v>
      </c>
      <c r="B400" s="441" t="s">
        <v>88</v>
      </c>
      <c r="C400" s="407" t="s">
        <v>918</v>
      </c>
      <c r="D400" s="407" t="s">
        <v>282</v>
      </c>
      <c r="E400" s="408">
        <v>5.0</v>
      </c>
      <c r="F400" s="409" t="s">
        <v>919</v>
      </c>
      <c r="G400" s="407" t="s">
        <v>920</v>
      </c>
      <c r="H400" s="407">
        <v>4.027071083E9</v>
      </c>
      <c r="I400" s="407" t="s">
        <v>921</v>
      </c>
      <c r="J400" s="439" t="s">
        <v>922</v>
      </c>
      <c r="K400" s="407"/>
      <c r="L400" s="407"/>
      <c r="M400" s="407" t="s">
        <v>923</v>
      </c>
      <c r="N400" s="406" t="s">
        <v>34</v>
      </c>
      <c r="O400" s="101">
        <v>45809.0</v>
      </c>
      <c r="P400" s="130"/>
      <c r="Q400" s="130"/>
      <c r="R400" s="130"/>
      <c r="S400" s="130"/>
      <c r="T400" s="130"/>
      <c r="U400" s="130"/>
      <c r="V400" s="130"/>
      <c r="W400" s="130"/>
      <c r="X400" s="130"/>
      <c r="Y400" s="130"/>
      <c r="Z400" s="130"/>
      <c r="AA400" s="130"/>
      <c r="AB400" s="130"/>
      <c r="AC400" s="130"/>
      <c r="AD400" s="130"/>
      <c r="AE400" s="130"/>
      <c r="AF400" s="130"/>
      <c r="AG400" s="130"/>
      <c r="AH400" s="130"/>
      <c r="AI400" s="130"/>
      <c r="AJ400" s="130"/>
      <c r="AK400" s="130"/>
      <c r="AL400" s="130"/>
      <c r="AM400" s="130"/>
      <c r="AN400" s="130"/>
      <c r="AO400" s="130"/>
      <c r="AP400" s="130"/>
      <c r="AQ400" s="130"/>
      <c r="AR400" s="130"/>
      <c r="AS400" s="130"/>
      <c r="AT400" s="130"/>
      <c r="AU400" s="425"/>
      <c r="AV400" s="425"/>
    </row>
    <row r="401" ht="15.0" hidden="1" customHeight="1">
      <c r="A401" s="442">
        <v>7.0</v>
      </c>
      <c r="B401" s="443" t="s">
        <v>48</v>
      </c>
      <c r="C401" s="444" t="s">
        <v>610</v>
      </c>
      <c r="D401" s="444" t="s">
        <v>924</v>
      </c>
      <c r="E401" s="445">
        <v>4.0</v>
      </c>
      <c r="F401" s="446" t="s">
        <v>925</v>
      </c>
      <c r="G401" s="444" t="s">
        <v>926</v>
      </c>
      <c r="H401" s="444">
        <v>4.085076346E9</v>
      </c>
      <c r="I401" s="444" t="s">
        <v>673</v>
      </c>
      <c r="J401" s="447" t="s">
        <v>881</v>
      </c>
      <c r="K401" s="444" t="s">
        <v>927</v>
      </c>
      <c r="L401" s="444">
        <v>81.0</v>
      </c>
      <c r="M401" s="444" t="s">
        <v>917</v>
      </c>
      <c r="N401" s="448" t="s">
        <v>34</v>
      </c>
      <c r="O401" s="449">
        <v>45809.0</v>
      </c>
      <c r="P401" s="450"/>
      <c r="Q401" s="450"/>
      <c r="R401" s="450"/>
      <c r="S401" s="450"/>
      <c r="T401" s="450"/>
      <c r="U401" s="450"/>
      <c r="V401" s="450"/>
      <c r="W401" s="450"/>
      <c r="X401" s="450"/>
      <c r="Y401" s="450"/>
      <c r="Z401" s="450"/>
      <c r="AA401" s="450"/>
      <c r="AB401" s="450"/>
      <c r="AC401" s="450"/>
      <c r="AD401" s="450"/>
      <c r="AE401" s="450"/>
      <c r="AF401" s="450"/>
      <c r="AG401" s="450"/>
      <c r="AH401" s="450"/>
      <c r="AI401" s="450"/>
      <c r="AJ401" s="450"/>
      <c r="AK401" s="450"/>
      <c r="AL401" s="450"/>
      <c r="AM401" s="450"/>
      <c r="AN401" s="450"/>
      <c r="AO401" s="450"/>
      <c r="AP401" s="450"/>
      <c r="AQ401" s="450"/>
      <c r="AR401" s="450"/>
      <c r="AS401" s="450"/>
      <c r="AT401" s="450"/>
      <c r="AU401" s="451"/>
      <c r="AV401" s="451"/>
    </row>
    <row r="402" ht="15.0" hidden="1" customHeight="1">
      <c r="A402" s="442">
        <v>8.0</v>
      </c>
      <c r="B402" s="443" t="s">
        <v>88</v>
      </c>
      <c r="C402" s="444" t="s">
        <v>610</v>
      </c>
      <c r="D402" s="444" t="s">
        <v>924</v>
      </c>
      <c r="E402" s="445">
        <v>4.0</v>
      </c>
      <c r="F402" s="446" t="s">
        <v>928</v>
      </c>
      <c r="G402" s="444" t="s">
        <v>929</v>
      </c>
      <c r="H402" s="444">
        <v>4.085076346E9</v>
      </c>
      <c r="I402" s="444" t="s">
        <v>673</v>
      </c>
      <c r="J402" s="447">
        <v>45566.0</v>
      </c>
      <c r="K402" s="444" t="s">
        <v>150</v>
      </c>
      <c r="L402" s="444">
        <v>56.0</v>
      </c>
      <c r="M402" s="444" t="s">
        <v>917</v>
      </c>
      <c r="N402" s="448" t="s">
        <v>34</v>
      </c>
      <c r="O402" s="449">
        <v>45809.0</v>
      </c>
      <c r="P402" s="450"/>
      <c r="Q402" s="450"/>
      <c r="R402" s="450"/>
      <c r="S402" s="450"/>
      <c r="T402" s="450"/>
      <c r="U402" s="450"/>
      <c r="V402" s="450"/>
      <c r="W402" s="450"/>
      <c r="X402" s="450"/>
      <c r="Y402" s="450"/>
      <c r="Z402" s="450"/>
      <c r="AA402" s="450"/>
      <c r="AB402" s="450"/>
      <c r="AC402" s="450"/>
      <c r="AD402" s="450"/>
      <c r="AE402" s="450"/>
      <c r="AF402" s="450"/>
      <c r="AG402" s="450"/>
      <c r="AH402" s="450"/>
      <c r="AI402" s="450"/>
      <c r="AJ402" s="450"/>
      <c r="AK402" s="450"/>
      <c r="AL402" s="450"/>
      <c r="AM402" s="450"/>
      <c r="AN402" s="450"/>
      <c r="AO402" s="450"/>
      <c r="AP402" s="450"/>
      <c r="AQ402" s="450"/>
      <c r="AR402" s="450"/>
      <c r="AS402" s="450"/>
      <c r="AT402" s="450"/>
      <c r="AU402" s="451"/>
      <c r="AV402" s="451"/>
    </row>
    <row r="403" ht="15.0" hidden="1" customHeight="1">
      <c r="A403" s="95">
        <v>9.0</v>
      </c>
      <c r="B403" s="441" t="s">
        <v>48</v>
      </c>
      <c r="C403" s="407" t="s">
        <v>615</v>
      </c>
      <c r="D403" s="407" t="s">
        <v>616</v>
      </c>
      <c r="E403" s="408">
        <v>4.0</v>
      </c>
      <c r="F403" s="409" t="s">
        <v>930</v>
      </c>
      <c r="G403" s="407" t="s">
        <v>931</v>
      </c>
      <c r="H403" s="407">
        <v>3.104608958E9</v>
      </c>
      <c r="I403" s="407" t="s">
        <v>618</v>
      </c>
      <c r="J403" s="439" t="s">
        <v>932</v>
      </c>
      <c r="K403" s="407" t="s">
        <v>375</v>
      </c>
      <c r="L403" s="407">
        <v>16.0</v>
      </c>
      <c r="M403" s="407"/>
      <c r="N403" s="406" t="s">
        <v>34</v>
      </c>
      <c r="O403" s="101">
        <v>45809.0</v>
      </c>
      <c r="P403" s="130"/>
      <c r="Q403" s="130"/>
      <c r="R403" s="130"/>
      <c r="S403" s="130"/>
      <c r="T403" s="130"/>
      <c r="U403" s="130"/>
      <c r="V403" s="130"/>
      <c r="W403" s="130"/>
      <c r="X403" s="130"/>
      <c r="Y403" s="130"/>
      <c r="Z403" s="130"/>
      <c r="AA403" s="130"/>
      <c r="AB403" s="130"/>
      <c r="AC403" s="130"/>
      <c r="AD403" s="130"/>
      <c r="AE403" s="130"/>
      <c r="AF403" s="130"/>
      <c r="AG403" s="130"/>
      <c r="AH403" s="130"/>
      <c r="AI403" s="130"/>
      <c r="AJ403" s="130"/>
      <c r="AK403" s="130"/>
      <c r="AL403" s="130"/>
      <c r="AM403" s="130"/>
      <c r="AN403" s="130"/>
      <c r="AO403" s="130"/>
      <c r="AP403" s="130"/>
      <c r="AQ403" s="130"/>
      <c r="AR403" s="130"/>
      <c r="AS403" s="130"/>
      <c r="AT403" s="130"/>
      <c r="AU403" s="425"/>
      <c r="AV403" s="425"/>
    </row>
    <row r="404" ht="15.0" hidden="1" customHeight="1">
      <c r="A404" s="95">
        <v>10.0</v>
      </c>
      <c r="B404" s="441" t="s">
        <v>88</v>
      </c>
      <c r="C404" s="407" t="s">
        <v>615</v>
      </c>
      <c r="D404" s="407" t="s">
        <v>616</v>
      </c>
      <c r="E404" s="408">
        <v>4.0</v>
      </c>
      <c r="F404" s="409" t="s">
        <v>930</v>
      </c>
      <c r="G404" s="407" t="s">
        <v>931</v>
      </c>
      <c r="H404" s="407">
        <v>3.104608958E9</v>
      </c>
      <c r="I404" s="407" t="s">
        <v>618</v>
      </c>
      <c r="J404" s="439" t="s">
        <v>932</v>
      </c>
      <c r="K404" s="407" t="s">
        <v>199</v>
      </c>
      <c r="L404" s="407">
        <v>71.0</v>
      </c>
      <c r="M404" s="407"/>
      <c r="N404" s="406" t="s">
        <v>34</v>
      </c>
      <c r="O404" s="101">
        <v>45809.0</v>
      </c>
      <c r="P404" s="130"/>
      <c r="Q404" s="130"/>
      <c r="R404" s="130"/>
      <c r="S404" s="130"/>
      <c r="T404" s="130"/>
      <c r="U404" s="130"/>
      <c r="V404" s="130"/>
      <c r="W404" s="130"/>
      <c r="X404" s="130"/>
      <c r="Y404" s="130"/>
      <c r="Z404" s="130"/>
      <c r="AA404" s="130"/>
      <c r="AB404" s="130"/>
      <c r="AC404" s="130"/>
      <c r="AD404" s="130"/>
      <c r="AE404" s="130"/>
      <c r="AF404" s="130"/>
      <c r="AG404" s="130"/>
      <c r="AH404" s="130"/>
      <c r="AI404" s="130"/>
      <c r="AJ404" s="130"/>
      <c r="AK404" s="130"/>
      <c r="AL404" s="130"/>
      <c r="AM404" s="130"/>
      <c r="AN404" s="130"/>
      <c r="AO404" s="130"/>
      <c r="AP404" s="130"/>
      <c r="AQ404" s="130"/>
      <c r="AR404" s="130"/>
      <c r="AS404" s="130"/>
      <c r="AT404" s="130"/>
      <c r="AU404" s="425"/>
      <c r="AV404" s="425"/>
    </row>
    <row r="405" ht="15.0" hidden="1" customHeight="1">
      <c r="A405" s="430">
        <v>11.0</v>
      </c>
      <c r="B405" s="431" t="s">
        <v>48</v>
      </c>
      <c r="C405" s="432" t="s">
        <v>368</v>
      </c>
      <c r="D405" s="432" t="s">
        <v>145</v>
      </c>
      <c r="E405" s="433" t="s">
        <v>141</v>
      </c>
      <c r="F405" s="434">
        <v>43274.0</v>
      </c>
      <c r="G405" s="432" t="s">
        <v>369</v>
      </c>
      <c r="H405" s="432">
        <v>2.544004292E9</v>
      </c>
      <c r="I405" s="432" t="s">
        <v>370</v>
      </c>
      <c r="J405" s="435">
        <v>45503.0</v>
      </c>
      <c r="K405" s="432" t="s">
        <v>138</v>
      </c>
      <c r="L405" s="432">
        <v>86.0</v>
      </c>
      <c r="M405" s="432"/>
      <c r="N405" s="436" t="s">
        <v>34</v>
      </c>
      <c r="O405" s="437">
        <v>45809.0</v>
      </c>
      <c r="P405" s="344"/>
      <c r="Q405" s="344"/>
      <c r="R405" s="344"/>
      <c r="S405" s="344"/>
      <c r="T405" s="344"/>
      <c r="U405" s="344"/>
      <c r="V405" s="344"/>
      <c r="W405" s="344"/>
      <c r="X405" s="344"/>
      <c r="Y405" s="344"/>
      <c r="Z405" s="344"/>
      <c r="AA405" s="344"/>
      <c r="AB405" s="344"/>
      <c r="AC405" s="344"/>
      <c r="AD405" s="344"/>
      <c r="AE405" s="344"/>
      <c r="AF405" s="344"/>
      <c r="AG405" s="344"/>
      <c r="AH405" s="344"/>
      <c r="AI405" s="344"/>
      <c r="AJ405" s="344"/>
      <c r="AK405" s="344"/>
      <c r="AL405" s="344"/>
      <c r="AM405" s="344"/>
      <c r="AN405" s="344"/>
      <c r="AO405" s="344"/>
      <c r="AP405" s="344"/>
      <c r="AQ405" s="344"/>
      <c r="AR405" s="344"/>
      <c r="AS405" s="344"/>
      <c r="AT405" s="344"/>
      <c r="AU405" s="438"/>
      <c r="AV405" s="438"/>
    </row>
    <row r="406" ht="15.0" hidden="1" customHeight="1">
      <c r="A406" s="430">
        <v>12.0</v>
      </c>
      <c r="B406" s="431" t="s">
        <v>88</v>
      </c>
      <c r="C406" s="432" t="s">
        <v>368</v>
      </c>
      <c r="D406" s="432" t="s">
        <v>145</v>
      </c>
      <c r="E406" s="433" t="s">
        <v>141</v>
      </c>
      <c r="F406" s="434">
        <v>43274.0</v>
      </c>
      <c r="G406" s="432" t="s">
        <v>369</v>
      </c>
      <c r="H406" s="432">
        <v>2.544004292E9</v>
      </c>
      <c r="I406" s="432" t="s">
        <v>370</v>
      </c>
      <c r="J406" s="435">
        <v>45627.0</v>
      </c>
      <c r="K406" s="432" t="s">
        <v>205</v>
      </c>
      <c r="L406" s="432">
        <v>1.0</v>
      </c>
      <c r="M406" s="432"/>
      <c r="N406" s="436" t="s">
        <v>34</v>
      </c>
      <c r="O406" s="437">
        <v>45809.0</v>
      </c>
      <c r="P406" s="344"/>
      <c r="Q406" s="344"/>
      <c r="R406" s="344"/>
      <c r="S406" s="344"/>
      <c r="T406" s="344"/>
      <c r="U406" s="344"/>
      <c r="V406" s="344"/>
      <c r="W406" s="344"/>
      <c r="X406" s="344" t="s">
        <v>64</v>
      </c>
      <c r="Y406" s="344"/>
      <c r="Z406" s="344"/>
      <c r="AA406" s="344"/>
      <c r="AB406" s="344"/>
      <c r="AC406" s="344"/>
      <c r="AD406" s="344"/>
      <c r="AE406" s="344"/>
      <c r="AF406" s="344"/>
      <c r="AG406" s="344"/>
      <c r="AH406" s="344"/>
      <c r="AI406" s="344"/>
      <c r="AJ406" s="344"/>
      <c r="AK406" s="344"/>
      <c r="AL406" s="344"/>
      <c r="AM406" s="344"/>
      <c r="AN406" s="344"/>
      <c r="AO406" s="344"/>
      <c r="AP406" s="344"/>
      <c r="AQ406" s="344"/>
      <c r="AR406" s="344"/>
      <c r="AS406" s="344"/>
      <c r="AT406" s="344"/>
      <c r="AU406" s="438"/>
      <c r="AV406" s="438"/>
    </row>
    <row r="407" ht="15.0" hidden="1" customHeight="1">
      <c r="A407" s="95">
        <v>13.0</v>
      </c>
      <c r="B407" s="441" t="s">
        <v>48</v>
      </c>
      <c r="C407" s="407" t="s">
        <v>732</v>
      </c>
      <c r="D407" s="407" t="s">
        <v>145</v>
      </c>
      <c r="E407" s="408">
        <v>2.0</v>
      </c>
      <c r="F407" s="409" t="s">
        <v>933</v>
      </c>
      <c r="G407" s="407" t="s">
        <v>934</v>
      </c>
      <c r="H407" s="407">
        <v>4.087591928E9</v>
      </c>
      <c r="I407" s="407" t="s">
        <v>734</v>
      </c>
      <c r="J407" s="439" t="s">
        <v>932</v>
      </c>
      <c r="K407" s="407" t="s">
        <v>183</v>
      </c>
      <c r="L407" s="407">
        <v>105.0</v>
      </c>
      <c r="M407" s="407" t="s">
        <v>917</v>
      </c>
      <c r="N407" s="406" t="s">
        <v>34</v>
      </c>
      <c r="O407" s="101">
        <v>45809.0</v>
      </c>
      <c r="P407" s="130"/>
      <c r="Q407" s="130"/>
      <c r="R407" s="130"/>
      <c r="S407" s="130"/>
      <c r="T407" s="130"/>
      <c r="U407" s="130"/>
      <c r="V407" s="130"/>
      <c r="W407" s="130"/>
      <c r="X407" s="130"/>
      <c r="Y407" s="130"/>
      <c r="Z407" s="130"/>
      <c r="AA407" s="130"/>
      <c r="AB407" s="130"/>
      <c r="AC407" s="130"/>
      <c r="AD407" s="130"/>
      <c r="AE407" s="130"/>
      <c r="AF407" s="130"/>
      <c r="AG407" s="130"/>
      <c r="AH407" s="130"/>
      <c r="AI407" s="130"/>
      <c r="AJ407" s="130"/>
      <c r="AK407" s="130"/>
      <c r="AL407" s="130"/>
      <c r="AM407" s="130"/>
      <c r="AN407" s="130"/>
      <c r="AO407" s="130"/>
      <c r="AP407" s="130"/>
      <c r="AQ407" s="130"/>
      <c r="AR407" s="130"/>
      <c r="AS407" s="130"/>
      <c r="AT407" s="130"/>
      <c r="AU407" s="425"/>
      <c r="AV407" s="425"/>
    </row>
    <row r="408" ht="15.0" hidden="1" customHeight="1">
      <c r="A408" s="95">
        <v>14.0</v>
      </c>
      <c r="B408" s="441" t="s">
        <v>88</v>
      </c>
      <c r="C408" s="407" t="s">
        <v>732</v>
      </c>
      <c r="D408" s="407" t="s">
        <v>145</v>
      </c>
      <c r="E408" s="408">
        <v>2.0</v>
      </c>
      <c r="F408" s="409" t="s">
        <v>933</v>
      </c>
      <c r="G408" s="407" t="s">
        <v>934</v>
      </c>
      <c r="H408" s="407">
        <v>4.087591928E9</v>
      </c>
      <c r="I408" s="407" t="s">
        <v>734</v>
      </c>
      <c r="J408" s="439" t="s">
        <v>932</v>
      </c>
      <c r="K408" s="407" t="s">
        <v>205</v>
      </c>
      <c r="L408" s="407">
        <v>41.0</v>
      </c>
      <c r="M408" s="407" t="s">
        <v>917</v>
      </c>
      <c r="N408" s="406" t="s">
        <v>34</v>
      </c>
      <c r="O408" s="101">
        <v>45809.0</v>
      </c>
      <c r="P408" s="130"/>
      <c r="Q408" s="130"/>
      <c r="R408" s="130"/>
      <c r="S408" s="130"/>
      <c r="T408" s="130"/>
      <c r="U408" s="130"/>
      <c r="V408" s="130"/>
      <c r="W408" s="130"/>
      <c r="X408" s="130"/>
      <c r="Y408" s="130"/>
      <c r="Z408" s="130"/>
      <c r="AA408" s="130"/>
      <c r="AB408" s="130"/>
      <c r="AC408" s="130"/>
      <c r="AD408" s="130"/>
      <c r="AE408" s="130"/>
      <c r="AF408" s="130"/>
      <c r="AG408" s="130"/>
      <c r="AH408" s="130"/>
      <c r="AI408" s="130"/>
      <c r="AJ408" s="130"/>
      <c r="AK408" s="130"/>
      <c r="AL408" s="130"/>
      <c r="AM408" s="130"/>
      <c r="AN408" s="130"/>
      <c r="AO408" s="130"/>
      <c r="AP408" s="130"/>
      <c r="AQ408" s="130"/>
      <c r="AR408" s="130"/>
      <c r="AS408" s="130"/>
      <c r="AT408" s="130"/>
      <c r="AU408" s="425"/>
      <c r="AV408" s="425"/>
    </row>
    <row r="409" ht="15.0" hidden="1" customHeight="1">
      <c r="A409" s="430">
        <v>15.0</v>
      </c>
      <c r="B409" s="431" t="s">
        <v>48</v>
      </c>
      <c r="C409" s="432" t="s">
        <v>322</v>
      </c>
      <c r="D409" s="432" t="s">
        <v>736</v>
      </c>
      <c r="E409" s="433">
        <v>3.0</v>
      </c>
      <c r="F409" s="434" t="s">
        <v>935</v>
      </c>
      <c r="G409" s="432" t="s">
        <v>936</v>
      </c>
      <c r="H409" s="432">
        <v>5.103336666E9</v>
      </c>
      <c r="I409" s="432" t="s">
        <v>738</v>
      </c>
      <c r="J409" s="435" t="s">
        <v>915</v>
      </c>
      <c r="K409" s="432" t="s">
        <v>109</v>
      </c>
      <c r="L409" s="432">
        <v>81.0</v>
      </c>
      <c r="M409" s="432"/>
      <c r="N409" s="436" t="s">
        <v>34</v>
      </c>
      <c r="O409" s="437">
        <v>45809.0</v>
      </c>
      <c r="P409" s="344"/>
      <c r="Q409" s="344"/>
      <c r="R409" s="344"/>
      <c r="S409" s="344"/>
      <c r="T409" s="344"/>
      <c r="U409" s="344"/>
      <c r="V409" s="344"/>
      <c r="W409" s="344"/>
      <c r="X409" s="344"/>
      <c r="Y409" s="344"/>
      <c r="Z409" s="344"/>
      <c r="AA409" s="344"/>
      <c r="AB409" s="344"/>
      <c r="AC409" s="344"/>
      <c r="AD409" s="344"/>
      <c r="AE409" s="344"/>
      <c r="AF409" s="344"/>
      <c r="AG409" s="344"/>
      <c r="AH409" s="344"/>
      <c r="AI409" s="344"/>
      <c r="AJ409" s="344"/>
      <c r="AK409" s="344"/>
      <c r="AL409" s="344"/>
      <c r="AM409" s="344"/>
      <c r="AN409" s="344"/>
      <c r="AO409" s="344"/>
      <c r="AP409" s="344"/>
      <c r="AQ409" s="344"/>
      <c r="AR409" s="344"/>
      <c r="AS409" s="344"/>
      <c r="AT409" s="344"/>
      <c r="AU409" s="438"/>
      <c r="AV409" s="438"/>
    </row>
    <row r="410" ht="15.0" hidden="1" customHeight="1">
      <c r="A410" s="95">
        <v>16.0</v>
      </c>
      <c r="B410" s="441" t="s">
        <v>48</v>
      </c>
      <c r="C410" s="407" t="s">
        <v>937</v>
      </c>
      <c r="D410" s="407" t="s">
        <v>938</v>
      </c>
      <c r="E410" s="408">
        <v>1.0</v>
      </c>
      <c r="F410" s="409" t="s">
        <v>939</v>
      </c>
      <c r="G410" s="407" t="s">
        <v>940</v>
      </c>
      <c r="H410" s="407">
        <v>5.104566566E9</v>
      </c>
      <c r="I410" s="407" t="s">
        <v>941</v>
      </c>
      <c r="J410" s="439" t="s">
        <v>942</v>
      </c>
      <c r="K410" s="407" t="s">
        <v>124</v>
      </c>
      <c r="L410" s="407">
        <v>6.0</v>
      </c>
      <c r="M410" s="407" t="s">
        <v>696</v>
      </c>
      <c r="N410" s="406" t="s">
        <v>34</v>
      </c>
      <c r="O410" s="101">
        <v>45809.0</v>
      </c>
      <c r="P410" s="130"/>
      <c r="Q410" s="130"/>
      <c r="R410" s="130"/>
      <c r="S410" s="130"/>
      <c r="T410" s="130"/>
      <c r="U410" s="130"/>
      <c r="V410" s="130"/>
      <c r="W410" s="130"/>
      <c r="X410" s="130"/>
      <c r="Y410" s="130"/>
      <c r="Z410" s="130"/>
      <c r="AA410" s="130"/>
      <c r="AB410" s="130"/>
      <c r="AC410" s="130"/>
      <c r="AD410" s="130"/>
      <c r="AE410" s="130"/>
      <c r="AF410" s="130"/>
      <c r="AG410" s="130"/>
      <c r="AH410" s="130"/>
      <c r="AI410" s="130"/>
      <c r="AJ410" s="130"/>
      <c r="AK410" s="130"/>
      <c r="AL410" s="130"/>
      <c r="AM410" s="130"/>
      <c r="AN410" s="130"/>
      <c r="AO410" s="130"/>
      <c r="AP410" s="130"/>
      <c r="AQ410" s="130"/>
      <c r="AR410" s="130"/>
      <c r="AS410" s="130"/>
      <c r="AT410" s="130"/>
      <c r="AU410" s="425"/>
      <c r="AV410" s="425"/>
    </row>
    <row r="411" ht="15.0" hidden="1" customHeight="1">
      <c r="A411" s="95">
        <v>17.0</v>
      </c>
      <c r="B411" s="441" t="s">
        <v>88</v>
      </c>
      <c r="C411" s="407" t="s">
        <v>937</v>
      </c>
      <c r="D411" s="407" t="s">
        <v>938</v>
      </c>
      <c r="E411" s="408">
        <v>1.0</v>
      </c>
      <c r="F411" s="409" t="s">
        <v>939</v>
      </c>
      <c r="G411" s="407" t="s">
        <v>940</v>
      </c>
      <c r="H411" s="407">
        <v>5.104566566E9</v>
      </c>
      <c r="I411" s="407" t="s">
        <v>941</v>
      </c>
      <c r="J411" s="439" t="s">
        <v>942</v>
      </c>
      <c r="K411" s="407" t="s">
        <v>132</v>
      </c>
      <c r="L411" s="407">
        <v>1.0</v>
      </c>
      <c r="M411" s="407" t="s">
        <v>696</v>
      </c>
      <c r="N411" s="406" t="s">
        <v>34</v>
      </c>
      <c r="O411" s="101">
        <v>45809.0</v>
      </c>
      <c r="P411" s="130"/>
      <c r="Q411" s="130"/>
      <c r="R411" s="130"/>
      <c r="S411" s="130"/>
      <c r="T411" s="130"/>
      <c r="U411" s="130"/>
      <c r="V411" s="130"/>
      <c r="W411" s="130"/>
      <c r="X411" s="130"/>
      <c r="Y411" s="130"/>
      <c r="Z411" s="130"/>
      <c r="AA411" s="130"/>
      <c r="AB411" s="130"/>
      <c r="AC411" s="130"/>
      <c r="AD411" s="130"/>
      <c r="AE411" s="130"/>
      <c r="AF411" s="130"/>
      <c r="AG411" s="130"/>
      <c r="AH411" s="130"/>
      <c r="AI411" s="130"/>
      <c r="AJ411" s="130"/>
      <c r="AK411" s="130"/>
      <c r="AL411" s="130"/>
      <c r="AM411" s="130"/>
      <c r="AN411" s="130"/>
      <c r="AO411" s="130"/>
      <c r="AP411" s="130"/>
      <c r="AQ411" s="130"/>
      <c r="AR411" s="130"/>
      <c r="AS411" s="130"/>
      <c r="AT411" s="130"/>
      <c r="AU411" s="425"/>
      <c r="AV411" s="425"/>
    </row>
    <row r="412" ht="15.0" hidden="1" customHeight="1">
      <c r="A412" s="95">
        <v>18.0</v>
      </c>
      <c r="B412" s="441" t="s">
        <v>48</v>
      </c>
      <c r="C412" s="407" t="s">
        <v>559</v>
      </c>
      <c r="D412" s="407" t="s">
        <v>943</v>
      </c>
      <c r="E412" s="408">
        <v>1.0</v>
      </c>
      <c r="F412" s="409">
        <v>42976.0</v>
      </c>
      <c r="G412" s="407" t="s">
        <v>944</v>
      </c>
      <c r="H412" s="407">
        <v>5.10557905E9</v>
      </c>
      <c r="I412" s="407" t="s">
        <v>945</v>
      </c>
      <c r="J412" s="439">
        <v>45174.0</v>
      </c>
      <c r="K412" s="407" t="s">
        <v>192</v>
      </c>
      <c r="L412" s="407">
        <v>15.0</v>
      </c>
      <c r="M412" s="407"/>
      <c r="N412" s="406" t="s">
        <v>34</v>
      </c>
      <c r="O412" s="101">
        <v>45809.0</v>
      </c>
      <c r="P412" s="130"/>
      <c r="Q412" s="130"/>
      <c r="R412" s="130"/>
      <c r="S412" s="130"/>
      <c r="T412" s="130"/>
      <c r="U412" s="130"/>
      <c r="V412" s="130"/>
      <c r="W412" s="130"/>
      <c r="X412" s="130"/>
      <c r="Y412" s="130"/>
      <c r="Z412" s="130"/>
      <c r="AA412" s="130"/>
      <c r="AB412" s="130"/>
      <c r="AC412" s="130"/>
      <c r="AD412" s="130"/>
      <c r="AE412" s="130"/>
      <c r="AF412" s="130"/>
      <c r="AG412" s="130"/>
      <c r="AH412" s="130"/>
      <c r="AI412" s="130"/>
      <c r="AJ412" s="130"/>
      <c r="AK412" s="130"/>
      <c r="AL412" s="130"/>
      <c r="AM412" s="130"/>
      <c r="AN412" s="130"/>
      <c r="AO412" s="130"/>
      <c r="AP412" s="130"/>
      <c r="AQ412" s="130"/>
      <c r="AR412" s="130"/>
      <c r="AS412" s="130"/>
      <c r="AT412" s="130"/>
      <c r="AU412" s="425"/>
      <c r="AV412" s="425"/>
    </row>
    <row r="413" ht="15.0" hidden="1" customHeight="1">
      <c r="A413" s="95">
        <v>19.0</v>
      </c>
      <c r="B413" s="441" t="s">
        <v>88</v>
      </c>
      <c r="C413" s="407" t="s">
        <v>559</v>
      </c>
      <c r="D413" s="407" t="s">
        <v>943</v>
      </c>
      <c r="E413" s="408">
        <v>1.0</v>
      </c>
      <c r="F413" s="409">
        <v>42976.0</v>
      </c>
      <c r="G413" s="407" t="s">
        <v>944</v>
      </c>
      <c r="H413" s="407">
        <v>5.10557905E9</v>
      </c>
      <c r="I413" s="407" t="s">
        <v>945</v>
      </c>
      <c r="J413" s="439">
        <v>45174.0</v>
      </c>
      <c r="K413" s="407" t="s">
        <v>111</v>
      </c>
      <c r="L413" s="407">
        <v>18.0</v>
      </c>
      <c r="M413" s="407"/>
      <c r="N413" s="406" t="s">
        <v>34</v>
      </c>
      <c r="O413" s="101">
        <v>45809.0</v>
      </c>
      <c r="P413" s="130"/>
      <c r="Q413" s="130"/>
      <c r="R413" s="130"/>
      <c r="S413" s="130"/>
      <c r="T413" s="130"/>
      <c r="U413" s="130"/>
      <c r="V413" s="130"/>
      <c r="W413" s="130"/>
      <c r="X413" s="130"/>
      <c r="Y413" s="130"/>
      <c r="Z413" s="130"/>
      <c r="AA413" s="130"/>
      <c r="AB413" s="130"/>
      <c r="AC413" s="130"/>
      <c r="AD413" s="130"/>
      <c r="AE413" s="130"/>
      <c r="AF413" s="130"/>
      <c r="AG413" s="130"/>
      <c r="AH413" s="130"/>
      <c r="AI413" s="130"/>
      <c r="AJ413" s="130"/>
      <c r="AK413" s="130"/>
      <c r="AL413" s="130"/>
      <c r="AM413" s="130"/>
      <c r="AN413" s="130"/>
      <c r="AO413" s="130"/>
      <c r="AP413" s="130"/>
      <c r="AQ413" s="130"/>
      <c r="AR413" s="130"/>
      <c r="AS413" s="130"/>
      <c r="AT413" s="130"/>
      <c r="AU413" s="425"/>
      <c r="AV413" s="425"/>
    </row>
    <row r="414" ht="15.0" hidden="1" customHeight="1">
      <c r="A414" s="95">
        <v>20.0</v>
      </c>
      <c r="B414" s="408" t="s">
        <v>48</v>
      </c>
      <c r="C414" s="407" t="s">
        <v>946</v>
      </c>
      <c r="D414" s="407" t="s">
        <v>947</v>
      </c>
      <c r="E414" s="452" t="s">
        <v>141</v>
      </c>
      <c r="F414" s="409">
        <v>43487.0</v>
      </c>
      <c r="G414" s="453" t="s">
        <v>948</v>
      </c>
      <c r="H414" s="453">
        <v>5.107532567E9</v>
      </c>
      <c r="I414" s="453" t="s">
        <v>949</v>
      </c>
      <c r="J414" s="439">
        <v>45732.0</v>
      </c>
      <c r="K414" s="407"/>
      <c r="L414" s="407"/>
      <c r="M414" s="407" t="s">
        <v>950</v>
      </c>
      <c r="N414" s="406" t="s">
        <v>34</v>
      </c>
      <c r="O414" s="101">
        <v>45809.0</v>
      </c>
      <c r="P414" s="425"/>
      <c r="Q414" s="425"/>
      <c r="R414" s="425"/>
      <c r="S414" s="425"/>
      <c r="T414" s="425"/>
      <c r="U414" s="425"/>
      <c r="V414" s="425"/>
      <c r="W414" s="425"/>
      <c r="X414" s="425"/>
      <c r="Y414" s="425"/>
      <c r="Z414" s="425"/>
      <c r="AA414" s="425"/>
      <c r="AB414" s="425"/>
      <c r="AC414" s="425"/>
      <c r="AD414" s="425"/>
      <c r="AE414" s="425"/>
      <c r="AF414" s="425"/>
      <c r="AG414" s="425"/>
      <c r="AH414" s="425"/>
      <c r="AI414" s="425"/>
      <c r="AJ414" s="425"/>
      <c r="AK414" s="425"/>
      <c r="AL414" s="425"/>
      <c r="AM414" s="425"/>
      <c r="AN414" s="425"/>
      <c r="AO414" s="425"/>
      <c r="AP414" s="425"/>
      <c r="AQ414" s="425"/>
      <c r="AR414" s="425"/>
      <c r="AS414" s="425"/>
      <c r="AT414" s="425"/>
      <c r="AU414" s="425"/>
      <c r="AV414" s="425"/>
    </row>
    <row r="415" ht="15.0" hidden="1" customHeight="1">
      <c r="A415" s="430">
        <v>21.0</v>
      </c>
      <c r="B415" s="431" t="s">
        <v>48</v>
      </c>
      <c r="C415" s="432" t="s">
        <v>161</v>
      </c>
      <c r="D415" s="432" t="s">
        <v>170</v>
      </c>
      <c r="E415" s="433" t="s">
        <v>141</v>
      </c>
      <c r="F415" s="434" t="s">
        <v>171</v>
      </c>
      <c r="G415" s="432" t="s">
        <v>166</v>
      </c>
      <c r="H415" s="432">
        <v>2.177211536E9</v>
      </c>
      <c r="I415" s="432" t="s">
        <v>167</v>
      </c>
      <c r="J415" s="435" t="s">
        <v>881</v>
      </c>
      <c r="K415" s="432" t="s">
        <v>192</v>
      </c>
      <c r="L415" s="432">
        <v>36.0</v>
      </c>
      <c r="M415" s="432" t="s">
        <v>917</v>
      </c>
      <c r="N415" s="436" t="s">
        <v>34</v>
      </c>
      <c r="O415" s="437">
        <v>45809.0</v>
      </c>
      <c r="P415" s="344"/>
      <c r="Q415" s="344"/>
      <c r="R415" s="344"/>
      <c r="S415" s="344"/>
      <c r="T415" s="344"/>
      <c r="U415" s="344"/>
      <c r="V415" s="344"/>
      <c r="W415" s="344"/>
      <c r="X415" s="344"/>
      <c r="Y415" s="344"/>
      <c r="Z415" s="344"/>
      <c r="AA415" s="344"/>
      <c r="AB415" s="344"/>
      <c r="AC415" s="344"/>
      <c r="AD415" s="344"/>
      <c r="AE415" s="344"/>
      <c r="AF415" s="344"/>
      <c r="AG415" s="344"/>
      <c r="AH415" s="344"/>
      <c r="AI415" s="344"/>
      <c r="AJ415" s="344"/>
      <c r="AK415" s="344"/>
      <c r="AL415" s="344"/>
      <c r="AM415" s="344"/>
      <c r="AN415" s="344"/>
      <c r="AO415" s="344"/>
      <c r="AP415" s="344"/>
      <c r="AQ415" s="344"/>
      <c r="AR415" s="344"/>
      <c r="AS415" s="344"/>
      <c r="AT415" s="344"/>
      <c r="AU415" s="438"/>
      <c r="AV415" s="438"/>
    </row>
    <row r="416" ht="15.0" hidden="1" customHeight="1">
      <c r="A416" s="430">
        <v>22.0</v>
      </c>
      <c r="B416" s="431" t="s">
        <v>88</v>
      </c>
      <c r="C416" s="432" t="s">
        <v>161</v>
      </c>
      <c r="D416" s="432" t="s">
        <v>170</v>
      </c>
      <c r="E416" s="433" t="s">
        <v>141</v>
      </c>
      <c r="F416" s="434" t="s">
        <v>171</v>
      </c>
      <c r="G416" s="432" t="s">
        <v>166</v>
      </c>
      <c r="H416" s="432">
        <v>2.177211536E9</v>
      </c>
      <c r="I416" s="432" t="s">
        <v>167</v>
      </c>
      <c r="J416" s="435" t="s">
        <v>881</v>
      </c>
      <c r="K416" s="432" t="s">
        <v>205</v>
      </c>
      <c r="L416" s="432">
        <v>25.0</v>
      </c>
      <c r="M416" s="432" t="s">
        <v>917</v>
      </c>
      <c r="N416" s="436" t="s">
        <v>34</v>
      </c>
      <c r="O416" s="437">
        <v>45809.0</v>
      </c>
      <c r="P416" s="344"/>
      <c r="Q416" s="344"/>
      <c r="R416" s="344"/>
      <c r="S416" s="344"/>
      <c r="T416" s="344"/>
      <c r="U416" s="344"/>
      <c r="V416" s="344"/>
      <c r="W416" s="344"/>
      <c r="X416" s="344"/>
      <c r="Y416" s="344"/>
      <c r="Z416" s="344"/>
      <c r="AA416" s="344"/>
      <c r="AB416" s="344"/>
      <c r="AC416" s="344"/>
      <c r="AD416" s="344"/>
      <c r="AE416" s="344"/>
      <c r="AF416" s="344"/>
      <c r="AG416" s="344"/>
      <c r="AH416" s="344"/>
      <c r="AI416" s="344"/>
      <c r="AJ416" s="344"/>
      <c r="AK416" s="344"/>
      <c r="AL416" s="344"/>
      <c r="AM416" s="344"/>
      <c r="AN416" s="344"/>
      <c r="AO416" s="344"/>
      <c r="AP416" s="344"/>
      <c r="AQ416" s="344"/>
      <c r="AR416" s="344"/>
      <c r="AS416" s="344"/>
      <c r="AT416" s="344"/>
      <c r="AU416" s="438"/>
      <c r="AV416" s="438"/>
    </row>
    <row r="417" ht="15.0" hidden="1" customHeight="1">
      <c r="A417" s="430">
        <v>23.0</v>
      </c>
      <c r="B417" s="431" t="s">
        <v>48</v>
      </c>
      <c r="C417" s="432" t="s">
        <v>270</v>
      </c>
      <c r="D417" s="432" t="s">
        <v>271</v>
      </c>
      <c r="E417" s="433">
        <v>2.0</v>
      </c>
      <c r="F417" s="434" t="s">
        <v>272</v>
      </c>
      <c r="G417" s="432" t="s">
        <v>273</v>
      </c>
      <c r="H417" s="432">
        <v>5.102989555E9</v>
      </c>
      <c r="I417" s="432" t="s">
        <v>274</v>
      </c>
      <c r="J417" s="435" t="s">
        <v>360</v>
      </c>
      <c r="K417" s="432" t="s">
        <v>183</v>
      </c>
      <c r="L417" s="432">
        <v>51.0</v>
      </c>
      <c r="M417" s="432"/>
      <c r="N417" s="436" t="s">
        <v>34</v>
      </c>
      <c r="O417" s="437">
        <v>45809.0</v>
      </c>
      <c r="P417" s="344"/>
      <c r="Q417" s="344"/>
      <c r="R417" s="344"/>
      <c r="S417" s="344"/>
      <c r="T417" s="344"/>
      <c r="U417" s="344"/>
      <c r="V417" s="344"/>
      <c r="W417" s="344"/>
      <c r="X417" s="344"/>
      <c r="Y417" s="344"/>
      <c r="Z417" s="344"/>
      <c r="AA417" s="344"/>
      <c r="AB417" s="344"/>
      <c r="AC417" s="344"/>
      <c r="AD417" s="344"/>
      <c r="AE417" s="344"/>
      <c r="AF417" s="344"/>
      <c r="AG417" s="344"/>
      <c r="AH417" s="344"/>
      <c r="AI417" s="344"/>
      <c r="AJ417" s="344"/>
      <c r="AK417" s="344"/>
      <c r="AL417" s="344"/>
      <c r="AM417" s="344"/>
      <c r="AN417" s="344"/>
      <c r="AO417" s="344"/>
      <c r="AP417" s="344"/>
      <c r="AQ417" s="344"/>
      <c r="AR417" s="344"/>
      <c r="AS417" s="344"/>
      <c r="AT417" s="344"/>
      <c r="AU417" s="438"/>
      <c r="AV417" s="438"/>
    </row>
    <row r="418" ht="15.0" hidden="1" customHeight="1">
      <c r="A418" s="430">
        <v>24.0</v>
      </c>
      <c r="B418" s="431" t="s">
        <v>88</v>
      </c>
      <c r="C418" s="432" t="s">
        <v>270</v>
      </c>
      <c r="D418" s="432" t="s">
        <v>271</v>
      </c>
      <c r="E418" s="433">
        <v>2.0</v>
      </c>
      <c r="F418" s="434" t="s">
        <v>275</v>
      </c>
      <c r="G418" s="432" t="s">
        <v>276</v>
      </c>
      <c r="H418" s="432">
        <v>5.102989555E9</v>
      </c>
      <c r="I418" s="432" t="s">
        <v>274</v>
      </c>
      <c r="J418" s="435" t="s">
        <v>360</v>
      </c>
      <c r="K418" s="432" t="s">
        <v>205</v>
      </c>
      <c r="L418" s="432">
        <v>106.0</v>
      </c>
      <c r="M418" s="432"/>
      <c r="N418" s="436" t="s">
        <v>34</v>
      </c>
      <c r="O418" s="437">
        <v>45809.0</v>
      </c>
      <c r="P418" s="344"/>
      <c r="Q418" s="344"/>
      <c r="R418" s="344"/>
      <c r="S418" s="344"/>
      <c r="T418" s="344"/>
      <c r="U418" s="344"/>
      <c r="V418" s="344"/>
      <c r="W418" s="344"/>
      <c r="X418" s="344"/>
      <c r="Y418" s="344"/>
      <c r="Z418" s="344"/>
      <c r="AA418" s="344"/>
      <c r="AB418" s="344"/>
      <c r="AC418" s="344"/>
      <c r="AD418" s="344"/>
      <c r="AE418" s="344"/>
      <c r="AF418" s="344"/>
      <c r="AG418" s="344"/>
      <c r="AH418" s="344"/>
      <c r="AI418" s="344"/>
      <c r="AJ418" s="344"/>
      <c r="AK418" s="344"/>
      <c r="AL418" s="344"/>
      <c r="AM418" s="344"/>
      <c r="AN418" s="344"/>
      <c r="AO418" s="344"/>
      <c r="AP418" s="344"/>
      <c r="AQ418" s="344"/>
      <c r="AR418" s="344"/>
      <c r="AS418" s="344"/>
      <c r="AT418" s="344"/>
      <c r="AU418" s="438"/>
      <c r="AV418" s="438"/>
    </row>
    <row r="419" ht="15.0" hidden="1" customHeight="1">
      <c r="A419" s="430">
        <v>25.0</v>
      </c>
      <c r="B419" s="431" t="s">
        <v>48</v>
      </c>
      <c r="C419" s="432" t="s">
        <v>376</v>
      </c>
      <c r="D419" s="432" t="s">
        <v>382</v>
      </c>
      <c r="E419" s="433">
        <v>1.0</v>
      </c>
      <c r="F419" s="434" t="s">
        <v>383</v>
      </c>
      <c r="G419" s="432" t="s">
        <v>384</v>
      </c>
      <c r="H419" s="432">
        <v>4.088390577E9</v>
      </c>
      <c r="I419" s="432" t="s">
        <v>385</v>
      </c>
      <c r="J419" s="435" t="s">
        <v>932</v>
      </c>
      <c r="K419" s="454" t="s">
        <v>255</v>
      </c>
      <c r="L419" s="432">
        <v>41.0</v>
      </c>
      <c r="M419" s="432"/>
      <c r="N419" s="436" t="s">
        <v>34</v>
      </c>
      <c r="O419" s="437">
        <v>45809.0</v>
      </c>
      <c r="P419" s="344"/>
      <c r="Q419" s="344"/>
      <c r="R419" s="344"/>
      <c r="S419" s="344"/>
      <c r="T419" s="344"/>
      <c r="U419" s="344"/>
      <c r="V419" s="344"/>
      <c r="W419" s="344"/>
      <c r="X419" s="344"/>
      <c r="Y419" s="344"/>
      <c r="Z419" s="344"/>
      <c r="AA419" s="344"/>
      <c r="AB419" s="344"/>
      <c r="AC419" s="344"/>
      <c r="AD419" s="344"/>
      <c r="AE419" s="344"/>
      <c r="AF419" s="344"/>
      <c r="AG419" s="344"/>
      <c r="AH419" s="344"/>
      <c r="AI419" s="344"/>
      <c r="AJ419" s="344"/>
      <c r="AK419" s="344"/>
      <c r="AL419" s="344"/>
      <c r="AM419" s="344"/>
      <c r="AN419" s="344"/>
      <c r="AO419" s="344"/>
      <c r="AP419" s="344"/>
      <c r="AQ419" s="344"/>
      <c r="AR419" s="344"/>
      <c r="AS419" s="344"/>
      <c r="AT419" s="344"/>
      <c r="AU419" s="438"/>
      <c r="AV419" s="438"/>
    </row>
    <row r="420" ht="15.0" hidden="1" customHeight="1">
      <c r="A420" s="430">
        <v>26.0</v>
      </c>
      <c r="B420" s="431" t="s">
        <v>88</v>
      </c>
      <c r="C420" s="432" t="s">
        <v>376</v>
      </c>
      <c r="D420" s="432" t="s">
        <v>382</v>
      </c>
      <c r="E420" s="433">
        <v>1.0</v>
      </c>
      <c r="F420" s="434" t="s">
        <v>383</v>
      </c>
      <c r="G420" s="432" t="s">
        <v>384</v>
      </c>
      <c r="H420" s="432">
        <v>4.088390577E9</v>
      </c>
      <c r="I420" s="432" t="s">
        <v>385</v>
      </c>
      <c r="J420" s="435" t="s">
        <v>932</v>
      </c>
      <c r="K420" s="432" t="s">
        <v>399</v>
      </c>
      <c r="L420" s="432">
        <v>76.0</v>
      </c>
      <c r="M420" s="432"/>
      <c r="N420" s="436" t="s">
        <v>34</v>
      </c>
      <c r="O420" s="437">
        <v>45809.0</v>
      </c>
      <c r="P420" s="344"/>
      <c r="Q420" s="344"/>
      <c r="R420" s="344"/>
      <c r="S420" s="344"/>
      <c r="T420" s="344"/>
      <c r="U420" s="344"/>
      <c r="V420" s="344"/>
      <c r="W420" s="344"/>
      <c r="X420" s="344"/>
      <c r="Y420" s="344"/>
      <c r="Z420" s="344"/>
      <c r="AA420" s="344"/>
      <c r="AB420" s="344"/>
      <c r="AC420" s="344"/>
      <c r="AD420" s="344"/>
      <c r="AE420" s="344"/>
      <c r="AF420" s="344"/>
      <c r="AG420" s="344"/>
      <c r="AH420" s="344"/>
      <c r="AI420" s="344"/>
      <c r="AJ420" s="344"/>
      <c r="AK420" s="344"/>
      <c r="AL420" s="344"/>
      <c r="AM420" s="344"/>
      <c r="AN420" s="344"/>
      <c r="AO420" s="344"/>
      <c r="AP420" s="344"/>
      <c r="AQ420" s="344"/>
      <c r="AR420" s="344"/>
      <c r="AS420" s="344"/>
      <c r="AT420" s="344"/>
      <c r="AU420" s="438"/>
      <c r="AV420" s="438"/>
    </row>
    <row r="421" ht="15.0" hidden="1" customHeight="1">
      <c r="A421" s="95">
        <v>27.0</v>
      </c>
      <c r="B421" s="441" t="s">
        <v>48</v>
      </c>
      <c r="C421" s="407" t="s">
        <v>161</v>
      </c>
      <c r="D421" s="407" t="s">
        <v>951</v>
      </c>
      <c r="E421" s="408">
        <v>3.0</v>
      </c>
      <c r="F421" s="409">
        <v>42436.0</v>
      </c>
      <c r="G421" s="407" t="s">
        <v>952</v>
      </c>
      <c r="H421" s="407">
        <v>6.505245558E9</v>
      </c>
      <c r="I421" s="407" t="s">
        <v>953</v>
      </c>
      <c r="J421" s="439">
        <v>45658.0</v>
      </c>
      <c r="K421" s="407" t="s">
        <v>124</v>
      </c>
      <c r="L421" s="407">
        <v>11.0</v>
      </c>
      <c r="M421" s="407"/>
      <c r="N421" s="406" t="s">
        <v>34</v>
      </c>
      <c r="O421" s="101">
        <v>45809.0</v>
      </c>
      <c r="P421" s="130"/>
      <c r="Q421" s="130"/>
      <c r="R421" s="130"/>
      <c r="S421" s="130"/>
      <c r="T421" s="130"/>
      <c r="U421" s="130"/>
      <c r="V421" s="130"/>
      <c r="W421" s="130"/>
      <c r="X421" s="130"/>
      <c r="Y421" s="130"/>
      <c r="Z421" s="130"/>
      <c r="AA421" s="130"/>
      <c r="AB421" s="130"/>
      <c r="AC421" s="130"/>
      <c r="AD421" s="130"/>
      <c r="AE421" s="130"/>
      <c r="AF421" s="130"/>
      <c r="AG421" s="130"/>
      <c r="AH421" s="130"/>
      <c r="AI421" s="130"/>
      <c r="AJ421" s="130"/>
      <c r="AK421" s="130"/>
      <c r="AL421" s="130"/>
      <c r="AM421" s="130"/>
      <c r="AN421" s="130"/>
      <c r="AO421" s="130"/>
      <c r="AP421" s="130"/>
      <c r="AQ421" s="130"/>
      <c r="AR421" s="130"/>
      <c r="AS421" s="130"/>
      <c r="AT421" s="130"/>
      <c r="AU421" s="425"/>
      <c r="AV421" s="425"/>
    </row>
    <row r="422" ht="15.0" hidden="1" customHeight="1">
      <c r="A422" s="430">
        <v>28.0</v>
      </c>
      <c r="B422" s="431" t="s">
        <v>88</v>
      </c>
      <c r="C422" s="432" t="s">
        <v>464</v>
      </c>
      <c r="D422" s="432" t="s">
        <v>290</v>
      </c>
      <c r="E422" s="433">
        <v>2.0</v>
      </c>
      <c r="F422" s="434" t="s">
        <v>468</v>
      </c>
      <c r="G422" s="432" t="s">
        <v>469</v>
      </c>
      <c r="H422" s="432">
        <v>4.085108805E9</v>
      </c>
      <c r="I422" s="432" t="s">
        <v>470</v>
      </c>
      <c r="J422" s="435" t="s">
        <v>954</v>
      </c>
      <c r="K422" s="432" t="s">
        <v>199</v>
      </c>
      <c r="L422" s="432">
        <v>31.0</v>
      </c>
      <c r="M422" s="432"/>
      <c r="N422" s="436" t="s">
        <v>34</v>
      </c>
      <c r="O422" s="437">
        <v>45809.0</v>
      </c>
      <c r="P422" s="344"/>
      <c r="Q422" s="344"/>
      <c r="R422" s="344"/>
      <c r="S422" s="344"/>
      <c r="T422" s="344"/>
      <c r="U422" s="344"/>
      <c r="V422" s="344"/>
      <c r="W422" s="344"/>
      <c r="X422" s="344"/>
      <c r="Y422" s="344"/>
      <c r="Z422" s="344"/>
      <c r="AA422" s="344"/>
      <c r="AB422" s="344"/>
      <c r="AC422" s="344"/>
      <c r="AD422" s="344"/>
      <c r="AE422" s="344"/>
      <c r="AF422" s="344"/>
      <c r="AG422" s="344"/>
      <c r="AH422" s="344"/>
      <c r="AI422" s="344"/>
      <c r="AJ422" s="344"/>
      <c r="AK422" s="344"/>
      <c r="AL422" s="344"/>
      <c r="AM422" s="344"/>
      <c r="AN422" s="344"/>
      <c r="AO422" s="344"/>
      <c r="AP422" s="344"/>
      <c r="AQ422" s="344"/>
      <c r="AR422" s="344"/>
      <c r="AS422" s="344"/>
      <c r="AT422" s="344"/>
      <c r="AU422" s="438"/>
      <c r="AV422" s="438"/>
    </row>
    <row r="423" ht="15.0" hidden="1" customHeight="1">
      <c r="A423" s="430">
        <v>29.0</v>
      </c>
      <c r="B423" s="433" t="s">
        <v>48</v>
      </c>
      <c r="C423" s="455" t="s">
        <v>464</v>
      </c>
      <c r="D423" s="455" t="s">
        <v>290</v>
      </c>
      <c r="E423" s="433">
        <v>3.0</v>
      </c>
      <c r="F423" s="434">
        <v>42620.0</v>
      </c>
      <c r="G423" s="456" t="s">
        <v>472</v>
      </c>
      <c r="H423" s="456">
        <v>5.105574675E9</v>
      </c>
      <c r="I423" s="456" t="s">
        <v>467</v>
      </c>
      <c r="J423" s="437">
        <v>45766.0</v>
      </c>
      <c r="K423" s="455" t="s">
        <v>183</v>
      </c>
      <c r="L423" s="432">
        <v>100.0</v>
      </c>
      <c r="M423" s="432"/>
      <c r="N423" s="436" t="s">
        <v>34</v>
      </c>
      <c r="O423" s="437">
        <v>45809.0</v>
      </c>
      <c r="P423" s="457"/>
      <c r="Q423" s="457"/>
      <c r="R423" s="457"/>
      <c r="S423" s="457"/>
      <c r="T423" s="457"/>
      <c r="U423" s="457"/>
      <c r="V423" s="457"/>
      <c r="W423" s="457"/>
      <c r="X423" s="457"/>
      <c r="Y423" s="457"/>
      <c r="Z423" s="457"/>
      <c r="AA423" s="457"/>
      <c r="AB423" s="457"/>
      <c r="AC423" s="457"/>
      <c r="AD423" s="457"/>
      <c r="AE423" s="457"/>
      <c r="AF423" s="457"/>
      <c r="AG423" s="457"/>
      <c r="AH423" s="457"/>
      <c r="AI423" s="457"/>
      <c r="AJ423" s="457"/>
      <c r="AK423" s="457"/>
      <c r="AL423" s="457"/>
      <c r="AM423" s="457"/>
      <c r="AN423" s="457"/>
      <c r="AO423" s="457"/>
      <c r="AP423" s="457"/>
      <c r="AQ423" s="457"/>
      <c r="AR423" s="457"/>
      <c r="AS423" s="457"/>
      <c r="AT423" s="457"/>
      <c r="AU423" s="438"/>
      <c r="AV423" s="438"/>
    </row>
    <row r="424" ht="15.0" hidden="1" customHeight="1">
      <c r="A424" s="430">
        <v>30.0</v>
      </c>
      <c r="B424" s="431" t="s">
        <v>48</v>
      </c>
      <c r="C424" s="432" t="s">
        <v>286</v>
      </c>
      <c r="D424" s="432" t="s">
        <v>287</v>
      </c>
      <c r="E424" s="433">
        <v>1.0</v>
      </c>
      <c r="F424" s="434">
        <v>43194.0</v>
      </c>
      <c r="G424" s="432" t="s">
        <v>288</v>
      </c>
      <c r="H424" s="432">
        <v>4.155426994E9</v>
      </c>
      <c r="I424" s="432" t="s">
        <v>289</v>
      </c>
      <c r="J424" s="435">
        <v>45689.0</v>
      </c>
      <c r="K424" s="432" t="s">
        <v>124</v>
      </c>
      <c r="L424" s="432">
        <v>11.0</v>
      </c>
      <c r="M424" s="432"/>
      <c r="N424" s="436" t="s">
        <v>34</v>
      </c>
      <c r="O424" s="437">
        <v>45809.0</v>
      </c>
      <c r="P424" s="344"/>
      <c r="Q424" s="344"/>
      <c r="R424" s="344"/>
      <c r="S424" s="344"/>
      <c r="T424" s="344"/>
      <c r="U424" s="344"/>
      <c r="V424" s="344"/>
      <c r="W424" s="344"/>
      <c r="X424" s="344"/>
      <c r="Y424" s="344"/>
      <c r="Z424" s="344"/>
      <c r="AA424" s="344"/>
      <c r="AB424" s="344"/>
      <c r="AC424" s="344"/>
      <c r="AD424" s="344"/>
      <c r="AE424" s="344"/>
      <c r="AF424" s="344"/>
      <c r="AG424" s="344"/>
      <c r="AH424" s="344"/>
      <c r="AI424" s="344"/>
      <c r="AJ424" s="344"/>
      <c r="AK424" s="344"/>
      <c r="AL424" s="344"/>
      <c r="AM424" s="344"/>
      <c r="AN424" s="344"/>
      <c r="AO424" s="344"/>
      <c r="AP424" s="344"/>
      <c r="AQ424" s="344"/>
      <c r="AR424" s="344"/>
      <c r="AS424" s="344"/>
      <c r="AT424" s="344"/>
      <c r="AU424" s="438"/>
      <c r="AV424" s="438"/>
    </row>
    <row r="425" ht="15.0" hidden="1" customHeight="1">
      <c r="A425" s="430">
        <v>31.0</v>
      </c>
      <c r="B425" s="431" t="s">
        <v>88</v>
      </c>
      <c r="C425" s="432" t="s">
        <v>286</v>
      </c>
      <c r="D425" s="432" t="s">
        <v>287</v>
      </c>
      <c r="E425" s="433">
        <v>1.0</v>
      </c>
      <c r="F425" s="434">
        <v>43194.0</v>
      </c>
      <c r="G425" s="432" t="s">
        <v>288</v>
      </c>
      <c r="H425" s="432">
        <v>4.155426994E9</v>
      </c>
      <c r="I425" s="432" t="s">
        <v>289</v>
      </c>
      <c r="J425" s="435">
        <v>45689.0</v>
      </c>
      <c r="K425" s="432" t="s">
        <v>424</v>
      </c>
      <c r="L425" s="432">
        <v>46.0</v>
      </c>
      <c r="M425" s="432"/>
      <c r="N425" s="436" t="s">
        <v>34</v>
      </c>
      <c r="O425" s="437">
        <v>45809.0</v>
      </c>
      <c r="P425" s="344"/>
      <c r="Q425" s="344"/>
      <c r="R425" s="344"/>
      <c r="S425" s="344"/>
      <c r="T425" s="344"/>
      <c r="U425" s="344"/>
      <c r="V425" s="344"/>
      <c r="W425" s="344"/>
      <c r="X425" s="344"/>
      <c r="Y425" s="344"/>
      <c r="Z425" s="344"/>
      <c r="AA425" s="344"/>
      <c r="AB425" s="344"/>
      <c r="AC425" s="344"/>
      <c r="AD425" s="344"/>
      <c r="AE425" s="344"/>
      <c r="AF425" s="344"/>
      <c r="AG425" s="344"/>
      <c r="AH425" s="344"/>
      <c r="AI425" s="344"/>
      <c r="AJ425" s="344"/>
      <c r="AK425" s="344"/>
      <c r="AL425" s="344"/>
      <c r="AM425" s="344"/>
      <c r="AN425" s="344"/>
      <c r="AO425" s="344"/>
      <c r="AP425" s="344"/>
      <c r="AQ425" s="344"/>
      <c r="AR425" s="344"/>
      <c r="AS425" s="344"/>
      <c r="AT425" s="344"/>
      <c r="AU425" s="438"/>
      <c r="AV425" s="438"/>
    </row>
    <row r="426" ht="15.0" hidden="1" customHeight="1">
      <c r="A426" s="430">
        <v>32.0</v>
      </c>
      <c r="B426" s="431" t="s">
        <v>48</v>
      </c>
      <c r="C426" s="432" t="s">
        <v>291</v>
      </c>
      <c r="D426" s="432" t="s">
        <v>542</v>
      </c>
      <c r="E426" s="433">
        <v>1.0</v>
      </c>
      <c r="F426" s="434">
        <v>42086.0</v>
      </c>
      <c r="G426" s="432" t="s">
        <v>543</v>
      </c>
      <c r="H426" s="432">
        <v>5.109848496E9</v>
      </c>
      <c r="I426" s="432" t="s">
        <v>544</v>
      </c>
      <c r="J426" s="435">
        <v>45536.0</v>
      </c>
      <c r="K426" s="432" t="s">
        <v>375</v>
      </c>
      <c r="L426" s="432">
        <v>36.0</v>
      </c>
      <c r="M426" s="432"/>
      <c r="N426" s="436" t="s">
        <v>34</v>
      </c>
      <c r="O426" s="437">
        <v>45809.0</v>
      </c>
      <c r="P426" s="344"/>
      <c r="Q426" s="344"/>
      <c r="R426" s="344"/>
      <c r="S426" s="344"/>
      <c r="T426" s="344"/>
      <c r="U426" s="344"/>
      <c r="V426" s="344"/>
      <c r="W426" s="344"/>
      <c r="X426" s="344"/>
      <c r="Y426" s="344"/>
      <c r="Z426" s="344"/>
      <c r="AA426" s="344"/>
      <c r="AB426" s="344"/>
      <c r="AC426" s="344"/>
      <c r="AD426" s="344"/>
      <c r="AE426" s="344"/>
      <c r="AF426" s="344"/>
      <c r="AG426" s="344"/>
      <c r="AH426" s="344"/>
      <c r="AI426" s="344"/>
      <c r="AJ426" s="344"/>
      <c r="AK426" s="344"/>
      <c r="AL426" s="344"/>
      <c r="AM426" s="344"/>
      <c r="AN426" s="344"/>
      <c r="AO426" s="344"/>
      <c r="AP426" s="344"/>
      <c r="AQ426" s="344"/>
      <c r="AR426" s="344"/>
      <c r="AS426" s="344"/>
      <c r="AT426" s="344"/>
      <c r="AU426" s="438"/>
      <c r="AV426" s="438"/>
    </row>
    <row r="427" ht="15.0" hidden="1" customHeight="1">
      <c r="A427" s="430">
        <v>33.0</v>
      </c>
      <c r="B427" s="431" t="s">
        <v>88</v>
      </c>
      <c r="C427" s="432" t="s">
        <v>291</v>
      </c>
      <c r="D427" s="432" t="s">
        <v>542</v>
      </c>
      <c r="E427" s="433">
        <v>1.0</v>
      </c>
      <c r="F427" s="434">
        <v>42086.0</v>
      </c>
      <c r="G427" s="432" t="s">
        <v>543</v>
      </c>
      <c r="H427" s="432">
        <v>5.109848496E9</v>
      </c>
      <c r="I427" s="432" t="s">
        <v>544</v>
      </c>
      <c r="J427" s="435">
        <v>45536.0</v>
      </c>
      <c r="K427" s="432" t="s">
        <v>366</v>
      </c>
      <c r="L427" s="432">
        <v>31.0</v>
      </c>
      <c r="M427" s="432"/>
      <c r="N427" s="436" t="s">
        <v>34</v>
      </c>
      <c r="O427" s="437">
        <v>45809.0</v>
      </c>
      <c r="P427" s="344"/>
      <c r="Q427" s="344"/>
      <c r="R427" s="344"/>
      <c r="S427" s="344"/>
      <c r="T427" s="344"/>
      <c r="U427" s="344"/>
      <c r="V427" s="344"/>
      <c r="W427" s="344"/>
      <c r="X427" s="344"/>
      <c r="Y427" s="344"/>
      <c r="Z427" s="344"/>
      <c r="AA427" s="344"/>
      <c r="AB427" s="344"/>
      <c r="AC427" s="344"/>
      <c r="AD427" s="344"/>
      <c r="AE427" s="344"/>
      <c r="AF427" s="344"/>
      <c r="AG427" s="344"/>
      <c r="AH427" s="344"/>
      <c r="AI427" s="344"/>
      <c r="AJ427" s="344"/>
      <c r="AK427" s="344"/>
      <c r="AL427" s="344"/>
      <c r="AM427" s="344"/>
      <c r="AN427" s="344"/>
      <c r="AO427" s="344"/>
      <c r="AP427" s="344"/>
      <c r="AQ427" s="344"/>
      <c r="AR427" s="344"/>
      <c r="AS427" s="344"/>
      <c r="AT427" s="344"/>
      <c r="AU427" s="438"/>
      <c r="AV427" s="438"/>
    </row>
    <row r="428" ht="15.0" hidden="1" customHeight="1">
      <c r="A428" s="430">
        <v>34.0</v>
      </c>
      <c r="B428" s="431" t="s">
        <v>48</v>
      </c>
      <c r="C428" s="432" t="s">
        <v>610</v>
      </c>
      <c r="D428" s="432" t="s">
        <v>955</v>
      </c>
      <c r="E428" s="433">
        <v>4.0</v>
      </c>
      <c r="F428" s="434" t="s">
        <v>925</v>
      </c>
      <c r="G428" s="432" t="s">
        <v>926</v>
      </c>
      <c r="H428" s="432">
        <v>4.085076346E9</v>
      </c>
      <c r="I428" s="432" t="s">
        <v>673</v>
      </c>
      <c r="J428" s="435">
        <v>45520.0</v>
      </c>
      <c r="K428" s="432" t="s">
        <v>927</v>
      </c>
      <c r="L428" s="432">
        <v>66.0</v>
      </c>
      <c r="M428" s="432" t="s">
        <v>917</v>
      </c>
      <c r="N428" s="436" t="s">
        <v>34</v>
      </c>
      <c r="O428" s="437">
        <v>45809.0</v>
      </c>
      <c r="P428" s="344"/>
      <c r="Q428" s="344"/>
      <c r="R428" s="344"/>
      <c r="S428" s="344"/>
      <c r="T428" s="344"/>
      <c r="U428" s="344"/>
      <c r="V428" s="344"/>
      <c r="W428" s="344"/>
      <c r="X428" s="344"/>
      <c r="Y428" s="344"/>
      <c r="Z428" s="344"/>
      <c r="AA428" s="344"/>
      <c r="AB428" s="344"/>
      <c r="AC428" s="344"/>
      <c r="AD428" s="344"/>
      <c r="AE428" s="344"/>
      <c r="AF428" s="344"/>
      <c r="AG428" s="344"/>
      <c r="AH428" s="344"/>
      <c r="AI428" s="344"/>
      <c r="AJ428" s="344"/>
      <c r="AK428" s="344"/>
      <c r="AL428" s="344"/>
      <c r="AM428" s="344"/>
      <c r="AN428" s="344"/>
      <c r="AO428" s="344"/>
      <c r="AP428" s="344"/>
      <c r="AQ428" s="344"/>
      <c r="AR428" s="344"/>
      <c r="AS428" s="344"/>
      <c r="AT428" s="344"/>
      <c r="AU428" s="438"/>
      <c r="AV428" s="438"/>
    </row>
    <row r="429" ht="15.0" hidden="1" customHeight="1">
      <c r="A429" s="430">
        <v>35.0</v>
      </c>
      <c r="B429" s="431" t="s">
        <v>88</v>
      </c>
      <c r="C429" s="432" t="s">
        <v>610</v>
      </c>
      <c r="D429" s="432" t="s">
        <v>955</v>
      </c>
      <c r="E429" s="433">
        <v>4.0</v>
      </c>
      <c r="F429" s="434" t="s">
        <v>928</v>
      </c>
      <c r="G429" s="432" t="s">
        <v>929</v>
      </c>
      <c r="H429" s="432">
        <v>4.085076346E9</v>
      </c>
      <c r="I429" s="432" t="s">
        <v>673</v>
      </c>
      <c r="J429" s="435">
        <v>45566.0</v>
      </c>
      <c r="K429" s="432" t="s">
        <v>956</v>
      </c>
      <c r="L429" s="432">
        <v>76.0</v>
      </c>
      <c r="M429" s="432" t="s">
        <v>917</v>
      </c>
      <c r="N429" s="436" t="s">
        <v>34</v>
      </c>
      <c r="O429" s="437">
        <v>45809.0</v>
      </c>
      <c r="P429" s="344"/>
      <c r="Q429" s="344"/>
      <c r="R429" s="344"/>
      <c r="S429" s="344"/>
      <c r="T429" s="344"/>
      <c r="U429" s="344"/>
      <c r="V429" s="344"/>
      <c r="W429" s="344"/>
      <c r="X429" s="344"/>
      <c r="Y429" s="344"/>
      <c r="Z429" s="344"/>
      <c r="AA429" s="344"/>
      <c r="AB429" s="344"/>
      <c r="AC429" s="344"/>
      <c r="AD429" s="344"/>
      <c r="AE429" s="344"/>
      <c r="AF429" s="344"/>
      <c r="AG429" s="344"/>
      <c r="AH429" s="344"/>
      <c r="AI429" s="344"/>
      <c r="AJ429" s="344"/>
      <c r="AK429" s="344"/>
      <c r="AL429" s="344"/>
      <c r="AM429" s="344"/>
      <c r="AN429" s="344"/>
      <c r="AO429" s="344"/>
      <c r="AP429" s="344"/>
      <c r="AQ429" s="344"/>
      <c r="AR429" s="344"/>
      <c r="AS429" s="344"/>
      <c r="AT429" s="344"/>
      <c r="AU429" s="438"/>
      <c r="AV429" s="438"/>
    </row>
    <row r="430" ht="15.0" hidden="1" customHeight="1">
      <c r="A430" s="430">
        <v>36.0</v>
      </c>
      <c r="B430" s="431" t="s">
        <v>48</v>
      </c>
      <c r="C430" s="432" t="s">
        <v>345</v>
      </c>
      <c r="D430" s="432" t="s">
        <v>346</v>
      </c>
      <c r="E430" s="433" t="s">
        <v>141</v>
      </c>
      <c r="F430" s="434" t="s">
        <v>347</v>
      </c>
      <c r="G430" s="432" t="s">
        <v>348</v>
      </c>
      <c r="H430" s="432">
        <v>4.08393687E9</v>
      </c>
      <c r="I430" s="432" t="s">
        <v>349</v>
      </c>
      <c r="J430" s="435" t="s">
        <v>957</v>
      </c>
      <c r="K430" s="432" t="s">
        <v>173</v>
      </c>
      <c r="L430" s="432">
        <v>51.0</v>
      </c>
      <c r="M430" s="432" t="s">
        <v>917</v>
      </c>
      <c r="N430" s="436" t="s">
        <v>34</v>
      </c>
      <c r="O430" s="437">
        <v>45809.0</v>
      </c>
      <c r="P430" s="344"/>
      <c r="Q430" s="344"/>
      <c r="R430" s="344"/>
      <c r="S430" s="344"/>
      <c r="T430" s="344"/>
      <c r="U430" s="344"/>
      <c r="V430" s="344"/>
      <c r="W430" s="344"/>
      <c r="X430" s="344"/>
      <c r="Y430" s="344"/>
      <c r="Z430" s="344"/>
      <c r="AA430" s="344"/>
      <c r="AB430" s="344"/>
      <c r="AC430" s="344"/>
      <c r="AD430" s="344"/>
      <c r="AE430" s="344"/>
      <c r="AF430" s="344"/>
      <c r="AG430" s="344"/>
      <c r="AH430" s="344"/>
      <c r="AI430" s="344"/>
      <c r="AJ430" s="344"/>
      <c r="AK430" s="344"/>
      <c r="AL430" s="344"/>
      <c r="AM430" s="344"/>
      <c r="AN430" s="344"/>
      <c r="AO430" s="344"/>
      <c r="AP430" s="344"/>
      <c r="AQ430" s="344"/>
      <c r="AR430" s="344"/>
      <c r="AS430" s="344"/>
      <c r="AT430" s="344"/>
      <c r="AU430" s="438"/>
      <c r="AV430" s="438"/>
    </row>
    <row r="431" ht="15.0" hidden="1" customHeight="1">
      <c r="A431" s="430">
        <v>37.0</v>
      </c>
      <c r="B431" s="431" t="s">
        <v>88</v>
      </c>
      <c r="C431" s="432" t="s">
        <v>345</v>
      </c>
      <c r="D431" s="432" t="s">
        <v>346</v>
      </c>
      <c r="E431" s="433" t="s">
        <v>141</v>
      </c>
      <c r="F431" s="434" t="s">
        <v>347</v>
      </c>
      <c r="G431" s="432" t="s">
        <v>348</v>
      </c>
      <c r="H431" s="432">
        <v>4.08393687E9</v>
      </c>
      <c r="I431" s="432" t="s">
        <v>349</v>
      </c>
      <c r="J431" s="435" t="s">
        <v>957</v>
      </c>
      <c r="K431" s="432" t="s">
        <v>169</v>
      </c>
      <c r="L431" s="432">
        <v>66.0</v>
      </c>
      <c r="M431" s="432" t="s">
        <v>917</v>
      </c>
      <c r="N431" s="436" t="s">
        <v>34</v>
      </c>
      <c r="O431" s="437">
        <v>45809.0</v>
      </c>
      <c r="P431" s="344"/>
      <c r="Q431" s="344"/>
      <c r="R431" s="344"/>
      <c r="S431" s="344"/>
      <c r="T431" s="344"/>
      <c r="U431" s="344"/>
      <c r="V431" s="344"/>
      <c r="W431" s="344"/>
      <c r="X431" s="344"/>
      <c r="Y431" s="344"/>
      <c r="Z431" s="344"/>
      <c r="AA431" s="344"/>
      <c r="AB431" s="344"/>
      <c r="AC431" s="344"/>
      <c r="AD431" s="344"/>
      <c r="AE431" s="344"/>
      <c r="AF431" s="344"/>
      <c r="AG431" s="344"/>
      <c r="AH431" s="344"/>
      <c r="AI431" s="344"/>
      <c r="AJ431" s="344"/>
      <c r="AK431" s="344"/>
      <c r="AL431" s="344"/>
      <c r="AM431" s="344"/>
      <c r="AN431" s="344"/>
      <c r="AO431" s="344"/>
      <c r="AP431" s="344"/>
      <c r="AQ431" s="344"/>
      <c r="AR431" s="344"/>
      <c r="AS431" s="344"/>
      <c r="AT431" s="344"/>
      <c r="AU431" s="438"/>
      <c r="AV431" s="438"/>
    </row>
    <row r="432" ht="15.0" hidden="1" customHeight="1">
      <c r="A432" s="95">
        <v>38.0</v>
      </c>
      <c r="B432" s="441" t="s">
        <v>48</v>
      </c>
      <c r="C432" s="407" t="s">
        <v>958</v>
      </c>
      <c r="D432" s="407" t="s">
        <v>959</v>
      </c>
      <c r="E432" s="408">
        <v>4.0</v>
      </c>
      <c r="F432" s="409" t="s">
        <v>448</v>
      </c>
      <c r="G432" s="407" t="s">
        <v>960</v>
      </c>
      <c r="H432" s="407">
        <v>2.06605538E9</v>
      </c>
      <c r="I432" s="407" t="s">
        <v>961</v>
      </c>
      <c r="J432" s="439" t="s">
        <v>962</v>
      </c>
      <c r="K432" s="407" t="s">
        <v>109</v>
      </c>
      <c r="L432" s="407">
        <v>91.0</v>
      </c>
      <c r="M432" s="407"/>
      <c r="N432" s="406" t="s">
        <v>34</v>
      </c>
      <c r="O432" s="101">
        <v>45809.0</v>
      </c>
      <c r="P432" s="130"/>
      <c r="Q432" s="130"/>
      <c r="R432" s="130"/>
      <c r="S432" s="130"/>
      <c r="T432" s="130"/>
      <c r="U432" s="130"/>
      <c r="V432" s="130"/>
      <c r="W432" s="130"/>
      <c r="X432" s="130"/>
      <c r="Y432" s="130"/>
      <c r="Z432" s="130"/>
      <c r="AA432" s="130"/>
      <c r="AB432" s="130"/>
      <c r="AC432" s="130"/>
      <c r="AD432" s="130"/>
      <c r="AE432" s="130"/>
      <c r="AF432" s="130"/>
      <c r="AG432" s="130"/>
      <c r="AH432" s="130"/>
      <c r="AI432" s="130"/>
      <c r="AJ432" s="130"/>
      <c r="AK432" s="130"/>
      <c r="AL432" s="130"/>
      <c r="AM432" s="130"/>
      <c r="AN432" s="130"/>
      <c r="AO432" s="130"/>
      <c r="AP432" s="130"/>
      <c r="AQ432" s="130"/>
      <c r="AR432" s="130"/>
      <c r="AS432" s="130"/>
      <c r="AT432" s="130"/>
      <c r="AU432" s="425"/>
      <c r="AV432" s="425"/>
    </row>
    <row r="433" ht="15.0" hidden="1" customHeight="1">
      <c r="A433" s="95">
        <v>39.0</v>
      </c>
      <c r="B433" s="441" t="s">
        <v>88</v>
      </c>
      <c r="C433" s="407" t="s">
        <v>958</v>
      </c>
      <c r="D433" s="407" t="s">
        <v>959</v>
      </c>
      <c r="E433" s="408">
        <v>4.0</v>
      </c>
      <c r="F433" s="409" t="s">
        <v>963</v>
      </c>
      <c r="G433" s="407" t="s">
        <v>964</v>
      </c>
      <c r="H433" s="407">
        <v>2.06605538E9</v>
      </c>
      <c r="I433" s="407" t="s">
        <v>961</v>
      </c>
      <c r="J433" s="439" t="s">
        <v>962</v>
      </c>
      <c r="K433" s="407" t="s">
        <v>111</v>
      </c>
      <c r="L433" s="407">
        <v>96.0</v>
      </c>
      <c r="M433" s="407"/>
      <c r="N433" s="406" t="s">
        <v>34</v>
      </c>
      <c r="O433" s="101">
        <v>45809.0</v>
      </c>
      <c r="P433" s="130"/>
      <c r="Q433" s="130"/>
      <c r="R433" s="130"/>
      <c r="S433" s="130"/>
      <c r="T433" s="130"/>
      <c r="U433" s="130"/>
      <c r="V433" s="130"/>
      <c r="W433" s="130"/>
      <c r="X433" s="130"/>
      <c r="Y433" s="130"/>
      <c r="Z433" s="130"/>
      <c r="AA433" s="130"/>
      <c r="AB433" s="130"/>
      <c r="AC433" s="130"/>
      <c r="AD433" s="130"/>
      <c r="AE433" s="130"/>
      <c r="AF433" s="130"/>
      <c r="AG433" s="130"/>
      <c r="AH433" s="130"/>
      <c r="AI433" s="130"/>
      <c r="AJ433" s="130"/>
      <c r="AK433" s="130"/>
      <c r="AL433" s="130"/>
      <c r="AM433" s="130"/>
      <c r="AN433" s="130"/>
      <c r="AO433" s="130"/>
      <c r="AP433" s="130"/>
      <c r="AQ433" s="130"/>
      <c r="AR433" s="130"/>
      <c r="AS433" s="130"/>
      <c r="AT433" s="130"/>
      <c r="AU433" s="425"/>
      <c r="AV433" s="425"/>
    </row>
    <row r="434" ht="15.0" hidden="1" customHeight="1">
      <c r="A434" s="95">
        <v>40.0</v>
      </c>
      <c r="B434" s="441" t="s">
        <v>48</v>
      </c>
      <c r="C434" s="407" t="s">
        <v>161</v>
      </c>
      <c r="D434" s="407" t="s">
        <v>965</v>
      </c>
      <c r="E434" s="408">
        <v>2.0</v>
      </c>
      <c r="F434" s="409">
        <v>42989.0</v>
      </c>
      <c r="G434" s="407" t="s">
        <v>966</v>
      </c>
      <c r="H434" s="407">
        <v>4.082104112E9</v>
      </c>
      <c r="I434" s="407" t="s">
        <v>967</v>
      </c>
      <c r="J434" s="439">
        <v>45537.0</v>
      </c>
      <c r="K434" s="407" t="s">
        <v>138</v>
      </c>
      <c r="L434" s="407">
        <v>48.0</v>
      </c>
      <c r="M434" s="407"/>
      <c r="N434" s="406" t="s">
        <v>34</v>
      </c>
      <c r="O434" s="101">
        <v>45809.0</v>
      </c>
      <c r="P434" s="130"/>
      <c r="Q434" s="130"/>
      <c r="R434" s="130"/>
      <c r="S434" s="130"/>
      <c r="T434" s="130"/>
      <c r="U434" s="130"/>
      <c r="V434" s="130"/>
      <c r="W434" s="130"/>
      <c r="X434" s="130"/>
      <c r="Y434" s="130"/>
      <c r="Z434" s="130"/>
      <c r="AA434" s="130"/>
      <c r="AB434" s="130"/>
      <c r="AC434" s="130"/>
      <c r="AD434" s="130"/>
      <c r="AE434" s="130"/>
      <c r="AF434" s="130"/>
      <c r="AG434" s="130"/>
      <c r="AH434" s="130"/>
      <c r="AI434" s="130"/>
      <c r="AJ434" s="130"/>
      <c r="AK434" s="130"/>
      <c r="AL434" s="130"/>
      <c r="AM434" s="130"/>
      <c r="AN434" s="130"/>
      <c r="AO434" s="130"/>
      <c r="AP434" s="130"/>
      <c r="AQ434" s="130"/>
      <c r="AR434" s="130"/>
      <c r="AS434" s="130"/>
      <c r="AT434" s="130"/>
      <c r="AU434" s="425"/>
      <c r="AV434" s="425"/>
    </row>
    <row r="435" ht="15.0" hidden="1" customHeight="1">
      <c r="A435" s="430">
        <v>41.0</v>
      </c>
      <c r="B435" s="431" t="s">
        <v>48</v>
      </c>
      <c r="C435" s="432" t="s">
        <v>417</v>
      </c>
      <c r="D435" s="432" t="s">
        <v>418</v>
      </c>
      <c r="E435" s="433" t="s">
        <v>141</v>
      </c>
      <c r="F435" s="434">
        <v>42867.0</v>
      </c>
      <c r="G435" s="432" t="s">
        <v>419</v>
      </c>
      <c r="H435" s="432">
        <v>4.086432868E9</v>
      </c>
      <c r="I435" s="432" t="s">
        <v>420</v>
      </c>
      <c r="J435" s="435" t="s">
        <v>881</v>
      </c>
      <c r="K435" s="432" t="s">
        <v>109</v>
      </c>
      <c r="L435" s="432">
        <v>54.0</v>
      </c>
      <c r="M435" s="432"/>
      <c r="N435" s="436" t="s">
        <v>34</v>
      </c>
      <c r="O435" s="437">
        <v>45809.0</v>
      </c>
      <c r="P435" s="344"/>
      <c r="Q435" s="344"/>
      <c r="R435" s="344"/>
      <c r="S435" s="344"/>
      <c r="T435" s="344"/>
      <c r="U435" s="344"/>
      <c r="V435" s="344"/>
      <c r="W435" s="344"/>
      <c r="X435" s="344"/>
      <c r="Y435" s="344"/>
      <c r="Z435" s="344"/>
      <c r="AA435" s="344"/>
      <c r="AB435" s="344"/>
      <c r="AC435" s="344"/>
      <c r="AD435" s="344"/>
      <c r="AE435" s="344"/>
      <c r="AF435" s="344"/>
      <c r="AG435" s="344"/>
      <c r="AH435" s="344"/>
      <c r="AI435" s="344"/>
      <c r="AJ435" s="344"/>
      <c r="AK435" s="344"/>
      <c r="AL435" s="344"/>
      <c r="AM435" s="344"/>
      <c r="AN435" s="344"/>
      <c r="AO435" s="344"/>
      <c r="AP435" s="344"/>
      <c r="AQ435" s="344"/>
      <c r="AR435" s="344"/>
      <c r="AS435" s="344"/>
      <c r="AT435" s="344"/>
      <c r="AU435" s="438"/>
      <c r="AV435" s="438"/>
    </row>
    <row r="436" ht="15.0" hidden="1" customHeight="1">
      <c r="A436" s="430">
        <v>42.0</v>
      </c>
      <c r="B436" s="431" t="s">
        <v>88</v>
      </c>
      <c r="C436" s="432" t="s">
        <v>417</v>
      </c>
      <c r="D436" s="432" t="s">
        <v>418</v>
      </c>
      <c r="E436" s="433" t="s">
        <v>141</v>
      </c>
      <c r="F436" s="434">
        <v>42867.0</v>
      </c>
      <c r="G436" s="432" t="s">
        <v>419</v>
      </c>
      <c r="H436" s="432">
        <v>4.086432868E9</v>
      </c>
      <c r="I436" s="432" t="s">
        <v>420</v>
      </c>
      <c r="J436" s="435" t="s">
        <v>881</v>
      </c>
      <c r="K436" s="432" t="s">
        <v>211</v>
      </c>
      <c r="L436" s="432">
        <v>28.0</v>
      </c>
      <c r="M436" s="432"/>
      <c r="N436" s="436" t="s">
        <v>34</v>
      </c>
      <c r="O436" s="437">
        <v>45809.0</v>
      </c>
      <c r="P436" s="344"/>
      <c r="Q436" s="344"/>
      <c r="R436" s="344"/>
      <c r="S436" s="344"/>
      <c r="T436" s="344"/>
      <c r="U436" s="344"/>
      <c r="V436" s="344"/>
      <c r="W436" s="344"/>
      <c r="X436" s="344"/>
      <c r="Y436" s="344"/>
      <c r="Z436" s="344"/>
      <c r="AA436" s="344"/>
      <c r="AB436" s="344"/>
      <c r="AC436" s="344"/>
      <c r="AD436" s="344"/>
      <c r="AE436" s="344"/>
      <c r="AF436" s="344"/>
      <c r="AG436" s="344"/>
      <c r="AH436" s="344"/>
      <c r="AI436" s="344"/>
      <c r="AJ436" s="344"/>
      <c r="AK436" s="344"/>
      <c r="AL436" s="344"/>
      <c r="AM436" s="344"/>
      <c r="AN436" s="344"/>
      <c r="AO436" s="344"/>
      <c r="AP436" s="344"/>
      <c r="AQ436" s="344"/>
      <c r="AR436" s="344"/>
      <c r="AS436" s="344"/>
      <c r="AT436" s="344"/>
      <c r="AU436" s="438"/>
      <c r="AV436" s="438"/>
    </row>
    <row r="437" ht="15.0" hidden="1" customHeight="1">
      <c r="A437" s="430">
        <v>43.0</v>
      </c>
      <c r="B437" s="431" t="s">
        <v>48</v>
      </c>
      <c r="C437" s="432" t="s">
        <v>615</v>
      </c>
      <c r="D437" s="432" t="s">
        <v>968</v>
      </c>
      <c r="E437" s="433">
        <v>6.0</v>
      </c>
      <c r="F437" s="434" t="s">
        <v>969</v>
      </c>
      <c r="G437" s="432" t="s">
        <v>970</v>
      </c>
      <c r="H437" s="432">
        <v>5.107714715E9</v>
      </c>
      <c r="I437" s="432" t="s">
        <v>971</v>
      </c>
      <c r="J437" s="435" t="s">
        <v>972</v>
      </c>
      <c r="K437" s="432" t="s">
        <v>151</v>
      </c>
      <c r="L437" s="432">
        <v>1.0</v>
      </c>
      <c r="M437" s="432"/>
      <c r="N437" s="436" t="s">
        <v>34</v>
      </c>
      <c r="O437" s="437">
        <v>45809.0</v>
      </c>
      <c r="P437" s="344"/>
      <c r="Q437" s="344"/>
      <c r="R437" s="344"/>
      <c r="S437" s="344"/>
      <c r="T437" s="344"/>
      <c r="U437" s="344"/>
      <c r="V437" s="344"/>
      <c r="W437" s="344"/>
      <c r="X437" s="344"/>
      <c r="Y437" s="344"/>
      <c r="Z437" s="344"/>
      <c r="AA437" s="344"/>
      <c r="AB437" s="344"/>
      <c r="AC437" s="344"/>
      <c r="AD437" s="344"/>
      <c r="AE437" s="344"/>
      <c r="AF437" s="344"/>
      <c r="AG437" s="344"/>
      <c r="AH437" s="344"/>
      <c r="AI437" s="344"/>
      <c r="AJ437" s="344"/>
      <c r="AK437" s="344"/>
      <c r="AL437" s="344"/>
      <c r="AM437" s="344"/>
      <c r="AN437" s="344"/>
      <c r="AO437" s="344"/>
      <c r="AP437" s="344"/>
      <c r="AQ437" s="344"/>
      <c r="AR437" s="344"/>
      <c r="AS437" s="344"/>
      <c r="AT437" s="344"/>
      <c r="AU437" s="438"/>
      <c r="AV437" s="438"/>
    </row>
    <row r="438" ht="15.0" hidden="1" customHeight="1">
      <c r="A438" s="430">
        <v>44.0</v>
      </c>
      <c r="B438" s="431" t="s">
        <v>48</v>
      </c>
      <c r="C438" s="432" t="s">
        <v>464</v>
      </c>
      <c r="D438" s="432" t="s">
        <v>478</v>
      </c>
      <c r="E438" s="433">
        <v>4.0</v>
      </c>
      <c r="F438" s="434" t="s">
        <v>479</v>
      </c>
      <c r="G438" s="432" t="s">
        <v>469</v>
      </c>
      <c r="H438" s="432">
        <v>4.085108805E9</v>
      </c>
      <c r="I438" s="432" t="s">
        <v>470</v>
      </c>
      <c r="J438" s="435" t="s">
        <v>954</v>
      </c>
      <c r="K438" s="432" t="s">
        <v>151</v>
      </c>
      <c r="L438" s="432">
        <v>31.0</v>
      </c>
      <c r="M438" s="432"/>
      <c r="N438" s="436" t="s">
        <v>34</v>
      </c>
      <c r="O438" s="437">
        <v>45809.0</v>
      </c>
      <c r="P438" s="344"/>
      <c r="Q438" s="344"/>
      <c r="R438" s="344"/>
      <c r="S438" s="344"/>
      <c r="T438" s="344"/>
      <c r="U438" s="344"/>
      <c r="V438" s="344"/>
      <c r="W438" s="344"/>
      <c r="X438" s="344"/>
      <c r="Y438" s="344"/>
      <c r="Z438" s="344"/>
      <c r="AA438" s="344"/>
      <c r="AB438" s="344"/>
      <c r="AC438" s="344"/>
      <c r="AD438" s="344"/>
      <c r="AE438" s="344"/>
      <c r="AF438" s="344"/>
      <c r="AG438" s="344"/>
      <c r="AH438" s="344"/>
      <c r="AI438" s="344"/>
      <c r="AJ438" s="344"/>
      <c r="AK438" s="344"/>
      <c r="AL438" s="344"/>
      <c r="AM438" s="344"/>
      <c r="AN438" s="344"/>
      <c r="AO438" s="344"/>
      <c r="AP438" s="344"/>
      <c r="AQ438" s="344"/>
      <c r="AR438" s="344"/>
      <c r="AS438" s="344"/>
      <c r="AT438" s="344"/>
      <c r="AU438" s="438"/>
      <c r="AV438" s="438"/>
    </row>
    <row r="439" ht="15.0" hidden="1" customHeight="1">
      <c r="A439" s="430">
        <v>45.0</v>
      </c>
      <c r="B439" s="431" t="s">
        <v>88</v>
      </c>
      <c r="C439" s="432" t="s">
        <v>464</v>
      </c>
      <c r="D439" s="432" t="s">
        <v>478</v>
      </c>
      <c r="E439" s="433">
        <v>4.0</v>
      </c>
      <c r="F439" s="434" t="s">
        <v>479</v>
      </c>
      <c r="G439" s="432" t="s">
        <v>469</v>
      </c>
      <c r="H439" s="432">
        <v>4.085108805E9</v>
      </c>
      <c r="I439" s="432" t="s">
        <v>470</v>
      </c>
      <c r="J439" s="435" t="s">
        <v>954</v>
      </c>
      <c r="K439" s="432" t="s">
        <v>973</v>
      </c>
      <c r="L439" s="432">
        <v>71.0</v>
      </c>
      <c r="M439" s="432"/>
      <c r="N439" s="436" t="s">
        <v>34</v>
      </c>
      <c r="O439" s="437">
        <v>45809.0</v>
      </c>
      <c r="P439" s="344"/>
      <c r="Q439" s="344"/>
      <c r="R439" s="344"/>
      <c r="S439" s="344"/>
      <c r="T439" s="344"/>
      <c r="U439" s="344"/>
      <c r="V439" s="344"/>
      <c r="W439" s="344"/>
      <c r="X439" s="344"/>
      <c r="Y439" s="344"/>
      <c r="Z439" s="344"/>
      <c r="AA439" s="344"/>
      <c r="AB439" s="344"/>
      <c r="AC439" s="344"/>
      <c r="AD439" s="344"/>
      <c r="AE439" s="344"/>
      <c r="AF439" s="344"/>
      <c r="AG439" s="344"/>
      <c r="AH439" s="344"/>
      <c r="AI439" s="344"/>
      <c r="AJ439" s="344"/>
      <c r="AK439" s="344"/>
      <c r="AL439" s="344"/>
      <c r="AM439" s="344"/>
      <c r="AN439" s="344"/>
      <c r="AO439" s="344"/>
      <c r="AP439" s="344"/>
      <c r="AQ439" s="344"/>
      <c r="AR439" s="344"/>
      <c r="AS439" s="344"/>
      <c r="AT439" s="344"/>
      <c r="AU439" s="438"/>
      <c r="AV439" s="438"/>
    </row>
    <row r="440" ht="15.0" hidden="1" customHeight="1">
      <c r="A440" s="95">
        <v>46.0</v>
      </c>
      <c r="B440" s="441" t="s">
        <v>48</v>
      </c>
      <c r="C440" s="407" t="s">
        <v>732</v>
      </c>
      <c r="D440" s="407" t="s">
        <v>785</v>
      </c>
      <c r="E440" s="408">
        <v>4.0</v>
      </c>
      <c r="F440" s="409" t="s">
        <v>903</v>
      </c>
      <c r="G440" s="407" t="s">
        <v>934</v>
      </c>
      <c r="H440" s="407">
        <v>4.087591928E9</v>
      </c>
      <c r="I440" s="407" t="s">
        <v>734</v>
      </c>
      <c r="J440" s="439" t="s">
        <v>932</v>
      </c>
      <c r="K440" s="407" t="s">
        <v>198</v>
      </c>
      <c r="L440" s="407">
        <v>41.0</v>
      </c>
      <c r="M440" s="407" t="s">
        <v>917</v>
      </c>
      <c r="N440" s="406" t="s">
        <v>34</v>
      </c>
      <c r="O440" s="101">
        <v>45809.0</v>
      </c>
      <c r="P440" s="130"/>
      <c r="Q440" s="130"/>
      <c r="R440" s="130"/>
      <c r="S440" s="130"/>
      <c r="T440" s="130"/>
      <c r="U440" s="130"/>
      <c r="V440" s="130"/>
      <c r="W440" s="130"/>
      <c r="X440" s="130"/>
      <c r="Y440" s="130"/>
      <c r="Z440" s="130"/>
      <c r="AA440" s="130"/>
      <c r="AB440" s="130"/>
      <c r="AC440" s="130"/>
      <c r="AD440" s="130"/>
      <c r="AE440" s="130"/>
      <c r="AF440" s="130"/>
      <c r="AG440" s="130"/>
      <c r="AH440" s="130"/>
      <c r="AI440" s="130"/>
      <c r="AJ440" s="130"/>
      <c r="AK440" s="130"/>
      <c r="AL440" s="130"/>
      <c r="AM440" s="130"/>
      <c r="AN440" s="130"/>
      <c r="AO440" s="130"/>
      <c r="AP440" s="130"/>
      <c r="AQ440" s="130"/>
      <c r="AR440" s="130"/>
      <c r="AS440" s="130"/>
      <c r="AT440" s="130"/>
      <c r="AU440" s="425"/>
      <c r="AV440" s="425"/>
    </row>
    <row r="441" ht="15.0" hidden="1" customHeight="1">
      <c r="A441" s="95">
        <v>47.0</v>
      </c>
      <c r="B441" s="441" t="s">
        <v>88</v>
      </c>
      <c r="C441" s="407" t="s">
        <v>732</v>
      </c>
      <c r="D441" s="407" t="s">
        <v>785</v>
      </c>
      <c r="E441" s="408">
        <v>4.0</v>
      </c>
      <c r="F441" s="409" t="s">
        <v>903</v>
      </c>
      <c r="G441" s="407" t="s">
        <v>934</v>
      </c>
      <c r="H441" s="407">
        <v>4.087591928E9</v>
      </c>
      <c r="I441" s="407" t="s">
        <v>734</v>
      </c>
      <c r="J441" s="439" t="s">
        <v>932</v>
      </c>
      <c r="K441" s="407" t="s">
        <v>211</v>
      </c>
      <c r="L441" s="407">
        <v>21.0</v>
      </c>
      <c r="M441" s="407" t="s">
        <v>917</v>
      </c>
      <c r="N441" s="406" t="s">
        <v>34</v>
      </c>
      <c r="O441" s="101">
        <v>45809.0</v>
      </c>
      <c r="P441" s="130"/>
      <c r="Q441" s="130"/>
      <c r="R441" s="130"/>
      <c r="S441" s="130"/>
      <c r="T441" s="130"/>
      <c r="U441" s="130"/>
      <c r="V441" s="130"/>
      <c r="W441" s="130"/>
      <c r="X441" s="130"/>
      <c r="Y441" s="130"/>
      <c r="Z441" s="130"/>
      <c r="AA441" s="130"/>
      <c r="AB441" s="130"/>
      <c r="AC441" s="130"/>
      <c r="AD441" s="130"/>
      <c r="AE441" s="130"/>
      <c r="AF441" s="130"/>
      <c r="AG441" s="130"/>
      <c r="AH441" s="130"/>
      <c r="AI441" s="130"/>
      <c r="AJ441" s="130"/>
      <c r="AK441" s="130"/>
      <c r="AL441" s="130"/>
      <c r="AM441" s="130"/>
      <c r="AN441" s="130"/>
      <c r="AO441" s="130"/>
      <c r="AP441" s="130"/>
      <c r="AQ441" s="130"/>
      <c r="AR441" s="130"/>
      <c r="AS441" s="130"/>
      <c r="AT441" s="130"/>
      <c r="AU441" s="425"/>
      <c r="AV441" s="425"/>
    </row>
    <row r="442" ht="15.0" hidden="1" customHeight="1">
      <c r="A442" s="95">
        <v>48.0</v>
      </c>
      <c r="B442" s="441" t="s">
        <v>48</v>
      </c>
      <c r="C442" s="407" t="s">
        <v>144</v>
      </c>
      <c r="D442" s="407" t="s">
        <v>893</v>
      </c>
      <c r="E442" s="408">
        <v>1.0</v>
      </c>
      <c r="F442" s="409">
        <v>43199.0</v>
      </c>
      <c r="G442" s="407" t="s">
        <v>894</v>
      </c>
      <c r="H442" s="407">
        <v>6.503046747E9</v>
      </c>
      <c r="I442" s="407" t="s">
        <v>895</v>
      </c>
      <c r="J442" s="439">
        <v>45572.0</v>
      </c>
      <c r="K442" s="407" t="s">
        <v>192</v>
      </c>
      <c r="L442" s="407">
        <v>66.0</v>
      </c>
      <c r="M442" s="407"/>
      <c r="N442" s="406" t="s">
        <v>34</v>
      </c>
      <c r="O442" s="101">
        <v>45809.0</v>
      </c>
      <c r="P442" s="130"/>
      <c r="Q442" s="130"/>
      <c r="R442" s="130"/>
      <c r="S442" s="130"/>
      <c r="T442" s="130"/>
      <c r="U442" s="130"/>
      <c r="V442" s="130"/>
      <c r="W442" s="130"/>
      <c r="X442" s="130"/>
      <c r="Y442" s="130"/>
      <c r="Z442" s="130"/>
      <c r="AA442" s="130"/>
      <c r="AB442" s="130"/>
      <c r="AC442" s="130"/>
      <c r="AD442" s="130"/>
      <c r="AE442" s="130"/>
      <c r="AF442" s="130"/>
      <c r="AG442" s="130"/>
      <c r="AH442" s="130"/>
      <c r="AI442" s="130"/>
      <c r="AJ442" s="130"/>
      <c r="AK442" s="130"/>
      <c r="AL442" s="130"/>
      <c r="AM442" s="130"/>
      <c r="AN442" s="130"/>
      <c r="AO442" s="130"/>
      <c r="AP442" s="130"/>
      <c r="AQ442" s="130"/>
      <c r="AR442" s="130"/>
      <c r="AS442" s="130"/>
      <c r="AT442" s="130"/>
      <c r="AU442" s="425"/>
      <c r="AV442" s="425"/>
    </row>
    <row r="443" ht="15.0" hidden="1" customHeight="1">
      <c r="A443" s="95">
        <v>49.0</v>
      </c>
      <c r="B443" s="441" t="s">
        <v>88</v>
      </c>
      <c r="C443" s="407" t="s">
        <v>144</v>
      </c>
      <c r="D443" s="407" t="s">
        <v>893</v>
      </c>
      <c r="E443" s="408">
        <v>1.0</v>
      </c>
      <c r="F443" s="409">
        <v>43200.0</v>
      </c>
      <c r="G443" s="407" t="s">
        <v>974</v>
      </c>
      <c r="H443" s="407">
        <v>6.503046747E9</v>
      </c>
      <c r="I443" s="407" t="s">
        <v>895</v>
      </c>
      <c r="J443" s="439">
        <v>45673.0</v>
      </c>
      <c r="K443" s="407" t="s">
        <v>132</v>
      </c>
      <c r="L443" s="407">
        <v>56.0</v>
      </c>
      <c r="M443" s="407"/>
      <c r="N443" s="406" t="s">
        <v>34</v>
      </c>
      <c r="O443" s="101">
        <v>45809.0</v>
      </c>
      <c r="P443" s="130"/>
      <c r="Q443" s="130"/>
      <c r="R443" s="130"/>
      <c r="S443" s="130"/>
      <c r="T443" s="130"/>
      <c r="U443" s="130"/>
      <c r="V443" s="130" t="s">
        <v>64</v>
      </c>
      <c r="W443" s="130"/>
      <c r="X443" s="130"/>
      <c r="Y443" s="130"/>
      <c r="Z443" s="130"/>
      <c r="AA443" s="130"/>
      <c r="AB443" s="130"/>
      <c r="AC443" s="130"/>
      <c r="AD443" s="130"/>
      <c r="AE443" s="130"/>
      <c r="AF443" s="130"/>
      <c r="AG443" s="130"/>
      <c r="AH443" s="130"/>
      <c r="AI443" s="130"/>
      <c r="AJ443" s="130"/>
      <c r="AK443" s="130"/>
      <c r="AL443" s="130"/>
      <c r="AM443" s="130"/>
      <c r="AN443" s="130"/>
      <c r="AO443" s="130"/>
      <c r="AP443" s="130"/>
      <c r="AQ443" s="130"/>
      <c r="AR443" s="130"/>
      <c r="AS443" s="130"/>
      <c r="AT443" s="130"/>
      <c r="AU443" s="425"/>
      <c r="AV443" s="425"/>
    </row>
    <row r="444" ht="15.0" hidden="1" customHeight="1">
      <c r="A444" s="430">
        <v>50.0</v>
      </c>
      <c r="B444" s="431" t="s">
        <v>48</v>
      </c>
      <c r="C444" s="432" t="s">
        <v>312</v>
      </c>
      <c r="D444" s="432" t="s">
        <v>313</v>
      </c>
      <c r="E444" s="433" t="s">
        <v>141</v>
      </c>
      <c r="F444" s="434" t="s">
        <v>314</v>
      </c>
      <c r="G444" s="432" t="s">
        <v>315</v>
      </c>
      <c r="H444" s="432">
        <v>2.016651117E9</v>
      </c>
      <c r="I444" s="432" t="s">
        <v>316</v>
      </c>
      <c r="J444" s="435" t="s">
        <v>858</v>
      </c>
      <c r="K444" s="432" t="s">
        <v>138</v>
      </c>
      <c r="L444" s="432">
        <v>61.0</v>
      </c>
      <c r="M444" s="432"/>
      <c r="N444" s="436" t="s">
        <v>34</v>
      </c>
      <c r="O444" s="437">
        <v>45809.0</v>
      </c>
      <c r="P444" s="344"/>
      <c r="Q444" s="344"/>
      <c r="R444" s="344"/>
      <c r="S444" s="344"/>
      <c r="T444" s="344"/>
      <c r="U444" s="344"/>
      <c r="V444" s="344"/>
      <c r="W444" s="344"/>
      <c r="X444" s="344"/>
      <c r="Y444" s="344"/>
      <c r="Z444" s="344"/>
      <c r="AA444" s="344"/>
      <c r="AB444" s="344"/>
      <c r="AC444" s="344"/>
      <c r="AD444" s="344"/>
      <c r="AE444" s="344"/>
      <c r="AF444" s="344"/>
      <c r="AG444" s="344"/>
      <c r="AH444" s="344"/>
      <c r="AI444" s="344"/>
      <c r="AJ444" s="344"/>
      <c r="AK444" s="344"/>
      <c r="AL444" s="344"/>
      <c r="AM444" s="344"/>
      <c r="AN444" s="344"/>
      <c r="AO444" s="344"/>
      <c r="AP444" s="344"/>
      <c r="AQ444" s="344"/>
      <c r="AR444" s="344"/>
      <c r="AS444" s="344"/>
      <c r="AT444" s="344"/>
      <c r="AU444" s="438"/>
      <c r="AV444" s="438"/>
    </row>
    <row r="445" ht="15.0" hidden="1" customHeight="1">
      <c r="A445" s="430">
        <v>51.0</v>
      </c>
      <c r="B445" s="431" t="s">
        <v>88</v>
      </c>
      <c r="C445" s="432" t="s">
        <v>312</v>
      </c>
      <c r="D445" s="432" t="s">
        <v>313</v>
      </c>
      <c r="E445" s="433" t="s">
        <v>141</v>
      </c>
      <c r="F445" s="434" t="s">
        <v>975</v>
      </c>
      <c r="G445" s="432" t="s">
        <v>317</v>
      </c>
      <c r="H445" s="432">
        <v>2.016651117E9</v>
      </c>
      <c r="I445" s="432" t="s">
        <v>316</v>
      </c>
      <c r="J445" s="435">
        <v>45673.0</v>
      </c>
      <c r="K445" s="432" t="s">
        <v>125</v>
      </c>
      <c r="L445" s="432">
        <v>106.0</v>
      </c>
      <c r="M445" s="432"/>
      <c r="N445" s="436" t="s">
        <v>34</v>
      </c>
      <c r="O445" s="437">
        <v>45809.0</v>
      </c>
      <c r="P445" s="344"/>
      <c r="Q445" s="344"/>
      <c r="R445" s="344"/>
      <c r="S445" s="344"/>
      <c r="T445" s="344"/>
      <c r="U445" s="344"/>
      <c r="V445" s="344"/>
      <c r="W445" s="344"/>
      <c r="X445" s="344"/>
      <c r="Y445" s="344"/>
      <c r="Z445" s="344"/>
      <c r="AA445" s="344"/>
      <c r="AB445" s="344"/>
      <c r="AC445" s="344"/>
      <c r="AD445" s="344"/>
      <c r="AE445" s="344"/>
      <c r="AF445" s="344"/>
      <c r="AG445" s="344"/>
      <c r="AH445" s="344"/>
      <c r="AI445" s="344"/>
      <c r="AJ445" s="344"/>
      <c r="AK445" s="344"/>
      <c r="AL445" s="344"/>
      <c r="AM445" s="344"/>
      <c r="AN445" s="344"/>
      <c r="AO445" s="344"/>
      <c r="AP445" s="344"/>
      <c r="AQ445" s="344"/>
      <c r="AR445" s="344"/>
      <c r="AS445" s="344"/>
      <c r="AT445" s="344"/>
      <c r="AU445" s="438"/>
      <c r="AV445" s="438"/>
    </row>
    <row r="446" ht="15.0" hidden="1" customHeight="1">
      <c r="A446" s="430">
        <v>1.0</v>
      </c>
      <c r="B446" s="431" t="s">
        <v>48</v>
      </c>
      <c r="C446" s="432" t="s">
        <v>291</v>
      </c>
      <c r="D446" s="432" t="s">
        <v>434</v>
      </c>
      <c r="E446" s="433">
        <v>2.0</v>
      </c>
      <c r="F446" s="434">
        <v>42348.0</v>
      </c>
      <c r="G446" s="432" t="s">
        <v>688</v>
      </c>
      <c r="H446" s="432">
        <v>4.157228574E9</v>
      </c>
      <c r="I446" s="432" t="s">
        <v>436</v>
      </c>
      <c r="J446" s="435" t="s">
        <v>976</v>
      </c>
      <c r="K446" s="432" t="s">
        <v>210</v>
      </c>
      <c r="L446" s="432">
        <v>71.0</v>
      </c>
      <c r="M446" s="432" t="s">
        <v>977</v>
      </c>
      <c r="N446" s="436" t="s">
        <v>34</v>
      </c>
      <c r="O446" s="437">
        <v>45839.0</v>
      </c>
      <c r="P446" s="344"/>
      <c r="Q446" s="344"/>
      <c r="R446" s="344"/>
      <c r="S446" s="344"/>
      <c r="T446" s="344"/>
      <c r="U446" s="344"/>
      <c r="V446" s="344"/>
      <c r="W446" s="344"/>
      <c r="X446" s="344"/>
      <c r="Y446" s="344"/>
      <c r="Z446" s="344"/>
      <c r="AA446" s="344"/>
      <c r="AB446" s="344"/>
      <c r="AC446" s="344"/>
      <c r="AD446" s="344"/>
      <c r="AE446" s="344"/>
      <c r="AF446" s="344"/>
      <c r="AG446" s="344"/>
      <c r="AH446" s="344"/>
      <c r="AI446" s="344"/>
      <c r="AJ446" s="344"/>
      <c r="AK446" s="344"/>
      <c r="AL446" s="344"/>
      <c r="AM446" s="344"/>
      <c r="AN446" s="344"/>
      <c r="AO446" s="344"/>
      <c r="AP446" s="344"/>
      <c r="AQ446" s="344"/>
      <c r="AR446" s="344"/>
      <c r="AS446" s="344"/>
      <c r="AT446" s="344"/>
      <c r="AU446" s="458"/>
      <c r="AV446" s="458"/>
    </row>
    <row r="447" ht="15.0" hidden="1" customHeight="1">
      <c r="A447" s="430">
        <v>2.0</v>
      </c>
      <c r="B447" s="431" t="s">
        <v>88</v>
      </c>
      <c r="C447" s="432" t="s">
        <v>291</v>
      </c>
      <c r="D447" s="432" t="s">
        <v>434</v>
      </c>
      <c r="E447" s="433">
        <v>2.0</v>
      </c>
      <c r="F447" s="434">
        <v>42348.0</v>
      </c>
      <c r="G447" s="432" t="s">
        <v>688</v>
      </c>
      <c r="H447" s="432">
        <v>4.157228574E9</v>
      </c>
      <c r="I447" s="432" t="s">
        <v>436</v>
      </c>
      <c r="J447" s="435" t="s">
        <v>976</v>
      </c>
      <c r="K447" s="432" t="s">
        <v>199</v>
      </c>
      <c r="L447" s="432">
        <v>66.0</v>
      </c>
      <c r="M447" s="432"/>
      <c r="N447" s="436" t="s">
        <v>34</v>
      </c>
      <c r="O447" s="437">
        <v>45839.0</v>
      </c>
      <c r="P447" s="344"/>
      <c r="Q447" s="344"/>
      <c r="R447" s="344"/>
      <c r="S447" s="344"/>
      <c r="T447" s="344"/>
      <c r="U447" s="344"/>
      <c r="V447" s="344"/>
      <c r="W447" s="344"/>
      <c r="X447" s="344"/>
      <c r="Y447" s="344"/>
      <c r="Z447" s="344"/>
      <c r="AA447" s="344"/>
      <c r="AB447" s="344"/>
      <c r="AC447" s="344"/>
      <c r="AD447" s="344"/>
      <c r="AE447" s="344"/>
      <c r="AF447" s="344"/>
      <c r="AG447" s="344"/>
      <c r="AH447" s="344"/>
      <c r="AI447" s="344"/>
      <c r="AJ447" s="344"/>
      <c r="AK447" s="344"/>
      <c r="AL447" s="344"/>
      <c r="AM447" s="344"/>
      <c r="AN447" s="344"/>
      <c r="AO447" s="344"/>
      <c r="AP447" s="344"/>
      <c r="AQ447" s="344"/>
      <c r="AR447" s="344"/>
      <c r="AS447" s="344"/>
      <c r="AT447" s="344"/>
      <c r="AU447" s="458"/>
      <c r="AV447" s="458"/>
    </row>
    <row r="448" ht="15.0" hidden="1" customHeight="1">
      <c r="A448" s="95">
        <v>3.0</v>
      </c>
      <c r="B448" s="91" t="s">
        <v>48</v>
      </c>
      <c r="C448" s="100" t="s">
        <v>318</v>
      </c>
      <c r="D448" s="100" t="s">
        <v>978</v>
      </c>
      <c r="E448" s="109">
        <v>4.0</v>
      </c>
      <c r="F448" s="117" t="s">
        <v>979</v>
      </c>
      <c r="G448" s="100" t="s">
        <v>980</v>
      </c>
      <c r="H448" s="100">
        <v>4.085696688E9</v>
      </c>
      <c r="I448" s="100" t="s">
        <v>981</v>
      </c>
      <c r="J448" s="118">
        <v>45154.0</v>
      </c>
      <c r="K448" s="459" t="s">
        <v>198</v>
      </c>
      <c r="L448" s="100">
        <v>66.0</v>
      </c>
      <c r="M448" s="100"/>
      <c r="N448" s="96" t="s">
        <v>34</v>
      </c>
      <c r="O448" s="101">
        <v>45839.0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102"/>
      <c r="AV448" s="102"/>
    </row>
    <row r="449" ht="15.0" hidden="1" customHeight="1">
      <c r="A449" s="95">
        <v>4.0</v>
      </c>
      <c r="B449" s="91" t="s">
        <v>88</v>
      </c>
      <c r="C449" s="100" t="s">
        <v>318</v>
      </c>
      <c r="D449" s="100" t="s">
        <v>978</v>
      </c>
      <c r="E449" s="109">
        <v>4.0</v>
      </c>
      <c r="F449" s="117">
        <v>41866.0</v>
      </c>
      <c r="G449" s="100" t="s">
        <v>980</v>
      </c>
      <c r="H449" s="100">
        <v>4.085696688E9</v>
      </c>
      <c r="I449" s="100" t="s">
        <v>981</v>
      </c>
      <c r="J449" s="118">
        <v>45154.0</v>
      </c>
      <c r="K449" s="112" t="s">
        <v>199</v>
      </c>
      <c r="L449" s="100">
        <v>56.0</v>
      </c>
      <c r="M449" s="100"/>
      <c r="N449" s="96" t="s">
        <v>34</v>
      </c>
      <c r="O449" s="101">
        <v>45839.0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102"/>
      <c r="AV449" s="102"/>
    </row>
    <row r="450" ht="15.0" hidden="1" customHeight="1">
      <c r="A450" s="95">
        <v>5.0</v>
      </c>
      <c r="B450" s="91" t="s">
        <v>88</v>
      </c>
      <c r="C450" s="100" t="s">
        <v>982</v>
      </c>
      <c r="D450" s="100" t="s">
        <v>270</v>
      </c>
      <c r="E450" s="109">
        <v>6.0</v>
      </c>
      <c r="F450" s="117">
        <v>41507.0</v>
      </c>
      <c r="G450" s="100" t="s">
        <v>983</v>
      </c>
      <c r="H450" s="100">
        <v>4.084894857E9</v>
      </c>
      <c r="I450" s="100" t="s">
        <v>984</v>
      </c>
      <c r="J450" s="118">
        <v>45704.0</v>
      </c>
      <c r="K450" s="100"/>
      <c r="L450" s="100"/>
      <c r="M450" s="100" t="s">
        <v>985</v>
      </c>
      <c r="N450" s="96" t="s">
        <v>34</v>
      </c>
      <c r="O450" s="101">
        <v>45839.0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102"/>
      <c r="AV450" s="102"/>
    </row>
    <row r="451" ht="15.0" hidden="1" customHeight="1">
      <c r="A451" s="95">
        <v>6.0</v>
      </c>
      <c r="B451" s="91" t="s">
        <v>48</v>
      </c>
      <c r="C451" s="100" t="s">
        <v>982</v>
      </c>
      <c r="D451" s="100" t="s">
        <v>270</v>
      </c>
      <c r="E451" s="109">
        <v>6.0</v>
      </c>
      <c r="F451" s="117">
        <v>41507.0</v>
      </c>
      <c r="G451" s="100" t="s">
        <v>983</v>
      </c>
      <c r="H451" s="100">
        <v>4.084894857E9</v>
      </c>
      <c r="I451" s="100" t="s">
        <v>984</v>
      </c>
      <c r="J451" s="118">
        <v>45704.0</v>
      </c>
      <c r="K451" s="100"/>
      <c r="L451" s="100"/>
      <c r="M451" s="100" t="s">
        <v>985</v>
      </c>
      <c r="N451" s="96" t="s">
        <v>34</v>
      </c>
      <c r="O451" s="101">
        <v>45839.0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102"/>
      <c r="AV451" s="102"/>
    </row>
    <row r="452" ht="15.0" hidden="1" customHeight="1">
      <c r="A452" s="430">
        <v>7.0</v>
      </c>
      <c r="B452" s="431" t="s">
        <v>48</v>
      </c>
      <c r="C452" s="432" t="s">
        <v>441</v>
      </c>
      <c r="D452" s="432" t="s">
        <v>442</v>
      </c>
      <c r="E452" s="433">
        <v>2.0</v>
      </c>
      <c r="F452" s="434" t="s">
        <v>443</v>
      </c>
      <c r="G452" s="432" t="s">
        <v>444</v>
      </c>
      <c r="H452" s="432">
        <v>3.473220327E9</v>
      </c>
      <c r="I452" s="432" t="s">
        <v>445</v>
      </c>
      <c r="J452" s="435" t="s">
        <v>954</v>
      </c>
      <c r="K452" s="432" t="s">
        <v>192</v>
      </c>
      <c r="L452" s="432">
        <v>56.0</v>
      </c>
      <c r="M452" s="432" t="s">
        <v>986</v>
      </c>
      <c r="N452" s="436" t="s">
        <v>34</v>
      </c>
      <c r="O452" s="437">
        <v>45839.0</v>
      </c>
      <c r="P452" s="344"/>
      <c r="Q452" s="344"/>
      <c r="R452" s="344"/>
      <c r="S452" s="344"/>
      <c r="T452" s="344"/>
      <c r="U452" s="344"/>
      <c r="V452" s="344"/>
      <c r="W452" s="344"/>
      <c r="X452" s="344"/>
      <c r="Y452" s="344"/>
      <c r="Z452" s="344"/>
      <c r="AA452" s="344"/>
      <c r="AB452" s="344"/>
      <c r="AC452" s="344"/>
      <c r="AD452" s="344"/>
      <c r="AE452" s="344"/>
      <c r="AF452" s="344"/>
      <c r="AG452" s="344"/>
      <c r="AH452" s="344"/>
      <c r="AI452" s="344"/>
      <c r="AJ452" s="344"/>
      <c r="AK452" s="344"/>
      <c r="AL452" s="344"/>
      <c r="AM452" s="344"/>
      <c r="AN452" s="344"/>
      <c r="AO452" s="344"/>
      <c r="AP452" s="344"/>
      <c r="AQ452" s="344"/>
      <c r="AR452" s="344"/>
      <c r="AS452" s="344"/>
      <c r="AT452" s="344"/>
      <c r="AU452" s="458"/>
      <c r="AV452" s="458"/>
    </row>
    <row r="453" ht="15.0" hidden="1" customHeight="1">
      <c r="A453" s="430">
        <v>8.0</v>
      </c>
      <c r="B453" s="431" t="s">
        <v>88</v>
      </c>
      <c r="C453" s="432" t="s">
        <v>441</v>
      </c>
      <c r="D453" s="432" t="s">
        <v>442</v>
      </c>
      <c r="E453" s="433">
        <v>2.0</v>
      </c>
      <c r="F453" s="434" t="s">
        <v>443</v>
      </c>
      <c r="G453" s="432" t="s">
        <v>444</v>
      </c>
      <c r="H453" s="432">
        <v>3.473220327E9</v>
      </c>
      <c r="I453" s="432" t="s">
        <v>445</v>
      </c>
      <c r="J453" s="435" t="s">
        <v>954</v>
      </c>
      <c r="K453" s="432" t="s">
        <v>132</v>
      </c>
      <c r="L453" s="432">
        <v>71.0</v>
      </c>
      <c r="M453" s="432" t="s">
        <v>986</v>
      </c>
      <c r="N453" s="436" t="s">
        <v>34</v>
      </c>
      <c r="O453" s="437">
        <v>45839.0</v>
      </c>
      <c r="P453" s="344"/>
      <c r="Q453" s="344"/>
      <c r="R453" s="344"/>
      <c r="S453" s="344"/>
      <c r="T453" s="344"/>
      <c r="U453" s="344"/>
      <c r="V453" s="344"/>
      <c r="W453" s="344"/>
      <c r="X453" s="344"/>
      <c r="Y453" s="344"/>
      <c r="Z453" s="344"/>
      <c r="AA453" s="344"/>
      <c r="AB453" s="344"/>
      <c r="AC453" s="344"/>
      <c r="AD453" s="344"/>
      <c r="AE453" s="344"/>
      <c r="AF453" s="344"/>
      <c r="AG453" s="344"/>
      <c r="AH453" s="344"/>
      <c r="AI453" s="344"/>
      <c r="AJ453" s="344"/>
      <c r="AK453" s="344"/>
      <c r="AL453" s="344"/>
      <c r="AM453" s="344"/>
      <c r="AN453" s="344"/>
      <c r="AO453" s="344"/>
      <c r="AP453" s="344"/>
      <c r="AQ453" s="344"/>
      <c r="AR453" s="344"/>
      <c r="AS453" s="344"/>
      <c r="AT453" s="344"/>
      <c r="AU453" s="458"/>
      <c r="AV453" s="458"/>
    </row>
    <row r="454" ht="15.0" hidden="1" customHeight="1">
      <c r="A454" s="95">
        <v>9.0</v>
      </c>
      <c r="B454" s="91" t="s">
        <v>48</v>
      </c>
      <c r="C454" s="100" t="s">
        <v>485</v>
      </c>
      <c r="D454" s="100" t="s">
        <v>484</v>
      </c>
      <c r="E454" s="109">
        <v>4.0</v>
      </c>
      <c r="F454" s="117">
        <v>42434.0</v>
      </c>
      <c r="G454" s="107" t="s">
        <v>987</v>
      </c>
      <c r="H454" s="103">
        <v>5.10520261E9</v>
      </c>
      <c r="I454" s="103" t="s">
        <v>487</v>
      </c>
      <c r="J454" s="101">
        <v>45810.0</v>
      </c>
      <c r="K454" s="107" t="s">
        <v>183</v>
      </c>
      <c r="L454" s="100">
        <v>98.0</v>
      </c>
      <c r="M454" s="100"/>
      <c r="N454" s="96" t="s">
        <v>34</v>
      </c>
      <c r="O454" s="101">
        <v>45839.0</v>
      </c>
      <c r="P454" s="102"/>
      <c r="Q454" s="102"/>
      <c r="R454" s="102"/>
      <c r="S454" s="102"/>
      <c r="T454" s="102"/>
      <c r="U454" s="102"/>
      <c r="V454" s="102"/>
      <c r="W454" s="102"/>
      <c r="X454" s="102"/>
      <c r="Y454" s="102"/>
      <c r="Z454" s="102"/>
      <c r="AA454" s="102"/>
      <c r="AB454" s="102"/>
      <c r="AC454" s="102"/>
      <c r="AD454" s="102"/>
      <c r="AE454" s="102"/>
      <c r="AF454" s="102"/>
      <c r="AG454" s="102"/>
      <c r="AH454" s="102"/>
      <c r="AI454" s="102"/>
      <c r="AJ454" s="102"/>
      <c r="AK454" s="102"/>
      <c r="AL454" s="102"/>
      <c r="AM454" s="102"/>
      <c r="AN454" s="102"/>
      <c r="AO454" s="102"/>
      <c r="AP454" s="102"/>
      <c r="AQ454" s="102"/>
      <c r="AR454" s="102"/>
      <c r="AS454" s="102"/>
      <c r="AT454" s="102"/>
      <c r="AU454" s="3"/>
      <c r="AV454" s="3"/>
    </row>
    <row r="455" ht="15.0" hidden="1" customHeight="1">
      <c r="A455" s="95">
        <v>10.0</v>
      </c>
      <c r="B455" s="96" t="s">
        <v>88</v>
      </c>
      <c r="C455" s="100" t="s">
        <v>488</v>
      </c>
      <c r="D455" s="100" t="s">
        <v>484</v>
      </c>
      <c r="E455" s="109">
        <v>1.0</v>
      </c>
      <c r="F455" s="117">
        <v>43326.0</v>
      </c>
      <c r="G455" s="107" t="s">
        <v>988</v>
      </c>
      <c r="H455" s="103">
        <v>5.10520261E9</v>
      </c>
      <c r="I455" s="103" t="s">
        <v>487</v>
      </c>
      <c r="J455" s="101">
        <v>45810.0</v>
      </c>
      <c r="K455" s="107" t="s">
        <v>520</v>
      </c>
      <c r="L455" s="100">
        <v>36.0</v>
      </c>
      <c r="M455" s="100" t="s">
        <v>989</v>
      </c>
      <c r="N455" s="96" t="s">
        <v>34</v>
      </c>
      <c r="O455" s="101">
        <v>45839.0</v>
      </c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  <c r="AB455" s="151"/>
      <c r="AC455" s="151"/>
      <c r="AD455" s="151"/>
      <c r="AE455" s="151"/>
      <c r="AF455" s="151"/>
      <c r="AG455" s="151"/>
      <c r="AH455" s="151"/>
      <c r="AI455" s="151"/>
      <c r="AJ455" s="151"/>
      <c r="AK455" s="151"/>
      <c r="AL455" s="151"/>
      <c r="AM455" s="151"/>
      <c r="AN455" s="151"/>
      <c r="AO455" s="151"/>
      <c r="AP455" s="151"/>
      <c r="AQ455" s="151"/>
      <c r="AR455" s="151"/>
      <c r="AS455" s="151"/>
      <c r="AT455" s="151"/>
      <c r="AU455" s="102"/>
      <c r="AV455" s="102"/>
    </row>
    <row r="456" ht="15.0" hidden="1" customHeight="1">
      <c r="A456" s="95">
        <v>1.0</v>
      </c>
      <c r="B456" s="441" t="s">
        <v>48</v>
      </c>
      <c r="C456" s="407" t="s">
        <v>990</v>
      </c>
      <c r="D456" s="407" t="s">
        <v>991</v>
      </c>
      <c r="E456" s="408">
        <v>2.0</v>
      </c>
      <c r="F456" s="409" t="s">
        <v>992</v>
      </c>
      <c r="G456" s="407" t="s">
        <v>993</v>
      </c>
      <c r="H456" s="407">
        <v>5.623488522E9</v>
      </c>
      <c r="I456" s="407" t="s">
        <v>994</v>
      </c>
      <c r="J456" s="439" t="s">
        <v>995</v>
      </c>
      <c r="K456" s="407" t="s">
        <v>399</v>
      </c>
      <c r="L456" s="407"/>
      <c r="M456" s="407"/>
      <c r="N456" s="406" t="s">
        <v>34</v>
      </c>
      <c r="O456" s="101">
        <v>45870.0</v>
      </c>
      <c r="P456" s="130"/>
      <c r="Q456" s="130"/>
      <c r="R456" s="130"/>
      <c r="S456" s="130"/>
      <c r="T456" s="130"/>
      <c r="U456" s="130"/>
      <c r="V456" s="130"/>
      <c r="W456" s="130"/>
      <c r="X456" s="130"/>
      <c r="Y456" s="130"/>
      <c r="Z456" s="130"/>
      <c r="AA456" s="130"/>
      <c r="AB456" s="130"/>
      <c r="AC456" s="130"/>
      <c r="AD456" s="130"/>
      <c r="AE456" s="130"/>
      <c r="AF456" s="130"/>
      <c r="AG456" s="130"/>
      <c r="AH456" s="130"/>
      <c r="AI456" s="130"/>
      <c r="AJ456" s="130"/>
      <c r="AK456" s="130"/>
      <c r="AL456" s="130"/>
      <c r="AM456" s="130"/>
      <c r="AN456" s="130"/>
      <c r="AO456" s="130"/>
      <c r="AP456" s="130"/>
      <c r="AQ456" s="130"/>
      <c r="AR456" s="130"/>
      <c r="AS456" s="130"/>
      <c r="AT456" s="130"/>
      <c r="AU456" s="131"/>
      <c r="AV456" s="131"/>
    </row>
    <row r="457" ht="15.0" hidden="1" customHeight="1">
      <c r="A457" s="95">
        <v>2.0</v>
      </c>
      <c r="B457" s="441" t="s">
        <v>88</v>
      </c>
      <c r="C457" s="407" t="s">
        <v>990</v>
      </c>
      <c r="D457" s="407" t="s">
        <v>991</v>
      </c>
      <c r="E457" s="408">
        <v>2.0</v>
      </c>
      <c r="F457" s="409" t="s">
        <v>992</v>
      </c>
      <c r="G457" s="407" t="s">
        <v>993</v>
      </c>
      <c r="H457" s="407">
        <v>5.623488522E9</v>
      </c>
      <c r="I457" s="407" t="s">
        <v>994</v>
      </c>
      <c r="J457" s="439" t="s">
        <v>995</v>
      </c>
      <c r="K457" s="407" t="s">
        <v>124</v>
      </c>
      <c r="L457" s="407"/>
      <c r="M457" s="407"/>
      <c r="N457" s="406" t="s">
        <v>34</v>
      </c>
      <c r="O457" s="101">
        <v>45870.0</v>
      </c>
      <c r="P457" s="130"/>
      <c r="Q457" s="130"/>
      <c r="R457" s="130"/>
      <c r="S457" s="130"/>
      <c r="T457" s="130"/>
      <c r="U457" s="130"/>
      <c r="V457" s="130"/>
      <c r="W457" s="130"/>
      <c r="X457" s="130"/>
      <c r="Y457" s="130"/>
      <c r="Z457" s="130"/>
      <c r="AA457" s="130"/>
      <c r="AB457" s="130"/>
      <c r="AC457" s="130"/>
      <c r="AD457" s="130"/>
      <c r="AE457" s="130"/>
      <c r="AF457" s="130"/>
      <c r="AG457" s="130"/>
      <c r="AH457" s="130"/>
      <c r="AI457" s="130"/>
      <c r="AJ457" s="130"/>
      <c r="AK457" s="130"/>
      <c r="AL457" s="130"/>
      <c r="AM457" s="130"/>
      <c r="AN457" s="130"/>
      <c r="AO457" s="130"/>
      <c r="AP457" s="130"/>
      <c r="AQ457" s="130"/>
      <c r="AR457" s="130"/>
      <c r="AS457" s="130"/>
      <c r="AT457" s="130"/>
      <c r="AU457" s="131"/>
      <c r="AV457" s="131"/>
    </row>
    <row r="458" ht="15.0" hidden="1" customHeight="1">
      <c r="A458" s="95">
        <v>3.0</v>
      </c>
      <c r="B458" s="406" t="s">
        <v>88</v>
      </c>
      <c r="C458" s="407" t="s">
        <v>996</v>
      </c>
      <c r="D458" s="407" t="s">
        <v>997</v>
      </c>
      <c r="E458" s="408">
        <v>6.0</v>
      </c>
      <c r="F458" s="409">
        <v>42007.0</v>
      </c>
      <c r="G458" s="460" t="s">
        <v>998</v>
      </c>
      <c r="H458" s="460">
        <v>5.103143231E9</v>
      </c>
      <c r="I458" s="460" t="s">
        <v>999</v>
      </c>
      <c r="J458" s="439">
        <v>45810.0</v>
      </c>
      <c r="K458" s="410" t="s">
        <v>132</v>
      </c>
      <c r="L458" s="407"/>
      <c r="M458" s="407"/>
      <c r="N458" s="406" t="s">
        <v>34</v>
      </c>
      <c r="O458" s="101">
        <v>45870.0</v>
      </c>
      <c r="P458" s="461"/>
      <c r="Q458" s="461"/>
      <c r="R458" s="461"/>
      <c r="S458" s="461"/>
      <c r="T458" s="461"/>
      <c r="U458" s="461"/>
      <c r="V458" s="461"/>
      <c r="W458" s="461"/>
      <c r="X458" s="461"/>
      <c r="Y458" s="461"/>
      <c r="Z458" s="461"/>
      <c r="AA458" s="461"/>
      <c r="AB458" s="461"/>
      <c r="AC458" s="461"/>
      <c r="AD458" s="461"/>
      <c r="AE458" s="461"/>
      <c r="AF458" s="461"/>
      <c r="AG458" s="461"/>
      <c r="AH458" s="461"/>
      <c r="AI458" s="461"/>
      <c r="AJ458" s="461"/>
      <c r="AK458" s="461"/>
      <c r="AL458" s="461"/>
      <c r="AM458" s="461"/>
      <c r="AN458" s="461"/>
      <c r="AO458" s="461"/>
      <c r="AP458" s="461"/>
      <c r="AQ458" s="461"/>
      <c r="AR458" s="461"/>
      <c r="AS458" s="461"/>
      <c r="AT458" s="461"/>
      <c r="AU458" s="131"/>
      <c r="AV458" s="131"/>
    </row>
    <row r="459" ht="15.0" hidden="1" customHeight="1">
      <c r="A459" s="95">
        <v>4.0</v>
      </c>
      <c r="B459" s="406" t="s">
        <v>48</v>
      </c>
      <c r="C459" s="407" t="s">
        <v>996</v>
      </c>
      <c r="D459" s="407" t="s">
        <v>997</v>
      </c>
      <c r="E459" s="408">
        <v>6.0</v>
      </c>
      <c r="F459" s="409">
        <v>42008.0</v>
      </c>
      <c r="G459" s="460" t="s">
        <v>1000</v>
      </c>
      <c r="H459" s="460">
        <v>5.103143231E9</v>
      </c>
      <c r="I459" s="460" t="s">
        <v>999</v>
      </c>
      <c r="J459" s="439">
        <v>45811.0</v>
      </c>
      <c r="K459" s="410" t="s">
        <v>183</v>
      </c>
      <c r="L459" s="407"/>
      <c r="M459" s="407"/>
      <c r="N459" s="406" t="s">
        <v>34</v>
      </c>
      <c r="O459" s="101">
        <v>45870.0</v>
      </c>
      <c r="P459" s="461"/>
      <c r="Q459" s="461"/>
      <c r="R459" s="461"/>
      <c r="S459" s="461"/>
      <c r="T459" s="461"/>
      <c r="U459" s="461"/>
      <c r="V459" s="461"/>
      <c r="W459" s="461"/>
      <c r="X459" s="461"/>
      <c r="Y459" s="461"/>
      <c r="Z459" s="461"/>
      <c r="AA459" s="461"/>
      <c r="AB459" s="461"/>
      <c r="AC459" s="461"/>
      <c r="AD459" s="461"/>
      <c r="AE459" s="461"/>
      <c r="AF459" s="461"/>
      <c r="AG459" s="461"/>
      <c r="AH459" s="461"/>
      <c r="AI459" s="461"/>
      <c r="AJ459" s="461"/>
      <c r="AK459" s="461"/>
      <c r="AL459" s="461"/>
      <c r="AM459" s="461"/>
      <c r="AN459" s="461"/>
      <c r="AO459" s="461"/>
      <c r="AP459" s="461"/>
      <c r="AQ459" s="461"/>
      <c r="AR459" s="461"/>
      <c r="AS459" s="461"/>
      <c r="AT459" s="461"/>
      <c r="AU459" s="131"/>
      <c r="AV459" s="131"/>
    </row>
    <row r="460" ht="15.0" hidden="1" customHeight="1">
      <c r="A460" s="95">
        <v>5.0</v>
      </c>
      <c r="B460" s="441" t="s">
        <v>48</v>
      </c>
      <c r="C460" s="407" t="s">
        <v>1001</v>
      </c>
      <c r="D460" s="407" t="s">
        <v>1002</v>
      </c>
      <c r="E460" s="408">
        <v>5.0</v>
      </c>
      <c r="F460" s="409" t="s">
        <v>1003</v>
      </c>
      <c r="G460" s="407" t="s">
        <v>1004</v>
      </c>
      <c r="H460" s="407">
        <v>4.083389401E9</v>
      </c>
      <c r="I460" s="407" t="s">
        <v>1005</v>
      </c>
      <c r="J460" s="439" t="s">
        <v>972</v>
      </c>
      <c r="K460" s="410" t="s">
        <v>375</v>
      </c>
      <c r="L460" s="407"/>
      <c r="M460" s="407"/>
      <c r="N460" s="406" t="s">
        <v>34</v>
      </c>
      <c r="O460" s="101">
        <v>45870.0</v>
      </c>
      <c r="P460" s="130"/>
      <c r="Q460" s="130"/>
      <c r="R460" s="130"/>
      <c r="S460" s="130"/>
      <c r="T460" s="130"/>
      <c r="U460" s="130"/>
      <c r="V460" s="130"/>
      <c r="W460" s="130"/>
      <c r="X460" s="130"/>
      <c r="Y460" s="130"/>
      <c r="Z460" s="130"/>
      <c r="AA460" s="130"/>
      <c r="AB460" s="130"/>
      <c r="AC460" s="130"/>
      <c r="AD460" s="130"/>
      <c r="AE460" s="130"/>
      <c r="AF460" s="130"/>
      <c r="AG460" s="130"/>
      <c r="AH460" s="130"/>
      <c r="AI460" s="130"/>
      <c r="AJ460" s="130"/>
      <c r="AK460" s="130"/>
      <c r="AL460" s="130"/>
      <c r="AM460" s="130"/>
      <c r="AN460" s="130"/>
      <c r="AO460" s="130"/>
      <c r="AP460" s="130"/>
      <c r="AQ460" s="130"/>
      <c r="AR460" s="130"/>
      <c r="AS460" s="130"/>
      <c r="AT460" s="130"/>
      <c r="AU460" s="131"/>
      <c r="AV460" s="131"/>
    </row>
    <row r="461" ht="15.0" hidden="1" customHeight="1">
      <c r="A461" s="95">
        <v>6.0</v>
      </c>
      <c r="B461" s="441" t="s">
        <v>88</v>
      </c>
      <c r="C461" s="407" t="s">
        <v>1001</v>
      </c>
      <c r="D461" s="407" t="s">
        <v>1002</v>
      </c>
      <c r="E461" s="408">
        <v>5.0</v>
      </c>
      <c r="F461" s="409" t="s">
        <v>1006</v>
      </c>
      <c r="G461" s="407" t="s">
        <v>1007</v>
      </c>
      <c r="H461" s="407">
        <v>4.083389401E9</v>
      </c>
      <c r="I461" s="407" t="s">
        <v>1005</v>
      </c>
      <c r="J461" s="439" t="s">
        <v>972</v>
      </c>
      <c r="K461" s="410" t="s">
        <v>199</v>
      </c>
      <c r="L461" s="407"/>
      <c r="M461" s="407"/>
      <c r="N461" s="406" t="s">
        <v>34</v>
      </c>
      <c r="O461" s="101">
        <v>45870.0</v>
      </c>
      <c r="P461" s="130"/>
      <c r="Q461" s="130"/>
      <c r="R461" s="130"/>
      <c r="S461" s="130"/>
      <c r="T461" s="130"/>
      <c r="U461" s="130"/>
      <c r="V461" s="130"/>
      <c r="W461" s="130"/>
      <c r="X461" s="130"/>
      <c r="Y461" s="130"/>
      <c r="Z461" s="130"/>
      <c r="AA461" s="130"/>
      <c r="AB461" s="130"/>
      <c r="AC461" s="130"/>
      <c r="AD461" s="130"/>
      <c r="AE461" s="130"/>
      <c r="AF461" s="130"/>
      <c r="AG461" s="130"/>
      <c r="AH461" s="130"/>
      <c r="AI461" s="130"/>
      <c r="AJ461" s="130"/>
      <c r="AK461" s="130"/>
      <c r="AL461" s="130"/>
      <c r="AM461" s="130"/>
      <c r="AN461" s="130"/>
      <c r="AO461" s="130"/>
      <c r="AP461" s="130"/>
      <c r="AQ461" s="130"/>
      <c r="AR461" s="130"/>
      <c r="AS461" s="130"/>
      <c r="AT461" s="130"/>
      <c r="AU461" s="131"/>
      <c r="AV461" s="131"/>
    </row>
    <row r="462" ht="15.0" hidden="1" customHeight="1">
      <c r="A462" s="95">
        <v>7.0</v>
      </c>
      <c r="B462" s="406" t="s">
        <v>48</v>
      </c>
      <c r="C462" s="462" t="s">
        <v>1008</v>
      </c>
      <c r="D462" s="462" t="s">
        <v>559</v>
      </c>
      <c r="E462" s="414">
        <v>3.0</v>
      </c>
      <c r="F462" s="415">
        <v>42675.0</v>
      </c>
      <c r="G462" s="460" t="s">
        <v>1009</v>
      </c>
      <c r="H462" s="460" t="s">
        <v>1009</v>
      </c>
      <c r="I462" s="460" t="s">
        <v>1010</v>
      </c>
      <c r="J462" s="463">
        <v>45838.0</v>
      </c>
      <c r="K462" s="410" t="s">
        <v>183</v>
      </c>
      <c r="L462" s="462"/>
      <c r="M462" s="462"/>
      <c r="N462" s="406" t="s">
        <v>34</v>
      </c>
      <c r="O462" s="101">
        <v>45870.0</v>
      </c>
      <c r="P462" s="130"/>
      <c r="Q462" s="130"/>
      <c r="R462" s="130"/>
      <c r="S462" s="130"/>
      <c r="T462" s="130"/>
      <c r="U462" s="130"/>
      <c r="V462" s="130"/>
      <c r="W462" s="130"/>
      <c r="X462" s="130"/>
      <c r="Y462" s="130"/>
      <c r="Z462" s="130"/>
      <c r="AA462" s="130"/>
      <c r="AB462" s="130"/>
      <c r="AC462" s="130"/>
      <c r="AD462" s="130"/>
      <c r="AE462" s="130"/>
      <c r="AF462" s="130"/>
      <c r="AG462" s="130"/>
      <c r="AH462" s="130"/>
      <c r="AI462" s="130"/>
      <c r="AJ462" s="130"/>
      <c r="AK462" s="130"/>
      <c r="AL462" s="130"/>
      <c r="AM462" s="130"/>
      <c r="AN462" s="130"/>
      <c r="AO462" s="130"/>
      <c r="AP462" s="130"/>
      <c r="AQ462" s="130"/>
      <c r="AR462" s="130"/>
      <c r="AS462" s="130"/>
      <c r="AT462" s="130"/>
      <c r="AU462" s="131"/>
      <c r="AV462" s="131"/>
    </row>
    <row r="463" ht="15.0" hidden="1" customHeight="1">
      <c r="A463" s="95">
        <v>8.0</v>
      </c>
      <c r="B463" s="406" t="s">
        <v>88</v>
      </c>
      <c r="C463" s="462" t="s">
        <v>1008</v>
      </c>
      <c r="D463" s="462" t="s">
        <v>559</v>
      </c>
      <c r="E463" s="414">
        <v>3.0</v>
      </c>
      <c r="F463" s="415">
        <v>42675.0</v>
      </c>
      <c r="G463" s="460" t="s">
        <v>1011</v>
      </c>
      <c r="H463" s="460" t="s">
        <v>1011</v>
      </c>
      <c r="I463" s="460" t="s">
        <v>1010</v>
      </c>
      <c r="J463" s="439" t="s">
        <v>1012</v>
      </c>
      <c r="K463" s="410" t="s">
        <v>132</v>
      </c>
      <c r="L463" s="407"/>
      <c r="M463" s="462"/>
      <c r="N463" s="406" t="s">
        <v>34</v>
      </c>
      <c r="O463" s="101">
        <v>45870.0</v>
      </c>
      <c r="P463" s="461"/>
      <c r="Q463" s="461"/>
      <c r="R463" s="461"/>
      <c r="S463" s="461"/>
      <c r="T463" s="461"/>
      <c r="U463" s="461"/>
      <c r="V463" s="461"/>
      <c r="W463" s="461"/>
      <c r="X463" s="461"/>
      <c r="Y463" s="461"/>
      <c r="Z463" s="461"/>
      <c r="AA463" s="461"/>
      <c r="AB463" s="461"/>
      <c r="AC463" s="461"/>
      <c r="AD463" s="461"/>
      <c r="AE463" s="461"/>
      <c r="AF463" s="461"/>
      <c r="AG463" s="461"/>
      <c r="AH463" s="461"/>
      <c r="AI463" s="461"/>
      <c r="AJ463" s="461"/>
      <c r="AK463" s="461"/>
      <c r="AL463" s="461"/>
      <c r="AM463" s="461"/>
      <c r="AN463" s="461"/>
      <c r="AO463" s="461"/>
      <c r="AP463" s="461"/>
      <c r="AQ463" s="461"/>
      <c r="AR463" s="461"/>
      <c r="AS463" s="461"/>
      <c r="AT463" s="461"/>
      <c r="AU463" s="131"/>
      <c r="AV463" s="131"/>
    </row>
    <row r="464" ht="15.0" hidden="1" customHeight="1">
      <c r="A464" s="95">
        <v>9.0</v>
      </c>
      <c r="B464" s="408" t="s">
        <v>48</v>
      </c>
      <c r="C464" s="410" t="s">
        <v>1013</v>
      </c>
      <c r="D464" s="410" t="s">
        <v>1014</v>
      </c>
      <c r="E464" s="408">
        <v>7.0</v>
      </c>
      <c r="F464" s="409">
        <v>41248.0</v>
      </c>
      <c r="G464" s="410" t="s">
        <v>1015</v>
      </c>
      <c r="H464" s="411">
        <v>5.108828973E9</v>
      </c>
      <c r="I464" s="460" t="s">
        <v>1016</v>
      </c>
      <c r="J464" s="464">
        <v>45810.0</v>
      </c>
      <c r="K464" s="413" t="s">
        <v>927</v>
      </c>
      <c r="L464" s="407"/>
      <c r="M464" s="439"/>
      <c r="N464" s="406" t="s">
        <v>34</v>
      </c>
      <c r="O464" s="101">
        <v>45870.0</v>
      </c>
      <c r="P464" s="343"/>
      <c r="Q464" s="343"/>
      <c r="R464" s="343"/>
      <c r="S464" s="343"/>
      <c r="T464" s="343"/>
      <c r="U464" s="343"/>
      <c r="V464" s="343"/>
      <c r="W464" s="343"/>
      <c r="X464" s="343"/>
      <c r="Y464" s="343"/>
      <c r="Z464" s="343"/>
      <c r="AA464" s="343"/>
      <c r="AB464" s="343"/>
      <c r="AC464" s="343"/>
      <c r="AD464" s="343"/>
      <c r="AE464" s="343"/>
      <c r="AF464" s="343"/>
      <c r="AG464" s="343"/>
      <c r="AH464" s="343"/>
      <c r="AI464" s="343"/>
      <c r="AJ464" s="343"/>
      <c r="AK464" s="343"/>
      <c r="AL464" s="343"/>
      <c r="AM464" s="343"/>
      <c r="AN464" s="343"/>
      <c r="AO464" s="343"/>
      <c r="AP464" s="343"/>
      <c r="AQ464" s="343"/>
      <c r="AR464" s="343"/>
      <c r="AS464" s="343"/>
      <c r="AT464" s="343"/>
      <c r="AU464" s="131"/>
      <c r="AV464" s="131"/>
    </row>
    <row r="465" ht="15.0" hidden="1" customHeight="1">
      <c r="A465" s="95">
        <v>10.0</v>
      </c>
      <c r="B465" s="408" t="s">
        <v>88</v>
      </c>
      <c r="C465" s="410" t="s">
        <v>1013</v>
      </c>
      <c r="D465" s="410" t="s">
        <v>1014</v>
      </c>
      <c r="E465" s="408">
        <v>7.0</v>
      </c>
      <c r="F465" s="409">
        <v>41248.0</v>
      </c>
      <c r="G465" s="410" t="s">
        <v>1017</v>
      </c>
      <c r="H465" s="411">
        <v>5.108828973E9</v>
      </c>
      <c r="I465" s="460" t="s">
        <v>1016</v>
      </c>
      <c r="J465" s="464">
        <v>45810.0</v>
      </c>
      <c r="K465" s="413" t="s">
        <v>366</v>
      </c>
      <c r="L465" s="407"/>
      <c r="M465" s="407"/>
      <c r="N465" s="406" t="s">
        <v>34</v>
      </c>
      <c r="O465" s="101">
        <v>45870.0</v>
      </c>
      <c r="P465" s="343"/>
      <c r="Q465" s="343"/>
      <c r="R465" s="343"/>
      <c r="S465" s="343"/>
      <c r="T465" s="343"/>
      <c r="U465" s="343"/>
      <c r="V465" s="343"/>
      <c r="W465" s="343"/>
      <c r="X465" s="343"/>
      <c r="Y465" s="343"/>
      <c r="Z465" s="343"/>
      <c r="AA465" s="343"/>
      <c r="AB465" s="343"/>
      <c r="AC465" s="343"/>
      <c r="AD465" s="343"/>
      <c r="AE465" s="343"/>
      <c r="AF465" s="343"/>
      <c r="AG465" s="343"/>
      <c r="AH465" s="343"/>
      <c r="AI465" s="343"/>
      <c r="AJ465" s="343"/>
      <c r="AK465" s="343"/>
      <c r="AL465" s="343"/>
      <c r="AM465" s="343"/>
      <c r="AN465" s="343"/>
      <c r="AO465" s="343"/>
      <c r="AP465" s="343"/>
      <c r="AQ465" s="343"/>
      <c r="AR465" s="343"/>
      <c r="AS465" s="343"/>
      <c r="AT465" s="343"/>
      <c r="AU465" s="131"/>
      <c r="AV465" s="131"/>
    </row>
    <row r="466" ht="15.0" hidden="1" customHeight="1">
      <c r="A466" s="95">
        <v>11.0</v>
      </c>
      <c r="B466" s="406" t="s">
        <v>88</v>
      </c>
      <c r="C466" s="462" t="s">
        <v>1018</v>
      </c>
      <c r="D466" s="462" t="s">
        <v>1019</v>
      </c>
      <c r="E466" s="414">
        <v>8.0</v>
      </c>
      <c r="F466" s="415">
        <v>41135.0</v>
      </c>
      <c r="G466" s="460" t="s">
        <v>1020</v>
      </c>
      <c r="H466" s="460">
        <v>5.106848488E9</v>
      </c>
      <c r="I466" s="460" t="s">
        <v>1021</v>
      </c>
      <c r="J466" s="463">
        <v>45855.0</v>
      </c>
      <c r="K466" s="413" t="s">
        <v>132</v>
      </c>
      <c r="L466" s="462"/>
      <c r="M466" s="462"/>
      <c r="N466" s="406" t="s">
        <v>34</v>
      </c>
      <c r="O466" s="101">
        <v>45870.0</v>
      </c>
      <c r="P466" s="130"/>
      <c r="Q466" s="130"/>
      <c r="R466" s="130"/>
      <c r="S466" s="130"/>
      <c r="T466" s="130"/>
      <c r="U466" s="130"/>
      <c r="V466" s="130"/>
      <c r="W466" s="130"/>
      <c r="X466" s="130"/>
      <c r="Y466" s="130"/>
      <c r="Z466" s="130"/>
      <c r="AA466" s="130"/>
      <c r="AB466" s="130"/>
      <c r="AC466" s="130"/>
      <c r="AD466" s="130"/>
      <c r="AE466" s="130"/>
      <c r="AF466" s="130"/>
      <c r="AG466" s="130"/>
      <c r="AH466" s="130"/>
      <c r="AI466" s="130"/>
      <c r="AJ466" s="130"/>
      <c r="AK466" s="130"/>
      <c r="AL466" s="130"/>
      <c r="AM466" s="130"/>
      <c r="AN466" s="130"/>
      <c r="AO466" s="130"/>
      <c r="AP466" s="130"/>
      <c r="AQ466" s="130"/>
      <c r="AR466" s="130"/>
      <c r="AS466" s="130"/>
      <c r="AT466" s="130"/>
      <c r="AU466" s="131"/>
      <c r="AV466" s="131"/>
    </row>
    <row r="467" ht="15.0" hidden="1" customHeight="1">
      <c r="A467" s="95">
        <v>12.0</v>
      </c>
      <c r="B467" s="408" t="s">
        <v>88</v>
      </c>
      <c r="C467" s="410" t="s">
        <v>1022</v>
      </c>
      <c r="D467" s="410" t="s">
        <v>1023</v>
      </c>
      <c r="E467" s="408">
        <v>4.0</v>
      </c>
      <c r="F467" s="409">
        <v>42239.0</v>
      </c>
      <c r="G467" s="410" t="s">
        <v>1024</v>
      </c>
      <c r="H467" s="411">
        <v>5.106762755E9</v>
      </c>
      <c r="I467" s="460" t="s">
        <v>1025</v>
      </c>
      <c r="J467" s="464">
        <v>45810.0</v>
      </c>
      <c r="K467" s="410" t="s">
        <v>132</v>
      </c>
      <c r="L467" s="407"/>
      <c r="M467" s="407" t="s">
        <v>914</v>
      </c>
      <c r="N467" s="406" t="s">
        <v>34</v>
      </c>
      <c r="O467" s="101">
        <v>45870.0</v>
      </c>
      <c r="P467" s="343"/>
      <c r="Q467" s="343"/>
      <c r="R467" s="343"/>
      <c r="S467" s="343"/>
      <c r="T467" s="343"/>
      <c r="U467" s="343"/>
      <c r="V467" s="343"/>
      <c r="W467" s="343"/>
      <c r="X467" s="343"/>
      <c r="Y467" s="343"/>
      <c r="Z467" s="343"/>
      <c r="AA467" s="343"/>
      <c r="AB467" s="343"/>
      <c r="AC467" s="343"/>
      <c r="AD467" s="343"/>
      <c r="AE467" s="343"/>
      <c r="AF467" s="343"/>
      <c r="AG467" s="343"/>
      <c r="AH467" s="343"/>
      <c r="AI467" s="343"/>
      <c r="AJ467" s="343"/>
      <c r="AK467" s="343"/>
      <c r="AL467" s="343"/>
      <c r="AM467" s="343"/>
      <c r="AN467" s="343"/>
      <c r="AO467" s="343"/>
      <c r="AP467" s="343"/>
      <c r="AQ467" s="343"/>
      <c r="AR467" s="343"/>
      <c r="AS467" s="343"/>
      <c r="AT467" s="343"/>
      <c r="AU467" s="131"/>
      <c r="AV467" s="131"/>
    </row>
    <row r="468" ht="15.0" hidden="1" customHeight="1">
      <c r="A468" s="95">
        <v>13.0</v>
      </c>
      <c r="B468" s="408" t="s">
        <v>48</v>
      </c>
      <c r="C468" s="410" t="s">
        <v>1022</v>
      </c>
      <c r="D468" s="410" t="s">
        <v>1023</v>
      </c>
      <c r="E468" s="408">
        <v>4.0</v>
      </c>
      <c r="F468" s="409">
        <v>42239.0</v>
      </c>
      <c r="G468" s="410" t="s">
        <v>1026</v>
      </c>
      <c r="H468" s="411">
        <v>5.106762755E9</v>
      </c>
      <c r="I468" s="460" t="s">
        <v>1025</v>
      </c>
      <c r="J468" s="464">
        <v>45810.0</v>
      </c>
      <c r="K468" s="410" t="s">
        <v>138</v>
      </c>
      <c r="L468" s="407"/>
      <c r="M468" s="407" t="s">
        <v>914</v>
      </c>
      <c r="N468" s="406" t="s">
        <v>34</v>
      </c>
      <c r="O468" s="101">
        <v>45870.0</v>
      </c>
      <c r="P468" s="343"/>
      <c r="Q468" s="343"/>
      <c r="R468" s="343"/>
      <c r="S468" s="343"/>
      <c r="T468" s="343"/>
      <c r="U468" s="343"/>
      <c r="V468" s="343"/>
      <c r="W468" s="343"/>
      <c r="X468" s="343"/>
      <c r="Y468" s="343"/>
      <c r="Z468" s="343"/>
      <c r="AA468" s="343"/>
      <c r="AB468" s="343"/>
      <c r="AC468" s="343"/>
      <c r="AD468" s="343"/>
      <c r="AE468" s="343"/>
      <c r="AF468" s="343"/>
      <c r="AG468" s="343"/>
      <c r="AH468" s="343"/>
      <c r="AI468" s="343"/>
      <c r="AJ468" s="343"/>
      <c r="AK468" s="343"/>
      <c r="AL468" s="343"/>
      <c r="AM468" s="343"/>
      <c r="AN468" s="343"/>
      <c r="AO468" s="343"/>
      <c r="AP468" s="343"/>
      <c r="AQ468" s="343"/>
      <c r="AR468" s="343"/>
      <c r="AS468" s="343"/>
      <c r="AT468" s="343"/>
      <c r="AU468" s="131"/>
      <c r="AV468" s="131"/>
    </row>
    <row r="469" ht="15.0" hidden="1" customHeight="1">
      <c r="A469" s="95">
        <v>14.0</v>
      </c>
      <c r="B469" s="441" t="s">
        <v>48</v>
      </c>
      <c r="C469" s="407" t="s">
        <v>322</v>
      </c>
      <c r="D469" s="407" t="s">
        <v>1027</v>
      </c>
      <c r="E469" s="408" t="s">
        <v>141</v>
      </c>
      <c r="F469" s="409">
        <v>42846.0</v>
      </c>
      <c r="G469" s="407" t="s">
        <v>324</v>
      </c>
      <c r="H469" s="407">
        <v>5.10207503E9</v>
      </c>
      <c r="I469" s="407" t="s">
        <v>321</v>
      </c>
      <c r="J469" s="439">
        <v>45110.0</v>
      </c>
      <c r="K469" s="410" t="s">
        <v>1028</v>
      </c>
      <c r="L469" s="407"/>
      <c r="M469" s="407" t="s">
        <v>914</v>
      </c>
      <c r="N469" s="406" t="s">
        <v>34</v>
      </c>
      <c r="O469" s="101">
        <v>45870.0</v>
      </c>
      <c r="P469" s="130"/>
      <c r="Q469" s="130"/>
      <c r="R469" s="130"/>
      <c r="S469" s="130"/>
      <c r="T469" s="130"/>
      <c r="U469" s="130"/>
      <c r="V469" s="130"/>
      <c r="W469" s="130"/>
      <c r="X469" s="130"/>
      <c r="Y469" s="130"/>
      <c r="Z469" s="130"/>
      <c r="AA469" s="130"/>
      <c r="AB469" s="130"/>
      <c r="AC469" s="130"/>
      <c r="AD469" s="130"/>
      <c r="AE469" s="130"/>
      <c r="AF469" s="130"/>
      <c r="AG469" s="130"/>
      <c r="AH469" s="130"/>
      <c r="AI469" s="130"/>
      <c r="AJ469" s="130"/>
      <c r="AK469" s="130"/>
      <c r="AL469" s="130"/>
      <c r="AM469" s="130"/>
      <c r="AN469" s="130"/>
      <c r="AO469" s="130"/>
      <c r="AP469" s="130"/>
      <c r="AQ469" s="130"/>
      <c r="AR469" s="130"/>
      <c r="AS469" s="130"/>
      <c r="AT469" s="130"/>
      <c r="AU469" s="131"/>
      <c r="AV469" s="131"/>
    </row>
    <row r="470" ht="15.0" hidden="1" customHeight="1">
      <c r="A470" s="95">
        <v>15.0</v>
      </c>
      <c r="B470" s="441" t="s">
        <v>88</v>
      </c>
      <c r="C470" s="407" t="s">
        <v>322</v>
      </c>
      <c r="D470" s="407" t="s">
        <v>1027</v>
      </c>
      <c r="E470" s="408" t="s">
        <v>141</v>
      </c>
      <c r="F470" s="409">
        <v>42846.0</v>
      </c>
      <c r="G470" s="407" t="s">
        <v>324</v>
      </c>
      <c r="H470" s="407">
        <v>5.10207503E9</v>
      </c>
      <c r="I470" s="407" t="s">
        <v>321</v>
      </c>
      <c r="J470" s="439">
        <v>45110.0</v>
      </c>
      <c r="K470" s="410" t="s">
        <v>211</v>
      </c>
      <c r="L470" s="407"/>
      <c r="M470" s="407" t="s">
        <v>914</v>
      </c>
      <c r="N470" s="406" t="s">
        <v>34</v>
      </c>
      <c r="O470" s="101">
        <v>45870.0</v>
      </c>
      <c r="P470" s="130"/>
      <c r="Q470" s="130"/>
      <c r="R470" s="130"/>
      <c r="S470" s="130"/>
      <c r="T470" s="130"/>
      <c r="U470" s="130"/>
      <c r="V470" s="130"/>
      <c r="W470" s="130"/>
      <c r="X470" s="130"/>
      <c r="Y470" s="130"/>
      <c r="Z470" s="130"/>
      <c r="AA470" s="130"/>
      <c r="AB470" s="130"/>
      <c r="AC470" s="130"/>
      <c r="AD470" s="130"/>
      <c r="AE470" s="130"/>
      <c r="AF470" s="130"/>
      <c r="AG470" s="130"/>
      <c r="AH470" s="130"/>
      <c r="AI470" s="130"/>
      <c r="AJ470" s="130"/>
      <c r="AK470" s="130"/>
      <c r="AL470" s="130"/>
      <c r="AM470" s="130"/>
      <c r="AN470" s="130"/>
      <c r="AO470" s="130"/>
      <c r="AP470" s="130"/>
      <c r="AQ470" s="130"/>
      <c r="AR470" s="130"/>
      <c r="AS470" s="130"/>
      <c r="AT470" s="130"/>
      <c r="AU470" s="131"/>
      <c r="AV470" s="131"/>
    </row>
    <row r="471" ht="15.0" hidden="1" customHeight="1">
      <c r="A471" s="95">
        <v>16.0</v>
      </c>
      <c r="B471" s="414" t="s">
        <v>48</v>
      </c>
      <c r="C471" s="462" t="s">
        <v>1029</v>
      </c>
      <c r="D471" s="462" t="s">
        <v>1030</v>
      </c>
      <c r="E471" s="414" t="s">
        <v>141</v>
      </c>
      <c r="F471" s="415">
        <v>43649.0</v>
      </c>
      <c r="G471" s="453" t="s">
        <v>1031</v>
      </c>
      <c r="H471" s="453">
        <v>4.082181523E9</v>
      </c>
      <c r="I471" s="453" t="s">
        <v>1032</v>
      </c>
      <c r="J471" s="439">
        <v>45733.0</v>
      </c>
      <c r="K471" s="407" t="s">
        <v>1033</v>
      </c>
      <c r="L471" s="407"/>
      <c r="M471" s="407"/>
      <c r="N471" s="406" t="s">
        <v>34</v>
      </c>
      <c r="O471" s="101">
        <v>45870.0</v>
      </c>
      <c r="P471" s="343"/>
      <c r="Q471" s="343"/>
      <c r="R471" s="343"/>
      <c r="S471" s="343"/>
      <c r="T471" s="343"/>
      <c r="U471" s="343"/>
      <c r="V471" s="343"/>
      <c r="W471" s="343"/>
      <c r="X471" s="343"/>
      <c r="Y471" s="343"/>
      <c r="Z471" s="343"/>
      <c r="AA471" s="343"/>
      <c r="AB471" s="343"/>
      <c r="AC471" s="343"/>
      <c r="AD471" s="343"/>
      <c r="AE471" s="343"/>
      <c r="AF471" s="343"/>
      <c r="AG471" s="343"/>
      <c r="AH471" s="343"/>
      <c r="AI471" s="343"/>
      <c r="AJ471" s="343"/>
      <c r="AK471" s="343"/>
      <c r="AL471" s="343"/>
      <c r="AM471" s="343"/>
      <c r="AN471" s="343"/>
      <c r="AO471" s="343"/>
      <c r="AP471" s="343"/>
      <c r="AQ471" s="343"/>
      <c r="AR471" s="343"/>
      <c r="AS471" s="343"/>
      <c r="AT471" s="343"/>
      <c r="AU471" s="131"/>
      <c r="AV471" s="131"/>
    </row>
    <row r="472" ht="15.0" hidden="1" customHeight="1">
      <c r="A472" s="95">
        <v>17.0</v>
      </c>
      <c r="B472" s="414" t="s">
        <v>88</v>
      </c>
      <c r="C472" s="462" t="s">
        <v>1029</v>
      </c>
      <c r="D472" s="462" t="s">
        <v>1030</v>
      </c>
      <c r="E472" s="414" t="s">
        <v>141</v>
      </c>
      <c r="F472" s="415">
        <v>43649.0</v>
      </c>
      <c r="G472" s="453" t="s">
        <v>1031</v>
      </c>
      <c r="H472" s="453">
        <v>4.082181523E9</v>
      </c>
      <c r="I472" s="453" t="s">
        <v>1032</v>
      </c>
      <c r="J472" s="439">
        <v>45733.0</v>
      </c>
      <c r="K472" s="407" t="s">
        <v>118</v>
      </c>
      <c r="L472" s="407"/>
      <c r="M472" s="407"/>
      <c r="N472" s="406" t="s">
        <v>34</v>
      </c>
      <c r="O472" s="101">
        <v>45870.0</v>
      </c>
      <c r="P472" s="343"/>
      <c r="Q472" s="343"/>
      <c r="R472" s="343"/>
      <c r="S472" s="343"/>
      <c r="T472" s="343"/>
      <c r="U472" s="343"/>
      <c r="V472" s="343"/>
      <c r="W472" s="343"/>
      <c r="X472" s="343"/>
      <c r="Y472" s="343"/>
      <c r="Z472" s="343"/>
      <c r="AA472" s="343"/>
      <c r="AB472" s="343"/>
      <c r="AC472" s="343"/>
      <c r="AD472" s="343"/>
      <c r="AE472" s="343"/>
      <c r="AF472" s="343"/>
      <c r="AG472" s="343"/>
      <c r="AH472" s="343"/>
      <c r="AI472" s="343"/>
      <c r="AJ472" s="343"/>
      <c r="AK472" s="343"/>
      <c r="AL472" s="343"/>
      <c r="AM472" s="343"/>
      <c r="AN472" s="343"/>
      <c r="AO472" s="343"/>
      <c r="AP472" s="343"/>
      <c r="AQ472" s="343"/>
      <c r="AR472" s="343"/>
      <c r="AS472" s="343"/>
      <c r="AT472" s="343"/>
      <c r="AU472" s="131"/>
      <c r="AV472" s="131"/>
    </row>
    <row r="473" ht="15.0" hidden="1" customHeight="1">
      <c r="A473" s="95">
        <v>18.0</v>
      </c>
      <c r="B473" s="406" t="s">
        <v>88</v>
      </c>
      <c r="C473" s="462" t="s">
        <v>1034</v>
      </c>
      <c r="D473" s="462" t="s">
        <v>1035</v>
      </c>
      <c r="E473" s="414">
        <v>1.0</v>
      </c>
      <c r="F473" s="415">
        <v>43340.0</v>
      </c>
      <c r="G473" s="460" t="s">
        <v>1036</v>
      </c>
      <c r="H473" s="460">
        <v>5.183340006E9</v>
      </c>
      <c r="I473" s="460" t="s">
        <v>1037</v>
      </c>
      <c r="J473" s="463">
        <v>45817.0</v>
      </c>
      <c r="K473" s="413" t="s">
        <v>424</v>
      </c>
      <c r="L473" s="462"/>
      <c r="M473" s="462"/>
      <c r="N473" s="406" t="s">
        <v>34</v>
      </c>
      <c r="O473" s="101">
        <v>45870.0</v>
      </c>
      <c r="P473" s="130"/>
      <c r="Q473" s="130"/>
      <c r="R473" s="130"/>
      <c r="S473" s="130"/>
      <c r="T473" s="130"/>
      <c r="U473" s="130"/>
      <c r="V473" s="130"/>
      <c r="W473" s="130"/>
      <c r="X473" s="130"/>
      <c r="Y473" s="130"/>
      <c r="Z473" s="130"/>
      <c r="AA473" s="130"/>
      <c r="AB473" s="130"/>
      <c r="AC473" s="130"/>
      <c r="AD473" s="130"/>
      <c r="AE473" s="130"/>
      <c r="AF473" s="130"/>
      <c r="AG473" s="130"/>
      <c r="AH473" s="130"/>
      <c r="AI473" s="130"/>
      <c r="AJ473" s="130"/>
      <c r="AK473" s="130"/>
      <c r="AL473" s="130"/>
      <c r="AM473" s="130"/>
      <c r="AN473" s="130"/>
      <c r="AO473" s="130"/>
      <c r="AP473" s="130"/>
      <c r="AQ473" s="130"/>
      <c r="AR473" s="130"/>
      <c r="AS473" s="130"/>
      <c r="AT473" s="130"/>
      <c r="AU473" s="131"/>
      <c r="AV473" s="131"/>
    </row>
    <row r="474" ht="15.0" hidden="1" customHeight="1">
      <c r="A474" s="95">
        <v>19.0</v>
      </c>
      <c r="B474" s="406" t="s">
        <v>48</v>
      </c>
      <c r="C474" s="462" t="s">
        <v>1034</v>
      </c>
      <c r="D474" s="462" t="s">
        <v>1035</v>
      </c>
      <c r="E474" s="414">
        <v>1.0</v>
      </c>
      <c r="F474" s="415">
        <v>43340.0</v>
      </c>
      <c r="G474" s="460" t="s">
        <v>1036</v>
      </c>
      <c r="H474" s="460">
        <v>5.183340006E9</v>
      </c>
      <c r="I474" s="460" t="s">
        <v>1037</v>
      </c>
      <c r="J474" s="463">
        <v>45817.0</v>
      </c>
      <c r="K474" s="413" t="s">
        <v>255</v>
      </c>
      <c r="L474" s="462"/>
      <c r="M474" s="462"/>
      <c r="N474" s="406" t="s">
        <v>34</v>
      </c>
      <c r="O474" s="101">
        <v>45870.0</v>
      </c>
      <c r="P474" s="130"/>
      <c r="Q474" s="130"/>
      <c r="R474" s="130"/>
      <c r="S474" s="130"/>
      <c r="T474" s="130"/>
      <c r="U474" s="130"/>
      <c r="V474" s="130"/>
      <c r="W474" s="130"/>
      <c r="X474" s="130"/>
      <c r="Y474" s="130"/>
      <c r="Z474" s="130"/>
      <c r="AA474" s="130"/>
      <c r="AB474" s="130"/>
      <c r="AC474" s="130"/>
      <c r="AD474" s="130"/>
      <c r="AE474" s="130"/>
      <c r="AF474" s="130"/>
      <c r="AG474" s="130"/>
      <c r="AH474" s="130"/>
      <c r="AI474" s="130"/>
      <c r="AJ474" s="130"/>
      <c r="AK474" s="130"/>
      <c r="AL474" s="130"/>
      <c r="AM474" s="130"/>
      <c r="AN474" s="130"/>
      <c r="AO474" s="130"/>
      <c r="AP474" s="130"/>
      <c r="AQ474" s="130"/>
      <c r="AR474" s="130"/>
      <c r="AS474" s="130"/>
      <c r="AT474" s="130"/>
      <c r="AU474" s="131"/>
      <c r="AV474" s="131"/>
    </row>
    <row r="475" ht="15.0" hidden="1" customHeight="1">
      <c r="A475" s="95">
        <v>20.0</v>
      </c>
      <c r="B475" s="441" t="s">
        <v>48</v>
      </c>
      <c r="C475" s="407" t="s">
        <v>623</v>
      </c>
      <c r="D475" s="407" t="s">
        <v>323</v>
      </c>
      <c r="E475" s="408">
        <v>3.0</v>
      </c>
      <c r="F475" s="409">
        <v>42514.0</v>
      </c>
      <c r="G475" s="407" t="s">
        <v>1038</v>
      </c>
      <c r="H475" s="407">
        <v>4.703493407E9</v>
      </c>
      <c r="I475" s="407" t="s">
        <v>1039</v>
      </c>
      <c r="J475" s="439">
        <v>45695.0</v>
      </c>
      <c r="K475" s="407" t="s">
        <v>168</v>
      </c>
      <c r="L475" s="407"/>
      <c r="M475" s="407" t="s">
        <v>551</v>
      </c>
      <c r="N475" s="406" t="s">
        <v>34</v>
      </c>
      <c r="O475" s="101">
        <v>45870.0</v>
      </c>
      <c r="P475" s="130"/>
      <c r="Q475" s="130"/>
      <c r="R475" s="130"/>
      <c r="S475" s="130"/>
      <c r="T475" s="130"/>
      <c r="U475" s="130"/>
      <c r="V475" s="130"/>
      <c r="W475" s="130"/>
      <c r="X475" s="130"/>
      <c r="Y475" s="130"/>
      <c r="Z475" s="130"/>
      <c r="AA475" s="130"/>
      <c r="AB475" s="130"/>
      <c r="AC475" s="130"/>
      <c r="AD475" s="130"/>
      <c r="AE475" s="130"/>
      <c r="AF475" s="130"/>
      <c r="AG475" s="130"/>
      <c r="AH475" s="130"/>
      <c r="AI475" s="130"/>
      <c r="AJ475" s="130"/>
      <c r="AK475" s="130"/>
      <c r="AL475" s="130"/>
      <c r="AM475" s="130"/>
      <c r="AN475" s="130"/>
      <c r="AO475" s="130"/>
      <c r="AP475" s="130"/>
      <c r="AQ475" s="130"/>
      <c r="AR475" s="130"/>
      <c r="AS475" s="130"/>
      <c r="AT475" s="130"/>
      <c r="AU475" s="131"/>
      <c r="AV475" s="131"/>
    </row>
    <row r="476" ht="15.0" hidden="1" customHeight="1">
      <c r="A476" s="95">
        <v>21.0</v>
      </c>
      <c r="B476" s="408" t="s">
        <v>88</v>
      </c>
      <c r="C476" s="410" t="s">
        <v>1040</v>
      </c>
      <c r="D476" s="410" t="s">
        <v>559</v>
      </c>
      <c r="E476" s="408">
        <v>7.0</v>
      </c>
      <c r="F476" s="409">
        <v>41298.0</v>
      </c>
      <c r="G476" s="460" t="s">
        <v>1041</v>
      </c>
      <c r="H476" s="460">
        <v>5.105054532E9</v>
      </c>
      <c r="I476" s="460" t="s">
        <v>807</v>
      </c>
      <c r="J476" s="464">
        <v>45817.0</v>
      </c>
      <c r="K476" s="410" t="s">
        <v>956</v>
      </c>
      <c r="L476" s="407"/>
      <c r="M476" s="407"/>
      <c r="N476" s="406" t="s">
        <v>34</v>
      </c>
      <c r="O476" s="101">
        <v>45870.0</v>
      </c>
      <c r="P476" s="343"/>
      <c r="Q476" s="343"/>
      <c r="R476" s="343"/>
      <c r="S476" s="343"/>
      <c r="T476" s="343"/>
      <c r="U476" s="343"/>
      <c r="V476" s="343"/>
      <c r="W476" s="343"/>
      <c r="X476" s="343"/>
      <c r="Y476" s="343"/>
      <c r="Z476" s="343"/>
      <c r="AA476" s="343"/>
      <c r="AB476" s="343"/>
      <c r="AC476" s="343"/>
      <c r="AD476" s="343"/>
      <c r="AE476" s="343"/>
      <c r="AF476" s="343"/>
      <c r="AG476" s="343"/>
      <c r="AH476" s="343"/>
      <c r="AI476" s="343"/>
      <c r="AJ476" s="343"/>
      <c r="AK476" s="343"/>
      <c r="AL476" s="343"/>
      <c r="AM476" s="343"/>
      <c r="AN476" s="343"/>
      <c r="AO476" s="343"/>
      <c r="AP476" s="343"/>
      <c r="AQ476" s="343"/>
      <c r="AR476" s="343"/>
      <c r="AS476" s="343"/>
      <c r="AT476" s="343"/>
      <c r="AU476" s="131"/>
      <c r="AV476" s="131"/>
    </row>
    <row r="477" ht="15.0" hidden="1" customHeight="1">
      <c r="A477" s="95">
        <v>22.0</v>
      </c>
      <c r="B477" s="408" t="s">
        <v>48</v>
      </c>
      <c r="C477" s="410" t="s">
        <v>1040</v>
      </c>
      <c r="D477" s="410" t="s">
        <v>559</v>
      </c>
      <c r="E477" s="408">
        <v>7.0</v>
      </c>
      <c r="F477" s="409">
        <v>41299.0</v>
      </c>
      <c r="G477" s="460" t="s">
        <v>1042</v>
      </c>
      <c r="H477" s="460">
        <v>5.105054532E9</v>
      </c>
      <c r="I477" s="460" t="s">
        <v>807</v>
      </c>
      <c r="J477" s="464">
        <v>45817.0</v>
      </c>
      <c r="K477" s="410"/>
      <c r="L477" s="407"/>
      <c r="M477" s="407"/>
      <c r="N477" s="406" t="s">
        <v>34</v>
      </c>
      <c r="O477" s="101">
        <v>45870.0</v>
      </c>
      <c r="P477" s="343"/>
      <c r="Q477" s="343"/>
      <c r="R477" s="343"/>
      <c r="S477" s="343"/>
      <c r="T477" s="343"/>
      <c r="U477" s="343"/>
      <c r="V477" s="343"/>
      <c r="W477" s="343"/>
      <c r="X477" s="343"/>
      <c r="Y477" s="343"/>
      <c r="Z477" s="343"/>
      <c r="AA477" s="343"/>
      <c r="AB477" s="343"/>
      <c r="AC477" s="343"/>
      <c r="AD477" s="343"/>
      <c r="AE477" s="343"/>
      <c r="AF477" s="343"/>
      <c r="AG477" s="343"/>
      <c r="AH477" s="343"/>
      <c r="AI477" s="343"/>
      <c r="AJ477" s="343"/>
      <c r="AK477" s="343"/>
      <c r="AL477" s="343"/>
      <c r="AM477" s="343"/>
      <c r="AN477" s="343"/>
      <c r="AO477" s="343"/>
      <c r="AP477" s="343"/>
      <c r="AQ477" s="343"/>
      <c r="AR477" s="343"/>
      <c r="AS477" s="343"/>
      <c r="AT477" s="343"/>
      <c r="AU477" s="131"/>
      <c r="AV477" s="131"/>
    </row>
    <row r="478" ht="15.0" hidden="1" customHeight="1">
      <c r="A478" s="95">
        <v>23.0</v>
      </c>
      <c r="B478" s="441" t="s">
        <v>48</v>
      </c>
      <c r="C478" s="407" t="s">
        <v>1043</v>
      </c>
      <c r="D478" s="407" t="s">
        <v>753</v>
      </c>
      <c r="E478" s="408">
        <v>6.0</v>
      </c>
      <c r="F478" s="409">
        <v>41061.0</v>
      </c>
      <c r="G478" s="407" t="s">
        <v>1044</v>
      </c>
      <c r="H478" s="407">
        <v>4.08813916E9</v>
      </c>
      <c r="I478" s="407" t="s">
        <v>1045</v>
      </c>
      <c r="J478" s="439">
        <v>45156.0</v>
      </c>
      <c r="K478" s="407" t="s">
        <v>927</v>
      </c>
      <c r="L478" s="407"/>
      <c r="M478" s="407"/>
      <c r="N478" s="406" t="s">
        <v>34</v>
      </c>
      <c r="O478" s="101">
        <v>45870.0</v>
      </c>
      <c r="P478" s="130"/>
      <c r="Q478" s="130"/>
      <c r="R478" s="130"/>
      <c r="S478" s="130"/>
      <c r="T478" s="130"/>
      <c r="U478" s="130"/>
      <c r="V478" s="130"/>
      <c r="W478" s="130"/>
      <c r="X478" s="130"/>
      <c r="Y478" s="130"/>
      <c r="Z478" s="130"/>
      <c r="AA478" s="130"/>
      <c r="AB478" s="130"/>
      <c r="AC478" s="130"/>
      <c r="AD478" s="130"/>
      <c r="AE478" s="130"/>
      <c r="AF478" s="130"/>
      <c r="AG478" s="130"/>
      <c r="AH478" s="130"/>
      <c r="AI478" s="130"/>
      <c r="AJ478" s="130"/>
      <c r="AK478" s="130"/>
      <c r="AL478" s="130"/>
      <c r="AM478" s="130"/>
      <c r="AN478" s="130"/>
      <c r="AO478" s="130"/>
      <c r="AP478" s="130"/>
      <c r="AQ478" s="130"/>
      <c r="AR478" s="130"/>
      <c r="AS478" s="130"/>
      <c r="AT478" s="130"/>
      <c r="AU478" s="131"/>
      <c r="AV478" s="131"/>
    </row>
    <row r="479" ht="15.0" hidden="1" customHeight="1">
      <c r="A479" s="95">
        <v>24.0</v>
      </c>
      <c r="B479" s="441" t="s">
        <v>88</v>
      </c>
      <c r="C479" s="407" t="s">
        <v>1043</v>
      </c>
      <c r="D479" s="407" t="s">
        <v>753</v>
      </c>
      <c r="E479" s="408">
        <v>6.0</v>
      </c>
      <c r="F479" s="409">
        <v>41061.0</v>
      </c>
      <c r="G479" s="407" t="s">
        <v>1044</v>
      </c>
      <c r="H479" s="407">
        <v>4.08813916E9</v>
      </c>
      <c r="I479" s="407" t="s">
        <v>1045</v>
      </c>
      <c r="J479" s="439">
        <v>45156.0</v>
      </c>
      <c r="K479" s="407" t="s">
        <v>150</v>
      </c>
      <c r="L479" s="407"/>
      <c r="M479" s="407"/>
      <c r="N479" s="406" t="s">
        <v>34</v>
      </c>
      <c r="O479" s="101">
        <v>45870.0</v>
      </c>
      <c r="P479" s="130"/>
      <c r="Q479" s="130"/>
      <c r="R479" s="130"/>
      <c r="S479" s="130"/>
      <c r="T479" s="130"/>
      <c r="U479" s="130"/>
      <c r="V479" s="130"/>
      <c r="W479" s="130"/>
      <c r="X479" s="130"/>
      <c r="Y479" s="130"/>
      <c r="Z479" s="130"/>
      <c r="AA479" s="130"/>
      <c r="AB479" s="130"/>
      <c r="AC479" s="130"/>
      <c r="AD479" s="130"/>
      <c r="AE479" s="130"/>
      <c r="AF479" s="130"/>
      <c r="AG479" s="130"/>
      <c r="AH479" s="130"/>
      <c r="AI479" s="130"/>
      <c r="AJ479" s="130"/>
      <c r="AK479" s="130"/>
      <c r="AL479" s="130"/>
      <c r="AM479" s="130"/>
      <c r="AN479" s="130"/>
      <c r="AO479" s="130"/>
      <c r="AP479" s="130"/>
      <c r="AQ479" s="130"/>
      <c r="AR479" s="130"/>
      <c r="AS479" s="130"/>
      <c r="AT479" s="130"/>
      <c r="AU479" s="131"/>
      <c r="AV479" s="131"/>
    </row>
    <row r="480" ht="15.0" hidden="1" customHeight="1">
      <c r="A480" s="95">
        <v>25.0</v>
      </c>
      <c r="B480" s="406" t="s">
        <v>48</v>
      </c>
      <c r="C480" s="462" t="s">
        <v>1046</v>
      </c>
      <c r="D480" s="462" t="s">
        <v>417</v>
      </c>
      <c r="E480" s="414">
        <v>3.0</v>
      </c>
      <c r="F480" s="415">
        <v>43337.0</v>
      </c>
      <c r="G480" s="460" t="s">
        <v>1047</v>
      </c>
      <c r="H480" s="460">
        <v>4.084062657E9</v>
      </c>
      <c r="I480" s="460" t="s">
        <v>1048</v>
      </c>
      <c r="J480" s="463">
        <v>45809.0</v>
      </c>
      <c r="K480" s="413" t="s">
        <v>138</v>
      </c>
      <c r="L480" s="407"/>
      <c r="M480" s="407"/>
      <c r="N480" s="406" t="s">
        <v>34</v>
      </c>
      <c r="O480" s="101">
        <v>45870.0</v>
      </c>
      <c r="P480" s="461"/>
      <c r="Q480" s="461"/>
      <c r="R480" s="461"/>
      <c r="S480" s="461"/>
      <c r="T480" s="461"/>
      <c r="U480" s="461"/>
      <c r="V480" s="461"/>
      <c r="W480" s="461"/>
      <c r="X480" s="461"/>
      <c r="Y480" s="461"/>
      <c r="Z480" s="461"/>
      <c r="AA480" s="461"/>
      <c r="AB480" s="461"/>
      <c r="AC480" s="461"/>
      <c r="AD480" s="461"/>
      <c r="AE480" s="461"/>
      <c r="AF480" s="461"/>
      <c r="AG480" s="461"/>
      <c r="AH480" s="461"/>
      <c r="AI480" s="461"/>
      <c r="AJ480" s="461"/>
      <c r="AK480" s="461"/>
      <c r="AL480" s="461"/>
      <c r="AM480" s="461"/>
      <c r="AN480" s="461"/>
      <c r="AO480" s="461"/>
      <c r="AP480" s="461"/>
      <c r="AQ480" s="461"/>
      <c r="AR480" s="461"/>
      <c r="AS480" s="461"/>
      <c r="AT480" s="461"/>
      <c r="AU480" s="131"/>
      <c r="AV480" s="131"/>
    </row>
    <row r="481" ht="15.0" hidden="1" customHeight="1">
      <c r="A481" s="95">
        <v>26.0</v>
      </c>
      <c r="B481" s="408" t="s">
        <v>48</v>
      </c>
      <c r="C481" s="407" t="s">
        <v>853</v>
      </c>
      <c r="D481" s="407" t="s">
        <v>854</v>
      </c>
      <c r="E481" s="408">
        <v>1.0</v>
      </c>
      <c r="F481" s="409" t="s">
        <v>855</v>
      </c>
      <c r="G481" s="407" t="s">
        <v>856</v>
      </c>
      <c r="H481" s="407">
        <v>4.052306385E9</v>
      </c>
      <c r="I481" s="407" t="s">
        <v>857</v>
      </c>
      <c r="J481" s="439">
        <v>410985.0</v>
      </c>
      <c r="K481" s="407" t="s">
        <v>138</v>
      </c>
      <c r="L481" s="407"/>
      <c r="M481" s="439"/>
      <c r="N481" s="406" t="s">
        <v>34</v>
      </c>
      <c r="O481" s="101">
        <v>45870.0</v>
      </c>
      <c r="P481" s="343"/>
      <c r="Q481" s="343"/>
      <c r="R481" s="343"/>
      <c r="S481" s="343"/>
      <c r="T481" s="343"/>
      <c r="U481" s="343"/>
      <c r="V481" s="343"/>
      <c r="W481" s="343"/>
      <c r="X481" s="343"/>
      <c r="Y481" s="343"/>
      <c r="Z481" s="343"/>
      <c r="AA481" s="343"/>
      <c r="AB481" s="343"/>
      <c r="AC481" s="343"/>
      <c r="AD481" s="343"/>
      <c r="AE481" s="343"/>
      <c r="AF481" s="343"/>
      <c r="AG481" s="343"/>
      <c r="AH481" s="343"/>
      <c r="AI481" s="343"/>
      <c r="AJ481" s="343"/>
      <c r="AK481" s="343"/>
      <c r="AL481" s="343"/>
      <c r="AM481" s="343"/>
      <c r="AN481" s="343"/>
      <c r="AO481" s="343"/>
      <c r="AP481" s="343"/>
      <c r="AQ481" s="343"/>
      <c r="AR481" s="343"/>
      <c r="AS481" s="343"/>
      <c r="AT481" s="343"/>
      <c r="AU481" s="131"/>
      <c r="AV481" s="131"/>
    </row>
    <row r="482" ht="15.0" hidden="1" customHeight="1">
      <c r="A482" s="95">
        <v>27.0</v>
      </c>
      <c r="B482" s="408" t="s">
        <v>88</v>
      </c>
      <c r="C482" s="407" t="s">
        <v>853</v>
      </c>
      <c r="D482" s="407" t="s">
        <v>854</v>
      </c>
      <c r="E482" s="408">
        <v>1.0</v>
      </c>
      <c r="F482" s="409" t="s">
        <v>855</v>
      </c>
      <c r="G482" s="407" t="s">
        <v>856</v>
      </c>
      <c r="H482" s="407">
        <v>4.052306385E9</v>
      </c>
      <c r="I482" s="407" t="s">
        <v>857</v>
      </c>
      <c r="J482" s="439">
        <v>45803.0</v>
      </c>
      <c r="K482" s="407" t="s">
        <v>205</v>
      </c>
      <c r="L482" s="407"/>
      <c r="M482" s="439"/>
      <c r="N482" s="406" t="s">
        <v>34</v>
      </c>
      <c r="O482" s="101">
        <v>45870.0</v>
      </c>
      <c r="P482" s="343"/>
      <c r="Q482" s="343"/>
      <c r="R482" s="343"/>
      <c r="S482" s="343"/>
      <c r="T482" s="343"/>
      <c r="U482" s="343"/>
      <c r="V482" s="343"/>
      <c r="W482" s="343"/>
      <c r="X482" s="343"/>
      <c r="Y482" s="343"/>
      <c r="Z482" s="343"/>
      <c r="AA482" s="343"/>
      <c r="AB482" s="343"/>
      <c r="AC482" s="343"/>
      <c r="AD482" s="343"/>
      <c r="AE482" s="343"/>
      <c r="AF482" s="343"/>
      <c r="AG482" s="343"/>
      <c r="AH482" s="343"/>
      <c r="AI482" s="343"/>
      <c r="AJ482" s="343"/>
      <c r="AK482" s="343"/>
      <c r="AL482" s="343"/>
      <c r="AM482" s="343"/>
      <c r="AN482" s="343"/>
      <c r="AO482" s="343"/>
      <c r="AP482" s="343"/>
      <c r="AQ482" s="343"/>
      <c r="AR482" s="343"/>
      <c r="AS482" s="343"/>
      <c r="AT482" s="343"/>
      <c r="AU482" s="131"/>
      <c r="AV482" s="131"/>
    </row>
    <row r="483" ht="15.0" hidden="1" customHeight="1">
      <c r="A483" s="95">
        <v>28.0</v>
      </c>
      <c r="B483" s="408" t="s">
        <v>48</v>
      </c>
      <c r="C483" s="407" t="s">
        <v>859</v>
      </c>
      <c r="D483" s="407" t="s">
        <v>860</v>
      </c>
      <c r="E483" s="408">
        <v>1.0</v>
      </c>
      <c r="F483" s="409" t="s">
        <v>855</v>
      </c>
      <c r="G483" s="407" t="s">
        <v>856</v>
      </c>
      <c r="H483" s="407">
        <v>4.052306385E9</v>
      </c>
      <c r="I483" s="407" t="s">
        <v>857</v>
      </c>
      <c r="J483" s="439">
        <v>410985.0</v>
      </c>
      <c r="K483" s="407" t="s">
        <v>124</v>
      </c>
      <c r="L483" s="407"/>
      <c r="M483" s="439"/>
      <c r="N483" s="406" t="s">
        <v>34</v>
      </c>
      <c r="O483" s="101">
        <v>45870.0</v>
      </c>
      <c r="P483" s="343"/>
      <c r="Q483" s="343"/>
      <c r="R483" s="343"/>
      <c r="S483" s="343"/>
      <c r="T483" s="343"/>
      <c r="U483" s="343"/>
      <c r="V483" s="343"/>
      <c r="W483" s="343"/>
      <c r="X483" s="343"/>
      <c r="Y483" s="343"/>
      <c r="Z483" s="343"/>
      <c r="AA483" s="343"/>
      <c r="AB483" s="343"/>
      <c r="AC483" s="343"/>
      <c r="AD483" s="343"/>
      <c r="AE483" s="343"/>
      <c r="AF483" s="343"/>
      <c r="AG483" s="343"/>
      <c r="AH483" s="343"/>
      <c r="AI483" s="343"/>
      <c r="AJ483" s="343"/>
      <c r="AK483" s="343"/>
      <c r="AL483" s="343"/>
      <c r="AM483" s="343"/>
      <c r="AN483" s="343"/>
      <c r="AO483" s="343"/>
      <c r="AP483" s="343"/>
      <c r="AQ483" s="343"/>
      <c r="AR483" s="343"/>
      <c r="AS483" s="343"/>
      <c r="AT483" s="343"/>
      <c r="AU483" s="131"/>
      <c r="AV483" s="131"/>
    </row>
    <row r="484" ht="15.0" hidden="1" customHeight="1">
      <c r="A484" s="95">
        <v>29.0</v>
      </c>
      <c r="B484" s="408" t="s">
        <v>88</v>
      </c>
      <c r="C484" s="407" t="s">
        <v>859</v>
      </c>
      <c r="D484" s="407" t="s">
        <v>860</v>
      </c>
      <c r="E484" s="408">
        <v>1.0</v>
      </c>
      <c r="F484" s="409" t="s">
        <v>855</v>
      </c>
      <c r="G484" s="407" t="s">
        <v>856</v>
      </c>
      <c r="H484" s="407">
        <v>4.052306385E9</v>
      </c>
      <c r="I484" s="407" t="s">
        <v>857</v>
      </c>
      <c r="J484" s="439">
        <v>45803.0</v>
      </c>
      <c r="K484" s="407" t="s">
        <v>132</v>
      </c>
      <c r="L484" s="407"/>
      <c r="M484" s="439"/>
      <c r="N484" s="406" t="s">
        <v>34</v>
      </c>
      <c r="O484" s="101">
        <v>45870.0</v>
      </c>
      <c r="P484" s="343"/>
      <c r="Q484" s="343"/>
      <c r="R484" s="343"/>
      <c r="S484" s="343"/>
      <c r="T484" s="343"/>
      <c r="U484" s="343"/>
      <c r="V484" s="343"/>
      <c r="W484" s="343"/>
      <c r="X484" s="343"/>
      <c r="Y484" s="343"/>
      <c r="Z484" s="343"/>
      <c r="AA484" s="343"/>
      <c r="AB484" s="343"/>
      <c r="AC484" s="343"/>
      <c r="AD484" s="343"/>
      <c r="AE484" s="343"/>
      <c r="AF484" s="343"/>
      <c r="AG484" s="343"/>
      <c r="AH484" s="343"/>
      <c r="AI484" s="343"/>
      <c r="AJ484" s="343"/>
      <c r="AK484" s="343"/>
      <c r="AL484" s="343"/>
      <c r="AM484" s="343"/>
      <c r="AN484" s="343"/>
      <c r="AO484" s="343"/>
      <c r="AP484" s="343"/>
      <c r="AQ484" s="343"/>
      <c r="AR484" s="343"/>
      <c r="AS484" s="343"/>
      <c r="AT484" s="343"/>
      <c r="AU484" s="131"/>
      <c r="AV484" s="131"/>
    </row>
    <row r="485" ht="15.0" hidden="1" customHeight="1">
      <c r="A485" s="95">
        <v>30.0</v>
      </c>
      <c r="B485" s="441" t="s">
        <v>48</v>
      </c>
      <c r="C485" s="407" t="s">
        <v>446</v>
      </c>
      <c r="D485" s="407" t="s">
        <v>616</v>
      </c>
      <c r="E485" s="408">
        <v>5.0</v>
      </c>
      <c r="F485" s="409">
        <v>41349.0</v>
      </c>
      <c r="G485" s="407" t="s">
        <v>1049</v>
      </c>
      <c r="H485" s="407" t="s">
        <v>1050</v>
      </c>
      <c r="I485" s="407" t="s">
        <v>1051</v>
      </c>
      <c r="J485" s="439">
        <v>45103.0</v>
      </c>
      <c r="K485" s="407" t="s">
        <v>375</v>
      </c>
      <c r="L485" s="407"/>
      <c r="M485" s="407"/>
      <c r="N485" s="406" t="s">
        <v>34</v>
      </c>
      <c r="O485" s="101">
        <v>45870.0</v>
      </c>
      <c r="P485" s="305"/>
      <c r="Q485" s="305"/>
      <c r="R485" s="305"/>
      <c r="S485" s="305"/>
      <c r="T485" s="305"/>
      <c r="U485" s="305"/>
      <c r="V485" s="305"/>
      <c r="W485" s="305"/>
      <c r="X485" s="305"/>
      <c r="Y485" s="305"/>
      <c r="Z485" s="305"/>
      <c r="AA485" s="305"/>
      <c r="AB485" s="305"/>
      <c r="AC485" s="305"/>
      <c r="AD485" s="305"/>
      <c r="AE485" s="305"/>
      <c r="AF485" s="305"/>
      <c r="AG485" s="305"/>
      <c r="AH485" s="305"/>
      <c r="AI485" s="305"/>
      <c r="AJ485" s="305"/>
      <c r="AK485" s="305"/>
      <c r="AL485" s="305"/>
      <c r="AM485" s="305"/>
      <c r="AN485" s="305"/>
      <c r="AO485" s="305"/>
      <c r="AP485" s="305"/>
      <c r="AQ485" s="305"/>
      <c r="AR485" s="305"/>
      <c r="AS485" s="305"/>
      <c r="AT485" s="305"/>
      <c r="AU485" s="465"/>
      <c r="AV485" s="465"/>
    </row>
    <row r="486" ht="15.0" hidden="1" customHeight="1">
      <c r="A486" s="95">
        <v>31.0</v>
      </c>
      <c r="B486" s="441" t="s">
        <v>88</v>
      </c>
      <c r="C486" s="407" t="s">
        <v>446</v>
      </c>
      <c r="D486" s="407" t="s">
        <v>616</v>
      </c>
      <c r="E486" s="408">
        <v>5.0</v>
      </c>
      <c r="F486" s="409">
        <v>41349.0</v>
      </c>
      <c r="G486" s="407" t="s">
        <v>1049</v>
      </c>
      <c r="H486" s="407" t="s">
        <v>1050</v>
      </c>
      <c r="I486" s="407" t="s">
        <v>1051</v>
      </c>
      <c r="J486" s="439">
        <v>45103.0</v>
      </c>
      <c r="K486" s="410" t="s">
        <v>211</v>
      </c>
      <c r="L486" s="407"/>
      <c r="M486" s="407"/>
      <c r="N486" s="406" t="s">
        <v>34</v>
      </c>
      <c r="O486" s="101">
        <v>45870.0</v>
      </c>
      <c r="P486" s="305"/>
      <c r="Q486" s="305"/>
      <c r="R486" s="305"/>
      <c r="S486" s="305"/>
      <c r="T486" s="305"/>
      <c r="U486" s="305"/>
      <c r="V486" s="305"/>
      <c r="W486" s="305"/>
      <c r="X486" s="305"/>
      <c r="Y486" s="305"/>
      <c r="Z486" s="305"/>
      <c r="AA486" s="305"/>
      <c r="AB486" s="305"/>
      <c r="AC486" s="305"/>
      <c r="AD486" s="305"/>
      <c r="AE486" s="305"/>
      <c r="AF486" s="305"/>
      <c r="AG486" s="305"/>
      <c r="AH486" s="305"/>
      <c r="AI486" s="305"/>
      <c r="AJ486" s="305"/>
      <c r="AK486" s="305"/>
      <c r="AL486" s="305"/>
      <c r="AM486" s="305"/>
      <c r="AN486" s="305"/>
      <c r="AO486" s="305"/>
      <c r="AP486" s="305"/>
      <c r="AQ486" s="305"/>
      <c r="AR486" s="305"/>
      <c r="AS486" s="305"/>
      <c r="AT486" s="305"/>
      <c r="AU486" s="465"/>
      <c r="AV486" s="465"/>
    </row>
    <row r="487" ht="15.0" hidden="1" customHeight="1">
      <c r="A487" s="95">
        <v>1.0</v>
      </c>
      <c r="B487" s="91" t="s">
        <v>48</v>
      </c>
      <c r="C487" s="100" t="s">
        <v>1052</v>
      </c>
      <c r="D487" s="100" t="s">
        <v>1053</v>
      </c>
      <c r="E487" s="109">
        <v>6.0</v>
      </c>
      <c r="F487" s="117">
        <v>41275.0</v>
      </c>
      <c r="G487" s="100" t="s">
        <v>1054</v>
      </c>
      <c r="H487" s="100">
        <v>4.085120113E9</v>
      </c>
      <c r="I487" s="100" t="s">
        <v>1055</v>
      </c>
      <c r="J487" s="115">
        <v>45689.0</v>
      </c>
      <c r="K487" s="116" t="s">
        <v>927</v>
      </c>
      <c r="L487" s="116">
        <v>51.0</v>
      </c>
      <c r="M487" s="100" t="s">
        <v>1056</v>
      </c>
      <c r="N487" s="96" t="s">
        <v>34</v>
      </c>
      <c r="O487" s="101">
        <v>45931.0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102"/>
      <c r="AV487" s="102"/>
    </row>
    <row r="488" ht="15.0" hidden="1" customHeight="1">
      <c r="A488" s="95">
        <v>2.0</v>
      </c>
      <c r="B488" s="91" t="s">
        <v>88</v>
      </c>
      <c r="C488" s="100" t="s">
        <v>220</v>
      </c>
      <c r="D488" s="100" t="s">
        <v>221</v>
      </c>
      <c r="E488" s="109">
        <v>2.0</v>
      </c>
      <c r="F488" s="120">
        <v>43341.0</v>
      </c>
      <c r="G488" s="100" t="s">
        <v>222</v>
      </c>
      <c r="H488" s="100">
        <v>9.25451587E9</v>
      </c>
      <c r="I488" s="100" t="s">
        <v>223</v>
      </c>
      <c r="J488" s="115">
        <v>45888.0</v>
      </c>
      <c r="K488" s="116" t="s">
        <v>424</v>
      </c>
      <c r="L488" s="116">
        <v>50.0</v>
      </c>
      <c r="M488" s="100" t="s">
        <v>1057</v>
      </c>
      <c r="N488" s="96" t="s">
        <v>34</v>
      </c>
      <c r="O488" s="101">
        <v>45931.0</v>
      </c>
      <c r="P488" s="166"/>
      <c r="Q488" s="166"/>
      <c r="R488" s="166"/>
      <c r="S488" s="166"/>
      <c r="T488" s="155"/>
      <c r="U488" s="155"/>
      <c r="V488" s="155"/>
      <c r="W488" s="166"/>
      <c r="X488" s="166"/>
      <c r="Y488" s="166"/>
      <c r="Z488" s="166"/>
      <c r="AA488" s="166"/>
      <c r="AB488" s="166"/>
      <c r="AC488" s="166"/>
      <c r="AD488" s="166"/>
      <c r="AE488" s="166"/>
      <c r="AF488" s="166"/>
      <c r="AG488" s="166"/>
      <c r="AH488" s="166"/>
      <c r="AI488" s="166"/>
      <c r="AJ488" s="166"/>
      <c r="AK488" s="166"/>
      <c r="AL488" s="166"/>
      <c r="AM488" s="166"/>
      <c r="AN488" s="166"/>
      <c r="AO488" s="166"/>
      <c r="AP488" s="166"/>
      <c r="AQ488" s="166"/>
      <c r="AR488" s="166"/>
      <c r="AS488" s="166"/>
      <c r="AT488" s="166"/>
      <c r="AU488" s="167"/>
      <c r="AV488" s="167"/>
    </row>
    <row r="489" ht="15.0" hidden="1" customHeight="1">
      <c r="A489" s="95">
        <v>3.0</v>
      </c>
      <c r="B489" s="91" t="s">
        <v>88</v>
      </c>
      <c r="C489" s="100" t="s">
        <v>322</v>
      </c>
      <c r="D489" s="100" t="s">
        <v>323</v>
      </c>
      <c r="E489" s="109">
        <v>2.0</v>
      </c>
      <c r="F489" s="117">
        <v>42025.0</v>
      </c>
      <c r="G489" s="100" t="s">
        <v>324</v>
      </c>
      <c r="H489" s="100">
        <v>5.10207503E9</v>
      </c>
      <c r="I489" s="100" t="s">
        <v>321</v>
      </c>
      <c r="J489" s="115">
        <v>45110.0</v>
      </c>
      <c r="K489" s="116" t="s">
        <v>973</v>
      </c>
      <c r="L489" s="116">
        <v>21.0</v>
      </c>
      <c r="M489" s="100" t="s">
        <v>1058</v>
      </c>
      <c r="N489" s="96" t="s">
        <v>34</v>
      </c>
      <c r="O489" s="101">
        <v>45931.0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102"/>
      <c r="AV489" s="102"/>
    </row>
    <row r="490" ht="15.0" hidden="1" customHeight="1">
      <c r="A490" s="417">
        <v>1.0</v>
      </c>
      <c r="B490" s="423" t="s">
        <v>48</v>
      </c>
      <c r="C490" s="466" t="s">
        <v>1059</v>
      </c>
      <c r="D490" s="466" t="s">
        <v>1060</v>
      </c>
      <c r="E490" s="417">
        <v>2.0</v>
      </c>
      <c r="F490" s="428">
        <v>43249.0</v>
      </c>
      <c r="G490" s="467" t="s">
        <v>1061</v>
      </c>
      <c r="H490" s="467">
        <v>5.103033485E9</v>
      </c>
      <c r="I490" s="467" t="s">
        <v>1062</v>
      </c>
      <c r="J490" s="468">
        <v>45829.0</v>
      </c>
      <c r="K490" s="469" t="s">
        <v>133</v>
      </c>
      <c r="L490" s="469"/>
      <c r="M490" s="466" t="s">
        <v>1063</v>
      </c>
      <c r="N490" s="423" t="s">
        <v>34</v>
      </c>
      <c r="O490" s="470">
        <v>45962.0</v>
      </c>
      <c r="P490" s="471"/>
      <c r="Q490" s="471"/>
      <c r="R490" s="471"/>
      <c r="S490" s="471"/>
      <c r="T490" s="471"/>
      <c r="U490" s="471"/>
      <c r="V490" s="471"/>
      <c r="W490" s="471"/>
      <c r="X490" s="471"/>
      <c r="Y490" s="471"/>
      <c r="Z490" s="471"/>
      <c r="AA490" s="471"/>
      <c r="AB490" s="471"/>
      <c r="AC490" s="471"/>
      <c r="AD490" s="471"/>
      <c r="AE490" s="471"/>
      <c r="AF490" s="471"/>
      <c r="AG490" s="471"/>
      <c r="AH490" s="471"/>
      <c r="AI490" s="471"/>
      <c r="AJ490" s="471"/>
      <c r="AK490" s="471"/>
      <c r="AL490" s="471"/>
      <c r="AM490" s="471"/>
      <c r="AN490" s="471"/>
      <c r="AO490" s="471"/>
      <c r="AP490" s="471"/>
      <c r="AQ490" s="471"/>
      <c r="AR490" s="471"/>
      <c r="AS490" s="471"/>
      <c r="AT490" s="471"/>
      <c r="AU490" s="472"/>
      <c r="AV490" s="472"/>
    </row>
    <row r="491" ht="15.0" hidden="1" customHeight="1">
      <c r="A491" s="417">
        <v>2.0</v>
      </c>
      <c r="B491" s="423" t="s">
        <v>48</v>
      </c>
      <c r="C491" s="466" t="s">
        <v>1064</v>
      </c>
      <c r="D491" s="466" t="s">
        <v>1060</v>
      </c>
      <c r="E491" s="417">
        <v>4.0</v>
      </c>
      <c r="F491" s="428">
        <v>42320.0</v>
      </c>
      <c r="G491" s="467" t="s">
        <v>1065</v>
      </c>
      <c r="H491" s="467">
        <v>5.103033485E9</v>
      </c>
      <c r="I491" s="467" t="s">
        <v>1062</v>
      </c>
      <c r="J491" s="468">
        <v>45829.0</v>
      </c>
      <c r="K491" s="469" t="s">
        <v>109</v>
      </c>
      <c r="L491" s="469"/>
      <c r="M491" s="466" t="s">
        <v>1066</v>
      </c>
      <c r="N491" s="423" t="s">
        <v>34</v>
      </c>
      <c r="O491" s="470">
        <v>45962.0</v>
      </c>
      <c r="P491" s="471"/>
      <c r="Q491" s="471"/>
      <c r="R491" s="471"/>
      <c r="S491" s="471"/>
      <c r="T491" s="471"/>
      <c r="U491" s="471"/>
      <c r="V491" s="471"/>
      <c r="W491" s="471"/>
      <c r="X491" s="471"/>
      <c r="Y491" s="471"/>
      <c r="Z491" s="471"/>
      <c r="AA491" s="471"/>
      <c r="AB491" s="471"/>
      <c r="AC491" s="471"/>
      <c r="AD491" s="471"/>
      <c r="AE491" s="471"/>
      <c r="AF491" s="471"/>
      <c r="AG491" s="471"/>
      <c r="AH491" s="471"/>
      <c r="AI491" s="471"/>
      <c r="AJ491" s="471"/>
      <c r="AK491" s="471"/>
      <c r="AL491" s="471"/>
      <c r="AM491" s="471"/>
      <c r="AN491" s="471"/>
      <c r="AO491" s="471"/>
      <c r="AP491" s="471"/>
      <c r="AQ491" s="471"/>
      <c r="AR491" s="471"/>
      <c r="AS491" s="471"/>
      <c r="AT491" s="471"/>
      <c r="AU491" s="472"/>
      <c r="AV491" s="472"/>
    </row>
    <row r="492" ht="15.0" hidden="1" customHeight="1">
      <c r="A492" s="417">
        <v>3.0</v>
      </c>
      <c r="B492" s="423" t="s">
        <v>88</v>
      </c>
      <c r="C492" s="466" t="s">
        <v>1064</v>
      </c>
      <c r="D492" s="466" t="s">
        <v>1060</v>
      </c>
      <c r="E492" s="417">
        <v>4.0</v>
      </c>
      <c r="F492" s="428">
        <v>42320.0</v>
      </c>
      <c r="G492" s="467" t="s">
        <v>1067</v>
      </c>
      <c r="H492" s="467">
        <v>5.103033485E9</v>
      </c>
      <c r="I492" s="467" t="s">
        <v>1062</v>
      </c>
      <c r="J492" s="468">
        <v>45829.0</v>
      </c>
      <c r="K492" s="469" t="s">
        <v>111</v>
      </c>
      <c r="L492" s="469"/>
      <c r="M492" s="466" t="s">
        <v>914</v>
      </c>
      <c r="N492" s="423" t="s">
        <v>34</v>
      </c>
      <c r="O492" s="470">
        <v>45962.0</v>
      </c>
      <c r="P492" s="471"/>
      <c r="Q492" s="471"/>
      <c r="R492" s="471"/>
      <c r="S492" s="471"/>
      <c r="T492" s="471"/>
      <c r="U492" s="471"/>
      <c r="V492" s="471"/>
      <c r="W492" s="471"/>
      <c r="X492" s="471"/>
      <c r="Y492" s="471"/>
      <c r="Z492" s="471"/>
      <c r="AA492" s="471"/>
      <c r="AB492" s="471"/>
      <c r="AC492" s="471"/>
      <c r="AD492" s="471"/>
      <c r="AE492" s="471"/>
      <c r="AF492" s="471"/>
      <c r="AG492" s="471"/>
      <c r="AH492" s="471"/>
      <c r="AI492" s="471"/>
      <c r="AJ492" s="471"/>
      <c r="AK492" s="471"/>
      <c r="AL492" s="471"/>
      <c r="AM492" s="471"/>
      <c r="AN492" s="471"/>
      <c r="AO492" s="471"/>
      <c r="AP492" s="471"/>
      <c r="AQ492" s="471"/>
      <c r="AR492" s="471"/>
      <c r="AS492" s="471"/>
      <c r="AT492" s="471"/>
      <c r="AU492" s="472"/>
      <c r="AV492" s="472"/>
    </row>
    <row r="493" ht="15.0" hidden="1" customHeight="1">
      <c r="A493" s="417">
        <v>4.0</v>
      </c>
      <c r="B493" s="420" t="s">
        <v>48</v>
      </c>
      <c r="C493" s="419" t="s">
        <v>184</v>
      </c>
      <c r="D493" s="419" t="s">
        <v>185</v>
      </c>
      <c r="E493" s="420">
        <v>3.0</v>
      </c>
      <c r="F493" s="421">
        <v>42875.0</v>
      </c>
      <c r="G493" s="467" t="s">
        <v>186</v>
      </c>
      <c r="H493" s="467">
        <v>6.508805036E9</v>
      </c>
      <c r="I493" s="467" t="s">
        <v>187</v>
      </c>
      <c r="J493" s="473">
        <v>45901.0</v>
      </c>
      <c r="K493" s="474" t="s">
        <v>183</v>
      </c>
      <c r="L493" s="474">
        <v>51.0</v>
      </c>
      <c r="M493" s="419" t="s">
        <v>1068</v>
      </c>
      <c r="N493" s="423" t="s">
        <v>34</v>
      </c>
      <c r="O493" s="470">
        <v>45962.0</v>
      </c>
      <c r="P493" s="475"/>
      <c r="Q493" s="475"/>
      <c r="R493" s="475"/>
      <c r="S493" s="475"/>
      <c r="T493" s="475"/>
      <c r="U493" s="475"/>
      <c r="V493" s="475"/>
      <c r="W493" s="475"/>
      <c r="X493" s="475"/>
      <c r="Y493" s="475"/>
      <c r="Z493" s="475"/>
      <c r="AA493" s="475"/>
      <c r="AB493" s="475"/>
      <c r="AC493" s="475"/>
      <c r="AD493" s="475"/>
      <c r="AE493" s="475"/>
      <c r="AF493" s="475"/>
      <c r="AG493" s="475"/>
      <c r="AH493" s="475"/>
      <c r="AI493" s="475"/>
      <c r="AJ493" s="475"/>
      <c r="AK493" s="475"/>
      <c r="AL493" s="475"/>
      <c r="AM493" s="475"/>
      <c r="AN493" s="475"/>
      <c r="AO493" s="475"/>
      <c r="AP493" s="475"/>
      <c r="AQ493" s="475"/>
      <c r="AR493" s="475"/>
      <c r="AS493" s="475"/>
      <c r="AT493" s="475"/>
      <c r="AU493" s="475"/>
      <c r="AV493" s="475"/>
    </row>
    <row r="494" ht="15.0" hidden="1" customHeight="1">
      <c r="A494" s="417">
        <v>5.0</v>
      </c>
      <c r="B494" s="423" t="s">
        <v>48</v>
      </c>
      <c r="C494" s="466" t="s">
        <v>1069</v>
      </c>
      <c r="D494" s="466" t="s">
        <v>1070</v>
      </c>
      <c r="E494" s="417" t="s">
        <v>141</v>
      </c>
      <c r="F494" s="428">
        <v>43796.0</v>
      </c>
      <c r="G494" s="467" t="s">
        <v>1071</v>
      </c>
      <c r="H494" s="467">
        <v>9.195345417E9</v>
      </c>
      <c r="I494" s="467" t="s">
        <v>1072</v>
      </c>
      <c r="J494" s="468">
        <v>45839.0</v>
      </c>
      <c r="K494" s="469" t="s">
        <v>1033</v>
      </c>
      <c r="L494" s="469"/>
      <c r="M494" s="466" t="s">
        <v>914</v>
      </c>
      <c r="N494" s="423" t="s">
        <v>34</v>
      </c>
      <c r="O494" s="470">
        <v>45962.0</v>
      </c>
      <c r="P494" s="471"/>
      <c r="Q494" s="471"/>
      <c r="R494" s="471"/>
      <c r="S494" s="471"/>
      <c r="T494" s="471"/>
      <c r="U494" s="471"/>
      <c r="V494" s="471"/>
      <c r="W494" s="471"/>
      <c r="X494" s="471"/>
      <c r="Y494" s="471"/>
      <c r="Z494" s="471"/>
      <c r="AA494" s="471"/>
      <c r="AB494" s="471"/>
      <c r="AC494" s="471"/>
      <c r="AD494" s="471"/>
      <c r="AE494" s="471"/>
      <c r="AF494" s="471"/>
      <c r="AG494" s="471"/>
      <c r="AH494" s="471"/>
      <c r="AI494" s="471"/>
      <c r="AJ494" s="471"/>
      <c r="AK494" s="471"/>
      <c r="AL494" s="471"/>
      <c r="AM494" s="471"/>
      <c r="AN494" s="471"/>
      <c r="AO494" s="471"/>
      <c r="AP494" s="471"/>
      <c r="AQ494" s="471"/>
      <c r="AR494" s="471"/>
      <c r="AS494" s="471"/>
      <c r="AT494" s="471"/>
      <c r="AU494" s="472"/>
      <c r="AV494" s="472"/>
    </row>
    <row r="495" ht="15.0" hidden="1" customHeight="1">
      <c r="A495" s="417">
        <v>6.0</v>
      </c>
      <c r="B495" s="423" t="s">
        <v>88</v>
      </c>
      <c r="C495" s="466" t="s">
        <v>1069</v>
      </c>
      <c r="D495" s="466" t="s">
        <v>1070</v>
      </c>
      <c r="E495" s="417" t="s">
        <v>141</v>
      </c>
      <c r="F495" s="428">
        <v>43797.0</v>
      </c>
      <c r="G495" s="467" t="s">
        <v>1073</v>
      </c>
      <c r="H495" s="467">
        <v>9.195345417E9</v>
      </c>
      <c r="I495" s="467" t="s">
        <v>1072</v>
      </c>
      <c r="J495" s="468">
        <v>45839.0</v>
      </c>
      <c r="K495" s="469" t="s">
        <v>1074</v>
      </c>
      <c r="L495" s="469"/>
      <c r="M495" s="466" t="s">
        <v>914</v>
      </c>
      <c r="N495" s="423" t="s">
        <v>34</v>
      </c>
      <c r="O495" s="470">
        <v>45962.0</v>
      </c>
      <c r="P495" s="471"/>
      <c r="Q495" s="471"/>
      <c r="R495" s="471"/>
      <c r="S495" s="471"/>
      <c r="T495" s="471"/>
      <c r="U495" s="471"/>
      <c r="V495" s="471"/>
      <c r="W495" s="471"/>
      <c r="X495" s="471"/>
      <c r="Y495" s="471"/>
      <c r="Z495" s="471"/>
      <c r="AA495" s="471"/>
      <c r="AB495" s="471"/>
      <c r="AC495" s="471"/>
      <c r="AD495" s="471"/>
      <c r="AE495" s="471"/>
      <c r="AF495" s="471"/>
      <c r="AG495" s="471"/>
      <c r="AH495" s="471"/>
      <c r="AI495" s="471"/>
      <c r="AJ495" s="471"/>
      <c r="AK495" s="471"/>
      <c r="AL495" s="471"/>
      <c r="AM495" s="471"/>
      <c r="AN495" s="471"/>
      <c r="AO495" s="471"/>
      <c r="AP495" s="471"/>
      <c r="AQ495" s="471"/>
      <c r="AR495" s="471"/>
      <c r="AS495" s="471"/>
      <c r="AT495" s="471"/>
      <c r="AU495" s="472"/>
      <c r="AV495" s="472"/>
    </row>
    <row r="496" ht="15.0" hidden="1" customHeight="1">
      <c r="A496" s="417">
        <v>7.0</v>
      </c>
      <c r="B496" s="418" t="s">
        <v>48</v>
      </c>
      <c r="C496" s="422" t="s">
        <v>322</v>
      </c>
      <c r="D496" s="422" t="s">
        <v>736</v>
      </c>
      <c r="E496" s="420">
        <v>3.0</v>
      </c>
      <c r="F496" s="421" t="s">
        <v>935</v>
      </c>
      <c r="G496" s="422" t="s">
        <v>936</v>
      </c>
      <c r="H496" s="422">
        <v>5.103336666E9</v>
      </c>
      <c r="I496" s="422" t="s">
        <v>738</v>
      </c>
      <c r="J496" s="473">
        <v>45887.0</v>
      </c>
      <c r="K496" s="474" t="s">
        <v>198</v>
      </c>
      <c r="L496" s="474"/>
      <c r="M496" s="422" t="s">
        <v>985</v>
      </c>
      <c r="N496" s="423" t="s">
        <v>34</v>
      </c>
      <c r="O496" s="470">
        <v>45962.0</v>
      </c>
      <c r="P496" s="471"/>
      <c r="Q496" s="471"/>
      <c r="R496" s="471"/>
      <c r="S496" s="471"/>
      <c r="T496" s="476"/>
      <c r="U496" s="476"/>
      <c r="V496" s="477"/>
      <c r="W496" s="471"/>
      <c r="X496" s="471"/>
      <c r="Y496" s="471"/>
      <c r="Z496" s="471"/>
      <c r="AA496" s="471"/>
      <c r="AB496" s="471"/>
      <c r="AC496" s="471"/>
      <c r="AD496" s="471"/>
      <c r="AE496" s="471"/>
      <c r="AF496" s="471"/>
      <c r="AG496" s="471"/>
      <c r="AH496" s="471"/>
      <c r="AI496" s="471"/>
      <c r="AJ496" s="471"/>
      <c r="AK496" s="471"/>
      <c r="AL496" s="471"/>
      <c r="AM496" s="471"/>
      <c r="AN496" s="471"/>
      <c r="AO496" s="471"/>
      <c r="AP496" s="471"/>
      <c r="AQ496" s="471"/>
      <c r="AR496" s="471"/>
      <c r="AS496" s="471"/>
      <c r="AT496" s="471"/>
      <c r="AU496" s="472"/>
      <c r="AV496" s="472"/>
    </row>
    <row r="497" ht="15.0" hidden="1" customHeight="1">
      <c r="A497" s="417">
        <v>8.0</v>
      </c>
      <c r="B497" s="423" t="s">
        <v>48</v>
      </c>
      <c r="C497" s="466" t="s">
        <v>1075</v>
      </c>
      <c r="D497" s="466" t="s">
        <v>261</v>
      </c>
      <c r="E497" s="417">
        <v>1.0</v>
      </c>
      <c r="F497" s="428">
        <v>43614.0</v>
      </c>
      <c r="G497" s="467" t="s">
        <v>1076</v>
      </c>
      <c r="H497" s="467">
        <v>5.107177557E9</v>
      </c>
      <c r="I497" s="467" t="s">
        <v>1077</v>
      </c>
      <c r="J497" s="468">
        <v>45861.0</v>
      </c>
      <c r="K497" s="469" t="s">
        <v>255</v>
      </c>
      <c r="L497" s="469" t="s">
        <v>1078</v>
      </c>
      <c r="M497" s="466" t="s">
        <v>1079</v>
      </c>
      <c r="N497" s="423" t="s">
        <v>34</v>
      </c>
      <c r="O497" s="470">
        <v>45962.0</v>
      </c>
      <c r="P497" s="471"/>
      <c r="Q497" s="471"/>
      <c r="R497" s="471"/>
      <c r="S497" s="471"/>
      <c r="T497" s="471"/>
      <c r="U497" s="471"/>
      <c r="V497" s="471"/>
      <c r="W497" s="471"/>
      <c r="X497" s="471"/>
      <c r="Y497" s="471"/>
      <c r="Z497" s="471"/>
      <c r="AA497" s="471"/>
      <c r="AB497" s="471"/>
      <c r="AC497" s="471"/>
      <c r="AD497" s="471"/>
      <c r="AE497" s="471"/>
      <c r="AF497" s="471"/>
      <c r="AG497" s="471"/>
      <c r="AH497" s="471"/>
      <c r="AI497" s="471"/>
      <c r="AJ497" s="471"/>
      <c r="AK497" s="471"/>
      <c r="AL497" s="471"/>
      <c r="AM497" s="471"/>
      <c r="AN497" s="471"/>
      <c r="AO497" s="471"/>
      <c r="AP497" s="471"/>
      <c r="AQ497" s="471"/>
      <c r="AR497" s="471"/>
      <c r="AS497" s="471"/>
      <c r="AT497" s="471"/>
      <c r="AU497" s="472"/>
      <c r="AV497" s="472"/>
    </row>
    <row r="498" ht="15.0" hidden="1" customHeight="1">
      <c r="A498" s="417">
        <v>9.0</v>
      </c>
      <c r="B498" s="418" t="s">
        <v>48</v>
      </c>
      <c r="C498" s="478" t="s">
        <v>1080</v>
      </c>
      <c r="D498" s="478" t="s">
        <v>1081</v>
      </c>
      <c r="E498" s="479">
        <v>3.0</v>
      </c>
      <c r="F498" s="480">
        <v>42860.0</v>
      </c>
      <c r="G498" s="422" t="s">
        <v>1082</v>
      </c>
      <c r="H498" s="422">
        <v>4.086233244E9</v>
      </c>
      <c r="I498" s="422" t="s">
        <v>1083</v>
      </c>
      <c r="J498" s="473">
        <v>45885.0</v>
      </c>
      <c r="K498" s="474" t="s">
        <v>192</v>
      </c>
      <c r="L498" s="474"/>
      <c r="M498" s="422" t="s">
        <v>914</v>
      </c>
      <c r="N498" s="423" t="s">
        <v>34</v>
      </c>
      <c r="O498" s="470">
        <v>45962.0</v>
      </c>
      <c r="P498" s="481"/>
      <c r="Q498" s="481"/>
      <c r="R498" s="481"/>
      <c r="S498" s="481"/>
      <c r="T498" s="476"/>
      <c r="U498" s="476"/>
      <c r="V498" s="477"/>
      <c r="W498" s="481"/>
      <c r="X498" s="481"/>
      <c r="Y498" s="481"/>
      <c r="Z498" s="481"/>
      <c r="AA498" s="481"/>
      <c r="AB498" s="481"/>
      <c r="AC498" s="481"/>
      <c r="AD498" s="481"/>
      <c r="AE498" s="481"/>
      <c r="AF498" s="481"/>
      <c r="AG498" s="481"/>
      <c r="AH498" s="481"/>
      <c r="AI498" s="481"/>
      <c r="AJ498" s="481"/>
      <c r="AK498" s="481"/>
      <c r="AL498" s="481"/>
      <c r="AM498" s="481"/>
      <c r="AN498" s="481"/>
      <c r="AO498" s="481"/>
      <c r="AP498" s="481"/>
      <c r="AQ498" s="481"/>
      <c r="AR498" s="481"/>
      <c r="AS498" s="481"/>
      <c r="AT498" s="481"/>
      <c r="AU498" s="482"/>
      <c r="AV498" s="482"/>
    </row>
    <row r="499" ht="15.0" hidden="1" customHeight="1">
      <c r="A499" s="417">
        <v>10.0</v>
      </c>
      <c r="B499" s="418" t="s">
        <v>88</v>
      </c>
      <c r="C499" s="478" t="s">
        <v>1080</v>
      </c>
      <c r="D499" s="478" t="s">
        <v>1081</v>
      </c>
      <c r="E499" s="479">
        <v>3.0</v>
      </c>
      <c r="F499" s="480">
        <v>42860.0</v>
      </c>
      <c r="G499" s="422" t="s">
        <v>1082</v>
      </c>
      <c r="H499" s="422">
        <v>4.086233244E9</v>
      </c>
      <c r="I499" s="422" t="s">
        <v>1083</v>
      </c>
      <c r="J499" s="473">
        <v>45885.0</v>
      </c>
      <c r="K499" s="474" t="s">
        <v>132</v>
      </c>
      <c r="L499" s="474"/>
      <c r="M499" s="422" t="s">
        <v>914</v>
      </c>
      <c r="N499" s="423" t="s">
        <v>34</v>
      </c>
      <c r="O499" s="470">
        <v>45962.0</v>
      </c>
      <c r="P499" s="481"/>
      <c r="Q499" s="481"/>
      <c r="R499" s="481"/>
      <c r="S499" s="481"/>
      <c r="T499" s="476"/>
      <c r="U499" s="476"/>
      <c r="V499" s="477"/>
      <c r="W499" s="481"/>
      <c r="X499" s="481"/>
      <c r="Y499" s="481"/>
      <c r="Z499" s="481"/>
      <c r="AA499" s="481"/>
      <c r="AB499" s="481"/>
      <c r="AC499" s="481"/>
      <c r="AD499" s="481"/>
      <c r="AE499" s="481"/>
      <c r="AF499" s="481"/>
      <c r="AG499" s="481"/>
      <c r="AH499" s="481"/>
      <c r="AI499" s="481"/>
      <c r="AJ499" s="481"/>
      <c r="AK499" s="481"/>
      <c r="AL499" s="481"/>
      <c r="AM499" s="481"/>
      <c r="AN499" s="481"/>
      <c r="AO499" s="481"/>
      <c r="AP499" s="481"/>
      <c r="AQ499" s="481"/>
      <c r="AR499" s="481"/>
      <c r="AS499" s="481"/>
      <c r="AT499" s="481"/>
      <c r="AU499" s="482"/>
      <c r="AV499" s="482"/>
    </row>
    <row r="500" ht="15.0" hidden="1" customHeight="1">
      <c r="A500" s="417">
        <v>11.0</v>
      </c>
      <c r="B500" s="418" t="s">
        <v>48</v>
      </c>
      <c r="C500" s="478" t="s">
        <v>1080</v>
      </c>
      <c r="D500" s="478" t="s">
        <v>1084</v>
      </c>
      <c r="E500" s="479" t="s">
        <v>141</v>
      </c>
      <c r="F500" s="483">
        <v>43825.0</v>
      </c>
      <c r="G500" s="422" t="s">
        <v>1082</v>
      </c>
      <c r="H500" s="422">
        <v>4.086233244E9</v>
      </c>
      <c r="I500" s="422" t="s">
        <v>1083</v>
      </c>
      <c r="J500" s="473">
        <v>45885.0</v>
      </c>
      <c r="K500" s="474" t="s">
        <v>173</v>
      </c>
      <c r="L500" s="474"/>
      <c r="M500" s="422" t="s">
        <v>914</v>
      </c>
      <c r="N500" s="423" t="s">
        <v>34</v>
      </c>
      <c r="O500" s="470">
        <v>45962.0</v>
      </c>
      <c r="P500" s="481"/>
      <c r="Q500" s="481"/>
      <c r="R500" s="481"/>
      <c r="S500" s="481"/>
      <c r="T500" s="476"/>
      <c r="U500" s="476"/>
      <c r="V500" s="477"/>
      <c r="W500" s="481"/>
      <c r="X500" s="481"/>
      <c r="Y500" s="481"/>
      <c r="Z500" s="481"/>
      <c r="AA500" s="481"/>
      <c r="AB500" s="481"/>
      <c r="AC500" s="481"/>
      <c r="AD500" s="481"/>
      <c r="AE500" s="481"/>
      <c r="AF500" s="481"/>
      <c r="AG500" s="481"/>
      <c r="AH500" s="481"/>
      <c r="AI500" s="481"/>
      <c r="AJ500" s="481"/>
      <c r="AK500" s="481"/>
      <c r="AL500" s="481"/>
      <c r="AM500" s="481"/>
      <c r="AN500" s="481"/>
      <c r="AO500" s="481"/>
      <c r="AP500" s="481"/>
      <c r="AQ500" s="481"/>
      <c r="AR500" s="481"/>
      <c r="AS500" s="481"/>
      <c r="AT500" s="481"/>
      <c r="AU500" s="482"/>
      <c r="AV500" s="482"/>
    </row>
    <row r="501" ht="15.0" hidden="1" customHeight="1">
      <c r="A501" s="417">
        <v>12.0</v>
      </c>
      <c r="B501" s="418" t="s">
        <v>88</v>
      </c>
      <c r="C501" s="478" t="s">
        <v>1080</v>
      </c>
      <c r="D501" s="478" t="s">
        <v>1084</v>
      </c>
      <c r="E501" s="479" t="s">
        <v>141</v>
      </c>
      <c r="F501" s="483">
        <v>43825.0</v>
      </c>
      <c r="G501" s="422" t="s">
        <v>1082</v>
      </c>
      <c r="H501" s="422">
        <v>4.086233244E9</v>
      </c>
      <c r="I501" s="422" t="s">
        <v>1083</v>
      </c>
      <c r="J501" s="473">
        <v>45885.0</v>
      </c>
      <c r="K501" s="474" t="s">
        <v>1074</v>
      </c>
      <c r="L501" s="474"/>
      <c r="M501" s="422" t="s">
        <v>914</v>
      </c>
      <c r="N501" s="423" t="s">
        <v>34</v>
      </c>
      <c r="O501" s="470">
        <v>45962.0</v>
      </c>
      <c r="P501" s="481"/>
      <c r="Q501" s="481"/>
      <c r="R501" s="481"/>
      <c r="S501" s="481"/>
      <c r="T501" s="476"/>
      <c r="U501" s="476"/>
      <c r="V501" s="477"/>
      <c r="W501" s="481"/>
      <c r="X501" s="481"/>
      <c r="Y501" s="481"/>
      <c r="Z501" s="481"/>
      <c r="AA501" s="481"/>
      <c r="AB501" s="481"/>
      <c r="AC501" s="481"/>
      <c r="AD501" s="481"/>
      <c r="AE501" s="481"/>
      <c r="AF501" s="481"/>
      <c r="AG501" s="481"/>
      <c r="AH501" s="481"/>
      <c r="AI501" s="481"/>
      <c r="AJ501" s="481"/>
      <c r="AK501" s="481"/>
      <c r="AL501" s="481"/>
      <c r="AM501" s="481"/>
      <c r="AN501" s="481"/>
      <c r="AO501" s="481"/>
      <c r="AP501" s="481"/>
      <c r="AQ501" s="481"/>
      <c r="AR501" s="481"/>
      <c r="AS501" s="481"/>
      <c r="AT501" s="481"/>
      <c r="AU501" s="482"/>
      <c r="AV501" s="482"/>
    </row>
    <row r="502" ht="15.0" customHeight="1">
      <c r="A502" s="95">
        <v>1.0</v>
      </c>
      <c r="B502" s="91" t="s">
        <v>48</v>
      </c>
      <c r="C502" s="100" t="s">
        <v>507</v>
      </c>
      <c r="D502" s="100" t="s">
        <v>508</v>
      </c>
      <c r="E502" s="109" t="s">
        <v>378</v>
      </c>
      <c r="F502" s="117" t="s">
        <v>509</v>
      </c>
      <c r="G502" s="100" t="s">
        <v>510</v>
      </c>
      <c r="H502" s="100">
        <v>6.176765481E9</v>
      </c>
      <c r="I502" s="100" t="s">
        <v>511</v>
      </c>
      <c r="J502" s="115">
        <v>45689.0</v>
      </c>
      <c r="K502" s="116" t="s">
        <v>138</v>
      </c>
      <c r="L502" s="116">
        <v>81.0</v>
      </c>
      <c r="M502" s="100" t="s">
        <v>512</v>
      </c>
      <c r="N502" s="96" t="s">
        <v>83</v>
      </c>
      <c r="O502" s="108">
        <v>45992.0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102"/>
      <c r="AV502" s="102"/>
    </row>
    <row r="503" ht="15.0" customHeight="1">
      <c r="A503" s="95">
        <v>2.0</v>
      </c>
      <c r="B503" s="91" t="s">
        <v>88</v>
      </c>
      <c r="C503" s="100" t="s">
        <v>507</v>
      </c>
      <c r="D503" s="100" t="s">
        <v>508</v>
      </c>
      <c r="E503" s="109" t="s">
        <v>378</v>
      </c>
      <c r="F503" s="117" t="s">
        <v>509</v>
      </c>
      <c r="G503" s="100" t="s">
        <v>510</v>
      </c>
      <c r="H503" s="100">
        <v>6.176765481E9</v>
      </c>
      <c r="I503" s="100" t="s">
        <v>511</v>
      </c>
      <c r="J503" s="115">
        <v>45689.0</v>
      </c>
      <c r="K503" s="116" t="s">
        <v>125</v>
      </c>
      <c r="L503" s="116">
        <v>61.0</v>
      </c>
      <c r="M503" s="100" t="s">
        <v>512</v>
      </c>
      <c r="N503" s="96" t="s">
        <v>83</v>
      </c>
      <c r="O503" s="108">
        <v>45992.0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102"/>
      <c r="AV503" s="102"/>
    </row>
    <row r="504" ht="15.0" customHeight="1">
      <c r="A504" s="95">
        <v>3.0</v>
      </c>
      <c r="B504" s="96" t="s">
        <v>48</v>
      </c>
      <c r="C504" s="99" t="s">
        <v>500</v>
      </c>
      <c r="D504" s="99" t="s">
        <v>501</v>
      </c>
      <c r="E504" s="95">
        <v>3.0</v>
      </c>
      <c r="F504" s="97">
        <v>42962.0</v>
      </c>
      <c r="G504" s="103" t="s">
        <v>502</v>
      </c>
      <c r="H504" s="103">
        <v>5.103869058E9</v>
      </c>
      <c r="I504" s="104" t="s">
        <v>503</v>
      </c>
      <c r="J504" s="105">
        <v>45962.0</v>
      </c>
      <c r="K504" s="106" t="s">
        <v>173</v>
      </c>
      <c r="L504" s="106">
        <v>101.0</v>
      </c>
      <c r="M504" s="484" t="s">
        <v>512</v>
      </c>
      <c r="N504" s="96" t="s">
        <v>83</v>
      </c>
      <c r="O504" s="108">
        <v>45992.0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102"/>
      <c r="AV504" s="102"/>
    </row>
    <row r="505" ht="15.0" customHeight="1">
      <c r="A505" s="95">
        <v>4.0</v>
      </c>
      <c r="B505" s="96" t="s">
        <v>88</v>
      </c>
      <c r="C505" s="99" t="s">
        <v>500</v>
      </c>
      <c r="D505" s="99" t="s">
        <v>501</v>
      </c>
      <c r="E505" s="95">
        <v>3.0</v>
      </c>
      <c r="F505" s="97">
        <v>42963.0</v>
      </c>
      <c r="G505" s="103" t="s">
        <v>505</v>
      </c>
      <c r="H505" s="103">
        <v>5.103869058E9</v>
      </c>
      <c r="I505" s="104" t="s">
        <v>503</v>
      </c>
      <c r="J505" s="105">
        <v>45963.0</v>
      </c>
      <c r="K505" s="106" t="s">
        <v>169</v>
      </c>
      <c r="L505" s="106">
        <v>11.0</v>
      </c>
      <c r="M505" s="484" t="s">
        <v>512</v>
      </c>
      <c r="N505" s="96" t="s">
        <v>83</v>
      </c>
      <c r="O505" s="108">
        <v>45992.0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102"/>
      <c r="AV505" s="102"/>
    </row>
    <row r="506" ht="15.0" customHeight="1">
      <c r="A506" s="95">
        <v>5.0</v>
      </c>
      <c r="B506" s="91" t="s">
        <v>88</v>
      </c>
      <c r="C506" s="113" t="s">
        <v>490</v>
      </c>
      <c r="D506" s="113" t="s">
        <v>491</v>
      </c>
      <c r="E506" s="109">
        <v>1.0</v>
      </c>
      <c r="F506" s="120">
        <v>43416.0</v>
      </c>
      <c r="G506" s="100" t="s">
        <v>492</v>
      </c>
      <c r="H506" s="100">
        <v>2.394940438E9</v>
      </c>
      <c r="I506" s="100" t="s">
        <v>493</v>
      </c>
      <c r="J506" s="115">
        <v>45888.0</v>
      </c>
      <c r="K506" s="116" t="s">
        <v>118</v>
      </c>
      <c r="L506" s="116"/>
      <c r="M506" s="100" t="s">
        <v>1085</v>
      </c>
      <c r="N506" s="96" t="s">
        <v>34</v>
      </c>
      <c r="O506" s="108">
        <v>45992.0</v>
      </c>
      <c r="P506" s="4"/>
      <c r="Q506" s="4"/>
      <c r="R506" s="4"/>
      <c r="S506" s="4"/>
      <c r="T506" s="121"/>
      <c r="U506" s="121"/>
      <c r="V506" s="122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85"/>
      <c r="AV506" s="485"/>
    </row>
    <row r="507" ht="17.25" customHeight="1">
      <c r="A507" s="414">
        <v>1.0</v>
      </c>
      <c r="B507" s="441" t="s">
        <v>48</v>
      </c>
      <c r="C507" s="407" t="s">
        <v>610</v>
      </c>
      <c r="D507" s="407" t="s">
        <v>924</v>
      </c>
      <c r="E507" s="408">
        <v>4.0</v>
      </c>
      <c r="F507" s="409" t="s">
        <v>925</v>
      </c>
      <c r="G507" s="407" t="s">
        <v>926</v>
      </c>
      <c r="H507" s="407">
        <v>4.085076346E9</v>
      </c>
      <c r="I507" s="407" t="s">
        <v>673</v>
      </c>
      <c r="J507" s="486">
        <v>45887.0</v>
      </c>
      <c r="K507" s="487" t="s">
        <v>151</v>
      </c>
      <c r="L507" s="487"/>
      <c r="M507" s="407" t="s">
        <v>1086</v>
      </c>
      <c r="N507" s="406" t="s">
        <v>34</v>
      </c>
      <c r="O507" s="464">
        <v>46023.0</v>
      </c>
      <c r="P507" s="305"/>
      <c r="Q507" s="305"/>
      <c r="R507" s="305"/>
      <c r="S507" s="305"/>
      <c r="T507" s="488"/>
      <c r="U507" s="488"/>
      <c r="V507" s="489"/>
      <c r="W507" s="305"/>
      <c r="X507" s="305"/>
      <c r="Y507" s="305"/>
      <c r="Z507" s="305"/>
      <c r="AA507" s="305"/>
      <c r="AB507" s="305"/>
      <c r="AC507" s="305"/>
      <c r="AD507" s="305"/>
      <c r="AE507" s="305"/>
      <c r="AF507" s="305"/>
      <c r="AG507" s="305"/>
      <c r="AH507" s="305"/>
      <c r="AI507" s="305"/>
      <c r="AJ507" s="305"/>
      <c r="AK507" s="305"/>
      <c r="AL507" s="305"/>
      <c r="AM507" s="305"/>
      <c r="AN507" s="305"/>
      <c r="AO507" s="305"/>
      <c r="AP507" s="305"/>
      <c r="AQ507" s="305"/>
      <c r="AR507" s="305"/>
      <c r="AS507" s="305"/>
      <c r="AT507" s="305"/>
      <c r="AU507" s="465"/>
      <c r="AV507" s="465"/>
    </row>
    <row r="508" ht="17.25" customHeight="1">
      <c r="A508" s="414">
        <v>2.0</v>
      </c>
      <c r="B508" s="441" t="s">
        <v>88</v>
      </c>
      <c r="C508" s="407" t="s">
        <v>610</v>
      </c>
      <c r="D508" s="407" t="s">
        <v>924</v>
      </c>
      <c r="E508" s="408">
        <v>4.0</v>
      </c>
      <c r="F508" s="409" t="s">
        <v>928</v>
      </c>
      <c r="G508" s="407" t="s">
        <v>929</v>
      </c>
      <c r="H508" s="407">
        <v>4.085076346E9</v>
      </c>
      <c r="I508" s="407" t="s">
        <v>673</v>
      </c>
      <c r="J508" s="486">
        <v>45889.0</v>
      </c>
      <c r="K508" s="487" t="s">
        <v>1087</v>
      </c>
      <c r="L508" s="487"/>
      <c r="M508" s="407" t="s">
        <v>1086</v>
      </c>
      <c r="N508" s="406" t="s">
        <v>34</v>
      </c>
      <c r="O508" s="464">
        <v>46023.0</v>
      </c>
      <c r="P508" s="305"/>
      <c r="Q508" s="305"/>
      <c r="R508" s="305"/>
      <c r="S508" s="305"/>
      <c r="T508" s="488"/>
      <c r="U508" s="488"/>
      <c r="V508" s="489"/>
      <c r="W508" s="305"/>
      <c r="X508" s="305"/>
      <c r="Y508" s="305"/>
      <c r="Z508" s="305"/>
      <c r="AA508" s="305"/>
      <c r="AB508" s="305"/>
      <c r="AC508" s="305"/>
      <c r="AD508" s="305"/>
      <c r="AE508" s="305"/>
      <c r="AF508" s="305"/>
      <c r="AG508" s="305"/>
      <c r="AH508" s="305"/>
      <c r="AI508" s="305"/>
      <c r="AJ508" s="305"/>
      <c r="AK508" s="305"/>
      <c r="AL508" s="305"/>
      <c r="AM508" s="305"/>
      <c r="AN508" s="305"/>
      <c r="AO508" s="305"/>
      <c r="AP508" s="305"/>
      <c r="AQ508" s="305"/>
      <c r="AR508" s="305"/>
      <c r="AS508" s="305"/>
      <c r="AT508" s="305"/>
      <c r="AU508" s="465"/>
      <c r="AV508" s="465"/>
    </row>
    <row r="509" ht="17.25" customHeight="1">
      <c r="A509" s="414">
        <v>3.0</v>
      </c>
      <c r="B509" s="441" t="s">
        <v>48</v>
      </c>
      <c r="C509" s="407" t="s">
        <v>610</v>
      </c>
      <c r="D509" s="407" t="s">
        <v>955</v>
      </c>
      <c r="E509" s="408">
        <v>4.0</v>
      </c>
      <c r="F509" s="409" t="s">
        <v>925</v>
      </c>
      <c r="G509" s="407" t="s">
        <v>926</v>
      </c>
      <c r="H509" s="407">
        <v>4.085076346E9</v>
      </c>
      <c r="I509" s="407" t="s">
        <v>673</v>
      </c>
      <c r="J509" s="486">
        <v>45888.0</v>
      </c>
      <c r="K509" s="487" t="s">
        <v>246</v>
      </c>
      <c r="L509" s="487"/>
      <c r="M509" s="407" t="s">
        <v>1086</v>
      </c>
      <c r="N509" s="406" t="s">
        <v>34</v>
      </c>
      <c r="O509" s="464">
        <v>46023.0</v>
      </c>
      <c r="P509" s="490"/>
      <c r="Q509" s="490"/>
      <c r="R509" s="490"/>
      <c r="S509" s="490"/>
      <c r="T509" s="491"/>
      <c r="U509" s="491"/>
      <c r="V509" s="491"/>
      <c r="W509" s="490"/>
      <c r="X509" s="490"/>
      <c r="Y509" s="490"/>
      <c r="Z509" s="490"/>
      <c r="AA509" s="490"/>
      <c r="AB509" s="490"/>
      <c r="AC509" s="490"/>
      <c r="AD509" s="490"/>
      <c r="AE509" s="490"/>
      <c r="AF509" s="490"/>
      <c r="AG509" s="490"/>
      <c r="AH509" s="490"/>
      <c r="AI509" s="490"/>
      <c r="AJ509" s="490"/>
      <c r="AK509" s="490"/>
      <c r="AL509" s="490"/>
      <c r="AM509" s="490"/>
      <c r="AN509" s="490"/>
      <c r="AO509" s="490"/>
      <c r="AP509" s="490"/>
      <c r="AQ509" s="490"/>
      <c r="AR509" s="490"/>
      <c r="AS509" s="490"/>
      <c r="AT509" s="490"/>
      <c r="AU509" s="492"/>
      <c r="AV509" s="492"/>
    </row>
    <row r="510" ht="17.25" customHeight="1">
      <c r="A510" s="414">
        <v>4.0</v>
      </c>
      <c r="B510" s="441" t="s">
        <v>88</v>
      </c>
      <c r="C510" s="407" t="s">
        <v>610</v>
      </c>
      <c r="D510" s="407" t="s">
        <v>955</v>
      </c>
      <c r="E510" s="408">
        <v>4.0</v>
      </c>
      <c r="F510" s="409" t="s">
        <v>928</v>
      </c>
      <c r="G510" s="407" t="s">
        <v>929</v>
      </c>
      <c r="H510" s="407">
        <v>4.085076346E9</v>
      </c>
      <c r="I510" s="407" t="s">
        <v>673</v>
      </c>
      <c r="J510" s="486">
        <v>45888.0</v>
      </c>
      <c r="K510" s="487" t="s">
        <v>973</v>
      </c>
      <c r="L510" s="487"/>
      <c r="M510" s="407" t="s">
        <v>1086</v>
      </c>
      <c r="N510" s="406" t="s">
        <v>34</v>
      </c>
      <c r="O510" s="464">
        <v>46023.0</v>
      </c>
      <c r="P510" s="490"/>
      <c r="Q510" s="490"/>
      <c r="R510" s="490"/>
      <c r="S510" s="490"/>
      <c r="T510" s="491"/>
      <c r="U510" s="491"/>
      <c r="V510" s="491"/>
      <c r="W510" s="490"/>
      <c r="X510" s="490"/>
      <c r="Y510" s="490"/>
      <c r="Z510" s="490"/>
      <c r="AA510" s="490"/>
      <c r="AB510" s="490"/>
      <c r="AC510" s="490"/>
      <c r="AD510" s="490"/>
      <c r="AE510" s="490"/>
      <c r="AF510" s="490"/>
      <c r="AG510" s="490"/>
      <c r="AH510" s="490"/>
      <c r="AI510" s="490"/>
      <c r="AJ510" s="490"/>
      <c r="AK510" s="490"/>
      <c r="AL510" s="490"/>
      <c r="AM510" s="490"/>
      <c r="AN510" s="490"/>
      <c r="AO510" s="490"/>
      <c r="AP510" s="490"/>
      <c r="AQ510" s="490"/>
      <c r="AR510" s="490"/>
      <c r="AS510" s="490"/>
      <c r="AT510" s="490"/>
      <c r="AU510" s="492"/>
      <c r="AV510" s="492"/>
    </row>
    <row r="511" ht="17.25" customHeight="1">
      <c r="A511" s="414">
        <v>5.0</v>
      </c>
      <c r="B511" s="441" t="s">
        <v>88</v>
      </c>
      <c r="C511" s="407" t="s">
        <v>464</v>
      </c>
      <c r="D511" s="407" t="s">
        <v>478</v>
      </c>
      <c r="E511" s="408">
        <v>4.0</v>
      </c>
      <c r="F511" s="409" t="s">
        <v>479</v>
      </c>
      <c r="G511" s="407" t="s">
        <v>469</v>
      </c>
      <c r="H511" s="407">
        <v>4.085108805E9</v>
      </c>
      <c r="I511" s="407" t="s">
        <v>470</v>
      </c>
      <c r="J511" s="486">
        <v>45888.0</v>
      </c>
      <c r="K511" s="487" t="s">
        <v>243</v>
      </c>
      <c r="L511" s="487"/>
      <c r="M511" s="407" t="s">
        <v>1088</v>
      </c>
      <c r="N511" s="406" t="s">
        <v>34</v>
      </c>
      <c r="O511" s="464">
        <v>46023.0</v>
      </c>
      <c r="P511" s="465"/>
      <c r="Q511" s="465"/>
      <c r="R511" s="465"/>
      <c r="S511" s="465"/>
      <c r="T511" s="488"/>
      <c r="U511" s="488"/>
      <c r="V511" s="489"/>
      <c r="W511" s="465"/>
      <c r="X511" s="465"/>
      <c r="Y511" s="465"/>
      <c r="Z511" s="465"/>
      <c r="AA511" s="465"/>
      <c r="AB511" s="465"/>
      <c r="AC511" s="465"/>
      <c r="AD511" s="465"/>
      <c r="AE511" s="465"/>
      <c r="AF511" s="465"/>
      <c r="AG511" s="465"/>
      <c r="AH511" s="465"/>
      <c r="AI511" s="465"/>
      <c r="AJ511" s="465"/>
      <c r="AK511" s="465"/>
      <c r="AL511" s="465"/>
      <c r="AM511" s="465"/>
      <c r="AN511" s="465"/>
      <c r="AO511" s="465"/>
      <c r="AP511" s="465"/>
      <c r="AQ511" s="465"/>
      <c r="AR511" s="465"/>
      <c r="AS511" s="465"/>
      <c r="AT511" s="465"/>
      <c r="AU511" s="465"/>
      <c r="AV511" s="465"/>
    </row>
    <row r="512" ht="17.25" customHeight="1">
      <c r="A512" s="414">
        <v>6.0</v>
      </c>
      <c r="B512" s="441" t="s">
        <v>88</v>
      </c>
      <c r="C512" s="407" t="s">
        <v>1089</v>
      </c>
      <c r="D512" s="407" t="s">
        <v>1090</v>
      </c>
      <c r="E512" s="408" t="s">
        <v>249</v>
      </c>
      <c r="F512" s="409">
        <v>44245.0</v>
      </c>
      <c r="G512" s="407" t="s">
        <v>1091</v>
      </c>
      <c r="H512" s="407">
        <v>6.503056008E9</v>
      </c>
      <c r="I512" s="407" t="s">
        <v>1092</v>
      </c>
      <c r="J512" s="486">
        <v>45658.0</v>
      </c>
      <c r="K512" s="487"/>
      <c r="L512" s="487"/>
      <c r="M512" s="407" t="s">
        <v>1093</v>
      </c>
      <c r="N512" s="406" t="s">
        <v>34</v>
      </c>
      <c r="O512" s="464">
        <v>46023.0</v>
      </c>
      <c r="P512" s="305"/>
      <c r="Q512" s="305"/>
      <c r="R512" s="305"/>
      <c r="S512" s="305"/>
      <c r="T512" s="493"/>
      <c r="U512" s="493"/>
      <c r="V512" s="493"/>
      <c r="W512" s="305"/>
      <c r="X512" s="305"/>
      <c r="Y512" s="305"/>
      <c r="Z512" s="305"/>
      <c r="AA512" s="305"/>
      <c r="AB512" s="305"/>
      <c r="AC512" s="305"/>
      <c r="AD512" s="305"/>
      <c r="AE512" s="305"/>
      <c r="AF512" s="305"/>
      <c r="AG512" s="305"/>
      <c r="AH512" s="305"/>
      <c r="AI512" s="305"/>
      <c r="AJ512" s="305"/>
      <c r="AK512" s="305"/>
      <c r="AL512" s="305"/>
      <c r="AM512" s="305"/>
      <c r="AN512" s="305"/>
      <c r="AO512" s="305"/>
      <c r="AP512" s="305"/>
      <c r="AQ512" s="305"/>
      <c r="AR512" s="305"/>
      <c r="AS512" s="305"/>
      <c r="AT512" s="305"/>
      <c r="AU512" s="465"/>
      <c r="AV512" s="465"/>
    </row>
    <row r="513" ht="15.0" customHeight="1">
      <c r="A513" s="95">
        <v>31.0</v>
      </c>
      <c r="B513" s="441" t="s">
        <v>48</v>
      </c>
      <c r="C513" s="407" t="s">
        <v>1094</v>
      </c>
      <c r="D513" s="407" t="s">
        <v>1095</v>
      </c>
      <c r="E513" s="408">
        <v>4.0</v>
      </c>
      <c r="F513" s="409" t="s">
        <v>1096</v>
      </c>
      <c r="G513" s="407" t="s">
        <v>1097</v>
      </c>
      <c r="H513" s="407">
        <v>3.415296214E9</v>
      </c>
      <c r="I513" s="407" t="s">
        <v>1098</v>
      </c>
      <c r="J513" s="486" t="s">
        <v>1099</v>
      </c>
      <c r="K513" s="487" t="s">
        <v>210</v>
      </c>
      <c r="L513" s="487"/>
      <c r="M513" s="407" t="s">
        <v>1100</v>
      </c>
      <c r="N513" s="406" t="s">
        <v>34</v>
      </c>
      <c r="O513" s="410"/>
      <c r="P513" s="494"/>
      <c r="Q513" s="494"/>
      <c r="R513" s="494"/>
      <c r="S513" s="494"/>
      <c r="T513" s="494"/>
      <c r="U513" s="494"/>
      <c r="V513" s="494"/>
      <c r="W513" s="494"/>
      <c r="X513" s="494"/>
      <c r="Y513" s="494"/>
      <c r="Z513" s="494"/>
      <c r="AA513" s="494"/>
      <c r="AB513" s="494"/>
      <c r="AC513" s="494"/>
      <c r="AD513" s="494"/>
      <c r="AE513" s="494"/>
      <c r="AF513" s="494"/>
      <c r="AG513" s="494"/>
      <c r="AH513" s="494"/>
      <c r="AI513" s="494"/>
      <c r="AJ513" s="494"/>
      <c r="AK513" s="494"/>
      <c r="AL513" s="494"/>
      <c r="AM513" s="494"/>
      <c r="AN513" s="494"/>
      <c r="AO513" s="494"/>
      <c r="AP513" s="494"/>
      <c r="AQ513" s="494"/>
      <c r="AR513" s="494"/>
      <c r="AS513" s="494"/>
      <c r="AT513" s="494"/>
      <c r="AU513" s="495"/>
      <c r="AV513" s="495"/>
    </row>
    <row r="514" ht="15.0" customHeight="1">
      <c r="A514" s="95">
        <v>32.0</v>
      </c>
      <c r="B514" s="441" t="s">
        <v>88</v>
      </c>
      <c r="C514" s="407" t="s">
        <v>1094</v>
      </c>
      <c r="D514" s="407" t="s">
        <v>1095</v>
      </c>
      <c r="E514" s="408">
        <v>4.0</v>
      </c>
      <c r="F514" s="409" t="s">
        <v>1096</v>
      </c>
      <c r="G514" s="407" t="s">
        <v>1097</v>
      </c>
      <c r="H514" s="407">
        <v>3.415296214E9</v>
      </c>
      <c r="I514" s="407" t="s">
        <v>1098</v>
      </c>
      <c r="J514" s="486" t="s">
        <v>1099</v>
      </c>
      <c r="K514" s="487" t="s">
        <v>111</v>
      </c>
      <c r="L514" s="487"/>
      <c r="M514" s="407" t="s">
        <v>1100</v>
      </c>
      <c r="N514" s="406" t="s">
        <v>34</v>
      </c>
      <c r="O514" s="410"/>
      <c r="P514" s="494"/>
      <c r="Q514" s="494"/>
      <c r="R514" s="494"/>
      <c r="S514" s="494"/>
      <c r="T514" s="494"/>
      <c r="U514" s="494"/>
      <c r="V514" s="494"/>
      <c r="W514" s="494"/>
      <c r="X514" s="494"/>
      <c r="Y514" s="494"/>
      <c r="Z514" s="494"/>
      <c r="AA514" s="494"/>
      <c r="AB514" s="494"/>
      <c r="AC514" s="494"/>
      <c r="AD514" s="494"/>
      <c r="AE514" s="494"/>
      <c r="AF514" s="494"/>
      <c r="AG514" s="494"/>
      <c r="AH514" s="494"/>
      <c r="AI514" s="494"/>
      <c r="AJ514" s="494"/>
      <c r="AK514" s="494"/>
      <c r="AL514" s="494"/>
      <c r="AM514" s="494"/>
      <c r="AN514" s="494"/>
      <c r="AO514" s="494"/>
      <c r="AP514" s="494"/>
      <c r="AQ514" s="494"/>
      <c r="AR514" s="494"/>
      <c r="AS514" s="494"/>
      <c r="AT514" s="494"/>
      <c r="AU514" s="495"/>
      <c r="AV514" s="495"/>
    </row>
    <row r="515" ht="15.0" customHeight="1">
      <c r="A515" s="95">
        <v>51.0</v>
      </c>
      <c r="B515" s="441" t="s">
        <v>48</v>
      </c>
      <c r="C515" s="407" t="s">
        <v>1101</v>
      </c>
      <c r="D515" s="407" t="s">
        <v>1102</v>
      </c>
      <c r="E515" s="408">
        <v>5.0</v>
      </c>
      <c r="F515" s="409">
        <v>41852.0</v>
      </c>
      <c r="G515" s="407" t="s">
        <v>1103</v>
      </c>
      <c r="H515" s="407" t="s">
        <v>1104</v>
      </c>
      <c r="I515" s="496" t="s">
        <v>1105</v>
      </c>
      <c r="J515" s="486">
        <v>45806.0</v>
      </c>
      <c r="K515" s="487" t="s">
        <v>183</v>
      </c>
      <c r="L515" s="487"/>
      <c r="M515" s="407" t="s">
        <v>1106</v>
      </c>
      <c r="N515" s="406" t="s">
        <v>34</v>
      </c>
      <c r="O515" s="410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102"/>
      <c r="AV515" s="102"/>
    </row>
    <row r="516" ht="15.0" customHeight="1">
      <c r="A516" s="95">
        <v>52.0</v>
      </c>
      <c r="B516" s="406" t="s">
        <v>88</v>
      </c>
      <c r="C516" s="462" t="s">
        <v>1101</v>
      </c>
      <c r="D516" s="462" t="s">
        <v>1102</v>
      </c>
      <c r="E516" s="414">
        <v>5.0</v>
      </c>
      <c r="F516" s="415">
        <v>41852.0</v>
      </c>
      <c r="G516" s="497" t="s">
        <v>1103</v>
      </c>
      <c r="H516" s="497" t="s">
        <v>1104</v>
      </c>
      <c r="I516" s="498" t="s">
        <v>1105</v>
      </c>
      <c r="J516" s="499">
        <v>45962.0</v>
      </c>
      <c r="K516" s="500" t="s">
        <v>111</v>
      </c>
      <c r="L516" s="500"/>
      <c r="M516" s="407" t="s">
        <v>1106</v>
      </c>
      <c r="N516" s="406" t="s">
        <v>34</v>
      </c>
      <c r="O516" s="501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102"/>
      <c r="AV516" s="102"/>
    </row>
    <row r="517" ht="17.25" customHeight="1">
      <c r="A517" s="86"/>
      <c r="B517" s="12"/>
      <c r="C517" s="82"/>
      <c r="D517" s="82"/>
      <c r="E517" s="12"/>
      <c r="F517" s="12"/>
      <c r="G517" s="82"/>
      <c r="H517" s="82"/>
      <c r="I517" s="33"/>
      <c r="J517" s="82"/>
      <c r="K517" s="82"/>
      <c r="L517" s="82"/>
      <c r="M517" s="82"/>
      <c r="N517" s="12"/>
      <c r="O517" s="8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 ht="17.25" customHeight="1">
      <c r="A518" s="86"/>
      <c r="B518" s="12"/>
      <c r="C518" s="82"/>
      <c r="D518" s="82"/>
      <c r="E518" s="12"/>
      <c r="F518" s="12"/>
      <c r="G518" s="82"/>
      <c r="H518" s="82"/>
      <c r="I518" s="33"/>
      <c r="J518" s="82"/>
      <c r="K518" s="82"/>
      <c r="L518" s="82"/>
      <c r="M518" s="82"/>
      <c r="N518" s="12"/>
      <c r="O518" s="8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 ht="17.25" customHeight="1">
      <c r="A519" s="86"/>
      <c r="B519" s="12"/>
      <c r="C519" s="82"/>
      <c r="D519" s="82"/>
      <c r="E519" s="12"/>
      <c r="F519" s="12"/>
      <c r="G519" s="82"/>
      <c r="H519" s="82"/>
      <c r="I519" s="33"/>
      <c r="J519" s="82"/>
      <c r="K519" s="82"/>
      <c r="L519" s="82"/>
      <c r="M519" s="82"/>
      <c r="N519" s="12"/>
      <c r="O519" s="8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 ht="17.25" customHeight="1">
      <c r="A520" s="86"/>
      <c r="B520" s="12"/>
      <c r="C520" s="82"/>
      <c r="D520" s="82"/>
      <c r="E520" s="12"/>
      <c r="F520" s="12"/>
      <c r="G520" s="82"/>
      <c r="H520" s="82"/>
      <c r="I520" s="33"/>
      <c r="J520" s="82"/>
      <c r="K520" s="82"/>
      <c r="L520" s="82"/>
      <c r="M520" s="82"/>
      <c r="N520" s="12"/>
      <c r="O520" s="8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 ht="17.25" customHeight="1">
      <c r="A521" s="86"/>
      <c r="B521" s="12"/>
      <c r="C521" s="82"/>
      <c r="D521" s="82"/>
      <c r="E521" s="12"/>
      <c r="F521" s="12"/>
      <c r="G521" s="82"/>
      <c r="H521" s="82"/>
      <c r="I521" s="33"/>
      <c r="J521" s="82"/>
      <c r="K521" s="82"/>
      <c r="L521" s="82"/>
      <c r="M521" s="82"/>
      <c r="N521" s="12"/>
      <c r="O521" s="8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 ht="17.25" customHeight="1">
      <c r="A522" s="86"/>
      <c r="B522" s="12"/>
      <c r="C522" s="82"/>
      <c r="D522" s="82"/>
      <c r="E522" s="12"/>
      <c r="F522" s="12"/>
      <c r="G522" s="82"/>
      <c r="H522" s="82"/>
      <c r="I522" s="33"/>
      <c r="J522" s="82"/>
      <c r="K522" s="82"/>
      <c r="L522" s="82"/>
      <c r="M522" s="82"/>
      <c r="N522" s="12"/>
      <c r="O522" s="8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 ht="17.25" customHeight="1">
      <c r="A523" s="86"/>
      <c r="B523" s="12"/>
      <c r="C523" s="82"/>
      <c r="D523" s="82"/>
      <c r="E523" s="12"/>
      <c r="F523" s="12"/>
      <c r="G523" s="82"/>
      <c r="H523" s="82"/>
      <c r="I523" s="33"/>
      <c r="J523" s="82"/>
      <c r="K523" s="82"/>
      <c r="L523" s="82"/>
      <c r="M523" s="82"/>
      <c r="N523" s="12"/>
      <c r="O523" s="8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 ht="17.25" customHeight="1">
      <c r="A524" s="86"/>
      <c r="B524" s="12"/>
      <c r="C524" s="82"/>
      <c r="D524" s="82"/>
      <c r="E524" s="12"/>
      <c r="F524" s="12"/>
      <c r="G524" s="82"/>
      <c r="H524" s="82"/>
      <c r="I524" s="33"/>
      <c r="J524" s="82"/>
      <c r="K524" s="82"/>
      <c r="L524" s="82"/>
      <c r="M524" s="82"/>
      <c r="N524" s="12"/>
      <c r="O524" s="8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 ht="17.25" customHeight="1">
      <c r="A525" s="86"/>
      <c r="B525" s="12"/>
      <c r="C525" s="82"/>
      <c r="D525" s="82"/>
      <c r="E525" s="12"/>
      <c r="F525" s="12"/>
      <c r="G525" s="82"/>
      <c r="H525" s="82"/>
      <c r="I525" s="33"/>
      <c r="J525" s="82"/>
      <c r="K525" s="82"/>
      <c r="L525" s="82"/>
      <c r="M525" s="82"/>
      <c r="N525" s="12"/>
      <c r="O525" s="8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 ht="17.25" customHeight="1">
      <c r="A526" s="86"/>
      <c r="B526" s="12"/>
      <c r="C526" s="82"/>
      <c r="D526" s="82"/>
      <c r="E526" s="12"/>
      <c r="F526" s="12"/>
      <c r="G526" s="82"/>
      <c r="H526" s="82"/>
      <c r="I526" s="33"/>
      <c r="J526" s="82"/>
      <c r="K526" s="82"/>
      <c r="L526" s="82"/>
      <c r="M526" s="82"/>
      <c r="N526" s="12"/>
      <c r="O526" s="8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 ht="17.25" customHeight="1">
      <c r="A527" s="86"/>
      <c r="B527" s="12"/>
      <c r="C527" s="82"/>
      <c r="D527" s="82"/>
      <c r="E527" s="12"/>
      <c r="F527" s="12"/>
      <c r="G527" s="82"/>
      <c r="H527" s="82"/>
      <c r="I527" s="33"/>
      <c r="J527" s="82"/>
      <c r="K527" s="82"/>
      <c r="L527" s="82"/>
      <c r="M527" s="82"/>
      <c r="N527" s="12"/>
      <c r="O527" s="8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 ht="17.25" customHeight="1">
      <c r="A528" s="86"/>
      <c r="B528" s="12"/>
      <c r="C528" s="82"/>
      <c r="D528" s="82"/>
      <c r="E528" s="12"/>
      <c r="F528" s="12"/>
      <c r="G528" s="82"/>
      <c r="H528" s="82"/>
      <c r="I528" s="33"/>
      <c r="J528" s="82"/>
      <c r="K528" s="82"/>
      <c r="L528" s="82"/>
      <c r="M528" s="82"/>
      <c r="N528" s="12"/>
      <c r="O528" s="8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 ht="17.25" customHeight="1">
      <c r="A529" s="86"/>
      <c r="B529" s="12"/>
      <c r="C529" s="82"/>
      <c r="D529" s="82"/>
      <c r="E529" s="12"/>
      <c r="F529" s="12"/>
      <c r="G529" s="82"/>
      <c r="H529" s="82"/>
      <c r="I529" s="33"/>
      <c r="J529" s="82"/>
      <c r="K529" s="82"/>
      <c r="L529" s="82"/>
      <c r="M529" s="82"/>
      <c r="N529" s="12"/>
      <c r="O529" s="8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 ht="17.25" customHeight="1">
      <c r="A530" s="86"/>
      <c r="B530" s="12"/>
      <c r="C530" s="82"/>
      <c r="D530" s="82"/>
      <c r="E530" s="12"/>
      <c r="F530" s="12"/>
      <c r="G530" s="82"/>
      <c r="H530" s="82"/>
      <c r="I530" s="33"/>
      <c r="J530" s="82"/>
      <c r="K530" s="82"/>
      <c r="L530" s="82"/>
      <c r="M530" s="82"/>
      <c r="N530" s="12"/>
      <c r="O530" s="8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 ht="17.25" customHeight="1">
      <c r="A531" s="86"/>
      <c r="B531" s="12"/>
      <c r="C531" s="82"/>
      <c r="D531" s="82"/>
      <c r="E531" s="12"/>
      <c r="F531" s="12"/>
      <c r="G531" s="82"/>
      <c r="H531" s="82"/>
      <c r="I531" s="33"/>
      <c r="J531" s="82"/>
      <c r="K531" s="82"/>
      <c r="L531" s="82"/>
      <c r="M531" s="82"/>
      <c r="N531" s="12"/>
      <c r="O531" s="8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 ht="17.25" customHeight="1">
      <c r="A532" s="86"/>
      <c r="B532" s="12"/>
      <c r="C532" s="82"/>
      <c r="D532" s="82"/>
      <c r="E532" s="12"/>
      <c r="F532" s="12"/>
      <c r="G532" s="82"/>
      <c r="H532" s="82"/>
      <c r="I532" s="33"/>
      <c r="J532" s="82"/>
      <c r="K532" s="82"/>
      <c r="L532" s="82"/>
      <c r="M532" s="82"/>
      <c r="N532" s="12"/>
      <c r="O532" s="8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 ht="17.25" customHeight="1">
      <c r="A533" s="86"/>
      <c r="B533" s="12"/>
      <c r="C533" s="82"/>
      <c r="D533" s="82"/>
      <c r="E533" s="12"/>
      <c r="F533" s="12"/>
      <c r="G533" s="82"/>
      <c r="H533" s="82"/>
      <c r="I533" s="33"/>
      <c r="J533" s="82"/>
      <c r="K533" s="82"/>
      <c r="L533" s="82"/>
      <c r="M533" s="82"/>
      <c r="N533" s="12"/>
      <c r="O533" s="8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 ht="17.25" customHeight="1">
      <c r="A534" s="86"/>
      <c r="B534" s="12"/>
      <c r="C534" s="82"/>
      <c r="D534" s="82"/>
      <c r="E534" s="12"/>
      <c r="F534" s="12"/>
      <c r="G534" s="82"/>
      <c r="H534" s="82"/>
      <c r="I534" s="33"/>
      <c r="J534" s="82"/>
      <c r="K534" s="82"/>
      <c r="L534" s="82"/>
      <c r="M534" s="82"/>
      <c r="N534" s="12"/>
      <c r="O534" s="8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 ht="17.25" customHeight="1">
      <c r="A535" s="86"/>
      <c r="B535" s="12"/>
      <c r="C535" s="82"/>
      <c r="D535" s="82"/>
      <c r="E535" s="12"/>
      <c r="F535" s="12"/>
      <c r="G535" s="82"/>
      <c r="H535" s="82"/>
      <c r="I535" s="33"/>
      <c r="J535" s="82"/>
      <c r="K535" s="82"/>
      <c r="L535" s="82"/>
      <c r="M535" s="82"/>
      <c r="N535" s="12"/>
      <c r="O535" s="8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 ht="17.25" customHeight="1">
      <c r="A536" s="86"/>
      <c r="B536" s="12"/>
      <c r="C536" s="82"/>
      <c r="D536" s="82"/>
      <c r="E536" s="12"/>
      <c r="F536" s="12"/>
      <c r="G536" s="82"/>
      <c r="H536" s="82"/>
      <c r="I536" s="33"/>
      <c r="J536" s="82"/>
      <c r="K536" s="82"/>
      <c r="L536" s="82"/>
      <c r="M536" s="82"/>
      <c r="N536" s="12"/>
      <c r="O536" s="8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 ht="17.25" customHeight="1">
      <c r="A537" s="86"/>
      <c r="B537" s="12"/>
      <c r="C537" s="82"/>
      <c r="D537" s="82"/>
      <c r="E537" s="12"/>
      <c r="F537" s="12"/>
      <c r="G537" s="82"/>
      <c r="H537" s="82"/>
      <c r="I537" s="33"/>
      <c r="J537" s="82"/>
      <c r="K537" s="82"/>
      <c r="L537" s="82"/>
      <c r="M537" s="82"/>
      <c r="N537" s="12"/>
      <c r="O537" s="8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 ht="17.25" customHeight="1">
      <c r="A538" s="86"/>
      <c r="B538" s="12"/>
      <c r="C538" s="82"/>
      <c r="D538" s="82"/>
      <c r="E538" s="12"/>
      <c r="F538" s="12"/>
      <c r="G538" s="82"/>
      <c r="H538" s="82"/>
      <c r="I538" s="33"/>
      <c r="J538" s="82"/>
      <c r="K538" s="82"/>
      <c r="L538" s="82"/>
      <c r="M538" s="82"/>
      <c r="N538" s="12"/>
      <c r="O538" s="8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 ht="17.25" customHeight="1">
      <c r="A539" s="86"/>
      <c r="B539" s="12"/>
      <c r="C539" s="82"/>
      <c r="D539" s="82"/>
      <c r="E539" s="12"/>
      <c r="F539" s="12"/>
      <c r="G539" s="82"/>
      <c r="H539" s="82"/>
      <c r="I539" s="33"/>
      <c r="J539" s="82"/>
      <c r="K539" s="82"/>
      <c r="L539" s="82"/>
      <c r="M539" s="82"/>
      <c r="N539" s="12"/>
      <c r="O539" s="8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 ht="17.25" customHeight="1">
      <c r="A540" s="86"/>
      <c r="B540" s="12"/>
      <c r="C540" s="82"/>
      <c r="D540" s="82"/>
      <c r="E540" s="12"/>
      <c r="F540" s="12"/>
      <c r="G540" s="82"/>
      <c r="H540" s="82"/>
      <c r="I540" s="33"/>
      <c r="J540" s="82"/>
      <c r="K540" s="82"/>
      <c r="L540" s="82"/>
      <c r="M540" s="82"/>
      <c r="N540" s="12"/>
      <c r="O540" s="8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 ht="15.75" customHeight="1">
      <c r="B541" s="502"/>
      <c r="E541" s="503"/>
      <c r="F541" s="503"/>
      <c r="N541" s="502"/>
    </row>
    <row r="542" ht="15.75" customHeight="1">
      <c r="B542" s="502"/>
      <c r="E542" s="503"/>
      <c r="F542" s="503"/>
      <c r="N542" s="502"/>
    </row>
    <row r="543" ht="15.75" customHeight="1">
      <c r="B543" s="502"/>
      <c r="E543" s="503"/>
      <c r="F543" s="503"/>
      <c r="N543" s="502"/>
    </row>
    <row r="544" ht="15.75" customHeight="1">
      <c r="B544" s="502"/>
      <c r="E544" s="503"/>
      <c r="F544" s="503"/>
      <c r="N544" s="502"/>
    </row>
    <row r="545" ht="15.75" customHeight="1">
      <c r="B545" s="502"/>
      <c r="E545" s="503"/>
      <c r="F545" s="503"/>
      <c r="N545" s="502"/>
    </row>
    <row r="546" ht="15.75" customHeight="1">
      <c r="B546" s="502"/>
      <c r="E546" s="503"/>
      <c r="F546" s="503"/>
      <c r="N546" s="502"/>
    </row>
    <row r="547" ht="15.75" customHeight="1">
      <c r="B547" s="502"/>
      <c r="E547" s="503"/>
      <c r="F547" s="503"/>
      <c r="N547" s="502"/>
    </row>
    <row r="548" ht="15.75" customHeight="1">
      <c r="B548" s="502"/>
      <c r="E548" s="503"/>
      <c r="F548" s="503"/>
      <c r="N548" s="502"/>
    </row>
    <row r="549" ht="15.75" customHeight="1">
      <c r="B549" s="502"/>
      <c r="E549" s="503"/>
      <c r="F549" s="503"/>
      <c r="N549" s="502"/>
    </row>
    <row r="550" ht="15.75" customHeight="1">
      <c r="B550" s="502"/>
      <c r="E550" s="503"/>
      <c r="F550" s="503"/>
      <c r="N550" s="502"/>
    </row>
    <row r="551" ht="15.75" customHeight="1">
      <c r="B551" s="502"/>
      <c r="E551" s="503"/>
      <c r="F551" s="503"/>
      <c r="N551" s="502"/>
    </row>
    <row r="552" ht="15.75" customHeight="1">
      <c r="B552" s="502"/>
      <c r="E552" s="503"/>
      <c r="F552" s="503"/>
      <c r="N552" s="502"/>
    </row>
    <row r="553" ht="15.75" customHeight="1">
      <c r="B553" s="502"/>
      <c r="E553" s="503"/>
      <c r="F553" s="503"/>
      <c r="N553" s="502"/>
    </row>
    <row r="554" ht="15.75" customHeight="1">
      <c r="B554" s="502"/>
      <c r="E554" s="503"/>
      <c r="F554" s="503"/>
      <c r="N554" s="502"/>
    </row>
    <row r="555" ht="15.75" customHeight="1">
      <c r="B555" s="502"/>
      <c r="E555" s="503"/>
      <c r="F555" s="503"/>
      <c r="N555" s="502"/>
    </row>
    <row r="556" ht="15.75" customHeight="1">
      <c r="B556" s="502"/>
      <c r="E556" s="503"/>
      <c r="F556" s="503"/>
      <c r="N556" s="502"/>
    </row>
    <row r="557" ht="15.75" customHeight="1">
      <c r="B557" s="502"/>
      <c r="E557" s="503"/>
      <c r="F557" s="503"/>
      <c r="N557" s="502"/>
    </row>
    <row r="558" ht="15.75" customHeight="1">
      <c r="B558" s="502"/>
      <c r="E558" s="503"/>
      <c r="F558" s="503"/>
      <c r="N558" s="502"/>
    </row>
    <row r="559" ht="15.75" customHeight="1">
      <c r="B559" s="502"/>
      <c r="E559" s="503"/>
      <c r="F559" s="503"/>
      <c r="N559" s="502"/>
    </row>
    <row r="560" ht="15.75" customHeight="1">
      <c r="B560" s="502"/>
      <c r="E560" s="503"/>
      <c r="F560" s="503"/>
      <c r="N560" s="502"/>
    </row>
    <row r="561" ht="15.75" customHeight="1">
      <c r="B561" s="502"/>
      <c r="E561" s="503"/>
      <c r="F561" s="503"/>
      <c r="N561" s="502"/>
    </row>
    <row r="562" ht="15.75" customHeight="1">
      <c r="B562" s="502"/>
      <c r="E562" s="503"/>
      <c r="F562" s="503"/>
      <c r="N562" s="502"/>
    </row>
    <row r="563" ht="15.75" customHeight="1">
      <c r="B563" s="502"/>
      <c r="E563" s="503"/>
      <c r="F563" s="503"/>
      <c r="N563" s="502"/>
    </row>
    <row r="564" ht="15.75" customHeight="1">
      <c r="B564" s="502"/>
      <c r="E564" s="503"/>
      <c r="F564" s="503"/>
      <c r="N564" s="502"/>
    </row>
    <row r="565" ht="15.75" customHeight="1">
      <c r="B565" s="502"/>
      <c r="E565" s="503"/>
      <c r="F565" s="503"/>
      <c r="N565" s="502"/>
    </row>
    <row r="566" ht="15.75" customHeight="1">
      <c r="B566" s="502"/>
      <c r="E566" s="503"/>
      <c r="F566" s="503"/>
      <c r="N566" s="502"/>
    </row>
    <row r="567" ht="15.75" customHeight="1">
      <c r="B567" s="502"/>
      <c r="E567" s="503"/>
      <c r="F567" s="503"/>
      <c r="N567" s="502"/>
    </row>
    <row r="568" ht="15.75" customHeight="1">
      <c r="B568" s="502"/>
      <c r="E568" s="503"/>
      <c r="F568" s="503"/>
      <c r="N568" s="502"/>
    </row>
    <row r="569" ht="15.75" customHeight="1">
      <c r="B569" s="502"/>
      <c r="E569" s="503"/>
      <c r="F569" s="503"/>
      <c r="N569" s="502"/>
    </row>
    <row r="570" ht="15.75" customHeight="1">
      <c r="B570" s="502"/>
      <c r="E570" s="503"/>
      <c r="F570" s="503"/>
      <c r="N570" s="502"/>
    </row>
    <row r="571" ht="15.75" customHeight="1">
      <c r="B571" s="502"/>
      <c r="E571" s="503"/>
      <c r="F571" s="503"/>
      <c r="N571" s="502"/>
    </row>
    <row r="572" ht="15.75" customHeight="1">
      <c r="B572" s="502"/>
      <c r="E572" s="503"/>
      <c r="F572" s="503"/>
      <c r="N572" s="502"/>
    </row>
    <row r="573" ht="15.75" customHeight="1">
      <c r="B573" s="502"/>
      <c r="E573" s="503"/>
      <c r="F573" s="503"/>
      <c r="N573" s="502"/>
    </row>
    <row r="574" ht="15.75" customHeight="1">
      <c r="B574" s="502"/>
      <c r="E574" s="503"/>
      <c r="F574" s="503"/>
      <c r="N574" s="502"/>
    </row>
    <row r="575" ht="15.75" customHeight="1">
      <c r="B575" s="502"/>
      <c r="E575" s="503"/>
      <c r="F575" s="503"/>
      <c r="N575" s="502"/>
    </row>
    <row r="576" ht="15.75" customHeight="1">
      <c r="B576" s="502"/>
      <c r="E576" s="503"/>
      <c r="F576" s="503"/>
      <c r="N576" s="502"/>
    </row>
    <row r="577" ht="15.75" customHeight="1">
      <c r="B577" s="502"/>
      <c r="E577" s="503"/>
      <c r="F577" s="503"/>
      <c r="N577" s="502"/>
    </row>
    <row r="578" ht="15.75" customHeight="1">
      <c r="B578" s="502"/>
      <c r="E578" s="503"/>
      <c r="F578" s="503"/>
      <c r="N578" s="502"/>
    </row>
    <row r="579" ht="15.75" customHeight="1">
      <c r="B579" s="502"/>
      <c r="E579" s="503"/>
      <c r="F579" s="503"/>
      <c r="N579" s="502"/>
    </row>
    <row r="580" ht="15.75" customHeight="1">
      <c r="B580" s="502"/>
      <c r="E580" s="503"/>
      <c r="F580" s="503"/>
      <c r="N580" s="502"/>
    </row>
    <row r="581" ht="15.75" customHeight="1">
      <c r="B581" s="502"/>
      <c r="E581" s="503"/>
      <c r="F581" s="503"/>
      <c r="N581" s="502"/>
    </row>
    <row r="582" ht="15.75" customHeight="1">
      <c r="B582" s="502"/>
      <c r="E582" s="503"/>
      <c r="F582" s="503"/>
      <c r="N582" s="502"/>
    </row>
    <row r="583" ht="15.75" customHeight="1">
      <c r="B583" s="502"/>
      <c r="E583" s="503"/>
      <c r="F583" s="503"/>
      <c r="N583" s="502"/>
    </row>
    <row r="584" ht="15.75" customHeight="1">
      <c r="B584" s="502"/>
      <c r="E584" s="503"/>
      <c r="F584" s="503"/>
      <c r="N584" s="502"/>
    </row>
    <row r="585" ht="15.75" customHeight="1">
      <c r="B585" s="502"/>
      <c r="E585" s="503"/>
      <c r="F585" s="503"/>
      <c r="N585" s="502"/>
    </row>
    <row r="586" ht="15.75" customHeight="1">
      <c r="B586" s="502"/>
      <c r="E586" s="503"/>
      <c r="F586" s="503"/>
      <c r="N586" s="502"/>
    </row>
    <row r="587" ht="15.75" customHeight="1">
      <c r="B587" s="502"/>
      <c r="E587" s="503"/>
      <c r="F587" s="503"/>
      <c r="N587" s="502"/>
    </row>
    <row r="588" ht="15.75" customHeight="1">
      <c r="B588" s="502"/>
      <c r="E588" s="503"/>
      <c r="F588" s="503"/>
      <c r="N588" s="502"/>
    </row>
    <row r="589" ht="15.75" customHeight="1">
      <c r="B589" s="502"/>
      <c r="E589" s="503"/>
      <c r="F589" s="503"/>
      <c r="N589" s="502"/>
    </row>
    <row r="590" ht="15.75" customHeight="1">
      <c r="B590" s="502"/>
      <c r="E590" s="503"/>
      <c r="F590" s="503"/>
      <c r="N590" s="502"/>
    </row>
    <row r="591" ht="15.75" customHeight="1">
      <c r="B591" s="502"/>
      <c r="E591" s="503"/>
      <c r="F591" s="503"/>
      <c r="N591" s="502"/>
    </row>
    <row r="592" ht="15.75" customHeight="1">
      <c r="B592" s="502"/>
      <c r="E592" s="503"/>
      <c r="F592" s="503"/>
      <c r="N592" s="502"/>
    </row>
    <row r="593" ht="15.75" customHeight="1">
      <c r="B593" s="502"/>
      <c r="E593" s="503"/>
      <c r="F593" s="503"/>
      <c r="N593" s="502"/>
    </row>
    <row r="594" ht="15.75" customHeight="1">
      <c r="B594" s="502"/>
      <c r="E594" s="503"/>
      <c r="F594" s="503"/>
      <c r="N594" s="502"/>
    </row>
    <row r="595">
      <c r="E595" s="503"/>
      <c r="F595" s="503"/>
    </row>
    <row r="596">
      <c r="E596" s="503"/>
      <c r="F596" s="503"/>
    </row>
    <row r="597">
      <c r="E597" s="503"/>
      <c r="F597" s="503"/>
    </row>
    <row r="598">
      <c r="E598" s="503"/>
      <c r="F598" s="503"/>
    </row>
    <row r="599">
      <c r="E599" s="503"/>
      <c r="F599" s="503"/>
    </row>
    <row r="600">
      <c r="E600" s="503"/>
      <c r="F600" s="503"/>
    </row>
    <row r="601">
      <c r="E601" s="503"/>
      <c r="F601" s="503"/>
    </row>
    <row r="602">
      <c r="E602" s="503"/>
      <c r="F602" s="503"/>
    </row>
    <row r="603">
      <c r="E603" s="503"/>
      <c r="F603" s="503"/>
    </row>
    <row r="604">
      <c r="E604" s="503"/>
      <c r="F604" s="503"/>
    </row>
    <row r="605">
      <c r="E605" s="503"/>
      <c r="F605" s="503"/>
    </row>
    <row r="606">
      <c r="E606" s="503"/>
      <c r="F606" s="503"/>
    </row>
    <row r="607">
      <c r="E607" s="503"/>
      <c r="F607" s="503"/>
    </row>
    <row r="608">
      <c r="E608" s="503"/>
      <c r="F608" s="503"/>
    </row>
    <row r="609">
      <c r="E609" s="503"/>
      <c r="F609" s="503"/>
    </row>
    <row r="610">
      <c r="E610" s="503"/>
      <c r="F610" s="503"/>
    </row>
    <row r="611">
      <c r="E611" s="503"/>
      <c r="F611" s="503"/>
    </row>
  </sheetData>
  <hyperlinks>
    <hyperlink r:id="rId1" ref="H81"/>
    <hyperlink r:id="rId2" ref="I81"/>
    <hyperlink r:id="rId3" ref="I226"/>
    <hyperlink r:id="rId4" ref="I247"/>
    <hyperlink r:id="rId5" ref="I248"/>
    <hyperlink r:id="rId6" ref="I388"/>
    <hyperlink r:id="rId7" ref="I515"/>
    <hyperlink r:id="rId8" ref="I516"/>
  </hyperlinks>
  <printOptions/>
  <pageMargins bottom="0.75" footer="0.0" header="0.0" left="0.25" right="0.25" top="0.75"/>
  <pageSetup orientation="portrait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04" t="s">
        <v>93</v>
      </c>
      <c r="B1" s="504" t="s">
        <v>1107</v>
      </c>
      <c r="C1" s="504" t="s">
        <v>1108</v>
      </c>
      <c r="D1" s="504" t="s">
        <v>92</v>
      </c>
      <c r="E1" s="504" t="s">
        <v>1109</v>
      </c>
      <c r="F1" s="504" t="s">
        <v>1110</v>
      </c>
      <c r="G1" s="504" t="s">
        <v>1111</v>
      </c>
      <c r="H1" s="504" t="s">
        <v>1112</v>
      </c>
      <c r="I1" s="504" t="s">
        <v>1113</v>
      </c>
      <c r="J1" s="504" t="s">
        <v>1114</v>
      </c>
      <c r="K1" s="504" t="s">
        <v>1115</v>
      </c>
      <c r="L1" s="504" t="s">
        <v>1116</v>
      </c>
      <c r="M1" s="504" t="s">
        <v>1117</v>
      </c>
      <c r="N1" s="504" t="s">
        <v>1118</v>
      </c>
      <c r="O1" s="504" t="s">
        <v>1119</v>
      </c>
    </row>
    <row r="2">
      <c r="A2" s="504"/>
      <c r="B2" s="504"/>
      <c r="C2" s="504"/>
      <c r="D2" s="504"/>
      <c r="E2" s="505"/>
      <c r="F2" s="506"/>
      <c r="G2" s="504"/>
      <c r="H2" s="504"/>
      <c r="I2" s="507"/>
      <c r="J2" s="507"/>
      <c r="K2" s="504"/>
      <c r="L2" s="504"/>
      <c r="M2" s="508"/>
      <c r="O2" s="509"/>
    </row>
    <row r="3">
      <c r="A3" s="504"/>
      <c r="B3" s="504"/>
      <c r="C3" s="504"/>
      <c r="D3" s="504"/>
      <c r="E3" s="505"/>
      <c r="F3" s="509"/>
      <c r="G3" s="504"/>
      <c r="H3" s="504"/>
      <c r="I3" s="507"/>
      <c r="J3" s="507"/>
      <c r="K3" s="504"/>
      <c r="L3" s="504"/>
      <c r="M3" s="508"/>
      <c r="O3" s="506"/>
    </row>
    <row r="4">
      <c r="A4" s="504"/>
      <c r="B4" s="504"/>
      <c r="C4" s="504"/>
      <c r="D4" s="504"/>
      <c r="E4" s="505"/>
      <c r="F4" s="509"/>
      <c r="G4" s="504"/>
      <c r="H4" s="504"/>
      <c r="I4" s="507"/>
      <c r="J4" s="504"/>
      <c r="K4" s="504"/>
      <c r="L4" s="504"/>
      <c r="M4" s="510"/>
      <c r="O4" s="506"/>
    </row>
    <row r="5">
      <c r="A5" s="504"/>
      <c r="B5" s="504"/>
      <c r="C5" s="504"/>
      <c r="D5" s="504"/>
      <c r="E5" s="505"/>
      <c r="F5" s="506"/>
      <c r="G5" s="504"/>
      <c r="H5" s="504"/>
      <c r="I5" s="504"/>
      <c r="J5" s="504"/>
      <c r="L5" s="504"/>
      <c r="M5" s="510"/>
      <c r="O5" s="509"/>
    </row>
    <row r="6">
      <c r="A6" s="504"/>
      <c r="B6" s="504"/>
      <c r="C6" s="504"/>
      <c r="D6" s="504"/>
      <c r="E6" s="505"/>
      <c r="F6" s="511"/>
      <c r="G6" s="504"/>
      <c r="H6" s="504"/>
      <c r="I6" s="507"/>
      <c r="J6" s="507"/>
      <c r="K6" s="504"/>
      <c r="L6" s="504"/>
      <c r="M6" s="508"/>
      <c r="O6" s="509"/>
    </row>
    <row r="7">
      <c r="A7" s="504"/>
      <c r="B7" s="504"/>
      <c r="C7" s="504"/>
      <c r="D7" s="504"/>
      <c r="E7" s="505"/>
      <c r="F7" s="509"/>
      <c r="G7" s="504"/>
      <c r="H7" s="504"/>
      <c r="I7" s="507"/>
      <c r="J7" s="507"/>
      <c r="K7" s="504"/>
      <c r="L7" s="504"/>
      <c r="M7" s="508"/>
      <c r="O7" s="509"/>
    </row>
    <row r="8">
      <c r="A8" s="504"/>
      <c r="B8" s="504"/>
      <c r="C8" s="504"/>
      <c r="D8" s="504"/>
      <c r="E8" s="505"/>
      <c r="F8" s="509"/>
      <c r="G8" s="504"/>
      <c r="H8" s="504"/>
      <c r="I8" s="507"/>
      <c r="J8" s="504"/>
      <c r="K8" s="504"/>
      <c r="L8" s="504"/>
      <c r="M8" s="508"/>
      <c r="O8" s="509"/>
    </row>
    <row r="9">
      <c r="A9" s="504"/>
      <c r="B9" s="504"/>
      <c r="C9" s="504"/>
      <c r="D9" s="504"/>
      <c r="E9" s="505"/>
      <c r="F9" s="506"/>
      <c r="G9" s="504"/>
      <c r="H9" s="504"/>
      <c r="I9" s="507"/>
      <c r="J9" s="507"/>
      <c r="K9" s="504"/>
      <c r="L9" s="504"/>
      <c r="M9" s="508"/>
      <c r="O9" s="506"/>
    </row>
    <row r="10">
      <c r="A10" s="504"/>
      <c r="B10" s="504"/>
      <c r="C10" s="504"/>
      <c r="D10" s="504"/>
      <c r="E10" s="505"/>
      <c r="F10" s="509"/>
      <c r="G10" s="504"/>
      <c r="H10" s="504"/>
      <c r="I10" s="507"/>
      <c r="J10" s="507"/>
      <c r="K10" s="504"/>
      <c r="L10" s="504"/>
      <c r="M10" s="508"/>
      <c r="O10" s="509"/>
    </row>
    <row r="11">
      <c r="A11" s="504"/>
      <c r="B11" s="504"/>
      <c r="C11" s="504"/>
      <c r="D11" s="504"/>
      <c r="E11" s="505"/>
      <c r="F11" s="509"/>
      <c r="G11" s="504"/>
      <c r="H11" s="504"/>
      <c r="I11" s="507"/>
      <c r="J11" s="507"/>
      <c r="K11" s="504"/>
      <c r="L11" s="504"/>
      <c r="M11" s="504"/>
      <c r="N11" s="504"/>
      <c r="O11" s="509"/>
    </row>
    <row r="12">
      <c r="A12" s="504"/>
      <c r="B12" s="504"/>
      <c r="C12" s="504"/>
      <c r="D12" s="504"/>
      <c r="E12" s="505"/>
      <c r="F12" s="509"/>
      <c r="G12" s="504"/>
      <c r="H12" s="504"/>
      <c r="I12" s="507"/>
      <c r="J12" s="507"/>
      <c r="K12" s="504"/>
      <c r="L12" s="504"/>
      <c r="M12" s="508"/>
      <c r="O12" s="509"/>
    </row>
    <row r="13">
      <c r="A13" s="504"/>
      <c r="B13" s="504"/>
      <c r="C13" s="504"/>
      <c r="D13" s="504"/>
      <c r="E13" s="505"/>
      <c r="F13" s="506"/>
      <c r="G13" s="504"/>
      <c r="H13" s="504"/>
      <c r="I13" s="507"/>
      <c r="J13" s="507"/>
      <c r="K13" s="504"/>
      <c r="L13" s="504"/>
      <c r="M13" s="510"/>
      <c r="O13" s="506"/>
    </row>
    <row r="14">
      <c r="A14" s="504"/>
      <c r="B14" s="504"/>
      <c r="C14" s="504"/>
      <c r="D14" s="504"/>
      <c r="E14" s="505"/>
      <c r="F14" s="509"/>
      <c r="G14" s="504"/>
      <c r="H14" s="504"/>
      <c r="I14" s="507"/>
      <c r="J14" s="504"/>
      <c r="K14" s="504"/>
      <c r="L14" s="504"/>
      <c r="M14" s="510"/>
      <c r="O14" s="506"/>
    </row>
    <row r="15">
      <c r="A15" s="504"/>
      <c r="B15" s="504"/>
      <c r="C15" s="504"/>
      <c r="D15" s="504"/>
      <c r="E15" s="505"/>
      <c r="F15" s="509"/>
      <c r="G15" s="504"/>
      <c r="H15" s="504"/>
      <c r="I15" s="507"/>
      <c r="J15" s="504"/>
      <c r="K15" s="504"/>
      <c r="L15" s="504"/>
      <c r="M15" s="508"/>
      <c r="O15" s="509"/>
    </row>
    <row r="16">
      <c r="A16" s="504"/>
      <c r="B16" s="504"/>
      <c r="C16" s="504"/>
      <c r="D16" s="504"/>
      <c r="E16" s="505"/>
      <c r="F16" s="506"/>
      <c r="G16" s="504"/>
      <c r="H16" s="504"/>
      <c r="I16" s="507"/>
      <c r="J16" s="504"/>
      <c r="K16" s="504"/>
      <c r="L16" s="504"/>
      <c r="M16" s="508"/>
      <c r="O16" s="509"/>
    </row>
    <row r="17">
      <c r="A17" s="504"/>
      <c r="B17" s="504"/>
      <c r="C17" s="504"/>
      <c r="D17" s="504"/>
      <c r="E17" s="505"/>
      <c r="F17" s="506"/>
      <c r="G17" s="504"/>
      <c r="H17" s="504"/>
      <c r="I17" s="507"/>
      <c r="J17" s="504"/>
      <c r="K17" s="504"/>
      <c r="L17" s="504"/>
      <c r="M17" s="510"/>
      <c r="O17" s="509"/>
    </row>
    <row r="18">
      <c r="A18" s="504"/>
      <c r="B18" s="504"/>
      <c r="C18" s="504"/>
      <c r="D18" s="504"/>
      <c r="E18" s="505"/>
      <c r="F18" s="509"/>
      <c r="G18" s="504"/>
      <c r="H18" s="504"/>
      <c r="I18" s="507"/>
      <c r="J18" s="504"/>
      <c r="K18" s="504"/>
      <c r="L18" s="504"/>
      <c r="M18" s="508"/>
      <c r="O18" s="509"/>
    </row>
  </sheetData>
  <mergeCells count="17">
    <mergeCell ref="M2:N2"/>
    <mergeCell ref="M3:N3"/>
    <mergeCell ref="M4:N4"/>
    <mergeCell ref="J5:K5"/>
    <mergeCell ref="M5:N5"/>
    <mergeCell ref="M6:N6"/>
    <mergeCell ref="M7:N7"/>
    <mergeCell ref="M16:N16"/>
    <mergeCell ref="M17:N17"/>
    <mergeCell ref="M18:N18"/>
    <mergeCell ref="M8:N8"/>
    <mergeCell ref="M9:N9"/>
    <mergeCell ref="M10:N10"/>
    <mergeCell ref="M12:N12"/>
    <mergeCell ref="M13:N13"/>
    <mergeCell ref="M14:N14"/>
    <mergeCell ref="M15:N15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2019-10-25T16:26:00Z</dcterms:created>
  <dc:creator>Han Fung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FD04E2472AF74C74B062D94EFCF2021B_12</vt:lpwstr>
  </property>
  <property fmtid="{D5CDD505-2E9C-101B-9397-08002B2CF9AE}" pid="3" name="KSOProductBuildVer">
    <vt:lpwstr>2052-12.1.0.21541</vt:lpwstr>
  </property>
</Properties>
</file>