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Mipitas\PAS Report\"/>
    </mc:Choice>
  </mc:AlternateContent>
  <xr:revisionPtr revIDLastSave="0" documentId="13_ncr:1_{BF109E3F-F908-4F53-8563-5B69690179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" sheetId="1" r:id="rId1"/>
    <sheet name="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dn+E89M8Yzw2IDv3vpbG7W+odhaIDKqiKLb3K6pbxwU="/>
    </ext>
  </extLst>
</workbook>
</file>

<file path=xl/calcChain.xml><?xml version="1.0" encoding="utf-8"?>
<calcChain xmlns="http://schemas.openxmlformats.org/spreadsheetml/2006/main">
  <c r="P878" i="2" l="1"/>
  <c r="S4" i="2"/>
  <c r="R4" i="2"/>
  <c r="V3" i="2"/>
  <c r="U3" i="2"/>
  <c r="T3" i="2"/>
  <c r="T4" i="2" s="1"/>
  <c r="S3" i="2"/>
  <c r="R3" i="2"/>
  <c r="Q3" i="2"/>
  <c r="X3" i="2" s="1"/>
  <c r="V2" i="2"/>
  <c r="V4" i="2" s="1"/>
  <c r="U2" i="2"/>
  <c r="U4" i="2" s="1"/>
  <c r="T2" i="2"/>
  <c r="S2" i="2"/>
  <c r="R2" i="2"/>
  <c r="Q2" i="2"/>
  <c r="Y2" i="2" s="1"/>
  <c r="C54" i="1"/>
  <c r="C53" i="1"/>
  <c r="D12" i="1" s="1"/>
  <c r="E12" i="1" s="1"/>
  <c r="C52" i="1"/>
  <c r="C44" i="1"/>
  <c r="C50" i="1" s="1"/>
  <c r="C56" i="1" s="1"/>
  <c r="C43" i="1"/>
  <c r="C49" i="1" s="1"/>
  <c r="L42" i="1"/>
  <c r="I42" i="1"/>
  <c r="L41" i="1"/>
  <c r="I41" i="1"/>
  <c r="C51" i="1" s="1"/>
  <c r="A31" i="1"/>
  <c r="A30" i="1"/>
  <c r="A29" i="1"/>
  <c r="A28" i="1"/>
  <c r="A27" i="1"/>
  <c r="A26" i="1"/>
  <c r="A25" i="1"/>
  <c r="E24" i="1"/>
  <c r="A24" i="1"/>
  <c r="E23" i="1"/>
  <c r="A23" i="1"/>
  <c r="A22" i="1"/>
  <c r="A21" i="1"/>
  <c r="A20" i="1"/>
  <c r="A19" i="1"/>
  <c r="E18" i="1"/>
  <c r="A18" i="1"/>
  <c r="D17" i="1"/>
  <c r="E17" i="1" s="1"/>
  <c r="C17" i="1"/>
  <c r="A17" i="1"/>
  <c r="D16" i="1"/>
  <c r="C16" i="1"/>
  <c r="E16" i="1" s="1"/>
  <c r="A16" i="1"/>
  <c r="D15" i="1"/>
  <c r="C15" i="1"/>
  <c r="E15" i="1" s="1"/>
  <c r="A15" i="1"/>
  <c r="D14" i="1"/>
  <c r="E14" i="1" s="1"/>
  <c r="C14" i="1"/>
  <c r="A14" i="1"/>
  <c r="D13" i="1"/>
  <c r="E13" i="1" s="1"/>
  <c r="A13" i="1"/>
  <c r="A12" i="1"/>
  <c r="D11" i="1"/>
  <c r="E11" i="1" s="1"/>
  <c r="A11" i="1"/>
  <c r="A10" i="1"/>
  <c r="A9" i="1"/>
  <c r="E26" i="1" l="1"/>
  <c r="E31" i="1" s="1"/>
  <c r="D56" i="1"/>
  <c r="D10" i="1"/>
  <c r="R5" i="2"/>
  <c r="C55" i="1"/>
  <c r="D9" i="1" s="1"/>
  <c r="Y3" i="2"/>
  <c r="Y4" i="2" s="1"/>
  <c r="W2" i="2"/>
  <c r="Q4" i="2"/>
  <c r="X2" i="2"/>
  <c r="X4" i="2" s="1"/>
  <c r="D44" i="1"/>
  <c r="W3" i="2"/>
  <c r="W4" i="2" l="1"/>
</calcChain>
</file>

<file path=xl/sharedStrings.xml><?xml version="1.0" encoding="utf-8"?>
<sst xmlns="http://schemas.openxmlformats.org/spreadsheetml/2006/main" count="8874" uniqueCount="1792">
  <si>
    <t>Report P</t>
  </si>
  <si>
    <t>Due by: 6/1/24</t>
  </si>
  <si>
    <t>Late charge applies after the 10th.</t>
  </si>
  <si>
    <t>Bill To:</t>
  </si>
  <si>
    <t>PEL Learning Center, Milpitas</t>
  </si>
  <si>
    <t>Date:</t>
  </si>
  <si>
    <t>365 JACKLIN RD.,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</si>
  <si>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</si>
  <si>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</si>
  <si>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</si>
  <si>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</si>
  <si>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</si>
  <si>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</si>
  <si>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</si>
  <si>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</si>
  <si>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</si>
  <si>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</si>
  <si>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</si>
  <si>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</si>
  <si>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</si>
  <si>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</si>
  <si>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</si>
  <si>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</si>
  <si>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</si>
  <si>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</si>
  <si>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</si>
  <si>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</t>
  </si>
  <si>
    <t>Credits for 2nd subject registration fees</t>
  </si>
  <si>
    <t>Balance due this mth</t>
  </si>
  <si>
    <t>COURTESY WAIVER</t>
  </si>
  <si>
    <t>Balance from prior mth</t>
  </si>
  <si>
    <t>Less: Pymt received</t>
  </si>
  <si>
    <t>Total due this mth (to be deducted via et on or after 6/10/24)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</si>
  <si>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</si>
  <si>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</si>
  <si>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</si>
  <si>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</si>
  <si>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</si>
  <si>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</si>
  <si>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</si>
  <si>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</si>
  <si>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</si>
  <si>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</si>
  <si>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</si>
  <si>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</si>
  <si>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</si>
  <si>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</si>
  <si>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</si>
  <si>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</si>
  <si>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</si>
  <si>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</si>
  <si>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</si>
  <si>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</si>
  <si>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</si>
  <si>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</si>
  <si>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</si>
  <si>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</si>
  <si>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</si>
  <si>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</si>
  <si>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</si>
  <si>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</si>
  <si>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</si>
  <si>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</si>
  <si>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</si>
  <si>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</si>
  <si>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</si>
  <si>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</si>
  <si>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</si>
  <si>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</si>
  <si>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</si>
  <si>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</si>
  <si>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</si>
  <si>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</si>
  <si>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</si>
  <si>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</si>
  <si>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</si>
  <si>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</si>
  <si>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</si>
  <si>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</si>
  <si>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</si>
  <si>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</si>
  <si>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</si>
  <si>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</si>
  <si>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Due by ; 05/01/2024</t>
  </si>
  <si>
    <t>N</t>
  </si>
  <si>
    <t>T</t>
  </si>
  <si>
    <t>R</t>
  </si>
  <si>
    <t>Start</t>
  </si>
  <si>
    <t>END</t>
  </si>
  <si>
    <t>CK</t>
  </si>
  <si>
    <t>PEL Learning Center, Milpitas 365 JACKLIN RD., Milpitas, CA</t>
  </si>
  <si>
    <t>M</t>
  </si>
  <si>
    <t>Center No.: LW1</t>
  </si>
  <si>
    <t>Subject (M/E)</t>
  </si>
  <si>
    <t>Last Name</t>
  </si>
  <si>
    <t>First Name</t>
  </si>
  <si>
    <t>School Grade</t>
  </si>
  <si>
    <t>DOB (MM/DD/YY)</t>
  </si>
  <si>
    <t>Address</t>
  </si>
  <si>
    <t>Email</t>
  </si>
  <si>
    <t>DOE (Date of Enrollment MM/DD/YY)</t>
  </si>
  <si>
    <t>PEL Wks. Level</t>
  </si>
  <si>
    <t>PEL Wks. No.</t>
  </si>
  <si>
    <t>Notes</t>
  </si>
  <si>
    <t>Code                  (C, N, A, R)</t>
  </si>
  <si>
    <t>Mth Absent</t>
  </si>
  <si>
    <t>Almathkur</t>
  </si>
  <si>
    <t xml:space="preserve">Hadi </t>
  </si>
  <si>
    <t>23 Duttonwood Ln</t>
  </si>
  <si>
    <t>hloonice@yahoo.com</t>
  </si>
  <si>
    <t>EG1</t>
  </si>
  <si>
    <t>66P</t>
  </si>
  <si>
    <t>MG5</t>
  </si>
  <si>
    <t>51P</t>
  </si>
  <si>
    <t xml:space="preserve">Antonio </t>
  </si>
  <si>
    <t>Caleb</t>
  </si>
  <si>
    <t>804 Deboer Lane</t>
  </si>
  <si>
    <t>jnnfr_diep@yahoo.com</t>
  </si>
  <si>
    <t>EG2B</t>
  </si>
  <si>
    <t>46P</t>
  </si>
  <si>
    <t>will reduce English in summer</t>
  </si>
  <si>
    <t>MG7</t>
  </si>
  <si>
    <t>91P</t>
  </si>
  <si>
    <t xml:space="preserve">Mason </t>
  </si>
  <si>
    <t>EG2</t>
  </si>
  <si>
    <t>11P</t>
  </si>
  <si>
    <t>61P</t>
  </si>
  <si>
    <t>CHAN</t>
  </si>
  <si>
    <t>IRIS</t>
  </si>
  <si>
    <t>610 Shetland Ct, Milpitas</t>
  </si>
  <si>
    <t>jchan138@gmail.com</t>
  </si>
  <si>
    <t>EK5</t>
  </si>
  <si>
    <t>36P</t>
  </si>
  <si>
    <t>JENNY</t>
  </si>
  <si>
    <t>EK3</t>
  </si>
  <si>
    <t>21P</t>
  </si>
  <si>
    <t>CHEUNG</t>
  </si>
  <si>
    <t>QUINTUS</t>
  </si>
  <si>
    <t>324 SAN PETRA CT APT 4, MILPITAS 95035</t>
  </si>
  <si>
    <t>emtojw@gmail.com</t>
  </si>
  <si>
    <t>EG4</t>
  </si>
  <si>
    <t>MG8</t>
  </si>
  <si>
    <t>31P</t>
  </si>
  <si>
    <t>Chi</t>
  </si>
  <si>
    <t>Sylvia</t>
  </si>
  <si>
    <t>k</t>
  </si>
  <si>
    <t>103 Smithwood Street</t>
  </si>
  <si>
    <t>michael.go@gmail.com</t>
  </si>
  <si>
    <t>EG9</t>
  </si>
  <si>
    <t>108P</t>
  </si>
  <si>
    <t>MG11</t>
  </si>
  <si>
    <t>55P</t>
  </si>
  <si>
    <t xml:space="preserve">Chiu </t>
  </si>
  <si>
    <t>Lauren</t>
  </si>
  <si>
    <t>1283 FONTAINBLEU AVE</t>
  </si>
  <si>
    <t>minweng2013@gmail.com</t>
  </si>
  <si>
    <t>MG6</t>
  </si>
  <si>
    <t>TEST</t>
  </si>
  <si>
    <t>Chunduru</t>
  </si>
  <si>
    <t xml:space="preserve">Ishika </t>
  </si>
  <si>
    <t>885 Berryessa St, Milpitas, CA, 95035</t>
  </si>
  <si>
    <t>ratnadeepti.chunduru@gmail.com</t>
  </si>
  <si>
    <t>81P</t>
  </si>
  <si>
    <t>86P</t>
  </si>
  <si>
    <t>Reyansh</t>
  </si>
  <si>
    <t>EG10</t>
  </si>
  <si>
    <t>26P</t>
  </si>
  <si>
    <t>MH2</t>
  </si>
  <si>
    <t>CHUONG</t>
  </si>
  <si>
    <t>ALVIN</t>
  </si>
  <si>
    <t>1470 El Calaveres Blvd.</t>
  </si>
  <si>
    <t>lisa123liang@iclould.com</t>
  </si>
  <si>
    <t>MH1</t>
  </si>
  <si>
    <t>75P</t>
  </si>
  <si>
    <t>EVA</t>
  </si>
  <si>
    <t>1P</t>
  </si>
  <si>
    <t>Dao</t>
  </si>
  <si>
    <t>Sofia</t>
  </si>
  <si>
    <t>PK</t>
  </si>
  <si>
    <t>588 Carlsbad st, Milpitas, CA</t>
  </si>
  <si>
    <t>truonganvi83@gmail.com</t>
  </si>
  <si>
    <t>56P</t>
  </si>
  <si>
    <t>Du</t>
  </si>
  <si>
    <t xml:space="preserve">Jeffrey </t>
  </si>
  <si>
    <t>2190 Cuesta Dr, Milpitas CA</t>
  </si>
  <si>
    <t>tingnaxu1120@gmail.com</t>
  </si>
  <si>
    <t>EG5</t>
  </si>
  <si>
    <t>101P</t>
  </si>
  <si>
    <t>MG9</t>
  </si>
  <si>
    <t>Terina</t>
  </si>
  <si>
    <t>K</t>
  </si>
  <si>
    <t>2190 Cuesta Dr, Milpitas, CA, 95035</t>
  </si>
  <si>
    <t>EK2</t>
  </si>
  <si>
    <t>35P</t>
  </si>
  <si>
    <t>MG2</t>
  </si>
  <si>
    <t>Dutt</t>
  </si>
  <si>
    <t>Ishika</t>
  </si>
  <si>
    <t>396 stulman dr, Milpitas</t>
  </si>
  <si>
    <t>vdimple1326@gmail.com</t>
  </si>
  <si>
    <t>106P</t>
  </si>
  <si>
    <t>Feng</t>
  </si>
  <si>
    <t>Xiyi</t>
  </si>
  <si>
    <t>231 Dixon Landing Rd</t>
  </si>
  <si>
    <t>691018z@gmail.com</t>
  </si>
  <si>
    <t>EG8</t>
  </si>
  <si>
    <t>71P</t>
  </si>
  <si>
    <t>65P</t>
  </si>
  <si>
    <t>Finder</t>
  </si>
  <si>
    <t>Micah</t>
  </si>
  <si>
    <t>43 Midwick Dr</t>
  </si>
  <si>
    <t>jared.finder@gmail.com</t>
  </si>
  <si>
    <t>MG4</t>
  </si>
  <si>
    <t>41P</t>
  </si>
  <si>
    <t>Gadkari</t>
  </si>
  <si>
    <t xml:space="preserve">Myra </t>
  </si>
  <si>
    <t>616 Hamilton Avenue, Milpitas, CA, 95035</t>
  </si>
  <si>
    <t>sharmila.dalal@gmail.com</t>
  </si>
  <si>
    <t>George</t>
  </si>
  <si>
    <t>Anaya</t>
  </si>
  <si>
    <t>1250 Calle de Cuestanada, Milpitas, CA, 95035</t>
  </si>
  <si>
    <t>ansaephraim@gmail.com</t>
  </si>
  <si>
    <t>MG10</t>
  </si>
  <si>
    <t>Saira</t>
  </si>
  <si>
    <t>GODHANI</t>
  </si>
  <si>
    <t>MEERA</t>
  </si>
  <si>
    <t>1293 Arizona Avenue, Milpitas</t>
  </si>
  <si>
    <t>ranjita.godhani@gmail.com</t>
  </si>
  <si>
    <t>Golla</t>
  </si>
  <si>
    <t>Kanishk</t>
  </si>
  <si>
    <t>48943 Air Fern Common Fremont, CA</t>
  </si>
  <si>
    <t>harish.golla@gmail.com</t>
  </si>
  <si>
    <t>EG1B</t>
  </si>
  <si>
    <t>96P</t>
  </si>
  <si>
    <t>MG3</t>
  </si>
  <si>
    <t>Gowda</t>
  </si>
  <si>
    <t>Shrish</t>
  </si>
  <si>
    <t>1343 Elkwood Dr, Milpitas</t>
  </si>
  <si>
    <t>Satheesha.gowda@gmail.com</t>
  </si>
  <si>
    <t>MM1</t>
  </si>
  <si>
    <t>Gu</t>
  </si>
  <si>
    <t>Jay</t>
  </si>
  <si>
    <t>255 Heath St, Milpitas</t>
  </si>
  <si>
    <t>wenzhougu@yahoo.com</t>
  </si>
  <si>
    <t>EM3</t>
  </si>
  <si>
    <t>MM2</t>
  </si>
  <si>
    <t>Gupta</t>
  </si>
  <si>
    <t>Anush</t>
  </si>
  <si>
    <t>688 Cardiff Place, Milpitas</t>
  </si>
  <si>
    <t>agupta.ua@gmail.com</t>
  </si>
  <si>
    <t>EM1</t>
  </si>
  <si>
    <t>MH3</t>
  </si>
  <si>
    <t>Daksh</t>
  </si>
  <si>
    <t>290 N Park Victoria Dr, Milpitas, CA, 95035</t>
  </si>
  <si>
    <t>chiragsagi@gmail.com</t>
  </si>
  <si>
    <t>Eshaan</t>
  </si>
  <si>
    <t>EG7</t>
  </si>
  <si>
    <t>76P</t>
  </si>
  <si>
    <t>He</t>
  </si>
  <si>
    <t>Melody</t>
  </si>
  <si>
    <t>1240 Belbrook Way</t>
  </si>
  <si>
    <t>candymi@hotmail.com</t>
  </si>
  <si>
    <t>EG3</t>
  </si>
  <si>
    <t>Huang</t>
  </si>
  <si>
    <t>Jocelyn</t>
  </si>
  <si>
    <t>131 Jose Figueres Ave</t>
  </si>
  <si>
    <t>junhuang198110@gmail.com</t>
  </si>
  <si>
    <t>95P</t>
  </si>
  <si>
    <t>58P</t>
  </si>
  <si>
    <t>Joshua</t>
  </si>
  <si>
    <t>20029 Austin Ln, Castro Valley, CA 94546</t>
  </si>
  <si>
    <t>wanglai@gmail.com</t>
  </si>
  <si>
    <t>EM5</t>
  </si>
  <si>
    <t>100p</t>
  </si>
  <si>
    <t>instructor kid</t>
  </si>
  <si>
    <t>MH4</t>
  </si>
  <si>
    <t>Sophia</t>
  </si>
  <si>
    <t>50p</t>
  </si>
  <si>
    <t>Ip</t>
  </si>
  <si>
    <t>Ethan</t>
  </si>
  <si>
    <t>1918 conifer ct</t>
  </si>
  <si>
    <t>Yoyoxia12@gmail.com</t>
  </si>
  <si>
    <t>will quit in May</t>
  </si>
  <si>
    <t>Jia</t>
  </si>
  <si>
    <t>166 Sagemeadow Ct, Milpitas CA</t>
  </si>
  <si>
    <t>piijia@hotmail.com</t>
  </si>
  <si>
    <t>28P</t>
  </si>
  <si>
    <t>Jiang</t>
  </si>
  <si>
    <t>Chloe</t>
  </si>
  <si>
    <t>336 Grafton Ter, Fremont, CA, 94539</t>
  </si>
  <si>
    <t>asheng2@yahoo.com</t>
  </si>
  <si>
    <t>EM2</t>
  </si>
  <si>
    <t>16P</t>
  </si>
  <si>
    <t>Kuo</t>
  </si>
  <si>
    <t>2145 Old Piedmont Rd, San Jose</t>
  </si>
  <si>
    <t>linwc529@gmail.com</t>
  </si>
  <si>
    <t>Sean</t>
  </si>
  <si>
    <t>EH4</t>
  </si>
  <si>
    <t>MH5</t>
  </si>
  <si>
    <t>Le</t>
  </si>
  <si>
    <t>Anna</t>
  </si>
  <si>
    <t>258 Marylinn Dr. Apt 4</t>
  </si>
  <si>
    <t>phuongN00@yahoo.com</t>
  </si>
  <si>
    <t>94P</t>
  </si>
  <si>
    <t>MM3</t>
  </si>
  <si>
    <t>6P</t>
  </si>
  <si>
    <t>Blair</t>
  </si>
  <si>
    <t>3100 Melchester Dr, San Jose</t>
  </si>
  <si>
    <t>khanhmaivuong@gmail.com</t>
  </si>
  <si>
    <t>EK4</t>
  </si>
  <si>
    <t>Julia</t>
  </si>
  <si>
    <t>258 marylinn Dr apt4</t>
  </si>
  <si>
    <t>thangle_vn78@yahoo.com</t>
  </si>
  <si>
    <t>EH1</t>
  </si>
  <si>
    <t>Lee</t>
  </si>
  <si>
    <t>Amber</t>
  </si>
  <si>
    <t>2768 Somerset, San Jose</t>
  </si>
  <si>
    <t>JOCELYN.X.ZH@GMAIL.COM</t>
  </si>
  <si>
    <t>EM4</t>
  </si>
  <si>
    <t>Leah</t>
  </si>
  <si>
    <t>655 Murphy Ranch Rd., Milpitas 95035</t>
  </si>
  <si>
    <t>mrs.jenhlee@gmail.com</t>
  </si>
  <si>
    <t>On Sut Anshel</t>
  </si>
  <si>
    <t>37076 Arden Street, Newark, CA, 94560</t>
  </si>
  <si>
    <t>reginasfwu@gmail.com</t>
  </si>
  <si>
    <t>Lim</t>
  </si>
  <si>
    <t>Bryce</t>
  </si>
  <si>
    <t>729 Carino Ter, Milpitas, CA</t>
  </si>
  <si>
    <t>lloydlim21@gmail.com</t>
  </si>
  <si>
    <t>Lin</t>
  </si>
  <si>
    <t>Aiden</t>
  </si>
  <si>
    <t>494 Dixon Rd, Milpitas, CA</t>
  </si>
  <si>
    <t>sisy627@gmail.com</t>
  </si>
  <si>
    <t>Emily</t>
  </si>
  <si>
    <t>47238 Armata st, Fremont, CA, 94539</t>
  </si>
  <si>
    <t>Jing.huang1982@gmail.com</t>
  </si>
  <si>
    <t>moved to palo alto</t>
  </si>
  <si>
    <t>LUO</t>
  </si>
  <si>
    <t>CLAIRE</t>
  </si>
  <si>
    <t xml:space="preserve">		2151 OAKLAND2 RD SPC 232</t>
  </si>
  <si>
    <t>baiherui6666@gmail.com</t>
  </si>
  <si>
    <t>Malviya</t>
  </si>
  <si>
    <t xml:space="preserve">Shaurya </t>
  </si>
  <si>
    <t>1289 Elkwood Drive, Milpitas CA</t>
  </si>
  <si>
    <t>girsimmy@gmail.com</t>
  </si>
  <si>
    <t>38P</t>
  </si>
  <si>
    <t>Manu</t>
  </si>
  <si>
    <t>Janet</t>
  </si>
  <si>
    <t>131 Fontainbleu Court</t>
  </si>
  <si>
    <t>manujose@gmail.com</t>
  </si>
  <si>
    <t>EK1</t>
  </si>
  <si>
    <t>85P</t>
  </si>
  <si>
    <t>MK3</t>
  </si>
  <si>
    <t>Jeana</t>
  </si>
  <si>
    <t>Mir</t>
  </si>
  <si>
    <t>Samah</t>
  </si>
  <si>
    <t>3467 Maroun Place, San Jose</t>
  </si>
  <si>
    <t>jmahbub@gmail.com</t>
  </si>
  <si>
    <t>Shafiq</t>
  </si>
  <si>
    <t>EG6</t>
  </si>
  <si>
    <t>Mohan</t>
  </si>
  <si>
    <t xml:space="preserve">Arundhathi </t>
  </si>
  <si>
    <t>2102 calle vista verde, Milpitas</t>
  </si>
  <si>
    <t>nityadevi@gmail.com</t>
  </si>
  <si>
    <t>Mostafa</t>
  </si>
  <si>
    <t>Faraz</t>
  </si>
  <si>
    <t>38865 Argonaut Way</t>
  </si>
  <si>
    <t>m_farial@yahoo.com</t>
  </si>
  <si>
    <t>Motiwalla</t>
  </si>
  <si>
    <t>Autumn</t>
  </si>
  <si>
    <t>2115 KIWI WALKWAY, San Jose</t>
  </si>
  <si>
    <t>divyesh86@gmail.com</t>
  </si>
  <si>
    <t>Ng</t>
  </si>
  <si>
    <t xml:space="preserve">Penelope </t>
  </si>
  <si>
    <t>444 Elm Court, Milpitas, CA, USA</t>
  </si>
  <si>
    <t>joycechong14@gmail.com</t>
  </si>
  <si>
    <t>Nguyen</t>
  </si>
  <si>
    <t>Catherine</t>
  </si>
  <si>
    <t>501 Mulphy Ranch Rd 461, Milpitas, 95035</t>
  </si>
  <si>
    <t>tommynguyen91@gmail.com</t>
  </si>
  <si>
    <t>Kenneth</t>
  </si>
  <si>
    <t>2713 Hostetter Road, San Jose</t>
  </si>
  <si>
    <t>thanhthuy80@hotmail.com</t>
  </si>
  <si>
    <t>Kyle</t>
  </si>
  <si>
    <t>3/21/2012</t>
  </si>
  <si>
    <t>126 Poppy Ct, Milpitas, CA 95035</t>
  </si>
  <si>
    <t>sonphung2@yahoo.com</t>
  </si>
  <si>
    <t>MHG</t>
  </si>
  <si>
    <t>Timothy</t>
  </si>
  <si>
    <t>105P</t>
  </si>
  <si>
    <t>Vincent</t>
  </si>
  <si>
    <t xml:space="preserve">Nguyen </t>
  </si>
  <si>
    <t>Ellie</t>
  </si>
  <si>
    <t>2713 Hostetter Road, San Jose, CA, 95132</t>
  </si>
  <si>
    <t xml:space="preserve">NGUYEN </t>
  </si>
  <si>
    <t xml:space="preserve">PIERRE </t>
  </si>
  <si>
    <t>214 krismer st, Milpitas</t>
  </si>
  <si>
    <t>htn830@gmail.com</t>
  </si>
  <si>
    <t>Panuganti</t>
  </si>
  <si>
    <t>Neal</t>
  </si>
  <si>
    <t>445 Alegra Ter, Milpitas CA</t>
  </si>
  <si>
    <t>s4gulkotwar@gmail.com</t>
  </si>
  <si>
    <t xml:space="preserve">REYES </t>
  </si>
  <si>
    <t>FERNANDO</t>
  </si>
  <si>
    <t>851 Kevenaire dr, Milpitas</t>
  </si>
  <si>
    <t>lizfarias09@yahoo.com</t>
  </si>
  <si>
    <t>Saraf</t>
  </si>
  <si>
    <t>Avaneesh</t>
  </si>
  <si>
    <t>260 Mazey St</t>
  </si>
  <si>
    <t>abhisaraf007@gmail.com</t>
  </si>
  <si>
    <t>Segales</t>
  </si>
  <si>
    <t>Jessica</t>
  </si>
  <si>
    <t>807 tassasara drive</t>
  </si>
  <si>
    <t>kkwan99@yahoo.com</t>
  </si>
  <si>
    <t>Shah</t>
  </si>
  <si>
    <t>Rivaan</t>
  </si>
  <si>
    <t>27 Vienna Drive, Milpitas, CA, 95035</t>
  </si>
  <si>
    <t>aakarshah@gmail.com</t>
  </si>
  <si>
    <t>Shi</t>
  </si>
  <si>
    <t xml:space="preserve">Donald </t>
  </si>
  <si>
    <t>373 River Oaks Cir Apt 1410, san jose, CA, 95134</t>
  </si>
  <si>
    <t>yovnne87@gmail.com</t>
  </si>
  <si>
    <t>Singh</t>
  </si>
  <si>
    <t>Arjun</t>
  </si>
  <si>
    <t xml:space="preserve">	261 Edgewater Dr</t>
  </si>
  <si>
    <t>kismatsingh.a@gmail.com</t>
  </si>
  <si>
    <t>Solomonraja</t>
  </si>
  <si>
    <t xml:space="preserve">Rakson </t>
  </si>
  <si>
    <t>47125 Benns Ter,, Fremont, CA, 94539</t>
  </si>
  <si>
    <t>raghavi.raj90@gmail.com</t>
  </si>
  <si>
    <t xml:space="preserve">Soni </t>
  </si>
  <si>
    <t xml:space="preserve">Shlok </t>
  </si>
  <si>
    <t>564 martil way, Milpitas, CA, 95035</t>
  </si>
  <si>
    <t>Ankita.dol@gmail.com</t>
  </si>
  <si>
    <t>Suresh</t>
  </si>
  <si>
    <t>Eyal</t>
  </si>
  <si>
    <t>162 Marylinn Dr, milpitas, california 95035</t>
  </si>
  <si>
    <t>ooth.suresh@gmail.com</t>
  </si>
  <si>
    <t>Sutaria</t>
  </si>
  <si>
    <t>Mahi</t>
  </si>
  <si>
    <t>1035 Hamilton Ave. Milpitas, CA 95035</t>
  </si>
  <si>
    <t>jolly0209@gmail.com</t>
  </si>
  <si>
    <t>Tang</t>
  </si>
  <si>
    <t>David</t>
  </si>
  <si>
    <t>1619 Conway Street, Milpitas, CA, 95035</t>
  </si>
  <si>
    <t>ch_yin@hotmail.com</t>
  </si>
  <si>
    <t>ABSENT</t>
  </si>
  <si>
    <t>Tian</t>
  </si>
  <si>
    <t>Elson</t>
  </si>
  <si>
    <t xml:space="preserve">1306 Tourney Dr San Jose, CA </t>
  </si>
  <si>
    <t>lydia7758521@gmail.com</t>
  </si>
  <si>
    <t>Ukeme</t>
  </si>
  <si>
    <t>Kelvin</t>
  </si>
  <si>
    <t>1775 Milmont Dr Milpitas, CA</t>
  </si>
  <si>
    <t>ememkelvin13@gmail.com</t>
  </si>
  <si>
    <t>Princess</t>
  </si>
  <si>
    <t>Vaddiraju</t>
  </si>
  <si>
    <t>Sahasra</t>
  </si>
  <si>
    <t>49062 Tickle Grass Terrace Fremont, CA</t>
  </si>
  <si>
    <t>vaddirajs@yahoo.com</t>
  </si>
  <si>
    <t>Vempali</t>
  </si>
  <si>
    <t>Isitva</t>
  </si>
  <si>
    <t>2051 Calle Mesa Alta, Milpitas, CA, 95035</t>
  </si>
  <si>
    <t>jayaram.csit@gmail.com</t>
  </si>
  <si>
    <t>Wang</t>
  </si>
  <si>
    <t>Allison</t>
  </si>
  <si>
    <t>667 singley dr</t>
  </si>
  <si>
    <t>Nexus652@outlook.com</t>
  </si>
  <si>
    <t>Andy</t>
  </si>
  <si>
    <t>322 Hiddenlake Dr.</t>
  </si>
  <si>
    <t>wangyi.ethan@gmail.com</t>
  </si>
  <si>
    <t>101S</t>
  </si>
  <si>
    <t>Caden</t>
  </si>
  <si>
    <t>Eric</t>
  </si>
  <si>
    <t>251 Bunch Grass Ter, Fremont</t>
  </si>
  <si>
    <t>mail.liang.wang@gmail.com</t>
  </si>
  <si>
    <t>Felicity</t>
  </si>
  <si>
    <t>275 Quinault Way, Fremont, CA, 94539</t>
  </si>
  <si>
    <t>shaoqin156@gmail.com</t>
  </si>
  <si>
    <t>Maximilian</t>
  </si>
  <si>
    <t>Vera</t>
  </si>
  <si>
    <t>251 Bunch Grass Ter, Fremont, CA, 94539</t>
  </si>
  <si>
    <t>will move to Fremont</t>
  </si>
  <si>
    <t>Wu</t>
  </si>
  <si>
    <t>Clark</t>
  </si>
  <si>
    <t>69 Jacklin Circle</t>
  </si>
  <si>
    <t>cjmaria@gmail.com</t>
  </si>
  <si>
    <t>12P</t>
  </si>
  <si>
    <t>Shawn</t>
  </si>
  <si>
    <t>1015 noble ave, San Jose</t>
  </si>
  <si>
    <t>1107274921@qq.com</t>
  </si>
  <si>
    <t xml:space="preserve">XU </t>
  </si>
  <si>
    <t xml:space="preserve">kaden </t>
  </si>
  <si>
    <t>709 Parvin Dr</t>
  </si>
  <si>
    <t>eva_exu@hotmail.com</t>
  </si>
  <si>
    <t>Yan</t>
  </si>
  <si>
    <t>Shihan</t>
  </si>
  <si>
    <t>779 Gateview Dr., San Jose, CA, 95133</t>
  </si>
  <si>
    <t>ling890810@gmail.com</t>
  </si>
  <si>
    <t>Yang</t>
  </si>
  <si>
    <t>Alex</t>
  </si>
  <si>
    <t>1487 stone creek dr, San Jose, CA, 95132</t>
  </si>
  <si>
    <t>mingmingyyf@me.com</t>
  </si>
  <si>
    <t>Min</t>
  </si>
  <si>
    <t>1057 jungfrau ct</t>
  </si>
  <si>
    <t>wangyong198668@gmail.com</t>
  </si>
  <si>
    <t>Yin</t>
  </si>
  <si>
    <t>Jinhan</t>
  </si>
  <si>
    <t>189 Lawton Dr.</t>
  </si>
  <si>
    <t>ypl6262137236@gmail.com</t>
  </si>
  <si>
    <t>Yu</t>
  </si>
  <si>
    <t>1400 Olympic Dr., Milpitas, CA, 95035</t>
  </si>
  <si>
    <t>libing.wang@gmail.com</t>
  </si>
  <si>
    <t>Yuan</t>
  </si>
  <si>
    <t>Arick</t>
  </si>
  <si>
    <t>450 s 19th st, San Jose</t>
  </si>
  <si>
    <t>Gfyuan@gmail.com</t>
  </si>
  <si>
    <t>Zhai</t>
  </si>
  <si>
    <t>203 Wild Rose Way</t>
  </si>
  <si>
    <t>flysummer@yahoo.com</t>
  </si>
  <si>
    <t>Zhao</t>
  </si>
  <si>
    <t xml:space="preserve">Selena </t>
  </si>
  <si>
    <t>1531 quail Dr, Mipitas, CA, 95035</t>
  </si>
  <si>
    <t>shuijing7870@gmail.com</t>
  </si>
  <si>
    <t>184 Manferd St, Milpitas, CA, 95035</t>
  </si>
  <si>
    <t>yuanzhao1022@gmail.com</t>
  </si>
  <si>
    <t>Zhu</t>
  </si>
  <si>
    <t>Lindsay</t>
  </si>
  <si>
    <t>6183 Potnero Dr, Fremont</t>
  </si>
  <si>
    <t>Cdai@rocketems.com</t>
  </si>
  <si>
    <t>103P</t>
  </si>
  <si>
    <t>WU</t>
  </si>
  <si>
    <t>ANTHONY</t>
  </si>
  <si>
    <t>3657 Bloomsbury Way, San Jose,CA 95132</t>
  </si>
  <si>
    <t>vivianwu98@gmail.com</t>
  </si>
  <si>
    <t>MANU</t>
  </si>
  <si>
    <t>JOHAN</t>
  </si>
  <si>
    <t xml:space="preserve">131 Fontainbleu Court, Milpitas </t>
  </si>
  <si>
    <t>LIU</t>
  </si>
  <si>
    <t>YANCHEN</t>
  </si>
  <si>
    <t>3231 Tulipwood Ln</t>
  </si>
  <si>
    <t>liushidong23@gmail.com</t>
  </si>
  <si>
    <t>Absent students</t>
  </si>
  <si>
    <t>LI</t>
  </si>
  <si>
    <t>EMMA</t>
  </si>
  <si>
    <t>NGUYEN</t>
  </si>
  <si>
    <t>RICKY</t>
  </si>
  <si>
    <t>GANDALA</t>
  </si>
  <si>
    <t>MOKSHITH</t>
  </si>
  <si>
    <t xml:space="preserve">GANDALA </t>
  </si>
  <si>
    <t>KRITIKA</t>
  </si>
  <si>
    <t>Evelyn</t>
  </si>
  <si>
    <t>Ji</t>
  </si>
  <si>
    <t>5/28/2009</t>
  </si>
  <si>
    <t>261 E.Warren Cmn, Fremont, CA, 95035</t>
  </si>
  <si>
    <t>zf426@hotmail.com</t>
  </si>
  <si>
    <t>9/10/2018</t>
  </si>
  <si>
    <t xml:space="preserve">WILL BE ABSENT IN JULY AND AUG. </t>
  </si>
  <si>
    <t>Sophie</t>
  </si>
  <si>
    <t>2/5/2007</t>
  </si>
  <si>
    <t>536 Maple Ave. Milpitas, CA 95035</t>
  </si>
  <si>
    <t>fatcat888@hotmail.com</t>
  </si>
  <si>
    <t xml:space="preserve">ABSENT IN JULY, MAY BE BACK </t>
  </si>
  <si>
    <t>Loh</t>
  </si>
  <si>
    <t>Adrian</t>
  </si>
  <si>
    <t xml:space="preserve">46919 Fernald Common, Fremont, CA </t>
  </si>
  <si>
    <t>chingnee23@hotmail.com</t>
  </si>
  <si>
    <t>90P</t>
  </si>
  <si>
    <t>BACK IN AUG. CONFIRMED</t>
  </si>
  <si>
    <t>80p</t>
  </si>
  <si>
    <t>Nathan</t>
  </si>
  <si>
    <t xml:space="preserve">Ma </t>
  </si>
  <si>
    <t>Jayden</t>
  </si>
  <si>
    <t>1/7/2012</t>
  </si>
  <si>
    <t>36 Homme Way, Milpitas, CA 95035</t>
  </si>
  <si>
    <t>Sandyma20@gmail.com</t>
  </si>
  <si>
    <t>25P</t>
  </si>
  <si>
    <t>ABSENT IN JULY, BACK IN AUG. CONFIRMED</t>
  </si>
  <si>
    <t>Jennah</t>
  </si>
  <si>
    <t>Justin</t>
  </si>
  <si>
    <t>Sreepada</t>
  </si>
  <si>
    <t>Eesha</t>
  </si>
  <si>
    <t>1103 Hermina Street, Milpitas, CA</t>
  </si>
  <si>
    <t>devisreepada@yahoo.com</t>
  </si>
  <si>
    <t>36p</t>
  </si>
  <si>
    <t>absent for July. Already back on Aug. 1</t>
  </si>
  <si>
    <t>Ramya</t>
  </si>
  <si>
    <t>pk</t>
  </si>
  <si>
    <t>45P</t>
  </si>
  <si>
    <t>Chris</t>
  </si>
  <si>
    <t>46942 Lundy Terrace Fremont CA 94539</t>
  </si>
  <si>
    <t>nancy8313@gmail.com</t>
  </si>
  <si>
    <t>absent for July. back on Aug. 1, BROTHER JOIN TOO</t>
  </si>
  <si>
    <t>30P</t>
  </si>
  <si>
    <t>9/28/2008</t>
  </si>
  <si>
    <t>1954 Lindon Ln, Milpitas, CA 95035</t>
  </si>
  <si>
    <t>ycwang777@yahoo.com</t>
  </si>
  <si>
    <t>WILL BE ABSENT IN JUL, WILL BE BACK N AUG</t>
  </si>
  <si>
    <t>18P</t>
  </si>
  <si>
    <t>Wilson</t>
  </si>
  <si>
    <t>Jonathan</t>
  </si>
  <si>
    <t>48890 Green Valley Road, Fremont, CA</t>
  </si>
  <si>
    <t>yxcliu@gmail.com</t>
  </si>
  <si>
    <t xml:space="preserve"> BACK IN AUG 1</t>
  </si>
  <si>
    <t>xu</t>
  </si>
  <si>
    <t>Sissi</t>
  </si>
  <si>
    <t>165 Tonopah Drive, Fremont, CA</t>
  </si>
  <si>
    <t>xufeixixi@gmail.com</t>
  </si>
  <si>
    <t>Zhang</t>
  </si>
  <si>
    <t>Xiaohan</t>
  </si>
  <si>
    <t xml:space="preserve">392 Acoma Way, </t>
  </si>
  <si>
    <t>liwenxiao-zhang@gmail.com</t>
  </si>
  <si>
    <t xml:space="preserve"> MOVE TO SAN RAMON</t>
  </si>
  <si>
    <t>110p</t>
  </si>
  <si>
    <t>Aidan</t>
  </si>
  <si>
    <t>2115 Fieldcrest Dr. MILPITAS</t>
  </si>
  <si>
    <t>chelsea_ntc@yahoo.com</t>
  </si>
  <si>
    <t>10P</t>
  </si>
  <si>
    <t>Alan</t>
  </si>
  <si>
    <t>Li</t>
  </si>
  <si>
    <t>2668 Middleborough Cir, SAN JOSE</t>
  </si>
  <si>
    <t xml:space="preserve">WILL BE ENGLISH ONLY </t>
  </si>
  <si>
    <t>Brianna</t>
  </si>
  <si>
    <t>YEE</t>
  </si>
  <si>
    <t>5/8/2009</t>
  </si>
  <si>
    <t>1243 N Hillview Dr. Milpitas, CA 95035</t>
  </si>
  <si>
    <t>liyayang@yahoo.com</t>
  </si>
  <si>
    <t>50P</t>
  </si>
  <si>
    <t>Chung</t>
  </si>
  <si>
    <t>Kelly</t>
  </si>
  <si>
    <t>1922 Queen Mary Ct San Jose CA 95132</t>
  </si>
  <si>
    <t>kchung05@yahoo.com</t>
  </si>
  <si>
    <t>ABSENT AFTER JULY 15, BACK IN SEP</t>
  </si>
  <si>
    <t>Dylan</t>
  </si>
  <si>
    <t>Wong</t>
  </si>
  <si>
    <t>300 Camphor Ave, FREMONT</t>
  </si>
  <si>
    <t>vicki_lu@hotmail.com</t>
  </si>
  <si>
    <t>Gim</t>
  </si>
  <si>
    <t>Daniel</t>
  </si>
  <si>
    <t>10/10/2012</t>
  </si>
  <si>
    <t>837 Penitencia St, Milpitas, CA 95035</t>
  </si>
  <si>
    <t>hyeonmin0505@gmail.com</t>
  </si>
  <si>
    <t>51p</t>
  </si>
  <si>
    <t>ABSENT FOR ONE MONTH, BACK IN SEP</t>
  </si>
  <si>
    <t>106p</t>
  </si>
  <si>
    <t>Yunsu</t>
  </si>
  <si>
    <t>3/2/ 2011</t>
  </si>
  <si>
    <t>61p</t>
  </si>
  <si>
    <t>Hsu</t>
  </si>
  <si>
    <t>KaiWei</t>
  </si>
  <si>
    <t xml:space="preserve">46957 Lundy Terrace, Fremont, CA </t>
  </si>
  <si>
    <t>lisahsu0601@gmail.com</t>
  </si>
  <si>
    <t>will be absent for Aug. one month</t>
  </si>
  <si>
    <t>JACOB</t>
  </si>
  <si>
    <t>67P</t>
  </si>
  <si>
    <t>MK4</t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</si>
  <si>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</si>
  <si>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</si>
  <si>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</si>
  <si>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</si>
  <si>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</si>
  <si>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</si>
  <si>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</si>
  <si>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</si>
  <si>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100P</t>
  </si>
  <si>
    <t>MOVED, MAY BE BACK</t>
  </si>
  <si>
    <t>Khue</t>
  </si>
  <si>
    <t>5/29/2009</t>
  </si>
  <si>
    <t>2021 N. Milpitas Blvd.</t>
  </si>
  <si>
    <t>minhhuong200573@yahoo.com</t>
  </si>
  <si>
    <t>7/1/2019</t>
  </si>
  <si>
    <t>Shravya</t>
  </si>
  <si>
    <t>Kuppala</t>
  </si>
  <si>
    <t>6/4/2010</t>
  </si>
  <si>
    <t>472 cascadita ter, MILPITAS</t>
  </si>
  <si>
    <t>nalinimadduri@gmail.com</t>
  </si>
  <si>
    <t>7/16/2019</t>
  </si>
  <si>
    <t>Mai</t>
  </si>
  <si>
    <t>11/10/2005</t>
  </si>
  <si>
    <t>975 Vidalarga, Milpitas, CA 95035</t>
  </si>
  <si>
    <t>3/12/2018</t>
  </si>
  <si>
    <t>78P</t>
  </si>
  <si>
    <t>SICK</t>
  </si>
  <si>
    <t>LEFT FOR CHINESE AFTERSCHOOL</t>
  </si>
  <si>
    <t>Alice</t>
  </si>
  <si>
    <t>Shen</t>
  </si>
  <si>
    <t>2258 Cresthaven St, MILPITAS</t>
  </si>
  <si>
    <t>zhaoyij@gmail.com</t>
  </si>
  <si>
    <t>TIME N/A, NEED WEEKEND</t>
  </si>
  <si>
    <t>chrissyk111@yahoo.com</t>
  </si>
  <si>
    <t>FIN. PROB, WILL DROP MATH</t>
  </si>
  <si>
    <t>Kwan</t>
  </si>
  <si>
    <t>465 Seingley Drive, milpitas, CA 95035</t>
  </si>
  <si>
    <t>48P</t>
  </si>
  <si>
    <t>Huynh</t>
  </si>
  <si>
    <t>Keira</t>
  </si>
  <si>
    <t>1839 Sunnyhills Dr., Milpitas, CA 95035</t>
  </si>
  <si>
    <t>man.si.jiang@gmail.com</t>
  </si>
  <si>
    <t>WILL BE ABSENT IN OCT.</t>
  </si>
  <si>
    <t>Gandhi</t>
  </si>
  <si>
    <t>Hrisha</t>
  </si>
  <si>
    <t>vgandhi.us@gmail.com</t>
  </si>
  <si>
    <t>AT HOSPITAL. SICK</t>
  </si>
  <si>
    <t>MK2</t>
  </si>
  <si>
    <t>Vihana</t>
  </si>
  <si>
    <t>Liu</t>
  </si>
  <si>
    <t>XinLiang</t>
  </si>
  <si>
    <t>155 Valmy St, Milpitas  CA 95035</t>
  </si>
  <si>
    <t>yijunliu1969@gmail.com</t>
  </si>
  <si>
    <t>DUPLICATE</t>
  </si>
  <si>
    <t>Ancon</t>
  </si>
  <si>
    <t>688 Corinthia, Milpitas  CA 95035</t>
  </si>
  <si>
    <t>annytran@sbcglobal.net</t>
  </si>
  <si>
    <t>9/1/2019</t>
  </si>
  <si>
    <t>1338 Mt. Shasta, Milpitas, CA 95035</t>
  </si>
  <si>
    <t>TREATMENT,WILL BE BACK IN 6M</t>
  </si>
  <si>
    <t>Xu</t>
  </si>
  <si>
    <t>kenneth</t>
  </si>
  <si>
    <t>1/14/2009</t>
  </si>
  <si>
    <t>709 Parvin Dr. Milpitas, CA 95035</t>
  </si>
  <si>
    <t>101p</t>
  </si>
  <si>
    <t>Krishnakumar</t>
  </si>
  <si>
    <t>ChinMayi</t>
  </si>
  <si>
    <t>433 Singley Drive, Milpitas, CA 95035</t>
  </si>
  <si>
    <t>ushuihui@gmail.com</t>
  </si>
  <si>
    <t>WILL BE ABSENT FOR DEC</t>
  </si>
  <si>
    <t>Christopher</t>
  </si>
  <si>
    <t>ABSENT FOR VOCATION IN DEC. BACK IN JAN</t>
  </si>
  <si>
    <t>88P</t>
  </si>
  <si>
    <t>Narayan</t>
  </si>
  <si>
    <t>Deng</t>
  </si>
  <si>
    <t>Natalie</t>
  </si>
  <si>
    <t>1983 Conway St., Milpitas, CA 95035</t>
  </si>
  <si>
    <t>zeyais@gmail.com</t>
  </si>
  <si>
    <t>WILL BE ON VOCATION IN DEC, BACK IN JAN</t>
  </si>
  <si>
    <t>12/21/2012</t>
  </si>
  <si>
    <t>1571 Dennis Avenue, MILPITAS</t>
  </si>
  <si>
    <t>julialue@hotmail.com</t>
  </si>
  <si>
    <t>5P</t>
  </si>
  <si>
    <t>1571 Dennis Avenue</t>
  </si>
  <si>
    <t>48p</t>
  </si>
  <si>
    <t>WILL BE ABSENT IN DEC</t>
  </si>
  <si>
    <t>2P</t>
  </si>
  <si>
    <t>Cruz</t>
  </si>
  <si>
    <t>Adriel</t>
  </si>
  <si>
    <t>500 Amalfiloop</t>
  </si>
  <si>
    <t>albita626@gmail.com</t>
  </si>
  <si>
    <t>WENT TO TEXAS</t>
  </si>
  <si>
    <t>Sebhatu</t>
  </si>
  <si>
    <t>Natan</t>
  </si>
  <si>
    <t>440 Dixon Landing</t>
  </si>
  <si>
    <t>isaacsh2000@yahoo.com</t>
  </si>
  <si>
    <t>81p</t>
  </si>
  <si>
    <t>MG1</t>
  </si>
  <si>
    <t>41p</t>
  </si>
  <si>
    <t>Tamizhinian</t>
  </si>
  <si>
    <t>Nithik</t>
  </si>
  <si>
    <t>440 Dixon landing Road, Milpitas</t>
  </si>
  <si>
    <t>hemajess@gmail.com</t>
  </si>
  <si>
    <t>7/8/2019</t>
  </si>
  <si>
    <t>WILL QUIT ENGLISH IN JAN</t>
  </si>
  <si>
    <t>46942 Lundy Terrace, Fremont, CA 94539</t>
  </si>
  <si>
    <t>ABSENT: AFRAID OF VIRUS</t>
  </si>
  <si>
    <t>95p</t>
  </si>
  <si>
    <t>Matthew</t>
  </si>
  <si>
    <t>90p</t>
  </si>
  <si>
    <t>105p</t>
  </si>
  <si>
    <t>IN CHINA FOR VOCATION</t>
  </si>
  <si>
    <t>15p</t>
  </si>
  <si>
    <t>Tran</t>
  </si>
  <si>
    <t>Bao-Di</t>
  </si>
  <si>
    <t>1663 Sunnyhills Dr., Milpitas  CA 95035</t>
  </si>
  <si>
    <t>hoangmymusic@yahoo.com</t>
  </si>
  <si>
    <t>6p</t>
  </si>
  <si>
    <t>ABSENT FOR VIRUS</t>
  </si>
  <si>
    <t>66p</t>
  </si>
  <si>
    <t xml:space="preserve">JI </t>
  </si>
  <si>
    <t>Claire</t>
  </si>
  <si>
    <t>5/2/2012</t>
  </si>
  <si>
    <t>261 E.Warren Cmn, Fremont, CA</t>
  </si>
  <si>
    <t>71p</t>
  </si>
  <si>
    <t>WILL BE ABSENT FOR VIRUS PROTECTION IN FEB</t>
  </si>
  <si>
    <t>Lu</t>
  </si>
  <si>
    <t>Crystal</t>
  </si>
  <si>
    <t>42217 Blacow Rd</t>
  </si>
  <si>
    <t>shuhuaou2015@gmail.com</t>
  </si>
  <si>
    <t>absent for virus</t>
  </si>
  <si>
    <t>Tuncer</t>
  </si>
  <si>
    <t>Ege</t>
  </si>
  <si>
    <t>339 Arbor Way</t>
  </si>
  <si>
    <t>omercikoglu@gmail.com</t>
  </si>
  <si>
    <t>31p</t>
  </si>
  <si>
    <t>87p</t>
  </si>
  <si>
    <t>5/28/09</t>
  </si>
  <si>
    <t>78p</t>
  </si>
  <si>
    <t>Varatharajan</t>
  </si>
  <si>
    <t>Mohitha</t>
  </si>
  <si>
    <t>440 Dixon landing Road</t>
  </si>
  <si>
    <t>kalai.varthu@gmail.com</t>
  </si>
  <si>
    <t>Vasantha</t>
  </si>
  <si>
    <t>Nikshitha</t>
  </si>
  <si>
    <t>1610 Adams Ave#4, Milpitas  CA 95035</t>
  </si>
  <si>
    <t>vasantha.pj@gmail.com</t>
  </si>
  <si>
    <t>56p</t>
  </si>
  <si>
    <t>Vivekananth</t>
  </si>
  <si>
    <t>Nittesh</t>
  </si>
  <si>
    <t>65p</t>
  </si>
  <si>
    <t>Keloth</t>
  </si>
  <si>
    <t>Pramiti</t>
  </si>
  <si>
    <t>1775 Milmont Dr, 0-107</t>
  </si>
  <si>
    <t>sreejavikram@gmail.com</t>
  </si>
  <si>
    <t>Sanvi</t>
  </si>
  <si>
    <t>5p</t>
  </si>
  <si>
    <t>155 Valmy St</t>
  </si>
  <si>
    <t>Youran</t>
  </si>
  <si>
    <t>40924 Cascado PI</t>
  </si>
  <si>
    <t>wuyijing80@gmail.com</t>
  </si>
  <si>
    <t>WILL QUIT IN FEB, HS, TOO BUSY TO TRAVEL</t>
  </si>
  <si>
    <t>McNulty</t>
  </si>
  <si>
    <t>Bou</t>
  </si>
  <si>
    <t>296 Edgewater Dr, Milpitas, CA 95035</t>
  </si>
  <si>
    <t>bouboucheng@gmail.com</t>
  </si>
  <si>
    <t>1p</t>
  </si>
  <si>
    <t>will be absent from Mar. for virus</t>
  </si>
  <si>
    <t>91p</t>
  </si>
  <si>
    <t>1954 Lindon Ln., Milpitas, CA 95035</t>
  </si>
  <si>
    <t>12p</t>
  </si>
  <si>
    <t>Ly</t>
  </si>
  <si>
    <t>5/11/2009</t>
  </si>
  <si>
    <t>628 Manzano St.Milpitas</t>
  </si>
  <si>
    <t>skiku98@gmail.com</t>
  </si>
  <si>
    <t>1/1/2019</t>
  </si>
  <si>
    <t>38p</t>
  </si>
  <si>
    <t>Hu</t>
  </si>
  <si>
    <t>354 Sequim Common Fremont CA 94539</t>
  </si>
  <si>
    <t>anniechang719@gmail.com</t>
  </si>
  <si>
    <t>Kaden</t>
  </si>
  <si>
    <t>9/4/2018</t>
  </si>
  <si>
    <t>28p</t>
  </si>
  <si>
    <t>Kai</t>
  </si>
  <si>
    <t>dieuguang888@yahoo.com</t>
  </si>
  <si>
    <t>21p</t>
  </si>
  <si>
    <t>Kaylee</t>
  </si>
  <si>
    <t>120 Dixon Landing #56, Milpitas, CA</t>
  </si>
  <si>
    <t>myhanhtran7@gmail.com</t>
  </si>
  <si>
    <t>26 WASHINGTON SQUARE DRIVE</t>
  </si>
  <si>
    <t>6/5/2012</t>
  </si>
  <si>
    <t>190 Orion Ct., Milpitas, CA, 95035</t>
  </si>
  <si>
    <t>thaohuongnguyen7@gmail.com</t>
  </si>
  <si>
    <t>45p</t>
  </si>
  <si>
    <t>Lena</t>
  </si>
  <si>
    <t>2/18/2010</t>
  </si>
  <si>
    <t>260 Boyd St, MILPITAS</t>
  </si>
  <si>
    <t>ngochoalac1987@gmail.com</t>
  </si>
  <si>
    <t>WILL QUIT NO MONEY</t>
  </si>
  <si>
    <t>76p</t>
  </si>
  <si>
    <t>Leo</t>
  </si>
  <si>
    <t>4/8/2009</t>
  </si>
  <si>
    <t>Leon</t>
  </si>
  <si>
    <t>246 Krismer st, Milpitas CA</t>
  </si>
  <si>
    <t>yankunxiang@gmail.com</t>
  </si>
  <si>
    <t>Alven</t>
  </si>
  <si>
    <t>Miao</t>
  </si>
  <si>
    <t>5/5/2005</t>
  </si>
  <si>
    <t>2283 Devon Pl, Milpitas, CA 95035</t>
  </si>
  <si>
    <t>kzkitchen@gmail.com</t>
  </si>
  <si>
    <t>11/5/2019</t>
  </si>
  <si>
    <t>Olivia</t>
  </si>
  <si>
    <t>1168 Moonlight Way Milpitas CA 95035</t>
  </si>
  <si>
    <t>eapc88@yahoo.com.hk</t>
  </si>
  <si>
    <t>Lou</t>
  </si>
  <si>
    <t>Tony</t>
  </si>
  <si>
    <t>700 S.Abel St. Unit 424, Milpitas, CA 95035</t>
  </si>
  <si>
    <t>shangeline@yahoo.com</t>
  </si>
  <si>
    <t>68p</t>
  </si>
  <si>
    <t>Tyler</t>
  </si>
  <si>
    <t>6/11/2012</t>
  </si>
  <si>
    <t>2/5/2011</t>
  </si>
  <si>
    <t>592 Singley Dr. Milpitas, CA 95035</t>
  </si>
  <si>
    <t>pocoyo88889@hotmail.com</t>
  </si>
  <si>
    <t>4/1/2018</t>
  </si>
  <si>
    <t>96p</t>
  </si>
  <si>
    <t>Xianzhang</t>
  </si>
  <si>
    <t>1/26/2010</t>
  </si>
  <si>
    <t>2021 Conway Street, MILPITAS</t>
  </si>
  <si>
    <t>nkimjj@hotmail.com</t>
  </si>
  <si>
    <t>7/29/2019</t>
  </si>
  <si>
    <t>688 Corinthia</t>
  </si>
  <si>
    <t>SIP</t>
  </si>
  <si>
    <t>Ann</t>
  </si>
  <si>
    <t>473 Murray Street Milpitas CA 95035</t>
  </si>
  <si>
    <t>alou0411@gmail.com</t>
  </si>
  <si>
    <t>KarilynK@gmail.com</t>
  </si>
  <si>
    <t>Loui</t>
  </si>
  <si>
    <t>Audrey</t>
  </si>
  <si>
    <t>7/23/2012</t>
  </si>
  <si>
    <t>505 Topham Ct. Milpitas, CA 95035</t>
  </si>
  <si>
    <t>Bingying</t>
  </si>
  <si>
    <t>375 Hazen St, Milpitas, CA 95035</t>
  </si>
  <si>
    <t>461098257@gg.com</t>
  </si>
  <si>
    <t>Chen</t>
  </si>
  <si>
    <t>Hannah</t>
  </si>
  <si>
    <t>9/18/2008</t>
  </si>
  <si>
    <t>1966 Yosemite Dr., Milpitas, CA 95035</t>
  </si>
  <si>
    <t>Tan</t>
  </si>
  <si>
    <t>Jason</t>
  </si>
  <si>
    <t xml:space="preserve">46733 Crawford St Fremont, CA </t>
  </si>
  <si>
    <t>maogenetics@gmail.com</t>
  </si>
  <si>
    <t>Shang</t>
  </si>
  <si>
    <t>John</t>
  </si>
  <si>
    <t>1/19/2009</t>
  </si>
  <si>
    <t>448 Mayten Way, FREMONT</t>
  </si>
  <si>
    <t>48890 Green Valley Road, Fremont, CA 94539</t>
  </si>
  <si>
    <t>WILL BE ABSENT FROM APRIL</t>
  </si>
  <si>
    <t>Au</t>
  </si>
  <si>
    <t>Kassidy</t>
  </si>
  <si>
    <t>73 Henriques Lane, Milpitas, CA 95035</t>
  </si>
  <si>
    <t>cyu220@gmail.com</t>
  </si>
  <si>
    <t>11p</t>
  </si>
  <si>
    <t>Katherine</t>
  </si>
  <si>
    <t xml:space="preserve">Yan </t>
  </si>
  <si>
    <t>Lily</t>
  </si>
  <si>
    <t>4/18/2012</t>
  </si>
  <si>
    <t>49060 Rosette Grass Ter</t>
  </si>
  <si>
    <t>mhyan.ca@gmail.com</t>
  </si>
  <si>
    <t>6/18/2018</t>
  </si>
  <si>
    <t>WILL QUITE MATH FROM APRIL</t>
  </si>
  <si>
    <t>Meggie</t>
  </si>
  <si>
    <t>245 Wenatchee CMN, Fremont  CA 94539</t>
  </si>
  <si>
    <t>hxzhou@gmail.com</t>
  </si>
  <si>
    <t>will be absent from April</t>
  </si>
  <si>
    <t>Mengjie</t>
  </si>
  <si>
    <t>may9497979@icloud.com</t>
  </si>
  <si>
    <t>Gebretensaie</t>
  </si>
  <si>
    <t>Mlat</t>
  </si>
  <si>
    <t>48396 Purple Leaf St., Fremont  CA 94539</t>
  </si>
  <si>
    <t>mossi411@comcast.net</t>
  </si>
  <si>
    <t>Zhou</t>
  </si>
  <si>
    <t>Nathalie</t>
  </si>
  <si>
    <t>488 Merlot Dr., Fremont  CA 94539</t>
  </si>
  <si>
    <t>shaojoe@yahoo.com</t>
  </si>
  <si>
    <t>Sunny</t>
  </si>
  <si>
    <t>867 Del Rio Ct</t>
  </si>
  <si>
    <t>candychen9069@gmail.com</t>
  </si>
  <si>
    <t>MOVED TO LA, WILL BE ABSENT FROM APRIL</t>
  </si>
  <si>
    <t>Seerla</t>
  </si>
  <si>
    <t>Surapujita</t>
  </si>
  <si>
    <t>180 Selwyn Dr, #1, Milpitas, CA 95035</t>
  </si>
  <si>
    <t>nguyen-n74@yahoo.com</t>
  </si>
  <si>
    <t>Surarchita</t>
  </si>
  <si>
    <t>8/24/2009</t>
  </si>
  <si>
    <t>1/1/2012</t>
  </si>
  <si>
    <t>1605 Arizona Ave, Milpitas, CA 95035</t>
  </si>
  <si>
    <t>jiawen198564@gmail.com</t>
  </si>
  <si>
    <t>11/13/2019</t>
  </si>
  <si>
    <t>11/1/2007</t>
  </si>
  <si>
    <t>8/1/2017</t>
  </si>
  <si>
    <t>EH5</t>
  </si>
  <si>
    <t>110P</t>
  </si>
  <si>
    <t>Complete English Program</t>
  </si>
  <si>
    <t>Janice</t>
  </si>
  <si>
    <t xml:space="preserve">77 Duttonwood Lane, Milpitas, CA </t>
  </si>
  <si>
    <t>jjjjune@yahoo.com</t>
  </si>
  <si>
    <t>WILL BE ABSENT FROM MAY</t>
  </si>
  <si>
    <t>Bakhtyar</t>
  </si>
  <si>
    <t>Mariam</t>
  </si>
  <si>
    <t>1645 Cortez st,Milpitas,CA 95035, Milpitas, CA 95035</t>
  </si>
  <si>
    <t>will be absent from May</t>
  </si>
  <si>
    <t>Held</t>
  </si>
  <si>
    <t>48640 Plomosa Rd. Fremont CA</t>
  </si>
  <si>
    <t>zhuxi@hotmail.com</t>
  </si>
  <si>
    <t>BROTHER WILL REPLACE FROM MAY, be back in June</t>
  </si>
  <si>
    <t>Serena</t>
  </si>
  <si>
    <t>Tong</t>
  </si>
  <si>
    <t>Theodore</t>
  </si>
  <si>
    <t>48984 Woodgroove Common , Fremont</t>
  </si>
  <si>
    <t>defe20080131@gmail.com</t>
  </si>
  <si>
    <t>48984 Woodgroove Common</t>
  </si>
  <si>
    <t>Victor</t>
  </si>
  <si>
    <t>Udayan</t>
  </si>
  <si>
    <t>2286 Lynwood Terrace, Milpitas, CA 95035</t>
  </si>
  <si>
    <t>Varsha</t>
  </si>
  <si>
    <t>Aarav</t>
  </si>
  <si>
    <t>223 Bayberry Cmm. Fremont, CA 94539</t>
  </si>
  <si>
    <t>shaggarwal80@yahoo.com</t>
  </si>
  <si>
    <t>will be abesnt fro June, back in july</t>
  </si>
  <si>
    <t>will be absent for summer, back in Aug</t>
  </si>
  <si>
    <t>Chu</t>
  </si>
  <si>
    <t>Alexander</t>
  </si>
  <si>
    <t>350 Carnegie Drive, Milpitas, CA 95035</t>
  </si>
  <si>
    <t>Alicia</t>
  </si>
  <si>
    <t>WILL BE ABSENT FROM JUNE</t>
  </si>
  <si>
    <t>Becky</t>
  </si>
  <si>
    <t>80P</t>
  </si>
  <si>
    <t>WILL BE ABSENT IN JUNE AND BACK</t>
  </si>
  <si>
    <t xml:space="preserve">WILL BE ABSENT IN JUNE AND BACK </t>
  </si>
  <si>
    <t>ABSENT IN JUNE, BACK IN JULY</t>
  </si>
  <si>
    <t>1730 Franck Ave, Santa Clara  CA 95051</t>
  </si>
  <si>
    <t>guixiong2002@gmail.com</t>
  </si>
  <si>
    <t>WILL BE ABSENT IN JUNE BACK IN JULY</t>
  </si>
  <si>
    <t>Eusern</t>
  </si>
  <si>
    <t>1394 Elkwood Dr, Milpitas  CA 95035</t>
  </si>
  <si>
    <t>clk_003@yahoo.com</t>
  </si>
  <si>
    <t>will be absent for June</t>
  </si>
  <si>
    <t>1207 Summerwind Way, milpitas, CA 95035</t>
  </si>
  <si>
    <t>hw.winnie@yahoo.om</t>
  </si>
  <si>
    <t>will be absent in June</t>
  </si>
  <si>
    <t>Hau</t>
  </si>
  <si>
    <t>Luis</t>
  </si>
  <si>
    <t>Warm Spring</t>
  </si>
  <si>
    <t>jade1101@hotmail.com</t>
  </si>
  <si>
    <t>Michelle</t>
  </si>
  <si>
    <t>5/3/2012</t>
  </si>
  <si>
    <t>Jaron</t>
  </si>
  <si>
    <t>4889 landmark way ,Dublin ,CA 94568</t>
  </si>
  <si>
    <t>Aple_hu@hotmail.com</t>
  </si>
  <si>
    <t>110s</t>
  </si>
  <si>
    <t>Mullapudi</t>
  </si>
  <si>
    <t>Srinithya</t>
  </si>
  <si>
    <t>8/13/2010</t>
  </si>
  <si>
    <t>282 Jorgens Drive, Milpitas</t>
  </si>
  <si>
    <t>tunnelin@yahoo.com</t>
  </si>
  <si>
    <t>1/6/2019</t>
  </si>
  <si>
    <t>50S</t>
  </si>
  <si>
    <t>WILL BE ABSENT FOR JULY, BACK IN AUG</t>
  </si>
  <si>
    <t>Ada</t>
  </si>
  <si>
    <t>155Valmy Street Milpitas CA 95035</t>
  </si>
  <si>
    <t xml:space="preserve">absent for Aug. but back in Sep. </t>
  </si>
  <si>
    <t>123 ,Fremont ,CA 94539</t>
  </si>
  <si>
    <t>taipingyoung@gmail.com</t>
  </si>
  <si>
    <t>Emma</t>
  </si>
  <si>
    <t>3174 fernside Sq ,San Jose ,CA 95132</t>
  </si>
  <si>
    <t>Xinju.li@gmail.com</t>
  </si>
  <si>
    <t>MK1</t>
  </si>
  <si>
    <t>Flynn</t>
  </si>
  <si>
    <t>421 Montague Expressway</t>
  </si>
  <si>
    <t>luckling00@gmail.com</t>
  </si>
  <si>
    <t xml:space="preserve">WILL BE ABSENT FOR AUG. </t>
  </si>
  <si>
    <t>2894 Lousanne Ct. ,San Jose ,CA 95132</t>
  </si>
  <si>
    <t>yuqian_w@hotmail.com</t>
  </si>
  <si>
    <t>100S</t>
  </si>
  <si>
    <t>88 Bates Lu, Milpitas CA</t>
  </si>
  <si>
    <t>winnieip426@gmail.com</t>
  </si>
  <si>
    <t>WIIL BE ABSENT FROM SEP</t>
  </si>
  <si>
    <t>Yao</t>
  </si>
  <si>
    <t>Lucas</t>
  </si>
  <si>
    <t>40927 Cantare Pl ,Fremont ,CA 94539</t>
  </si>
  <si>
    <t>joanliu2004@gmail.com</t>
  </si>
  <si>
    <t>100s</t>
  </si>
  <si>
    <t>take Aug off for vocation</t>
  </si>
  <si>
    <t>Vellanki</t>
  </si>
  <si>
    <t>Nihal</t>
  </si>
  <si>
    <t>1774 widen ct ,San Jose ,CA 95132</t>
  </si>
  <si>
    <t>sun.nitha@gmail.com</t>
  </si>
  <si>
    <t>110S</t>
  </si>
  <si>
    <t>Mallangi</t>
  </si>
  <si>
    <t>Vihaan</t>
  </si>
  <si>
    <t>39201 red hawk terrace, A207 ,fremont ,CA 94538</t>
  </si>
  <si>
    <t>pavithra14722@gmail.com</t>
  </si>
  <si>
    <t>Yihan</t>
  </si>
  <si>
    <t>3232 parkhaven dr ,San jose ,CA 95132</t>
  </si>
  <si>
    <t>dy6521@yahoo.com</t>
  </si>
  <si>
    <t>80s</t>
  </si>
  <si>
    <t xml:space="preserve">WILL BE ABSENT FOR AUG </t>
  </si>
  <si>
    <t>90s</t>
  </si>
  <si>
    <t>Evan</t>
  </si>
  <si>
    <t>1533 Albany ct. ,Milpitas ,CA 95035</t>
  </si>
  <si>
    <t>Charlenewong2008@yahoo.com</t>
  </si>
  <si>
    <t>50s</t>
  </si>
  <si>
    <t>48396 Purple Leaf St. ,Fremont ,CA 94539</t>
  </si>
  <si>
    <t xml:space="preserve">MG8 </t>
  </si>
  <si>
    <t>&gt;2MTHS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</si>
  <si>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</si>
  <si>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</si>
  <si>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</si>
  <si>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</si>
  <si>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</si>
  <si>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</si>
  <si>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</si>
  <si>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mg6</t>
  </si>
  <si>
    <t>huang</t>
  </si>
  <si>
    <t>Aurelian</t>
  </si>
  <si>
    <t>7/31/2009</t>
  </si>
  <si>
    <t>1202 Daniel CT</t>
  </si>
  <si>
    <t>hongthuphan2012@yahoo.com</t>
  </si>
  <si>
    <t>will be absent from Sep</t>
  </si>
  <si>
    <t>7/26/2013</t>
  </si>
  <si>
    <t>735782789@99.com</t>
  </si>
  <si>
    <t>Sun</t>
  </si>
  <si>
    <t>Megan</t>
  </si>
  <si>
    <t>424 silvercrown way ,San Ramon ,CA 94582</t>
  </si>
  <si>
    <t>maymak518@hotmail.com</t>
  </si>
  <si>
    <t>will be absent for Sep</t>
  </si>
  <si>
    <t>Junqin</t>
  </si>
  <si>
    <t>1562 Braly Ave. ,Milpitas ,CA 95035</t>
  </si>
  <si>
    <t>Beckysong129@gmail.com</t>
  </si>
  <si>
    <t>Almanda</t>
  </si>
  <si>
    <t>1730 Franck Ave ,Santa Clara ,CA 95051</t>
  </si>
  <si>
    <t>7/5/2019</t>
  </si>
  <si>
    <t>will be absent fron next month</t>
  </si>
  <si>
    <t>medical treatment</t>
  </si>
  <si>
    <t>Alvarez</t>
  </si>
  <si>
    <t>Brielle</t>
  </si>
  <si>
    <t>321 Washington Dr. Milpitas</t>
  </si>
  <si>
    <t>siolemus@yahoo.com</t>
  </si>
  <si>
    <t>30p</t>
  </si>
  <si>
    <t>family issue, will be absent fron next month</t>
  </si>
  <si>
    <t>350 Carnegie Drive ,Milpitas ,CA 95035</t>
  </si>
  <si>
    <t>shiamofly@gmail.com</t>
  </si>
  <si>
    <t>complete program</t>
  </si>
  <si>
    <t>whole family tested for Coivd. Quit the program</t>
  </si>
  <si>
    <t>Co</t>
  </si>
  <si>
    <t>Hillary</t>
  </si>
  <si>
    <t>1936 lakewood dr apt# d ,San jose ,CA 95132</t>
  </si>
  <si>
    <t>Co.longngoc@gmail.com</t>
  </si>
  <si>
    <t>not doing work, will quit</t>
  </si>
  <si>
    <t>Hagos</t>
  </si>
  <si>
    <t>Luliya</t>
  </si>
  <si>
    <t>Luliya08@gmail.com</t>
  </si>
  <si>
    <t>1605 Arizona Ave ,Milpitas ,CA 95035</t>
  </si>
  <si>
    <t>will be absent from Jan. 2021</t>
  </si>
  <si>
    <t>A=E</t>
  </si>
  <si>
    <t>Cao</t>
  </si>
  <si>
    <t>Louie</t>
  </si>
  <si>
    <t>1244 Sioux Ct ,Fremont ,CA 94539</t>
  </si>
  <si>
    <t>konaxyz@gmail.com</t>
  </si>
  <si>
    <t>A=M</t>
  </si>
  <si>
    <t>Remmy</t>
  </si>
  <si>
    <t>N=E</t>
  </si>
  <si>
    <t>SUN</t>
  </si>
  <si>
    <t>Ruoyu</t>
  </si>
  <si>
    <t>bill_022@hotmail.com</t>
  </si>
  <si>
    <t>will be absent fron Jan.</t>
  </si>
  <si>
    <t>N=M</t>
  </si>
  <si>
    <t>Ong</t>
  </si>
  <si>
    <t>hwei26@hotmail.com</t>
  </si>
  <si>
    <t>will be absent from Feb. 2021</t>
  </si>
  <si>
    <t>quit</t>
  </si>
  <si>
    <t>10/2/2009</t>
  </si>
  <si>
    <t>4/2/2016</t>
  </si>
  <si>
    <t>Instructor Children</t>
  </si>
  <si>
    <t>MH6</t>
  </si>
  <si>
    <t xml:space="preserve">will be back in Aug. </t>
  </si>
  <si>
    <t>Mi</t>
  </si>
  <si>
    <t xml:space="preserve">Brandon </t>
  </si>
  <si>
    <t>stephaniewmi@yahoo.com</t>
  </si>
  <si>
    <t>will quite next month</t>
  </si>
  <si>
    <t>Isabella</t>
  </si>
  <si>
    <t>tiffanychant@gmail.com</t>
  </si>
  <si>
    <t>Han</t>
  </si>
  <si>
    <t>Roger</t>
  </si>
  <si>
    <t>1540 Sun Ln, San Jose</t>
  </si>
  <si>
    <t>sunnyruby@gmail.com</t>
  </si>
  <si>
    <t>10p</t>
  </si>
  <si>
    <t>Ruby</t>
  </si>
  <si>
    <t>Chaphekar</t>
  </si>
  <si>
    <t>Aditi</t>
  </si>
  <si>
    <t>66 Brookstone Ct, Milpitas</t>
  </si>
  <si>
    <t>shalakachaphekar@gmail.com</t>
  </si>
  <si>
    <t>will be absent for summer, back in fall</t>
  </si>
  <si>
    <t>300 Camphor Ave ,Fremont ,CA 94539</t>
  </si>
  <si>
    <t>will be absent from June and back in Aug</t>
  </si>
  <si>
    <t>vivianpalace@alo.com</t>
  </si>
  <si>
    <t>Prabhu</t>
  </si>
  <si>
    <t>Hashvik</t>
  </si>
  <si>
    <t>1775 Milmont Drive</t>
  </si>
  <si>
    <t>srprabhu08@gmail.com</t>
  </si>
  <si>
    <t xml:space="preserve">will be absent for July and back in Aug. </t>
  </si>
  <si>
    <t>Piao</t>
  </si>
  <si>
    <t>Hummer</t>
  </si>
  <si>
    <t>Cindyre@gmail.com</t>
  </si>
  <si>
    <t>EG1b</t>
  </si>
  <si>
    <t>Kulkarni</t>
  </si>
  <si>
    <t>Ishani</t>
  </si>
  <si>
    <t>498 sark ct, Milpitas</t>
  </si>
  <si>
    <t>apekshakulkarni9@gmail.com</t>
  </si>
  <si>
    <t>will be back in Aug</t>
  </si>
  <si>
    <t>Shaurya</t>
  </si>
  <si>
    <t>1289 Elkwood Drive, Milpitas, CA 95035</t>
  </si>
  <si>
    <t>Wei</t>
  </si>
  <si>
    <t>Tracy</t>
  </si>
  <si>
    <t>cf.hsudafang@gmail.com</t>
  </si>
  <si>
    <t>Yaru</t>
  </si>
  <si>
    <t>xingyi.annie@icloud.com</t>
  </si>
  <si>
    <t>Liang</t>
  </si>
  <si>
    <t>Aaron</t>
  </si>
  <si>
    <t>20678 Shelly Dr</t>
  </si>
  <si>
    <t>hippopotamus1984@gmail.com</t>
  </si>
  <si>
    <t>will be absent in July</t>
  </si>
  <si>
    <t>will be absent for July</t>
  </si>
  <si>
    <t>will be absent July, will be back in Aug</t>
  </si>
  <si>
    <t>Gan</t>
  </si>
  <si>
    <t>3259 Knights bridge Rd ,San jose ,CA 95132</t>
  </si>
  <si>
    <t>planwithgan@gmail.com</t>
  </si>
  <si>
    <t xml:space="preserve">absent for July, will be back in mid Aug. </t>
  </si>
  <si>
    <t>absent in Aug. back in Sep.</t>
  </si>
  <si>
    <t xml:space="preserve">Michael </t>
  </si>
  <si>
    <t>will be absent for Aug</t>
  </si>
  <si>
    <t>131 Jose Figueres Ave, San Jose</t>
  </si>
  <si>
    <t>EG2b</t>
  </si>
  <si>
    <t>will leave for Aug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</si>
  <si>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</si>
  <si>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</si>
  <si>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</si>
  <si>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</si>
  <si>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</si>
  <si>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</si>
  <si>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</si>
  <si>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</si>
  <si>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will be absent in Aug</t>
  </si>
  <si>
    <t>Erick</t>
  </si>
  <si>
    <t>Ellen</t>
  </si>
  <si>
    <t>Alicecyl@hotmail.com</t>
  </si>
  <si>
    <t>40p</t>
  </si>
  <si>
    <t>Garcia</t>
  </si>
  <si>
    <t>Gianna</t>
  </si>
  <si>
    <t>912 Rain Dance</t>
  </si>
  <si>
    <t>sabrinalortega@gmail.com</t>
  </si>
  <si>
    <t xml:space="preserve">will be absent from Sep. </t>
  </si>
  <si>
    <t>Grace</t>
  </si>
  <si>
    <t>Ma</t>
  </si>
  <si>
    <t>Grayson</t>
  </si>
  <si>
    <t>angeljli928@gmail.com</t>
  </si>
  <si>
    <t>592 Singley Dr.</t>
  </si>
  <si>
    <t xml:space="preserve">will keep English only from Sep. </t>
  </si>
  <si>
    <t xml:space="preserve">change to math </t>
  </si>
  <si>
    <t>lphuonglien@yahoo.com</t>
  </si>
  <si>
    <t>transfer to San Ramon</t>
  </si>
  <si>
    <t>Paguio</t>
  </si>
  <si>
    <t>Emmanuel</t>
  </si>
  <si>
    <t>1113 Mente Linda Loop, Milpitas, CA, 95035</t>
  </si>
  <si>
    <t>ruenapaguio@yahoo.com</t>
  </si>
  <si>
    <t>1444 David Ln, Milpitas, CA, 95035</t>
  </si>
  <si>
    <t>jpwang121@gmail.com</t>
  </si>
  <si>
    <t xml:space="preserve">MOVED </t>
  </si>
  <si>
    <t>Ben</t>
  </si>
  <si>
    <t>458 Singley Drive milpitas CA 95035</t>
  </si>
  <si>
    <t>pengmao.jane@gmail.com</t>
  </si>
  <si>
    <t>EG11</t>
  </si>
  <si>
    <t xml:space="preserve">will be absent from Oct. </t>
  </si>
  <si>
    <t>Joe</t>
  </si>
  <si>
    <t>Jeffrey</t>
  </si>
  <si>
    <t>4664 Cheeney St,, Santa Clara, CA, 95054</t>
  </si>
  <si>
    <t>lilian010@gmail.com</t>
  </si>
  <si>
    <t>will be absent for Nov</t>
  </si>
  <si>
    <t>Lavernie</t>
  </si>
  <si>
    <t>Helen</t>
  </si>
  <si>
    <t>transferred to San Ramon</t>
  </si>
  <si>
    <t>moved</t>
  </si>
  <si>
    <t>ZHANG</t>
  </si>
  <si>
    <t>ZIQIANG</t>
  </si>
  <si>
    <t>440 DIXON LANDING RD APT J-303</t>
  </si>
  <si>
    <t>jingxiabai1982@yahoo.com</t>
  </si>
  <si>
    <t>1612 Hidden Creek Ln.</t>
  </si>
  <si>
    <t>vivianali@gmail.com</t>
  </si>
  <si>
    <t>Howard</t>
  </si>
  <si>
    <t>48044 Leontine Ct, Fremont, CA 94539</t>
  </si>
  <si>
    <t>luckycclu@gmail.com</t>
  </si>
  <si>
    <t>Oct.1, 2021</t>
  </si>
  <si>
    <t>will be absent for Dec. and back in Jan</t>
  </si>
  <si>
    <t>Simon</t>
  </si>
  <si>
    <t>1833 Landess ,Milpitas ,CA 95035</t>
  </si>
  <si>
    <t>haifeng.zhu.cn@gmail.com</t>
  </si>
  <si>
    <t>Madala</t>
  </si>
  <si>
    <t>Aanya</t>
  </si>
  <si>
    <t>Madala.deepa@gmail.com</t>
  </si>
  <si>
    <t>will take Jan off</t>
  </si>
  <si>
    <t>lu</t>
  </si>
  <si>
    <t>Angela</t>
  </si>
  <si>
    <t>1020 wilsham dr</t>
  </si>
  <si>
    <t>Yating8697@gmail.com</t>
  </si>
  <si>
    <t xml:space="preserve">family issue, will leave in Jan. </t>
  </si>
  <si>
    <t>Bevara</t>
  </si>
  <si>
    <t>Anika</t>
  </si>
  <si>
    <t>6/13/2013</t>
  </si>
  <si>
    <t xml:space="preserve">160 Images, Milpitas, CA </t>
  </si>
  <si>
    <t>mshirodkar@gmail.com</t>
  </si>
  <si>
    <t>will be absent for Jan.</t>
  </si>
  <si>
    <t>Katrina</t>
  </si>
  <si>
    <t>132 Chysis Rd, Milpitas, CA 95035</t>
  </si>
  <si>
    <t>quynhlerx@gmail.com</t>
  </si>
  <si>
    <t xml:space="preserve">Lin </t>
  </si>
  <si>
    <t>Leyi</t>
  </si>
  <si>
    <t>294 Washington Dr. Milpitas, CA 95035</t>
  </si>
  <si>
    <t>jinfenghu42@gmail.com</t>
  </si>
  <si>
    <t>will be back for March</t>
  </si>
  <si>
    <t>Dariah</t>
  </si>
  <si>
    <t>740 Saint Michael Cir</t>
  </si>
  <si>
    <t>Carissad77@yahoo.com</t>
  </si>
  <si>
    <t>3232 parkhaven dr, San jose CA</t>
  </si>
  <si>
    <t>HUANG</t>
  </si>
  <si>
    <t>Gavin</t>
  </si>
  <si>
    <t>1396 El Camino Real Unit 108</t>
  </si>
  <si>
    <t>yuan@aperfectexpress.com</t>
  </si>
  <si>
    <t>Tam</t>
  </si>
  <si>
    <t>Winona</t>
  </si>
  <si>
    <t>201 Goldenrain Ave</t>
  </si>
  <si>
    <t>susanna011216@yahoo.com</t>
  </si>
  <si>
    <t>Dai</t>
  </si>
  <si>
    <t>Michael</t>
  </si>
  <si>
    <t>816 silk tree, Irvine</t>
  </si>
  <si>
    <t>houcc821@gmail.com</t>
  </si>
  <si>
    <t>Sultan</t>
  </si>
  <si>
    <t>Omer</t>
  </si>
  <si>
    <t>2168 Calle Vista Verde, Milpitas CA</t>
  </si>
  <si>
    <t>masiya21@gmail.com</t>
  </si>
  <si>
    <t>761 Glen Mead Ct., San Jose, CA, 95133</t>
  </si>
  <si>
    <t>on vocation</t>
  </si>
  <si>
    <t>Upamanyu</t>
  </si>
  <si>
    <t xml:space="preserve">Tapas </t>
  </si>
  <si>
    <t>2669 shadowvale way, San Jose CA</t>
  </si>
  <si>
    <t>swapna.m.5678@gmail.com</t>
  </si>
  <si>
    <t>Tejas</t>
  </si>
  <si>
    <t>66 Brookstone Ct, Milpitas, CA 95035</t>
  </si>
  <si>
    <t>498 sark ct</t>
  </si>
  <si>
    <t>will be absent for summer</t>
  </si>
  <si>
    <t>Chow</t>
  </si>
  <si>
    <t xml:space="preserve">Aileen </t>
  </si>
  <si>
    <t>506 Bristle Grass Terrace, Fremont CA</t>
  </si>
  <si>
    <t>ginah.kid@gmail.com</t>
  </si>
  <si>
    <t>1475 Big Basin Drive, Milpitas, CA, 95035</t>
  </si>
  <si>
    <t>MHT</t>
  </si>
  <si>
    <t>Anh</t>
  </si>
  <si>
    <t>1791 Sunnyhills Dr</t>
  </si>
  <si>
    <t xml:space="preserve"> hien.nguyen0484@gmail.com</t>
  </si>
  <si>
    <t>Ek1</t>
  </si>
  <si>
    <t>Mk4</t>
  </si>
  <si>
    <t>nguyen_n74@yahoo.com</t>
  </si>
  <si>
    <t>vocaiton in summer</t>
  </si>
  <si>
    <t>Callum</t>
  </si>
  <si>
    <t>883 videll st ,san lorendro ,CA 94580</t>
  </si>
  <si>
    <t>tracylxh51@163.com</t>
  </si>
  <si>
    <t>3813 Adriatic Way ,San Bruno ,CA 94066</t>
  </si>
  <si>
    <t>wenwen179505@gmail.com</t>
  </si>
  <si>
    <t>Vocation in June.</t>
  </si>
  <si>
    <t>1918 conifer ct, San Jose</t>
  </si>
  <si>
    <t xml:space="preserve">Jason </t>
  </si>
  <si>
    <t>172 Chama Way</t>
  </si>
  <si>
    <t>linshu8518@gmail.com</t>
  </si>
  <si>
    <t xml:space="preserve">Jayden </t>
  </si>
  <si>
    <t>48404 Ursa Dr, Fremont CA</t>
  </si>
  <si>
    <t>mingao168@yahoo.com</t>
  </si>
  <si>
    <t>Junhua (Justin)</t>
  </si>
  <si>
    <t>1983 Conway St, Milpitas, CA</t>
  </si>
  <si>
    <t>729126561@qq.com</t>
  </si>
  <si>
    <t>Kehong</t>
  </si>
  <si>
    <t xml:space="preserve">129 Sudbury Ct. Milpitas </t>
  </si>
  <si>
    <t>shianyep@gmail.com</t>
  </si>
  <si>
    <t xml:space="preserve">vocation in June. back in July </t>
  </si>
  <si>
    <t>Kevin</t>
  </si>
  <si>
    <t>177 Delong Ln, Milpitas, CA</t>
  </si>
  <si>
    <t>sanjosechen@gmail.com</t>
  </si>
  <si>
    <t>Narito</t>
  </si>
  <si>
    <t xml:space="preserve">Leo Anthony </t>
  </si>
  <si>
    <t>330 Hazen St</t>
  </si>
  <si>
    <t>devz28@yahoo.com</t>
  </si>
  <si>
    <t>Qiu</t>
  </si>
  <si>
    <t xml:space="preserve">Mars </t>
  </si>
  <si>
    <t>1775 Milmont Dr, Milpitas CA</t>
  </si>
  <si>
    <t>mdjwpy861111@gmail.com</t>
  </si>
  <si>
    <t>Xing</t>
  </si>
  <si>
    <t>Teresa</t>
  </si>
  <si>
    <t>tianyun0728@gmail.com</t>
  </si>
  <si>
    <t>11/1/2019</t>
  </si>
  <si>
    <t>moving. Will be absent in Ju.</t>
  </si>
  <si>
    <t>Inaganti</t>
  </si>
  <si>
    <t>Thansi Chowdary</t>
  </si>
  <si>
    <t>20 BearPaw, 49A, Irvine, CA, 92604</t>
  </si>
  <si>
    <t>lallychowdary@gmail.com</t>
  </si>
  <si>
    <t>absent in summer</t>
  </si>
  <si>
    <t>Yiyu</t>
  </si>
  <si>
    <t>1715 Cortez St, Milpitas, CA 95035</t>
  </si>
  <si>
    <t>845578045@qq.com</t>
  </si>
  <si>
    <t>will be back in Aug.</t>
  </si>
  <si>
    <t>absent for July, back in Aug.</t>
  </si>
  <si>
    <t>Frank</t>
  </si>
  <si>
    <t>48264 Cottonwood St Fremont CA 94539</t>
  </si>
  <si>
    <t>ailehelen@gmail.com</t>
  </si>
  <si>
    <t>17061 Barton street, KS</t>
  </si>
  <si>
    <t>Mao</t>
  </si>
  <si>
    <t>Annabelle</t>
  </si>
  <si>
    <t>1246 Tularcitos Dr</t>
  </si>
  <si>
    <t>Yanan93@gmail.com</t>
  </si>
  <si>
    <t>47119 Benns Ter, Fremont</t>
  </si>
  <si>
    <t>menglanlan94@gmail.com</t>
  </si>
  <si>
    <t>LingQun(Joy)</t>
  </si>
  <si>
    <t>44930 Lynx Dr., Fremont, CA, 94539</t>
  </si>
  <si>
    <t>jie9ding18@gmail.com</t>
  </si>
  <si>
    <t>Ahmed</t>
  </si>
  <si>
    <t>Aazil</t>
  </si>
  <si>
    <t>1660 Delano St, Milpitas, CA 95035</t>
  </si>
  <si>
    <t>aqamar@ncsu.edu</t>
  </si>
  <si>
    <t>Casey</t>
  </si>
  <si>
    <t>Nora</t>
  </si>
  <si>
    <t>5335 SIERRA RD</t>
  </si>
  <si>
    <t>carpedmh@gmail.com</t>
  </si>
  <si>
    <t>Castro</t>
  </si>
  <si>
    <t xml:space="preserve">Aaron </t>
  </si>
  <si>
    <t>2065 Old Piedmont Rd, San Jose</t>
  </si>
  <si>
    <t>Kgoltiao@gmail.com</t>
  </si>
  <si>
    <t>Kalina</t>
  </si>
  <si>
    <t>2065 Old Piedmont Rd</t>
  </si>
  <si>
    <t>Aaron.Elias.castro@gmail.com</t>
  </si>
  <si>
    <t>Chuong</t>
  </si>
  <si>
    <t>Alvin</t>
  </si>
  <si>
    <t xml:space="preserve">2768 Somerset </t>
  </si>
  <si>
    <t>Anthony</t>
  </si>
  <si>
    <t>117 Fisk Terrace</t>
  </si>
  <si>
    <t>lewis1318@hotmail.com</t>
  </si>
  <si>
    <t>Lui</t>
  </si>
  <si>
    <t>Jeremy</t>
  </si>
  <si>
    <t>3/11/2007</t>
  </si>
  <si>
    <t>318 Stacey Common. Fremont, CA 94539</t>
  </si>
  <si>
    <t>mickeysc2003@yahoo.com.hk</t>
  </si>
  <si>
    <t>Ngo</t>
  </si>
  <si>
    <t>Queterie</t>
  </si>
  <si>
    <t>588 Carlsbad St., Milpitas, CA, 95035</t>
  </si>
  <si>
    <t>daomythuy@yahoo.com</t>
  </si>
  <si>
    <t>Edison</t>
  </si>
  <si>
    <t>231 Dixon Landing Rd, Milpitas, CA 95035</t>
  </si>
  <si>
    <t>divyagutha007@gmail.com</t>
  </si>
  <si>
    <t xml:space="preserve">Natan </t>
  </si>
  <si>
    <t>440 Dixon Landing, Milpitas CA</t>
  </si>
  <si>
    <t>sebhatuisaac@gmail.com</t>
  </si>
  <si>
    <t>She</t>
  </si>
  <si>
    <t>Boen</t>
  </si>
  <si>
    <t>41444 Thurston St., Fremont  CA 94538</t>
  </si>
  <si>
    <t>rongye329@homail.com</t>
  </si>
  <si>
    <t>tw0624@yahoo.com</t>
  </si>
  <si>
    <t>BaoDi</t>
  </si>
  <si>
    <t>1663 Sunnyhills Dr., Milpitas, CA 95035</t>
  </si>
  <si>
    <t>wu</t>
  </si>
  <si>
    <t>max</t>
  </si>
  <si>
    <t>fox hollow ct</t>
  </si>
  <si>
    <t>cathychwang@gmail.com</t>
  </si>
  <si>
    <t>4079 Carol Avenue</t>
  </si>
  <si>
    <t>jeenyw8@yahoo.com</t>
  </si>
  <si>
    <t>Ye</t>
  </si>
  <si>
    <t>735 Casa Bonita Court, Los Altos</t>
  </si>
  <si>
    <t>leahlilywang@gmail.com</t>
  </si>
  <si>
    <t>2894 Lousanne Ct., San Jose CA</t>
  </si>
  <si>
    <t>Eh1</t>
  </si>
  <si>
    <t>609 Sammie Ave, Fremont</t>
  </si>
  <si>
    <t>jianping.zhou@gmail.com</t>
  </si>
  <si>
    <t xml:space="preserve"> wuyijing80@gmail.com</t>
  </si>
  <si>
    <t xml:space="preserve">too busy with 2 sub. </t>
  </si>
  <si>
    <t>Bui</t>
  </si>
  <si>
    <t>Mia</t>
  </si>
  <si>
    <t>926 Campbell St</t>
  </si>
  <si>
    <t>qbui2017@gmail.com</t>
  </si>
  <si>
    <t>20p</t>
  </si>
  <si>
    <t>kid too little and too far from home</t>
  </si>
  <si>
    <t>Jaylyn</t>
  </si>
  <si>
    <t>48966 Lady Fern Cmn</t>
  </si>
  <si>
    <t>SweeKar.seah@gmail.com</t>
  </si>
  <si>
    <t xml:space="preserve">will be back in summer. </t>
  </si>
  <si>
    <t>Liem</t>
  </si>
  <si>
    <t>817 horcajo st</t>
  </si>
  <si>
    <t>Lydiapnd@yahoo.com</t>
  </si>
  <si>
    <t xml:space="preserve">Liem </t>
  </si>
  <si>
    <t>Waghmare</t>
  </si>
  <si>
    <t>1042 Pescadero St</t>
  </si>
  <si>
    <t>ganeshsw@gmail.com</t>
  </si>
  <si>
    <t>will be back when ready</t>
  </si>
  <si>
    <t>will be absent from Nov.</t>
  </si>
  <si>
    <t>Rajeshkumar</t>
  </si>
  <si>
    <t>Lakshana</t>
  </si>
  <si>
    <t>APT H203, 440 Dixon Landing Road, Milpitas, CA</t>
  </si>
  <si>
    <t>kalabarajesh@gmail.com</t>
  </si>
  <si>
    <t>McGraw</t>
  </si>
  <si>
    <t>Rudy</t>
  </si>
  <si>
    <t>763 McLaughlin Ave</t>
  </si>
  <si>
    <t>liz.hernandezelin@yahoo.com</t>
  </si>
  <si>
    <t>Suhaas</t>
  </si>
  <si>
    <t>49062 Tickle Grass Terr</t>
  </si>
  <si>
    <t xml:space="preserve">Anna </t>
  </si>
  <si>
    <t>absent in Dec.back in Jan</t>
  </si>
  <si>
    <t>Dominguez</t>
  </si>
  <si>
    <t>Eduardo</t>
  </si>
  <si>
    <t>2275 Stratford Drive</t>
  </si>
  <si>
    <t>wirelesschief@gmail.com</t>
  </si>
  <si>
    <t>will exit in Dec.</t>
  </si>
  <si>
    <t>Belmontes</t>
  </si>
  <si>
    <t>552 Bradley Ave</t>
  </si>
  <si>
    <t>viennamlai@gmail.com</t>
  </si>
  <si>
    <t xml:space="preserve"> too young</t>
  </si>
  <si>
    <t>Jayden Zhu</t>
  </si>
  <si>
    <t>16355 Cypress Way, Los Gatos, CA</t>
  </si>
  <si>
    <t>myweibobusiness@gmail.com</t>
  </si>
  <si>
    <t>will absent in Dec , too far</t>
  </si>
  <si>
    <t>will change to English in Dec.</t>
  </si>
  <si>
    <t xml:space="preserve">Julia </t>
  </si>
  <si>
    <t>Kristina</t>
  </si>
  <si>
    <t>Marina</t>
  </si>
  <si>
    <t xml:space="preserve">will absent in Dec </t>
  </si>
  <si>
    <t>Lei</t>
  </si>
  <si>
    <t>Furui</t>
  </si>
  <si>
    <t>4140 Felter Rd.</t>
  </si>
  <si>
    <t>laolei2020@gmail.com</t>
  </si>
  <si>
    <t>absent for Jan. back in Feb</t>
  </si>
  <si>
    <t>Fuzhi</t>
  </si>
  <si>
    <t>Luong</t>
  </si>
  <si>
    <t>Mirabella</t>
  </si>
  <si>
    <t>1877 Camargo Dr, San Jose, CA 95132</t>
  </si>
  <si>
    <t xml:space="preserve">   </t>
  </si>
  <si>
    <t>1835 Vegas ave</t>
  </si>
  <si>
    <t>tmulijati@yahoo.com</t>
  </si>
  <si>
    <t xml:space="preserve">will be absent in Jan. </t>
  </si>
  <si>
    <t>Shivansh</t>
  </si>
  <si>
    <t>30 Washington Square, Milpitas</t>
  </si>
  <si>
    <t>aks.bitsg@gmail.com</t>
  </si>
  <si>
    <t>duplicate entry</t>
  </si>
  <si>
    <t>Truong</t>
  </si>
  <si>
    <t>Zoey</t>
  </si>
  <si>
    <t>3185 Knights Bridge Road</t>
  </si>
  <si>
    <t>hkalyn@yahoo.com</t>
  </si>
  <si>
    <t>school offer extra classes</t>
  </si>
  <si>
    <t xml:space="preserve">Gavin </t>
  </si>
  <si>
    <t>720 Tramway Dr</t>
  </si>
  <si>
    <t>Kimstuder26@gmail.com</t>
  </si>
  <si>
    <t>moved. Will quit from Feb.</t>
  </si>
  <si>
    <t>will be absent in Feb.</t>
  </si>
  <si>
    <t>Temesgen</t>
  </si>
  <si>
    <t>41299 paseo padre pkwy Apt#235</t>
  </si>
  <si>
    <t>mehretek12@gmail.com</t>
  </si>
  <si>
    <t>Farhan</t>
  </si>
  <si>
    <t>Aaleena</t>
  </si>
  <si>
    <t>1106 N Hillview Dr</t>
  </si>
  <si>
    <t>samawath1026@gmail.com</t>
  </si>
  <si>
    <t>absent for Mar. join math in Apr.</t>
  </si>
  <si>
    <t>Hanlin</t>
  </si>
  <si>
    <t xml:space="preserve"> 1010 Drexel way, San Jose</t>
  </si>
  <si>
    <t>mailtohaijun@gmail.com</t>
  </si>
  <si>
    <t>will be absent from Mar.</t>
  </si>
  <si>
    <t>336 goldenrain ave, Fremont CA</t>
  </si>
  <si>
    <t>Huiyunwu93@gmail.com</t>
  </si>
  <si>
    <t>Jared</t>
  </si>
  <si>
    <t>1509 Kennedy Dr., Milpitas, CA, 95035</t>
  </si>
  <si>
    <t>santabear00@gmail.com</t>
  </si>
  <si>
    <t>Kayli</t>
  </si>
  <si>
    <t>35S</t>
  </si>
  <si>
    <t>typo, E not M</t>
  </si>
  <si>
    <t>3721 macbeth dr</t>
  </si>
  <si>
    <t>shineshine2008@gmail.com</t>
  </si>
  <si>
    <t>has been absent since Mar.</t>
  </si>
  <si>
    <t xml:space="preserve">will be absent from Apr. </t>
  </si>
  <si>
    <t>will take one mon. off in May</t>
  </si>
  <si>
    <t>Ha</t>
  </si>
  <si>
    <t>Irene</t>
  </si>
  <si>
    <t>440 Dixon Landing Road</t>
  </si>
  <si>
    <t>Tran.tran.thbt@gmail.com</t>
  </si>
  <si>
    <t>Chang</t>
  </si>
  <si>
    <t>Richard</t>
  </si>
  <si>
    <t>39871 Duran Ct</t>
  </si>
  <si>
    <t>fangli.sf@gmail.com</t>
  </si>
  <si>
    <t>OT TO FREMONT</t>
  </si>
  <si>
    <t>35p</t>
  </si>
  <si>
    <t>9P</t>
  </si>
  <si>
    <t>Dhaliwal</t>
  </si>
  <si>
    <t>Harshawn</t>
  </si>
  <si>
    <t xml:space="preserve">2324 Edsel Drive, Milpitas </t>
  </si>
  <si>
    <t>Navneetkd@yahoo.com</t>
  </si>
  <si>
    <t>Nimrat</t>
  </si>
  <si>
    <t xml:space="preserve">Jefferey </t>
  </si>
  <si>
    <t>back in July</t>
  </si>
  <si>
    <t>Duewer</t>
  </si>
  <si>
    <t>Henry</t>
  </si>
  <si>
    <t>286 La Crosse Drive</t>
  </si>
  <si>
    <t>fwduewer@gmail.com</t>
  </si>
  <si>
    <t>will take off in June</t>
  </si>
  <si>
    <t>golla</t>
  </si>
  <si>
    <t>48943 Air Fern Common, Fremont</t>
  </si>
  <si>
    <t>40P</t>
  </si>
  <si>
    <t>2ND</t>
  </si>
  <si>
    <t>BingYue</t>
  </si>
  <si>
    <t>1306 Nestwood Way, Milpitas</t>
  </si>
  <si>
    <t>Sqxie68@gmail.com</t>
  </si>
  <si>
    <t>MMG</t>
  </si>
  <si>
    <t>Kiran</t>
  </si>
  <si>
    <t>Hivanica</t>
  </si>
  <si>
    <t>49002 Cinnamon Fern cmn</t>
  </si>
  <si>
    <t>shruthi.manisekar@gmail.com</t>
  </si>
  <si>
    <t>2nd subject</t>
  </si>
  <si>
    <t>245 Wenatchee CMN ,Fremont ,CA 94539</t>
  </si>
  <si>
    <t>EH2</t>
  </si>
  <si>
    <t>44P</t>
  </si>
  <si>
    <t>Huan</t>
  </si>
  <si>
    <t>345 Boyd St, Milpitas, CA</t>
  </si>
  <si>
    <t>zliang@ucsb.edu</t>
  </si>
  <si>
    <t>Xiao</t>
  </si>
  <si>
    <t>Katie</t>
  </si>
  <si>
    <t>45220 Parkmeadow w</t>
  </si>
  <si>
    <t>Yuansun@gmail.com</t>
  </si>
  <si>
    <t>2nd</t>
  </si>
  <si>
    <t>47069 Benns Ter</t>
  </si>
  <si>
    <t>janezh3080@gmail.com</t>
  </si>
  <si>
    <t>Millina</t>
  </si>
  <si>
    <t>EH3</t>
  </si>
  <si>
    <t>Travel, back in July</t>
  </si>
  <si>
    <t>A&gt;2 MTH</t>
  </si>
  <si>
    <t>Pathak</t>
  </si>
  <si>
    <t>1453 Lavender Loop</t>
  </si>
  <si>
    <t>Richa.gyans@gmail.com</t>
  </si>
  <si>
    <t>30 Washington Square</t>
  </si>
  <si>
    <t>Rakson</t>
  </si>
  <si>
    <t xml:space="preserve"> 
47125 Benns Ter, Fremont</t>
  </si>
  <si>
    <t xml:space="preserve">indian, back in Aug </t>
  </si>
  <si>
    <t>52P</t>
  </si>
  <si>
    <t>23P</t>
  </si>
  <si>
    <t>25S</t>
  </si>
  <si>
    <t>231 Dixon Landing Road, apt 284</t>
  </si>
  <si>
    <t>pingt125@gmail.com</t>
  </si>
  <si>
    <t>89S</t>
  </si>
  <si>
    <t>China, back in Aug</t>
  </si>
  <si>
    <t xml:space="preserve">Ethan </t>
  </si>
  <si>
    <t>1326 Nelson Way</t>
  </si>
  <si>
    <t>lianzhigu5@gmail.com</t>
  </si>
  <si>
    <t>48909 rustyleaf ter</t>
  </si>
  <si>
    <t>lihuisophia@gmail.com</t>
  </si>
  <si>
    <t>227 Lippert Ave</t>
  </si>
  <si>
    <t>227 Lippert Ave, Fremont CA</t>
  </si>
  <si>
    <t>Ziyu</t>
  </si>
  <si>
    <t>17P</t>
  </si>
  <si>
    <t>1866 trento loop</t>
  </si>
  <si>
    <t>mynankai65@gmail.com</t>
  </si>
  <si>
    <t>Taluna</t>
  </si>
  <si>
    <t>46912 Bodie Ter, Fremont, CA</t>
  </si>
  <si>
    <t>zhchni@hotmail.com</t>
  </si>
  <si>
    <t>Zheng</t>
  </si>
  <si>
    <t>47879 maya st</t>
  </si>
  <si>
    <t>gaolili20100@gmail.com</t>
  </si>
  <si>
    <t>74P</t>
  </si>
  <si>
    <t xml:space="preserve">Hannah </t>
  </si>
  <si>
    <t>47879 maya st, Fremont, CA 94539</t>
  </si>
  <si>
    <t>back in Aug.</t>
  </si>
  <si>
    <t>2768 Somerset</t>
  </si>
  <si>
    <t>July off. back in Aug</t>
  </si>
  <si>
    <t>An</t>
  </si>
  <si>
    <t>back in fall</t>
  </si>
  <si>
    <t>will be absent in july</t>
  </si>
  <si>
    <t>back in Aug</t>
  </si>
  <si>
    <t>4140 Felter Rd., Milpitas, CA, 95035</t>
  </si>
  <si>
    <t>Julian</t>
  </si>
  <si>
    <t>will travel, back in Aug.</t>
  </si>
  <si>
    <t>Dandiwala</t>
  </si>
  <si>
    <t>Kabir</t>
  </si>
  <si>
    <t>1426 N Hillview Dr</t>
  </si>
  <si>
    <t>sdandiwala@gmail.com</t>
  </si>
  <si>
    <t>Mejia Garcia</t>
  </si>
  <si>
    <t>Kayla</t>
  </si>
  <si>
    <t>424 Dempsey Rd, Milpitas 95035</t>
  </si>
  <si>
    <t>mariagd987@gmail.com</t>
  </si>
  <si>
    <t>1244 Sioux Ct</t>
  </si>
  <si>
    <t>india</t>
  </si>
  <si>
    <t>3185 Knights Bridge Road, San Jose, CA, 95132</t>
  </si>
  <si>
    <t>155Valmy Street, Milpitas 95035</t>
  </si>
  <si>
    <t>absent in Aug. back in Sep</t>
  </si>
  <si>
    <t>Bella</t>
  </si>
  <si>
    <t>49019 Woodgrove Cmn</t>
  </si>
  <si>
    <t>Tanabeusa@yahoo.com</t>
  </si>
  <si>
    <t>Hana</t>
  </si>
  <si>
    <t>761 Glen Mead Ct.</t>
  </si>
  <si>
    <t>will be back</t>
  </si>
  <si>
    <t>Gandala</t>
  </si>
  <si>
    <t>Kritika</t>
  </si>
  <si>
    <t>410 Riverside Ct, Santa Clara 95054</t>
  </si>
  <si>
    <t>Prathima.gadila@gmail.com</t>
  </si>
  <si>
    <t>Mokshith</t>
  </si>
  <si>
    <t>1734 N Milpitas Blvd, Milpitas</t>
  </si>
  <si>
    <t>879048298@qq.com</t>
  </si>
  <si>
    <t>46p</t>
  </si>
  <si>
    <t>Polly</t>
  </si>
  <si>
    <t>390 Coelho Street, Milpitas 95035</t>
  </si>
  <si>
    <t>lisugar@gmail.com</t>
  </si>
  <si>
    <t>Luna</t>
  </si>
  <si>
    <t>1647 Belleville Way, Sunnyvale 94087</t>
  </si>
  <si>
    <t>yiningma0909@gmail.com</t>
  </si>
  <si>
    <t>too far</t>
  </si>
  <si>
    <t>2313 Oak Flat Road, San Jose 95131</t>
  </si>
  <si>
    <t>Bettypnguyen@yahoo.com</t>
  </si>
  <si>
    <t>Nancy</t>
  </si>
  <si>
    <t>1001 S MainST Apt T307</t>
  </si>
  <si>
    <t>anhtnguyen69@yahoo.com</t>
  </si>
  <si>
    <t xml:space="preserve">56P </t>
  </si>
  <si>
    <t>Qin</t>
  </si>
  <si>
    <t>48242 Purpleleaf St, Fremont</t>
  </si>
  <si>
    <t>Qu</t>
  </si>
  <si>
    <t>Ashley</t>
  </si>
  <si>
    <t>41496 Timber Creek Ter， Fremont, CA</t>
  </si>
  <si>
    <t>tony.f.qu@gmail.com</t>
  </si>
  <si>
    <t>263 currlin cir, Milpitas 95035</t>
  </si>
  <si>
    <t>Dongfeishang@gmail.com</t>
  </si>
  <si>
    <t>Tien</t>
  </si>
  <si>
    <t>VINCENT</t>
  </si>
  <si>
    <t>662 Grayson Way</t>
  </si>
  <si>
    <t>mctien101@gmail.com</t>
  </si>
  <si>
    <t xml:space="preserve">101P </t>
  </si>
  <si>
    <t>Transferred to Fremont</t>
  </si>
  <si>
    <t>Lisa</t>
  </si>
  <si>
    <t>1803cannal way 95132CA san jose, San jose 95132</t>
  </si>
  <si>
    <t>Jinyuhan126581@gmail.com</t>
  </si>
  <si>
    <t>2125 Limewood Drive, San Jose 95132</t>
  </si>
  <si>
    <t>jin.fighting@gmail.com</t>
  </si>
  <si>
    <t>absent in Sep. back in Oct</t>
  </si>
  <si>
    <t>275 Quinault Way, Fremont</t>
  </si>
  <si>
    <t>transfer to Fremont</t>
  </si>
  <si>
    <t>Lyu</t>
  </si>
  <si>
    <t>468 Pagosa Way, Fremont</t>
  </si>
  <si>
    <t>lingchanxu@gmail.com</t>
  </si>
  <si>
    <t>Kurien</t>
  </si>
  <si>
    <t>Luka</t>
  </si>
  <si>
    <t>49002 Cinnamon Fern Cmn</t>
  </si>
  <si>
    <t>cooldk10@gmail.com</t>
  </si>
  <si>
    <t>97P</t>
  </si>
  <si>
    <t>will transfer to Fremont in Sep.</t>
  </si>
  <si>
    <t>42P</t>
  </si>
  <si>
    <t>Xingchuan</t>
  </si>
  <si>
    <t>468 Pagosa Way</t>
  </si>
  <si>
    <t xml:space="preserve">An </t>
  </si>
  <si>
    <t>1240 Olympic Drive, Milpitas, CA, 95035</t>
  </si>
  <si>
    <t>anxinghua@gmail.com</t>
  </si>
  <si>
    <t xml:space="preserve">1P </t>
  </si>
  <si>
    <t>moved to China</t>
  </si>
  <si>
    <t>Xingchu (Ryan)</t>
  </si>
  <si>
    <t>588 Privet Ter, Fremont</t>
  </si>
  <si>
    <t>Aprilhuang83@gmail.com</t>
  </si>
  <si>
    <t>absent for few month</t>
  </si>
  <si>
    <t>3344 Cropley Ave, San Jose 95132</t>
  </si>
  <si>
    <t>phuongpham.usa2020@gmail.com</t>
  </si>
  <si>
    <t xml:space="preserve">financial pro. </t>
  </si>
  <si>
    <t>Aradhya</t>
  </si>
  <si>
    <t>Ashford</t>
  </si>
  <si>
    <t xml:space="preserve">Eliexer Joash (EJ) </t>
  </si>
  <si>
    <t>Apt 144, 231 Dixon Landing Rd., Milpitas, CA, 95035</t>
  </si>
  <si>
    <t>myjob.oct2021@gmail.com</t>
  </si>
  <si>
    <t>Leanna</t>
  </si>
  <si>
    <t>305 Heath st, Milpitas</t>
  </si>
  <si>
    <t>phuanh.lam@gmail.com</t>
  </si>
  <si>
    <t xml:space="preserve">will be absent from Nov. </t>
  </si>
  <si>
    <t>Melissa</t>
  </si>
  <si>
    <t>54P</t>
  </si>
  <si>
    <t>vocation, back in Jan</t>
  </si>
  <si>
    <t xml:space="preserve">medical leave, back in Jan. </t>
  </si>
  <si>
    <t>69 Jacklin Circle, Milpitas, CA</t>
  </si>
  <si>
    <t>vocation</t>
  </si>
  <si>
    <t>China, back in Jan.</t>
  </si>
  <si>
    <t>Pradeep</t>
  </si>
  <si>
    <t>Deetya</t>
  </si>
  <si>
    <t>4386 Laird circle, Santa Clara, CA, 95054</t>
  </si>
  <si>
    <t>yal.y2k@gmail.com</t>
  </si>
  <si>
    <t xml:space="preserve">indian, back in Mar. </t>
  </si>
  <si>
    <t>Berame</t>
  </si>
  <si>
    <t xml:space="preserve">Elisha </t>
  </si>
  <si>
    <t>1377San Juan Ave, San Jose</t>
  </si>
  <si>
    <t>Ch5029095@gmail.com</t>
  </si>
  <si>
    <t>moved to cupertino</t>
  </si>
  <si>
    <t xml:space="preserve">moved, will be back in Feb. </t>
  </si>
  <si>
    <t>4P</t>
  </si>
  <si>
    <t>1268 milkweed street</t>
  </si>
  <si>
    <t>lily71374@gmail.com</t>
  </si>
  <si>
    <t xml:space="preserve">Vocation, time conflict. </t>
  </si>
  <si>
    <t>Reya</t>
  </si>
  <si>
    <t>27 Vienna Drive, Milpitas</t>
  </si>
  <si>
    <t>time conflict</t>
  </si>
  <si>
    <t>Suki</t>
  </si>
  <si>
    <t>Balamurugan</t>
  </si>
  <si>
    <t>Tanisha</t>
  </si>
  <si>
    <t>648 Costigan Cir, Milpitas, CA, 95035</t>
  </si>
  <si>
    <t>alagunirupa@yahoo.com</t>
  </si>
  <si>
    <t xml:space="preserve">Balamurugan </t>
  </si>
  <si>
    <t>86p</t>
  </si>
  <si>
    <t>Choudhury</t>
  </si>
  <si>
    <t>Atiya</t>
  </si>
  <si>
    <t>1195 Lassen Avenue, Milpitas, CA, 95035</t>
  </si>
  <si>
    <t>Shamina.Choudhury@gmail.com</t>
  </si>
  <si>
    <t>sick, financial prob.</t>
  </si>
  <si>
    <t>Uwais</t>
  </si>
  <si>
    <t xml:space="preserve">Uwais </t>
  </si>
  <si>
    <t xml:space="preserve">Choudhury </t>
  </si>
  <si>
    <t>Aaliyah</t>
  </si>
  <si>
    <t>Zaida</t>
  </si>
  <si>
    <t>Annie</t>
  </si>
  <si>
    <t>1734 N Milpitas Blvd</t>
  </si>
  <si>
    <t>Kamath</t>
  </si>
  <si>
    <t xml:space="preserve">Suraj </t>
  </si>
  <si>
    <t>1810 Dennis ave, Milpitas, CA, 95035</t>
  </si>
  <si>
    <t>sonis9580@gmail.com</t>
  </si>
  <si>
    <t>Brandon</t>
  </si>
  <si>
    <t>249 Midwick Dr, Milpitas, CA, 95035</t>
  </si>
  <si>
    <t>swtjemz@gmail.com</t>
  </si>
  <si>
    <t>ABSENT, sports time conflict</t>
  </si>
  <si>
    <t xml:space="preserve">ABSENT </t>
  </si>
  <si>
    <t>LATE REPORTING (4X 7/5/24)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</si>
</sst>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/d/yy"/>
    <numFmt numFmtId="166" formatCode="mm/dd/yyyy"/>
  </numFmts>
  <fonts count="23">
    <font>
      <sz val="11"/>
      <color theme="1"/>
      <name val="Calibri"/>
      <scheme val="minor"/>
    </font>
    <font>
      <b/>
      <sz val="20"/>
      <color theme="1"/>
      <name val="Century Gothic"/>
    </font>
    <font>
      <b/>
      <sz val="12"/>
      <color theme="1"/>
      <name val="Century Gothic"/>
    </font>
    <font>
      <sz val="12"/>
      <color theme="1"/>
      <name val="Century Gothic"/>
    </font>
    <font>
      <sz val="11"/>
      <color theme="1"/>
      <name val="Century Gothic"/>
    </font>
    <font>
      <i/>
      <sz val="12"/>
      <color theme="1"/>
      <name val="Century Gothic"/>
    </font>
    <font>
      <b/>
      <i/>
      <sz val="12"/>
      <color rgb="FFFF0000"/>
      <name val="Century Gothic"/>
    </font>
    <font>
      <b/>
      <sz val="12"/>
      <color rgb="FFFF0000"/>
      <name val="Century Gothic"/>
    </font>
    <font>
      <sz val="12"/>
      <color rgb="FFFF0000"/>
      <name val="Century Gothic"/>
    </font>
    <font>
      <b/>
      <sz val="12"/>
      <color rgb="FF00B050"/>
      <name val="Century Gothic"/>
    </font>
    <font>
      <b/>
      <sz val="11"/>
      <color theme="1"/>
      <name val="Century Gothic"/>
    </font>
    <font>
      <u/>
      <sz val="11"/>
      <color rgb="FF0000FF"/>
      <name val="Century Gothic"/>
    </font>
    <font>
      <u/>
      <sz val="11"/>
      <color rgb="FF0000FF"/>
      <name val="Century Gothic"/>
    </font>
    <font>
      <u/>
      <sz val="11"/>
      <color rgb="FF0000FF"/>
      <name val="Century Gothic"/>
    </font>
    <font>
      <u/>
      <sz val="11"/>
      <color rgb="FF0000FF"/>
      <name val="Century Gothic"/>
    </font>
    <font>
      <sz val="11"/>
      <color theme="1"/>
      <name val="Arial"/>
    </font>
    <font>
      <sz val="11"/>
      <color rgb="FF333333"/>
      <name val="&quot;Open Sans&quot;"/>
    </font>
    <font>
      <sz val="11"/>
      <color theme="1"/>
      <name val="Calibri"/>
    </font>
    <font>
      <u/>
      <sz val="12"/>
      <color rgb="FF0000FF"/>
      <name val="Century Gothic"/>
    </font>
    <font>
      <u/>
      <sz val="12"/>
      <color rgb="FF0000FF"/>
      <name val="Century Gothic"/>
    </font>
    <font>
      <u/>
      <sz val="12"/>
      <color rgb="FF0000FF"/>
      <name val="Century Gothic"/>
    </font>
    <font>
      <u/>
      <sz val="12"/>
      <color rgb="FF0000FF"/>
      <name val="Century Gothic"/>
    </font>
    <font>
      <u/>
      <sz val="11"/>
      <color rgb="FF0000FF"/>
      <name val="Century Gothic"/>
    </font>
  </fonts>
  <fills count="15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2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42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14" fontId="3" fillId="3" borderId="4" xfId="0" applyNumberFormat="1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44" fontId="3" fillId="3" borderId="5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/>
    <xf numFmtId="0" fontId="5" fillId="3" borderId="5" xfId="0" applyFont="1" applyFill="1" applyBorder="1" applyAlignment="1">
      <alignment horizontal="center" vertical="center"/>
    </xf>
    <xf numFmtId="44" fontId="5" fillId="3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 wrapText="1"/>
    </xf>
    <xf numFmtId="44" fontId="2" fillId="3" borderId="5" xfId="0" applyNumberFormat="1" applyFont="1" applyFill="1" applyBorder="1"/>
    <xf numFmtId="0" fontId="3" fillId="3" borderId="6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6" fillId="3" borderId="5" xfId="0" applyFont="1" applyFill="1" applyBorder="1"/>
    <xf numFmtId="44" fontId="6" fillId="3" borderId="5" xfId="0" applyNumberFormat="1" applyFont="1" applyFill="1" applyBorder="1" applyAlignment="1">
      <alignment horizontal="center" vertical="center"/>
    </xf>
    <xf numFmtId="164" fontId="6" fillId="3" borderId="5" xfId="0" applyNumberFormat="1" applyFont="1" applyFill="1" applyBorder="1" applyAlignment="1">
      <alignment horizontal="center" vertical="center"/>
    </xf>
    <xf numFmtId="44" fontId="6" fillId="3" borderId="5" xfId="0" applyNumberFormat="1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44" fontId="7" fillId="3" borderId="5" xfId="0" applyNumberFormat="1" applyFont="1" applyFill="1" applyBorder="1"/>
    <xf numFmtId="44" fontId="3" fillId="3" borderId="5" xfId="0" applyNumberFormat="1" applyFont="1" applyFill="1" applyBorder="1" applyAlignment="1">
      <alignment vertical="center"/>
    </xf>
    <xf numFmtId="0" fontId="2" fillId="3" borderId="5" xfId="0" applyFont="1" applyFill="1" applyBorder="1"/>
    <xf numFmtId="44" fontId="2" fillId="3" borderId="5" xfId="0" applyNumberFormat="1" applyFont="1" applyFill="1" applyBorder="1" applyAlignment="1">
      <alignment vertical="center"/>
    </xf>
    <xf numFmtId="14" fontId="3" fillId="3" borderId="7" xfId="0" applyNumberFormat="1" applyFont="1" applyFill="1" applyBorder="1"/>
    <xf numFmtId="0" fontId="3" fillId="3" borderId="8" xfId="0" applyFont="1" applyFill="1" applyBorder="1" applyAlignment="1">
      <alignment horizontal="center" vertical="center"/>
    </xf>
    <xf numFmtId="44" fontId="3" fillId="3" borderId="8" xfId="0" applyNumberFormat="1" applyFont="1" applyFill="1" applyBorder="1"/>
    <xf numFmtId="0" fontId="3" fillId="3" borderId="9" xfId="0" applyFont="1" applyFill="1" applyBorder="1"/>
    <xf numFmtId="0" fontId="3" fillId="3" borderId="8" xfId="0" applyFont="1" applyFill="1" applyBorder="1"/>
    <xf numFmtId="0" fontId="2" fillId="4" borderId="10" xfId="0" applyFont="1" applyFill="1" applyBorder="1"/>
    <xf numFmtId="0" fontId="3" fillId="4" borderId="11" xfId="0" applyFont="1" applyFill="1" applyBorder="1" applyAlignment="1">
      <alignment horizontal="center" vertical="center"/>
    </xf>
    <xf numFmtId="0" fontId="3" fillId="3" borderId="12" xfId="0" applyFont="1" applyFill="1" applyBorder="1"/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3" fillId="3" borderId="15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2" fillId="5" borderId="13" xfId="0" applyFont="1" applyFill="1" applyBorder="1" applyAlignment="1">
      <alignment horizontal="center" vertical="center"/>
    </xf>
    <xf numFmtId="0" fontId="3" fillId="6" borderId="12" xfId="0" applyFont="1" applyFill="1" applyBorder="1"/>
    <xf numFmtId="0" fontId="3" fillId="5" borderId="13" xfId="0" applyFont="1" applyFill="1" applyBorder="1" applyAlignment="1">
      <alignment horizontal="center" vertical="center"/>
    </xf>
    <xf numFmtId="0" fontId="3" fillId="2" borderId="14" xfId="0" applyFont="1" applyFill="1" applyBorder="1"/>
    <xf numFmtId="0" fontId="2" fillId="5" borderId="15" xfId="0" applyFont="1" applyFill="1" applyBorder="1" applyAlignment="1">
      <alignment horizontal="center" vertical="center"/>
    </xf>
    <xf numFmtId="0" fontId="3" fillId="6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2" fillId="7" borderId="12" xfId="0" applyFont="1" applyFill="1" applyBorder="1"/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/>
    <xf numFmtId="0" fontId="2" fillId="7" borderId="16" xfId="0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4" fontId="8" fillId="0" borderId="0" xfId="0" applyNumberFormat="1" applyFont="1"/>
    <xf numFmtId="0" fontId="3" fillId="7" borderId="12" xfId="0" applyFont="1" applyFill="1" applyBorder="1"/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/>
    <xf numFmtId="0" fontId="3" fillId="7" borderId="15" xfId="0" applyFont="1" applyFill="1" applyBorder="1" applyAlignment="1">
      <alignment horizontal="center" vertical="center"/>
    </xf>
    <xf numFmtId="44" fontId="2" fillId="0" borderId="0" xfId="0" applyNumberFormat="1" applyFont="1"/>
    <xf numFmtId="0" fontId="9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10" fillId="0" borderId="5" xfId="0" applyFont="1" applyBorder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9" borderId="5" xfId="0" applyFont="1" applyFill="1" applyBorder="1" applyAlignment="1">
      <alignment horizontal="center" wrapText="1"/>
    </xf>
    <xf numFmtId="14" fontId="4" fillId="9" borderId="5" xfId="0" applyNumberFormat="1" applyFont="1" applyFill="1" applyBorder="1" applyAlignment="1">
      <alignment horizontal="center" wrapText="1"/>
    </xf>
    <xf numFmtId="0" fontId="4" fillId="9" borderId="5" xfId="0" applyFont="1" applyFill="1" applyBorder="1" applyAlignment="1">
      <alignment horizontal="left" wrapText="1"/>
    </xf>
    <xf numFmtId="14" fontId="4" fillId="9" borderId="5" xfId="0" applyNumberFormat="1" applyFont="1" applyFill="1" applyBorder="1" applyAlignment="1">
      <alignment horizontal="left" wrapText="1"/>
    </xf>
    <xf numFmtId="165" fontId="4" fillId="9" borderId="5" xfId="0" applyNumberFormat="1" applyFont="1" applyFill="1" applyBorder="1" applyAlignment="1">
      <alignment horizontal="center" vertical="center"/>
    </xf>
    <xf numFmtId="0" fontId="4" fillId="9" borderId="18" xfId="0" applyFont="1" applyFill="1" applyBorder="1"/>
    <xf numFmtId="0" fontId="4" fillId="9" borderId="5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/>
    </xf>
    <xf numFmtId="0" fontId="10" fillId="9" borderId="5" xfId="0" applyFont="1" applyFill="1" applyBorder="1" applyAlignment="1">
      <alignment horizontal="center"/>
    </xf>
    <xf numFmtId="0" fontId="10" fillId="9" borderId="18" xfId="0" applyFont="1" applyFill="1" applyBorder="1"/>
    <xf numFmtId="0" fontId="4" fillId="9" borderId="18" xfId="0" applyFont="1" applyFill="1" applyBorder="1" applyAlignment="1">
      <alignment horizontal="center" wrapText="1"/>
    </xf>
    <xf numFmtId="0" fontId="4" fillId="9" borderId="5" xfId="0" applyFont="1" applyFill="1" applyBorder="1" applyAlignment="1">
      <alignment horizontal="left" vertical="center"/>
    </xf>
    <xf numFmtId="14" fontId="4" fillId="9" borderId="5" xfId="0" applyNumberFormat="1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 wrapText="1"/>
    </xf>
    <xf numFmtId="14" fontId="3" fillId="9" borderId="5" xfId="0" applyNumberFormat="1" applyFont="1" applyFill="1" applyBorder="1" applyAlignment="1">
      <alignment horizontal="center" wrapText="1"/>
    </xf>
    <xf numFmtId="0" fontId="3" fillId="9" borderId="5" xfId="0" applyFont="1" applyFill="1" applyBorder="1" applyAlignment="1">
      <alignment wrapText="1"/>
    </xf>
    <xf numFmtId="14" fontId="3" fillId="9" borderId="5" xfId="0" applyNumberFormat="1" applyFont="1" applyFill="1" applyBorder="1" applyAlignment="1">
      <alignment wrapText="1"/>
    </xf>
    <xf numFmtId="14" fontId="4" fillId="9" borderId="5" xfId="0" applyNumberFormat="1" applyFont="1" applyFill="1" applyBorder="1"/>
    <xf numFmtId="0" fontId="4" fillId="9" borderId="5" xfId="0" applyFont="1" applyFill="1" applyBorder="1"/>
    <xf numFmtId="0" fontId="3" fillId="9" borderId="18" xfId="0" applyFont="1" applyFill="1" applyBorder="1"/>
    <xf numFmtId="0" fontId="4" fillId="10" borderId="5" xfId="0" applyFont="1" applyFill="1" applyBorder="1" applyAlignment="1">
      <alignment horizontal="center" wrapText="1"/>
    </xf>
    <xf numFmtId="14" fontId="4" fillId="10" borderId="5" xfId="0" applyNumberFormat="1" applyFont="1" applyFill="1" applyBorder="1" applyAlignment="1">
      <alignment horizontal="center" wrapText="1"/>
    </xf>
    <xf numFmtId="0" fontId="4" fillId="10" borderId="5" xfId="0" applyFont="1" applyFill="1" applyBorder="1" applyAlignment="1">
      <alignment horizontal="left" wrapText="1"/>
    </xf>
    <xf numFmtId="0" fontId="11" fillId="10" borderId="5" xfId="0" applyFont="1" applyFill="1" applyBorder="1" applyAlignment="1">
      <alignment horizontal="left" wrapText="1"/>
    </xf>
    <xf numFmtId="14" fontId="4" fillId="10" borderId="5" xfId="0" applyNumberFormat="1" applyFont="1" applyFill="1" applyBorder="1" applyAlignment="1">
      <alignment horizontal="left" wrapText="1"/>
    </xf>
    <xf numFmtId="0" fontId="4" fillId="10" borderId="5" xfId="0" applyFont="1" applyFill="1" applyBorder="1" applyAlignment="1">
      <alignment horizontal="center" vertical="center"/>
    </xf>
    <xf numFmtId="0" fontId="4" fillId="10" borderId="18" xfId="0" applyFont="1" applyFill="1" applyBorder="1"/>
    <xf numFmtId="0" fontId="4" fillId="11" borderId="5" xfId="0" applyFont="1" applyFill="1" applyBorder="1" applyAlignment="1">
      <alignment horizontal="center" wrapText="1"/>
    </xf>
    <xf numFmtId="14" fontId="4" fillId="11" borderId="5" xfId="0" applyNumberFormat="1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left" wrapText="1"/>
    </xf>
    <xf numFmtId="14" fontId="4" fillId="11" borderId="5" xfId="0" applyNumberFormat="1" applyFont="1" applyFill="1" applyBorder="1" applyAlignment="1">
      <alignment horizontal="left" wrapText="1"/>
    </xf>
    <xf numFmtId="0" fontId="4" fillId="11" borderId="5" xfId="0" applyFont="1" applyFill="1" applyBorder="1" applyAlignment="1">
      <alignment horizontal="center" vertical="center"/>
    </xf>
    <xf numFmtId="0" fontId="4" fillId="11" borderId="18" xfId="0" applyFont="1" applyFill="1" applyBorder="1"/>
    <xf numFmtId="0" fontId="12" fillId="9" borderId="5" xfId="0" applyFont="1" applyFill="1" applyBorder="1" applyAlignment="1">
      <alignment horizontal="left" wrapText="1"/>
    </xf>
    <xf numFmtId="0" fontId="4" fillId="12" borderId="5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 wrapText="1"/>
    </xf>
    <xf numFmtId="14" fontId="4" fillId="12" borderId="5" xfId="0" applyNumberFormat="1" applyFont="1" applyFill="1" applyBorder="1" applyAlignment="1">
      <alignment horizontal="center" wrapText="1"/>
    </xf>
    <xf numFmtId="0" fontId="4" fillId="12" borderId="5" xfId="0" applyFont="1" applyFill="1" applyBorder="1" applyAlignment="1">
      <alignment horizontal="left" wrapText="1"/>
    </xf>
    <xf numFmtId="14" fontId="4" fillId="12" borderId="5" xfId="0" applyNumberFormat="1" applyFont="1" applyFill="1" applyBorder="1" applyAlignment="1">
      <alignment horizontal="left" wrapText="1"/>
    </xf>
    <xf numFmtId="0" fontId="4" fillId="12" borderId="18" xfId="0" applyFont="1" applyFill="1" applyBorder="1"/>
    <xf numFmtId="14" fontId="4" fillId="9" borderId="18" xfId="0" applyNumberFormat="1" applyFont="1" applyFill="1" applyBorder="1" applyAlignment="1">
      <alignment horizontal="center" wrapText="1"/>
    </xf>
    <xf numFmtId="0" fontId="4" fillId="9" borderId="18" xfId="0" applyFont="1" applyFill="1" applyBorder="1" applyAlignment="1">
      <alignment horizontal="left" wrapText="1"/>
    </xf>
    <xf numFmtId="14" fontId="4" fillId="9" borderId="18" xfId="0" applyNumberFormat="1" applyFont="1" applyFill="1" applyBorder="1" applyAlignment="1">
      <alignment horizontal="left" wrapText="1"/>
    </xf>
    <xf numFmtId="0" fontId="4" fillId="9" borderId="18" xfId="0" applyFont="1" applyFill="1" applyBorder="1" applyAlignment="1">
      <alignment horizontal="center" vertical="center"/>
    </xf>
    <xf numFmtId="14" fontId="4" fillId="9" borderId="5" xfId="0" applyNumberFormat="1" applyFont="1" applyFill="1" applyBorder="1" applyAlignment="1">
      <alignment horizontal="center"/>
    </xf>
    <xf numFmtId="14" fontId="4" fillId="12" borderId="5" xfId="0" applyNumberFormat="1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/>
    </xf>
    <xf numFmtId="0" fontId="3" fillId="11" borderId="5" xfId="0" applyFont="1" applyFill="1" applyBorder="1" applyAlignment="1">
      <alignment horizontal="center" wrapText="1"/>
    </xf>
    <xf numFmtId="14" fontId="3" fillId="11" borderId="5" xfId="0" applyNumberFormat="1" applyFont="1" applyFill="1" applyBorder="1" applyAlignment="1">
      <alignment horizontal="center" wrapText="1"/>
    </xf>
    <xf numFmtId="0" fontId="3" fillId="11" borderId="5" xfId="0" applyFont="1" applyFill="1" applyBorder="1" applyAlignment="1">
      <alignment wrapText="1"/>
    </xf>
    <xf numFmtId="14" fontId="3" fillId="11" borderId="5" xfId="0" applyNumberFormat="1" applyFont="1" applyFill="1" applyBorder="1" applyAlignment="1">
      <alignment wrapText="1"/>
    </xf>
    <xf numFmtId="0" fontId="4" fillId="11" borderId="5" xfId="0" applyFont="1" applyFill="1" applyBorder="1"/>
    <xf numFmtId="0" fontId="3" fillId="11" borderId="18" xfId="0" applyFont="1" applyFill="1" applyBorder="1"/>
    <xf numFmtId="0" fontId="4" fillId="9" borderId="5" xfId="0" applyFont="1" applyFill="1" applyBorder="1" applyAlignment="1">
      <alignment wrapText="1"/>
    </xf>
    <xf numFmtId="14" fontId="4" fillId="9" borderId="5" xfId="0" applyNumberFormat="1" applyFont="1" applyFill="1" applyBorder="1" applyAlignment="1">
      <alignment wrapText="1"/>
    </xf>
    <xf numFmtId="0" fontId="4" fillId="9" borderId="19" xfId="0" applyFont="1" applyFill="1" applyBorder="1" applyAlignment="1">
      <alignment horizontal="center" wrapText="1"/>
    </xf>
    <xf numFmtId="0" fontId="4" fillId="9" borderId="20" xfId="0" applyFont="1" applyFill="1" applyBorder="1" applyAlignment="1">
      <alignment horizontal="center" vertical="center"/>
    </xf>
    <xf numFmtId="0" fontId="4" fillId="9" borderId="20" xfId="0" applyFont="1" applyFill="1" applyBorder="1" applyAlignment="1">
      <alignment horizontal="center"/>
    </xf>
    <xf numFmtId="0" fontId="4" fillId="9" borderId="21" xfId="0" applyFont="1" applyFill="1" applyBorder="1" applyAlignment="1">
      <alignment horizontal="center"/>
    </xf>
    <xf numFmtId="0" fontId="4" fillId="9" borderId="21" xfId="0" applyFont="1" applyFill="1" applyBorder="1" applyAlignment="1">
      <alignment horizontal="center" wrapText="1"/>
    </xf>
    <xf numFmtId="14" fontId="4" fillId="9" borderId="21" xfId="0" applyNumberFormat="1" applyFont="1" applyFill="1" applyBorder="1" applyAlignment="1">
      <alignment horizontal="center" wrapText="1"/>
    </xf>
    <xf numFmtId="0" fontId="4" fillId="9" borderId="21" xfId="0" applyFont="1" applyFill="1" applyBorder="1" applyAlignment="1">
      <alignment horizontal="left" wrapText="1"/>
    </xf>
    <xf numFmtId="14" fontId="4" fillId="9" borderId="21" xfId="0" applyNumberFormat="1" applyFont="1" applyFill="1" applyBorder="1" applyAlignment="1">
      <alignment horizontal="left" wrapText="1"/>
    </xf>
    <xf numFmtId="0" fontId="4" fillId="9" borderId="22" xfId="0" applyFont="1" applyFill="1" applyBorder="1" applyAlignment="1">
      <alignment horizontal="center" wrapText="1"/>
    </xf>
    <xf numFmtId="14" fontId="4" fillId="9" borderId="22" xfId="0" applyNumberFormat="1" applyFont="1" applyFill="1" applyBorder="1" applyAlignment="1">
      <alignment horizontal="center" wrapText="1"/>
    </xf>
    <xf numFmtId="0" fontId="4" fillId="9" borderId="22" xfId="0" applyFont="1" applyFill="1" applyBorder="1" applyAlignment="1">
      <alignment horizontal="left" wrapText="1"/>
    </xf>
    <xf numFmtId="14" fontId="4" fillId="9" borderId="22" xfId="0" applyNumberFormat="1" applyFont="1" applyFill="1" applyBorder="1" applyAlignment="1">
      <alignment horizontal="left" wrapText="1"/>
    </xf>
    <xf numFmtId="0" fontId="13" fillId="9" borderId="22" xfId="0" applyFont="1" applyFill="1" applyBorder="1" applyAlignment="1">
      <alignment horizontal="left" wrapText="1"/>
    </xf>
    <xf numFmtId="0" fontId="14" fillId="9" borderId="21" xfId="0" applyFont="1" applyFill="1" applyBorder="1" applyAlignment="1">
      <alignment horizontal="left" wrapText="1"/>
    </xf>
    <xf numFmtId="0" fontId="4" fillId="11" borderId="22" xfId="0" applyFont="1" applyFill="1" applyBorder="1" applyAlignment="1">
      <alignment horizontal="center" wrapText="1"/>
    </xf>
    <xf numFmtId="14" fontId="4" fillId="11" borderId="22" xfId="0" applyNumberFormat="1" applyFont="1" applyFill="1" applyBorder="1" applyAlignment="1">
      <alignment horizontal="center" wrapText="1"/>
    </xf>
    <xf numFmtId="0" fontId="4" fillId="11" borderId="22" xfId="0" applyFont="1" applyFill="1" applyBorder="1" applyAlignment="1">
      <alignment horizontal="left" wrapText="1"/>
    </xf>
    <xf numFmtId="14" fontId="4" fillId="11" borderId="22" xfId="0" applyNumberFormat="1" applyFont="1" applyFill="1" applyBorder="1" applyAlignment="1">
      <alignment horizontal="left" wrapText="1"/>
    </xf>
    <xf numFmtId="0" fontId="4" fillId="11" borderId="19" xfId="0" applyFont="1" applyFill="1" applyBorder="1" applyAlignment="1">
      <alignment horizontal="center" wrapText="1"/>
    </xf>
    <xf numFmtId="14" fontId="4" fillId="11" borderId="5" xfId="0" applyNumberFormat="1" applyFont="1" applyFill="1" applyBorder="1" applyAlignment="1">
      <alignment horizontal="center" vertical="center"/>
    </xf>
    <xf numFmtId="14" fontId="4" fillId="9" borderId="5" xfId="0" applyNumberFormat="1" applyFont="1" applyFill="1" applyBorder="1" applyAlignment="1">
      <alignment horizontal="left" vertical="center"/>
    </xf>
    <xf numFmtId="0" fontId="4" fillId="13" borderId="5" xfId="0" applyFont="1" applyFill="1" applyBorder="1" applyAlignment="1">
      <alignment horizontal="center"/>
    </xf>
    <xf numFmtId="0" fontId="4" fillId="13" borderId="5" xfId="0" applyFont="1" applyFill="1" applyBorder="1" applyAlignment="1">
      <alignment horizontal="center" wrapText="1"/>
    </xf>
    <xf numFmtId="14" fontId="4" fillId="13" borderId="5" xfId="0" applyNumberFormat="1" applyFont="1" applyFill="1" applyBorder="1" applyAlignment="1">
      <alignment horizontal="center" wrapText="1"/>
    </xf>
    <xf numFmtId="0" fontId="4" fillId="13" borderId="5" xfId="0" applyFont="1" applyFill="1" applyBorder="1" applyAlignment="1">
      <alignment horizontal="left" wrapText="1"/>
    </xf>
    <xf numFmtId="14" fontId="4" fillId="13" borderId="5" xfId="0" applyNumberFormat="1" applyFont="1" applyFill="1" applyBorder="1" applyAlignment="1">
      <alignment horizontal="left" wrapText="1"/>
    </xf>
    <xf numFmtId="0" fontId="4" fillId="13" borderId="19" xfId="0" applyFont="1" applyFill="1" applyBorder="1" applyAlignment="1">
      <alignment horizontal="center" wrapText="1"/>
    </xf>
    <xf numFmtId="0" fontId="4" fillId="13" borderId="18" xfId="0" applyFont="1" applyFill="1" applyBorder="1"/>
    <xf numFmtId="0" fontId="15" fillId="12" borderId="23" xfId="0" applyFont="1" applyFill="1" applyBorder="1" applyAlignment="1">
      <alignment horizontal="left"/>
    </xf>
    <xf numFmtId="0" fontId="15" fillId="12" borderId="24" xfId="0" applyFont="1" applyFill="1" applyBorder="1" applyAlignment="1">
      <alignment horizontal="center"/>
    </xf>
    <xf numFmtId="166" fontId="15" fillId="12" borderId="24" xfId="0" applyNumberFormat="1" applyFont="1" applyFill="1" applyBorder="1" applyAlignment="1">
      <alignment horizontal="center"/>
    </xf>
    <xf numFmtId="0" fontId="16" fillId="12" borderId="24" xfId="0" applyFont="1" applyFill="1" applyBorder="1"/>
    <xf numFmtId="0" fontId="17" fillId="14" borderId="23" xfId="0" applyFont="1" applyFill="1" applyBorder="1"/>
    <xf numFmtId="0" fontId="17" fillId="14" borderId="24" xfId="0" applyFont="1" applyFill="1" applyBorder="1"/>
    <xf numFmtId="0" fontId="15" fillId="14" borderId="24" xfId="0" applyFont="1" applyFill="1" applyBorder="1" applyAlignment="1">
      <alignment horizontal="center"/>
    </xf>
    <xf numFmtId="14" fontId="17" fillId="14" borderId="24" xfId="0" applyNumberFormat="1" applyFont="1" applyFill="1" applyBorder="1"/>
    <xf numFmtId="0" fontId="3" fillId="11" borderId="18" xfId="0" applyFont="1" applyFill="1" applyBorder="1" applyAlignment="1">
      <alignment horizontal="center"/>
    </xf>
    <xf numFmtId="0" fontId="3" fillId="11" borderId="18" xfId="0" applyFont="1" applyFill="1" applyBorder="1" applyAlignment="1">
      <alignment horizontal="center" vertical="center"/>
    </xf>
    <xf numFmtId="14" fontId="3" fillId="11" borderId="18" xfId="0" applyNumberFormat="1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left" vertical="center"/>
    </xf>
    <xf numFmtId="14" fontId="3" fillId="11" borderId="18" xfId="0" applyNumberFormat="1" applyFont="1" applyFill="1" applyBorder="1" applyAlignment="1">
      <alignment horizontal="left" vertical="center"/>
    </xf>
    <xf numFmtId="0" fontId="3" fillId="11" borderId="5" xfId="0" applyFont="1" applyFill="1" applyBorder="1" applyAlignment="1">
      <alignment horizontal="center" vertical="center"/>
    </xf>
    <xf numFmtId="14" fontId="3" fillId="11" borderId="5" xfId="0" applyNumberFormat="1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left" vertical="center"/>
    </xf>
    <xf numFmtId="14" fontId="3" fillId="11" borderId="5" xfId="0" applyNumberFormat="1" applyFont="1" applyFill="1" applyBorder="1" applyAlignment="1">
      <alignment horizontal="left" vertical="center"/>
    </xf>
    <xf numFmtId="0" fontId="3" fillId="11" borderId="5" xfId="0" applyFont="1" applyFill="1" applyBorder="1" applyAlignment="1">
      <alignment horizontal="left"/>
    </xf>
    <xf numFmtId="1" fontId="3" fillId="11" borderId="5" xfId="0" applyNumberFormat="1" applyFont="1" applyFill="1" applyBorder="1" applyAlignment="1">
      <alignment horizontal="center" vertical="center"/>
    </xf>
    <xf numFmtId="0" fontId="3" fillId="11" borderId="5" xfId="0" applyFont="1" applyFill="1" applyBorder="1"/>
    <xf numFmtId="0" fontId="18" fillId="11" borderId="5" xfId="0" applyFont="1" applyFill="1" applyBorder="1" applyAlignment="1">
      <alignment horizontal="left" vertical="center"/>
    </xf>
    <xf numFmtId="0" fontId="3" fillId="11" borderId="5" xfId="0" applyFont="1" applyFill="1" applyBorder="1" applyAlignment="1">
      <alignment vertical="center"/>
    </xf>
    <xf numFmtId="14" fontId="3" fillId="11" borderId="25" xfId="0" applyNumberFormat="1" applyFont="1" applyFill="1" applyBorder="1" applyAlignment="1">
      <alignment horizontal="left" vertical="center"/>
    </xf>
    <xf numFmtId="0" fontId="3" fillId="11" borderId="21" xfId="0" applyFont="1" applyFill="1" applyBorder="1" applyAlignment="1">
      <alignment horizontal="left" vertical="center"/>
    </xf>
    <xf numFmtId="0" fontId="3" fillId="11" borderId="26" xfId="0" applyFont="1" applyFill="1" applyBorder="1" applyAlignment="1">
      <alignment horizontal="center" vertical="center"/>
    </xf>
    <xf numFmtId="14" fontId="3" fillId="11" borderId="26" xfId="0" applyNumberFormat="1" applyFont="1" applyFill="1" applyBorder="1" applyAlignment="1">
      <alignment horizontal="center" vertical="center"/>
    </xf>
    <xf numFmtId="0" fontId="3" fillId="11" borderId="26" xfId="0" applyFont="1" applyFill="1" applyBorder="1" applyAlignment="1">
      <alignment horizontal="left" vertical="center"/>
    </xf>
    <xf numFmtId="14" fontId="3" fillId="11" borderId="26" xfId="0" applyNumberFormat="1" applyFont="1" applyFill="1" applyBorder="1" applyAlignment="1">
      <alignment horizontal="left" vertical="center"/>
    </xf>
    <xf numFmtId="0" fontId="19" fillId="11" borderId="5" xfId="0" applyFont="1" applyFill="1" applyBorder="1" applyAlignment="1">
      <alignment horizontal="center" vertical="center"/>
    </xf>
    <xf numFmtId="0" fontId="3" fillId="11" borderId="20" xfId="0" applyFont="1" applyFill="1" applyBorder="1" applyAlignment="1">
      <alignment horizontal="center" vertical="center"/>
    </xf>
    <xf numFmtId="14" fontId="3" fillId="11" borderId="20" xfId="0" applyNumberFormat="1" applyFont="1" applyFill="1" applyBorder="1" applyAlignment="1">
      <alignment horizontal="center" vertical="center"/>
    </xf>
    <xf numFmtId="0" fontId="3" fillId="11" borderId="20" xfId="0" applyFont="1" applyFill="1" applyBorder="1" applyAlignment="1">
      <alignment horizontal="left" vertical="center"/>
    </xf>
    <xf numFmtId="14" fontId="3" fillId="11" borderId="20" xfId="0" applyNumberFormat="1" applyFont="1" applyFill="1" applyBorder="1" applyAlignment="1">
      <alignment horizontal="left" vertical="center"/>
    </xf>
    <xf numFmtId="0" fontId="3" fillId="11" borderId="10" xfId="0" applyFont="1" applyFill="1" applyBorder="1" applyAlignment="1">
      <alignment horizontal="center" wrapText="1"/>
    </xf>
    <xf numFmtId="0" fontId="3" fillId="11" borderId="5" xfId="0" applyFont="1" applyFill="1" applyBorder="1" applyAlignment="1">
      <alignment horizontal="left" wrapText="1"/>
    </xf>
    <xf numFmtId="14" fontId="3" fillId="11" borderId="5" xfId="0" applyNumberFormat="1" applyFont="1" applyFill="1" applyBorder="1" applyAlignment="1">
      <alignment horizontal="left" wrapText="1"/>
    </xf>
    <xf numFmtId="0" fontId="3" fillId="11" borderId="27" xfId="0" applyFont="1" applyFill="1" applyBorder="1" applyAlignment="1">
      <alignment horizontal="center" wrapText="1"/>
    </xf>
    <xf numFmtId="0" fontId="3" fillId="11" borderId="5" xfId="0" applyFont="1" applyFill="1" applyBorder="1" applyAlignment="1">
      <alignment horizontal="right" wrapText="1"/>
    </xf>
    <xf numFmtId="0" fontId="3" fillId="11" borderId="26" xfId="0" applyFont="1" applyFill="1" applyBorder="1" applyAlignment="1">
      <alignment horizontal="center" wrapText="1"/>
    </xf>
    <xf numFmtId="14" fontId="3" fillId="11" borderId="26" xfId="0" applyNumberFormat="1" applyFont="1" applyFill="1" applyBorder="1" applyAlignment="1">
      <alignment horizontal="center" wrapText="1"/>
    </xf>
    <xf numFmtId="0" fontId="3" fillId="11" borderId="26" xfId="0" applyFont="1" applyFill="1" applyBorder="1" applyAlignment="1">
      <alignment horizontal="left" wrapText="1"/>
    </xf>
    <xf numFmtId="14" fontId="3" fillId="11" borderId="26" xfId="0" applyNumberFormat="1" applyFont="1" applyFill="1" applyBorder="1" applyAlignment="1">
      <alignment horizontal="left" wrapText="1"/>
    </xf>
    <xf numFmtId="165" fontId="3" fillId="11" borderId="26" xfId="0" applyNumberFormat="1" applyFont="1" applyFill="1" applyBorder="1" applyAlignment="1">
      <alignment horizontal="center" vertical="center"/>
    </xf>
    <xf numFmtId="165" fontId="3" fillId="11" borderId="5" xfId="0" applyNumberFormat="1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 wrapText="1"/>
    </xf>
    <xf numFmtId="14" fontId="3" fillId="11" borderId="5" xfId="0" applyNumberFormat="1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left" vertical="center" wrapText="1"/>
    </xf>
    <xf numFmtId="14" fontId="3" fillId="11" borderId="5" xfId="0" applyNumberFormat="1" applyFont="1" applyFill="1" applyBorder="1" applyAlignment="1">
      <alignment horizontal="left" vertical="center" wrapText="1"/>
    </xf>
    <xf numFmtId="0" fontId="20" fillId="11" borderId="5" xfId="0" applyFont="1" applyFill="1" applyBorder="1" applyAlignment="1">
      <alignment horizontal="center" wrapText="1"/>
    </xf>
    <xf numFmtId="0" fontId="21" fillId="11" borderId="5" xfId="0" applyFont="1" applyFill="1" applyBorder="1" applyAlignment="1">
      <alignment horizontal="left" wrapText="1"/>
    </xf>
    <xf numFmtId="0" fontId="4" fillId="11" borderId="5" xfId="0" applyFont="1" applyFill="1" applyBorder="1" applyAlignment="1">
      <alignment horizontal="center"/>
    </xf>
    <xf numFmtId="0" fontId="4" fillId="11" borderId="5" xfId="0" applyFont="1" applyFill="1" applyBorder="1" applyAlignment="1">
      <alignment horizontal="left" vertical="center"/>
    </xf>
    <xf numFmtId="14" fontId="4" fillId="11" borderId="5" xfId="0" applyNumberFormat="1" applyFont="1" applyFill="1" applyBorder="1" applyAlignment="1">
      <alignment horizontal="center"/>
    </xf>
    <xf numFmtId="0" fontId="22" fillId="11" borderId="5" xfId="0" applyFont="1" applyFill="1" applyBorder="1" applyAlignment="1">
      <alignment horizontal="left" wrapText="1"/>
    </xf>
    <xf numFmtId="165" fontId="4" fillId="11" borderId="5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/>
    </xf>
    <xf numFmtId="14" fontId="4" fillId="0" borderId="5" xfId="0" applyNumberFormat="1" applyFont="1" applyBorder="1" applyAlignment="1">
      <alignment horizontal="center" wrapText="1"/>
    </xf>
    <xf numFmtId="0" fontId="4" fillId="0" borderId="5" xfId="0" applyFont="1" applyBorder="1" applyAlignment="1">
      <alignment horizontal="left" wrapText="1"/>
    </xf>
    <xf numFmtId="14" fontId="4" fillId="0" borderId="5" xfId="0" applyNumberFormat="1" applyFont="1" applyBorder="1" applyAlignment="1">
      <alignment horizontal="left" wrapText="1"/>
    </xf>
    <xf numFmtId="14" fontId="4" fillId="0" borderId="5" xfId="0" applyNumberFormat="1" applyFont="1" applyBorder="1" applyAlignment="1">
      <alignment horizontal="center"/>
    </xf>
    <xf numFmtId="0" fontId="4" fillId="7" borderId="5" xfId="0" applyFont="1" applyFill="1" applyBorder="1" applyAlignment="1">
      <alignment horizontal="center" wrapText="1"/>
    </xf>
    <xf numFmtId="14" fontId="4" fillId="7" borderId="5" xfId="0" applyNumberFormat="1" applyFont="1" applyFill="1" applyBorder="1" applyAlignment="1">
      <alignment horizontal="center" wrapText="1"/>
    </xf>
    <xf numFmtId="0" fontId="4" fillId="7" borderId="5" xfId="0" applyFont="1" applyFill="1" applyBorder="1" applyAlignment="1">
      <alignment horizontal="left" wrapText="1"/>
    </xf>
    <xf numFmtId="14" fontId="4" fillId="7" borderId="5" xfId="0" applyNumberFormat="1" applyFont="1" applyFill="1" applyBorder="1" applyAlignment="1">
      <alignment horizontal="left" wrapText="1"/>
    </xf>
    <xf numFmtId="14" fontId="4" fillId="7" borderId="5" xfId="0" applyNumberFormat="1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wrapText="1"/>
    </xf>
    <xf numFmtId="14" fontId="4" fillId="7" borderId="0" xfId="0" applyNumberFormat="1" applyFont="1" applyFill="1" applyAlignment="1">
      <alignment horizontal="center" wrapText="1"/>
    </xf>
    <xf numFmtId="0" fontId="4" fillId="7" borderId="0" xfId="0" applyFont="1" applyFill="1" applyAlignment="1">
      <alignment horizontal="left" wrapText="1"/>
    </xf>
    <xf numFmtId="14" fontId="4" fillId="7" borderId="0" xfId="0" applyNumberFormat="1" applyFont="1" applyFill="1" applyAlignment="1">
      <alignment horizontal="left" wrapText="1"/>
    </xf>
    <xf numFmtId="14" fontId="4" fillId="7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171450</xdr:rowOff>
    </xdr:from>
    <xdr:ext cx="1114425" cy="7524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76200</xdr:rowOff>
    </xdr:from>
    <xdr:ext cx="742950" cy="504825"/>
    <xdr:pic>
      <xdr:nvPicPr>
        <xdr:cNvPr id="3" name="image1.png" descr="logo PEL Learning Center v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ismatsingh.a@gmail.com" TargetMode="External"/><Relationship Id="rId13" Type="http://schemas.openxmlformats.org/officeDocument/2006/relationships/hyperlink" Target="mailto:aqamar@ncsu.edu" TargetMode="External"/><Relationship Id="rId18" Type="http://schemas.openxmlformats.org/officeDocument/2006/relationships/hyperlink" Target="mailto:ganeshsw@gmail.com" TargetMode="External"/><Relationship Id="rId26" Type="http://schemas.openxmlformats.org/officeDocument/2006/relationships/hyperlink" Target="https://app.thestudiodirector.com/pellearningcenterofmi/admin.sd?page=EditStudent&amp;sident=1666019131244" TargetMode="External"/><Relationship Id="rId3" Type="http://schemas.openxmlformats.org/officeDocument/2006/relationships/hyperlink" Target="mailto:wanglai@gmail.com" TargetMode="External"/><Relationship Id="rId21" Type="http://schemas.openxmlformats.org/officeDocument/2006/relationships/hyperlink" Target="mailto:janezh3080@gmail.com" TargetMode="External"/><Relationship Id="rId7" Type="http://schemas.openxmlformats.org/officeDocument/2006/relationships/hyperlink" Target="mailto:sisy627@gmail.com" TargetMode="External"/><Relationship Id="rId12" Type="http://schemas.openxmlformats.org/officeDocument/2006/relationships/hyperlink" Target="mailto:729126561@qq.com" TargetMode="External"/><Relationship Id="rId17" Type="http://schemas.openxmlformats.org/officeDocument/2006/relationships/hyperlink" Target="mailto:jeenyw8@yahoo.com" TargetMode="External"/><Relationship Id="rId25" Type="http://schemas.openxmlformats.org/officeDocument/2006/relationships/hyperlink" Target="https://app.thestudiodirector.com/pellearningcenterofmi/admin.sd?page=EditStudent&amp;sident=1666019131244" TargetMode="External"/><Relationship Id="rId2" Type="http://schemas.openxmlformats.org/officeDocument/2006/relationships/hyperlink" Target="mailto:wanglai@gmail.com" TargetMode="External"/><Relationship Id="rId16" Type="http://schemas.openxmlformats.org/officeDocument/2006/relationships/hyperlink" Target="mailto:jeenyw8@yahoo.com" TargetMode="External"/><Relationship Id="rId20" Type="http://schemas.openxmlformats.org/officeDocument/2006/relationships/hyperlink" Target="mailto:janezh3080@gmail.com" TargetMode="External"/><Relationship Id="rId29" Type="http://schemas.openxmlformats.org/officeDocument/2006/relationships/hyperlink" Target="mailto:cjmaria@gmail.com" TargetMode="External"/><Relationship Id="rId1" Type="http://schemas.openxmlformats.org/officeDocument/2006/relationships/hyperlink" Target="mailto:wanglai@gmail.com" TargetMode="External"/><Relationship Id="rId6" Type="http://schemas.openxmlformats.org/officeDocument/2006/relationships/hyperlink" Target="mailto:sisy627@gmail.com" TargetMode="External"/><Relationship Id="rId11" Type="http://schemas.openxmlformats.org/officeDocument/2006/relationships/hyperlink" Target="mailto:cjmaria@gmail.com" TargetMode="External"/><Relationship Id="rId24" Type="http://schemas.openxmlformats.org/officeDocument/2006/relationships/hyperlink" Target="https://app.thestudiodirector.com/pellearningcenterofmi/admin.sd?page=EditStudent&amp;sident=1666019131244" TargetMode="External"/><Relationship Id="rId5" Type="http://schemas.openxmlformats.org/officeDocument/2006/relationships/hyperlink" Target="mailto:piijia@hotmail.com" TargetMode="External"/><Relationship Id="rId15" Type="http://schemas.openxmlformats.org/officeDocument/2006/relationships/hyperlink" Target="mailto:cathychwang@gmail.com" TargetMode="External"/><Relationship Id="rId23" Type="http://schemas.openxmlformats.org/officeDocument/2006/relationships/hyperlink" Target="https://app.thestudiodirector.com/pellearningcenterofmi/admin.sd?page=EditStudent&amp;sident=1666019131244" TargetMode="External"/><Relationship Id="rId28" Type="http://schemas.openxmlformats.org/officeDocument/2006/relationships/hyperlink" Target="mailto:shaoqin156@gmail.com" TargetMode="External"/><Relationship Id="rId10" Type="http://schemas.openxmlformats.org/officeDocument/2006/relationships/hyperlink" Target="mailto:cjmaria@gmail.com" TargetMode="External"/><Relationship Id="rId19" Type="http://schemas.openxmlformats.org/officeDocument/2006/relationships/hyperlink" Target="mailto:Navneetkd@yahoo.com" TargetMode="External"/><Relationship Id="rId31" Type="http://schemas.openxmlformats.org/officeDocument/2006/relationships/drawing" Target="../drawings/drawing2.xml"/><Relationship Id="rId4" Type="http://schemas.openxmlformats.org/officeDocument/2006/relationships/hyperlink" Target="mailto:wanglai@gmail.com" TargetMode="External"/><Relationship Id="rId9" Type="http://schemas.openxmlformats.org/officeDocument/2006/relationships/hyperlink" Target="mailto:kismatsingh.a@gmail.com" TargetMode="External"/><Relationship Id="rId14" Type="http://schemas.openxmlformats.org/officeDocument/2006/relationships/hyperlink" Target="mailto:cathychwang@gmail.com" TargetMode="External"/><Relationship Id="rId22" Type="http://schemas.openxmlformats.org/officeDocument/2006/relationships/hyperlink" Target="https://app.thestudiodirector.com/pellearningcenterofmi/admin.sd?page=EditStudent&amp;sident=1666021959309" TargetMode="External"/><Relationship Id="rId27" Type="http://schemas.openxmlformats.org/officeDocument/2006/relationships/hyperlink" Target="mailto:shaoqin156@gmail.com" TargetMode="External"/><Relationship Id="rId30" Type="http://schemas.openxmlformats.org/officeDocument/2006/relationships/hyperlink" Target="mailto:cjmar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23" workbookViewId="0">
      <selection activeCell="D25" sqref="D25"/>
    </sheetView>
  </sheetViews>
  <sheetFormatPr defaultColWidth="14.453125" defaultRowHeight="15" customHeight="1"/>
  <cols>
    <col min="1" max="1" width="16.7265625" customWidth="1"/>
    <col min="2" max="2" width="65.7265625" customWidth="1"/>
    <col min="3" max="3" width="12.26953125" customWidth="1"/>
    <col min="4" max="4" width="10.453125" customWidth="1"/>
    <col min="5" max="5" width="15.453125" customWidth="1"/>
    <col min="6" max="6" width="13.81640625" customWidth="1"/>
    <col min="7" max="7" width="8.7265625" customWidth="1"/>
    <col min="8" max="8" width="36.453125" customWidth="1"/>
    <col min="9" max="10" width="8.7265625" customWidth="1"/>
    <col min="11" max="11" width="41.7265625" customWidth="1"/>
    <col min="12" max="26" width="8.7265625" customWidth="1"/>
  </cols>
  <sheetData>
    <row r="1" spans="1:26" ht="24.5">
      <c r="A1" s="240" t="s">
        <v>0</v>
      </c>
      <c r="B1" s="241"/>
      <c r="C1" s="241"/>
      <c r="D1" s="241"/>
      <c r="E1" s="1" t="s">
        <v>1</v>
      </c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.5">
      <c r="A2" s="3"/>
      <c r="B2" s="4"/>
      <c r="C2" s="4"/>
      <c r="D2" s="4"/>
      <c r="E2" s="5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 t="s">
        <v>3</v>
      </c>
      <c r="B3" s="6" t="s">
        <v>4</v>
      </c>
      <c r="C3" s="7"/>
      <c r="D3" s="6"/>
      <c r="E3" s="6" t="s">
        <v>5</v>
      </c>
      <c r="F3" s="8">
        <v>45443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6" t="s">
        <v>6</v>
      </c>
      <c r="C4" s="7"/>
      <c r="D4" s="6"/>
      <c r="E4" s="6" t="s">
        <v>7</v>
      </c>
      <c r="F4" s="9" t="s">
        <v>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/>
      <c r="B5" s="6" t="s">
        <v>9</v>
      </c>
      <c r="C5" s="7"/>
      <c r="D5" s="6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6" t="s">
        <v>10</v>
      </c>
      <c r="C6" s="7"/>
      <c r="D6" s="6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2"/>
      <c r="C7" s="11"/>
      <c r="D7" s="2"/>
      <c r="E7" s="9"/>
      <c r="F7" s="2"/>
      <c r="G7" s="2"/>
      <c r="H7" s="2"/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12" t="s">
        <v>11</v>
      </c>
      <c r="B8" s="13" t="s">
        <v>12</v>
      </c>
      <c r="C8" s="13" t="s">
        <v>13</v>
      </c>
      <c r="D8" s="13" t="s">
        <v>14</v>
      </c>
      <c r="E8" s="13" t="s">
        <v>15</v>
      </c>
      <c r="F8" s="14"/>
      <c r="G8" s="15"/>
      <c r="H8" s="15"/>
      <c r="I8" s="16"/>
      <c r="J8" s="15"/>
      <c r="K8" s="15"/>
      <c r="L8" s="15"/>
      <c r="M8" s="15"/>
      <c r="N8" s="1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17">
        <f t="shared" ref="A9:A31" si="0">$F$3</f>
        <v>45443</v>
      </c>
      <c r="B9" s="18" t="s">
        <v>16</v>
      </c>
      <c r="C9" s="18"/>
      <c r="D9" s="19">
        <f t="shared" ref="D9:D10" si="1">C55</f>
        <v>83</v>
      </c>
      <c r="E9" s="18"/>
      <c r="F9" s="20"/>
      <c r="G9" s="2"/>
      <c r="H9" s="15"/>
      <c r="I9" s="16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17">
        <f t="shared" si="0"/>
        <v>45443</v>
      </c>
      <c r="B10" s="18" t="s">
        <v>17</v>
      </c>
      <c r="C10" s="18"/>
      <c r="D10" s="19">
        <f t="shared" si="1"/>
        <v>86</v>
      </c>
      <c r="E10" s="18"/>
      <c r="F10" s="20"/>
      <c r="G10" s="2"/>
      <c r="H10" s="15"/>
      <c r="I10" s="16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17">
        <f t="shared" si="0"/>
        <v>45443</v>
      </c>
      <c r="B11" s="18" t="s">
        <v>18</v>
      </c>
      <c r="C11" s="21">
        <v>25</v>
      </c>
      <c r="D11" s="19">
        <f>SUM(C37:C40)</f>
        <v>4</v>
      </c>
      <c r="E11" s="22">
        <f t="shared" ref="E11:E18" si="2">C11*D11</f>
        <v>100</v>
      </c>
      <c r="F11" s="20"/>
      <c r="G11" s="2"/>
      <c r="H11" s="15"/>
      <c r="I11" s="16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17">
        <f t="shared" si="0"/>
        <v>45443</v>
      </c>
      <c r="B12" s="18" t="s">
        <v>19</v>
      </c>
      <c r="C12" s="21">
        <v>21</v>
      </c>
      <c r="D12" s="19">
        <f t="shared" ref="D12:D13" si="3">C35+C37-C41-C53</f>
        <v>81</v>
      </c>
      <c r="E12" s="22">
        <f t="shared" si="2"/>
        <v>1701</v>
      </c>
      <c r="F12" s="20"/>
      <c r="G12" s="2"/>
      <c r="H12" s="15"/>
      <c r="I12" s="16"/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17">
        <f t="shared" si="0"/>
        <v>45443</v>
      </c>
      <c r="B13" s="18" t="s">
        <v>20</v>
      </c>
      <c r="C13" s="21">
        <v>21</v>
      </c>
      <c r="D13" s="19">
        <f t="shared" si="3"/>
        <v>83</v>
      </c>
      <c r="E13" s="22">
        <f t="shared" si="2"/>
        <v>1743</v>
      </c>
      <c r="F13" s="20"/>
      <c r="G13" s="2"/>
      <c r="H13" s="15"/>
      <c r="I13" s="16"/>
      <c r="J13" s="1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17">
        <f t="shared" si="0"/>
        <v>45443</v>
      </c>
      <c r="B14" s="18" t="s">
        <v>21</v>
      </c>
      <c r="C14" s="21">
        <f t="shared" ref="C14:C15" si="4">C12/2</f>
        <v>10.5</v>
      </c>
      <c r="D14" s="19">
        <f t="shared" ref="D14:D15" si="5">C39</f>
        <v>0</v>
      </c>
      <c r="E14" s="22">
        <f t="shared" si="2"/>
        <v>0</v>
      </c>
      <c r="F14" s="20"/>
      <c r="G14" s="2"/>
      <c r="H14" s="15"/>
      <c r="I14" s="16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17">
        <f t="shared" si="0"/>
        <v>45443</v>
      </c>
      <c r="B15" s="18" t="s">
        <v>22</v>
      </c>
      <c r="C15" s="21">
        <f t="shared" si="4"/>
        <v>10.5</v>
      </c>
      <c r="D15" s="19">
        <f t="shared" si="5"/>
        <v>1</v>
      </c>
      <c r="E15" s="22">
        <f t="shared" si="2"/>
        <v>10.5</v>
      </c>
      <c r="F15" s="20"/>
      <c r="G15" s="2"/>
      <c r="H15" s="15"/>
      <c r="I15" s="16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17">
        <f t="shared" si="0"/>
        <v>45443</v>
      </c>
      <c r="B16" s="18" t="s">
        <v>23</v>
      </c>
      <c r="C16" s="21">
        <f t="shared" ref="C16:C17" si="6">C12/2</f>
        <v>10.5</v>
      </c>
      <c r="D16" s="19">
        <f t="shared" ref="D16:D17" si="7">I41</f>
        <v>0</v>
      </c>
      <c r="E16" s="22">
        <f t="shared" si="2"/>
        <v>0</v>
      </c>
      <c r="F16" s="20"/>
      <c r="G16" s="2"/>
      <c r="H16" s="15"/>
      <c r="I16" s="16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17">
        <f t="shared" si="0"/>
        <v>45443</v>
      </c>
      <c r="B17" s="18" t="s">
        <v>24</v>
      </c>
      <c r="C17" s="21">
        <f t="shared" si="6"/>
        <v>10.5</v>
      </c>
      <c r="D17" s="19">
        <f t="shared" si="7"/>
        <v>0</v>
      </c>
      <c r="E17" s="22">
        <f t="shared" si="2"/>
        <v>0</v>
      </c>
      <c r="F17" s="20"/>
      <c r="G17" s="2"/>
      <c r="H17" s="15"/>
      <c r="I17" s="16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17">
        <f t="shared" si="0"/>
        <v>45443</v>
      </c>
      <c r="B18" s="18" t="s">
        <v>25</v>
      </c>
      <c r="C18" s="21">
        <v>100</v>
      </c>
      <c r="D18" s="19">
        <v>1</v>
      </c>
      <c r="E18" s="22">
        <f t="shared" si="2"/>
        <v>100</v>
      </c>
      <c r="F18" s="2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17">
        <f t="shared" si="0"/>
        <v>45443</v>
      </c>
      <c r="B19" s="18"/>
      <c r="C19" s="21"/>
      <c r="D19" s="23"/>
      <c r="E19" s="22"/>
      <c r="F19" s="2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17">
        <f t="shared" si="0"/>
        <v>45443</v>
      </c>
      <c r="B20" s="18"/>
      <c r="C20" s="21"/>
      <c r="D20" s="23"/>
      <c r="E20" s="22"/>
      <c r="F20" s="2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17">
        <f t="shared" si="0"/>
        <v>45443</v>
      </c>
      <c r="B21" s="18"/>
      <c r="C21" s="24"/>
      <c r="D21" s="23"/>
      <c r="E21" s="22"/>
      <c r="F21" s="2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7">
        <f t="shared" si="0"/>
        <v>45443</v>
      </c>
      <c r="B22" s="25"/>
      <c r="C22" s="21"/>
      <c r="D22" s="23"/>
      <c r="E22" s="22"/>
      <c r="F22" s="20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17">
        <f t="shared" si="0"/>
        <v>45443</v>
      </c>
      <c r="B23" s="25" t="s">
        <v>26</v>
      </c>
      <c r="C23" s="21">
        <v>-25</v>
      </c>
      <c r="D23" s="19"/>
      <c r="E23" s="26">
        <f t="shared" ref="E23:E24" si="8">C23*D23</f>
        <v>0</v>
      </c>
      <c r="F23" s="2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17">
        <f t="shared" si="0"/>
        <v>45443</v>
      </c>
      <c r="B24" s="25" t="s">
        <v>27</v>
      </c>
      <c r="C24" s="21">
        <v>-25</v>
      </c>
      <c r="D24" s="19">
        <v>1</v>
      </c>
      <c r="E24" s="26">
        <f t="shared" si="8"/>
        <v>-25</v>
      </c>
      <c r="F24" s="27"/>
      <c r="G24" s="28"/>
      <c r="H24" s="28"/>
      <c r="I24" s="28"/>
      <c r="J24" s="28"/>
      <c r="K24" s="28"/>
      <c r="L24" s="28"/>
      <c r="M24" s="28"/>
      <c r="N24" s="28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17">
        <f t="shared" si="0"/>
        <v>45443</v>
      </c>
      <c r="B25" s="29"/>
      <c r="C25" s="30"/>
      <c r="D25" s="31"/>
      <c r="E25" s="22"/>
      <c r="F25" s="2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7">
        <f t="shared" si="0"/>
        <v>45443</v>
      </c>
      <c r="B26" s="18" t="s">
        <v>28</v>
      </c>
      <c r="C26" s="21"/>
      <c r="D26" s="21"/>
      <c r="E26" s="22">
        <f>SUM(E11:E25)</f>
        <v>3629.5</v>
      </c>
      <c r="F26" s="2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7">
        <f t="shared" si="0"/>
        <v>45443</v>
      </c>
      <c r="B27" s="29" t="s">
        <v>1791</v>
      </c>
      <c r="C27" s="21"/>
      <c r="D27" s="19"/>
      <c r="E27" s="32">
        <v>200</v>
      </c>
      <c r="F27" s="2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17">
        <f t="shared" si="0"/>
        <v>45443</v>
      </c>
      <c r="B28" s="29" t="s">
        <v>29</v>
      </c>
      <c r="C28" s="33"/>
      <c r="D28" s="34"/>
      <c r="E28" s="35">
        <v>-200</v>
      </c>
      <c r="F28" s="2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17">
        <f t="shared" si="0"/>
        <v>45443</v>
      </c>
      <c r="B29" s="18" t="s">
        <v>30</v>
      </c>
      <c r="C29" s="21"/>
      <c r="D29" s="36"/>
      <c r="E29" s="36"/>
      <c r="F29" s="2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17">
        <f t="shared" si="0"/>
        <v>45443</v>
      </c>
      <c r="B30" s="18" t="s">
        <v>31</v>
      </c>
      <c r="C30" s="21"/>
      <c r="D30" s="22"/>
      <c r="E30" s="36">
        <v>0</v>
      </c>
      <c r="F30" s="2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17">
        <f t="shared" si="0"/>
        <v>45443</v>
      </c>
      <c r="B31" s="37" t="s">
        <v>32</v>
      </c>
      <c r="C31" s="21"/>
      <c r="D31" s="22"/>
      <c r="E31" s="38">
        <f>E26+E27+E28+E29-E30</f>
        <v>3629.5</v>
      </c>
      <c r="F31" s="2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39"/>
      <c r="C32" s="40"/>
      <c r="D32" s="40"/>
      <c r="E32" s="41"/>
      <c r="F32" s="4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8"/>
      <c r="B33" s="43"/>
      <c r="C33" s="11"/>
      <c r="D33" s="2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44" t="s">
        <v>33</v>
      </c>
      <c r="C34" s="45"/>
      <c r="D34" s="2"/>
      <c r="E34" s="9"/>
      <c r="F34" s="2"/>
      <c r="G34" s="2"/>
      <c r="H34" s="44" t="s">
        <v>34</v>
      </c>
      <c r="I34" s="45"/>
      <c r="J34" s="2"/>
      <c r="K34" s="44" t="s">
        <v>35</v>
      </c>
      <c r="L34" s="4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11" t="s">
        <v>36</v>
      </c>
      <c r="B35" s="46" t="s">
        <v>37</v>
      </c>
      <c r="C35" s="47">
        <v>84</v>
      </c>
      <c r="D35" s="2" t="s">
        <v>38</v>
      </c>
      <c r="E35" s="9"/>
      <c r="F35" s="2"/>
      <c r="G35" s="2"/>
      <c r="H35" s="46" t="s">
        <v>37</v>
      </c>
      <c r="I35" s="47">
        <v>0</v>
      </c>
      <c r="J35" s="2"/>
      <c r="K35" s="46" t="s">
        <v>37</v>
      </c>
      <c r="L35" s="47">
        <v>2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11" t="s">
        <v>39</v>
      </c>
      <c r="B36" s="48" t="s">
        <v>40</v>
      </c>
      <c r="C36" s="49">
        <v>89</v>
      </c>
      <c r="D36" s="2" t="s">
        <v>41</v>
      </c>
      <c r="E36" s="9"/>
      <c r="F36" s="11"/>
      <c r="G36" s="2"/>
      <c r="H36" s="48" t="s">
        <v>40</v>
      </c>
      <c r="I36" s="49">
        <v>0</v>
      </c>
      <c r="J36" s="2"/>
      <c r="K36" s="48" t="s">
        <v>40</v>
      </c>
      <c r="L36" s="49">
        <v>2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11" t="s">
        <v>42</v>
      </c>
      <c r="B37" s="50" t="s">
        <v>43</v>
      </c>
      <c r="C37" s="51">
        <v>2</v>
      </c>
      <c r="D37" s="2" t="s">
        <v>44</v>
      </c>
      <c r="E37" s="9"/>
      <c r="F37" s="2"/>
      <c r="G37" s="2"/>
      <c r="H37" s="52" t="s">
        <v>45</v>
      </c>
      <c r="I37" s="53">
        <v>0</v>
      </c>
      <c r="J37" s="2"/>
      <c r="K37" s="52" t="s">
        <v>45</v>
      </c>
      <c r="L37" s="53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11" t="s">
        <v>46</v>
      </c>
      <c r="B38" s="54" t="s">
        <v>47</v>
      </c>
      <c r="C38" s="55">
        <v>1</v>
      </c>
      <c r="D38" s="2" t="s">
        <v>48</v>
      </c>
      <c r="E38" s="9"/>
      <c r="F38" s="2"/>
      <c r="G38" s="2"/>
      <c r="H38" s="56" t="s">
        <v>49</v>
      </c>
      <c r="I38" s="57">
        <v>0</v>
      </c>
      <c r="J38" s="2"/>
      <c r="K38" s="56" t="s">
        <v>49</v>
      </c>
      <c r="L38" s="57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11" t="s">
        <v>50</v>
      </c>
      <c r="B39" s="50" t="s">
        <v>51</v>
      </c>
      <c r="C39" s="51">
        <v>0</v>
      </c>
      <c r="D39" s="2" t="s">
        <v>52</v>
      </c>
      <c r="E39" s="9"/>
      <c r="F39" s="2"/>
      <c r="G39" s="2"/>
      <c r="H39" s="50" t="s">
        <v>53</v>
      </c>
      <c r="I39" s="53">
        <v>0</v>
      </c>
      <c r="J39" s="9"/>
      <c r="K39" s="50" t="s">
        <v>53</v>
      </c>
      <c r="L39" s="53"/>
      <c r="M39" s="9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11" t="s">
        <v>54</v>
      </c>
      <c r="B40" s="54" t="s">
        <v>55</v>
      </c>
      <c r="C40" s="55">
        <v>1</v>
      </c>
      <c r="D40" s="2" t="s">
        <v>56</v>
      </c>
      <c r="E40" s="9"/>
      <c r="F40" s="2"/>
      <c r="G40" s="2"/>
      <c r="H40" s="54" t="s">
        <v>57</v>
      </c>
      <c r="I40" s="57">
        <v>0</v>
      </c>
      <c r="J40" s="9"/>
      <c r="K40" s="54" t="s">
        <v>57</v>
      </c>
      <c r="L40" s="57"/>
      <c r="M40" s="9"/>
      <c r="N40" s="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11" t="s">
        <v>58</v>
      </c>
      <c r="B41" s="52" t="s">
        <v>45</v>
      </c>
      <c r="C41" s="55">
        <v>3</v>
      </c>
      <c r="D41" s="2" t="s">
        <v>59</v>
      </c>
      <c r="E41" s="9"/>
      <c r="F41" s="2"/>
      <c r="G41" s="2"/>
      <c r="H41" s="58" t="s">
        <v>60</v>
      </c>
      <c r="I41" s="59">
        <f t="shared" ref="I41:I42" si="9">I35-I37+I39</f>
        <v>0</v>
      </c>
      <c r="J41" s="9"/>
      <c r="K41" s="58" t="s">
        <v>61</v>
      </c>
      <c r="L41" s="59">
        <f t="shared" ref="L41:L42" si="10">L35-L37+L39</f>
        <v>2</v>
      </c>
      <c r="M41" s="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11" t="s">
        <v>62</v>
      </c>
      <c r="B42" s="56" t="s">
        <v>49</v>
      </c>
      <c r="C42" s="55">
        <v>5</v>
      </c>
      <c r="D42" s="2" t="s">
        <v>63</v>
      </c>
      <c r="E42" s="9"/>
      <c r="F42" s="2"/>
      <c r="G42" s="2"/>
      <c r="H42" s="60" t="s">
        <v>64</v>
      </c>
      <c r="I42" s="61">
        <f t="shared" si="9"/>
        <v>0</v>
      </c>
      <c r="J42" s="9"/>
      <c r="K42" s="60" t="s">
        <v>65</v>
      </c>
      <c r="L42" s="61">
        <f t="shared" si="10"/>
        <v>2</v>
      </c>
      <c r="M42" s="9" t="s">
        <v>66</v>
      </c>
      <c r="N42" s="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11" t="s">
        <v>67</v>
      </c>
      <c r="B43" s="58" t="s">
        <v>60</v>
      </c>
      <c r="C43" s="59">
        <f t="shared" ref="C43:C44" si="11">C35+C37+C39-C41</f>
        <v>83</v>
      </c>
      <c r="D43" s="2"/>
      <c r="E43" s="9"/>
      <c r="F43" s="2"/>
      <c r="G43" s="2"/>
      <c r="H43" s="2"/>
      <c r="I43" s="2"/>
      <c r="J43" s="2"/>
      <c r="K43" s="2"/>
      <c r="L43" s="2"/>
      <c r="M43" s="9"/>
      <c r="N43" s="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11" t="s">
        <v>68</v>
      </c>
      <c r="B44" s="60" t="s">
        <v>64</v>
      </c>
      <c r="C44" s="61">
        <f t="shared" si="11"/>
        <v>86</v>
      </c>
      <c r="D44" s="2">
        <f>C44+C43</f>
        <v>169</v>
      </c>
      <c r="E44" s="9"/>
      <c r="F44" s="2"/>
      <c r="G44" s="2"/>
      <c r="H44" s="2"/>
      <c r="I44" s="2"/>
      <c r="J44" s="2"/>
      <c r="K44" s="2"/>
      <c r="L44" s="2"/>
      <c r="M44" s="9"/>
      <c r="N44" s="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62"/>
      <c r="D45" s="2"/>
      <c r="E45" s="63"/>
      <c r="F45" s="2"/>
      <c r="G45" s="2"/>
      <c r="H45" s="2"/>
      <c r="I45" s="2"/>
      <c r="J45" s="2"/>
      <c r="K45" s="2"/>
      <c r="L45" s="2"/>
      <c r="M45" s="9"/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62"/>
      <c r="D46" s="2"/>
      <c r="E46" s="9"/>
      <c r="F46" s="2"/>
      <c r="G46" s="2"/>
      <c r="H46" s="2"/>
      <c r="I46" s="2"/>
      <c r="J46" s="9"/>
      <c r="K46" s="9"/>
      <c r="L46" s="9"/>
      <c r="M46" s="9"/>
      <c r="N46" s="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62"/>
      <c r="D47" s="2"/>
      <c r="E47" s="9"/>
      <c r="F47" s="2"/>
      <c r="G47" s="2"/>
      <c r="H47" s="2"/>
      <c r="I47" s="2"/>
      <c r="J47" s="9"/>
      <c r="K47" s="9"/>
      <c r="L47" s="9"/>
      <c r="M47" s="9"/>
      <c r="N47" s="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44" t="s">
        <v>69</v>
      </c>
      <c r="C48" s="45"/>
      <c r="D48" s="2"/>
      <c r="E48" s="9"/>
      <c r="F48" s="2"/>
      <c r="G48" s="2"/>
      <c r="H48" s="2"/>
      <c r="I48" s="2"/>
      <c r="J48" s="9"/>
      <c r="K48" s="9" t="s">
        <v>66</v>
      </c>
      <c r="L48" s="9"/>
      <c r="M48" s="9"/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64" t="s">
        <v>70</v>
      </c>
      <c r="C49" s="65">
        <f t="shared" ref="C49:C50" si="12">C43-I41-L41</f>
        <v>81</v>
      </c>
      <c r="D49" s="2"/>
      <c r="E49" s="9"/>
      <c r="F49" s="2"/>
      <c r="G49" s="2"/>
      <c r="H49" s="2"/>
      <c r="I49" s="2"/>
      <c r="J49" s="9"/>
      <c r="K49" s="9"/>
      <c r="L49" s="9"/>
      <c r="M49" s="9"/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66" t="s">
        <v>71</v>
      </c>
      <c r="C50" s="65">
        <f t="shared" si="12"/>
        <v>84</v>
      </c>
      <c r="D50" s="2"/>
      <c r="E50" s="9"/>
      <c r="F50" s="2"/>
      <c r="G50" s="2"/>
      <c r="H50" s="2"/>
      <c r="I50" s="2"/>
      <c r="J50" s="9"/>
      <c r="K50" s="9"/>
      <c r="L50" s="9"/>
      <c r="M50" s="9"/>
      <c r="N50" s="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64" t="s">
        <v>72</v>
      </c>
      <c r="C51" s="65">
        <f t="shared" ref="C51:C52" si="13">I41</f>
        <v>0</v>
      </c>
      <c r="D51" s="2"/>
      <c r="E51" s="9"/>
      <c r="F51" s="2"/>
      <c r="G51" s="2"/>
      <c r="H51" s="2"/>
      <c r="I51" s="2"/>
      <c r="J51" s="9"/>
      <c r="K51" s="9"/>
      <c r="L51" s="9"/>
      <c r="M51" s="9"/>
      <c r="N51" s="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66" t="s">
        <v>73</v>
      </c>
      <c r="C52" s="67">
        <f t="shared" si="13"/>
        <v>0</v>
      </c>
      <c r="D52" s="2"/>
      <c r="E52" s="9"/>
      <c r="F52" s="2"/>
      <c r="G52" s="2"/>
      <c r="H52" s="2"/>
      <c r="I52" s="2"/>
      <c r="J52" s="9"/>
      <c r="K52" s="9"/>
      <c r="L52" s="9"/>
      <c r="M52" s="9"/>
      <c r="N52" s="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3"/>
      <c r="B53" s="64" t="s">
        <v>74</v>
      </c>
      <c r="C53" s="65">
        <f t="shared" ref="C53:C54" si="14">L41</f>
        <v>2</v>
      </c>
      <c r="D53" s="3"/>
      <c r="E53" s="68"/>
      <c r="F53" s="3"/>
      <c r="G53" s="3"/>
      <c r="H53" s="3"/>
      <c r="I53" s="3"/>
      <c r="J53" s="68"/>
      <c r="K53" s="68"/>
      <c r="L53" s="68"/>
      <c r="M53" s="68"/>
      <c r="N53" s="68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66" t="s">
        <v>75</v>
      </c>
      <c r="C54" s="67">
        <f t="shared" si="14"/>
        <v>2</v>
      </c>
      <c r="D54" s="3"/>
      <c r="E54" s="9"/>
      <c r="F54" s="2"/>
      <c r="G54" s="2"/>
      <c r="H54" s="2"/>
      <c r="I54" s="2"/>
      <c r="J54" s="9"/>
      <c r="K54" s="9"/>
      <c r="L54" s="9"/>
      <c r="M54" s="9"/>
      <c r="N54" s="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58" t="s">
        <v>60</v>
      </c>
      <c r="C55" s="59">
        <f t="shared" ref="C55:C56" si="15">C49+C51+C53</f>
        <v>83</v>
      </c>
      <c r="D55" s="2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9"/>
      <c r="B56" s="60" t="s">
        <v>64</v>
      </c>
      <c r="C56" s="61">
        <f t="shared" si="15"/>
        <v>86</v>
      </c>
      <c r="D56" s="2">
        <f>C56+C55</f>
        <v>169</v>
      </c>
      <c r="E56" s="9"/>
      <c r="F56" s="2"/>
      <c r="G56" s="2"/>
      <c r="H56" s="2"/>
      <c r="I56" s="2"/>
      <c r="J56" s="9"/>
      <c r="K56" s="9"/>
      <c r="L56" s="9"/>
      <c r="M56" s="9"/>
      <c r="N56" s="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9"/>
      <c r="F57" s="2"/>
      <c r="G57" s="2"/>
      <c r="H57" s="2"/>
      <c r="I57" s="2"/>
      <c r="J57" s="9"/>
      <c r="K57" s="9"/>
      <c r="L57" s="9"/>
      <c r="M57" s="9"/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9"/>
      <c r="F58" s="2"/>
      <c r="G58" s="2"/>
      <c r="H58" s="2"/>
      <c r="I58" s="2"/>
      <c r="J58" s="9"/>
      <c r="K58" s="9"/>
      <c r="L58" s="9"/>
      <c r="M58" s="9"/>
      <c r="N58" s="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 t="s">
        <v>76</v>
      </c>
      <c r="B59" s="2"/>
      <c r="C59" s="2"/>
      <c r="D59" s="2"/>
      <c r="E59" s="9"/>
      <c r="F59" s="2"/>
      <c r="G59" s="2"/>
      <c r="H59" s="2"/>
      <c r="I59" s="2"/>
      <c r="J59" s="9"/>
      <c r="K59" s="9"/>
      <c r="L59" s="9"/>
      <c r="M59" s="9"/>
      <c r="N59" s="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11"/>
      <c r="D60" s="2"/>
      <c r="E60" s="9"/>
      <c r="F60" s="2"/>
      <c r="G60" s="2"/>
      <c r="H60" s="2"/>
      <c r="I60" s="2"/>
      <c r="J60" s="9"/>
      <c r="K60" s="9"/>
      <c r="L60" s="9"/>
      <c r="M60" s="9"/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3" t="s">
        <v>77</v>
      </c>
      <c r="B61" s="2"/>
      <c r="C61" s="11"/>
      <c r="D61" s="2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 t="s">
        <v>78</v>
      </c>
      <c r="B62" s="2"/>
      <c r="C62" s="11"/>
      <c r="D62" s="2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 t="s">
        <v>79</v>
      </c>
      <c r="B63" s="2"/>
      <c r="C63" s="11"/>
      <c r="D63" s="2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69" t="s">
        <v>80</v>
      </c>
      <c r="B64" s="2"/>
      <c r="C64" s="11"/>
      <c r="D64" s="2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70" t="s">
        <v>81</v>
      </c>
      <c r="B65" s="71"/>
      <c r="C65" s="72"/>
      <c r="D65" s="71"/>
      <c r="E65" s="63"/>
      <c r="F65" s="71"/>
      <c r="G65" s="71"/>
      <c r="H65" s="71"/>
      <c r="I65" s="71"/>
      <c r="J65" s="71"/>
      <c r="K65" s="71"/>
      <c r="L65" s="71"/>
      <c r="M65" s="71"/>
      <c r="N65" s="71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70"/>
      <c r="B66" s="71"/>
      <c r="C66" s="72"/>
      <c r="D66" s="71"/>
      <c r="E66" s="63"/>
      <c r="F66" s="71"/>
      <c r="G66" s="71"/>
      <c r="H66" s="71"/>
      <c r="I66" s="71"/>
      <c r="J66" s="71"/>
      <c r="K66" s="71"/>
      <c r="L66" s="71"/>
      <c r="M66" s="71"/>
      <c r="N66" s="71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70"/>
      <c r="B67" s="71"/>
      <c r="C67" s="72"/>
      <c r="D67" s="71"/>
      <c r="E67" s="63"/>
      <c r="F67" s="71"/>
      <c r="G67" s="71"/>
      <c r="H67" s="71"/>
      <c r="I67" s="71"/>
      <c r="J67" s="71"/>
      <c r="K67" s="71"/>
      <c r="L67" s="71"/>
      <c r="M67" s="71"/>
      <c r="N67" s="71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69"/>
      <c r="B68" s="2"/>
      <c r="C68" s="2"/>
      <c r="D68" s="11"/>
      <c r="E68" s="11"/>
      <c r="F68" s="11"/>
      <c r="G68" s="11"/>
      <c r="H68" s="11"/>
      <c r="I68" s="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71"/>
      <c r="B69" s="71"/>
      <c r="C69" s="71"/>
      <c r="D69" s="72"/>
      <c r="E69" s="72"/>
      <c r="F69" s="72"/>
      <c r="G69" s="72"/>
      <c r="H69" s="72"/>
      <c r="I69" s="72"/>
      <c r="J69" s="71"/>
      <c r="K69" s="73"/>
      <c r="L69" s="71"/>
      <c r="M69" s="71"/>
      <c r="N69" s="71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71"/>
      <c r="B70" s="71"/>
      <c r="C70" s="71"/>
      <c r="D70" s="72"/>
      <c r="E70" s="72"/>
      <c r="F70" s="72"/>
      <c r="G70" s="72"/>
      <c r="H70" s="72"/>
      <c r="I70" s="72"/>
      <c r="J70" s="71"/>
      <c r="K70" s="73"/>
      <c r="L70" s="71"/>
      <c r="M70" s="71"/>
      <c r="N70" s="71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11"/>
      <c r="E71" s="11"/>
      <c r="F71" s="11"/>
      <c r="G71" s="11"/>
      <c r="H71" s="11"/>
      <c r="I71" s="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11"/>
      <c r="D72" s="2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11"/>
      <c r="D73" s="2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998"/>
  <sheetViews>
    <sheetView workbookViewId="0">
      <pane xSplit="4" ySplit="5" topLeftCell="J175" activePane="bottomRight" state="frozen"/>
      <selection pane="topRight" activeCell="E1" sqref="E1"/>
      <selection pane="bottomLeft" activeCell="A6" sqref="A6"/>
      <selection pane="bottomRight" activeCell="W3" sqref="W3"/>
    </sheetView>
  </sheetViews>
  <sheetFormatPr defaultColWidth="14.453125" defaultRowHeight="15" customHeight="1"/>
  <cols>
    <col min="1" max="1" width="7.7265625" customWidth="1"/>
    <col min="2" max="2" width="6.453125" customWidth="1"/>
    <col min="3" max="4" width="16.453125" customWidth="1"/>
    <col min="5" max="5" width="6.26953125" customWidth="1"/>
    <col min="6" max="6" width="14" customWidth="1"/>
    <col min="7" max="7" width="44.453125" customWidth="1"/>
    <col min="8" max="8" width="46.08984375" customWidth="1"/>
    <col min="9" max="9" width="13.453125" customWidth="1"/>
    <col min="10" max="10" width="9.26953125" customWidth="1"/>
    <col min="11" max="11" width="7.7265625" customWidth="1"/>
    <col min="12" max="12" width="36.7265625" customWidth="1"/>
    <col min="13" max="13" width="6.453125" customWidth="1"/>
    <col min="14" max="14" width="13.26953125" customWidth="1"/>
    <col min="15" max="15" width="3.26953125" customWidth="1"/>
    <col min="16" max="26" width="5.453125" customWidth="1"/>
    <col min="27" max="45" width="8.7265625" customWidth="1"/>
  </cols>
  <sheetData>
    <row r="1" spans="1:45" ht="13.5" customHeight="1">
      <c r="A1" s="74"/>
      <c r="B1" s="75"/>
      <c r="C1" s="7"/>
      <c r="D1" s="7"/>
      <c r="E1" s="7"/>
      <c r="F1" s="7"/>
      <c r="G1" s="74" t="s">
        <v>82</v>
      </c>
      <c r="H1" s="76"/>
      <c r="I1" s="76"/>
      <c r="J1" s="76"/>
      <c r="K1" s="76"/>
      <c r="L1" s="76" t="s">
        <v>83</v>
      </c>
      <c r="M1" s="7"/>
      <c r="N1" s="7"/>
      <c r="O1" s="6"/>
      <c r="P1" s="77"/>
      <c r="Q1" s="77" t="s">
        <v>42</v>
      </c>
      <c r="R1" s="77" t="s">
        <v>84</v>
      </c>
      <c r="S1" s="77" t="s">
        <v>36</v>
      </c>
      <c r="T1" s="77" t="s">
        <v>85</v>
      </c>
      <c r="U1" s="77" t="s">
        <v>54</v>
      </c>
      <c r="V1" s="77" t="s">
        <v>86</v>
      </c>
      <c r="W1" s="77" t="s">
        <v>87</v>
      </c>
      <c r="X1" s="77" t="s">
        <v>88</v>
      </c>
      <c r="Y1" s="77" t="s">
        <v>89</v>
      </c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</row>
    <row r="2" spans="1:45" ht="24" customHeight="1">
      <c r="A2" s="75"/>
      <c r="B2" s="75"/>
      <c r="C2" s="7" t="s">
        <v>90</v>
      </c>
      <c r="D2" s="75"/>
      <c r="E2" s="7"/>
      <c r="F2" s="6"/>
      <c r="G2" s="76"/>
      <c r="H2" s="76"/>
      <c r="I2" s="76"/>
      <c r="J2" s="76"/>
      <c r="K2" s="76"/>
      <c r="L2" s="78">
        <v>45383</v>
      </c>
      <c r="M2" s="7"/>
      <c r="N2" s="7"/>
      <c r="O2" s="6"/>
      <c r="P2" s="79" t="s">
        <v>91</v>
      </c>
      <c r="Q2" s="80">
        <f>COUNTIFS(M6:M182,"=C",B6:B182,"=M")</f>
        <v>79</v>
      </c>
      <c r="R2" s="80">
        <f>COUNTIFS(M6:M182,"=N",B6:B182,"=M")</f>
        <v>2</v>
      </c>
      <c r="S2" s="80">
        <f>COUNTIFS(M6:M182,"=A",B6:B182,"=M")</f>
        <v>3</v>
      </c>
      <c r="T2" s="80">
        <f>COUNTIFS(M6:M182,"=T",B6:B182,"=M")</f>
        <v>0</v>
      </c>
      <c r="U2" s="80">
        <f>COUNTIFS(M6:M182,"=F",B6:B182,"=M")</f>
        <v>2</v>
      </c>
      <c r="V2" s="80">
        <f>COUNTIFS(M6:M182,"=R",B6:B182,"=M")</f>
        <v>0</v>
      </c>
      <c r="W2" s="80">
        <f t="shared" ref="W2:W3" si="0">Q2+S2+U2+T2</f>
        <v>84</v>
      </c>
      <c r="X2" s="80">
        <f t="shared" ref="X2:X3" si="1">Q2+R2+U2+V2</f>
        <v>83</v>
      </c>
      <c r="Y2" s="80">
        <f t="shared" ref="Y2:Y3" si="2">Q2+R2+S2+U2+V2</f>
        <v>86</v>
      </c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24" customHeight="1">
      <c r="A3" s="75"/>
      <c r="B3" s="75"/>
      <c r="C3" s="7" t="s">
        <v>10</v>
      </c>
      <c r="D3" s="7"/>
      <c r="E3" s="7"/>
      <c r="F3" s="7"/>
      <c r="G3" s="76"/>
      <c r="H3" s="76"/>
      <c r="I3" s="76"/>
      <c r="J3" s="76"/>
      <c r="K3" s="76"/>
      <c r="L3" s="76" t="s">
        <v>92</v>
      </c>
      <c r="M3" s="7"/>
      <c r="N3" s="7"/>
      <c r="O3" s="6"/>
      <c r="P3" s="77" t="s">
        <v>50</v>
      </c>
      <c r="Q3" s="80">
        <f>COUNTIFS(M6:M182,"=C",B6:B182,"=E")</f>
        <v>82</v>
      </c>
      <c r="R3" s="80">
        <f>COUNTIFS(M6:M182,"=N",B6:B182,"=E")</f>
        <v>2</v>
      </c>
      <c r="S3" s="80">
        <f>COUNTIFS(M6:M182,"=A",B6:B182,"=E")</f>
        <v>5</v>
      </c>
      <c r="T3" s="80">
        <f>COUNTIFS(M6:M182,"=T",B6:B182,"=E")</f>
        <v>0</v>
      </c>
      <c r="U3" s="80">
        <f>COUNTIFS(M6:M182,"=F",B6:B182,"=E")</f>
        <v>2</v>
      </c>
      <c r="V3" s="80">
        <f>COUNTIFS(M6:M182,"=R",B6:B182,"=E")</f>
        <v>0</v>
      </c>
      <c r="W3" s="80">
        <f t="shared" si="0"/>
        <v>89</v>
      </c>
      <c r="X3" s="80">
        <f t="shared" si="1"/>
        <v>86</v>
      </c>
      <c r="Y3" s="80">
        <f t="shared" si="2"/>
        <v>91</v>
      </c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</row>
    <row r="4" spans="1:45" ht="24" customHeight="1">
      <c r="A4" s="75"/>
      <c r="B4" s="75"/>
      <c r="C4" s="7"/>
      <c r="D4" s="7"/>
      <c r="E4" s="7"/>
      <c r="F4" s="7"/>
      <c r="G4" s="76"/>
      <c r="H4" s="76"/>
      <c r="I4" s="76"/>
      <c r="J4" s="76"/>
      <c r="K4" s="76"/>
      <c r="L4" s="76"/>
      <c r="M4" s="7"/>
      <c r="N4" s="7"/>
      <c r="O4" s="6"/>
      <c r="P4" s="77" t="s">
        <v>85</v>
      </c>
      <c r="Q4" s="81">
        <f t="shared" ref="Q4:Y4" si="3">Q2+Q3</f>
        <v>161</v>
      </c>
      <c r="R4" s="81">
        <f t="shared" si="3"/>
        <v>4</v>
      </c>
      <c r="S4" s="81">
        <f t="shared" si="3"/>
        <v>8</v>
      </c>
      <c r="T4" s="81">
        <f t="shared" si="3"/>
        <v>0</v>
      </c>
      <c r="U4" s="81">
        <f t="shared" si="3"/>
        <v>4</v>
      </c>
      <c r="V4" s="81">
        <f t="shared" si="3"/>
        <v>0</v>
      </c>
      <c r="W4" s="81">
        <f t="shared" si="3"/>
        <v>173</v>
      </c>
      <c r="X4" s="81">
        <f t="shared" si="3"/>
        <v>169</v>
      </c>
      <c r="Y4" s="79">
        <f t="shared" si="3"/>
        <v>177</v>
      </c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</row>
    <row r="5" spans="1:45" ht="30" customHeight="1">
      <c r="A5" s="82" t="s">
        <v>14</v>
      </c>
      <c r="B5" s="82" t="s">
        <v>93</v>
      </c>
      <c r="C5" s="82" t="s">
        <v>94</v>
      </c>
      <c r="D5" s="82" t="s">
        <v>95</v>
      </c>
      <c r="E5" s="82" t="s">
        <v>96</v>
      </c>
      <c r="F5" s="82" t="s">
        <v>97</v>
      </c>
      <c r="G5" s="83" t="s">
        <v>98</v>
      </c>
      <c r="H5" s="83" t="s">
        <v>99</v>
      </c>
      <c r="I5" s="83" t="s">
        <v>100</v>
      </c>
      <c r="J5" s="82" t="s">
        <v>101</v>
      </c>
      <c r="K5" s="82" t="s">
        <v>102</v>
      </c>
      <c r="L5" s="82" t="s">
        <v>103</v>
      </c>
      <c r="M5" s="82" t="s">
        <v>104</v>
      </c>
      <c r="N5" s="82" t="s">
        <v>105</v>
      </c>
      <c r="O5" s="84"/>
      <c r="P5" s="84"/>
      <c r="Q5" s="84"/>
      <c r="R5" s="84">
        <f>R4+V4-S4</f>
        <v>-4</v>
      </c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</row>
    <row r="6" spans="1:45" ht="16.5" customHeight="1">
      <c r="A6" s="85">
        <v>1</v>
      </c>
      <c r="B6" s="85" t="s">
        <v>50</v>
      </c>
      <c r="C6" s="85" t="s">
        <v>106</v>
      </c>
      <c r="D6" s="85" t="s">
        <v>107</v>
      </c>
      <c r="E6" s="85">
        <v>2</v>
      </c>
      <c r="F6" s="86">
        <v>42486</v>
      </c>
      <c r="G6" s="87" t="s">
        <v>108</v>
      </c>
      <c r="H6" s="87" t="s">
        <v>109</v>
      </c>
      <c r="I6" s="88">
        <v>45367</v>
      </c>
      <c r="J6" s="85" t="s">
        <v>110</v>
      </c>
      <c r="K6" s="85" t="s">
        <v>111</v>
      </c>
      <c r="L6" s="85"/>
      <c r="M6" s="85" t="s">
        <v>42</v>
      </c>
      <c r="N6" s="89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</row>
    <row r="7" spans="1:45" ht="16.5" customHeight="1">
      <c r="A7" s="85">
        <v>2</v>
      </c>
      <c r="B7" s="85" t="s">
        <v>91</v>
      </c>
      <c r="C7" s="85" t="s">
        <v>106</v>
      </c>
      <c r="D7" s="85" t="s">
        <v>107</v>
      </c>
      <c r="E7" s="85">
        <v>2</v>
      </c>
      <c r="F7" s="86">
        <v>42486</v>
      </c>
      <c r="G7" s="87" t="s">
        <v>108</v>
      </c>
      <c r="H7" s="87" t="s">
        <v>109</v>
      </c>
      <c r="I7" s="88">
        <v>45367</v>
      </c>
      <c r="J7" s="85" t="s">
        <v>112</v>
      </c>
      <c r="K7" s="85" t="s">
        <v>113</v>
      </c>
      <c r="L7" s="85"/>
      <c r="M7" s="85" t="s">
        <v>42</v>
      </c>
      <c r="N7" s="91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</row>
    <row r="8" spans="1:45" ht="16.5" customHeight="1">
      <c r="A8" s="85">
        <v>3</v>
      </c>
      <c r="B8" s="85" t="s">
        <v>50</v>
      </c>
      <c r="C8" s="85" t="s">
        <v>114</v>
      </c>
      <c r="D8" s="85" t="s">
        <v>115</v>
      </c>
      <c r="E8" s="85">
        <v>3</v>
      </c>
      <c r="F8" s="86">
        <v>42218</v>
      </c>
      <c r="G8" s="87" t="s">
        <v>116</v>
      </c>
      <c r="H8" s="87" t="s">
        <v>117</v>
      </c>
      <c r="I8" s="88">
        <v>45293</v>
      </c>
      <c r="J8" s="85" t="s">
        <v>118</v>
      </c>
      <c r="K8" s="85" t="s">
        <v>119</v>
      </c>
      <c r="L8" s="85" t="s">
        <v>120</v>
      </c>
      <c r="M8" s="85" t="s">
        <v>42</v>
      </c>
      <c r="N8" s="91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</row>
    <row r="9" spans="1:45" ht="16.5" customHeight="1">
      <c r="A9" s="85">
        <v>4</v>
      </c>
      <c r="B9" s="85" t="s">
        <v>91</v>
      </c>
      <c r="C9" s="85" t="s">
        <v>114</v>
      </c>
      <c r="D9" s="85" t="s">
        <v>115</v>
      </c>
      <c r="E9" s="85">
        <v>3</v>
      </c>
      <c r="F9" s="86">
        <v>42218</v>
      </c>
      <c r="G9" s="87" t="s">
        <v>116</v>
      </c>
      <c r="H9" s="87" t="s">
        <v>117</v>
      </c>
      <c r="I9" s="88">
        <v>45293</v>
      </c>
      <c r="J9" s="85" t="s">
        <v>121</v>
      </c>
      <c r="K9" s="85" t="s">
        <v>122</v>
      </c>
      <c r="L9" s="85"/>
      <c r="M9" s="85" t="s">
        <v>42</v>
      </c>
      <c r="N9" s="91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</row>
    <row r="10" spans="1:45" ht="16.5" customHeight="1">
      <c r="A10" s="85">
        <v>5</v>
      </c>
      <c r="B10" s="85" t="s">
        <v>50</v>
      </c>
      <c r="C10" s="85" t="s">
        <v>114</v>
      </c>
      <c r="D10" s="85" t="s">
        <v>123</v>
      </c>
      <c r="E10" s="85">
        <v>2</v>
      </c>
      <c r="F10" s="86">
        <v>42606</v>
      </c>
      <c r="G10" s="87" t="s">
        <v>116</v>
      </c>
      <c r="H10" s="87" t="s">
        <v>117</v>
      </c>
      <c r="I10" s="88">
        <v>45293</v>
      </c>
      <c r="J10" s="85" t="s">
        <v>124</v>
      </c>
      <c r="K10" s="85" t="s">
        <v>125</v>
      </c>
      <c r="L10" s="85" t="s">
        <v>120</v>
      </c>
      <c r="M10" s="85" t="s">
        <v>42</v>
      </c>
      <c r="N10" s="91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</row>
    <row r="11" spans="1:45" ht="16.5" customHeight="1">
      <c r="A11" s="85">
        <v>6</v>
      </c>
      <c r="B11" s="85" t="s">
        <v>91</v>
      </c>
      <c r="C11" s="85" t="s">
        <v>114</v>
      </c>
      <c r="D11" s="85" t="s">
        <v>123</v>
      </c>
      <c r="E11" s="85">
        <v>2</v>
      </c>
      <c r="F11" s="86">
        <v>42606</v>
      </c>
      <c r="G11" s="87" t="s">
        <v>116</v>
      </c>
      <c r="H11" s="87" t="s">
        <v>117</v>
      </c>
      <c r="I11" s="88">
        <v>45293</v>
      </c>
      <c r="J11" s="85" t="s">
        <v>112</v>
      </c>
      <c r="K11" s="85" t="s">
        <v>126</v>
      </c>
      <c r="L11" s="85"/>
      <c r="M11" s="85" t="s">
        <v>42</v>
      </c>
      <c r="N11" s="91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</row>
    <row r="12" spans="1:45" ht="16.5" customHeight="1">
      <c r="A12" s="85">
        <v>7</v>
      </c>
      <c r="B12" s="85" t="s">
        <v>50</v>
      </c>
      <c r="C12" s="85" t="s">
        <v>127</v>
      </c>
      <c r="D12" s="85" t="s">
        <v>128</v>
      </c>
      <c r="E12" s="85">
        <v>4</v>
      </c>
      <c r="F12" s="86">
        <v>41804</v>
      </c>
      <c r="G12" s="87" t="s">
        <v>129</v>
      </c>
      <c r="H12" s="87" t="s">
        <v>130</v>
      </c>
      <c r="I12" s="88">
        <v>45383</v>
      </c>
      <c r="J12" s="85" t="s">
        <v>131</v>
      </c>
      <c r="K12" s="85" t="s">
        <v>132</v>
      </c>
      <c r="L12" s="85"/>
      <c r="M12" s="85" t="s">
        <v>42</v>
      </c>
      <c r="N12" s="91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</row>
    <row r="13" spans="1:45" ht="16.5" customHeight="1">
      <c r="A13" s="85">
        <v>8</v>
      </c>
      <c r="B13" s="85" t="s">
        <v>50</v>
      </c>
      <c r="C13" s="85" t="s">
        <v>127</v>
      </c>
      <c r="D13" s="85" t="s">
        <v>133</v>
      </c>
      <c r="E13" s="85">
        <v>8</v>
      </c>
      <c r="F13" s="86">
        <v>40266</v>
      </c>
      <c r="G13" s="87" t="s">
        <v>129</v>
      </c>
      <c r="H13" s="87" t="s">
        <v>130</v>
      </c>
      <c r="I13" s="88">
        <v>45383</v>
      </c>
      <c r="J13" s="85" t="s">
        <v>134</v>
      </c>
      <c r="K13" s="85" t="s">
        <v>135</v>
      </c>
      <c r="L13" s="85"/>
      <c r="M13" s="85" t="s">
        <v>42</v>
      </c>
      <c r="N13" s="91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</row>
    <row r="14" spans="1:45" ht="16.5" customHeight="1">
      <c r="A14" s="85">
        <v>9</v>
      </c>
      <c r="B14" s="85" t="s">
        <v>50</v>
      </c>
      <c r="C14" s="85" t="s">
        <v>136</v>
      </c>
      <c r="D14" s="85" t="s">
        <v>137</v>
      </c>
      <c r="E14" s="85">
        <v>1</v>
      </c>
      <c r="F14" s="86">
        <v>42879</v>
      </c>
      <c r="G14" s="87" t="s">
        <v>138</v>
      </c>
      <c r="H14" s="87" t="s">
        <v>139</v>
      </c>
      <c r="I14" s="88">
        <v>45082</v>
      </c>
      <c r="J14" s="85" t="s">
        <v>140</v>
      </c>
      <c r="K14" s="85" t="s">
        <v>125</v>
      </c>
      <c r="L14" s="85"/>
      <c r="M14" s="85" t="s">
        <v>42</v>
      </c>
      <c r="N14" s="91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</row>
    <row r="15" spans="1:45" ht="16.5" customHeight="1">
      <c r="A15" s="85">
        <v>10</v>
      </c>
      <c r="B15" s="85" t="s">
        <v>91</v>
      </c>
      <c r="C15" s="85" t="s">
        <v>136</v>
      </c>
      <c r="D15" s="85" t="s">
        <v>137</v>
      </c>
      <c r="E15" s="85">
        <v>1</v>
      </c>
      <c r="F15" s="86">
        <v>42879</v>
      </c>
      <c r="G15" s="87" t="s">
        <v>138</v>
      </c>
      <c r="H15" s="87" t="s">
        <v>139</v>
      </c>
      <c r="I15" s="88">
        <v>45082</v>
      </c>
      <c r="J15" s="85" t="s">
        <v>141</v>
      </c>
      <c r="K15" s="85" t="s">
        <v>142</v>
      </c>
      <c r="L15" s="85"/>
      <c r="M15" s="85" t="s">
        <v>42</v>
      </c>
      <c r="N15" s="91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0"/>
      <c r="AQ15" s="90"/>
      <c r="AR15" s="90"/>
      <c r="AS15" s="90"/>
    </row>
    <row r="16" spans="1:45" ht="16.5" customHeight="1">
      <c r="A16" s="85">
        <v>11</v>
      </c>
      <c r="B16" s="85" t="s">
        <v>50</v>
      </c>
      <c r="C16" s="85" t="s">
        <v>143</v>
      </c>
      <c r="D16" s="85" t="s">
        <v>144</v>
      </c>
      <c r="E16" s="85" t="s">
        <v>145</v>
      </c>
      <c r="F16" s="86">
        <v>41461</v>
      </c>
      <c r="G16" s="87" t="s">
        <v>146</v>
      </c>
      <c r="H16" s="87" t="s">
        <v>147</v>
      </c>
      <c r="I16" s="88">
        <v>44354</v>
      </c>
      <c r="J16" s="85" t="s">
        <v>148</v>
      </c>
      <c r="K16" s="85" t="s">
        <v>149</v>
      </c>
      <c r="L16" s="85"/>
      <c r="M16" s="85" t="s">
        <v>42</v>
      </c>
      <c r="N16" s="91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0"/>
      <c r="AQ16" s="90"/>
      <c r="AR16" s="90"/>
      <c r="AS16" s="90"/>
    </row>
    <row r="17" spans="1:45" ht="16.5" customHeight="1">
      <c r="A17" s="85">
        <v>12</v>
      </c>
      <c r="B17" s="85" t="s">
        <v>91</v>
      </c>
      <c r="C17" s="85" t="s">
        <v>143</v>
      </c>
      <c r="D17" s="85" t="s">
        <v>144</v>
      </c>
      <c r="E17" s="85" t="s">
        <v>145</v>
      </c>
      <c r="F17" s="86">
        <v>41461</v>
      </c>
      <c r="G17" s="87" t="s">
        <v>146</v>
      </c>
      <c r="H17" s="87" t="s">
        <v>147</v>
      </c>
      <c r="I17" s="88">
        <v>43651</v>
      </c>
      <c r="J17" s="85" t="s">
        <v>150</v>
      </c>
      <c r="K17" s="85" t="s">
        <v>151</v>
      </c>
      <c r="L17" s="85"/>
      <c r="M17" s="85" t="s">
        <v>42</v>
      </c>
      <c r="N17" s="91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</row>
    <row r="18" spans="1:45" ht="16.5" customHeight="1">
      <c r="A18" s="85">
        <v>13</v>
      </c>
      <c r="B18" s="85" t="s">
        <v>50</v>
      </c>
      <c r="C18" s="85" t="s">
        <v>152</v>
      </c>
      <c r="D18" s="85" t="s">
        <v>153</v>
      </c>
      <c r="E18" s="85">
        <v>3</v>
      </c>
      <c r="F18" s="86">
        <v>42011</v>
      </c>
      <c r="G18" s="87" t="s">
        <v>154</v>
      </c>
      <c r="H18" s="87" t="s">
        <v>155</v>
      </c>
      <c r="I18" s="88">
        <v>45374</v>
      </c>
      <c r="J18" s="85" t="s">
        <v>118</v>
      </c>
      <c r="K18" s="85" t="s">
        <v>111</v>
      </c>
      <c r="L18" s="85"/>
      <c r="M18" s="85" t="s">
        <v>42</v>
      </c>
      <c r="N18" s="91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0"/>
      <c r="AQ18" s="90"/>
      <c r="AR18" s="90"/>
      <c r="AS18" s="90"/>
    </row>
    <row r="19" spans="1:45" ht="16.5" customHeight="1">
      <c r="A19" s="85">
        <v>14</v>
      </c>
      <c r="B19" s="85" t="s">
        <v>91</v>
      </c>
      <c r="C19" s="85" t="s">
        <v>152</v>
      </c>
      <c r="D19" s="85" t="s">
        <v>153</v>
      </c>
      <c r="E19" s="85">
        <v>3</v>
      </c>
      <c r="F19" s="86">
        <v>42011</v>
      </c>
      <c r="G19" s="87" t="s">
        <v>154</v>
      </c>
      <c r="H19" s="87" t="s">
        <v>155</v>
      </c>
      <c r="I19" s="88">
        <v>45374</v>
      </c>
      <c r="J19" s="85" t="s">
        <v>156</v>
      </c>
      <c r="K19" s="85" t="s">
        <v>157</v>
      </c>
      <c r="L19" s="85"/>
      <c r="M19" s="85" t="s">
        <v>42</v>
      </c>
      <c r="N19" s="91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</row>
    <row r="20" spans="1:45" ht="16.5" customHeight="1">
      <c r="A20" s="85">
        <v>15</v>
      </c>
      <c r="B20" s="92" t="s">
        <v>50</v>
      </c>
      <c r="C20" s="85" t="s">
        <v>158</v>
      </c>
      <c r="D20" s="85" t="s">
        <v>159</v>
      </c>
      <c r="E20" s="85">
        <v>1</v>
      </c>
      <c r="F20" s="86">
        <v>43009</v>
      </c>
      <c r="G20" s="87" t="s">
        <v>160</v>
      </c>
      <c r="H20" s="87" t="s">
        <v>161</v>
      </c>
      <c r="I20" s="88">
        <v>45208</v>
      </c>
      <c r="J20" s="85" t="s">
        <v>140</v>
      </c>
      <c r="K20" s="85" t="s">
        <v>162</v>
      </c>
      <c r="L20" s="85"/>
      <c r="M20" s="85" t="s">
        <v>42</v>
      </c>
      <c r="N20" s="92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</row>
    <row r="21" spans="1:45" ht="16.5" customHeight="1">
      <c r="A21" s="85">
        <v>16</v>
      </c>
      <c r="B21" s="92" t="s">
        <v>91</v>
      </c>
      <c r="C21" s="85" t="s">
        <v>158</v>
      </c>
      <c r="D21" s="85" t="s">
        <v>159</v>
      </c>
      <c r="E21" s="85">
        <v>1</v>
      </c>
      <c r="F21" s="86">
        <v>43009</v>
      </c>
      <c r="G21" s="87" t="s">
        <v>160</v>
      </c>
      <c r="H21" s="87" t="s">
        <v>161</v>
      </c>
      <c r="I21" s="88">
        <v>45208</v>
      </c>
      <c r="J21" s="85" t="s">
        <v>112</v>
      </c>
      <c r="K21" s="85" t="s">
        <v>163</v>
      </c>
      <c r="L21" s="85"/>
      <c r="M21" s="85" t="s">
        <v>42</v>
      </c>
      <c r="N21" s="93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</row>
    <row r="22" spans="1:45" ht="16.5" customHeight="1">
      <c r="A22" s="85">
        <v>17</v>
      </c>
      <c r="B22" s="92" t="s">
        <v>50</v>
      </c>
      <c r="C22" s="85" t="s">
        <v>158</v>
      </c>
      <c r="D22" s="85" t="s">
        <v>164</v>
      </c>
      <c r="E22" s="85">
        <v>6</v>
      </c>
      <c r="F22" s="86">
        <v>40938</v>
      </c>
      <c r="G22" s="87" t="s">
        <v>160</v>
      </c>
      <c r="H22" s="87" t="s">
        <v>161</v>
      </c>
      <c r="I22" s="88">
        <v>45261</v>
      </c>
      <c r="J22" s="85" t="s">
        <v>165</v>
      </c>
      <c r="K22" s="85" t="s">
        <v>166</v>
      </c>
      <c r="L22" s="85"/>
      <c r="M22" s="85" t="s">
        <v>42</v>
      </c>
      <c r="N22" s="92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90"/>
    </row>
    <row r="23" spans="1:45" ht="16.5" customHeight="1">
      <c r="A23" s="85">
        <v>18</v>
      </c>
      <c r="B23" s="92" t="s">
        <v>91</v>
      </c>
      <c r="C23" s="85" t="s">
        <v>158</v>
      </c>
      <c r="D23" s="85" t="s">
        <v>164</v>
      </c>
      <c r="E23" s="85">
        <v>6</v>
      </c>
      <c r="F23" s="86">
        <v>40938</v>
      </c>
      <c r="G23" s="87" t="s">
        <v>160</v>
      </c>
      <c r="H23" s="87" t="s">
        <v>161</v>
      </c>
      <c r="I23" s="88">
        <v>45261</v>
      </c>
      <c r="J23" s="85" t="s">
        <v>167</v>
      </c>
      <c r="K23" s="85" t="s">
        <v>119</v>
      </c>
      <c r="L23" s="85"/>
      <c r="M23" s="85" t="s">
        <v>42</v>
      </c>
      <c r="N23" s="93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</row>
    <row r="24" spans="1:45" ht="16.5" customHeight="1">
      <c r="A24" s="85">
        <v>19</v>
      </c>
      <c r="B24" s="92" t="s">
        <v>91</v>
      </c>
      <c r="C24" s="85" t="s">
        <v>168</v>
      </c>
      <c r="D24" s="85" t="s">
        <v>169</v>
      </c>
      <c r="E24" s="85">
        <v>8</v>
      </c>
      <c r="F24" s="86">
        <v>40205</v>
      </c>
      <c r="G24" s="87" t="s">
        <v>170</v>
      </c>
      <c r="H24" s="87" t="s">
        <v>171</v>
      </c>
      <c r="I24" s="88">
        <v>45232</v>
      </c>
      <c r="J24" s="85" t="s">
        <v>172</v>
      </c>
      <c r="K24" s="85" t="s">
        <v>173</v>
      </c>
      <c r="L24" s="85"/>
      <c r="M24" s="85" t="s">
        <v>42</v>
      </c>
      <c r="N24" s="92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</row>
    <row r="25" spans="1:45" ht="16.5" customHeight="1">
      <c r="A25" s="85">
        <v>20</v>
      </c>
      <c r="B25" s="92" t="s">
        <v>91</v>
      </c>
      <c r="C25" s="85" t="s">
        <v>168</v>
      </c>
      <c r="D25" s="85" t="s">
        <v>174</v>
      </c>
      <c r="E25" s="85">
        <v>6</v>
      </c>
      <c r="F25" s="86">
        <v>40913</v>
      </c>
      <c r="G25" s="87" t="s">
        <v>170</v>
      </c>
      <c r="H25" s="87" t="s">
        <v>171</v>
      </c>
      <c r="I25" s="88">
        <v>45232</v>
      </c>
      <c r="J25" s="85" t="s">
        <v>150</v>
      </c>
      <c r="K25" s="85" t="s">
        <v>175</v>
      </c>
      <c r="L25" s="85"/>
      <c r="M25" s="85" t="s">
        <v>42</v>
      </c>
      <c r="N25" s="92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</row>
    <row r="26" spans="1:45" ht="16.5" customHeight="1">
      <c r="A26" s="85">
        <v>21</v>
      </c>
      <c r="B26" s="92" t="s">
        <v>50</v>
      </c>
      <c r="C26" s="85" t="s">
        <v>176</v>
      </c>
      <c r="D26" s="85" t="s">
        <v>177</v>
      </c>
      <c r="E26" s="85" t="s">
        <v>178</v>
      </c>
      <c r="F26" s="86">
        <v>42901</v>
      </c>
      <c r="G26" s="87" t="s">
        <v>179</v>
      </c>
      <c r="H26" s="87" t="s">
        <v>180</v>
      </c>
      <c r="I26" s="88">
        <v>45310</v>
      </c>
      <c r="J26" s="85" t="s">
        <v>165</v>
      </c>
      <c r="K26" s="85" t="s">
        <v>181</v>
      </c>
      <c r="L26" s="85"/>
      <c r="M26" s="85" t="s">
        <v>42</v>
      </c>
      <c r="N26" s="92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</row>
    <row r="27" spans="1:45" ht="16.5" customHeight="1">
      <c r="A27" s="85">
        <v>22</v>
      </c>
      <c r="B27" s="92" t="s">
        <v>91</v>
      </c>
      <c r="C27" s="85" t="s">
        <v>176</v>
      </c>
      <c r="D27" s="85" t="s">
        <v>177</v>
      </c>
      <c r="E27" s="85" t="s">
        <v>178</v>
      </c>
      <c r="F27" s="86">
        <v>42901</v>
      </c>
      <c r="G27" s="87" t="s">
        <v>179</v>
      </c>
      <c r="H27" s="87" t="s">
        <v>180</v>
      </c>
      <c r="I27" s="88">
        <v>45310</v>
      </c>
      <c r="J27" s="85" t="s">
        <v>112</v>
      </c>
      <c r="K27" s="85" t="s">
        <v>126</v>
      </c>
      <c r="L27" s="85"/>
      <c r="M27" s="85" t="s">
        <v>42</v>
      </c>
      <c r="N27" s="92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90"/>
    </row>
    <row r="28" spans="1:45" ht="16.5" customHeight="1">
      <c r="A28" s="85">
        <v>23</v>
      </c>
      <c r="B28" s="92" t="s">
        <v>50</v>
      </c>
      <c r="C28" s="85" t="s">
        <v>182</v>
      </c>
      <c r="D28" s="85" t="s">
        <v>183</v>
      </c>
      <c r="E28" s="85">
        <v>1</v>
      </c>
      <c r="F28" s="86">
        <v>42277</v>
      </c>
      <c r="G28" s="87" t="s">
        <v>184</v>
      </c>
      <c r="H28" s="87" t="s">
        <v>185</v>
      </c>
      <c r="I28" s="88">
        <v>45139</v>
      </c>
      <c r="J28" s="85" t="s">
        <v>186</v>
      </c>
      <c r="K28" s="85" t="s">
        <v>187</v>
      </c>
      <c r="L28" s="85"/>
      <c r="M28" s="85" t="s">
        <v>42</v>
      </c>
      <c r="N28" s="92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90"/>
    </row>
    <row r="29" spans="1:45" ht="16.5" customHeight="1">
      <c r="A29" s="85">
        <v>24</v>
      </c>
      <c r="B29" s="92" t="s">
        <v>91</v>
      </c>
      <c r="C29" s="85" t="s">
        <v>182</v>
      </c>
      <c r="D29" s="85" t="s">
        <v>183</v>
      </c>
      <c r="E29" s="85">
        <v>1</v>
      </c>
      <c r="F29" s="86">
        <v>42277</v>
      </c>
      <c r="G29" s="87" t="s">
        <v>184</v>
      </c>
      <c r="H29" s="87" t="s">
        <v>185</v>
      </c>
      <c r="I29" s="88">
        <v>45139</v>
      </c>
      <c r="J29" s="85" t="s">
        <v>188</v>
      </c>
      <c r="K29" s="85" t="s">
        <v>187</v>
      </c>
      <c r="L29" s="85"/>
      <c r="M29" s="85" t="s">
        <v>42</v>
      </c>
      <c r="N29" s="92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</row>
    <row r="30" spans="1:45" ht="16.5" customHeight="1">
      <c r="A30" s="85">
        <v>25</v>
      </c>
      <c r="B30" s="85" t="s">
        <v>50</v>
      </c>
      <c r="C30" s="85" t="s">
        <v>182</v>
      </c>
      <c r="D30" s="85" t="s">
        <v>189</v>
      </c>
      <c r="E30" s="85" t="s">
        <v>190</v>
      </c>
      <c r="F30" s="86">
        <v>43431</v>
      </c>
      <c r="G30" s="87" t="s">
        <v>191</v>
      </c>
      <c r="H30" s="87" t="s">
        <v>185</v>
      </c>
      <c r="I30" s="88">
        <v>45154</v>
      </c>
      <c r="J30" s="85" t="s">
        <v>192</v>
      </c>
      <c r="K30" s="85" t="s">
        <v>193</v>
      </c>
      <c r="L30" s="95"/>
      <c r="M30" s="85" t="s">
        <v>42</v>
      </c>
      <c r="N30" s="91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</row>
    <row r="31" spans="1:45" ht="16.5" customHeight="1">
      <c r="A31" s="85">
        <v>26</v>
      </c>
      <c r="B31" s="85" t="s">
        <v>91</v>
      </c>
      <c r="C31" s="85" t="s">
        <v>182</v>
      </c>
      <c r="D31" s="85" t="s">
        <v>189</v>
      </c>
      <c r="E31" s="85" t="s">
        <v>190</v>
      </c>
      <c r="F31" s="86">
        <v>43431</v>
      </c>
      <c r="G31" s="87" t="s">
        <v>191</v>
      </c>
      <c r="H31" s="87" t="s">
        <v>185</v>
      </c>
      <c r="I31" s="88">
        <v>45154</v>
      </c>
      <c r="J31" s="85" t="s">
        <v>194</v>
      </c>
      <c r="K31" s="85" t="s">
        <v>126</v>
      </c>
      <c r="L31" s="85"/>
      <c r="M31" s="85" t="s">
        <v>42</v>
      </c>
      <c r="N31" s="91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90"/>
    </row>
    <row r="32" spans="1:45" ht="16.5" customHeight="1">
      <c r="A32" s="85">
        <v>27</v>
      </c>
      <c r="B32" s="92" t="s">
        <v>50</v>
      </c>
      <c r="C32" s="91" t="s">
        <v>195</v>
      </c>
      <c r="D32" s="91" t="s">
        <v>196</v>
      </c>
      <c r="E32" s="91">
        <v>4</v>
      </c>
      <c r="F32" s="86">
        <v>41677</v>
      </c>
      <c r="G32" s="96" t="s">
        <v>197</v>
      </c>
      <c r="H32" s="96" t="s">
        <v>198</v>
      </c>
      <c r="I32" s="88">
        <v>45196</v>
      </c>
      <c r="J32" s="85" t="s">
        <v>188</v>
      </c>
      <c r="K32" s="85" t="s">
        <v>199</v>
      </c>
      <c r="L32" s="91"/>
      <c r="M32" s="85" t="s">
        <v>42</v>
      </c>
      <c r="N32" s="97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  <c r="AR32" s="90"/>
      <c r="AS32" s="90"/>
    </row>
    <row r="33" spans="1:45" ht="16.5" customHeight="1">
      <c r="A33" s="85">
        <v>28</v>
      </c>
      <c r="B33" s="92" t="s">
        <v>91</v>
      </c>
      <c r="C33" s="91" t="s">
        <v>195</v>
      </c>
      <c r="D33" s="91" t="s">
        <v>196</v>
      </c>
      <c r="E33" s="91">
        <v>4</v>
      </c>
      <c r="F33" s="86">
        <v>41677</v>
      </c>
      <c r="G33" s="96" t="s">
        <v>197</v>
      </c>
      <c r="H33" s="96" t="s">
        <v>198</v>
      </c>
      <c r="I33" s="88">
        <v>45196</v>
      </c>
      <c r="J33" s="85" t="s">
        <v>186</v>
      </c>
      <c r="K33" s="85" t="s">
        <v>113</v>
      </c>
      <c r="L33" s="91"/>
      <c r="M33" s="85" t="s">
        <v>42</v>
      </c>
      <c r="N33" s="97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/>
      <c r="AQ33" s="90"/>
      <c r="AR33" s="90"/>
      <c r="AS33" s="90"/>
    </row>
    <row r="34" spans="1:45" ht="16.5" customHeight="1">
      <c r="A34" s="85">
        <v>29</v>
      </c>
      <c r="B34" s="85" t="s">
        <v>50</v>
      </c>
      <c r="C34" s="85" t="s">
        <v>200</v>
      </c>
      <c r="D34" s="85" t="s">
        <v>201</v>
      </c>
      <c r="E34" s="85">
        <v>5</v>
      </c>
      <c r="F34" s="86">
        <v>41164</v>
      </c>
      <c r="G34" s="87" t="s">
        <v>202</v>
      </c>
      <c r="H34" s="87" t="s">
        <v>203</v>
      </c>
      <c r="I34" s="88">
        <v>45154</v>
      </c>
      <c r="J34" s="85" t="s">
        <v>204</v>
      </c>
      <c r="K34" s="85" t="s">
        <v>205</v>
      </c>
      <c r="L34" s="85"/>
      <c r="M34" s="85" t="s">
        <v>42</v>
      </c>
      <c r="N34" s="91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  <c r="AQ34" s="90"/>
      <c r="AR34" s="90"/>
      <c r="AS34" s="90"/>
    </row>
    <row r="35" spans="1:45" ht="16.5" customHeight="1">
      <c r="A35" s="85">
        <v>30</v>
      </c>
      <c r="B35" s="85" t="s">
        <v>91</v>
      </c>
      <c r="C35" s="85" t="s">
        <v>200</v>
      </c>
      <c r="D35" s="85" t="s">
        <v>201</v>
      </c>
      <c r="E35" s="85">
        <v>5</v>
      </c>
      <c r="F35" s="86">
        <v>41164</v>
      </c>
      <c r="G35" s="87" t="s">
        <v>202</v>
      </c>
      <c r="H35" s="87" t="s">
        <v>203</v>
      </c>
      <c r="I35" s="88">
        <v>45154</v>
      </c>
      <c r="J35" s="85" t="s">
        <v>150</v>
      </c>
      <c r="K35" s="85" t="s">
        <v>206</v>
      </c>
      <c r="L35" s="85"/>
      <c r="M35" s="85" t="s">
        <v>42</v>
      </c>
      <c r="N35" s="91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90"/>
    </row>
    <row r="36" spans="1:45" ht="16.5" customHeight="1">
      <c r="A36" s="85">
        <v>31</v>
      </c>
      <c r="B36" s="85" t="s">
        <v>91</v>
      </c>
      <c r="C36" s="85" t="s">
        <v>207</v>
      </c>
      <c r="D36" s="85" t="s">
        <v>208</v>
      </c>
      <c r="E36" s="85" t="s">
        <v>190</v>
      </c>
      <c r="F36" s="86">
        <v>43224</v>
      </c>
      <c r="G36" s="87" t="s">
        <v>209</v>
      </c>
      <c r="H36" s="87" t="s">
        <v>210</v>
      </c>
      <c r="I36" s="88">
        <v>45372</v>
      </c>
      <c r="J36" s="85" t="s">
        <v>211</v>
      </c>
      <c r="K36" s="85" t="s">
        <v>212</v>
      </c>
      <c r="L36" s="85"/>
      <c r="M36" s="85" t="s">
        <v>42</v>
      </c>
      <c r="N36" s="91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  <c r="AR36" s="90"/>
      <c r="AS36" s="90"/>
    </row>
    <row r="37" spans="1:45" ht="16.5" customHeight="1">
      <c r="A37" s="85">
        <v>32</v>
      </c>
      <c r="B37" s="92" t="s">
        <v>50</v>
      </c>
      <c r="C37" s="85" t="s">
        <v>213</v>
      </c>
      <c r="D37" s="85" t="s">
        <v>214</v>
      </c>
      <c r="E37" s="85">
        <v>2</v>
      </c>
      <c r="F37" s="86">
        <v>42541</v>
      </c>
      <c r="G37" s="87" t="s">
        <v>215</v>
      </c>
      <c r="H37" s="87" t="s">
        <v>216</v>
      </c>
      <c r="I37" s="88">
        <v>45200</v>
      </c>
      <c r="J37" s="85" t="s">
        <v>140</v>
      </c>
      <c r="K37" s="85" t="s">
        <v>122</v>
      </c>
      <c r="L37" s="85"/>
      <c r="M37" s="85" t="s">
        <v>42</v>
      </c>
      <c r="N37" s="92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</row>
    <row r="38" spans="1:45" ht="16.5" customHeight="1">
      <c r="A38" s="85">
        <v>33</v>
      </c>
      <c r="B38" s="92" t="s">
        <v>91</v>
      </c>
      <c r="C38" s="85" t="s">
        <v>213</v>
      </c>
      <c r="D38" s="85" t="s">
        <v>214</v>
      </c>
      <c r="E38" s="85">
        <v>2</v>
      </c>
      <c r="F38" s="86">
        <v>42541</v>
      </c>
      <c r="G38" s="87" t="s">
        <v>215</v>
      </c>
      <c r="H38" s="87" t="s">
        <v>216</v>
      </c>
      <c r="I38" s="88">
        <v>45200</v>
      </c>
      <c r="J38" s="85" t="s">
        <v>141</v>
      </c>
      <c r="K38" s="85" t="s">
        <v>199</v>
      </c>
      <c r="L38" s="85"/>
      <c r="M38" s="85" t="s">
        <v>42</v>
      </c>
      <c r="N38" s="92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0"/>
      <c r="AS38" s="90"/>
    </row>
    <row r="39" spans="1:45" ht="16.5" customHeight="1">
      <c r="A39" s="85">
        <v>34</v>
      </c>
      <c r="B39" s="85" t="s">
        <v>50</v>
      </c>
      <c r="C39" s="85" t="s">
        <v>217</v>
      </c>
      <c r="D39" s="85" t="s">
        <v>218</v>
      </c>
      <c r="E39" s="85">
        <v>2</v>
      </c>
      <c r="F39" s="86">
        <v>42461</v>
      </c>
      <c r="G39" s="87" t="s">
        <v>219</v>
      </c>
      <c r="H39" s="87" t="s">
        <v>220</v>
      </c>
      <c r="I39" s="88">
        <v>45159</v>
      </c>
      <c r="J39" s="85" t="s">
        <v>186</v>
      </c>
      <c r="K39" s="85" t="s">
        <v>175</v>
      </c>
      <c r="L39" s="85"/>
      <c r="M39" s="85" t="s">
        <v>42</v>
      </c>
      <c r="N39" s="91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90"/>
    </row>
    <row r="40" spans="1:45" ht="16.5" customHeight="1">
      <c r="A40" s="85">
        <v>35</v>
      </c>
      <c r="B40" s="85" t="s">
        <v>91</v>
      </c>
      <c r="C40" s="85" t="s">
        <v>217</v>
      </c>
      <c r="D40" s="85" t="s">
        <v>218</v>
      </c>
      <c r="E40" s="85">
        <v>2</v>
      </c>
      <c r="F40" s="86">
        <v>42461</v>
      </c>
      <c r="G40" s="87" t="s">
        <v>219</v>
      </c>
      <c r="H40" s="87" t="s">
        <v>220</v>
      </c>
      <c r="I40" s="88">
        <v>45159</v>
      </c>
      <c r="J40" s="85" t="s">
        <v>221</v>
      </c>
      <c r="K40" s="85" t="s">
        <v>132</v>
      </c>
      <c r="L40" s="85"/>
      <c r="M40" s="85" t="s">
        <v>42</v>
      </c>
      <c r="N40" s="91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</row>
    <row r="41" spans="1:45" ht="16.5" customHeight="1">
      <c r="A41" s="85">
        <v>36</v>
      </c>
      <c r="B41" s="85" t="s">
        <v>50</v>
      </c>
      <c r="C41" s="85" t="s">
        <v>217</v>
      </c>
      <c r="D41" s="85" t="s">
        <v>222</v>
      </c>
      <c r="E41" s="85" t="s">
        <v>190</v>
      </c>
      <c r="F41" s="86">
        <v>43230</v>
      </c>
      <c r="G41" s="87" t="s">
        <v>219</v>
      </c>
      <c r="H41" s="87" t="s">
        <v>220</v>
      </c>
      <c r="I41" s="88">
        <v>45159</v>
      </c>
      <c r="J41" s="85" t="s">
        <v>124</v>
      </c>
      <c r="K41" s="85" t="s">
        <v>125</v>
      </c>
      <c r="L41" s="85"/>
      <c r="M41" s="85" t="s">
        <v>42</v>
      </c>
      <c r="N41" s="91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</row>
    <row r="42" spans="1:45" ht="16.5" customHeight="1">
      <c r="A42" s="85">
        <v>37</v>
      </c>
      <c r="B42" s="85" t="s">
        <v>91</v>
      </c>
      <c r="C42" s="85" t="s">
        <v>217</v>
      </c>
      <c r="D42" s="85" t="s">
        <v>222</v>
      </c>
      <c r="E42" s="85" t="s">
        <v>190</v>
      </c>
      <c r="F42" s="86">
        <v>43230</v>
      </c>
      <c r="G42" s="87" t="s">
        <v>219</v>
      </c>
      <c r="H42" s="87" t="s">
        <v>220</v>
      </c>
      <c r="I42" s="88">
        <v>45159</v>
      </c>
      <c r="J42" s="85" t="s">
        <v>121</v>
      </c>
      <c r="K42" s="85" t="s">
        <v>166</v>
      </c>
      <c r="L42" s="85"/>
      <c r="M42" s="85" t="s">
        <v>42</v>
      </c>
      <c r="N42" s="91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0"/>
      <c r="AR42" s="90"/>
      <c r="AS42" s="90"/>
    </row>
    <row r="43" spans="1:45" ht="16.5" customHeight="1">
      <c r="A43" s="85">
        <v>38</v>
      </c>
      <c r="B43" s="85" t="s">
        <v>50</v>
      </c>
      <c r="C43" s="85" t="s">
        <v>223</v>
      </c>
      <c r="D43" s="85" t="s">
        <v>224</v>
      </c>
      <c r="E43" s="85" t="s">
        <v>190</v>
      </c>
      <c r="F43" s="86">
        <v>43105</v>
      </c>
      <c r="G43" s="87" t="s">
        <v>225</v>
      </c>
      <c r="H43" s="87" t="s">
        <v>226</v>
      </c>
      <c r="I43" s="88">
        <v>45383</v>
      </c>
      <c r="J43" s="85" t="s">
        <v>192</v>
      </c>
      <c r="K43" s="85" t="s">
        <v>181</v>
      </c>
      <c r="L43" s="85"/>
      <c r="M43" s="85" t="s">
        <v>42</v>
      </c>
      <c r="N43" s="91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/>
      <c r="AM43" s="90"/>
      <c r="AN43" s="90"/>
      <c r="AO43" s="90"/>
      <c r="AP43" s="90"/>
      <c r="AQ43" s="90"/>
      <c r="AR43" s="90"/>
      <c r="AS43" s="90"/>
    </row>
    <row r="44" spans="1:45" ht="16.5" customHeight="1">
      <c r="A44" s="85">
        <v>39</v>
      </c>
      <c r="B44" s="98" t="s">
        <v>50</v>
      </c>
      <c r="C44" s="99" t="s">
        <v>227</v>
      </c>
      <c r="D44" s="99" t="s">
        <v>228</v>
      </c>
      <c r="E44" s="99">
        <v>2</v>
      </c>
      <c r="F44" s="100">
        <v>42964</v>
      </c>
      <c r="G44" s="101" t="s">
        <v>229</v>
      </c>
      <c r="H44" s="101" t="s">
        <v>230</v>
      </c>
      <c r="I44" s="102">
        <v>45341</v>
      </c>
      <c r="J44" s="100" t="s">
        <v>231</v>
      </c>
      <c r="K44" s="100" t="s">
        <v>232</v>
      </c>
      <c r="L44" s="103"/>
      <c r="M44" s="85" t="s">
        <v>42</v>
      </c>
      <c r="N44" s="104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/>
      <c r="AG44" s="90"/>
      <c r="AH44" s="90"/>
      <c r="AI44" s="90"/>
      <c r="AJ44" s="90"/>
      <c r="AK44" s="90"/>
      <c r="AL44" s="90"/>
      <c r="AM44" s="105"/>
      <c r="AN44" s="105"/>
      <c r="AO44" s="105"/>
      <c r="AP44" s="105"/>
      <c r="AQ44" s="105"/>
      <c r="AR44" s="105"/>
      <c r="AS44" s="105"/>
    </row>
    <row r="45" spans="1:45" ht="16.5" customHeight="1">
      <c r="A45" s="85">
        <v>40</v>
      </c>
      <c r="B45" s="98" t="s">
        <v>91</v>
      </c>
      <c r="C45" s="99" t="s">
        <v>227</v>
      </c>
      <c r="D45" s="99" t="s">
        <v>228</v>
      </c>
      <c r="E45" s="99">
        <v>2</v>
      </c>
      <c r="F45" s="100">
        <v>42964</v>
      </c>
      <c r="G45" s="101" t="s">
        <v>229</v>
      </c>
      <c r="H45" s="101" t="s">
        <v>230</v>
      </c>
      <c r="I45" s="102">
        <v>45341</v>
      </c>
      <c r="J45" s="100" t="s">
        <v>233</v>
      </c>
      <c r="K45" s="100" t="s">
        <v>166</v>
      </c>
      <c r="L45" s="103"/>
      <c r="M45" s="85" t="s">
        <v>42</v>
      </c>
      <c r="N45" s="104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105"/>
      <c r="AN45" s="105"/>
      <c r="AO45" s="105"/>
      <c r="AP45" s="105"/>
      <c r="AQ45" s="105"/>
      <c r="AR45" s="105"/>
      <c r="AS45" s="105"/>
    </row>
    <row r="46" spans="1:45" ht="16.5" customHeight="1">
      <c r="A46" s="85">
        <v>41</v>
      </c>
      <c r="B46" s="85" t="s">
        <v>50</v>
      </c>
      <c r="C46" s="85" t="s">
        <v>234</v>
      </c>
      <c r="D46" s="85" t="s">
        <v>235</v>
      </c>
      <c r="E46" s="85">
        <v>2</v>
      </c>
      <c r="F46" s="86">
        <v>42196</v>
      </c>
      <c r="G46" s="87" t="s">
        <v>236</v>
      </c>
      <c r="H46" s="87" t="s">
        <v>237</v>
      </c>
      <c r="I46" s="88">
        <v>45154</v>
      </c>
      <c r="J46" s="85" t="s">
        <v>148</v>
      </c>
      <c r="K46" s="85" t="s">
        <v>199</v>
      </c>
      <c r="L46" s="85"/>
      <c r="M46" s="85" t="s">
        <v>42</v>
      </c>
      <c r="N46" s="91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0"/>
      <c r="AO46" s="90"/>
      <c r="AP46" s="90"/>
      <c r="AQ46" s="90"/>
      <c r="AR46" s="90"/>
      <c r="AS46" s="90"/>
    </row>
    <row r="47" spans="1:45" ht="16.5" customHeight="1">
      <c r="A47" s="85">
        <v>42</v>
      </c>
      <c r="B47" s="85" t="s">
        <v>91</v>
      </c>
      <c r="C47" s="85" t="s">
        <v>234</v>
      </c>
      <c r="D47" s="85" t="s">
        <v>235</v>
      </c>
      <c r="E47" s="85">
        <v>2</v>
      </c>
      <c r="F47" s="86">
        <v>42196</v>
      </c>
      <c r="G47" s="87" t="s">
        <v>236</v>
      </c>
      <c r="H47" s="87" t="s">
        <v>237</v>
      </c>
      <c r="I47" s="88">
        <v>45154</v>
      </c>
      <c r="J47" s="85" t="s">
        <v>238</v>
      </c>
      <c r="K47" s="85" t="s">
        <v>111</v>
      </c>
      <c r="L47" s="85"/>
      <c r="M47" s="85" t="s">
        <v>42</v>
      </c>
      <c r="N47" s="91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0"/>
      <c r="AQ47" s="90"/>
      <c r="AR47" s="90"/>
      <c r="AS47" s="90"/>
    </row>
    <row r="48" spans="1:45" ht="16.5" customHeight="1">
      <c r="A48" s="85">
        <v>43</v>
      </c>
      <c r="B48" s="92" t="s">
        <v>50</v>
      </c>
      <c r="C48" s="91" t="s">
        <v>239</v>
      </c>
      <c r="D48" s="91" t="s">
        <v>240</v>
      </c>
      <c r="E48" s="91">
        <v>6</v>
      </c>
      <c r="F48" s="86">
        <v>40830</v>
      </c>
      <c r="G48" s="96" t="s">
        <v>241</v>
      </c>
      <c r="H48" s="96" t="s">
        <v>242</v>
      </c>
      <c r="I48" s="88">
        <v>45197</v>
      </c>
      <c r="J48" s="85" t="s">
        <v>243</v>
      </c>
      <c r="K48" s="85" t="s">
        <v>142</v>
      </c>
      <c r="L48" s="91"/>
      <c r="M48" s="85" t="s">
        <v>42</v>
      </c>
      <c r="N48" s="97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0"/>
      <c r="AQ48" s="90"/>
      <c r="AR48" s="90"/>
      <c r="AS48" s="90"/>
    </row>
    <row r="49" spans="1:45" ht="16.5" customHeight="1">
      <c r="A49" s="85">
        <v>44</v>
      </c>
      <c r="B49" s="92" t="s">
        <v>91</v>
      </c>
      <c r="C49" s="91" t="s">
        <v>239</v>
      </c>
      <c r="D49" s="91" t="s">
        <v>240</v>
      </c>
      <c r="E49" s="91">
        <v>6</v>
      </c>
      <c r="F49" s="86">
        <v>40830</v>
      </c>
      <c r="G49" s="96" t="s">
        <v>241</v>
      </c>
      <c r="H49" s="96" t="s">
        <v>242</v>
      </c>
      <c r="I49" s="88">
        <v>45197</v>
      </c>
      <c r="J49" s="85" t="s">
        <v>244</v>
      </c>
      <c r="K49" s="85" t="s">
        <v>187</v>
      </c>
      <c r="L49" s="91"/>
      <c r="M49" s="85" t="s">
        <v>42</v>
      </c>
      <c r="N49" s="97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0"/>
      <c r="AO49" s="90"/>
      <c r="AP49" s="90"/>
      <c r="AQ49" s="90"/>
      <c r="AR49" s="90"/>
      <c r="AS49" s="90"/>
    </row>
    <row r="50" spans="1:45" ht="16.5" customHeight="1">
      <c r="A50" s="85">
        <v>45</v>
      </c>
      <c r="B50" s="85" t="s">
        <v>50</v>
      </c>
      <c r="C50" s="85" t="s">
        <v>245</v>
      </c>
      <c r="D50" s="85" t="s">
        <v>246</v>
      </c>
      <c r="E50" s="85">
        <v>7</v>
      </c>
      <c r="F50" s="86">
        <v>40423</v>
      </c>
      <c r="G50" s="87" t="s">
        <v>247</v>
      </c>
      <c r="H50" s="87" t="s">
        <v>248</v>
      </c>
      <c r="I50" s="88">
        <v>45139</v>
      </c>
      <c r="J50" s="85" t="s">
        <v>249</v>
      </c>
      <c r="K50" s="85" t="s">
        <v>199</v>
      </c>
      <c r="L50" s="85"/>
      <c r="M50" s="85" t="s">
        <v>42</v>
      </c>
      <c r="N50" s="91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0"/>
      <c r="AO50" s="90"/>
      <c r="AP50" s="90"/>
      <c r="AQ50" s="90"/>
      <c r="AR50" s="90"/>
      <c r="AS50" s="90"/>
    </row>
    <row r="51" spans="1:45" ht="16.5" customHeight="1">
      <c r="A51" s="85">
        <v>46</v>
      </c>
      <c r="B51" s="85" t="s">
        <v>91</v>
      </c>
      <c r="C51" s="85" t="s">
        <v>245</v>
      </c>
      <c r="D51" s="85" t="s">
        <v>246</v>
      </c>
      <c r="E51" s="85">
        <v>6</v>
      </c>
      <c r="F51" s="86">
        <v>40423</v>
      </c>
      <c r="G51" s="87" t="s">
        <v>247</v>
      </c>
      <c r="H51" s="87" t="s">
        <v>248</v>
      </c>
      <c r="I51" s="88">
        <v>44942</v>
      </c>
      <c r="J51" s="85" t="s">
        <v>250</v>
      </c>
      <c r="K51" s="85" t="s">
        <v>163</v>
      </c>
      <c r="L51" s="85"/>
      <c r="M51" s="85" t="s">
        <v>42</v>
      </c>
      <c r="N51" s="91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0"/>
      <c r="AO51" s="90"/>
      <c r="AP51" s="90"/>
      <c r="AQ51" s="90"/>
      <c r="AR51" s="90"/>
      <c r="AS51" s="90"/>
    </row>
    <row r="52" spans="1:45" ht="16.5" customHeight="1">
      <c r="A52" s="85">
        <v>47</v>
      </c>
      <c r="B52" s="85" t="s">
        <v>50</v>
      </c>
      <c r="C52" s="85" t="s">
        <v>245</v>
      </c>
      <c r="D52" s="85" t="s">
        <v>251</v>
      </c>
      <c r="E52" s="85">
        <v>1</v>
      </c>
      <c r="F52" s="86">
        <v>42988</v>
      </c>
      <c r="G52" s="87" t="s">
        <v>252</v>
      </c>
      <c r="H52" s="87" t="s">
        <v>253</v>
      </c>
      <c r="I52" s="88">
        <v>45157</v>
      </c>
      <c r="J52" s="85" t="s">
        <v>118</v>
      </c>
      <c r="K52" s="85" t="s">
        <v>126</v>
      </c>
      <c r="L52" s="85"/>
      <c r="M52" s="85" t="s">
        <v>42</v>
      </c>
      <c r="N52" s="91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0"/>
      <c r="AO52" s="90"/>
      <c r="AP52" s="90"/>
      <c r="AQ52" s="90"/>
      <c r="AR52" s="90"/>
      <c r="AS52" s="90"/>
    </row>
    <row r="53" spans="1:45" ht="16.5" customHeight="1">
      <c r="A53" s="85">
        <v>48</v>
      </c>
      <c r="B53" s="85" t="s">
        <v>91</v>
      </c>
      <c r="C53" s="85" t="s">
        <v>245</v>
      </c>
      <c r="D53" s="85" t="s">
        <v>251</v>
      </c>
      <c r="E53" s="85">
        <v>1</v>
      </c>
      <c r="F53" s="86">
        <v>42988</v>
      </c>
      <c r="G53" s="87" t="s">
        <v>252</v>
      </c>
      <c r="H53" s="87" t="s">
        <v>253</v>
      </c>
      <c r="I53" s="88">
        <v>45157</v>
      </c>
      <c r="J53" s="85" t="s">
        <v>156</v>
      </c>
      <c r="K53" s="85" t="s">
        <v>162</v>
      </c>
      <c r="L53" s="85"/>
      <c r="M53" s="85" t="s">
        <v>42</v>
      </c>
      <c r="N53" s="91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  <c r="AR53" s="90"/>
      <c r="AS53" s="90"/>
    </row>
    <row r="54" spans="1:45" ht="16.5" customHeight="1">
      <c r="A54" s="85">
        <v>49</v>
      </c>
      <c r="B54" s="85" t="s">
        <v>50</v>
      </c>
      <c r="C54" s="85" t="s">
        <v>245</v>
      </c>
      <c r="D54" s="85" t="s">
        <v>254</v>
      </c>
      <c r="E54" s="85">
        <v>4</v>
      </c>
      <c r="F54" s="86">
        <v>41613</v>
      </c>
      <c r="G54" s="87" t="s">
        <v>247</v>
      </c>
      <c r="H54" s="87" t="s">
        <v>248</v>
      </c>
      <c r="I54" s="88">
        <v>45139</v>
      </c>
      <c r="J54" s="85" t="s">
        <v>255</v>
      </c>
      <c r="K54" s="85" t="s">
        <v>256</v>
      </c>
      <c r="L54" s="85"/>
      <c r="M54" s="85" t="s">
        <v>42</v>
      </c>
      <c r="N54" s="91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0"/>
      <c r="AM54" s="90"/>
      <c r="AN54" s="90"/>
      <c r="AO54" s="90"/>
      <c r="AP54" s="90"/>
      <c r="AQ54" s="90"/>
      <c r="AR54" s="90"/>
      <c r="AS54" s="90"/>
    </row>
    <row r="55" spans="1:45" ht="16.5" customHeight="1">
      <c r="A55" s="85">
        <v>50</v>
      </c>
      <c r="B55" s="85" t="s">
        <v>91</v>
      </c>
      <c r="C55" s="85" t="s">
        <v>245</v>
      </c>
      <c r="D55" s="85" t="s">
        <v>254</v>
      </c>
      <c r="E55" s="85">
        <v>3</v>
      </c>
      <c r="F55" s="86">
        <v>41613</v>
      </c>
      <c r="G55" s="87" t="s">
        <v>247</v>
      </c>
      <c r="H55" s="87" t="s">
        <v>248</v>
      </c>
      <c r="I55" s="88">
        <v>44942</v>
      </c>
      <c r="J55" s="85" t="s">
        <v>238</v>
      </c>
      <c r="K55" s="85" t="s">
        <v>135</v>
      </c>
      <c r="L55" s="85"/>
      <c r="M55" s="85" t="s">
        <v>42</v>
      </c>
      <c r="N55" s="91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  <c r="AK55" s="90"/>
      <c r="AL55" s="90"/>
      <c r="AM55" s="90"/>
      <c r="AN55" s="90"/>
      <c r="AO55" s="90"/>
      <c r="AP55" s="90"/>
      <c r="AQ55" s="90"/>
      <c r="AR55" s="90"/>
      <c r="AS55" s="90"/>
    </row>
    <row r="56" spans="1:45" ht="16.5" customHeight="1">
      <c r="A56" s="85">
        <v>51</v>
      </c>
      <c r="B56" s="92" t="s">
        <v>50</v>
      </c>
      <c r="C56" s="85" t="s">
        <v>257</v>
      </c>
      <c r="D56" s="85" t="s">
        <v>258</v>
      </c>
      <c r="E56" s="85">
        <v>5</v>
      </c>
      <c r="F56" s="86">
        <v>41340</v>
      </c>
      <c r="G56" s="87" t="s">
        <v>259</v>
      </c>
      <c r="H56" s="87" t="s">
        <v>260</v>
      </c>
      <c r="I56" s="88">
        <v>45261</v>
      </c>
      <c r="J56" s="85" t="s">
        <v>261</v>
      </c>
      <c r="K56" s="85" t="s">
        <v>132</v>
      </c>
      <c r="L56" s="85"/>
      <c r="M56" s="85" t="s">
        <v>42</v>
      </c>
      <c r="N56" s="92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  <c r="AM56" s="90"/>
      <c r="AN56" s="90"/>
      <c r="AO56" s="90"/>
      <c r="AP56" s="90"/>
      <c r="AQ56" s="90"/>
      <c r="AR56" s="90"/>
      <c r="AS56" s="90"/>
    </row>
    <row r="57" spans="1:45" ht="16.5" customHeight="1">
      <c r="A57" s="85">
        <v>52</v>
      </c>
      <c r="B57" s="85" t="s">
        <v>50</v>
      </c>
      <c r="C57" s="85" t="s">
        <v>262</v>
      </c>
      <c r="D57" s="85" t="s">
        <v>263</v>
      </c>
      <c r="E57" s="85">
        <v>2</v>
      </c>
      <c r="F57" s="86">
        <v>41773</v>
      </c>
      <c r="G57" s="87" t="s">
        <v>264</v>
      </c>
      <c r="H57" s="87" t="s">
        <v>265</v>
      </c>
      <c r="I57" s="88">
        <v>44767</v>
      </c>
      <c r="J57" s="85" t="s">
        <v>204</v>
      </c>
      <c r="K57" s="85" t="s">
        <v>266</v>
      </c>
      <c r="L57" s="85"/>
      <c r="M57" s="85" t="s">
        <v>42</v>
      </c>
      <c r="N57" s="91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0"/>
      <c r="AN57" s="90"/>
      <c r="AO57" s="90"/>
      <c r="AP57" s="90"/>
      <c r="AQ57" s="90"/>
      <c r="AR57" s="90"/>
      <c r="AS57" s="90"/>
    </row>
    <row r="58" spans="1:45" ht="16.5" customHeight="1">
      <c r="A58" s="85">
        <v>53</v>
      </c>
      <c r="B58" s="85" t="s">
        <v>91</v>
      </c>
      <c r="C58" s="85" t="s">
        <v>262</v>
      </c>
      <c r="D58" s="85" t="s">
        <v>263</v>
      </c>
      <c r="E58" s="85">
        <v>2</v>
      </c>
      <c r="F58" s="86">
        <v>41773</v>
      </c>
      <c r="G58" s="87" t="s">
        <v>264</v>
      </c>
      <c r="H58" s="87" t="s">
        <v>265</v>
      </c>
      <c r="I58" s="88">
        <v>44767</v>
      </c>
      <c r="J58" s="85" t="s">
        <v>221</v>
      </c>
      <c r="K58" s="85" t="s">
        <v>267</v>
      </c>
      <c r="L58" s="85"/>
      <c r="M58" s="85" t="s">
        <v>42</v>
      </c>
      <c r="N58" s="91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  <c r="AM58" s="90"/>
      <c r="AN58" s="90"/>
      <c r="AO58" s="90"/>
      <c r="AP58" s="90"/>
      <c r="AQ58" s="90"/>
      <c r="AR58" s="90"/>
      <c r="AS58" s="90"/>
    </row>
    <row r="59" spans="1:45" ht="16.5" customHeight="1">
      <c r="A59" s="85">
        <v>54</v>
      </c>
      <c r="B59" s="106" t="s">
        <v>50</v>
      </c>
      <c r="C59" s="106" t="s">
        <v>262</v>
      </c>
      <c r="D59" s="106" t="s">
        <v>268</v>
      </c>
      <c r="E59" s="106">
        <v>6</v>
      </c>
      <c r="F59" s="107">
        <v>40088</v>
      </c>
      <c r="G59" s="108" t="s">
        <v>269</v>
      </c>
      <c r="H59" s="109" t="s">
        <v>270</v>
      </c>
      <c r="I59" s="110">
        <v>44713</v>
      </c>
      <c r="J59" s="106" t="s">
        <v>271</v>
      </c>
      <c r="K59" s="106" t="s">
        <v>272</v>
      </c>
      <c r="L59" s="106" t="s">
        <v>273</v>
      </c>
      <c r="M59" s="106" t="s">
        <v>54</v>
      </c>
      <c r="N59" s="111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2"/>
      <c r="AN59" s="112"/>
      <c r="AO59" s="112"/>
      <c r="AP59" s="112"/>
      <c r="AQ59" s="112"/>
      <c r="AR59" s="112"/>
      <c r="AS59" s="112"/>
    </row>
    <row r="60" spans="1:45" ht="16.5" customHeight="1">
      <c r="A60" s="85">
        <v>55</v>
      </c>
      <c r="B60" s="106" t="s">
        <v>91</v>
      </c>
      <c r="C60" s="106" t="s">
        <v>262</v>
      </c>
      <c r="D60" s="106" t="s">
        <v>268</v>
      </c>
      <c r="E60" s="106">
        <v>6</v>
      </c>
      <c r="F60" s="107">
        <v>40088</v>
      </c>
      <c r="G60" s="108" t="s">
        <v>269</v>
      </c>
      <c r="H60" s="109" t="s">
        <v>270</v>
      </c>
      <c r="I60" s="110">
        <v>44713</v>
      </c>
      <c r="J60" s="106" t="s">
        <v>274</v>
      </c>
      <c r="K60" s="106" t="s">
        <v>272</v>
      </c>
      <c r="L60" s="106" t="s">
        <v>273</v>
      </c>
      <c r="M60" s="106" t="s">
        <v>54</v>
      </c>
      <c r="N60" s="111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  <c r="AA60" s="112"/>
      <c r="AB60" s="112"/>
      <c r="AC60" s="112"/>
      <c r="AD60" s="112"/>
      <c r="AE60" s="112"/>
      <c r="AF60" s="112"/>
      <c r="AG60" s="112"/>
      <c r="AH60" s="112"/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</row>
    <row r="61" spans="1:45" ht="16.5" customHeight="1">
      <c r="A61" s="85">
        <v>56</v>
      </c>
      <c r="B61" s="106" t="s">
        <v>50</v>
      </c>
      <c r="C61" s="106" t="s">
        <v>262</v>
      </c>
      <c r="D61" s="106" t="s">
        <v>275</v>
      </c>
      <c r="E61" s="106">
        <v>2</v>
      </c>
      <c r="F61" s="107">
        <v>41761</v>
      </c>
      <c r="G61" s="108" t="s">
        <v>269</v>
      </c>
      <c r="H61" s="109" t="s">
        <v>270</v>
      </c>
      <c r="I61" s="110">
        <v>44348</v>
      </c>
      <c r="J61" s="106" t="s">
        <v>255</v>
      </c>
      <c r="K61" s="106" t="s">
        <v>272</v>
      </c>
      <c r="L61" s="106" t="s">
        <v>273</v>
      </c>
      <c r="M61" s="106" t="s">
        <v>54</v>
      </c>
      <c r="N61" s="111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2"/>
      <c r="AF61" s="112"/>
      <c r="AG61" s="112"/>
      <c r="AH61" s="112"/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</row>
    <row r="62" spans="1:45" ht="16.5" customHeight="1">
      <c r="A62" s="85">
        <v>57</v>
      </c>
      <c r="B62" s="106" t="s">
        <v>91</v>
      </c>
      <c r="C62" s="106" t="s">
        <v>262</v>
      </c>
      <c r="D62" s="106" t="s">
        <v>275</v>
      </c>
      <c r="E62" s="106">
        <v>2</v>
      </c>
      <c r="F62" s="107">
        <v>41761</v>
      </c>
      <c r="G62" s="108" t="s">
        <v>269</v>
      </c>
      <c r="H62" s="109" t="s">
        <v>270</v>
      </c>
      <c r="I62" s="110">
        <v>44348</v>
      </c>
      <c r="J62" s="106" t="s">
        <v>221</v>
      </c>
      <c r="K62" s="106" t="s">
        <v>276</v>
      </c>
      <c r="L62" s="106" t="s">
        <v>273</v>
      </c>
      <c r="M62" s="106" t="s">
        <v>54</v>
      </c>
      <c r="N62" s="111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</row>
    <row r="63" spans="1:45" ht="16.5" customHeight="1">
      <c r="A63" s="85">
        <v>58</v>
      </c>
      <c r="B63" s="113" t="s">
        <v>50</v>
      </c>
      <c r="C63" s="113" t="s">
        <v>277</v>
      </c>
      <c r="D63" s="113" t="s">
        <v>278</v>
      </c>
      <c r="E63" s="113">
        <v>2</v>
      </c>
      <c r="F63" s="114">
        <v>42157</v>
      </c>
      <c r="G63" s="115" t="s">
        <v>279</v>
      </c>
      <c r="H63" s="115" t="s">
        <v>280</v>
      </c>
      <c r="I63" s="116">
        <v>45108</v>
      </c>
      <c r="J63" s="113" t="s">
        <v>140</v>
      </c>
      <c r="K63" s="113" t="s">
        <v>122</v>
      </c>
      <c r="L63" s="113" t="s">
        <v>281</v>
      </c>
      <c r="M63" s="113" t="s">
        <v>36</v>
      </c>
      <c r="N63" s="117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18"/>
      <c r="AI63" s="118"/>
      <c r="AJ63" s="118"/>
      <c r="AK63" s="118"/>
      <c r="AL63" s="118"/>
      <c r="AM63" s="118"/>
      <c r="AN63" s="118"/>
      <c r="AO63" s="118"/>
      <c r="AP63" s="118"/>
      <c r="AQ63" s="118"/>
      <c r="AR63" s="118"/>
      <c r="AS63" s="118"/>
    </row>
    <row r="64" spans="1:45" ht="16.5" customHeight="1">
      <c r="A64" s="85">
        <v>59</v>
      </c>
      <c r="B64" s="113" t="s">
        <v>91</v>
      </c>
      <c r="C64" s="113" t="s">
        <v>277</v>
      </c>
      <c r="D64" s="113" t="s">
        <v>278</v>
      </c>
      <c r="E64" s="113">
        <v>2</v>
      </c>
      <c r="F64" s="114">
        <v>42157</v>
      </c>
      <c r="G64" s="115" t="s">
        <v>279</v>
      </c>
      <c r="H64" s="115" t="s">
        <v>280</v>
      </c>
      <c r="I64" s="116">
        <v>45108</v>
      </c>
      <c r="J64" s="113" t="s">
        <v>141</v>
      </c>
      <c r="K64" s="113" t="s">
        <v>256</v>
      </c>
      <c r="L64" s="113" t="s">
        <v>281</v>
      </c>
      <c r="M64" s="113" t="s">
        <v>36</v>
      </c>
      <c r="N64" s="117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18"/>
      <c r="AI64" s="118"/>
      <c r="AJ64" s="118"/>
      <c r="AK64" s="118"/>
      <c r="AL64" s="118"/>
      <c r="AM64" s="118"/>
      <c r="AN64" s="118"/>
      <c r="AO64" s="118"/>
      <c r="AP64" s="118"/>
      <c r="AQ64" s="118"/>
      <c r="AR64" s="118"/>
      <c r="AS64" s="118"/>
    </row>
    <row r="65" spans="1:45" ht="16.5" customHeight="1">
      <c r="A65" s="85">
        <v>60</v>
      </c>
      <c r="B65" s="85" t="s">
        <v>50</v>
      </c>
      <c r="C65" s="85" t="s">
        <v>282</v>
      </c>
      <c r="D65" s="85" t="s">
        <v>278</v>
      </c>
      <c r="E65" s="85" t="s">
        <v>145</v>
      </c>
      <c r="F65" s="86">
        <v>42525</v>
      </c>
      <c r="G65" s="87" t="s">
        <v>283</v>
      </c>
      <c r="H65" s="119" t="s">
        <v>284</v>
      </c>
      <c r="I65" s="88">
        <v>44424</v>
      </c>
      <c r="J65" s="85" t="s">
        <v>165</v>
      </c>
      <c r="K65" s="85" t="s">
        <v>135</v>
      </c>
      <c r="L65" s="85"/>
      <c r="M65" s="85" t="s">
        <v>42</v>
      </c>
      <c r="N65" s="91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0"/>
      <c r="AO65" s="90"/>
      <c r="AP65" s="90"/>
      <c r="AQ65" s="90"/>
      <c r="AR65" s="90"/>
      <c r="AS65" s="90"/>
    </row>
    <row r="66" spans="1:45" ht="16.5" customHeight="1">
      <c r="A66" s="85">
        <v>61</v>
      </c>
      <c r="B66" s="85" t="s">
        <v>91</v>
      </c>
      <c r="C66" s="85" t="s">
        <v>282</v>
      </c>
      <c r="D66" s="85" t="s">
        <v>278</v>
      </c>
      <c r="E66" s="85" t="s">
        <v>145</v>
      </c>
      <c r="F66" s="86">
        <v>42525</v>
      </c>
      <c r="G66" s="87" t="s">
        <v>283</v>
      </c>
      <c r="H66" s="87" t="s">
        <v>284</v>
      </c>
      <c r="I66" s="88">
        <v>44424</v>
      </c>
      <c r="J66" s="85" t="s">
        <v>172</v>
      </c>
      <c r="K66" s="85" t="s">
        <v>285</v>
      </c>
      <c r="L66" s="85"/>
      <c r="M66" s="85" t="s">
        <v>42</v>
      </c>
      <c r="N66" s="91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90"/>
      <c r="AP66" s="90"/>
      <c r="AQ66" s="90"/>
      <c r="AR66" s="90"/>
      <c r="AS66" s="90"/>
    </row>
    <row r="67" spans="1:45" ht="16.5" customHeight="1">
      <c r="A67" s="85">
        <v>62</v>
      </c>
      <c r="B67" s="85" t="s">
        <v>50</v>
      </c>
      <c r="C67" s="85" t="s">
        <v>286</v>
      </c>
      <c r="D67" s="85" t="s">
        <v>287</v>
      </c>
      <c r="E67" s="85">
        <v>5</v>
      </c>
      <c r="F67" s="86">
        <v>41060</v>
      </c>
      <c r="G67" s="87" t="s">
        <v>288</v>
      </c>
      <c r="H67" s="87" t="s">
        <v>289</v>
      </c>
      <c r="I67" s="88">
        <v>45139</v>
      </c>
      <c r="J67" s="85" t="s">
        <v>290</v>
      </c>
      <c r="K67" s="85" t="s">
        <v>157</v>
      </c>
      <c r="L67" s="85"/>
      <c r="M67" s="85" t="s">
        <v>42</v>
      </c>
      <c r="N67" s="91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0"/>
      <c r="AK67" s="90"/>
      <c r="AL67" s="90"/>
      <c r="AM67" s="90"/>
      <c r="AN67" s="90"/>
      <c r="AO67" s="90"/>
      <c r="AP67" s="90"/>
      <c r="AQ67" s="90"/>
      <c r="AR67" s="90"/>
      <c r="AS67" s="90"/>
    </row>
    <row r="68" spans="1:45" ht="16.5" customHeight="1">
      <c r="A68" s="85">
        <v>63</v>
      </c>
      <c r="B68" s="85" t="s">
        <v>50</v>
      </c>
      <c r="C68" s="85" t="s">
        <v>286</v>
      </c>
      <c r="D68" s="85" t="s">
        <v>278</v>
      </c>
      <c r="E68" s="85">
        <v>2</v>
      </c>
      <c r="F68" s="86">
        <v>42102</v>
      </c>
      <c r="G68" s="87" t="s">
        <v>288</v>
      </c>
      <c r="H68" s="87" t="s">
        <v>289</v>
      </c>
      <c r="I68" s="88">
        <v>45139</v>
      </c>
      <c r="J68" s="85" t="s">
        <v>165</v>
      </c>
      <c r="K68" s="85" t="s">
        <v>291</v>
      </c>
      <c r="L68" s="85"/>
      <c r="M68" s="85" t="s">
        <v>42</v>
      </c>
      <c r="N68" s="91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0"/>
      <c r="AO68" s="90"/>
      <c r="AP68" s="90"/>
      <c r="AQ68" s="90"/>
      <c r="AR68" s="90"/>
      <c r="AS68" s="90"/>
    </row>
    <row r="69" spans="1:45" ht="16.5" customHeight="1">
      <c r="A69" s="85">
        <v>64</v>
      </c>
      <c r="B69" s="85" t="s">
        <v>50</v>
      </c>
      <c r="C69" s="85" t="s">
        <v>292</v>
      </c>
      <c r="D69" s="85" t="s">
        <v>278</v>
      </c>
      <c r="E69" s="85">
        <v>4</v>
      </c>
      <c r="F69" s="86">
        <v>41082</v>
      </c>
      <c r="G69" s="87" t="s">
        <v>293</v>
      </c>
      <c r="H69" s="87" t="s">
        <v>294</v>
      </c>
      <c r="I69" s="88">
        <v>44621</v>
      </c>
      <c r="J69" s="85" t="s">
        <v>243</v>
      </c>
      <c r="K69" s="85" t="s">
        <v>135</v>
      </c>
      <c r="L69" s="85"/>
      <c r="M69" s="85" t="s">
        <v>42</v>
      </c>
      <c r="N69" s="91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90"/>
      <c r="AG69" s="90"/>
      <c r="AH69" s="90"/>
      <c r="AI69" s="90"/>
      <c r="AJ69" s="90"/>
      <c r="AK69" s="90"/>
      <c r="AL69" s="90"/>
      <c r="AM69" s="90"/>
      <c r="AN69" s="90"/>
      <c r="AO69" s="90"/>
      <c r="AP69" s="90"/>
      <c r="AQ69" s="90"/>
      <c r="AR69" s="90"/>
      <c r="AS69" s="90"/>
    </row>
    <row r="70" spans="1:45" ht="16.5" customHeight="1">
      <c r="A70" s="85">
        <v>65</v>
      </c>
      <c r="B70" s="85" t="s">
        <v>91</v>
      </c>
      <c r="C70" s="85" t="s">
        <v>292</v>
      </c>
      <c r="D70" s="85" t="s">
        <v>278</v>
      </c>
      <c r="E70" s="85">
        <v>4</v>
      </c>
      <c r="F70" s="86">
        <v>41082</v>
      </c>
      <c r="G70" s="87" t="s">
        <v>293</v>
      </c>
      <c r="H70" s="87" t="s">
        <v>294</v>
      </c>
      <c r="I70" s="88">
        <v>44621</v>
      </c>
      <c r="J70" s="85" t="s">
        <v>172</v>
      </c>
      <c r="K70" s="85" t="s">
        <v>151</v>
      </c>
      <c r="L70" s="85"/>
      <c r="M70" s="85" t="s">
        <v>42</v>
      </c>
      <c r="N70" s="91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/>
      <c r="AM70" s="90"/>
      <c r="AN70" s="90"/>
      <c r="AO70" s="90"/>
      <c r="AP70" s="90"/>
      <c r="AQ70" s="90"/>
      <c r="AR70" s="90"/>
      <c r="AS70" s="90"/>
    </row>
    <row r="71" spans="1:45" ht="16.5" customHeight="1">
      <c r="A71" s="85">
        <v>66</v>
      </c>
      <c r="B71" s="85" t="s">
        <v>50</v>
      </c>
      <c r="C71" s="85" t="s">
        <v>292</v>
      </c>
      <c r="D71" s="85" t="s">
        <v>295</v>
      </c>
      <c r="E71" s="85">
        <v>6</v>
      </c>
      <c r="F71" s="86">
        <v>40387</v>
      </c>
      <c r="G71" s="87" t="s">
        <v>293</v>
      </c>
      <c r="H71" s="87" t="s">
        <v>294</v>
      </c>
      <c r="I71" s="88">
        <v>44621</v>
      </c>
      <c r="J71" s="85" t="s">
        <v>296</v>
      </c>
      <c r="K71" s="85" t="s">
        <v>205</v>
      </c>
      <c r="L71" s="85"/>
      <c r="M71" s="85" t="s">
        <v>42</v>
      </c>
      <c r="N71" s="91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0"/>
      <c r="AK71" s="90"/>
      <c r="AL71" s="90"/>
      <c r="AM71" s="90"/>
      <c r="AN71" s="90"/>
      <c r="AO71" s="90"/>
      <c r="AP71" s="90"/>
      <c r="AQ71" s="90"/>
      <c r="AR71" s="90"/>
      <c r="AS71" s="90"/>
    </row>
    <row r="72" spans="1:45" ht="16.5" customHeight="1">
      <c r="A72" s="85">
        <v>67</v>
      </c>
      <c r="B72" s="85" t="s">
        <v>91</v>
      </c>
      <c r="C72" s="85" t="s">
        <v>292</v>
      </c>
      <c r="D72" s="85" t="s">
        <v>295</v>
      </c>
      <c r="E72" s="85">
        <v>6</v>
      </c>
      <c r="F72" s="86">
        <v>40387</v>
      </c>
      <c r="G72" s="87" t="s">
        <v>293</v>
      </c>
      <c r="H72" s="87" t="s">
        <v>294</v>
      </c>
      <c r="I72" s="88">
        <v>44621</v>
      </c>
      <c r="J72" s="85" t="s">
        <v>297</v>
      </c>
      <c r="K72" s="85" t="s">
        <v>135</v>
      </c>
      <c r="L72" s="85"/>
      <c r="M72" s="85" t="s">
        <v>42</v>
      </c>
      <c r="N72" s="91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0"/>
      <c r="AQ72" s="90"/>
      <c r="AR72" s="90"/>
      <c r="AS72" s="90"/>
    </row>
    <row r="73" spans="1:45" ht="16.5" customHeight="1">
      <c r="A73" s="85">
        <v>68</v>
      </c>
      <c r="B73" s="85" t="s">
        <v>50</v>
      </c>
      <c r="C73" s="85" t="s">
        <v>298</v>
      </c>
      <c r="D73" s="85" t="s">
        <v>299</v>
      </c>
      <c r="E73" s="85">
        <v>3</v>
      </c>
      <c r="F73" s="86">
        <v>41328</v>
      </c>
      <c r="G73" s="87" t="s">
        <v>300</v>
      </c>
      <c r="H73" s="87" t="s">
        <v>301</v>
      </c>
      <c r="I73" s="88">
        <v>45293</v>
      </c>
      <c r="J73" s="85" t="s">
        <v>290</v>
      </c>
      <c r="K73" s="85" t="s">
        <v>302</v>
      </c>
      <c r="L73" s="85"/>
      <c r="M73" s="85" t="s">
        <v>42</v>
      </c>
      <c r="N73" s="91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  <c r="AM73" s="90"/>
      <c r="AN73" s="90"/>
      <c r="AO73" s="90"/>
      <c r="AP73" s="90"/>
      <c r="AQ73" s="90"/>
      <c r="AR73" s="90"/>
      <c r="AS73" s="90"/>
    </row>
    <row r="74" spans="1:45" ht="16.5" customHeight="1">
      <c r="A74" s="85">
        <v>69</v>
      </c>
      <c r="B74" s="85" t="s">
        <v>91</v>
      </c>
      <c r="C74" s="85" t="s">
        <v>298</v>
      </c>
      <c r="D74" s="85" t="s">
        <v>299</v>
      </c>
      <c r="E74" s="85">
        <v>3</v>
      </c>
      <c r="F74" s="86">
        <v>41328</v>
      </c>
      <c r="G74" s="87" t="s">
        <v>300</v>
      </c>
      <c r="H74" s="87" t="s">
        <v>301</v>
      </c>
      <c r="I74" s="88">
        <v>45293</v>
      </c>
      <c r="J74" s="85" t="s">
        <v>303</v>
      </c>
      <c r="K74" s="85" t="s">
        <v>304</v>
      </c>
      <c r="L74" s="85"/>
      <c r="M74" s="85" t="s">
        <v>42</v>
      </c>
      <c r="N74" s="91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0"/>
      <c r="AO74" s="90"/>
      <c r="AP74" s="90"/>
      <c r="AQ74" s="90"/>
      <c r="AR74" s="90"/>
      <c r="AS74" s="90"/>
    </row>
    <row r="75" spans="1:45" ht="16.5" customHeight="1">
      <c r="A75" s="85">
        <v>70</v>
      </c>
      <c r="B75" s="85" t="s">
        <v>50</v>
      </c>
      <c r="C75" s="85" t="s">
        <v>298</v>
      </c>
      <c r="D75" s="85" t="s">
        <v>305</v>
      </c>
      <c r="E75" s="85" t="s">
        <v>178</v>
      </c>
      <c r="F75" s="86">
        <v>43277</v>
      </c>
      <c r="G75" s="87" t="s">
        <v>306</v>
      </c>
      <c r="H75" s="87" t="s">
        <v>307</v>
      </c>
      <c r="I75" s="88">
        <v>45170</v>
      </c>
      <c r="J75" s="85" t="s">
        <v>308</v>
      </c>
      <c r="K75" s="85" t="s">
        <v>135</v>
      </c>
      <c r="L75" s="85"/>
      <c r="M75" s="85" t="s">
        <v>42</v>
      </c>
      <c r="N75" s="91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0"/>
      <c r="AK75" s="90"/>
      <c r="AL75" s="90"/>
      <c r="AM75" s="90"/>
      <c r="AN75" s="90"/>
      <c r="AO75" s="90"/>
      <c r="AP75" s="90"/>
      <c r="AQ75" s="90"/>
      <c r="AR75" s="90"/>
      <c r="AS75" s="90"/>
    </row>
    <row r="76" spans="1:45" ht="16.5" customHeight="1">
      <c r="A76" s="85">
        <v>71</v>
      </c>
      <c r="B76" s="85" t="s">
        <v>91</v>
      </c>
      <c r="C76" s="85" t="s">
        <v>298</v>
      </c>
      <c r="D76" s="85" t="s">
        <v>305</v>
      </c>
      <c r="E76" s="85" t="s">
        <v>178</v>
      </c>
      <c r="F76" s="86">
        <v>43277</v>
      </c>
      <c r="G76" s="87" t="s">
        <v>306</v>
      </c>
      <c r="H76" s="87" t="s">
        <v>307</v>
      </c>
      <c r="I76" s="88">
        <v>45170</v>
      </c>
      <c r="J76" s="85" t="s">
        <v>194</v>
      </c>
      <c r="K76" s="85" t="s">
        <v>187</v>
      </c>
      <c r="L76" s="85"/>
      <c r="M76" s="85" t="s">
        <v>42</v>
      </c>
      <c r="N76" s="91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0"/>
      <c r="AQ76" s="90"/>
      <c r="AR76" s="90"/>
      <c r="AS76" s="90"/>
    </row>
    <row r="77" spans="1:45" ht="16.5" customHeight="1">
      <c r="A77" s="85">
        <v>72</v>
      </c>
      <c r="B77" s="85" t="s">
        <v>50</v>
      </c>
      <c r="C77" s="85" t="s">
        <v>298</v>
      </c>
      <c r="D77" s="85" t="s">
        <v>309</v>
      </c>
      <c r="E77" s="85">
        <v>3</v>
      </c>
      <c r="F77" s="86">
        <v>41516</v>
      </c>
      <c r="G77" s="87" t="s">
        <v>310</v>
      </c>
      <c r="H77" s="87" t="s">
        <v>311</v>
      </c>
      <c r="I77" s="88">
        <v>45293</v>
      </c>
      <c r="J77" s="85" t="s">
        <v>312</v>
      </c>
      <c r="K77" s="85" t="s">
        <v>266</v>
      </c>
      <c r="L77" s="85"/>
      <c r="M77" s="85" t="s">
        <v>42</v>
      </c>
      <c r="N77" s="91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  <c r="AM77" s="90"/>
      <c r="AN77" s="90"/>
      <c r="AO77" s="90"/>
      <c r="AP77" s="90"/>
      <c r="AQ77" s="90"/>
      <c r="AR77" s="90"/>
      <c r="AS77" s="90"/>
    </row>
    <row r="78" spans="1:45" ht="16.5" customHeight="1">
      <c r="A78" s="85">
        <v>73</v>
      </c>
      <c r="B78" s="85" t="s">
        <v>91</v>
      </c>
      <c r="C78" s="85" t="s">
        <v>298</v>
      </c>
      <c r="D78" s="85" t="s">
        <v>309</v>
      </c>
      <c r="E78" s="85">
        <v>3</v>
      </c>
      <c r="F78" s="86">
        <v>41516</v>
      </c>
      <c r="G78" s="87" t="s">
        <v>310</v>
      </c>
      <c r="H78" s="87" t="s">
        <v>311</v>
      </c>
      <c r="I78" s="88">
        <v>45293</v>
      </c>
      <c r="J78" s="85" t="s">
        <v>167</v>
      </c>
      <c r="K78" s="85" t="s">
        <v>205</v>
      </c>
      <c r="L78" s="85"/>
      <c r="M78" s="85" t="s">
        <v>42</v>
      </c>
      <c r="N78" s="91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0"/>
      <c r="AR78" s="90"/>
      <c r="AS78" s="90"/>
    </row>
    <row r="79" spans="1:45" ht="16.5" customHeight="1">
      <c r="A79" s="85">
        <v>74</v>
      </c>
      <c r="B79" s="85" t="s">
        <v>50</v>
      </c>
      <c r="C79" s="85" t="s">
        <v>313</v>
      </c>
      <c r="D79" s="85" t="s">
        <v>314</v>
      </c>
      <c r="E79" s="85">
        <v>6</v>
      </c>
      <c r="F79" s="86">
        <v>41041</v>
      </c>
      <c r="G79" s="87" t="s">
        <v>315</v>
      </c>
      <c r="H79" s="87" t="s">
        <v>316</v>
      </c>
      <c r="I79" s="88">
        <v>45170</v>
      </c>
      <c r="J79" s="85" t="s">
        <v>317</v>
      </c>
      <c r="K79" s="85" t="s">
        <v>126</v>
      </c>
      <c r="L79" s="85"/>
      <c r="M79" s="85" t="s">
        <v>42</v>
      </c>
      <c r="N79" s="91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</row>
    <row r="80" spans="1:45" ht="16.5" customHeight="1">
      <c r="A80" s="85">
        <v>75</v>
      </c>
      <c r="B80" s="85" t="s">
        <v>91</v>
      </c>
      <c r="C80" s="85" t="s">
        <v>313</v>
      </c>
      <c r="D80" s="85" t="s">
        <v>314</v>
      </c>
      <c r="E80" s="85">
        <v>6</v>
      </c>
      <c r="F80" s="86">
        <v>41041</v>
      </c>
      <c r="G80" s="87" t="s">
        <v>315</v>
      </c>
      <c r="H80" s="87" t="s">
        <v>316</v>
      </c>
      <c r="I80" s="88">
        <v>45170</v>
      </c>
      <c r="J80" s="85" t="s">
        <v>303</v>
      </c>
      <c r="K80" s="85" t="s">
        <v>199</v>
      </c>
      <c r="L80" s="85"/>
      <c r="M80" s="85" t="s">
        <v>42</v>
      </c>
      <c r="N80" s="91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0"/>
      <c r="AO80" s="90"/>
      <c r="AP80" s="90"/>
      <c r="AQ80" s="90"/>
      <c r="AR80" s="90"/>
      <c r="AS80" s="90"/>
    </row>
    <row r="81" spans="1:45" ht="16.5" customHeight="1">
      <c r="A81" s="85">
        <v>76</v>
      </c>
      <c r="B81" s="85" t="s">
        <v>50</v>
      </c>
      <c r="C81" s="85" t="s">
        <v>313</v>
      </c>
      <c r="D81" s="85" t="s">
        <v>318</v>
      </c>
      <c r="E81" s="85">
        <v>1</v>
      </c>
      <c r="F81" s="86">
        <v>42838</v>
      </c>
      <c r="G81" s="87" t="s">
        <v>319</v>
      </c>
      <c r="H81" s="87" t="s">
        <v>320</v>
      </c>
      <c r="I81" s="88">
        <v>45084</v>
      </c>
      <c r="J81" s="85" t="s">
        <v>118</v>
      </c>
      <c r="K81" s="85" t="s">
        <v>157</v>
      </c>
      <c r="L81" s="85"/>
      <c r="M81" s="85" t="s">
        <v>42</v>
      </c>
      <c r="N81" s="91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0"/>
      <c r="AN81" s="90"/>
      <c r="AO81" s="90"/>
      <c r="AP81" s="90"/>
      <c r="AQ81" s="90"/>
      <c r="AR81" s="90"/>
      <c r="AS81" s="90"/>
    </row>
    <row r="82" spans="1:45" ht="16.5" customHeight="1">
      <c r="A82" s="85">
        <v>77</v>
      </c>
      <c r="B82" s="85" t="s">
        <v>91</v>
      </c>
      <c r="C82" s="85" t="s">
        <v>313</v>
      </c>
      <c r="D82" s="85" t="s">
        <v>318</v>
      </c>
      <c r="E82" s="85">
        <v>1</v>
      </c>
      <c r="F82" s="86">
        <v>42838</v>
      </c>
      <c r="G82" s="87" t="s">
        <v>319</v>
      </c>
      <c r="H82" s="87" t="s">
        <v>320</v>
      </c>
      <c r="I82" s="88">
        <v>45084</v>
      </c>
      <c r="J82" s="85" t="s">
        <v>156</v>
      </c>
      <c r="K82" s="85" t="s">
        <v>187</v>
      </c>
      <c r="L82" s="85"/>
      <c r="M82" s="85" t="s">
        <v>42</v>
      </c>
      <c r="N82" s="91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</row>
    <row r="83" spans="1:45" ht="16.5" customHeight="1">
      <c r="A83" s="85">
        <v>78</v>
      </c>
      <c r="B83" s="85" t="s">
        <v>50</v>
      </c>
      <c r="C83" s="85" t="s">
        <v>313</v>
      </c>
      <c r="D83" s="85" t="s">
        <v>321</v>
      </c>
      <c r="E83" s="85">
        <v>7</v>
      </c>
      <c r="F83" s="86">
        <v>40874</v>
      </c>
      <c r="G83" s="87" t="s">
        <v>322</v>
      </c>
      <c r="H83" s="87" t="s">
        <v>323</v>
      </c>
      <c r="I83" s="88">
        <v>44958</v>
      </c>
      <c r="J83" s="85" t="s">
        <v>249</v>
      </c>
      <c r="K83" s="85" t="s">
        <v>111</v>
      </c>
      <c r="L83" s="85"/>
      <c r="M83" s="85" t="s">
        <v>42</v>
      </c>
      <c r="N83" s="91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</row>
    <row r="84" spans="1:45" ht="16.5" customHeight="1">
      <c r="A84" s="85">
        <v>79</v>
      </c>
      <c r="B84" s="85" t="s">
        <v>91</v>
      </c>
      <c r="C84" s="85" t="s">
        <v>313</v>
      </c>
      <c r="D84" s="85" t="s">
        <v>321</v>
      </c>
      <c r="E84" s="85">
        <v>7</v>
      </c>
      <c r="F84" s="86">
        <v>40874</v>
      </c>
      <c r="G84" s="87" t="s">
        <v>322</v>
      </c>
      <c r="H84" s="87" t="s">
        <v>323</v>
      </c>
      <c r="I84" s="88">
        <v>44958</v>
      </c>
      <c r="J84" s="85" t="s">
        <v>244</v>
      </c>
      <c r="K84" s="85" t="s">
        <v>122</v>
      </c>
      <c r="L84" s="85"/>
      <c r="M84" s="85" t="s">
        <v>42</v>
      </c>
      <c r="N84" s="91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  <c r="AR84" s="90"/>
      <c r="AS84" s="90"/>
    </row>
    <row r="85" spans="1:45" ht="16.5" customHeight="1">
      <c r="A85" s="85">
        <v>80</v>
      </c>
      <c r="B85" s="91" t="s">
        <v>50</v>
      </c>
      <c r="C85" s="91" t="s">
        <v>324</v>
      </c>
      <c r="D85" s="91" t="s">
        <v>325</v>
      </c>
      <c r="E85" s="91" t="s">
        <v>190</v>
      </c>
      <c r="F85" s="97">
        <v>42270</v>
      </c>
      <c r="G85" s="96" t="s">
        <v>326</v>
      </c>
      <c r="H85" s="96" t="s">
        <v>327</v>
      </c>
      <c r="I85" s="88">
        <v>45323</v>
      </c>
      <c r="J85" s="85" t="s">
        <v>148</v>
      </c>
      <c r="K85" s="85" t="s">
        <v>291</v>
      </c>
      <c r="L85" s="85"/>
      <c r="M85" s="85" t="s">
        <v>42</v>
      </c>
      <c r="N85" s="91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  <c r="AE85" s="90"/>
      <c r="AF85" s="90"/>
      <c r="AG85" s="90"/>
      <c r="AH85" s="90"/>
      <c r="AI85" s="90"/>
      <c r="AJ85" s="90"/>
      <c r="AK85" s="90"/>
      <c r="AL85" s="90"/>
      <c r="AM85" s="90"/>
      <c r="AN85" s="90"/>
      <c r="AO85" s="90"/>
      <c r="AP85" s="90"/>
      <c r="AQ85" s="90"/>
      <c r="AR85" s="90"/>
      <c r="AS85" s="90"/>
    </row>
    <row r="86" spans="1:45" ht="16.5" customHeight="1">
      <c r="A86" s="85">
        <v>81</v>
      </c>
      <c r="B86" s="91" t="s">
        <v>91</v>
      </c>
      <c r="C86" s="91" t="s">
        <v>324</v>
      </c>
      <c r="D86" s="91" t="s">
        <v>325</v>
      </c>
      <c r="E86" s="91" t="s">
        <v>190</v>
      </c>
      <c r="F86" s="97">
        <v>42270</v>
      </c>
      <c r="G86" s="96" t="s">
        <v>326</v>
      </c>
      <c r="H86" s="96" t="s">
        <v>327</v>
      </c>
      <c r="I86" s="88">
        <v>45323</v>
      </c>
      <c r="J86" s="85" t="s">
        <v>238</v>
      </c>
      <c r="K86" s="85" t="s">
        <v>212</v>
      </c>
      <c r="L86" s="85"/>
      <c r="M86" s="85" t="s">
        <v>42</v>
      </c>
      <c r="N86" s="91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0"/>
      <c r="AO86" s="90"/>
      <c r="AP86" s="90"/>
      <c r="AQ86" s="90"/>
      <c r="AR86" s="90"/>
      <c r="AS86" s="90"/>
    </row>
    <row r="87" spans="1:45" ht="16.5" customHeight="1">
      <c r="A87" s="85">
        <v>82</v>
      </c>
      <c r="B87" s="85" t="s">
        <v>50</v>
      </c>
      <c r="C87" s="85" t="s">
        <v>328</v>
      </c>
      <c r="D87" s="85" t="s">
        <v>329</v>
      </c>
      <c r="E87" s="85">
        <v>3</v>
      </c>
      <c r="F87" s="86">
        <v>41701</v>
      </c>
      <c r="G87" s="87" t="s">
        <v>330</v>
      </c>
      <c r="H87" s="119" t="s">
        <v>331</v>
      </c>
      <c r="I87" s="88">
        <v>44958</v>
      </c>
      <c r="J87" s="85" t="s">
        <v>255</v>
      </c>
      <c r="K87" s="85" t="s">
        <v>132</v>
      </c>
      <c r="L87" s="85"/>
      <c r="M87" s="85" t="s">
        <v>42</v>
      </c>
      <c r="N87" s="91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0"/>
      <c r="AM87" s="90"/>
      <c r="AN87" s="90"/>
      <c r="AO87" s="90"/>
      <c r="AP87" s="90"/>
      <c r="AQ87" s="90"/>
      <c r="AR87" s="90"/>
      <c r="AS87" s="90"/>
    </row>
    <row r="88" spans="1:45" ht="16.5" customHeight="1">
      <c r="A88" s="85">
        <v>83</v>
      </c>
      <c r="B88" s="85" t="s">
        <v>91</v>
      </c>
      <c r="C88" s="85" t="s">
        <v>328</v>
      </c>
      <c r="D88" s="85" t="s">
        <v>329</v>
      </c>
      <c r="E88" s="85">
        <v>3</v>
      </c>
      <c r="F88" s="86">
        <v>41701</v>
      </c>
      <c r="G88" s="87" t="s">
        <v>330</v>
      </c>
      <c r="H88" s="119" t="s">
        <v>331</v>
      </c>
      <c r="I88" s="88">
        <v>44958</v>
      </c>
      <c r="J88" s="85" t="s">
        <v>221</v>
      </c>
      <c r="K88" s="85" t="s">
        <v>163</v>
      </c>
      <c r="L88" s="85"/>
      <c r="M88" s="85" t="s">
        <v>42</v>
      </c>
      <c r="N88" s="91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0"/>
      <c r="AO88" s="90"/>
      <c r="AP88" s="90"/>
      <c r="AQ88" s="90"/>
      <c r="AR88" s="90"/>
      <c r="AS88" s="90"/>
    </row>
    <row r="89" spans="1:45" ht="16.5" customHeight="1">
      <c r="A89" s="85">
        <v>84</v>
      </c>
      <c r="B89" s="113" t="s">
        <v>50</v>
      </c>
      <c r="C89" s="113" t="s">
        <v>328</v>
      </c>
      <c r="D89" s="113" t="s">
        <v>332</v>
      </c>
      <c r="E89" s="113">
        <v>4</v>
      </c>
      <c r="F89" s="114">
        <v>41470</v>
      </c>
      <c r="G89" s="115" t="s">
        <v>333</v>
      </c>
      <c r="H89" s="115" t="s">
        <v>334</v>
      </c>
      <c r="I89" s="116">
        <v>44959</v>
      </c>
      <c r="J89" s="113" t="s">
        <v>148</v>
      </c>
      <c r="K89" s="113" t="s">
        <v>126</v>
      </c>
      <c r="L89" s="113" t="s">
        <v>335</v>
      </c>
      <c r="M89" s="113" t="s">
        <v>36</v>
      </c>
      <c r="N89" s="117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  <c r="AH89" s="118"/>
      <c r="AI89" s="118"/>
      <c r="AJ89" s="118"/>
      <c r="AK89" s="118"/>
      <c r="AL89" s="118"/>
      <c r="AM89" s="118"/>
      <c r="AN89" s="118"/>
      <c r="AO89" s="118"/>
      <c r="AP89" s="118"/>
      <c r="AQ89" s="118"/>
      <c r="AR89" s="118"/>
      <c r="AS89" s="118"/>
    </row>
    <row r="90" spans="1:45" ht="16.5" customHeight="1">
      <c r="A90" s="85">
        <v>85</v>
      </c>
      <c r="B90" s="113" t="s">
        <v>91</v>
      </c>
      <c r="C90" s="113" t="s">
        <v>328</v>
      </c>
      <c r="D90" s="113" t="s">
        <v>332</v>
      </c>
      <c r="E90" s="113">
        <v>4</v>
      </c>
      <c r="F90" s="114">
        <v>41470</v>
      </c>
      <c r="G90" s="115" t="s">
        <v>333</v>
      </c>
      <c r="H90" s="115" t="s">
        <v>334</v>
      </c>
      <c r="I90" s="116">
        <v>44959</v>
      </c>
      <c r="J90" s="113" t="s">
        <v>238</v>
      </c>
      <c r="K90" s="113" t="s">
        <v>291</v>
      </c>
      <c r="L90" s="113" t="s">
        <v>335</v>
      </c>
      <c r="M90" s="113" t="s">
        <v>36</v>
      </c>
      <c r="N90" s="117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  <c r="AH90" s="118"/>
      <c r="AI90" s="118"/>
      <c r="AJ90" s="118"/>
      <c r="AK90" s="118"/>
      <c r="AL90" s="118"/>
      <c r="AM90" s="118"/>
      <c r="AN90" s="118"/>
      <c r="AO90" s="118"/>
      <c r="AP90" s="118"/>
      <c r="AQ90" s="118"/>
      <c r="AR90" s="118"/>
      <c r="AS90" s="118"/>
    </row>
    <row r="91" spans="1:45" ht="16.5" customHeight="1">
      <c r="A91" s="85">
        <v>86</v>
      </c>
      <c r="B91" s="85" t="s">
        <v>50</v>
      </c>
      <c r="C91" s="85" t="s">
        <v>336</v>
      </c>
      <c r="D91" s="85" t="s">
        <v>337</v>
      </c>
      <c r="E91" s="85">
        <v>1</v>
      </c>
      <c r="F91" s="86">
        <v>41819</v>
      </c>
      <c r="G91" s="87" t="s">
        <v>338</v>
      </c>
      <c r="H91" s="87" t="s">
        <v>339</v>
      </c>
      <c r="I91" s="88">
        <v>45231</v>
      </c>
      <c r="J91" s="85" t="s">
        <v>231</v>
      </c>
      <c r="K91" s="85" t="s">
        <v>157</v>
      </c>
      <c r="L91" s="85"/>
      <c r="M91" s="85" t="s">
        <v>42</v>
      </c>
      <c r="N91" s="91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  <c r="AM91" s="90"/>
      <c r="AN91" s="90"/>
      <c r="AO91" s="90"/>
      <c r="AP91" s="90"/>
      <c r="AQ91" s="90"/>
      <c r="AR91" s="90"/>
      <c r="AS91" s="90"/>
    </row>
    <row r="92" spans="1:45" ht="16.5" customHeight="1">
      <c r="A92" s="85">
        <v>87</v>
      </c>
      <c r="B92" s="85" t="s">
        <v>91</v>
      </c>
      <c r="C92" s="85" t="s">
        <v>336</v>
      </c>
      <c r="D92" s="85" t="s">
        <v>337</v>
      </c>
      <c r="E92" s="85">
        <v>1</v>
      </c>
      <c r="F92" s="86">
        <v>41819</v>
      </c>
      <c r="G92" s="87" t="s">
        <v>338</v>
      </c>
      <c r="H92" s="87" t="s">
        <v>339</v>
      </c>
      <c r="I92" s="88">
        <v>45352</v>
      </c>
      <c r="J92" s="85" t="s">
        <v>112</v>
      </c>
      <c r="K92" s="85" t="s">
        <v>142</v>
      </c>
      <c r="L92" s="85"/>
      <c r="M92" s="85" t="s">
        <v>42</v>
      </c>
      <c r="N92" s="91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  <c r="AM92" s="90"/>
      <c r="AN92" s="90"/>
      <c r="AO92" s="90"/>
      <c r="AP92" s="90"/>
      <c r="AQ92" s="90"/>
      <c r="AR92" s="90"/>
      <c r="AS92" s="90"/>
    </row>
    <row r="93" spans="1:45" ht="16.5" customHeight="1">
      <c r="A93" s="85">
        <v>88</v>
      </c>
      <c r="B93" s="85" t="s">
        <v>91</v>
      </c>
      <c r="C93" s="85" t="s">
        <v>340</v>
      </c>
      <c r="D93" s="85" t="s">
        <v>341</v>
      </c>
      <c r="E93" s="85">
        <v>6</v>
      </c>
      <c r="F93" s="86">
        <v>41250</v>
      </c>
      <c r="G93" s="87" t="s">
        <v>342</v>
      </c>
      <c r="H93" s="87" t="s">
        <v>343</v>
      </c>
      <c r="I93" s="88">
        <v>44795</v>
      </c>
      <c r="J93" s="85" t="s">
        <v>250</v>
      </c>
      <c r="K93" s="85" t="s">
        <v>344</v>
      </c>
      <c r="L93" s="85"/>
      <c r="M93" s="85" t="s">
        <v>42</v>
      </c>
      <c r="N93" s="91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  <c r="AM93" s="90"/>
      <c r="AN93" s="90"/>
      <c r="AO93" s="90"/>
      <c r="AP93" s="90"/>
      <c r="AQ93" s="90"/>
      <c r="AR93" s="90"/>
      <c r="AS93" s="90"/>
    </row>
    <row r="94" spans="1:45" ht="16.5" customHeight="1">
      <c r="A94" s="85">
        <v>89</v>
      </c>
      <c r="B94" s="85" t="s">
        <v>50</v>
      </c>
      <c r="C94" s="85" t="s">
        <v>345</v>
      </c>
      <c r="D94" s="85" t="s">
        <v>346</v>
      </c>
      <c r="E94" s="85" t="s">
        <v>178</v>
      </c>
      <c r="F94" s="86">
        <v>43407</v>
      </c>
      <c r="G94" s="87" t="s">
        <v>347</v>
      </c>
      <c r="H94" s="87" t="s">
        <v>348</v>
      </c>
      <c r="I94" s="88">
        <v>45309</v>
      </c>
      <c r="J94" s="85" t="s">
        <v>349</v>
      </c>
      <c r="K94" s="85" t="s">
        <v>350</v>
      </c>
      <c r="L94" s="85"/>
      <c r="M94" s="85" t="s">
        <v>42</v>
      </c>
      <c r="N94" s="91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  <c r="AM94" s="90"/>
      <c r="AN94" s="90"/>
      <c r="AO94" s="90"/>
      <c r="AP94" s="90"/>
      <c r="AQ94" s="90"/>
      <c r="AR94" s="90"/>
      <c r="AS94" s="90"/>
    </row>
    <row r="95" spans="1:45" ht="16.5" customHeight="1">
      <c r="A95" s="85">
        <v>90</v>
      </c>
      <c r="B95" s="85" t="s">
        <v>91</v>
      </c>
      <c r="C95" s="85" t="s">
        <v>345</v>
      </c>
      <c r="D95" s="85" t="s">
        <v>346</v>
      </c>
      <c r="E95" s="85" t="s">
        <v>178</v>
      </c>
      <c r="F95" s="86">
        <v>43407</v>
      </c>
      <c r="G95" s="87" t="s">
        <v>347</v>
      </c>
      <c r="H95" s="87" t="s">
        <v>348</v>
      </c>
      <c r="I95" s="88">
        <v>45309</v>
      </c>
      <c r="J95" s="85" t="s">
        <v>351</v>
      </c>
      <c r="K95" s="85" t="s">
        <v>119</v>
      </c>
      <c r="L95" s="85"/>
      <c r="M95" s="85" t="s">
        <v>42</v>
      </c>
      <c r="N95" s="91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  <c r="AA95" s="90"/>
      <c r="AB95" s="90"/>
      <c r="AC95" s="90"/>
      <c r="AD95" s="90"/>
      <c r="AE95" s="90"/>
      <c r="AF95" s="90"/>
      <c r="AG95" s="90"/>
      <c r="AH95" s="90"/>
      <c r="AI95" s="90"/>
      <c r="AJ95" s="90"/>
      <c r="AK95" s="90"/>
      <c r="AL95" s="90"/>
      <c r="AM95" s="90"/>
      <c r="AN95" s="90"/>
      <c r="AO95" s="90"/>
      <c r="AP95" s="90"/>
      <c r="AQ95" s="90"/>
      <c r="AR95" s="90"/>
      <c r="AS95" s="90"/>
    </row>
    <row r="96" spans="1:45" ht="16.5" customHeight="1">
      <c r="A96" s="85">
        <v>91</v>
      </c>
      <c r="B96" s="85" t="s">
        <v>50</v>
      </c>
      <c r="C96" s="85" t="s">
        <v>345</v>
      </c>
      <c r="D96" s="85" t="s">
        <v>352</v>
      </c>
      <c r="E96" s="85" t="s">
        <v>178</v>
      </c>
      <c r="F96" s="86">
        <v>43407</v>
      </c>
      <c r="G96" s="87" t="s">
        <v>347</v>
      </c>
      <c r="H96" s="87" t="s">
        <v>348</v>
      </c>
      <c r="I96" s="88">
        <v>45309</v>
      </c>
      <c r="J96" s="85" t="s">
        <v>349</v>
      </c>
      <c r="K96" s="85" t="s">
        <v>122</v>
      </c>
      <c r="L96" s="85"/>
      <c r="M96" s="85" t="s">
        <v>42</v>
      </c>
      <c r="N96" s="91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  <c r="AM96" s="90"/>
      <c r="AN96" s="90"/>
      <c r="AO96" s="90"/>
      <c r="AP96" s="90"/>
      <c r="AQ96" s="90"/>
      <c r="AR96" s="90"/>
      <c r="AS96" s="90"/>
    </row>
    <row r="97" spans="1:45" ht="16.5" customHeight="1">
      <c r="A97" s="85">
        <v>92</v>
      </c>
      <c r="B97" s="85" t="s">
        <v>91</v>
      </c>
      <c r="C97" s="85" t="s">
        <v>345</v>
      </c>
      <c r="D97" s="85" t="s">
        <v>352</v>
      </c>
      <c r="E97" s="85" t="s">
        <v>178</v>
      </c>
      <c r="F97" s="86">
        <v>43407</v>
      </c>
      <c r="G97" s="87" t="s">
        <v>347</v>
      </c>
      <c r="H97" s="87" t="s">
        <v>348</v>
      </c>
      <c r="I97" s="88">
        <v>45309</v>
      </c>
      <c r="J97" s="85" t="s">
        <v>351</v>
      </c>
      <c r="K97" s="85" t="s">
        <v>181</v>
      </c>
      <c r="L97" s="85"/>
      <c r="M97" s="85" t="s">
        <v>42</v>
      </c>
      <c r="N97" s="91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90"/>
      <c r="AM97" s="90"/>
      <c r="AN97" s="90"/>
      <c r="AO97" s="90"/>
      <c r="AP97" s="90"/>
      <c r="AQ97" s="90"/>
      <c r="AR97" s="90"/>
      <c r="AS97" s="90"/>
    </row>
    <row r="98" spans="1:45" ht="15.75" customHeight="1">
      <c r="A98" s="85">
        <v>93</v>
      </c>
      <c r="B98" s="85" t="s">
        <v>91</v>
      </c>
      <c r="C98" s="85" t="s">
        <v>353</v>
      </c>
      <c r="D98" s="85" t="s">
        <v>354</v>
      </c>
      <c r="E98" s="85">
        <v>7</v>
      </c>
      <c r="F98" s="86">
        <v>40035</v>
      </c>
      <c r="G98" s="87" t="s">
        <v>355</v>
      </c>
      <c r="H98" s="87" t="s">
        <v>356</v>
      </c>
      <c r="I98" s="88">
        <v>44621</v>
      </c>
      <c r="J98" s="85" t="s">
        <v>303</v>
      </c>
      <c r="K98" s="85" t="s">
        <v>205</v>
      </c>
      <c r="L98" s="85"/>
      <c r="M98" s="85" t="s">
        <v>42</v>
      </c>
      <c r="N98" s="91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90"/>
      <c r="AN98" s="90"/>
      <c r="AO98" s="90"/>
      <c r="AP98" s="90"/>
      <c r="AQ98" s="90"/>
      <c r="AR98" s="90"/>
      <c r="AS98" s="90"/>
    </row>
    <row r="99" spans="1:45" ht="16.5" customHeight="1">
      <c r="A99" s="85">
        <v>94</v>
      </c>
      <c r="B99" s="85" t="s">
        <v>50</v>
      </c>
      <c r="C99" s="85" t="s">
        <v>353</v>
      </c>
      <c r="D99" s="85" t="s">
        <v>357</v>
      </c>
      <c r="E99" s="85">
        <v>5</v>
      </c>
      <c r="F99" s="86">
        <v>40522</v>
      </c>
      <c r="G99" s="87" t="s">
        <v>355</v>
      </c>
      <c r="H99" s="87" t="s">
        <v>356</v>
      </c>
      <c r="I99" s="88">
        <v>44621</v>
      </c>
      <c r="J99" s="85" t="s">
        <v>358</v>
      </c>
      <c r="K99" s="85" t="s">
        <v>162</v>
      </c>
      <c r="L99" s="85"/>
      <c r="M99" s="85" t="s">
        <v>42</v>
      </c>
      <c r="N99" s="91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90"/>
      <c r="AN99" s="90"/>
      <c r="AO99" s="90"/>
      <c r="AP99" s="90"/>
      <c r="AQ99" s="90"/>
      <c r="AR99" s="90"/>
      <c r="AS99" s="90"/>
    </row>
    <row r="100" spans="1:45" ht="15.75" customHeight="1">
      <c r="A100" s="85">
        <v>95</v>
      </c>
      <c r="B100" s="85" t="s">
        <v>91</v>
      </c>
      <c r="C100" s="85" t="s">
        <v>353</v>
      </c>
      <c r="D100" s="85" t="s">
        <v>357</v>
      </c>
      <c r="E100" s="85">
        <v>5</v>
      </c>
      <c r="F100" s="86">
        <v>40522</v>
      </c>
      <c r="G100" s="87" t="s">
        <v>355</v>
      </c>
      <c r="H100" s="87" t="s">
        <v>356</v>
      </c>
      <c r="I100" s="88">
        <v>44621</v>
      </c>
      <c r="J100" s="85" t="s">
        <v>238</v>
      </c>
      <c r="K100" s="85" t="s">
        <v>135</v>
      </c>
      <c r="L100" s="85"/>
      <c r="M100" s="85" t="s">
        <v>42</v>
      </c>
      <c r="N100" s="91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90"/>
      <c r="AN100" s="90"/>
      <c r="AO100" s="90"/>
      <c r="AP100" s="90"/>
      <c r="AQ100" s="90"/>
      <c r="AR100" s="90"/>
      <c r="AS100" s="90"/>
    </row>
    <row r="101" spans="1:45" ht="15.75" customHeight="1">
      <c r="A101" s="85">
        <v>96</v>
      </c>
      <c r="B101" s="85" t="s">
        <v>50</v>
      </c>
      <c r="C101" s="85" t="s">
        <v>359</v>
      </c>
      <c r="D101" s="85" t="s">
        <v>360</v>
      </c>
      <c r="E101" s="85">
        <v>4</v>
      </c>
      <c r="F101" s="86">
        <v>41685</v>
      </c>
      <c r="G101" s="87" t="s">
        <v>361</v>
      </c>
      <c r="H101" s="87" t="s">
        <v>362</v>
      </c>
      <c r="I101" s="88">
        <v>45170</v>
      </c>
      <c r="J101" s="85" t="s">
        <v>204</v>
      </c>
      <c r="K101" s="85" t="s">
        <v>126</v>
      </c>
      <c r="L101" s="85"/>
      <c r="M101" s="85" t="s">
        <v>42</v>
      </c>
      <c r="N101" s="91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90"/>
      <c r="AN101" s="90"/>
      <c r="AO101" s="90"/>
      <c r="AP101" s="90"/>
      <c r="AQ101" s="90"/>
      <c r="AR101" s="90"/>
      <c r="AS101" s="90"/>
    </row>
    <row r="102" spans="1:45" ht="15.75" customHeight="1">
      <c r="A102" s="85">
        <v>97</v>
      </c>
      <c r="B102" s="92" t="s">
        <v>91</v>
      </c>
      <c r="C102" s="91" t="s">
        <v>359</v>
      </c>
      <c r="D102" s="91" t="s">
        <v>360</v>
      </c>
      <c r="E102" s="91">
        <v>4</v>
      </c>
      <c r="F102" s="86">
        <v>41685</v>
      </c>
      <c r="G102" s="96" t="s">
        <v>361</v>
      </c>
      <c r="H102" s="96" t="s">
        <v>362</v>
      </c>
      <c r="I102" s="88">
        <v>45170</v>
      </c>
      <c r="J102" s="91" t="s">
        <v>150</v>
      </c>
      <c r="K102" s="91" t="s">
        <v>122</v>
      </c>
      <c r="L102" s="91"/>
      <c r="M102" s="85" t="s">
        <v>42</v>
      </c>
      <c r="N102" s="97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0"/>
      <c r="AN102" s="90"/>
      <c r="AO102" s="90"/>
      <c r="AP102" s="90"/>
      <c r="AQ102" s="90"/>
      <c r="AR102" s="90"/>
      <c r="AS102" s="90"/>
    </row>
    <row r="103" spans="1:45" ht="16.5" customHeight="1">
      <c r="A103" s="85">
        <v>98</v>
      </c>
      <c r="B103" s="85" t="s">
        <v>50</v>
      </c>
      <c r="C103" s="85" t="s">
        <v>363</v>
      </c>
      <c r="D103" s="85" t="s">
        <v>364</v>
      </c>
      <c r="E103" s="85">
        <v>4</v>
      </c>
      <c r="F103" s="86">
        <v>41360</v>
      </c>
      <c r="G103" s="87" t="s">
        <v>365</v>
      </c>
      <c r="H103" s="87" t="s">
        <v>366</v>
      </c>
      <c r="I103" s="88">
        <v>44728</v>
      </c>
      <c r="J103" s="85" t="s">
        <v>358</v>
      </c>
      <c r="K103" s="85" t="s">
        <v>175</v>
      </c>
      <c r="L103" s="85"/>
      <c r="M103" s="85" t="s">
        <v>42</v>
      </c>
      <c r="N103" s="91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90"/>
      <c r="AN103" s="90"/>
      <c r="AO103" s="90"/>
      <c r="AP103" s="90"/>
      <c r="AQ103" s="90"/>
      <c r="AR103" s="90"/>
      <c r="AS103" s="90"/>
    </row>
    <row r="104" spans="1:45" ht="16.5" customHeight="1">
      <c r="A104" s="85">
        <v>99</v>
      </c>
      <c r="B104" s="85" t="s">
        <v>91</v>
      </c>
      <c r="C104" s="85" t="s">
        <v>363</v>
      </c>
      <c r="D104" s="85" t="s">
        <v>364</v>
      </c>
      <c r="E104" s="85">
        <v>4</v>
      </c>
      <c r="F104" s="86">
        <v>41360</v>
      </c>
      <c r="G104" s="87" t="s">
        <v>365</v>
      </c>
      <c r="H104" s="87" t="s">
        <v>366</v>
      </c>
      <c r="I104" s="88">
        <v>44728</v>
      </c>
      <c r="J104" s="85" t="s">
        <v>150</v>
      </c>
      <c r="K104" s="85" t="s">
        <v>175</v>
      </c>
      <c r="L104" s="85"/>
      <c r="M104" s="85" t="s">
        <v>42</v>
      </c>
      <c r="N104" s="91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90"/>
      <c r="AN104" s="90"/>
      <c r="AO104" s="90"/>
      <c r="AP104" s="90"/>
      <c r="AQ104" s="90"/>
      <c r="AR104" s="90"/>
      <c r="AS104" s="90"/>
    </row>
    <row r="105" spans="1:45" ht="16.5" customHeight="1">
      <c r="A105" s="85">
        <v>100</v>
      </c>
      <c r="B105" s="85" t="s">
        <v>50</v>
      </c>
      <c r="C105" s="85" t="s">
        <v>367</v>
      </c>
      <c r="D105" s="85" t="s">
        <v>368</v>
      </c>
      <c r="E105" s="85">
        <v>4</v>
      </c>
      <c r="F105" s="86">
        <v>41818</v>
      </c>
      <c r="G105" s="87" t="s">
        <v>369</v>
      </c>
      <c r="H105" s="87" t="s">
        <v>370</v>
      </c>
      <c r="I105" s="88">
        <v>45139</v>
      </c>
      <c r="J105" s="85" t="s">
        <v>255</v>
      </c>
      <c r="K105" s="85" t="s">
        <v>212</v>
      </c>
      <c r="L105" s="85"/>
      <c r="M105" s="85" t="s">
        <v>42</v>
      </c>
      <c r="N105" s="91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90"/>
      <c r="AN105" s="90"/>
      <c r="AO105" s="90"/>
      <c r="AP105" s="90"/>
      <c r="AQ105" s="90"/>
      <c r="AR105" s="90"/>
      <c r="AS105" s="90"/>
    </row>
    <row r="106" spans="1:45" ht="16.5" customHeight="1">
      <c r="A106" s="85">
        <v>101</v>
      </c>
      <c r="B106" s="85" t="s">
        <v>91</v>
      </c>
      <c r="C106" s="85" t="s">
        <v>367</v>
      </c>
      <c r="D106" s="85" t="s">
        <v>368</v>
      </c>
      <c r="E106" s="85">
        <v>4</v>
      </c>
      <c r="F106" s="86">
        <v>41818</v>
      </c>
      <c r="G106" s="87" t="s">
        <v>369</v>
      </c>
      <c r="H106" s="87" t="s">
        <v>370</v>
      </c>
      <c r="I106" s="88">
        <v>45139</v>
      </c>
      <c r="J106" s="85" t="s">
        <v>188</v>
      </c>
      <c r="K106" s="85" t="s">
        <v>199</v>
      </c>
      <c r="L106" s="85"/>
      <c r="M106" s="85" t="s">
        <v>42</v>
      </c>
      <c r="N106" s="91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90"/>
      <c r="AN106" s="90"/>
      <c r="AO106" s="90"/>
      <c r="AP106" s="90"/>
      <c r="AQ106" s="90"/>
      <c r="AR106" s="90"/>
      <c r="AS106" s="90"/>
    </row>
    <row r="107" spans="1:45" ht="16.5" customHeight="1">
      <c r="A107" s="85">
        <v>102</v>
      </c>
      <c r="B107" s="85" t="s">
        <v>50</v>
      </c>
      <c r="C107" s="85" t="s">
        <v>371</v>
      </c>
      <c r="D107" s="85" t="s">
        <v>372</v>
      </c>
      <c r="E107" s="85">
        <v>2</v>
      </c>
      <c r="F107" s="86">
        <v>42454</v>
      </c>
      <c r="G107" s="87" t="s">
        <v>373</v>
      </c>
      <c r="H107" s="87" t="s">
        <v>374</v>
      </c>
      <c r="I107" s="88">
        <v>45154</v>
      </c>
      <c r="J107" s="85" t="s">
        <v>186</v>
      </c>
      <c r="K107" s="85" t="s">
        <v>162</v>
      </c>
      <c r="L107" s="85"/>
      <c r="M107" s="85" t="s">
        <v>42</v>
      </c>
      <c r="N107" s="91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90"/>
      <c r="AN107" s="90"/>
      <c r="AO107" s="90"/>
      <c r="AP107" s="90"/>
      <c r="AQ107" s="90"/>
      <c r="AR107" s="90"/>
      <c r="AS107" s="90"/>
    </row>
    <row r="108" spans="1:45" ht="16.5" customHeight="1">
      <c r="A108" s="85">
        <v>103</v>
      </c>
      <c r="B108" s="85" t="s">
        <v>91</v>
      </c>
      <c r="C108" s="85" t="s">
        <v>371</v>
      </c>
      <c r="D108" s="85" t="s">
        <v>372</v>
      </c>
      <c r="E108" s="85">
        <v>2</v>
      </c>
      <c r="F108" s="86">
        <v>42454</v>
      </c>
      <c r="G108" s="87" t="s">
        <v>373</v>
      </c>
      <c r="H108" s="87" t="s">
        <v>374</v>
      </c>
      <c r="I108" s="88">
        <v>45154</v>
      </c>
      <c r="J108" s="85" t="s">
        <v>141</v>
      </c>
      <c r="K108" s="85" t="s">
        <v>205</v>
      </c>
      <c r="L108" s="85"/>
      <c r="M108" s="85" t="s">
        <v>42</v>
      </c>
      <c r="N108" s="91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90"/>
      <c r="AN108" s="90"/>
      <c r="AO108" s="90"/>
      <c r="AP108" s="90"/>
      <c r="AQ108" s="90"/>
      <c r="AR108" s="90"/>
      <c r="AS108" s="90"/>
    </row>
    <row r="109" spans="1:45" ht="16.5" customHeight="1">
      <c r="A109" s="85">
        <v>104</v>
      </c>
      <c r="B109" s="85" t="s">
        <v>91</v>
      </c>
      <c r="C109" s="85" t="s">
        <v>375</v>
      </c>
      <c r="D109" s="85" t="s">
        <v>376</v>
      </c>
      <c r="E109" s="85">
        <v>1</v>
      </c>
      <c r="F109" s="86">
        <v>42231</v>
      </c>
      <c r="G109" s="87" t="s">
        <v>377</v>
      </c>
      <c r="H109" s="87" t="s">
        <v>378</v>
      </c>
      <c r="I109" s="88">
        <v>45139</v>
      </c>
      <c r="J109" s="85" t="s">
        <v>238</v>
      </c>
      <c r="K109" s="85" t="s">
        <v>126</v>
      </c>
      <c r="L109" s="104"/>
      <c r="M109" s="85" t="s">
        <v>42</v>
      </c>
      <c r="N109" s="91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90"/>
      <c r="AN109" s="90"/>
      <c r="AO109" s="90"/>
      <c r="AP109" s="90"/>
      <c r="AQ109" s="90"/>
      <c r="AR109" s="90"/>
      <c r="AS109" s="90"/>
    </row>
    <row r="110" spans="1:45" ht="16.5" customHeight="1">
      <c r="A110" s="85">
        <v>105</v>
      </c>
      <c r="B110" s="85" t="s">
        <v>50</v>
      </c>
      <c r="C110" s="85" t="s">
        <v>375</v>
      </c>
      <c r="D110" s="85" t="s">
        <v>379</v>
      </c>
      <c r="E110" s="85">
        <v>4</v>
      </c>
      <c r="F110" s="86">
        <v>41480</v>
      </c>
      <c r="G110" s="87" t="s">
        <v>380</v>
      </c>
      <c r="H110" s="87" t="s">
        <v>381</v>
      </c>
      <c r="I110" s="88">
        <v>44914</v>
      </c>
      <c r="J110" s="85" t="s">
        <v>204</v>
      </c>
      <c r="K110" s="85" t="s">
        <v>142</v>
      </c>
      <c r="L110" s="85"/>
      <c r="M110" s="85" t="s">
        <v>42</v>
      </c>
      <c r="N110" s="91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90"/>
      <c r="AN110" s="90"/>
      <c r="AO110" s="90"/>
      <c r="AP110" s="90"/>
      <c r="AQ110" s="90"/>
      <c r="AR110" s="90"/>
      <c r="AS110" s="90"/>
    </row>
    <row r="111" spans="1:45" ht="16.5" customHeight="1">
      <c r="A111" s="85">
        <v>106</v>
      </c>
      <c r="B111" s="85" t="s">
        <v>91</v>
      </c>
      <c r="C111" s="85" t="s">
        <v>375</v>
      </c>
      <c r="D111" s="85" t="s">
        <v>379</v>
      </c>
      <c r="E111" s="85">
        <v>4</v>
      </c>
      <c r="F111" s="86">
        <v>41480</v>
      </c>
      <c r="G111" s="87" t="s">
        <v>380</v>
      </c>
      <c r="H111" s="87" t="s">
        <v>381</v>
      </c>
      <c r="I111" s="88">
        <v>44914</v>
      </c>
      <c r="J111" s="85" t="s">
        <v>150</v>
      </c>
      <c r="K111" s="85" t="s">
        <v>135</v>
      </c>
      <c r="L111" s="85"/>
      <c r="M111" s="85" t="s">
        <v>42</v>
      </c>
      <c r="N111" s="91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  <c r="AM111" s="90"/>
      <c r="AN111" s="90"/>
      <c r="AO111" s="90"/>
      <c r="AP111" s="90"/>
      <c r="AQ111" s="90"/>
      <c r="AR111" s="90"/>
      <c r="AS111" s="90"/>
    </row>
    <row r="112" spans="1:45" ht="16.5" customHeight="1">
      <c r="A112" s="85">
        <v>107</v>
      </c>
      <c r="B112" s="85" t="s">
        <v>91</v>
      </c>
      <c r="C112" s="85" t="s">
        <v>375</v>
      </c>
      <c r="D112" s="85" t="s">
        <v>382</v>
      </c>
      <c r="E112" s="85" t="s">
        <v>145</v>
      </c>
      <c r="F112" s="86" t="s">
        <v>383</v>
      </c>
      <c r="G112" s="87" t="s">
        <v>384</v>
      </c>
      <c r="H112" s="87" t="s">
        <v>385</v>
      </c>
      <c r="I112" s="88">
        <v>45139</v>
      </c>
      <c r="J112" s="85" t="s">
        <v>386</v>
      </c>
      <c r="K112" s="85" t="s">
        <v>149</v>
      </c>
      <c r="L112" s="85"/>
      <c r="M112" s="85" t="s">
        <v>42</v>
      </c>
      <c r="N112" s="91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  <c r="AM112" s="90"/>
      <c r="AN112" s="90"/>
      <c r="AO112" s="90"/>
      <c r="AP112" s="90"/>
      <c r="AQ112" s="90"/>
      <c r="AR112" s="90"/>
      <c r="AS112" s="90"/>
    </row>
    <row r="113" spans="1:45" ht="16.5" customHeight="1">
      <c r="A113" s="85">
        <v>108</v>
      </c>
      <c r="B113" s="85" t="s">
        <v>91</v>
      </c>
      <c r="C113" s="85" t="s">
        <v>375</v>
      </c>
      <c r="D113" s="85" t="s">
        <v>387</v>
      </c>
      <c r="E113" s="85">
        <v>6</v>
      </c>
      <c r="F113" s="86">
        <v>40070</v>
      </c>
      <c r="G113" s="87" t="s">
        <v>377</v>
      </c>
      <c r="H113" s="87" t="s">
        <v>378</v>
      </c>
      <c r="I113" s="88">
        <v>44866</v>
      </c>
      <c r="J113" s="85" t="s">
        <v>188</v>
      </c>
      <c r="K113" s="85" t="s">
        <v>388</v>
      </c>
      <c r="L113" s="85"/>
      <c r="M113" s="85" t="s">
        <v>42</v>
      </c>
      <c r="N113" s="91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  <c r="AM113" s="90"/>
      <c r="AN113" s="90"/>
      <c r="AO113" s="90"/>
      <c r="AP113" s="90"/>
      <c r="AQ113" s="90"/>
      <c r="AR113" s="90"/>
      <c r="AS113" s="90"/>
    </row>
    <row r="114" spans="1:45" ht="16.5" customHeight="1">
      <c r="A114" s="85">
        <v>109</v>
      </c>
      <c r="B114" s="85" t="s">
        <v>91</v>
      </c>
      <c r="C114" s="85" t="s">
        <v>375</v>
      </c>
      <c r="D114" s="85" t="s">
        <v>389</v>
      </c>
      <c r="E114" s="85">
        <v>1</v>
      </c>
      <c r="F114" s="86">
        <v>42231</v>
      </c>
      <c r="G114" s="87" t="s">
        <v>377</v>
      </c>
      <c r="H114" s="87" t="s">
        <v>378</v>
      </c>
      <c r="I114" s="88">
        <v>44682</v>
      </c>
      <c r="J114" s="85" t="s">
        <v>188</v>
      </c>
      <c r="K114" s="85" t="s">
        <v>212</v>
      </c>
      <c r="L114" s="85"/>
      <c r="M114" s="85" t="s">
        <v>42</v>
      </c>
      <c r="N114" s="91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  <c r="AM114" s="90"/>
      <c r="AN114" s="90"/>
      <c r="AO114" s="90"/>
      <c r="AP114" s="90"/>
      <c r="AQ114" s="90"/>
      <c r="AR114" s="90"/>
      <c r="AS114" s="90"/>
    </row>
    <row r="115" spans="1:45" ht="16.5" customHeight="1">
      <c r="A115" s="85">
        <v>110</v>
      </c>
      <c r="B115" s="85" t="s">
        <v>50</v>
      </c>
      <c r="C115" s="85" t="s">
        <v>390</v>
      </c>
      <c r="D115" s="85" t="s">
        <v>391</v>
      </c>
      <c r="E115" s="85">
        <v>1</v>
      </c>
      <c r="F115" s="86">
        <v>42908</v>
      </c>
      <c r="G115" s="87" t="s">
        <v>392</v>
      </c>
      <c r="H115" s="87" t="s">
        <v>381</v>
      </c>
      <c r="I115" s="88">
        <v>45139</v>
      </c>
      <c r="J115" s="85" t="s">
        <v>349</v>
      </c>
      <c r="K115" s="85" t="s">
        <v>162</v>
      </c>
      <c r="L115" s="85"/>
      <c r="M115" s="85" t="s">
        <v>42</v>
      </c>
      <c r="N115" s="91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  <c r="AM115" s="90"/>
      <c r="AN115" s="90"/>
      <c r="AO115" s="90"/>
      <c r="AP115" s="90"/>
      <c r="AQ115" s="90"/>
      <c r="AR115" s="90"/>
      <c r="AS115" s="90"/>
    </row>
    <row r="116" spans="1:45" ht="16.5" customHeight="1">
      <c r="A116" s="85">
        <v>111</v>
      </c>
      <c r="B116" s="120" t="s">
        <v>50</v>
      </c>
      <c r="C116" s="121" t="s">
        <v>393</v>
      </c>
      <c r="D116" s="121" t="s">
        <v>394</v>
      </c>
      <c r="E116" s="121">
        <v>3</v>
      </c>
      <c r="F116" s="122">
        <v>42318</v>
      </c>
      <c r="G116" s="123" t="s">
        <v>395</v>
      </c>
      <c r="H116" s="123" t="s">
        <v>396</v>
      </c>
      <c r="I116" s="124">
        <v>45383</v>
      </c>
      <c r="J116" s="121" t="s">
        <v>118</v>
      </c>
      <c r="K116" s="121" t="s">
        <v>175</v>
      </c>
      <c r="L116" s="121"/>
      <c r="M116" s="121" t="s">
        <v>42</v>
      </c>
      <c r="N116" s="120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5"/>
      <c r="AH116" s="125"/>
      <c r="AI116" s="125"/>
      <c r="AJ116" s="125"/>
      <c r="AK116" s="125"/>
      <c r="AL116" s="125"/>
      <c r="AM116" s="125"/>
      <c r="AN116" s="125"/>
      <c r="AO116" s="125"/>
      <c r="AP116" s="125"/>
      <c r="AQ116" s="125"/>
      <c r="AR116" s="125"/>
      <c r="AS116" s="125"/>
    </row>
    <row r="117" spans="1:45" ht="16.5" customHeight="1">
      <c r="A117" s="85">
        <v>112</v>
      </c>
      <c r="B117" s="120" t="s">
        <v>91</v>
      </c>
      <c r="C117" s="121" t="s">
        <v>393</v>
      </c>
      <c r="D117" s="121" t="s">
        <v>394</v>
      </c>
      <c r="E117" s="121">
        <v>3</v>
      </c>
      <c r="F117" s="122">
        <v>42318</v>
      </c>
      <c r="G117" s="123" t="s">
        <v>395</v>
      </c>
      <c r="H117" s="123" t="s">
        <v>396</v>
      </c>
      <c r="I117" s="124">
        <v>45383</v>
      </c>
      <c r="J117" s="121" t="s">
        <v>156</v>
      </c>
      <c r="K117" s="121" t="s">
        <v>125</v>
      </c>
      <c r="L117" s="121"/>
      <c r="M117" s="121" t="s">
        <v>42</v>
      </c>
      <c r="N117" s="120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5"/>
      <c r="AH117" s="125"/>
      <c r="AI117" s="125"/>
      <c r="AJ117" s="125"/>
      <c r="AK117" s="125"/>
      <c r="AL117" s="125"/>
      <c r="AM117" s="125"/>
      <c r="AN117" s="125"/>
      <c r="AO117" s="125"/>
      <c r="AP117" s="125"/>
      <c r="AQ117" s="125"/>
      <c r="AR117" s="125"/>
      <c r="AS117" s="125"/>
    </row>
    <row r="118" spans="1:45" ht="16.5" customHeight="1">
      <c r="A118" s="85">
        <v>113</v>
      </c>
      <c r="B118" s="85" t="s">
        <v>50</v>
      </c>
      <c r="C118" s="85" t="s">
        <v>397</v>
      </c>
      <c r="D118" s="85" t="s">
        <v>398</v>
      </c>
      <c r="E118" s="85">
        <v>4</v>
      </c>
      <c r="F118" s="86">
        <v>41123</v>
      </c>
      <c r="G118" s="87" t="s">
        <v>399</v>
      </c>
      <c r="H118" s="87" t="s">
        <v>400</v>
      </c>
      <c r="I118" s="88">
        <v>44928</v>
      </c>
      <c r="J118" s="85" t="s">
        <v>271</v>
      </c>
      <c r="K118" s="85" t="s">
        <v>187</v>
      </c>
      <c r="L118" s="85"/>
      <c r="M118" s="85" t="s">
        <v>42</v>
      </c>
      <c r="N118" s="91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  <c r="AM118" s="90"/>
      <c r="AN118" s="90"/>
      <c r="AO118" s="90"/>
      <c r="AP118" s="90"/>
      <c r="AQ118" s="90"/>
      <c r="AR118" s="90"/>
      <c r="AS118" s="90"/>
    </row>
    <row r="119" spans="1:45" ht="16.5" customHeight="1">
      <c r="A119" s="85">
        <v>114</v>
      </c>
      <c r="B119" s="85" t="s">
        <v>91</v>
      </c>
      <c r="C119" s="85" t="s">
        <v>397</v>
      </c>
      <c r="D119" s="85" t="s">
        <v>398</v>
      </c>
      <c r="E119" s="85">
        <v>4</v>
      </c>
      <c r="F119" s="86">
        <v>41123</v>
      </c>
      <c r="G119" s="87" t="s">
        <v>399</v>
      </c>
      <c r="H119" s="87" t="s">
        <v>400</v>
      </c>
      <c r="I119" s="88">
        <v>44928</v>
      </c>
      <c r="J119" s="85" t="s">
        <v>303</v>
      </c>
      <c r="K119" s="85" t="s">
        <v>205</v>
      </c>
      <c r="L119" s="85"/>
      <c r="M119" s="85" t="s">
        <v>42</v>
      </c>
      <c r="N119" s="91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  <c r="AA119" s="90"/>
      <c r="AB119" s="90"/>
      <c r="AC119" s="90"/>
      <c r="AD119" s="90"/>
      <c r="AE119" s="90"/>
      <c r="AF119" s="90"/>
      <c r="AG119" s="90"/>
      <c r="AH119" s="90"/>
      <c r="AI119" s="90"/>
      <c r="AJ119" s="90"/>
      <c r="AK119" s="90"/>
      <c r="AL119" s="90"/>
      <c r="AM119" s="90"/>
      <c r="AN119" s="90"/>
      <c r="AO119" s="90"/>
      <c r="AP119" s="90"/>
      <c r="AQ119" s="90"/>
      <c r="AR119" s="90"/>
      <c r="AS119" s="90"/>
    </row>
    <row r="120" spans="1:45" ht="16.5" customHeight="1">
      <c r="A120" s="85">
        <v>115</v>
      </c>
      <c r="B120" s="120" t="s">
        <v>91</v>
      </c>
      <c r="C120" s="121" t="s">
        <v>401</v>
      </c>
      <c r="D120" s="121" t="s">
        <v>402</v>
      </c>
      <c r="E120" s="121">
        <v>4</v>
      </c>
      <c r="F120" s="122">
        <v>41555</v>
      </c>
      <c r="G120" s="123" t="s">
        <v>403</v>
      </c>
      <c r="H120" s="123" t="s">
        <v>404</v>
      </c>
      <c r="I120" s="124">
        <v>45383</v>
      </c>
      <c r="J120" s="121" t="s">
        <v>156</v>
      </c>
      <c r="K120" s="121" t="s">
        <v>304</v>
      </c>
      <c r="L120" s="121"/>
      <c r="M120" s="121" t="s">
        <v>42</v>
      </c>
      <c r="N120" s="120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5"/>
      <c r="AH120" s="125"/>
      <c r="AI120" s="125"/>
      <c r="AJ120" s="125"/>
      <c r="AK120" s="125"/>
      <c r="AL120" s="125"/>
      <c r="AM120" s="125"/>
      <c r="AN120" s="125"/>
      <c r="AO120" s="125"/>
      <c r="AP120" s="125"/>
      <c r="AQ120" s="125"/>
      <c r="AR120" s="125"/>
      <c r="AS120" s="125"/>
    </row>
    <row r="121" spans="1:45" ht="15" customHeight="1">
      <c r="A121" s="85">
        <v>116</v>
      </c>
      <c r="B121" s="95" t="s">
        <v>91</v>
      </c>
      <c r="C121" s="95" t="s">
        <v>405</v>
      </c>
      <c r="D121" s="95" t="s">
        <v>406</v>
      </c>
      <c r="E121" s="95">
        <v>3</v>
      </c>
      <c r="F121" s="126">
        <v>41766</v>
      </c>
      <c r="G121" s="127" t="s">
        <v>407</v>
      </c>
      <c r="H121" s="127" t="s">
        <v>408</v>
      </c>
      <c r="I121" s="128">
        <v>44928</v>
      </c>
      <c r="J121" s="95" t="s">
        <v>238</v>
      </c>
      <c r="K121" s="95" t="s">
        <v>166</v>
      </c>
      <c r="L121" s="95"/>
      <c r="M121" s="95" t="s">
        <v>42</v>
      </c>
      <c r="N121" s="129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  <c r="AA121" s="90"/>
      <c r="AB121" s="90"/>
      <c r="AC121" s="90"/>
      <c r="AD121" s="90"/>
      <c r="AE121" s="90"/>
      <c r="AF121" s="90"/>
      <c r="AG121" s="90"/>
      <c r="AH121" s="90"/>
      <c r="AI121" s="90"/>
      <c r="AJ121" s="90"/>
      <c r="AK121" s="90"/>
      <c r="AL121" s="90"/>
      <c r="AM121" s="90"/>
      <c r="AN121" s="90"/>
      <c r="AO121" s="90"/>
      <c r="AP121" s="90"/>
      <c r="AQ121" s="90"/>
      <c r="AR121" s="90"/>
      <c r="AS121" s="90"/>
    </row>
    <row r="122" spans="1:45" ht="16.5" customHeight="1">
      <c r="A122" s="85">
        <v>117</v>
      </c>
      <c r="B122" s="85" t="s">
        <v>50</v>
      </c>
      <c r="C122" s="85" t="s">
        <v>405</v>
      </c>
      <c r="D122" s="85" t="s">
        <v>406</v>
      </c>
      <c r="E122" s="85">
        <v>3</v>
      </c>
      <c r="F122" s="86">
        <v>41766</v>
      </c>
      <c r="G122" s="87" t="s">
        <v>407</v>
      </c>
      <c r="H122" s="87" t="s">
        <v>408</v>
      </c>
      <c r="I122" s="88">
        <v>45170</v>
      </c>
      <c r="J122" s="85" t="s">
        <v>204</v>
      </c>
      <c r="K122" s="85" t="s">
        <v>122</v>
      </c>
      <c r="L122" s="85"/>
      <c r="M122" s="85" t="s">
        <v>42</v>
      </c>
      <c r="N122" s="91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  <c r="AA122" s="90"/>
      <c r="AB122" s="90"/>
      <c r="AC122" s="90"/>
      <c r="AD122" s="90"/>
      <c r="AE122" s="90"/>
      <c r="AF122" s="90"/>
      <c r="AG122" s="90"/>
      <c r="AH122" s="90"/>
      <c r="AI122" s="90"/>
      <c r="AJ122" s="90"/>
      <c r="AK122" s="90"/>
      <c r="AL122" s="90"/>
      <c r="AM122" s="90"/>
      <c r="AN122" s="90"/>
      <c r="AO122" s="90"/>
      <c r="AP122" s="90"/>
      <c r="AQ122" s="90"/>
      <c r="AR122" s="90"/>
      <c r="AS122" s="90"/>
    </row>
    <row r="123" spans="1:45" ht="16.5" customHeight="1">
      <c r="A123" s="85">
        <v>118</v>
      </c>
      <c r="B123" s="85" t="s">
        <v>50</v>
      </c>
      <c r="C123" s="85" t="s">
        <v>409</v>
      </c>
      <c r="D123" s="85" t="s">
        <v>410</v>
      </c>
      <c r="E123" s="85">
        <v>4</v>
      </c>
      <c r="F123" s="86">
        <v>41305</v>
      </c>
      <c r="G123" s="87" t="s">
        <v>411</v>
      </c>
      <c r="H123" s="87" t="s">
        <v>412</v>
      </c>
      <c r="I123" s="88">
        <v>44790</v>
      </c>
      <c r="J123" s="85" t="s">
        <v>204</v>
      </c>
      <c r="K123" s="85" t="s">
        <v>163</v>
      </c>
      <c r="L123" s="85"/>
      <c r="M123" s="85" t="s">
        <v>42</v>
      </c>
      <c r="N123" s="91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  <c r="AA123" s="90"/>
      <c r="AB123" s="90"/>
      <c r="AC123" s="90"/>
      <c r="AD123" s="90"/>
      <c r="AE123" s="90"/>
      <c r="AF123" s="90"/>
      <c r="AG123" s="90"/>
      <c r="AH123" s="90"/>
      <c r="AI123" s="90"/>
      <c r="AJ123" s="90"/>
      <c r="AK123" s="90"/>
      <c r="AL123" s="90"/>
      <c r="AM123" s="90"/>
      <c r="AN123" s="90"/>
      <c r="AO123" s="90"/>
      <c r="AP123" s="90"/>
      <c r="AQ123" s="90"/>
      <c r="AR123" s="90"/>
      <c r="AS123" s="90"/>
    </row>
    <row r="124" spans="1:45" ht="16.5" customHeight="1">
      <c r="A124" s="85">
        <v>119</v>
      </c>
      <c r="B124" s="85" t="s">
        <v>91</v>
      </c>
      <c r="C124" s="85" t="s">
        <v>409</v>
      </c>
      <c r="D124" s="85" t="s">
        <v>410</v>
      </c>
      <c r="E124" s="85">
        <v>4</v>
      </c>
      <c r="F124" s="86">
        <v>41305</v>
      </c>
      <c r="G124" s="87" t="s">
        <v>411</v>
      </c>
      <c r="H124" s="87" t="s">
        <v>412</v>
      </c>
      <c r="I124" s="88">
        <v>44790</v>
      </c>
      <c r="J124" s="85" t="s">
        <v>150</v>
      </c>
      <c r="K124" s="85" t="s">
        <v>304</v>
      </c>
      <c r="L124" s="85"/>
      <c r="M124" s="85" t="s">
        <v>42</v>
      </c>
      <c r="N124" s="91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  <c r="AA124" s="90"/>
      <c r="AB124" s="90"/>
      <c r="AC124" s="90"/>
      <c r="AD124" s="90"/>
      <c r="AE124" s="90"/>
      <c r="AF124" s="90"/>
      <c r="AG124" s="90"/>
      <c r="AH124" s="90"/>
      <c r="AI124" s="90"/>
      <c r="AJ124" s="90"/>
      <c r="AK124" s="90"/>
      <c r="AL124" s="90"/>
      <c r="AM124" s="90"/>
      <c r="AN124" s="90"/>
      <c r="AO124" s="90"/>
      <c r="AP124" s="90"/>
      <c r="AQ124" s="90"/>
      <c r="AR124" s="90"/>
      <c r="AS124" s="90"/>
    </row>
    <row r="125" spans="1:45" ht="16.5" customHeight="1">
      <c r="A125" s="85">
        <v>120</v>
      </c>
      <c r="B125" s="85" t="s">
        <v>91</v>
      </c>
      <c r="C125" s="85" t="s">
        <v>413</v>
      </c>
      <c r="D125" s="85" t="s">
        <v>414</v>
      </c>
      <c r="E125" s="85" t="s">
        <v>190</v>
      </c>
      <c r="F125" s="86">
        <v>44562</v>
      </c>
      <c r="G125" s="87" t="s">
        <v>415</v>
      </c>
      <c r="H125" s="87" t="s">
        <v>416</v>
      </c>
      <c r="I125" s="88">
        <v>44440</v>
      </c>
      <c r="J125" s="85" t="s">
        <v>150</v>
      </c>
      <c r="K125" s="85" t="s">
        <v>175</v>
      </c>
      <c r="L125" s="85"/>
      <c r="M125" s="85" t="s">
        <v>42</v>
      </c>
      <c r="N125" s="91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  <c r="AA125" s="90"/>
      <c r="AB125" s="90"/>
      <c r="AC125" s="90"/>
      <c r="AD125" s="90"/>
      <c r="AE125" s="90"/>
      <c r="AF125" s="90"/>
      <c r="AG125" s="90"/>
      <c r="AH125" s="90"/>
      <c r="AI125" s="90"/>
      <c r="AJ125" s="90"/>
      <c r="AK125" s="90"/>
      <c r="AL125" s="90"/>
      <c r="AM125" s="90"/>
      <c r="AN125" s="90"/>
      <c r="AO125" s="90"/>
      <c r="AP125" s="90"/>
      <c r="AQ125" s="90"/>
      <c r="AR125" s="90"/>
      <c r="AS125" s="90"/>
    </row>
    <row r="126" spans="1:45" ht="16.5" customHeight="1">
      <c r="A126" s="85">
        <v>121</v>
      </c>
      <c r="B126" s="85" t="s">
        <v>50</v>
      </c>
      <c r="C126" s="85" t="s">
        <v>417</v>
      </c>
      <c r="D126" s="85" t="s">
        <v>418</v>
      </c>
      <c r="E126" s="85">
        <v>7</v>
      </c>
      <c r="F126" s="86">
        <v>42699</v>
      </c>
      <c r="G126" s="87" t="s">
        <v>419</v>
      </c>
      <c r="H126" s="87" t="s">
        <v>420</v>
      </c>
      <c r="I126" s="88">
        <v>45215</v>
      </c>
      <c r="J126" s="85" t="s">
        <v>131</v>
      </c>
      <c r="K126" s="85" t="s">
        <v>181</v>
      </c>
      <c r="L126" s="85"/>
      <c r="M126" s="85" t="s">
        <v>42</v>
      </c>
      <c r="N126" s="91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90"/>
      <c r="AB126" s="90"/>
      <c r="AC126" s="90"/>
      <c r="AD126" s="90"/>
      <c r="AE126" s="90"/>
      <c r="AF126" s="90"/>
      <c r="AG126" s="90"/>
      <c r="AH126" s="90"/>
      <c r="AI126" s="90"/>
      <c r="AJ126" s="90"/>
      <c r="AK126" s="90"/>
      <c r="AL126" s="90"/>
      <c r="AM126" s="90"/>
      <c r="AN126" s="90"/>
      <c r="AO126" s="90"/>
      <c r="AP126" s="90"/>
      <c r="AQ126" s="90"/>
      <c r="AR126" s="90"/>
      <c r="AS126" s="90"/>
    </row>
    <row r="127" spans="1:45" ht="16.5" customHeight="1">
      <c r="A127" s="85">
        <v>122</v>
      </c>
      <c r="B127" s="85" t="s">
        <v>91</v>
      </c>
      <c r="C127" s="85" t="s">
        <v>417</v>
      </c>
      <c r="D127" s="85" t="s">
        <v>418</v>
      </c>
      <c r="E127" s="85">
        <v>7</v>
      </c>
      <c r="F127" s="86">
        <v>42699</v>
      </c>
      <c r="G127" s="87" t="s">
        <v>419</v>
      </c>
      <c r="H127" s="87" t="s">
        <v>420</v>
      </c>
      <c r="I127" s="88">
        <v>45293</v>
      </c>
      <c r="J127" s="85" t="s">
        <v>156</v>
      </c>
      <c r="K127" s="85" t="s">
        <v>206</v>
      </c>
      <c r="L127" s="85"/>
      <c r="M127" s="85" t="s">
        <v>42</v>
      </c>
      <c r="N127" s="91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  <c r="AA127" s="90"/>
      <c r="AB127" s="90"/>
      <c r="AC127" s="90"/>
      <c r="AD127" s="90"/>
      <c r="AE127" s="90"/>
      <c r="AF127" s="90"/>
      <c r="AG127" s="90"/>
      <c r="AH127" s="90"/>
      <c r="AI127" s="90"/>
      <c r="AJ127" s="90"/>
      <c r="AK127" s="90"/>
      <c r="AL127" s="90"/>
      <c r="AM127" s="90"/>
      <c r="AN127" s="90"/>
      <c r="AO127" s="90"/>
      <c r="AP127" s="90"/>
      <c r="AQ127" s="90"/>
      <c r="AR127" s="90"/>
      <c r="AS127" s="90"/>
    </row>
    <row r="128" spans="1:45" ht="16.5" customHeight="1">
      <c r="A128" s="85">
        <v>123</v>
      </c>
      <c r="B128" s="85" t="s">
        <v>50</v>
      </c>
      <c r="C128" s="85" t="s">
        <v>421</v>
      </c>
      <c r="D128" s="85" t="s">
        <v>422</v>
      </c>
      <c r="E128" s="85">
        <v>3</v>
      </c>
      <c r="F128" s="86">
        <v>42039</v>
      </c>
      <c r="G128" s="87" t="s">
        <v>423</v>
      </c>
      <c r="H128" s="119" t="s">
        <v>424</v>
      </c>
      <c r="I128" s="88">
        <v>45232</v>
      </c>
      <c r="J128" s="85" t="s">
        <v>358</v>
      </c>
      <c r="K128" s="85" t="s">
        <v>142</v>
      </c>
      <c r="L128" s="85"/>
      <c r="M128" s="85" t="s">
        <v>42</v>
      </c>
      <c r="N128" s="91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90"/>
      <c r="AB128" s="90"/>
      <c r="AC128" s="90"/>
      <c r="AD128" s="90"/>
      <c r="AE128" s="90"/>
      <c r="AF128" s="90"/>
      <c r="AG128" s="90"/>
      <c r="AH128" s="90"/>
      <c r="AI128" s="90"/>
      <c r="AJ128" s="90"/>
      <c r="AK128" s="90"/>
      <c r="AL128" s="90"/>
      <c r="AM128" s="90"/>
      <c r="AN128" s="90"/>
      <c r="AO128" s="90"/>
      <c r="AP128" s="90"/>
      <c r="AQ128" s="90"/>
      <c r="AR128" s="90"/>
      <c r="AS128" s="90"/>
    </row>
    <row r="129" spans="1:45" ht="16.5" customHeight="1">
      <c r="A129" s="85">
        <v>124</v>
      </c>
      <c r="B129" s="85" t="s">
        <v>91</v>
      </c>
      <c r="C129" s="85" t="s">
        <v>421</v>
      </c>
      <c r="D129" s="85" t="s">
        <v>422</v>
      </c>
      <c r="E129" s="85">
        <v>3</v>
      </c>
      <c r="F129" s="86">
        <v>42039</v>
      </c>
      <c r="G129" s="87" t="s">
        <v>423</v>
      </c>
      <c r="H129" s="119" t="s">
        <v>424</v>
      </c>
      <c r="I129" s="88">
        <v>45232</v>
      </c>
      <c r="J129" s="85" t="s">
        <v>150</v>
      </c>
      <c r="K129" s="85" t="s">
        <v>125</v>
      </c>
      <c r="L129" s="85"/>
      <c r="M129" s="85" t="s">
        <v>42</v>
      </c>
      <c r="N129" s="91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  <c r="AA129" s="90"/>
      <c r="AB129" s="90"/>
      <c r="AC129" s="90"/>
      <c r="AD129" s="90"/>
      <c r="AE129" s="90"/>
      <c r="AF129" s="90"/>
      <c r="AG129" s="90"/>
      <c r="AH129" s="90"/>
      <c r="AI129" s="90"/>
      <c r="AJ129" s="90"/>
      <c r="AK129" s="90"/>
      <c r="AL129" s="90"/>
      <c r="AM129" s="90"/>
      <c r="AN129" s="90"/>
      <c r="AO129" s="90"/>
      <c r="AP129" s="90"/>
      <c r="AQ129" s="90"/>
      <c r="AR129" s="90"/>
      <c r="AS129" s="90"/>
    </row>
    <row r="130" spans="1:45" ht="16.5" customHeight="1">
      <c r="A130" s="85">
        <v>125</v>
      </c>
      <c r="B130" s="92" t="s">
        <v>50</v>
      </c>
      <c r="C130" s="85" t="s">
        <v>425</v>
      </c>
      <c r="D130" s="85" t="s">
        <v>426</v>
      </c>
      <c r="E130" s="85">
        <v>2</v>
      </c>
      <c r="F130" s="86">
        <v>42526</v>
      </c>
      <c r="G130" s="87" t="s">
        <v>427</v>
      </c>
      <c r="H130" s="87" t="s">
        <v>428</v>
      </c>
      <c r="I130" s="88">
        <v>45202</v>
      </c>
      <c r="J130" s="85" t="s">
        <v>118</v>
      </c>
      <c r="K130" s="85" t="s">
        <v>163</v>
      </c>
      <c r="L130" s="85"/>
      <c r="M130" s="85" t="s">
        <v>42</v>
      </c>
      <c r="N130" s="92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90"/>
      <c r="AB130" s="90"/>
      <c r="AC130" s="90"/>
      <c r="AD130" s="90"/>
      <c r="AE130" s="90"/>
      <c r="AF130" s="90"/>
      <c r="AG130" s="90"/>
      <c r="AH130" s="90"/>
      <c r="AI130" s="90"/>
      <c r="AJ130" s="90"/>
      <c r="AK130" s="90"/>
      <c r="AL130" s="90"/>
      <c r="AM130" s="90"/>
      <c r="AN130" s="90"/>
      <c r="AO130" s="90"/>
      <c r="AP130" s="90"/>
      <c r="AQ130" s="90"/>
      <c r="AR130" s="90"/>
      <c r="AS130" s="90"/>
    </row>
    <row r="131" spans="1:45" ht="16.5" customHeight="1">
      <c r="A131" s="85">
        <v>126</v>
      </c>
      <c r="B131" s="92" t="s">
        <v>91</v>
      </c>
      <c r="C131" s="85" t="s">
        <v>425</v>
      </c>
      <c r="D131" s="85" t="s">
        <v>426</v>
      </c>
      <c r="E131" s="85">
        <v>2</v>
      </c>
      <c r="F131" s="86">
        <v>42526</v>
      </c>
      <c r="G131" s="87" t="s">
        <v>427</v>
      </c>
      <c r="H131" s="87" t="s">
        <v>428</v>
      </c>
      <c r="I131" s="88">
        <v>45202</v>
      </c>
      <c r="J131" s="85" t="s">
        <v>121</v>
      </c>
      <c r="K131" s="85" t="s">
        <v>205</v>
      </c>
      <c r="L131" s="85"/>
      <c r="M131" s="85" t="s">
        <v>42</v>
      </c>
      <c r="N131" s="92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90"/>
      <c r="AD131" s="90"/>
      <c r="AE131" s="90"/>
      <c r="AF131" s="90"/>
      <c r="AG131" s="90"/>
      <c r="AH131" s="90"/>
      <c r="AI131" s="90"/>
      <c r="AJ131" s="90"/>
      <c r="AK131" s="90"/>
      <c r="AL131" s="90"/>
      <c r="AM131" s="90"/>
      <c r="AN131" s="90"/>
      <c r="AO131" s="90"/>
      <c r="AP131" s="90"/>
      <c r="AQ131" s="90"/>
      <c r="AR131" s="90"/>
      <c r="AS131" s="90"/>
    </row>
    <row r="132" spans="1:45" ht="16.5" customHeight="1">
      <c r="A132" s="85">
        <v>127</v>
      </c>
      <c r="B132" s="92" t="s">
        <v>50</v>
      </c>
      <c r="C132" s="85" t="s">
        <v>429</v>
      </c>
      <c r="D132" s="85" t="s">
        <v>430</v>
      </c>
      <c r="E132" s="85">
        <v>2</v>
      </c>
      <c r="F132" s="86">
        <v>42368</v>
      </c>
      <c r="G132" s="87" t="s">
        <v>431</v>
      </c>
      <c r="H132" s="87" t="s">
        <v>432</v>
      </c>
      <c r="I132" s="88">
        <v>45160</v>
      </c>
      <c r="J132" s="85" t="s">
        <v>186</v>
      </c>
      <c r="K132" s="85" t="s">
        <v>111</v>
      </c>
      <c r="L132" s="85"/>
      <c r="M132" s="85" t="s">
        <v>42</v>
      </c>
      <c r="N132" s="92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90"/>
      <c r="AD132" s="90"/>
      <c r="AE132" s="90"/>
      <c r="AF132" s="90"/>
      <c r="AG132" s="90"/>
      <c r="AH132" s="90"/>
      <c r="AI132" s="90"/>
      <c r="AJ132" s="90"/>
      <c r="AK132" s="90"/>
      <c r="AL132" s="90"/>
      <c r="AM132" s="90"/>
      <c r="AN132" s="90"/>
      <c r="AO132" s="90"/>
      <c r="AP132" s="90"/>
      <c r="AQ132" s="90"/>
      <c r="AR132" s="90"/>
      <c r="AS132" s="90"/>
    </row>
    <row r="133" spans="1:45" ht="16.5" customHeight="1">
      <c r="A133" s="85">
        <v>128</v>
      </c>
      <c r="B133" s="92" t="s">
        <v>91</v>
      </c>
      <c r="C133" s="85" t="s">
        <v>429</v>
      </c>
      <c r="D133" s="85" t="s">
        <v>430</v>
      </c>
      <c r="E133" s="85">
        <v>2</v>
      </c>
      <c r="F133" s="86">
        <v>42368</v>
      </c>
      <c r="G133" s="87" t="s">
        <v>431</v>
      </c>
      <c r="H133" s="87" t="s">
        <v>432</v>
      </c>
      <c r="I133" s="88">
        <v>45160</v>
      </c>
      <c r="J133" s="85" t="s">
        <v>188</v>
      </c>
      <c r="K133" s="85" t="s">
        <v>162</v>
      </c>
      <c r="L133" s="85"/>
      <c r="M133" s="85" t="s">
        <v>42</v>
      </c>
      <c r="N133" s="92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  <c r="AA133" s="90"/>
      <c r="AB133" s="90"/>
      <c r="AC133" s="90"/>
      <c r="AD133" s="90"/>
      <c r="AE133" s="90"/>
      <c r="AF133" s="90"/>
      <c r="AG133" s="90"/>
      <c r="AH133" s="90"/>
      <c r="AI133" s="90"/>
      <c r="AJ133" s="90"/>
      <c r="AK133" s="90"/>
      <c r="AL133" s="90"/>
      <c r="AM133" s="90"/>
      <c r="AN133" s="90"/>
      <c r="AO133" s="90"/>
      <c r="AP133" s="90"/>
      <c r="AQ133" s="90"/>
      <c r="AR133" s="90"/>
      <c r="AS133" s="90"/>
    </row>
    <row r="134" spans="1:45" ht="16.5" customHeight="1">
      <c r="A134" s="85">
        <v>129</v>
      </c>
      <c r="B134" s="92" t="s">
        <v>50</v>
      </c>
      <c r="C134" s="85" t="s">
        <v>433</v>
      </c>
      <c r="D134" s="85" t="s">
        <v>434</v>
      </c>
      <c r="E134" s="85">
        <v>2</v>
      </c>
      <c r="F134" s="86">
        <v>42185</v>
      </c>
      <c r="G134" s="87" t="s">
        <v>435</v>
      </c>
      <c r="H134" s="87" t="s">
        <v>436</v>
      </c>
      <c r="I134" s="88">
        <v>45200</v>
      </c>
      <c r="J134" s="85" t="s">
        <v>186</v>
      </c>
      <c r="K134" s="85" t="s">
        <v>126</v>
      </c>
      <c r="L134" s="85"/>
      <c r="M134" s="85" t="s">
        <v>42</v>
      </c>
      <c r="N134" s="13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90"/>
      <c r="AB134" s="90"/>
      <c r="AC134" s="90"/>
      <c r="AD134" s="90"/>
      <c r="AE134" s="90"/>
      <c r="AF134" s="90"/>
      <c r="AG134" s="90"/>
      <c r="AH134" s="90"/>
      <c r="AI134" s="90"/>
      <c r="AJ134" s="90"/>
      <c r="AK134" s="90"/>
      <c r="AL134" s="90"/>
      <c r="AM134" s="90"/>
      <c r="AN134" s="90"/>
      <c r="AO134" s="90"/>
      <c r="AP134" s="90"/>
      <c r="AQ134" s="90"/>
      <c r="AR134" s="90"/>
      <c r="AS134" s="90"/>
    </row>
    <row r="135" spans="1:45" ht="16.5" customHeight="1">
      <c r="A135" s="85">
        <v>130</v>
      </c>
      <c r="B135" s="92" t="s">
        <v>91</v>
      </c>
      <c r="C135" s="85" t="s">
        <v>433</v>
      </c>
      <c r="D135" s="85" t="s">
        <v>434</v>
      </c>
      <c r="E135" s="85">
        <v>2</v>
      </c>
      <c r="F135" s="86">
        <v>42185</v>
      </c>
      <c r="G135" s="87" t="s">
        <v>435</v>
      </c>
      <c r="H135" s="87" t="s">
        <v>436</v>
      </c>
      <c r="I135" s="88">
        <v>45200</v>
      </c>
      <c r="J135" s="85" t="s">
        <v>188</v>
      </c>
      <c r="K135" s="85" t="s">
        <v>119</v>
      </c>
      <c r="L135" s="85"/>
      <c r="M135" s="85" t="s">
        <v>42</v>
      </c>
      <c r="N135" s="13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  <c r="AA135" s="90"/>
      <c r="AB135" s="90"/>
      <c r="AC135" s="90"/>
      <c r="AD135" s="90"/>
      <c r="AE135" s="90"/>
      <c r="AF135" s="90"/>
      <c r="AG135" s="90"/>
      <c r="AH135" s="90"/>
      <c r="AI135" s="90"/>
      <c r="AJ135" s="90"/>
      <c r="AK135" s="90"/>
      <c r="AL135" s="90"/>
      <c r="AM135" s="90"/>
      <c r="AN135" s="90"/>
      <c r="AO135" s="90"/>
      <c r="AP135" s="90"/>
      <c r="AQ135" s="90"/>
      <c r="AR135" s="90"/>
      <c r="AS135" s="90"/>
    </row>
    <row r="136" spans="1:45" ht="16.5" customHeight="1">
      <c r="A136" s="85">
        <v>131</v>
      </c>
      <c r="B136" s="98" t="s">
        <v>50</v>
      </c>
      <c r="C136" s="99" t="s">
        <v>437</v>
      </c>
      <c r="D136" s="99" t="s">
        <v>438</v>
      </c>
      <c r="E136" s="99">
        <v>3</v>
      </c>
      <c r="F136" s="100">
        <v>42120</v>
      </c>
      <c r="G136" s="101" t="s">
        <v>439</v>
      </c>
      <c r="H136" s="101" t="s">
        <v>440</v>
      </c>
      <c r="I136" s="102">
        <v>45327</v>
      </c>
      <c r="J136" s="100" t="s">
        <v>186</v>
      </c>
      <c r="K136" s="100" t="s">
        <v>181</v>
      </c>
      <c r="L136" s="103"/>
      <c r="M136" s="85" t="s">
        <v>42</v>
      </c>
      <c r="N136" s="104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  <c r="AM136" s="105"/>
      <c r="AN136" s="105"/>
      <c r="AO136" s="105"/>
      <c r="AP136" s="105"/>
      <c r="AQ136" s="105"/>
      <c r="AR136" s="105"/>
      <c r="AS136" s="105"/>
    </row>
    <row r="137" spans="1:45" ht="16.5" customHeight="1">
      <c r="A137" s="85">
        <v>132</v>
      </c>
      <c r="B137" s="121" t="s">
        <v>50</v>
      </c>
      <c r="C137" s="121" t="s">
        <v>441</v>
      </c>
      <c r="D137" s="121" t="s">
        <v>442</v>
      </c>
      <c r="E137" s="121">
        <v>8</v>
      </c>
      <c r="F137" s="122">
        <v>40097</v>
      </c>
      <c r="G137" s="123" t="s">
        <v>443</v>
      </c>
      <c r="H137" s="123" t="s">
        <v>444</v>
      </c>
      <c r="I137" s="124">
        <v>45327</v>
      </c>
      <c r="J137" s="121"/>
      <c r="K137" s="121" t="s">
        <v>445</v>
      </c>
      <c r="L137" s="121"/>
      <c r="M137" s="121" t="s">
        <v>42</v>
      </c>
      <c r="N137" s="131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5"/>
      <c r="AH137" s="125"/>
      <c r="AI137" s="125"/>
      <c r="AJ137" s="125"/>
      <c r="AK137" s="125"/>
      <c r="AL137" s="125"/>
      <c r="AM137" s="125"/>
      <c r="AN137" s="125"/>
      <c r="AO137" s="125"/>
      <c r="AP137" s="125"/>
      <c r="AQ137" s="125"/>
      <c r="AR137" s="125"/>
      <c r="AS137" s="125"/>
    </row>
    <row r="138" spans="1:45" ht="16.5" customHeight="1">
      <c r="A138" s="85">
        <v>133</v>
      </c>
      <c r="B138" s="98" t="s">
        <v>50</v>
      </c>
      <c r="C138" s="99" t="s">
        <v>446</v>
      </c>
      <c r="D138" s="99" t="s">
        <v>447</v>
      </c>
      <c r="E138" s="99">
        <v>2</v>
      </c>
      <c r="F138" s="100">
        <v>42778</v>
      </c>
      <c r="G138" s="101" t="s">
        <v>448</v>
      </c>
      <c r="H138" s="101" t="s">
        <v>449</v>
      </c>
      <c r="I138" s="102">
        <v>45323</v>
      </c>
      <c r="J138" s="99" t="s">
        <v>131</v>
      </c>
      <c r="K138" s="99" t="s">
        <v>132</v>
      </c>
      <c r="L138" s="104"/>
      <c r="M138" s="85" t="s">
        <v>42</v>
      </c>
      <c r="N138" s="104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90"/>
      <c r="AB138" s="90"/>
      <c r="AC138" s="90"/>
      <c r="AD138" s="90"/>
      <c r="AE138" s="90"/>
      <c r="AF138" s="90"/>
      <c r="AG138" s="90"/>
      <c r="AH138" s="90"/>
      <c r="AI138" s="90"/>
      <c r="AJ138" s="90"/>
      <c r="AK138" s="90"/>
      <c r="AL138" s="90"/>
      <c r="AM138" s="105"/>
      <c r="AN138" s="105"/>
      <c r="AO138" s="105"/>
      <c r="AP138" s="105"/>
      <c r="AQ138" s="105"/>
      <c r="AR138" s="105"/>
      <c r="AS138" s="105"/>
    </row>
    <row r="139" spans="1:45" ht="16.5" customHeight="1">
      <c r="A139" s="85">
        <v>134</v>
      </c>
      <c r="B139" s="132" t="s">
        <v>50</v>
      </c>
      <c r="C139" s="133" t="s">
        <v>450</v>
      </c>
      <c r="D139" s="133" t="s">
        <v>451</v>
      </c>
      <c r="E139" s="133">
        <v>3</v>
      </c>
      <c r="F139" s="134">
        <v>42369</v>
      </c>
      <c r="G139" s="135" t="s">
        <v>452</v>
      </c>
      <c r="H139" s="135" t="s">
        <v>453</v>
      </c>
      <c r="I139" s="136">
        <v>45339</v>
      </c>
      <c r="J139" s="133"/>
      <c r="K139" s="133" t="s">
        <v>445</v>
      </c>
      <c r="L139" s="137"/>
      <c r="M139" s="113" t="s">
        <v>36</v>
      </c>
      <c r="N139" s="137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  <c r="AB139" s="118"/>
      <c r="AC139" s="118"/>
      <c r="AD139" s="118"/>
      <c r="AE139" s="118"/>
      <c r="AF139" s="118"/>
      <c r="AG139" s="118"/>
      <c r="AH139" s="118"/>
      <c r="AI139" s="118"/>
      <c r="AJ139" s="118"/>
      <c r="AK139" s="118"/>
      <c r="AL139" s="118"/>
      <c r="AM139" s="138"/>
      <c r="AN139" s="138"/>
      <c r="AO139" s="138"/>
      <c r="AP139" s="138"/>
      <c r="AQ139" s="138"/>
      <c r="AR139" s="138"/>
      <c r="AS139" s="138"/>
    </row>
    <row r="140" spans="1:45" ht="16.5" customHeight="1">
      <c r="A140" s="85">
        <v>135</v>
      </c>
      <c r="B140" s="132" t="s">
        <v>50</v>
      </c>
      <c r="C140" s="133" t="s">
        <v>450</v>
      </c>
      <c r="D140" s="133" t="s">
        <v>454</v>
      </c>
      <c r="E140" s="133" t="s">
        <v>190</v>
      </c>
      <c r="F140" s="134">
        <v>43266</v>
      </c>
      <c r="G140" s="135" t="s">
        <v>452</v>
      </c>
      <c r="H140" s="135" t="s">
        <v>453</v>
      </c>
      <c r="I140" s="136">
        <v>45339</v>
      </c>
      <c r="J140" s="133"/>
      <c r="K140" s="133" t="s">
        <v>445</v>
      </c>
      <c r="L140" s="137"/>
      <c r="M140" s="113" t="s">
        <v>36</v>
      </c>
      <c r="N140" s="137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  <c r="AE140" s="118"/>
      <c r="AF140" s="118"/>
      <c r="AG140" s="118"/>
      <c r="AH140" s="118"/>
      <c r="AI140" s="118"/>
      <c r="AJ140" s="118"/>
      <c r="AK140" s="118"/>
      <c r="AL140" s="118"/>
      <c r="AM140" s="138"/>
      <c r="AN140" s="138"/>
      <c r="AO140" s="138"/>
      <c r="AP140" s="138"/>
      <c r="AQ140" s="138"/>
      <c r="AR140" s="138"/>
      <c r="AS140" s="138"/>
    </row>
    <row r="141" spans="1:45" ht="16.5" customHeight="1">
      <c r="A141" s="85">
        <v>136</v>
      </c>
      <c r="B141" s="98" t="s">
        <v>50</v>
      </c>
      <c r="C141" s="99" t="s">
        <v>455</v>
      </c>
      <c r="D141" s="99" t="s">
        <v>456</v>
      </c>
      <c r="E141" s="99">
        <v>2</v>
      </c>
      <c r="F141" s="100">
        <v>42829</v>
      </c>
      <c r="G141" s="101" t="s">
        <v>457</v>
      </c>
      <c r="H141" s="101" t="s">
        <v>458</v>
      </c>
      <c r="I141" s="102">
        <v>45341</v>
      </c>
      <c r="J141" s="100" t="s">
        <v>231</v>
      </c>
      <c r="K141" s="100" t="s">
        <v>187</v>
      </c>
      <c r="L141" s="103"/>
      <c r="M141" s="85" t="s">
        <v>42</v>
      </c>
      <c r="N141" s="104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90"/>
      <c r="AH141" s="90"/>
      <c r="AI141" s="90"/>
      <c r="AJ141" s="90"/>
      <c r="AK141" s="90"/>
      <c r="AL141" s="90"/>
      <c r="AM141" s="105"/>
      <c r="AN141" s="105"/>
      <c r="AO141" s="105"/>
      <c r="AP141" s="105"/>
      <c r="AQ141" s="105"/>
      <c r="AR141" s="105"/>
      <c r="AS141" s="105"/>
    </row>
    <row r="142" spans="1:45" ht="16.5" customHeight="1">
      <c r="A142" s="85">
        <v>137</v>
      </c>
      <c r="B142" s="98" t="s">
        <v>91</v>
      </c>
      <c r="C142" s="99" t="s">
        <v>455</v>
      </c>
      <c r="D142" s="99" t="s">
        <v>456</v>
      </c>
      <c r="E142" s="99">
        <v>2</v>
      </c>
      <c r="F142" s="100">
        <v>42829</v>
      </c>
      <c r="G142" s="101" t="s">
        <v>457</v>
      </c>
      <c r="H142" s="101" t="s">
        <v>458</v>
      </c>
      <c r="I142" s="102">
        <v>45341</v>
      </c>
      <c r="J142" s="100" t="s">
        <v>233</v>
      </c>
      <c r="K142" s="100" t="s">
        <v>232</v>
      </c>
      <c r="L142" s="103"/>
      <c r="M142" s="85" t="s">
        <v>42</v>
      </c>
      <c r="N142" s="104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90"/>
      <c r="AB142" s="90"/>
      <c r="AC142" s="90"/>
      <c r="AD142" s="90"/>
      <c r="AE142" s="90"/>
      <c r="AF142" s="90"/>
      <c r="AG142" s="90"/>
      <c r="AH142" s="90"/>
      <c r="AI142" s="90"/>
      <c r="AJ142" s="90"/>
      <c r="AK142" s="90"/>
      <c r="AL142" s="90"/>
      <c r="AM142" s="105"/>
      <c r="AN142" s="105"/>
      <c r="AO142" s="105"/>
      <c r="AP142" s="105"/>
      <c r="AQ142" s="105"/>
      <c r="AR142" s="105"/>
      <c r="AS142" s="105"/>
    </row>
    <row r="143" spans="1:45" ht="16.5" customHeight="1">
      <c r="A143" s="85">
        <v>138</v>
      </c>
      <c r="B143" s="85" t="s">
        <v>50</v>
      </c>
      <c r="C143" s="85" t="s">
        <v>459</v>
      </c>
      <c r="D143" s="85" t="s">
        <v>460</v>
      </c>
      <c r="E143" s="85">
        <v>2</v>
      </c>
      <c r="F143" s="86">
        <v>42300</v>
      </c>
      <c r="G143" s="87" t="s">
        <v>461</v>
      </c>
      <c r="H143" s="87" t="s">
        <v>462</v>
      </c>
      <c r="I143" s="88">
        <v>45166</v>
      </c>
      <c r="J143" s="85" t="s">
        <v>186</v>
      </c>
      <c r="K143" s="85" t="s">
        <v>113</v>
      </c>
      <c r="L143" s="85"/>
      <c r="M143" s="85" t="s">
        <v>42</v>
      </c>
      <c r="N143" s="91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  <c r="AA143" s="90"/>
      <c r="AB143" s="90"/>
      <c r="AC143" s="90"/>
      <c r="AD143" s="90"/>
      <c r="AE143" s="90"/>
      <c r="AF143" s="90"/>
      <c r="AG143" s="90"/>
      <c r="AH143" s="90"/>
      <c r="AI143" s="90"/>
      <c r="AJ143" s="90"/>
      <c r="AK143" s="90"/>
      <c r="AL143" s="90"/>
      <c r="AM143" s="90"/>
      <c r="AN143" s="90"/>
      <c r="AO143" s="90"/>
      <c r="AP143" s="90"/>
      <c r="AQ143" s="90"/>
      <c r="AR143" s="90"/>
      <c r="AS143" s="90"/>
    </row>
    <row r="144" spans="1:45" ht="16.5" customHeight="1">
      <c r="A144" s="85">
        <v>139</v>
      </c>
      <c r="B144" s="98" t="s">
        <v>91</v>
      </c>
      <c r="C144" s="85" t="s">
        <v>459</v>
      </c>
      <c r="D144" s="85" t="s">
        <v>460</v>
      </c>
      <c r="E144" s="85">
        <v>2</v>
      </c>
      <c r="F144" s="86">
        <v>42300</v>
      </c>
      <c r="G144" s="139" t="s">
        <v>461</v>
      </c>
      <c r="H144" s="139" t="s">
        <v>462</v>
      </c>
      <c r="I144" s="140">
        <v>45327</v>
      </c>
      <c r="J144" s="100" t="s">
        <v>121</v>
      </c>
      <c r="K144" s="100" t="s">
        <v>163</v>
      </c>
      <c r="L144" s="103"/>
      <c r="M144" s="85" t="s">
        <v>42</v>
      </c>
      <c r="N144" s="104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  <c r="AA144" s="90"/>
      <c r="AB144" s="90"/>
      <c r="AC144" s="90"/>
      <c r="AD144" s="90"/>
      <c r="AE144" s="90"/>
      <c r="AF144" s="90"/>
      <c r="AG144" s="90"/>
      <c r="AH144" s="90"/>
      <c r="AI144" s="90"/>
      <c r="AJ144" s="90"/>
      <c r="AK144" s="90"/>
      <c r="AL144" s="90"/>
      <c r="AM144" s="105"/>
      <c r="AN144" s="105"/>
      <c r="AO144" s="105"/>
      <c r="AP144" s="105"/>
      <c r="AQ144" s="105"/>
      <c r="AR144" s="105"/>
      <c r="AS144" s="105"/>
    </row>
    <row r="145" spans="1:45" ht="16.5" customHeight="1">
      <c r="A145" s="85">
        <v>140</v>
      </c>
      <c r="B145" s="85" t="s">
        <v>50</v>
      </c>
      <c r="C145" s="85" t="s">
        <v>463</v>
      </c>
      <c r="D145" s="85" t="s">
        <v>464</v>
      </c>
      <c r="E145" s="85">
        <v>6</v>
      </c>
      <c r="F145" s="86">
        <v>40841</v>
      </c>
      <c r="G145" s="87" t="s">
        <v>465</v>
      </c>
      <c r="H145" s="87" t="s">
        <v>466</v>
      </c>
      <c r="I145" s="88">
        <v>45154</v>
      </c>
      <c r="J145" s="85" t="s">
        <v>271</v>
      </c>
      <c r="K145" s="85" t="s">
        <v>119</v>
      </c>
      <c r="L145" s="85"/>
      <c r="M145" s="85" t="s">
        <v>42</v>
      </c>
      <c r="N145" s="91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  <c r="AA145" s="90"/>
      <c r="AB145" s="90"/>
      <c r="AC145" s="90"/>
      <c r="AD145" s="90"/>
      <c r="AE145" s="90"/>
      <c r="AF145" s="90"/>
      <c r="AG145" s="90"/>
      <c r="AH145" s="90"/>
      <c r="AI145" s="90"/>
      <c r="AJ145" s="90"/>
      <c r="AK145" s="90"/>
      <c r="AL145" s="90"/>
      <c r="AM145" s="90"/>
      <c r="AN145" s="90"/>
      <c r="AO145" s="90"/>
      <c r="AP145" s="90"/>
      <c r="AQ145" s="90"/>
      <c r="AR145" s="90"/>
      <c r="AS145" s="90"/>
    </row>
    <row r="146" spans="1:45" ht="16.5" customHeight="1">
      <c r="A146" s="85">
        <v>141</v>
      </c>
      <c r="B146" s="85" t="s">
        <v>91</v>
      </c>
      <c r="C146" s="85" t="s">
        <v>463</v>
      </c>
      <c r="D146" s="85" t="s">
        <v>464</v>
      </c>
      <c r="E146" s="85">
        <v>5</v>
      </c>
      <c r="F146" s="86">
        <v>40841</v>
      </c>
      <c r="G146" s="87" t="s">
        <v>465</v>
      </c>
      <c r="H146" s="87" t="s">
        <v>466</v>
      </c>
      <c r="I146" s="88">
        <v>44805</v>
      </c>
      <c r="J146" s="85" t="s">
        <v>167</v>
      </c>
      <c r="K146" s="85" t="s">
        <v>163</v>
      </c>
      <c r="L146" s="85"/>
      <c r="M146" s="85" t="s">
        <v>42</v>
      </c>
      <c r="N146" s="91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  <c r="AA146" s="90"/>
      <c r="AB146" s="90"/>
      <c r="AC146" s="90"/>
      <c r="AD146" s="90"/>
      <c r="AE146" s="90"/>
      <c r="AF146" s="90"/>
      <c r="AG146" s="90"/>
      <c r="AH146" s="90"/>
      <c r="AI146" s="90"/>
      <c r="AJ146" s="90"/>
      <c r="AK146" s="90"/>
      <c r="AL146" s="90"/>
      <c r="AM146" s="90"/>
      <c r="AN146" s="90"/>
      <c r="AO146" s="90"/>
      <c r="AP146" s="90"/>
      <c r="AQ146" s="90"/>
      <c r="AR146" s="90"/>
      <c r="AS146" s="90"/>
    </row>
    <row r="147" spans="1:45" ht="16.5" customHeight="1">
      <c r="A147" s="85">
        <v>142</v>
      </c>
      <c r="B147" s="85" t="s">
        <v>50</v>
      </c>
      <c r="C147" s="85" t="s">
        <v>463</v>
      </c>
      <c r="D147" s="85" t="s">
        <v>467</v>
      </c>
      <c r="E147" s="85">
        <v>2</v>
      </c>
      <c r="F147" s="86">
        <v>42381</v>
      </c>
      <c r="G147" s="87" t="s">
        <v>468</v>
      </c>
      <c r="H147" s="87" t="s">
        <v>469</v>
      </c>
      <c r="I147" s="88">
        <v>44896</v>
      </c>
      <c r="J147" s="85" t="s">
        <v>186</v>
      </c>
      <c r="K147" s="85" t="s">
        <v>470</v>
      </c>
      <c r="L147" s="85"/>
      <c r="M147" s="85" t="s">
        <v>42</v>
      </c>
      <c r="N147" s="91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  <c r="AA147" s="90"/>
      <c r="AB147" s="90"/>
      <c r="AC147" s="90"/>
      <c r="AD147" s="90"/>
      <c r="AE147" s="90"/>
      <c r="AF147" s="90"/>
      <c r="AG147" s="90"/>
      <c r="AH147" s="90"/>
      <c r="AI147" s="90"/>
      <c r="AJ147" s="90"/>
      <c r="AK147" s="90"/>
      <c r="AL147" s="90"/>
      <c r="AM147" s="90"/>
      <c r="AN147" s="90"/>
      <c r="AO147" s="90"/>
      <c r="AP147" s="90"/>
      <c r="AQ147" s="90"/>
      <c r="AR147" s="90"/>
      <c r="AS147" s="90"/>
    </row>
    <row r="148" spans="1:45" ht="16.5" customHeight="1">
      <c r="A148" s="85">
        <v>143</v>
      </c>
      <c r="B148" s="85" t="s">
        <v>91</v>
      </c>
      <c r="C148" s="85" t="s">
        <v>463</v>
      </c>
      <c r="D148" s="85" t="s">
        <v>467</v>
      </c>
      <c r="E148" s="85">
        <v>2</v>
      </c>
      <c r="F148" s="86">
        <v>42381</v>
      </c>
      <c r="G148" s="87" t="s">
        <v>468</v>
      </c>
      <c r="H148" s="87" t="s">
        <v>469</v>
      </c>
      <c r="I148" s="88">
        <v>44896</v>
      </c>
      <c r="J148" s="85" t="s">
        <v>221</v>
      </c>
      <c r="K148" s="85" t="s">
        <v>175</v>
      </c>
      <c r="L148" s="85"/>
      <c r="M148" s="85" t="s">
        <v>42</v>
      </c>
      <c r="N148" s="91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  <c r="AG148" s="90"/>
      <c r="AH148" s="90"/>
      <c r="AI148" s="90"/>
      <c r="AJ148" s="90"/>
      <c r="AK148" s="90"/>
      <c r="AL148" s="90"/>
      <c r="AM148" s="90"/>
      <c r="AN148" s="90"/>
      <c r="AO148" s="90"/>
      <c r="AP148" s="90"/>
      <c r="AQ148" s="90"/>
      <c r="AR148" s="90"/>
      <c r="AS148" s="90"/>
    </row>
    <row r="149" spans="1:45" ht="16.5" customHeight="1">
      <c r="A149" s="85">
        <v>144</v>
      </c>
      <c r="B149" s="85" t="s">
        <v>50</v>
      </c>
      <c r="C149" s="85" t="s">
        <v>463</v>
      </c>
      <c r="D149" s="85" t="s">
        <v>471</v>
      </c>
      <c r="E149" s="85">
        <v>2</v>
      </c>
      <c r="F149" s="86">
        <v>42608</v>
      </c>
      <c r="G149" s="87" t="s">
        <v>465</v>
      </c>
      <c r="H149" s="87" t="s">
        <v>466</v>
      </c>
      <c r="I149" s="88">
        <v>45154</v>
      </c>
      <c r="J149" s="85" t="s">
        <v>358</v>
      </c>
      <c r="K149" s="85" t="s">
        <v>163</v>
      </c>
      <c r="L149" s="85"/>
      <c r="M149" s="85" t="s">
        <v>42</v>
      </c>
      <c r="N149" s="91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90"/>
      <c r="AB149" s="90"/>
      <c r="AC149" s="90"/>
      <c r="AD149" s="90"/>
      <c r="AE149" s="90"/>
      <c r="AF149" s="90"/>
      <c r="AG149" s="90"/>
      <c r="AH149" s="90"/>
      <c r="AI149" s="90"/>
      <c r="AJ149" s="90"/>
      <c r="AK149" s="90"/>
      <c r="AL149" s="90"/>
      <c r="AM149" s="90"/>
      <c r="AN149" s="90"/>
      <c r="AO149" s="90"/>
      <c r="AP149" s="90"/>
      <c r="AQ149" s="90"/>
      <c r="AR149" s="90"/>
      <c r="AS149" s="90"/>
    </row>
    <row r="150" spans="1:45" ht="16.5" customHeight="1">
      <c r="A150" s="85">
        <v>145</v>
      </c>
      <c r="B150" s="85" t="s">
        <v>91</v>
      </c>
      <c r="C150" s="85" t="s">
        <v>463</v>
      </c>
      <c r="D150" s="85" t="s">
        <v>471</v>
      </c>
      <c r="E150" s="85">
        <v>1</v>
      </c>
      <c r="F150" s="86">
        <v>42608</v>
      </c>
      <c r="G150" s="87" t="s">
        <v>465</v>
      </c>
      <c r="H150" s="87" t="s">
        <v>466</v>
      </c>
      <c r="I150" s="88">
        <v>44805</v>
      </c>
      <c r="J150" s="85" t="s">
        <v>221</v>
      </c>
      <c r="K150" s="85" t="s">
        <v>232</v>
      </c>
      <c r="L150" s="85"/>
      <c r="M150" s="85" t="s">
        <v>42</v>
      </c>
      <c r="N150" s="91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  <c r="AA150" s="90"/>
      <c r="AB150" s="90"/>
      <c r="AC150" s="90"/>
      <c r="AD150" s="90"/>
      <c r="AE150" s="90"/>
      <c r="AF150" s="90"/>
      <c r="AG150" s="90"/>
      <c r="AH150" s="90"/>
      <c r="AI150" s="90"/>
      <c r="AJ150" s="90"/>
      <c r="AK150" s="90"/>
      <c r="AL150" s="90"/>
      <c r="AM150" s="90"/>
      <c r="AN150" s="90"/>
      <c r="AO150" s="90"/>
      <c r="AP150" s="90"/>
      <c r="AQ150" s="90"/>
      <c r="AR150" s="90"/>
      <c r="AS150" s="90"/>
    </row>
    <row r="151" spans="1:45" ht="16.5" customHeight="1">
      <c r="A151" s="85">
        <v>146</v>
      </c>
      <c r="B151" s="85" t="s">
        <v>50</v>
      </c>
      <c r="C151" s="85" t="s">
        <v>463</v>
      </c>
      <c r="D151" s="85" t="s">
        <v>472</v>
      </c>
      <c r="E151" s="85">
        <v>1</v>
      </c>
      <c r="F151" s="86">
        <v>42125</v>
      </c>
      <c r="G151" s="87" t="s">
        <v>473</v>
      </c>
      <c r="H151" s="87" t="s">
        <v>474</v>
      </c>
      <c r="I151" s="88">
        <v>44562</v>
      </c>
      <c r="J151" s="85" t="s">
        <v>148</v>
      </c>
      <c r="K151" s="85" t="s">
        <v>272</v>
      </c>
      <c r="L151" s="85"/>
      <c r="M151" s="85" t="s">
        <v>42</v>
      </c>
      <c r="N151" s="91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  <c r="AA151" s="90"/>
      <c r="AB151" s="90"/>
      <c r="AC151" s="90"/>
      <c r="AD151" s="90"/>
      <c r="AE151" s="90"/>
      <c r="AF151" s="90"/>
      <c r="AG151" s="90"/>
      <c r="AH151" s="90"/>
      <c r="AI151" s="90"/>
      <c r="AJ151" s="90"/>
      <c r="AK151" s="90"/>
      <c r="AL151" s="90"/>
      <c r="AM151" s="90"/>
      <c r="AN151" s="90"/>
      <c r="AO151" s="90"/>
      <c r="AP151" s="90"/>
      <c r="AQ151" s="90"/>
      <c r="AR151" s="90"/>
      <c r="AS151" s="90"/>
    </row>
    <row r="152" spans="1:45" ht="16.5" customHeight="1">
      <c r="A152" s="85">
        <v>147</v>
      </c>
      <c r="B152" s="85" t="s">
        <v>91</v>
      </c>
      <c r="C152" s="85" t="s">
        <v>463</v>
      </c>
      <c r="D152" s="85" t="s">
        <v>472</v>
      </c>
      <c r="E152" s="85">
        <v>1</v>
      </c>
      <c r="F152" s="86">
        <v>42125</v>
      </c>
      <c r="G152" s="87" t="s">
        <v>473</v>
      </c>
      <c r="H152" s="87" t="s">
        <v>474</v>
      </c>
      <c r="I152" s="88">
        <v>44562</v>
      </c>
      <c r="J152" s="85" t="s">
        <v>221</v>
      </c>
      <c r="K152" s="85" t="s">
        <v>272</v>
      </c>
      <c r="L152" s="85"/>
      <c r="M152" s="141" t="s">
        <v>42</v>
      </c>
      <c r="N152" s="142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  <c r="AA152" s="90"/>
      <c r="AB152" s="90"/>
      <c r="AC152" s="90"/>
      <c r="AD152" s="90"/>
      <c r="AE152" s="90"/>
      <c r="AF152" s="90"/>
      <c r="AG152" s="90"/>
      <c r="AH152" s="90"/>
      <c r="AI152" s="90"/>
      <c r="AJ152" s="90"/>
      <c r="AK152" s="90"/>
      <c r="AL152" s="90"/>
      <c r="AM152" s="90"/>
      <c r="AN152" s="90"/>
      <c r="AO152" s="90"/>
      <c r="AP152" s="90"/>
      <c r="AQ152" s="90"/>
      <c r="AR152" s="90"/>
      <c r="AS152" s="90"/>
    </row>
    <row r="153" spans="1:45" ht="16.5" customHeight="1">
      <c r="A153" s="85">
        <v>148</v>
      </c>
      <c r="B153" s="92" t="s">
        <v>50</v>
      </c>
      <c r="C153" s="85" t="s">
        <v>463</v>
      </c>
      <c r="D153" s="85" t="s">
        <v>475</v>
      </c>
      <c r="E153" s="85">
        <v>2</v>
      </c>
      <c r="F153" s="86">
        <v>42588</v>
      </c>
      <c r="G153" s="87" t="s">
        <v>476</v>
      </c>
      <c r="H153" s="87" t="s">
        <v>477</v>
      </c>
      <c r="I153" s="88">
        <v>45261</v>
      </c>
      <c r="J153" s="85" t="s">
        <v>118</v>
      </c>
      <c r="K153" s="85" t="s">
        <v>212</v>
      </c>
      <c r="L153" s="85"/>
      <c r="M153" s="141" t="s">
        <v>42</v>
      </c>
      <c r="N153" s="143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  <c r="AA153" s="90"/>
      <c r="AB153" s="90"/>
      <c r="AC153" s="90"/>
      <c r="AD153" s="90"/>
      <c r="AE153" s="90"/>
      <c r="AF153" s="90"/>
      <c r="AG153" s="90"/>
      <c r="AH153" s="90"/>
      <c r="AI153" s="90"/>
      <c r="AJ153" s="90"/>
      <c r="AK153" s="90"/>
      <c r="AL153" s="90"/>
      <c r="AM153" s="90"/>
      <c r="AN153" s="90"/>
      <c r="AO153" s="90"/>
      <c r="AP153" s="90"/>
      <c r="AQ153" s="90"/>
      <c r="AR153" s="90"/>
      <c r="AS153" s="90"/>
    </row>
    <row r="154" spans="1:45" ht="16.5" customHeight="1">
      <c r="A154" s="85">
        <v>149</v>
      </c>
      <c r="B154" s="92" t="s">
        <v>50</v>
      </c>
      <c r="C154" s="85" t="s">
        <v>463</v>
      </c>
      <c r="D154" s="85" t="s">
        <v>478</v>
      </c>
      <c r="E154" s="85" t="s">
        <v>190</v>
      </c>
      <c r="F154" s="86">
        <v>43151</v>
      </c>
      <c r="G154" s="87" t="s">
        <v>476</v>
      </c>
      <c r="H154" s="87" t="s">
        <v>477</v>
      </c>
      <c r="I154" s="88">
        <v>45261</v>
      </c>
      <c r="J154" s="85" t="s">
        <v>110</v>
      </c>
      <c r="K154" s="85" t="s">
        <v>232</v>
      </c>
      <c r="L154" s="85"/>
      <c r="M154" s="141" t="s">
        <v>42</v>
      </c>
      <c r="N154" s="92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90"/>
      <c r="AB154" s="90"/>
      <c r="AC154" s="90"/>
      <c r="AD154" s="90"/>
      <c r="AE154" s="90"/>
      <c r="AF154" s="90"/>
      <c r="AG154" s="90"/>
      <c r="AH154" s="90"/>
      <c r="AI154" s="90"/>
      <c r="AJ154" s="90"/>
      <c r="AK154" s="90"/>
      <c r="AL154" s="90"/>
      <c r="AM154" s="90"/>
      <c r="AN154" s="90"/>
      <c r="AO154" s="90"/>
      <c r="AP154" s="90"/>
      <c r="AQ154" s="90"/>
      <c r="AR154" s="90"/>
      <c r="AS154" s="90"/>
    </row>
    <row r="155" spans="1:45" ht="16.5" customHeight="1">
      <c r="A155" s="85">
        <v>150</v>
      </c>
      <c r="B155" s="144" t="s">
        <v>91</v>
      </c>
      <c r="C155" s="145" t="s">
        <v>463</v>
      </c>
      <c r="D155" s="145" t="s">
        <v>478</v>
      </c>
      <c r="E155" s="145" t="s">
        <v>190</v>
      </c>
      <c r="F155" s="146">
        <v>43151</v>
      </c>
      <c r="G155" s="147" t="s">
        <v>476</v>
      </c>
      <c r="H155" s="147" t="s">
        <v>477</v>
      </c>
      <c r="I155" s="148">
        <v>45293</v>
      </c>
      <c r="J155" s="145" t="s">
        <v>233</v>
      </c>
      <c r="K155" s="145" t="s">
        <v>125</v>
      </c>
      <c r="L155" s="145"/>
      <c r="M155" s="141" t="s">
        <v>42</v>
      </c>
      <c r="N155" s="92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  <c r="AR155" s="90"/>
      <c r="AS155" s="90"/>
    </row>
    <row r="156" spans="1:45" ht="16.5" customHeight="1">
      <c r="A156" s="85">
        <v>151</v>
      </c>
      <c r="B156" s="149" t="s">
        <v>50</v>
      </c>
      <c r="C156" s="149" t="s">
        <v>463</v>
      </c>
      <c r="D156" s="149" t="s">
        <v>479</v>
      </c>
      <c r="E156" s="149">
        <v>1</v>
      </c>
      <c r="F156" s="150">
        <v>42736</v>
      </c>
      <c r="G156" s="151" t="s">
        <v>480</v>
      </c>
      <c r="H156" s="151" t="s">
        <v>474</v>
      </c>
      <c r="I156" s="152">
        <v>45151</v>
      </c>
      <c r="J156" s="149" t="s">
        <v>186</v>
      </c>
      <c r="K156" s="149" t="s">
        <v>166</v>
      </c>
      <c r="L156" s="149" t="s">
        <v>481</v>
      </c>
      <c r="M156" s="141" t="s">
        <v>42</v>
      </c>
      <c r="N156" s="91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  <c r="AA156" s="90"/>
      <c r="AB156" s="90"/>
      <c r="AC156" s="90"/>
      <c r="AD156" s="90"/>
      <c r="AE156" s="90"/>
      <c r="AF156" s="90"/>
      <c r="AG156" s="90"/>
      <c r="AH156" s="90"/>
      <c r="AI156" s="90"/>
      <c r="AJ156" s="90"/>
      <c r="AK156" s="90"/>
      <c r="AL156" s="90"/>
      <c r="AM156" s="90"/>
      <c r="AN156" s="90"/>
      <c r="AO156" s="90"/>
      <c r="AP156" s="90"/>
      <c r="AQ156" s="90"/>
      <c r="AR156" s="90"/>
      <c r="AS156" s="90"/>
    </row>
    <row r="157" spans="1:45" ht="16.5" customHeight="1">
      <c r="A157" s="85">
        <v>152</v>
      </c>
      <c r="B157" s="145" t="s">
        <v>91</v>
      </c>
      <c r="C157" s="145" t="s">
        <v>463</v>
      </c>
      <c r="D157" s="145" t="s">
        <v>479</v>
      </c>
      <c r="E157" s="145">
        <v>1</v>
      </c>
      <c r="F157" s="146">
        <v>42736</v>
      </c>
      <c r="G157" s="147" t="s">
        <v>480</v>
      </c>
      <c r="H157" s="147" t="s">
        <v>474</v>
      </c>
      <c r="I157" s="148">
        <v>45151</v>
      </c>
      <c r="J157" s="145" t="s">
        <v>121</v>
      </c>
      <c r="K157" s="145" t="s">
        <v>256</v>
      </c>
      <c r="L157" s="149" t="s">
        <v>481</v>
      </c>
      <c r="M157" s="141" t="s">
        <v>42</v>
      </c>
      <c r="N157" s="91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  <c r="AA157" s="90"/>
      <c r="AB157" s="90"/>
      <c r="AC157" s="90"/>
      <c r="AD157" s="90"/>
      <c r="AE157" s="90"/>
      <c r="AF157" s="90"/>
      <c r="AG157" s="90"/>
      <c r="AH157" s="90"/>
      <c r="AI157" s="90"/>
      <c r="AJ157" s="90"/>
      <c r="AK157" s="90"/>
      <c r="AL157" s="90"/>
      <c r="AM157" s="90"/>
      <c r="AN157" s="90"/>
      <c r="AO157" s="90"/>
      <c r="AP157" s="90"/>
      <c r="AQ157" s="90"/>
      <c r="AR157" s="90"/>
      <c r="AS157" s="90"/>
    </row>
    <row r="158" spans="1:45" ht="16.5" customHeight="1">
      <c r="A158" s="85">
        <v>153</v>
      </c>
      <c r="B158" s="149" t="s">
        <v>50</v>
      </c>
      <c r="C158" s="149" t="s">
        <v>482</v>
      </c>
      <c r="D158" s="149" t="s">
        <v>483</v>
      </c>
      <c r="E158" s="149">
        <v>9</v>
      </c>
      <c r="F158" s="150">
        <v>39083</v>
      </c>
      <c r="G158" s="151" t="s">
        <v>484</v>
      </c>
      <c r="H158" s="153" t="s">
        <v>485</v>
      </c>
      <c r="I158" s="152">
        <v>45325</v>
      </c>
      <c r="J158" s="149" t="s">
        <v>358</v>
      </c>
      <c r="K158" s="149" t="s">
        <v>486</v>
      </c>
      <c r="L158" s="149"/>
      <c r="M158" s="141" t="s">
        <v>42</v>
      </c>
      <c r="N158" s="97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  <c r="AA158" s="90"/>
      <c r="AB158" s="90"/>
      <c r="AC158" s="90"/>
      <c r="AD158" s="90"/>
      <c r="AE158" s="90"/>
      <c r="AF158" s="90"/>
      <c r="AG158" s="90"/>
      <c r="AH158" s="90"/>
      <c r="AI158" s="90"/>
      <c r="AJ158" s="90"/>
      <c r="AK158" s="90"/>
      <c r="AL158" s="90"/>
      <c r="AM158" s="90"/>
      <c r="AN158" s="90"/>
      <c r="AO158" s="90"/>
      <c r="AP158" s="90"/>
      <c r="AQ158" s="90"/>
      <c r="AR158" s="90"/>
      <c r="AS158" s="90"/>
    </row>
    <row r="159" spans="1:45" ht="16.5" customHeight="1">
      <c r="A159" s="85">
        <v>154</v>
      </c>
      <c r="B159" s="145" t="s">
        <v>91</v>
      </c>
      <c r="C159" s="145" t="s">
        <v>482</v>
      </c>
      <c r="D159" s="145" t="s">
        <v>483</v>
      </c>
      <c r="E159" s="145">
        <v>9</v>
      </c>
      <c r="F159" s="146">
        <v>39083</v>
      </c>
      <c r="G159" s="147" t="s">
        <v>484</v>
      </c>
      <c r="H159" s="154" t="s">
        <v>485</v>
      </c>
      <c r="I159" s="148">
        <v>45326</v>
      </c>
      <c r="J159" s="145" t="s">
        <v>141</v>
      </c>
      <c r="K159" s="145" t="s">
        <v>304</v>
      </c>
      <c r="L159" s="145"/>
      <c r="M159" s="141" t="s">
        <v>42</v>
      </c>
      <c r="N159" s="97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  <c r="AA159" s="90"/>
      <c r="AB159" s="90"/>
      <c r="AC159" s="90"/>
      <c r="AD159" s="90"/>
      <c r="AE159" s="90"/>
      <c r="AF159" s="90"/>
      <c r="AG159" s="90"/>
      <c r="AH159" s="90"/>
      <c r="AI159" s="90"/>
      <c r="AJ159" s="90"/>
      <c r="AK159" s="90"/>
      <c r="AL159" s="90"/>
      <c r="AM159" s="90"/>
      <c r="AN159" s="90"/>
      <c r="AO159" s="90"/>
      <c r="AP159" s="90"/>
      <c r="AQ159" s="90"/>
      <c r="AR159" s="90"/>
      <c r="AS159" s="90"/>
    </row>
    <row r="160" spans="1:45" ht="16.5" customHeight="1">
      <c r="A160" s="85">
        <v>155</v>
      </c>
      <c r="B160" s="149" t="s">
        <v>50</v>
      </c>
      <c r="C160" s="149" t="s">
        <v>482</v>
      </c>
      <c r="D160" s="149" t="s">
        <v>487</v>
      </c>
      <c r="E160" s="149">
        <v>1</v>
      </c>
      <c r="F160" s="150">
        <v>42774</v>
      </c>
      <c r="G160" s="151" t="s">
        <v>488</v>
      </c>
      <c r="H160" s="151" t="s">
        <v>489</v>
      </c>
      <c r="I160" s="152">
        <v>45261</v>
      </c>
      <c r="J160" s="149" t="s">
        <v>308</v>
      </c>
      <c r="K160" s="149" t="s">
        <v>205</v>
      </c>
      <c r="L160" s="149"/>
      <c r="M160" s="141" t="s">
        <v>42</v>
      </c>
      <c r="N160" s="97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  <c r="AG160" s="90"/>
      <c r="AH160" s="90"/>
      <c r="AI160" s="90"/>
      <c r="AJ160" s="90"/>
      <c r="AK160" s="90"/>
      <c r="AL160" s="90"/>
      <c r="AM160" s="90"/>
      <c r="AN160" s="90"/>
      <c r="AO160" s="90"/>
      <c r="AP160" s="90"/>
      <c r="AQ160" s="90"/>
      <c r="AR160" s="90"/>
      <c r="AS160" s="90"/>
    </row>
    <row r="161" spans="1:45" ht="16.5" customHeight="1">
      <c r="A161" s="85">
        <v>156</v>
      </c>
      <c r="B161" s="149" t="s">
        <v>91</v>
      </c>
      <c r="C161" s="149" t="s">
        <v>482</v>
      </c>
      <c r="D161" s="149" t="s">
        <v>487</v>
      </c>
      <c r="E161" s="149">
        <v>1</v>
      </c>
      <c r="F161" s="150">
        <v>42774</v>
      </c>
      <c r="G161" s="151" t="s">
        <v>488</v>
      </c>
      <c r="H161" s="151" t="s">
        <v>489</v>
      </c>
      <c r="I161" s="152">
        <v>45352</v>
      </c>
      <c r="J161" s="149" t="s">
        <v>233</v>
      </c>
      <c r="K161" s="149" t="s">
        <v>119</v>
      </c>
      <c r="L161" s="149"/>
      <c r="M161" s="141" t="s">
        <v>42</v>
      </c>
      <c r="N161" s="97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  <c r="AA161" s="90"/>
      <c r="AB161" s="90"/>
      <c r="AC161" s="90"/>
      <c r="AD161" s="90"/>
      <c r="AE161" s="90"/>
      <c r="AF161" s="90"/>
      <c r="AG161" s="90"/>
      <c r="AH161" s="90"/>
      <c r="AI161" s="90"/>
      <c r="AJ161" s="90"/>
      <c r="AK161" s="90"/>
      <c r="AL161" s="90"/>
      <c r="AM161" s="90"/>
      <c r="AN161" s="90"/>
      <c r="AO161" s="90"/>
      <c r="AP161" s="90"/>
      <c r="AQ161" s="90"/>
      <c r="AR161" s="90"/>
      <c r="AS161" s="90"/>
    </row>
    <row r="162" spans="1:45" ht="16.5" customHeight="1">
      <c r="A162" s="85">
        <v>157</v>
      </c>
      <c r="B162" s="155" t="s">
        <v>50</v>
      </c>
      <c r="C162" s="155" t="s">
        <v>490</v>
      </c>
      <c r="D162" s="155" t="s">
        <v>491</v>
      </c>
      <c r="E162" s="155">
        <v>10</v>
      </c>
      <c r="F162" s="156">
        <v>39827</v>
      </c>
      <c r="G162" s="157" t="s">
        <v>492</v>
      </c>
      <c r="H162" s="157" t="s">
        <v>493</v>
      </c>
      <c r="I162" s="158">
        <v>45352</v>
      </c>
      <c r="J162" s="155" t="s">
        <v>312</v>
      </c>
      <c r="K162" s="155" t="s">
        <v>175</v>
      </c>
      <c r="L162" s="155"/>
      <c r="M162" s="159" t="s">
        <v>36</v>
      </c>
      <c r="N162" s="160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  <c r="AB162" s="118"/>
      <c r="AC162" s="118"/>
      <c r="AD162" s="118"/>
      <c r="AE162" s="118"/>
      <c r="AF162" s="118"/>
      <c r="AG162" s="118"/>
      <c r="AH162" s="118"/>
      <c r="AI162" s="118"/>
      <c r="AJ162" s="118"/>
      <c r="AK162" s="118"/>
      <c r="AL162" s="118"/>
      <c r="AM162" s="118"/>
      <c r="AN162" s="118"/>
      <c r="AO162" s="118"/>
      <c r="AP162" s="118"/>
      <c r="AQ162" s="118"/>
      <c r="AR162" s="118"/>
      <c r="AS162" s="118"/>
    </row>
    <row r="163" spans="1:45" ht="16.5" customHeight="1">
      <c r="A163" s="85">
        <v>158</v>
      </c>
      <c r="B163" s="155" t="s">
        <v>91</v>
      </c>
      <c r="C163" s="155" t="s">
        <v>490</v>
      </c>
      <c r="D163" s="155" t="s">
        <v>491</v>
      </c>
      <c r="E163" s="155">
        <v>10</v>
      </c>
      <c r="F163" s="156">
        <v>39827</v>
      </c>
      <c r="G163" s="157" t="s">
        <v>492</v>
      </c>
      <c r="H163" s="157" t="s">
        <v>493</v>
      </c>
      <c r="I163" s="158">
        <v>45352</v>
      </c>
      <c r="J163" s="155" t="s">
        <v>274</v>
      </c>
      <c r="K163" s="155" t="s">
        <v>187</v>
      </c>
      <c r="L163" s="155"/>
      <c r="M163" s="159" t="s">
        <v>36</v>
      </c>
      <c r="N163" s="160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  <c r="AA163" s="118"/>
      <c r="AB163" s="118"/>
      <c r="AC163" s="118"/>
      <c r="AD163" s="118"/>
      <c r="AE163" s="118"/>
      <c r="AF163" s="118"/>
      <c r="AG163" s="118"/>
      <c r="AH163" s="118"/>
      <c r="AI163" s="118"/>
      <c r="AJ163" s="118"/>
      <c r="AK163" s="118"/>
      <c r="AL163" s="118"/>
      <c r="AM163" s="118"/>
      <c r="AN163" s="118"/>
      <c r="AO163" s="118"/>
      <c r="AP163" s="118"/>
      <c r="AQ163" s="118"/>
      <c r="AR163" s="118"/>
      <c r="AS163" s="118"/>
    </row>
    <row r="164" spans="1:45" ht="16.5" customHeight="1">
      <c r="A164" s="85">
        <v>159</v>
      </c>
      <c r="B164" s="85" t="s">
        <v>50</v>
      </c>
      <c r="C164" s="85" t="s">
        <v>494</v>
      </c>
      <c r="D164" s="85" t="s">
        <v>495</v>
      </c>
      <c r="E164" s="85">
        <v>4</v>
      </c>
      <c r="F164" s="86">
        <v>40999</v>
      </c>
      <c r="G164" s="87" t="s">
        <v>496</v>
      </c>
      <c r="H164" s="87" t="s">
        <v>497</v>
      </c>
      <c r="I164" s="88">
        <v>44790</v>
      </c>
      <c r="J164" s="85" t="s">
        <v>271</v>
      </c>
      <c r="K164" s="85" t="s">
        <v>126</v>
      </c>
      <c r="L164" s="85"/>
      <c r="M164" s="141" t="s">
        <v>42</v>
      </c>
      <c r="N164" s="91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  <c r="AA164" s="90"/>
      <c r="AB164" s="90"/>
      <c r="AC164" s="90"/>
      <c r="AD164" s="90"/>
      <c r="AE164" s="90"/>
      <c r="AF164" s="90"/>
      <c r="AG164" s="90"/>
      <c r="AH164" s="90"/>
      <c r="AI164" s="90"/>
      <c r="AJ164" s="90"/>
      <c r="AK164" s="90"/>
      <c r="AL164" s="90"/>
      <c r="AM164" s="90"/>
      <c r="AN164" s="90"/>
      <c r="AO164" s="90"/>
      <c r="AP164" s="90"/>
      <c r="AQ164" s="90"/>
      <c r="AR164" s="90"/>
      <c r="AS164" s="90"/>
    </row>
    <row r="165" spans="1:45" ht="16.5" customHeight="1">
      <c r="A165" s="85">
        <v>160</v>
      </c>
      <c r="B165" s="92" t="s">
        <v>91</v>
      </c>
      <c r="C165" s="85" t="s">
        <v>494</v>
      </c>
      <c r="D165" s="85" t="s">
        <v>495</v>
      </c>
      <c r="E165" s="85">
        <v>4</v>
      </c>
      <c r="F165" s="86">
        <v>40999</v>
      </c>
      <c r="G165" s="87" t="s">
        <v>496</v>
      </c>
      <c r="H165" s="87" t="s">
        <v>497</v>
      </c>
      <c r="I165" s="88">
        <v>44790</v>
      </c>
      <c r="J165" s="85" t="s">
        <v>167</v>
      </c>
      <c r="K165" s="85" t="s">
        <v>232</v>
      </c>
      <c r="L165" s="85"/>
      <c r="M165" s="141" t="s">
        <v>42</v>
      </c>
      <c r="N165" s="92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  <c r="AA165" s="90"/>
      <c r="AB165" s="90"/>
      <c r="AC165" s="90"/>
      <c r="AD165" s="90"/>
      <c r="AE165" s="90"/>
      <c r="AF165" s="90"/>
      <c r="AG165" s="90"/>
      <c r="AH165" s="90"/>
      <c r="AI165" s="90"/>
      <c r="AJ165" s="90"/>
      <c r="AK165" s="90"/>
      <c r="AL165" s="90"/>
      <c r="AM165" s="90"/>
      <c r="AN165" s="90"/>
      <c r="AO165" s="90"/>
      <c r="AP165" s="90"/>
      <c r="AQ165" s="90"/>
      <c r="AR165" s="90"/>
      <c r="AS165" s="90"/>
    </row>
    <row r="166" spans="1:45" ht="16.5" customHeight="1">
      <c r="A166" s="85">
        <v>161</v>
      </c>
      <c r="B166" s="85" t="s">
        <v>50</v>
      </c>
      <c r="C166" s="85" t="s">
        <v>498</v>
      </c>
      <c r="D166" s="85" t="s">
        <v>499</v>
      </c>
      <c r="E166" s="85">
        <v>1</v>
      </c>
      <c r="F166" s="86">
        <v>42937</v>
      </c>
      <c r="G166" s="87" t="s">
        <v>500</v>
      </c>
      <c r="H166" s="87" t="s">
        <v>501</v>
      </c>
      <c r="I166" s="88">
        <v>45157</v>
      </c>
      <c r="J166" s="85" t="s">
        <v>124</v>
      </c>
      <c r="K166" s="85" t="s">
        <v>122</v>
      </c>
      <c r="L166" s="85"/>
      <c r="M166" s="141" t="s">
        <v>42</v>
      </c>
      <c r="N166" s="91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  <c r="AA166" s="90"/>
      <c r="AB166" s="90"/>
      <c r="AC166" s="90"/>
      <c r="AD166" s="90"/>
      <c r="AE166" s="90"/>
      <c r="AF166" s="90"/>
      <c r="AG166" s="90"/>
      <c r="AH166" s="90"/>
      <c r="AI166" s="90"/>
      <c r="AJ166" s="90"/>
      <c r="AK166" s="90"/>
      <c r="AL166" s="90"/>
      <c r="AM166" s="90"/>
      <c r="AN166" s="90"/>
      <c r="AO166" s="90"/>
      <c r="AP166" s="90"/>
      <c r="AQ166" s="90"/>
      <c r="AR166" s="90"/>
      <c r="AS166" s="90"/>
    </row>
    <row r="167" spans="1:45" ht="16.5" customHeight="1">
      <c r="A167" s="85">
        <v>162</v>
      </c>
      <c r="B167" s="92" t="s">
        <v>91</v>
      </c>
      <c r="C167" s="85" t="s">
        <v>498</v>
      </c>
      <c r="D167" s="85" t="s">
        <v>499</v>
      </c>
      <c r="E167" s="85">
        <v>1</v>
      </c>
      <c r="F167" s="86">
        <v>42937</v>
      </c>
      <c r="G167" s="87" t="s">
        <v>500</v>
      </c>
      <c r="H167" s="87" t="s">
        <v>501</v>
      </c>
      <c r="I167" s="88">
        <v>45293</v>
      </c>
      <c r="J167" s="85" t="s">
        <v>156</v>
      </c>
      <c r="K167" s="85" t="s">
        <v>119</v>
      </c>
      <c r="L167" s="85"/>
      <c r="M167" s="141" t="s">
        <v>42</v>
      </c>
      <c r="N167" s="92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  <c r="AA167" s="90"/>
      <c r="AB167" s="90"/>
      <c r="AC167" s="90"/>
      <c r="AD167" s="90"/>
      <c r="AE167" s="90"/>
      <c r="AF167" s="90"/>
      <c r="AG167" s="90"/>
      <c r="AH167" s="90"/>
      <c r="AI167" s="90"/>
      <c r="AJ167" s="90"/>
      <c r="AK167" s="90"/>
      <c r="AL167" s="90"/>
      <c r="AM167" s="90"/>
      <c r="AN167" s="90"/>
      <c r="AO167" s="90"/>
      <c r="AP167" s="90"/>
      <c r="AQ167" s="90"/>
      <c r="AR167" s="90"/>
      <c r="AS167" s="90"/>
    </row>
    <row r="168" spans="1:45" ht="16.5" customHeight="1">
      <c r="A168" s="85">
        <v>163</v>
      </c>
      <c r="B168" s="85" t="s">
        <v>50</v>
      </c>
      <c r="C168" s="85" t="s">
        <v>498</v>
      </c>
      <c r="D168" s="85" t="s">
        <v>502</v>
      </c>
      <c r="E168" s="85">
        <v>4</v>
      </c>
      <c r="F168" s="86">
        <v>41254</v>
      </c>
      <c r="G168" s="87" t="s">
        <v>503</v>
      </c>
      <c r="H168" s="87" t="s">
        <v>504</v>
      </c>
      <c r="I168" s="88">
        <v>44790</v>
      </c>
      <c r="J168" s="85" t="s">
        <v>204</v>
      </c>
      <c r="K168" s="85" t="s">
        <v>135</v>
      </c>
      <c r="L168" s="85"/>
      <c r="M168" s="141" t="s">
        <v>42</v>
      </c>
      <c r="N168" s="91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  <c r="AA168" s="90"/>
      <c r="AB168" s="90"/>
      <c r="AC168" s="90"/>
      <c r="AD168" s="90"/>
      <c r="AE168" s="90"/>
      <c r="AF168" s="90"/>
      <c r="AG168" s="90"/>
      <c r="AH168" s="90"/>
      <c r="AI168" s="90"/>
      <c r="AJ168" s="90"/>
      <c r="AK168" s="90"/>
      <c r="AL168" s="90"/>
      <c r="AM168" s="90"/>
      <c r="AN168" s="90"/>
      <c r="AO168" s="90"/>
      <c r="AP168" s="90"/>
      <c r="AQ168" s="90"/>
      <c r="AR168" s="90"/>
      <c r="AS168" s="90"/>
    </row>
    <row r="169" spans="1:45" ht="16.5" customHeight="1">
      <c r="A169" s="85">
        <v>164</v>
      </c>
      <c r="B169" s="85" t="s">
        <v>50</v>
      </c>
      <c r="C169" s="85" t="s">
        <v>505</v>
      </c>
      <c r="D169" s="85" t="s">
        <v>506</v>
      </c>
      <c r="E169" s="85">
        <v>5</v>
      </c>
      <c r="F169" s="86">
        <v>40962</v>
      </c>
      <c r="G169" s="87" t="s">
        <v>507</v>
      </c>
      <c r="H169" s="87" t="s">
        <v>508</v>
      </c>
      <c r="I169" s="88">
        <v>44805</v>
      </c>
      <c r="J169" s="85" t="s">
        <v>124</v>
      </c>
      <c r="K169" s="85" t="s">
        <v>163</v>
      </c>
      <c r="L169" s="85"/>
      <c r="M169" s="141" t="s">
        <v>42</v>
      </c>
      <c r="N169" s="91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  <c r="AA169" s="90"/>
      <c r="AB169" s="90"/>
      <c r="AC169" s="90"/>
      <c r="AD169" s="90"/>
      <c r="AE169" s="90"/>
      <c r="AF169" s="90"/>
      <c r="AG169" s="90"/>
      <c r="AH169" s="90"/>
      <c r="AI169" s="90"/>
      <c r="AJ169" s="90"/>
      <c r="AK169" s="90"/>
      <c r="AL169" s="90"/>
      <c r="AM169" s="90"/>
      <c r="AN169" s="90"/>
      <c r="AO169" s="90"/>
      <c r="AP169" s="90"/>
      <c r="AQ169" s="90"/>
      <c r="AR169" s="90"/>
      <c r="AS169" s="90"/>
    </row>
    <row r="170" spans="1:45" ht="16.5" customHeight="1">
      <c r="A170" s="85">
        <v>165</v>
      </c>
      <c r="B170" s="92" t="s">
        <v>50</v>
      </c>
      <c r="C170" s="85" t="s">
        <v>509</v>
      </c>
      <c r="D170" s="85" t="s">
        <v>299</v>
      </c>
      <c r="E170" s="85" t="s">
        <v>190</v>
      </c>
      <c r="F170" s="86">
        <v>41884</v>
      </c>
      <c r="G170" s="87" t="s">
        <v>510</v>
      </c>
      <c r="H170" s="87" t="s">
        <v>511</v>
      </c>
      <c r="I170" s="88">
        <v>45229</v>
      </c>
      <c r="J170" s="85" t="s">
        <v>148</v>
      </c>
      <c r="K170" s="85" t="s">
        <v>187</v>
      </c>
      <c r="L170" s="85"/>
      <c r="M170" s="141" t="s">
        <v>42</v>
      </c>
      <c r="N170" s="92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  <c r="AA170" s="90"/>
      <c r="AB170" s="90"/>
      <c r="AC170" s="90"/>
      <c r="AD170" s="90"/>
      <c r="AE170" s="90"/>
      <c r="AF170" s="90"/>
      <c r="AG170" s="90"/>
      <c r="AH170" s="90"/>
      <c r="AI170" s="90"/>
      <c r="AJ170" s="90"/>
      <c r="AK170" s="90"/>
      <c r="AL170" s="90"/>
      <c r="AM170" s="90"/>
      <c r="AN170" s="90"/>
      <c r="AO170" s="90"/>
      <c r="AP170" s="90"/>
      <c r="AQ170" s="90"/>
      <c r="AR170" s="90"/>
      <c r="AS170" s="90"/>
    </row>
    <row r="171" spans="1:45" ht="16.5" customHeight="1">
      <c r="A171" s="85">
        <v>166</v>
      </c>
      <c r="B171" s="92" t="s">
        <v>91</v>
      </c>
      <c r="C171" s="85" t="s">
        <v>509</v>
      </c>
      <c r="D171" s="85" t="s">
        <v>299</v>
      </c>
      <c r="E171" s="85" t="s">
        <v>190</v>
      </c>
      <c r="F171" s="86">
        <v>41884</v>
      </c>
      <c r="G171" s="87" t="s">
        <v>510</v>
      </c>
      <c r="H171" s="87" t="s">
        <v>511</v>
      </c>
      <c r="I171" s="88">
        <v>45229</v>
      </c>
      <c r="J171" s="85" t="s">
        <v>221</v>
      </c>
      <c r="K171" s="85" t="s">
        <v>142</v>
      </c>
      <c r="L171" s="85"/>
      <c r="M171" s="141" t="s">
        <v>42</v>
      </c>
      <c r="N171" s="92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  <c r="AA171" s="90"/>
      <c r="AB171" s="90"/>
      <c r="AC171" s="90"/>
      <c r="AD171" s="90"/>
      <c r="AE171" s="90"/>
      <c r="AF171" s="90"/>
      <c r="AG171" s="90"/>
      <c r="AH171" s="90"/>
      <c r="AI171" s="90"/>
      <c r="AJ171" s="90"/>
      <c r="AK171" s="90"/>
      <c r="AL171" s="90"/>
      <c r="AM171" s="90"/>
      <c r="AN171" s="90"/>
      <c r="AO171" s="90"/>
      <c r="AP171" s="90"/>
      <c r="AQ171" s="90"/>
      <c r="AR171" s="90"/>
      <c r="AS171" s="90"/>
    </row>
    <row r="172" spans="1:45" ht="16.5" customHeight="1">
      <c r="A172" s="85">
        <v>167</v>
      </c>
      <c r="B172" s="92" t="s">
        <v>50</v>
      </c>
      <c r="C172" s="85" t="s">
        <v>512</v>
      </c>
      <c r="D172" s="85" t="s">
        <v>513</v>
      </c>
      <c r="E172" s="85" t="s">
        <v>190</v>
      </c>
      <c r="F172" s="86">
        <v>42409</v>
      </c>
      <c r="G172" s="87" t="s">
        <v>514</v>
      </c>
      <c r="H172" s="87" t="s">
        <v>515</v>
      </c>
      <c r="I172" s="88">
        <v>44645</v>
      </c>
      <c r="J172" s="85" t="s">
        <v>255</v>
      </c>
      <c r="K172" s="85" t="s">
        <v>212</v>
      </c>
      <c r="L172" s="85"/>
      <c r="M172" s="141" t="s">
        <v>42</v>
      </c>
      <c r="N172" s="92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  <c r="AA172" s="90"/>
      <c r="AB172" s="90"/>
      <c r="AC172" s="90"/>
      <c r="AD172" s="90"/>
      <c r="AE172" s="90"/>
      <c r="AF172" s="90"/>
      <c r="AG172" s="90"/>
      <c r="AH172" s="90"/>
      <c r="AI172" s="90"/>
      <c r="AJ172" s="90"/>
      <c r="AK172" s="90"/>
      <c r="AL172" s="90"/>
      <c r="AM172" s="90"/>
      <c r="AN172" s="90"/>
      <c r="AO172" s="90"/>
      <c r="AP172" s="90"/>
      <c r="AQ172" s="90"/>
      <c r="AR172" s="90"/>
      <c r="AS172" s="90"/>
    </row>
    <row r="173" spans="1:45" ht="16.5" customHeight="1">
      <c r="A173" s="85">
        <v>168</v>
      </c>
      <c r="B173" s="92" t="s">
        <v>91</v>
      </c>
      <c r="C173" s="85" t="s">
        <v>512</v>
      </c>
      <c r="D173" s="85" t="s">
        <v>513</v>
      </c>
      <c r="E173" s="85" t="s">
        <v>190</v>
      </c>
      <c r="F173" s="86">
        <v>42409</v>
      </c>
      <c r="G173" s="87" t="s">
        <v>514</v>
      </c>
      <c r="H173" s="87" t="s">
        <v>515</v>
      </c>
      <c r="I173" s="88">
        <v>44866</v>
      </c>
      <c r="J173" s="85" t="s">
        <v>221</v>
      </c>
      <c r="K173" s="85" t="s">
        <v>302</v>
      </c>
      <c r="L173" s="85"/>
      <c r="M173" s="141" t="s">
        <v>42</v>
      </c>
      <c r="N173" s="92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  <c r="AA173" s="90"/>
      <c r="AB173" s="90"/>
      <c r="AC173" s="90"/>
      <c r="AD173" s="90"/>
      <c r="AE173" s="90"/>
      <c r="AF173" s="90"/>
      <c r="AG173" s="90"/>
      <c r="AH173" s="90"/>
      <c r="AI173" s="90"/>
      <c r="AJ173" s="90"/>
      <c r="AK173" s="90"/>
      <c r="AL173" s="90"/>
      <c r="AM173" s="90"/>
      <c r="AN173" s="90"/>
      <c r="AO173" s="90"/>
      <c r="AP173" s="90"/>
      <c r="AQ173" s="90"/>
      <c r="AR173" s="90"/>
      <c r="AS173" s="90"/>
    </row>
    <row r="174" spans="1:45" ht="16.5" customHeight="1">
      <c r="A174" s="85">
        <v>169</v>
      </c>
      <c r="B174" s="91" t="s">
        <v>91</v>
      </c>
      <c r="C174" s="91" t="s">
        <v>516</v>
      </c>
      <c r="D174" s="91" t="s">
        <v>410</v>
      </c>
      <c r="E174" s="91">
        <v>3</v>
      </c>
      <c r="F174" s="97">
        <v>41885</v>
      </c>
      <c r="G174" s="96" t="s">
        <v>517</v>
      </c>
      <c r="H174" s="96" t="s">
        <v>518</v>
      </c>
      <c r="I174" s="161">
        <v>43724</v>
      </c>
      <c r="J174" s="96" t="s">
        <v>156</v>
      </c>
      <c r="K174" s="96" t="s">
        <v>205</v>
      </c>
      <c r="L174" s="96"/>
      <c r="M174" s="141" t="s">
        <v>42</v>
      </c>
      <c r="N174" s="97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  <c r="AA174" s="90"/>
      <c r="AB174" s="90"/>
      <c r="AC174" s="90"/>
      <c r="AD174" s="90"/>
      <c r="AE174" s="90"/>
      <c r="AF174" s="90"/>
      <c r="AG174" s="90"/>
      <c r="AH174" s="90"/>
      <c r="AI174" s="90"/>
      <c r="AJ174" s="90"/>
      <c r="AK174" s="90"/>
      <c r="AL174" s="90"/>
      <c r="AM174" s="90"/>
      <c r="AN174" s="90"/>
      <c r="AO174" s="90"/>
      <c r="AP174" s="90"/>
      <c r="AQ174" s="90"/>
      <c r="AR174" s="90"/>
      <c r="AS174" s="90"/>
    </row>
    <row r="175" spans="1:45" ht="16.5" customHeight="1">
      <c r="A175" s="85">
        <v>170</v>
      </c>
      <c r="B175" s="92" t="s">
        <v>50</v>
      </c>
      <c r="C175" s="85" t="s">
        <v>519</v>
      </c>
      <c r="D175" s="85" t="s">
        <v>520</v>
      </c>
      <c r="E175" s="85">
        <v>6</v>
      </c>
      <c r="F175" s="86">
        <v>41149</v>
      </c>
      <c r="G175" s="87" t="s">
        <v>521</v>
      </c>
      <c r="H175" s="87" t="s">
        <v>522</v>
      </c>
      <c r="I175" s="88">
        <v>45200</v>
      </c>
      <c r="J175" s="85" t="s">
        <v>261</v>
      </c>
      <c r="K175" s="85" t="s">
        <v>126</v>
      </c>
      <c r="L175" s="85"/>
      <c r="M175" s="141" t="s">
        <v>42</v>
      </c>
      <c r="N175" s="92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  <c r="AA175" s="90"/>
      <c r="AB175" s="90"/>
      <c r="AC175" s="90"/>
      <c r="AD175" s="90"/>
      <c r="AE175" s="90"/>
      <c r="AF175" s="90"/>
      <c r="AG175" s="90"/>
      <c r="AH175" s="90"/>
      <c r="AI175" s="90"/>
      <c r="AJ175" s="90"/>
      <c r="AK175" s="90"/>
      <c r="AL175" s="90"/>
      <c r="AM175" s="90"/>
      <c r="AN175" s="90"/>
      <c r="AO175" s="90"/>
      <c r="AP175" s="90"/>
      <c r="AQ175" s="90"/>
      <c r="AR175" s="90"/>
      <c r="AS175" s="90"/>
    </row>
    <row r="176" spans="1:45" ht="16.5" customHeight="1">
      <c r="A176" s="85">
        <v>171</v>
      </c>
      <c r="B176" s="92" t="s">
        <v>50</v>
      </c>
      <c r="C176" s="85" t="s">
        <v>519</v>
      </c>
      <c r="D176" s="85" t="s">
        <v>512</v>
      </c>
      <c r="E176" s="85">
        <v>2</v>
      </c>
      <c r="F176" s="86">
        <v>42576</v>
      </c>
      <c r="G176" s="87" t="s">
        <v>523</v>
      </c>
      <c r="H176" s="87" t="s">
        <v>524</v>
      </c>
      <c r="I176" s="88">
        <v>45161</v>
      </c>
      <c r="J176" s="85" t="s">
        <v>186</v>
      </c>
      <c r="K176" s="85" t="s">
        <v>113</v>
      </c>
      <c r="L176" s="85"/>
      <c r="M176" s="141" t="s">
        <v>42</v>
      </c>
      <c r="N176" s="92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  <c r="AA176" s="90"/>
      <c r="AB176" s="90"/>
      <c r="AC176" s="90"/>
      <c r="AD176" s="90"/>
      <c r="AE176" s="90"/>
      <c r="AF176" s="90"/>
      <c r="AG176" s="90"/>
      <c r="AH176" s="90"/>
      <c r="AI176" s="90"/>
      <c r="AJ176" s="90"/>
      <c r="AK176" s="90"/>
      <c r="AL176" s="90"/>
      <c r="AM176" s="90"/>
      <c r="AN176" s="90"/>
      <c r="AO176" s="90"/>
      <c r="AP176" s="90"/>
      <c r="AQ176" s="90"/>
      <c r="AR176" s="90"/>
      <c r="AS176" s="90"/>
    </row>
    <row r="177" spans="1:45" ht="16.5" customHeight="1">
      <c r="A177" s="85">
        <v>172</v>
      </c>
      <c r="B177" s="92" t="s">
        <v>50</v>
      </c>
      <c r="C177" s="85" t="s">
        <v>525</v>
      </c>
      <c r="D177" s="85" t="s">
        <v>526</v>
      </c>
      <c r="E177" s="85">
        <v>6</v>
      </c>
      <c r="F177" s="86">
        <v>40167</v>
      </c>
      <c r="G177" s="87" t="s">
        <v>527</v>
      </c>
      <c r="H177" s="87" t="s">
        <v>528</v>
      </c>
      <c r="I177" s="88">
        <v>44562</v>
      </c>
      <c r="J177" s="85" t="s">
        <v>296</v>
      </c>
      <c r="K177" s="85" t="s">
        <v>122</v>
      </c>
      <c r="L177" s="85"/>
      <c r="M177" s="141" t="s">
        <v>42</v>
      </c>
      <c r="N177" s="92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  <c r="AA177" s="90"/>
      <c r="AB177" s="90"/>
      <c r="AC177" s="90"/>
      <c r="AD177" s="90"/>
      <c r="AE177" s="90"/>
      <c r="AF177" s="90"/>
      <c r="AG177" s="90"/>
      <c r="AH177" s="90"/>
      <c r="AI177" s="90"/>
      <c r="AJ177" s="90"/>
      <c r="AK177" s="90"/>
      <c r="AL177" s="90"/>
      <c r="AM177" s="90"/>
      <c r="AN177" s="90"/>
      <c r="AO177" s="90"/>
      <c r="AP177" s="90"/>
      <c r="AQ177" s="90"/>
      <c r="AR177" s="90"/>
      <c r="AS177" s="90"/>
    </row>
    <row r="178" spans="1:45" ht="16.5" customHeight="1">
      <c r="A178" s="85">
        <v>173</v>
      </c>
      <c r="B178" s="92" t="s">
        <v>91</v>
      </c>
      <c r="C178" s="85" t="s">
        <v>525</v>
      </c>
      <c r="D178" s="85" t="s">
        <v>526</v>
      </c>
      <c r="E178" s="85">
        <v>6</v>
      </c>
      <c r="F178" s="86">
        <v>40167</v>
      </c>
      <c r="G178" s="87" t="s">
        <v>527</v>
      </c>
      <c r="H178" s="87" t="s">
        <v>528</v>
      </c>
      <c r="I178" s="88">
        <v>44562</v>
      </c>
      <c r="J178" s="85" t="s">
        <v>386</v>
      </c>
      <c r="K178" s="85" t="s">
        <v>529</v>
      </c>
      <c r="L178" s="85"/>
      <c r="M178" s="141" t="s">
        <v>42</v>
      </c>
      <c r="N178" s="92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  <c r="AA178" s="90"/>
      <c r="AB178" s="90"/>
      <c r="AC178" s="90"/>
      <c r="AD178" s="90"/>
      <c r="AE178" s="90"/>
      <c r="AF178" s="90"/>
      <c r="AG178" s="90"/>
      <c r="AH178" s="90"/>
      <c r="AI178" s="90"/>
      <c r="AJ178" s="90"/>
      <c r="AK178" s="90"/>
      <c r="AL178" s="90"/>
      <c r="AM178" s="90"/>
      <c r="AN178" s="90"/>
      <c r="AO178" s="90"/>
      <c r="AP178" s="90"/>
      <c r="AQ178" s="90"/>
      <c r="AR178" s="90"/>
      <c r="AS178" s="90"/>
    </row>
    <row r="179" spans="1:45" ht="16.5" customHeight="1">
      <c r="A179" s="85">
        <v>174</v>
      </c>
      <c r="B179" s="162" t="s">
        <v>91</v>
      </c>
      <c r="C179" s="163" t="s">
        <v>530</v>
      </c>
      <c r="D179" s="163" t="s">
        <v>531</v>
      </c>
      <c r="E179" s="163">
        <v>8</v>
      </c>
      <c r="F179" s="164">
        <v>40261</v>
      </c>
      <c r="G179" s="165" t="s">
        <v>532</v>
      </c>
      <c r="H179" s="165" t="s">
        <v>533</v>
      </c>
      <c r="I179" s="166">
        <v>45413</v>
      </c>
      <c r="J179" s="163" t="s">
        <v>172</v>
      </c>
      <c r="K179" s="163" t="s">
        <v>162</v>
      </c>
      <c r="L179" s="163"/>
      <c r="M179" s="167" t="s">
        <v>84</v>
      </c>
      <c r="N179" s="162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168"/>
      <c r="AA179" s="168"/>
      <c r="AB179" s="168"/>
      <c r="AC179" s="168"/>
      <c r="AD179" s="168"/>
      <c r="AE179" s="168"/>
      <c r="AF179" s="168"/>
      <c r="AG179" s="168"/>
      <c r="AH179" s="168"/>
      <c r="AI179" s="168"/>
      <c r="AJ179" s="168"/>
      <c r="AK179" s="168"/>
      <c r="AL179" s="168"/>
      <c r="AM179" s="168"/>
      <c r="AN179" s="168"/>
      <c r="AO179" s="168"/>
      <c r="AP179" s="168"/>
      <c r="AQ179" s="168"/>
      <c r="AR179" s="168"/>
      <c r="AS179" s="168"/>
    </row>
    <row r="180" spans="1:45" ht="16.5" customHeight="1">
      <c r="A180" s="85">
        <v>175</v>
      </c>
      <c r="B180" s="162" t="s">
        <v>91</v>
      </c>
      <c r="C180" s="163" t="s">
        <v>534</v>
      </c>
      <c r="D180" s="163" t="s">
        <v>535</v>
      </c>
      <c r="E180" s="163">
        <v>3</v>
      </c>
      <c r="F180" s="164">
        <v>42220</v>
      </c>
      <c r="G180" s="165" t="s">
        <v>536</v>
      </c>
      <c r="H180" s="165" t="s">
        <v>348</v>
      </c>
      <c r="I180" s="166">
        <v>45413</v>
      </c>
      <c r="J180" s="163" t="s">
        <v>156</v>
      </c>
      <c r="K180" s="163" t="s">
        <v>205</v>
      </c>
      <c r="L180" s="163"/>
      <c r="M180" s="167" t="s">
        <v>84</v>
      </c>
      <c r="N180" s="162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8"/>
      <c r="AH180" s="168"/>
      <c r="AI180" s="168"/>
      <c r="AJ180" s="168"/>
      <c r="AK180" s="168"/>
      <c r="AL180" s="168"/>
      <c r="AM180" s="168"/>
      <c r="AN180" s="168"/>
      <c r="AO180" s="168"/>
      <c r="AP180" s="168"/>
      <c r="AQ180" s="168"/>
      <c r="AR180" s="168"/>
      <c r="AS180" s="168"/>
    </row>
    <row r="181" spans="1:45" ht="16.5" customHeight="1">
      <c r="A181" s="85">
        <v>176</v>
      </c>
      <c r="B181" s="162" t="s">
        <v>50</v>
      </c>
      <c r="C181" s="163" t="s">
        <v>534</v>
      </c>
      <c r="D181" s="163" t="s">
        <v>535</v>
      </c>
      <c r="E181" s="163">
        <v>3</v>
      </c>
      <c r="F181" s="164">
        <v>42220</v>
      </c>
      <c r="G181" s="165" t="s">
        <v>536</v>
      </c>
      <c r="H181" s="165" t="s">
        <v>348</v>
      </c>
      <c r="I181" s="166">
        <v>45413</v>
      </c>
      <c r="J181" s="163" t="s">
        <v>231</v>
      </c>
      <c r="K181" s="163" t="s">
        <v>113</v>
      </c>
      <c r="L181" s="163"/>
      <c r="M181" s="167" t="s">
        <v>84</v>
      </c>
      <c r="N181" s="162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  <c r="Z181" s="168"/>
      <c r="AA181" s="168"/>
      <c r="AB181" s="168"/>
      <c r="AC181" s="168"/>
      <c r="AD181" s="168"/>
      <c r="AE181" s="168"/>
      <c r="AF181" s="168"/>
      <c r="AG181" s="168"/>
      <c r="AH181" s="168"/>
      <c r="AI181" s="168"/>
      <c r="AJ181" s="168"/>
      <c r="AK181" s="168"/>
      <c r="AL181" s="168"/>
      <c r="AM181" s="168"/>
      <c r="AN181" s="168"/>
      <c r="AO181" s="168"/>
      <c r="AP181" s="168"/>
      <c r="AQ181" s="168"/>
      <c r="AR181" s="168"/>
      <c r="AS181" s="168"/>
    </row>
    <row r="182" spans="1:45" ht="16.5" customHeight="1">
      <c r="A182" s="85">
        <v>177</v>
      </c>
      <c r="B182" s="162" t="s">
        <v>50</v>
      </c>
      <c r="C182" s="163" t="s">
        <v>537</v>
      </c>
      <c r="D182" s="163" t="s">
        <v>538</v>
      </c>
      <c r="E182" s="163">
        <v>3</v>
      </c>
      <c r="F182" s="164">
        <v>41945</v>
      </c>
      <c r="G182" s="165" t="s">
        <v>539</v>
      </c>
      <c r="H182" s="165" t="s">
        <v>540</v>
      </c>
      <c r="I182" s="166">
        <v>45432</v>
      </c>
      <c r="J182" s="163" t="s">
        <v>349</v>
      </c>
      <c r="K182" s="163" t="s">
        <v>122</v>
      </c>
      <c r="L182" s="163"/>
      <c r="M182" s="167" t="s">
        <v>84</v>
      </c>
      <c r="N182" s="162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  <c r="Z182" s="168"/>
      <c r="AA182" s="168"/>
      <c r="AB182" s="168"/>
      <c r="AC182" s="168"/>
      <c r="AD182" s="168"/>
      <c r="AE182" s="168"/>
      <c r="AF182" s="168"/>
      <c r="AG182" s="168"/>
      <c r="AH182" s="168"/>
      <c r="AI182" s="168"/>
      <c r="AJ182" s="168"/>
      <c r="AK182" s="168"/>
      <c r="AL182" s="168"/>
      <c r="AM182" s="168"/>
      <c r="AN182" s="168"/>
      <c r="AO182" s="168"/>
      <c r="AP182" s="168"/>
      <c r="AQ182" s="168"/>
      <c r="AR182" s="168"/>
      <c r="AS182" s="168"/>
    </row>
    <row r="185" spans="1:45" ht="15.75" customHeight="1">
      <c r="A185" s="169" t="s">
        <v>541</v>
      </c>
      <c r="B185" s="170"/>
      <c r="C185" s="170"/>
      <c r="D185" s="170"/>
      <c r="E185" s="170"/>
      <c r="F185" s="171"/>
      <c r="G185" s="172"/>
      <c r="H185" s="172"/>
      <c r="I185" s="171"/>
      <c r="J185" s="170"/>
      <c r="K185" s="170"/>
      <c r="L185" s="170"/>
      <c r="M185" s="170"/>
      <c r="N185" s="170"/>
      <c r="O185" s="170"/>
      <c r="P185" s="170"/>
      <c r="Q185" s="170"/>
      <c r="R185" s="170"/>
      <c r="S185" s="170"/>
      <c r="T185" s="170"/>
      <c r="U185" s="170"/>
      <c r="V185" s="170"/>
      <c r="W185" s="170"/>
      <c r="X185" s="170"/>
      <c r="Y185" s="170"/>
      <c r="Z185" s="170"/>
      <c r="AA185" s="170"/>
      <c r="AB185" s="170"/>
      <c r="AC185" s="170"/>
      <c r="AD185" s="170"/>
      <c r="AE185" s="170"/>
      <c r="AF185" s="170"/>
      <c r="AG185" s="170"/>
      <c r="AH185" s="170"/>
      <c r="AI185" s="170"/>
      <c r="AJ185" s="170"/>
      <c r="AK185" s="170"/>
      <c r="AL185" s="170"/>
      <c r="AM185" s="170"/>
      <c r="AN185" s="170"/>
      <c r="AO185" s="170"/>
      <c r="AP185" s="170"/>
      <c r="AQ185" s="170"/>
      <c r="AR185" s="170"/>
      <c r="AS185" s="170"/>
    </row>
    <row r="186" spans="1:45" ht="15.75" hidden="1" customHeight="1">
      <c r="A186" s="173"/>
      <c r="B186" s="174"/>
      <c r="C186" s="175" t="s">
        <v>542</v>
      </c>
      <c r="D186" s="175" t="s">
        <v>543</v>
      </c>
      <c r="E186" s="174"/>
      <c r="F186" s="176"/>
      <c r="G186" s="174"/>
      <c r="H186" s="174"/>
      <c r="I186" s="176"/>
      <c r="J186" s="174"/>
      <c r="K186" s="174"/>
      <c r="L186" s="174"/>
      <c r="M186" s="174"/>
      <c r="N186" s="176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  <c r="AA186" s="174"/>
      <c r="AB186" s="174"/>
      <c r="AC186" s="174"/>
      <c r="AD186" s="174"/>
      <c r="AE186" s="174"/>
      <c r="AF186" s="174"/>
      <c r="AG186" s="174"/>
      <c r="AH186" s="174"/>
      <c r="AI186" s="174"/>
      <c r="AJ186" s="174"/>
      <c r="AK186" s="174"/>
      <c r="AL186" s="174"/>
      <c r="AM186" s="174"/>
      <c r="AN186" s="174"/>
      <c r="AO186" s="174"/>
      <c r="AP186" s="174"/>
      <c r="AQ186" s="174"/>
      <c r="AR186" s="174"/>
      <c r="AS186" s="174"/>
    </row>
    <row r="187" spans="1:45" ht="15.75" hidden="1" customHeight="1">
      <c r="A187" s="173"/>
      <c r="B187" s="174"/>
      <c r="C187" s="175" t="s">
        <v>544</v>
      </c>
      <c r="D187" s="175" t="s">
        <v>545</v>
      </c>
      <c r="E187" s="174"/>
      <c r="F187" s="176"/>
      <c r="G187" s="174"/>
      <c r="H187" s="174"/>
      <c r="I187" s="176"/>
      <c r="J187" s="174"/>
      <c r="K187" s="174"/>
      <c r="L187" s="174"/>
      <c r="M187" s="174"/>
      <c r="N187" s="176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  <c r="AA187" s="174"/>
      <c r="AB187" s="174"/>
      <c r="AC187" s="174"/>
      <c r="AD187" s="174"/>
      <c r="AE187" s="174"/>
      <c r="AF187" s="174"/>
      <c r="AG187" s="174"/>
      <c r="AH187" s="174"/>
      <c r="AI187" s="174"/>
      <c r="AJ187" s="174"/>
      <c r="AK187" s="174"/>
      <c r="AL187" s="174"/>
      <c r="AM187" s="174"/>
      <c r="AN187" s="174"/>
      <c r="AO187" s="174"/>
      <c r="AP187" s="174"/>
      <c r="AQ187" s="174"/>
      <c r="AR187" s="174"/>
      <c r="AS187" s="174"/>
    </row>
    <row r="188" spans="1:45" ht="15.75" hidden="1" customHeight="1">
      <c r="A188" s="173"/>
      <c r="B188" s="174"/>
      <c r="C188" s="175" t="s">
        <v>537</v>
      </c>
      <c r="D188" s="175" t="s">
        <v>538</v>
      </c>
      <c r="E188" s="174"/>
      <c r="F188" s="176"/>
      <c r="G188" s="174"/>
      <c r="H188" s="174"/>
      <c r="I188" s="176"/>
      <c r="J188" s="174"/>
      <c r="K188" s="174"/>
      <c r="L188" s="174"/>
      <c r="M188" s="174"/>
      <c r="N188" s="176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  <c r="AA188" s="174"/>
      <c r="AB188" s="174"/>
      <c r="AC188" s="174"/>
      <c r="AD188" s="174"/>
      <c r="AE188" s="174"/>
      <c r="AF188" s="174"/>
      <c r="AG188" s="174"/>
      <c r="AH188" s="174"/>
      <c r="AI188" s="174"/>
      <c r="AJ188" s="174"/>
      <c r="AK188" s="174"/>
      <c r="AL188" s="174"/>
      <c r="AM188" s="174"/>
      <c r="AN188" s="174"/>
      <c r="AO188" s="174"/>
      <c r="AP188" s="174"/>
      <c r="AQ188" s="174"/>
      <c r="AR188" s="174"/>
      <c r="AS188" s="174"/>
    </row>
    <row r="189" spans="1:45" ht="15.75" hidden="1" customHeight="1">
      <c r="A189" s="173"/>
      <c r="B189" s="174"/>
      <c r="C189" s="175" t="s">
        <v>546</v>
      </c>
      <c r="D189" s="175" t="s">
        <v>547</v>
      </c>
      <c r="E189" s="174"/>
      <c r="F189" s="176"/>
      <c r="G189" s="174"/>
      <c r="H189" s="174"/>
      <c r="I189" s="174"/>
      <c r="J189" s="174"/>
      <c r="K189" s="174"/>
      <c r="L189" s="174"/>
      <c r="M189" s="174"/>
      <c r="N189" s="176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  <c r="AA189" s="174"/>
      <c r="AB189" s="174"/>
      <c r="AC189" s="174"/>
      <c r="AD189" s="174"/>
      <c r="AE189" s="174"/>
      <c r="AF189" s="174"/>
      <c r="AG189" s="174"/>
      <c r="AH189" s="174"/>
      <c r="AI189" s="174"/>
      <c r="AJ189" s="174"/>
      <c r="AK189" s="174"/>
      <c r="AL189" s="174"/>
      <c r="AM189" s="174"/>
      <c r="AN189" s="174"/>
      <c r="AO189" s="174"/>
      <c r="AP189" s="174"/>
      <c r="AQ189" s="174"/>
      <c r="AR189" s="174"/>
      <c r="AS189" s="174"/>
    </row>
    <row r="190" spans="1:45" ht="15.75" hidden="1" customHeight="1">
      <c r="A190" s="173"/>
      <c r="B190" s="174"/>
      <c r="C190" s="175" t="s">
        <v>548</v>
      </c>
      <c r="D190" s="175" t="s">
        <v>549</v>
      </c>
      <c r="E190" s="174"/>
      <c r="F190" s="176"/>
      <c r="G190" s="174"/>
      <c r="H190" s="174"/>
      <c r="I190" s="174"/>
      <c r="J190" s="174"/>
      <c r="K190" s="174"/>
      <c r="L190" s="174"/>
      <c r="M190" s="174"/>
      <c r="N190" s="176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  <c r="AA190" s="174"/>
      <c r="AB190" s="174"/>
      <c r="AC190" s="174"/>
      <c r="AD190" s="174"/>
      <c r="AE190" s="174"/>
      <c r="AF190" s="174"/>
      <c r="AG190" s="174"/>
      <c r="AH190" s="174"/>
      <c r="AI190" s="174"/>
      <c r="AJ190" s="174"/>
      <c r="AK190" s="174"/>
      <c r="AL190" s="174"/>
      <c r="AM190" s="174"/>
      <c r="AN190" s="174"/>
      <c r="AO190" s="174"/>
      <c r="AP190" s="174"/>
      <c r="AQ190" s="174"/>
      <c r="AR190" s="174"/>
      <c r="AS190" s="174"/>
    </row>
    <row r="191" spans="1:45" ht="15.75" hidden="1" customHeight="1">
      <c r="A191" s="177">
        <v>6</v>
      </c>
      <c r="B191" s="177" t="s">
        <v>50</v>
      </c>
      <c r="C191" s="178" t="s">
        <v>550</v>
      </c>
      <c r="D191" s="178" t="s">
        <v>551</v>
      </c>
      <c r="E191" s="178">
        <v>3</v>
      </c>
      <c r="F191" s="179" t="s">
        <v>552</v>
      </c>
      <c r="G191" s="180" t="s">
        <v>553</v>
      </c>
      <c r="H191" s="180" t="s">
        <v>554</v>
      </c>
      <c r="I191" s="181" t="s">
        <v>555</v>
      </c>
      <c r="J191" s="180" t="s">
        <v>204</v>
      </c>
      <c r="K191" s="180" t="s">
        <v>149</v>
      </c>
      <c r="L191" s="181" t="s">
        <v>556</v>
      </c>
      <c r="M191" s="178" t="s">
        <v>36</v>
      </c>
      <c r="N191" s="179">
        <v>43647</v>
      </c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  <c r="AB191" s="138"/>
      <c r="AC191" s="138"/>
      <c r="AD191" s="138"/>
      <c r="AE191" s="138"/>
      <c r="AF191" s="138"/>
      <c r="AG191" s="138"/>
      <c r="AH191" s="138"/>
      <c r="AI191" s="138"/>
      <c r="AJ191" s="138"/>
      <c r="AK191" s="138"/>
      <c r="AL191" s="138"/>
      <c r="AM191" s="138"/>
      <c r="AN191" s="138"/>
      <c r="AO191" s="138"/>
      <c r="AP191" s="138"/>
      <c r="AQ191" s="138"/>
      <c r="AR191" s="138"/>
      <c r="AS191" s="138"/>
    </row>
    <row r="192" spans="1:45" ht="15.75" hidden="1" customHeight="1">
      <c r="A192" s="177">
        <v>7</v>
      </c>
      <c r="B192" s="177" t="s">
        <v>91</v>
      </c>
      <c r="C192" s="178" t="s">
        <v>298</v>
      </c>
      <c r="D192" s="178" t="s">
        <v>557</v>
      </c>
      <c r="E192" s="178">
        <v>5</v>
      </c>
      <c r="F192" s="179" t="s">
        <v>558</v>
      </c>
      <c r="G192" s="180" t="s">
        <v>559</v>
      </c>
      <c r="H192" s="180" t="s">
        <v>560</v>
      </c>
      <c r="I192" s="181">
        <v>43313</v>
      </c>
      <c r="J192" s="180" t="s">
        <v>238</v>
      </c>
      <c r="K192" s="180" t="s">
        <v>122</v>
      </c>
      <c r="L192" s="181" t="s">
        <v>561</v>
      </c>
      <c r="M192" s="178" t="s">
        <v>36</v>
      </c>
      <c r="N192" s="179">
        <v>43647</v>
      </c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  <c r="AB192" s="138"/>
      <c r="AC192" s="138"/>
      <c r="AD192" s="138"/>
      <c r="AE192" s="138"/>
      <c r="AF192" s="138"/>
      <c r="AG192" s="138"/>
      <c r="AH192" s="138"/>
      <c r="AI192" s="138"/>
      <c r="AJ192" s="138"/>
      <c r="AK192" s="138"/>
      <c r="AL192" s="138"/>
      <c r="AM192" s="138"/>
      <c r="AN192" s="138"/>
      <c r="AO192" s="138"/>
      <c r="AP192" s="138"/>
      <c r="AQ192" s="138"/>
      <c r="AR192" s="138"/>
      <c r="AS192" s="138"/>
    </row>
    <row r="193" spans="1:45" ht="15.75" hidden="1" customHeight="1">
      <c r="A193" s="177">
        <v>8</v>
      </c>
      <c r="B193" s="177" t="s">
        <v>50</v>
      </c>
      <c r="C193" s="178" t="s">
        <v>562</v>
      </c>
      <c r="D193" s="178" t="s">
        <v>563</v>
      </c>
      <c r="E193" s="178">
        <v>1</v>
      </c>
      <c r="F193" s="179">
        <v>40867</v>
      </c>
      <c r="G193" s="180" t="s">
        <v>564</v>
      </c>
      <c r="H193" s="180" t="s">
        <v>565</v>
      </c>
      <c r="I193" s="181">
        <v>43525</v>
      </c>
      <c r="J193" s="180" t="s">
        <v>261</v>
      </c>
      <c r="K193" s="180" t="s">
        <v>566</v>
      </c>
      <c r="L193" s="180" t="s">
        <v>567</v>
      </c>
      <c r="M193" s="178" t="s">
        <v>36</v>
      </c>
      <c r="N193" s="179">
        <v>43647</v>
      </c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  <c r="AB193" s="138"/>
      <c r="AC193" s="138"/>
      <c r="AD193" s="138"/>
      <c r="AE193" s="138"/>
      <c r="AF193" s="138"/>
      <c r="AG193" s="138"/>
      <c r="AH193" s="138"/>
      <c r="AI193" s="138"/>
      <c r="AJ193" s="138"/>
      <c r="AK193" s="138"/>
      <c r="AL193" s="138"/>
      <c r="AM193" s="138"/>
      <c r="AN193" s="138"/>
      <c r="AO193" s="138"/>
      <c r="AP193" s="138"/>
      <c r="AQ193" s="138"/>
      <c r="AR193" s="138"/>
      <c r="AS193" s="138"/>
    </row>
    <row r="194" spans="1:45" ht="15.75" hidden="1" customHeight="1">
      <c r="A194" s="177">
        <v>9</v>
      </c>
      <c r="B194" s="177" t="s">
        <v>91</v>
      </c>
      <c r="C194" s="178" t="s">
        <v>562</v>
      </c>
      <c r="D194" s="178" t="s">
        <v>563</v>
      </c>
      <c r="E194" s="178">
        <v>1</v>
      </c>
      <c r="F194" s="179">
        <v>40867</v>
      </c>
      <c r="G194" s="180" t="s">
        <v>564</v>
      </c>
      <c r="H194" s="180" t="s">
        <v>565</v>
      </c>
      <c r="I194" s="181">
        <v>43525</v>
      </c>
      <c r="J194" s="180" t="s">
        <v>211</v>
      </c>
      <c r="K194" s="180" t="s">
        <v>568</v>
      </c>
      <c r="L194" s="180" t="s">
        <v>567</v>
      </c>
      <c r="M194" s="178" t="s">
        <v>36</v>
      </c>
      <c r="N194" s="179">
        <v>43647</v>
      </c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  <c r="AB194" s="138"/>
      <c r="AC194" s="138"/>
      <c r="AD194" s="138"/>
      <c r="AE194" s="138"/>
      <c r="AF194" s="138"/>
      <c r="AG194" s="138"/>
      <c r="AH194" s="138"/>
      <c r="AI194" s="138"/>
      <c r="AJ194" s="138"/>
      <c r="AK194" s="138"/>
      <c r="AL194" s="138"/>
      <c r="AM194" s="138"/>
      <c r="AN194" s="138"/>
      <c r="AO194" s="138"/>
      <c r="AP194" s="138"/>
      <c r="AQ194" s="138"/>
      <c r="AR194" s="138"/>
      <c r="AS194" s="138"/>
    </row>
    <row r="195" spans="1:45" ht="15.75" hidden="1" customHeight="1">
      <c r="A195" s="177">
        <v>10</v>
      </c>
      <c r="B195" s="177" t="s">
        <v>91</v>
      </c>
      <c r="C195" s="178" t="s">
        <v>562</v>
      </c>
      <c r="D195" s="178" t="s">
        <v>569</v>
      </c>
      <c r="E195" s="178">
        <v>6</v>
      </c>
      <c r="F195" s="179">
        <v>39287</v>
      </c>
      <c r="G195" s="180" t="s">
        <v>564</v>
      </c>
      <c r="H195" s="180" t="s">
        <v>565</v>
      </c>
      <c r="I195" s="181">
        <v>43497</v>
      </c>
      <c r="J195" s="180" t="s">
        <v>244</v>
      </c>
      <c r="K195" s="180" t="s">
        <v>568</v>
      </c>
      <c r="L195" s="180" t="s">
        <v>567</v>
      </c>
      <c r="M195" s="178" t="s">
        <v>36</v>
      </c>
      <c r="N195" s="179">
        <v>43647</v>
      </c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  <c r="AB195" s="138"/>
      <c r="AC195" s="138"/>
      <c r="AD195" s="138"/>
      <c r="AE195" s="138"/>
      <c r="AF195" s="138"/>
      <c r="AG195" s="138"/>
      <c r="AH195" s="138"/>
      <c r="AI195" s="138"/>
      <c r="AJ195" s="138"/>
      <c r="AK195" s="138"/>
      <c r="AL195" s="138"/>
      <c r="AM195" s="138"/>
      <c r="AN195" s="138"/>
      <c r="AO195" s="138"/>
      <c r="AP195" s="138"/>
      <c r="AQ195" s="138"/>
      <c r="AR195" s="138"/>
      <c r="AS195" s="138"/>
    </row>
    <row r="196" spans="1:45" ht="15.75" hidden="1" customHeight="1">
      <c r="A196" s="177">
        <v>11</v>
      </c>
      <c r="B196" s="177" t="s">
        <v>50</v>
      </c>
      <c r="C196" s="178" t="s">
        <v>570</v>
      </c>
      <c r="D196" s="178" t="s">
        <v>571</v>
      </c>
      <c r="E196" s="178" t="s">
        <v>190</v>
      </c>
      <c r="F196" s="179" t="s">
        <v>572</v>
      </c>
      <c r="G196" s="180" t="s">
        <v>573</v>
      </c>
      <c r="H196" s="180" t="s">
        <v>574</v>
      </c>
      <c r="I196" s="181">
        <v>43586</v>
      </c>
      <c r="J196" s="180" t="s">
        <v>156</v>
      </c>
      <c r="K196" s="180" t="s">
        <v>575</v>
      </c>
      <c r="L196" s="180" t="s">
        <v>576</v>
      </c>
      <c r="M196" s="178" t="s">
        <v>36</v>
      </c>
      <c r="N196" s="179">
        <v>43647</v>
      </c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  <c r="AB196" s="138"/>
      <c r="AC196" s="138"/>
      <c r="AD196" s="138"/>
      <c r="AE196" s="138"/>
      <c r="AF196" s="138"/>
      <c r="AG196" s="138"/>
      <c r="AH196" s="138"/>
      <c r="AI196" s="138"/>
      <c r="AJ196" s="138"/>
      <c r="AK196" s="138"/>
      <c r="AL196" s="138"/>
      <c r="AM196" s="138"/>
      <c r="AN196" s="138"/>
      <c r="AO196" s="138"/>
      <c r="AP196" s="138"/>
      <c r="AQ196" s="138"/>
      <c r="AR196" s="138"/>
      <c r="AS196" s="138"/>
    </row>
    <row r="197" spans="1:45" ht="15.75" hidden="1" customHeight="1">
      <c r="A197" s="177">
        <v>12</v>
      </c>
      <c r="B197" s="177" t="s">
        <v>50</v>
      </c>
      <c r="C197" s="178" t="s">
        <v>570</v>
      </c>
      <c r="D197" s="178" t="s">
        <v>577</v>
      </c>
      <c r="E197" s="178" t="s">
        <v>190</v>
      </c>
      <c r="F197" s="179" t="s">
        <v>572</v>
      </c>
      <c r="G197" s="180" t="s">
        <v>573</v>
      </c>
      <c r="H197" s="180" t="s">
        <v>574</v>
      </c>
      <c r="I197" s="181">
        <v>43586</v>
      </c>
      <c r="J197" s="180" t="s">
        <v>156</v>
      </c>
      <c r="K197" s="180" t="s">
        <v>135</v>
      </c>
      <c r="L197" s="180" t="s">
        <v>576</v>
      </c>
      <c r="M197" s="178" t="s">
        <v>36</v>
      </c>
      <c r="N197" s="179">
        <v>43647</v>
      </c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  <c r="AB197" s="138"/>
      <c r="AC197" s="138"/>
      <c r="AD197" s="138"/>
      <c r="AE197" s="138"/>
      <c r="AF197" s="138"/>
      <c r="AG197" s="138"/>
      <c r="AH197" s="138"/>
      <c r="AI197" s="138"/>
      <c r="AJ197" s="138"/>
      <c r="AK197" s="138"/>
      <c r="AL197" s="138"/>
      <c r="AM197" s="138"/>
      <c r="AN197" s="138"/>
      <c r="AO197" s="138"/>
      <c r="AP197" s="138"/>
      <c r="AQ197" s="138"/>
      <c r="AR197" s="138"/>
      <c r="AS197" s="138"/>
    </row>
    <row r="198" spans="1:45" ht="15.75" hidden="1" customHeight="1">
      <c r="A198" s="177">
        <v>13</v>
      </c>
      <c r="B198" s="177" t="s">
        <v>50</v>
      </c>
      <c r="C198" s="178" t="s">
        <v>570</v>
      </c>
      <c r="D198" s="178" t="s">
        <v>578</v>
      </c>
      <c r="E198" s="178" t="s">
        <v>190</v>
      </c>
      <c r="F198" s="179" t="s">
        <v>572</v>
      </c>
      <c r="G198" s="180" t="s">
        <v>573</v>
      </c>
      <c r="H198" s="180" t="s">
        <v>574</v>
      </c>
      <c r="I198" s="181">
        <v>43586</v>
      </c>
      <c r="J198" s="180" t="s">
        <v>112</v>
      </c>
      <c r="K198" s="180" t="s">
        <v>187</v>
      </c>
      <c r="L198" s="180" t="s">
        <v>576</v>
      </c>
      <c r="M198" s="178" t="s">
        <v>36</v>
      </c>
      <c r="N198" s="179">
        <v>43647</v>
      </c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  <c r="AB198" s="138"/>
      <c r="AC198" s="138"/>
      <c r="AD198" s="138"/>
      <c r="AE198" s="138"/>
      <c r="AF198" s="138"/>
      <c r="AG198" s="138"/>
      <c r="AH198" s="138"/>
      <c r="AI198" s="138"/>
      <c r="AJ198" s="138"/>
      <c r="AK198" s="138"/>
      <c r="AL198" s="138"/>
      <c r="AM198" s="138"/>
      <c r="AN198" s="138"/>
      <c r="AO198" s="138"/>
      <c r="AP198" s="138"/>
      <c r="AQ198" s="138"/>
      <c r="AR198" s="138"/>
      <c r="AS198" s="138"/>
    </row>
    <row r="199" spans="1:45" ht="15.75" hidden="1" customHeight="1">
      <c r="A199" s="177">
        <v>14</v>
      </c>
      <c r="B199" s="177" t="s">
        <v>50</v>
      </c>
      <c r="C199" s="178" t="s">
        <v>579</v>
      </c>
      <c r="D199" s="178" t="s">
        <v>580</v>
      </c>
      <c r="E199" s="178">
        <v>3</v>
      </c>
      <c r="F199" s="179">
        <v>40335</v>
      </c>
      <c r="G199" s="180" t="s">
        <v>581</v>
      </c>
      <c r="H199" s="180" t="s">
        <v>582</v>
      </c>
      <c r="I199" s="181">
        <v>43391</v>
      </c>
      <c r="J199" s="180" t="s">
        <v>124</v>
      </c>
      <c r="K199" s="180" t="s">
        <v>583</v>
      </c>
      <c r="L199" s="180" t="s">
        <v>584</v>
      </c>
      <c r="M199" s="178" t="s">
        <v>36</v>
      </c>
      <c r="N199" s="179">
        <v>43647</v>
      </c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  <c r="AB199" s="138"/>
      <c r="AC199" s="138"/>
      <c r="AD199" s="138"/>
      <c r="AE199" s="138"/>
      <c r="AF199" s="138"/>
      <c r="AG199" s="138"/>
      <c r="AH199" s="138"/>
      <c r="AI199" s="138"/>
      <c r="AJ199" s="138"/>
      <c r="AK199" s="138"/>
      <c r="AL199" s="138"/>
      <c r="AM199" s="138"/>
      <c r="AN199" s="138"/>
      <c r="AO199" s="138"/>
      <c r="AP199" s="138"/>
      <c r="AQ199" s="138"/>
      <c r="AR199" s="138"/>
      <c r="AS199" s="138"/>
    </row>
    <row r="200" spans="1:45" ht="15.75" hidden="1" customHeight="1">
      <c r="A200" s="177">
        <v>15</v>
      </c>
      <c r="B200" s="177" t="s">
        <v>91</v>
      </c>
      <c r="C200" s="178" t="s">
        <v>579</v>
      </c>
      <c r="D200" s="178" t="s">
        <v>580</v>
      </c>
      <c r="E200" s="178">
        <v>3</v>
      </c>
      <c r="F200" s="179">
        <v>40335</v>
      </c>
      <c r="G200" s="180" t="s">
        <v>581</v>
      </c>
      <c r="H200" s="180" t="s">
        <v>582</v>
      </c>
      <c r="I200" s="181">
        <v>43466</v>
      </c>
      <c r="J200" s="180" t="s">
        <v>121</v>
      </c>
      <c r="K200" s="180" t="s">
        <v>175</v>
      </c>
      <c r="L200" s="180" t="s">
        <v>584</v>
      </c>
      <c r="M200" s="178" t="s">
        <v>36</v>
      </c>
      <c r="N200" s="179">
        <v>43647</v>
      </c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  <c r="AB200" s="138"/>
      <c r="AC200" s="138"/>
      <c r="AD200" s="138"/>
      <c r="AE200" s="138"/>
      <c r="AF200" s="138"/>
      <c r="AG200" s="138"/>
      <c r="AH200" s="138"/>
      <c r="AI200" s="138"/>
      <c r="AJ200" s="138"/>
      <c r="AK200" s="138"/>
      <c r="AL200" s="138"/>
      <c r="AM200" s="138"/>
      <c r="AN200" s="138"/>
      <c r="AO200" s="138"/>
      <c r="AP200" s="138"/>
      <c r="AQ200" s="138"/>
      <c r="AR200" s="138"/>
      <c r="AS200" s="138"/>
    </row>
    <row r="201" spans="1:45" ht="15.75" hidden="1" customHeight="1">
      <c r="A201" s="177">
        <v>16</v>
      </c>
      <c r="B201" s="177" t="s">
        <v>91</v>
      </c>
      <c r="C201" s="178" t="s">
        <v>579</v>
      </c>
      <c r="D201" s="178" t="s">
        <v>585</v>
      </c>
      <c r="E201" s="178" t="s">
        <v>586</v>
      </c>
      <c r="F201" s="179">
        <v>41667</v>
      </c>
      <c r="G201" s="180" t="s">
        <v>581</v>
      </c>
      <c r="H201" s="180" t="s">
        <v>582</v>
      </c>
      <c r="I201" s="181">
        <v>43391</v>
      </c>
      <c r="J201" s="180" t="s">
        <v>349</v>
      </c>
      <c r="K201" s="180" t="s">
        <v>587</v>
      </c>
      <c r="L201" s="180" t="s">
        <v>584</v>
      </c>
      <c r="M201" s="178" t="s">
        <v>36</v>
      </c>
      <c r="N201" s="179">
        <v>43647</v>
      </c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  <c r="AB201" s="138"/>
      <c r="AC201" s="138"/>
      <c r="AD201" s="138"/>
      <c r="AE201" s="138"/>
      <c r="AF201" s="138"/>
      <c r="AG201" s="138"/>
      <c r="AH201" s="138"/>
      <c r="AI201" s="138"/>
      <c r="AJ201" s="138"/>
      <c r="AK201" s="138"/>
      <c r="AL201" s="138"/>
      <c r="AM201" s="138"/>
      <c r="AN201" s="138"/>
      <c r="AO201" s="138"/>
      <c r="AP201" s="138"/>
      <c r="AQ201" s="138"/>
      <c r="AR201" s="138"/>
      <c r="AS201" s="138"/>
    </row>
    <row r="202" spans="1:45" ht="15.75" hidden="1" customHeight="1">
      <c r="A202" s="177">
        <v>17</v>
      </c>
      <c r="B202" s="177" t="s">
        <v>50</v>
      </c>
      <c r="C202" s="178" t="s">
        <v>463</v>
      </c>
      <c r="D202" s="178" t="s">
        <v>588</v>
      </c>
      <c r="E202" s="178">
        <v>2</v>
      </c>
      <c r="F202" s="179">
        <v>40788</v>
      </c>
      <c r="G202" s="180" t="s">
        <v>589</v>
      </c>
      <c r="H202" s="180" t="s">
        <v>590</v>
      </c>
      <c r="I202" s="181">
        <v>43349</v>
      </c>
      <c r="J202" s="180" t="s">
        <v>358</v>
      </c>
      <c r="K202" s="180" t="s">
        <v>566</v>
      </c>
      <c r="L202" s="180" t="s">
        <v>591</v>
      </c>
      <c r="M202" s="178" t="s">
        <v>36</v>
      </c>
      <c r="N202" s="179">
        <v>43647</v>
      </c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8"/>
      <c r="AG202" s="138"/>
      <c r="AH202" s="138"/>
      <c r="AI202" s="138"/>
      <c r="AJ202" s="138"/>
      <c r="AK202" s="138"/>
      <c r="AL202" s="138"/>
      <c r="AM202" s="138"/>
      <c r="AN202" s="138"/>
      <c r="AO202" s="138"/>
      <c r="AP202" s="138"/>
      <c r="AQ202" s="138"/>
      <c r="AR202" s="138"/>
      <c r="AS202" s="138"/>
    </row>
    <row r="203" spans="1:45" ht="15.75" hidden="1" customHeight="1">
      <c r="A203" s="177">
        <v>18</v>
      </c>
      <c r="B203" s="177" t="s">
        <v>91</v>
      </c>
      <c r="C203" s="178" t="s">
        <v>463</v>
      </c>
      <c r="D203" s="178" t="s">
        <v>588</v>
      </c>
      <c r="E203" s="178">
        <v>2</v>
      </c>
      <c r="F203" s="179">
        <v>40788</v>
      </c>
      <c r="G203" s="180" t="s">
        <v>589</v>
      </c>
      <c r="H203" s="180" t="s">
        <v>590</v>
      </c>
      <c r="I203" s="181">
        <v>43349</v>
      </c>
      <c r="J203" s="180" t="s">
        <v>141</v>
      </c>
      <c r="K203" s="180" t="s">
        <v>592</v>
      </c>
      <c r="L203" s="180" t="s">
        <v>591</v>
      </c>
      <c r="M203" s="178" t="s">
        <v>36</v>
      </c>
      <c r="N203" s="179">
        <v>43647</v>
      </c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  <c r="AB203" s="138"/>
      <c r="AC203" s="138"/>
      <c r="AD203" s="138"/>
      <c r="AE203" s="138"/>
      <c r="AF203" s="138"/>
      <c r="AG203" s="138"/>
      <c r="AH203" s="138"/>
      <c r="AI203" s="138"/>
      <c r="AJ203" s="138"/>
      <c r="AK203" s="138"/>
      <c r="AL203" s="138"/>
      <c r="AM203" s="138"/>
      <c r="AN203" s="138"/>
      <c r="AO203" s="138"/>
      <c r="AP203" s="138"/>
      <c r="AQ203" s="138"/>
      <c r="AR203" s="138"/>
      <c r="AS203" s="138"/>
    </row>
    <row r="204" spans="1:45" ht="15.75" hidden="1" customHeight="1">
      <c r="A204" s="177">
        <v>19</v>
      </c>
      <c r="B204" s="177" t="s">
        <v>50</v>
      </c>
      <c r="C204" s="178" t="s">
        <v>463</v>
      </c>
      <c r="D204" s="178" t="s">
        <v>278</v>
      </c>
      <c r="E204" s="178">
        <v>4</v>
      </c>
      <c r="F204" s="179" t="s">
        <v>593</v>
      </c>
      <c r="G204" s="180" t="s">
        <v>594</v>
      </c>
      <c r="H204" s="180" t="s">
        <v>595</v>
      </c>
      <c r="I204" s="181">
        <v>43328</v>
      </c>
      <c r="J204" s="180" t="s">
        <v>255</v>
      </c>
      <c r="K204" s="180" t="s">
        <v>592</v>
      </c>
      <c r="L204" s="181" t="s">
        <v>596</v>
      </c>
      <c r="M204" s="178" t="s">
        <v>36</v>
      </c>
      <c r="N204" s="179">
        <v>43647</v>
      </c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  <c r="AB204" s="138"/>
      <c r="AC204" s="138"/>
      <c r="AD204" s="138"/>
      <c r="AE204" s="138"/>
      <c r="AF204" s="138"/>
      <c r="AG204" s="138"/>
      <c r="AH204" s="138"/>
      <c r="AI204" s="138"/>
      <c r="AJ204" s="138"/>
      <c r="AK204" s="138"/>
      <c r="AL204" s="138"/>
      <c r="AM204" s="138"/>
      <c r="AN204" s="138"/>
      <c r="AO204" s="138"/>
      <c r="AP204" s="138"/>
      <c r="AQ204" s="138"/>
      <c r="AR204" s="138"/>
      <c r="AS204" s="138"/>
    </row>
    <row r="205" spans="1:45" ht="15.75" hidden="1" customHeight="1">
      <c r="A205" s="177">
        <v>20</v>
      </c>
      <c r="B205" s="177" t="s">
        <v>91</v>
      </c>
      <c r="C205" s="178" t="s">
        <v>463</v>
      </c>
      <c r="D205" s="178" t="s">
        <v>278</v>
      </c>
      <c r="E205" s="178">
        <v>4</v>
      </c>
      <c r="F205" s="179" t="s">
        <v>593</v>
      </c>
      <c r="G205" s="180" t="s">
        <v>594</v>
      </c>
      <c r="H205" s="180" t="s">
        <v>595</v>
      </c>
      <c r="I205" s="181">
        <v>43328</v>
      </c>
      <c r="J205" s="180" t="s">
        <v>150</v>
      </c>
      <c r="K205" s="180" t="s">
        <v>597</v>
      </c>
      <c r="L205" s="181" t="s">
        <v>596</v>
      </c>
      <c r="M205" s="178" t="s">
        <v>36</v>
      </c>
      <c r="N205" s="179">
        <v>43647</v>
      </c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  <c r="AB205" s="138"/>
      <c r="AC205" s="138"/>
      <c r="AD205" s="138"/>
      <c r="AE205" s="138"/>
      <c r="AF205" s="138"/>
      <c r="AG205" s="138"/>
      <c r="AH205" s="138"/>
      <c r="AI205" s="138"/>
      <c r="AJ205" s="138"/>
      <c r="AK205" s="138"/>
      <c r="AL205" s="138"/>
      <c r="AM205" s="138"/>
      <c r="AN205" s="138"/>
      <c r="AO205" s="138"/>
      <c r="AP205" s="138"/>
      <c r="AQ205" s="138"/>
      <c r="AR205" s="138"/>
      <c r="AS205" s="138"/>
    </row>
    <row r="206" spans="1:45" ht="15.75" hidden="1" customHeight="1">
      <c r="A206" s="177">
        <v>21</v>
      </c>
      <c r="B206" s="177" t="s">
        <v>91</v>
      </c>
      <c r="C206" s="178" t="s">
        <v>598</v>
      </c>
      <c r="D206" s="178" t="s">
        <v>599</v>
      </c>
      <c r="E206" s="178">
        <v>6</v>
      </c>
      <c r="F206" s="179">
        <v>39175</v>
      </c>
      <c r="G206" s="180" t="s">
        <v>600</v>
      </c>
      <c r="H206" s="180" t="s">
        <v>601</v>
      </c>
      <c r="I206" s="181">
        <v>43497</v>
      </c>
      <c r="J206" s="180" t="s">
        <v>238</v>
      </c>
      <c r="K206" s="180" t="s">
        <v>568</v>
      </c>
      <c r="L206" s="180" t="s">
        <v>602</v>
      </c>
      <c r="M206" s="178" t="s">
        <v>36</v>
      </c>
      <c r="N206" s="179">
        <v>43647</v>
      </c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  <c r="AB206" s="138"/>
      <c r="AC206" s="138"/>
      <c r="AD206" s="138"/>
      <c r="AE206" s="138"/>
      <c r="AF206" s="138"/>
      <c r="AG206" s="138"/>
      <c r="AH206" s="138"/>
      <c r="AI206" s="138"/>
      <c r="AJ206" s="138"/>
      <c r="AK206" s="138"/>
      <c r="AL206" s="138"/>
      <c r="AM206" s="138"/>
      <c r="AN206" s="138"/>
      <c r="AO206" s="138"/>
      <c r="AP206" s="138"/>
      <c r="AQ206" s="138"/>
      <c r="AR206" s="138"/>
      <c r="AS206" s="138"/>
    </row>
    <row r="207" spans="1:45" ht="15.75" hidden="1" customHeight="1">
      <c r="A207" s="177">
        <v>22</v>
      </c>
      <c r="B207" s="177" t="s">
        <v>50</v>
      </c>
      <c r="C207" s="178" t="s">
        <v>603</v>
      </c>
      <c r="D207" s="178" t="s">
        <v>604</v>
      </c>
      <c r="E207" s="178">
        <v>5</v>
      </c>
      <c r="F207" s="179">
        <v>39854</v>
      </c>
      <c r="G207" s="180" t="s">
        <v>605</v>
      </c>
      <c r="H207" s="180" t="s">
        <v>606</v>
      </c>
      <c r="I207" s="181">
        <v>43497</v>
      </c>
      <c r="J207" s="180" t="s">
        <v>358</v>
      </c>
      <c r="K207" s="180" t="s">
        <v>126</v>
      </c>
      <c r="L207" s="180"/>
      <c r="M207" s="178" t="s">
        <v>36</v>
      </c>
      <c r="N207" s="179">
        <v>43647</v>
      </c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  <c r="AB207" s="138"/>
      <c r="AC207" s="138"/>
      <c r="AD207" s="138"/>
      <c r="AE207" s="138"/>
      <c r="AF207" s="138"/>
      <c r="AG207" s="138"/>
      <c r="AH207" s="138"/>
      <c r="AI207" s="138"/>
      <c r="AJ207" s="138"/>
      <c r="AK207" s="138"/>
      <c r="AL207" s="138"/>
      <c r="AM207" s="138"/>
      <c r="AN207" s="138"/>
      <c r="AO207" s="138"/>
      <c r="AP207" s="138"/>
      <c r="AQ207" s="138"/>
      <c r="AR207" s="138"/>
      <c r="AS207" s="138"/>
    </row>
    <row r="208" spans="1:45" ht="15.75" hidden="1" customHeight="1">
      <c r="A208" s="177">
        <v>23</v>
      </c>
      <c r="B208" s="177" t="s">
        <v>50</v>
      </c>
      <c r="C208" s="178" t="s">
        <v>607</v>
      </c>
      <c r="D208" s="178" t="s">
        <v>608</v>
      </c>
      <c r="E208" s="178">
        <v>3</v>
      </c>
      <c r="F208" s="179">
        <v>40173</v>
      </c>
      <c r="G208" s="180" t="s">
        <v>609</v>
      </c>
      <c r="H208" s="180" t="s">
        <v>610</v>
      </c>
      <c r="I208" s="181">
        <v>43605</v>
      </c>
      <c r="J208" s="180" t="s">
        <v>140</v>
      </c>
      <c r="K208" s="180" t="s">
        <v>304</v>
      </c>
      <c r="L208" s="180" t="s">
        <v>611</v>
      </c>
      <c r="M208" s="178" t="s">
        <v>36</v>
      </c>
      <c r="N208" s="179">
        <v>43647</v>
      </c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  <c r="AB208" s="138"/>
      <c r="AC208" s="138"/>
      <c r="AD208" s="138"/>
      <c r="AE208" s="138"/>
      <c r="AF208" s="138"/>
      <c r="AG208" s="138"/>
      <c r="AH208" s="138"/>
      <c r="AI208" s="138"/>
      <c r="AJ208" s="138"/>
      <c r="AK208" s="138"/>
      <c r="AL208" s="138"/>
      <c r="AM208" s="138"/>
      <c r="AN208" s="138"/>
      <c r="AO208" s="138"/>
      <c r="AP208" s="138"/>
      <c r="AQ208" s="138"/>
      <c r="AR208" s="138"/>
      <c r="AS208" s="138"/>
    </row>
    <row r="209" spans="1:45" ht="15.75" hidden="1" customHeight="1">
      <c r="A209" s="177">
        <v>24</v>
      </c>
      <c r="B209" s="177" t="s">
        <v>91</v>
      </c>
      <c r="C209" s="178" t="s">
        <v>607</v>
      </c>
      <c r="D209" s="178" t="s">
        <v>608</v>
      </c>
      <c r="E209" s="178">
        <v>3</v>
      </c>
      <c r="F209" s="179">
        <v>40173</v>
      </c>
      <c r="G209" s="180" t="s">
        <v>609</v>
      </c>
      <c r="H209" s="180" t="s">
        <v>610</v>
      </c>
      <c r="I209" s="181">
        <v>43605</v>
      </c>
      <c r="J209" s="180" t="s">
        <v>112</v>
      </c>
      <c r="K209" s="180" t="s">
        <v>612</v>
      </c>
      <c r="L209" s="180" t="s">
        <v>611</v>
      </c>
      <c r="M209" s="178" t="s">
        <v>36</v>
      </c>
      <c r="N209" s="179">
        <v>43647</v>
      </c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  <c r="AB209" s="138"/>
      <c r="AC209" s="138"/>
      <c r="AD209" s="138"/>
      <c r="AE209" s="138"/>
      <c r="AF209" s="138"/>
      <c r="AG209" s="138"/>
      <c r="AH209" s="138"/>
      <c r="AI209" s="138"/>
      <c r="AJ209" s="138"/>
      <c r="AK209" s="138"/>
      <c r="AL209" s="138"/>
      <c r="AM209" s="138"/>
      <c r="AN209" s="138"/>
      <c r="AO209" s="138"/>
      <c r="AP209" s="138"/>
      <c r="AQ209" s="138"/>
      <c r="AR209" s="138"/>
      <c r="AS209" s="138"/>
    </row>
    <row r="210" spans="1:45" ht="15.75" hidden="1" customHeight="1">
      <c r="A210" s="177">
        <v>1</v>
      </c>
      <c r="B210" s="177" t="s">
        <v>50</v>
      </c>
      <c r="C210" s="178" t="s">
        <v>613</v>
      </c>
      <c r="D210" s="178" t="s">
        <v>375</v>
      </c>
      <c r="E210" s="178">
        <v>1</v>
      </c>
      <c r="F210" s="179">
        <v>41165</v>
      </c>
      <c r="G210" s="180" t="s">
        <v>614</v>
      </c>
      <c r="H210" s="180" t="s">
        <v>615</v>
      </c>
      <c r="I210" s="181">
        <v>43633</v>
      </c>
      <c r="J210" s="180" t="s">
        <v>261</v>
      </c>
      <c r="K210" s="180" t="s">
        <v>616</v>
      </c>
      <c r="L210" s="180"/>
      <c r="M210" s="178" t="s">
        <v>36</v>
      </c>
      <c r="N210" s="179">
        <v>43678</v>
      </c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  <c r="AB210" s="138"/>
      <c r="AC210" s="138"/>
      <c r="AD210" s="138"/>
      <c r="AE210" s="138"/>
      <c r="AF210" s="138"/>
      <c r="AG210" s="138"/>
      <c r="AH210" s="138"/>
      <c r="AI210" s="138"/>
      <c r="AJ210" s="138"/>
      <c r="AK210" s="138"/>
      <c r="AL210" s="138"/>
      <c r="AM210" s="138"/>
      <c r="AN210" s="138"/>
      <c r="AO210" s="138"/>
      <c r="AP210" s="138"/>
      <c r="AQ210" s="138"/>
      <c r="AR210" s="138"/>
      <c r="AS210" s="138"/>
    </row>
    <row r="211" spans="1:45" ht="15.75" hidden="1" customHeight="1">
      <c r="A211" s="177">
        <v>2</v>
      </c>
      <c r="B211" s="177" t="s">
        <v>91</v>
      </c>
      <c r="C211" s="178" t="s">
        <v>613</v>
      </c>
      <c r="D211" s="178" t="s">
        <v>375</v>
      </c>
      <c r="E211" s="178">
        <v>1</v>
      </c>
      <c r="F211" s="179">
        <v>41165</v>
      </c>
      <c r="G211" s="180" t="s">
        <v>614</v>
      </c>
      <c r="H211" s="180" t="s">
        <v>615</v>
      </c>
      <c r="I211" s="181">
        <v>43633</v>
      </c>
      <c r="J211" s="180" t="s">
        <v>211</v>
      </c>
      <c r="K211" s="180" t="s">
        <v>122</v>
      </c>
      <c r="L211" s="180"/>
      <c r="M211" s="178" t="s">
        <v>36</v>
      </c>
      <c r="N211" s="179">
        <v>43678</v>
      </c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  <c r="AB211" s="138"/>
      <c r="AC211" s="138"/>
      <c r="AD211" s="138"/>
      <c r="AE211" s="138"/>
      <c r="AF211" s="138"/>
      <c r="AG211" s="138"/>
      <c r="AH211" s="138"/>
      <c r="AI211" s="138"/>
      <c r="AJ211" s="138"/>
      <c r="AK211" s="138"/>
      <c r="AL211" s="138"/>
      <c r="AM211" s="138"/>
      <c r="AN211" s="138"/>
      <c r="AO211" s="138"/>
      <c r="AP211" s="138"/>
      <c r="AQ211" s="138"/>
      <c r="AR211" s="138"/>
      <c r="AS211" s="138"/>
    </row>
    <row r="212" spans="1:45" ht="15.75" hidden="1" customHeight="1">
      <c r="A212" s="177">
        <v>3</v>
      </c>
      <c r="B212" s="177" t="s">
        <v>91</v>
      </c>
      <c r="C212" s="178" t="s">
        <v>617</v>
      </c>
      <c r="D212" s="178" t="s">
        <v>618</v>
      </c>
      <c r="E212" s="178">
        <v>1</v>
      </c>
      <c r="F212" s="179">
        <v>40994</v>
      </c>
      <c r="G212" s="180" t="s">
        <v>619</v>
      </c>
      <c r="H212" s="180" t="s">
        <v>147</v>
      </c>
      <c r="I212" s="181">
        <v>43633</v>
      </c>
      <c r="J212" s="180" t="s">
        <v>156</v>
      </c>
      <c r="K212" s="180" t="s">
        <v>175</v>
      </c>
      <c r="L212" s="180" t="s">
        <v>620</v>
      </c>
      <c r="M212" s="178" t="s">
        <v>36</v>
      </c>
      <c r="N212" s="179">
        <v>43678</v>
      </c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  <c r="AB212" s="138"/>
      <c r="AC212" s="138"/>
      <c r="AD212" s="138"/>
      <c r="AE212" s="138"/>
      <c r="AF212" s="138"/>
      <c r="AG212" s="138"/>
      <c r="AH212" s="138"/>
      <c r="AI212" s="138"/>
      <c r="AJ212" s="138"/>
      <c r="AK212" s="138"/>
      <c r="AL212" s="138"/>
      <c r="AM212" s="138"/>
      <c r="AN212" s="138"/>
      <c r="AO212" s="138"/>
      <c r="AP212" s="138"/>
      <c r="AQ212" s="138"/>
      <c r="AR212" s="138"/>
      <c r="AS212" s="138"/>
    </row>
    <row r="213" spans="1:45" ht="15.75" hidden="1" customHeight="1">
      <c r="A213" s="177">
        <v>4</v>
      </c>
      <c r="B213" s="177" t="s">
        <v>91</v>
      </c>
      <c r="C213" s="178" t="s">
        <v>621</v>
      </c>
      <c r="D213" s="178" t="s">
        <v>622</v>
      </c>
      <c r="E213" s="178">
        <v>5</v>
      </c>
      <c r="F213" s="179" t="s">
        <v>623</v>
      </c>
      <c r="G213" s="180" t="s">
        <v>624</v>
      </c>
      <c r="H213" s="180" t="s">
        <v>625</v>
      </c>
      <c r="I213" s="181">
        <v>43633</v>
      </c>
      <c r="J213" s="180" t="s">
        <v>150</v>
      </c>
      <c r="K213" s="180" t="s">
        <v>626</v>
      </c>
      <c r="L213" s="180" t="s">
        <v>66</v>
      </c>
      <c r="M213" s="178" t="s">
        <v>36</v>
      </c>
      <c r="N213" s="179">
        <v>43678</v>
      </c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  <c r="AB213" s="138"/>
      <c r="AC213" s="138"/>
      <c r="AD213" s="138"/>
      <c r="AE213" s="138"/>
      <c r="AF213" s="138"/>
      <c r="AG213" s="138"/>
      <c r="AH213" s="138"/>
      <c r="AI213" s="138"/>
      <c r="AJ213" s="138"/>
      <c r="AK213" s="138"/>
      <c r="AL213" s="138"/>
      <c r="AM213" s="138"/>
      <c r="AN213" s="138"/>
      <c r="AO213" s="138"/>
      <c r="AP213" s="138"/>
      <c r="AQ213" s="138"/>
      <c r="AR213" s="138"/>
      <c r="AS213" s="138"/>
    </row>
    <row r="214" spans="1:45" ht="15.75" hidden="1" customHeight="1">
      <c r="A214" s="177">
        <v>5</v>
      </c>
      <c r="B214" s="177" t="s">
        <v>50</v>
      </c>
      <c r="C214" s="178" t="s">
        <v>627</v>
      </c>
      <c r="D214" s="178" t="s">
        <v>628</v>
      </c>
      <c r="E214" s="178">
        <v>6</v>
      </c>
      <c r="F214" s="179">
        <v>39202</v>
      </c>
      <c r="G214" s="180" t="s">
        <v>629</v>
      </c>
      <c r="H214" s="180" t="s">
        <v>630</v>
      </c>
      <c r="I214" s="181">
        <v>43344</v>
      </c>
      <c r="J214" s="180" t="s">
        <v>249</v>
      </c>
      <c r="K214" s="180" t="s">
        <v>597</v>
      </c>
      <c r="L214" s="180" t="s">
        <v>631</v>
      </c>
      <c r="M214" s="178" t="s">
        <v>36</v>
      </c>
      <c r="N214" s="179">
        <v>43678</v>
      </c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  <c r="AB214" s="138"/>
      <c r="AC214" s="138"/>
      <c r="AD214" s="138"/>
      <c r="AE214" s="138"/>
      <c r="AF214" s="138"/>
      <c r="AG214" s="138"/>
      <c r="AH214" s="138"/>
      <c r="AI214" s="138"/>
      <c r="AJ214" s="138"/>
      <c r="AK214" s="138"/>
      <c r="AL214" s="138"/>
      <c r="AM214" s="138"/>
      <c r="AN214" s="138"/>
      <c r="AO214" s="138"/>
      <c r="AP214" s="138"/>
      <c r="AQ214" s="138"/>
      <c r="AR214" s="138"/>
      <c r="AS214" s="138"/>
    </row>
    <row r="215" spans="1:45" ht="15.75" hidden="1" customHeight="1">
      <c r="A215" s="177">
        <v>6</v>
      </c>
      <c r="B215" s="177" t="s">
        <v>91</v>
      </c>
      <c r="C215" s="178" t="s">
        <v>627</v>
      </c>
      <c r="D215" s="178" t="s">
        <v>628</v>
      </c>
      <c r="E215" s="178">
        <v>6</v>
      </c>
      <c r="F215" s="179">
        <v>39202</v>
      </c>
      <c r="G215" s="180" t="s">
        <v>629</v>
      </c>
      <c r="H215" s="180" t="s">
        <v>630</v>
      </c>
      <c r="I215" s="181">
        <v>43344</v>
      </c>
      <c r="J215" s="180" t="s">
        <v>238</v>
      </c>
      <c r="K215" s="180" t="s">
        <v>135</v>
      </c>
      <c r="L215" s="180" t="s">
        <v>631</v>
      </c>
      <c r="M215" s="178" t="s">
        <v>36</v>
      </c>
      <c r="N215" s="179">
        <v>43678</v>
      </c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  <c r="AB215" s="138"/>
      <c r="AC215" s="138"/>
      <c r="AD215" s="138"/>
      <c r="AE215" s="138"/>
      <c r="AF215" s="138"/>
      <c r="AG215" s="138"/>
      <c r="AH215" s="138"/>
      <c r="AI215" s="138"/>
      <c r="AJ215" s="138"/>
      <c r="AK215" s="138"/>
      <c r="AL215" s="138"/>
      <c r="AM215" s="138"/>
      <c r="AN215" s="138"/>
      <c r="AO215" s="138"/>
      <c r="AP215" s="138"/>
      <c r="AQ215" s="138"/>
      <c r="AR215" s="138"/>
      <c r="AS215" s="138"/>
    </row>
    <row r="216" spans="1:45" ht="15.75" hidden="1" customHeight="1">
      <c r="A216" s="177">
        <v>7</v>
      </c>
      <c r="B216" s="177" t="s">
        <v>50</v>
      </c>
      <c r="C216" s="178" t="s">
        <v>632</v>
      </c>
      <c r="D216" s="178" t="s">
        <v>633</v>
      </c>
      <c r="E216" s="178">
        <v>2</v>
      </c>
      <c r="F216" s="179">
        <v>40492</v>
      </c>
      <c r="G216" s="180" t="s">
        <v>634</v>
      </c>
      <c r="H216" s="180" t="s">
        <v>635</v>
      </c>
      <c r="I216" s="181">
        <v>43633</v>
      </c>
      <c r="J216" s="180" t="s">
        <v>261</v>
      </c>
      <c r="K216" s="180" t="s">
        <v>205</v>
      </c>
      <c r="L216" s="180"/>
      <c r="M216" s="178" t="s">
        <v>36</v>
      </c>
      <c r="N216" s="179">
        <v>43678</v>
      </c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  <c r="AB216" s="138"/>
      <c r="AC216" s="138"/>
      <c r="AD216" s="138"/>
      <c r="AE216" s="138"/>
      <c r="AF216" s="138"/>
      <c r="AG216" s="138"/>
      <c r="AH216" s="138"/>
      <c r="AI216" s="138"/>
      <c r="AJ216" s="138"/>
      <c r="AK216" s="138"/>
      <c r="AL216" s="138"/>
      <c r="AM216" s="138"/>
      <c r="AN216" s="138"/>
      <c r="AO216" s="138"/>
      <c r="AP216" s="138"/>
      <c r="AQ216" s="138"/>
      <c r="AR216" s="138"/>
      <c r="AS216" s="138"/>
    </row>
    <row r="217" spans="1:45" ht="15.75" hidden="1" customHeight="1">
      <c r="A217" s="177">
        <v>8</v>
      </c>
      <c r="B217" s="177" t="s">
        <v>91</v>
      </c>
      <c r="C217" s="178" t="s">
        <v>632</v>
      </c>
      <c r="D217" s="178" t="s">
        <v>633</v>
      </c>
      <c r="E217" s="178">
        <v>2</v>
      </c>
      <c r="F217" s="179">
        <v>40492</v>
      </c>
      <c r="G217" s="180" t="s">
        <v>634</v>
      </c>
      <c r="H217" s="180" t="s">
        <v>635</v>
      </c>
      <c r="I217" s="181">
        <v>43633</v>
      </c>
      <c r="J217" s="180" t="s">
        <v>211</v>
      </c>
      <c r="K217" s="180" t="s">
        <v>187</v>
      </c>
      <c r="L217" s="180"/>
      <c r="M217" s="178" t="s">
        <v>36</v>
      </c>
      <c r="N217" s="179">
        <v>43678</v>
      </c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  <c r="AB217" s="138"/>
      <c r="AC217" s="138"/>
      <c r="AD217" s="138"/>
      <c r="AE217" s="138"/>
      <c r="AF217" s="138"/>
      <c r="AG217" s="138"/>
      <c r="AH217" s="138"/>
      <c r="AI217" s="138"/>
      <c r="AJ217" s="138"/>
      <c r="AK217" s="138"/>
      <c r="AL217" s="138"/>
      <c r="AM217" s="138"/>
      <c r="AN217" s="138"/>
      <c r="AO217" s="138"/>
      <c r="AP217" s="138"/>
      <c r="AQ217" s="138"/>
      <c r="AR217" s="138"/>
      <c r="AS217" s="138"/>
    </row>
    <row r="218" spans="1:45" ht="15.75" hidden="1" customHeight="1">
      <c r="A218" s="177">
        <v>9</v>
      </c>
      <c r="B218" s="177" t="s">
        <v>50</v>
      </c>
      <c r="C218" s="178" t="s">
        <v>636</v>
      </c>
      <c r="D218" s="178" t="s">
        <v>637</v>
      </c>
      <c r="E218" s="178" t="s">
        <v>145</v>
      </c>
      <c r="F218" s="179" t="s">
        <v>638</v>
      </c>
      <c r="G218" s="180" t="s">
        <v>639</v>
      </c>
      <c r="H218" s="180" t="s">
        <v>640</v>
      </c>
      <c r="I218" s="181">
        <v>43633</v>
      </c>
      <c r="J218" s="180" t="s">
        <v>308</v>
      </c>
      <c r="K218" s="180" t="s">
        <v>641</v>
      </c>
      <c r="L218" s="180" t="s">
        <v>642</v>
      </c>
      <c r="M218" s="178" t="s">
        <v>36</v>
      </c>
      <c r="N218" s="179">
        <v>43678</v>
      </c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  <c r="AB218" s="138"/>
      <c r="AC218" s="138"/>
      <c r="AD218" s="138"/>
      <c r="AE218" s="138"/>
      <c r="AF218" s="138"/>
      <c r="AG218" s="138"/>
      <c r="AH218" s="138"/>
      <c r="AI218" s="138"/>
      <c r="AJ218" s="138"/>
      <c r="AK218" s="138"/>
      <c r="AL218" s="138"/>
      <c r="AM218" s="138"/>
      <c r="AN218" s="138"/>
      <c r="AO218" s="138"/>
      <c r="AP218" s="138"/>
      <c r="AQ218" s="138"/>
      <c r="AR218" s="138"/>
      <c r="AS218" s="138"/>
    </row>
    <row r="219" spans="1:45" ht="15.75" hidden="1" customHeight="1">
      <c r="A219" s="177">
        <v>10</v>
      </c>
      <c r="B219" s="177" t="s">
        <v>91</v>
      </c>
      <c r="C219" s="178" t="s">
        <v>636</v>
      </c>
      <c r="D219" s="178" t="s">
        <v>637</v>
      </c>
      <c r="E219" s="178" t="s">
        <v>145</v>
      </c>
      <c r="F219" s="179" t="s">
        <v>638</v>
      </c>
      <c r="G219" s="180" t="s">
        <v>639</v>
      </c>
      <c r="H219" s="180" t="s">
        <v>640</v>
      </c>
      <c r="I219" s="181">
        <v>43633</v>
      </c>
      <c r="J219" s="180" t="s">
        <v>194</v>
      </c>
      <c r="K219" s="180" t="s">
        <v>643</v>
      </c>
      <c r="L219" s="180" t="s">
        <v>642</v>
      </c>
      <c r="M219" s="178" t="s">
        <v>36</v>
      </c>
      <c r="N219" s="179">
        <v>43678</v>
      </c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  <c r="AB219" s="138"/>
      <c r="AC219" s="138"/>
      <c r="AD219" s="138"/>
      <c r="AE219" s="138"/>
      <c r="AF219" s="138"/>
      <c r="AG219" s="138"/>
      <c r="AH219" s="138"/>
      <c r="AI219" s="138"/>
      <c r="AJ219" s="138"/>
      <c r="AK219" s="138"/>
      <c r="AL219" s="138"/>
      <c r="AM219" s="138"/>
      <c r="AN219" s="138"/>
      <c r="AO219" s="138"/>
      <c r="AP219" s="138"/>
      <c r="AQ219" s="138"/>
      <c r="AR219" s="138"/>
      <c r="AS219" s="138"/>
    </row>
    <row r="220" spans="1:45" ht="15.75" hidden="1" customHeight="1">
      <c r="A220" s="177">
        <v>11</v>
      </c>
      <c r="B220" s="177" t="s">
        <v>50</v>
      </c>
      <c r="C220" s="178" t="s">
        <v>636</v>
      </c>
      <c r="D220" s="178" t="s">
        <v>644</v>
      </c>
      <c r="E220" s="178">
        <v>1</v>
      </c>
      <c r="F220" s="179" t="s">
        <v>645</v>
      </c>
      <c r="G220" s="180" t="s">
        <v>639</v>
      </c>
      <c r="H220" s="180" t="s">
        <v>640</v>
      </c>
      <c r="I220" s="181">
        <v>43633</v>
      </c>
      <c r="J220" s="180" t="s">
        <v>140</v>
      </c>
      <c r="K220" s="180" t="s">
        <v>142</v>
      </c>
      <c r="L220" s="180" t="s">
        <v>642</v>
      </c>
      <c r="M220" s="178" t="s">
        <v>36</v>
      </c>
      <c r="N220" s="179">
        <v>43678</v>
      </c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  <c r="AB220" s="138"/>
      <c r="AC220" s="138"/>
      <c r="AD220" s="138"/>
      <c r="AE220" s="138"/>
      <c r="AF220" s="138"/>
      <c r="AG220" s="138"/>
      <c r="AH220" s="138"/>
      <c r="AI220" s="138"/>
      <c r="AJ220" s="138"/>
      <c r="AK220" s="138"/>
      <c r="AL220" s="138"/>
      <c r="AM220" s="138"/>
      <c r="AN220" s="138"/>
      <c r="AO220" s="138"/>
      <c r="AP220" s="138"/>
      <c r="AQ220" s="138"/>
      <c r="AR220" s="138"/>
      <c r="AS220" s="138"/>
    </row>
    <row r="221" spans="1:45" ht="15.75" hidden="1" customHeight="1">
      <c r="A221" s="177">
        <v>12</v>
      </c>
      <c r="B221" s="177" t="s">
        <v>91</v>
      </c>
      <c r="C221" s="178" t="s">
        <v>636</v>
      </c>
      <c r="D221" s="178" t="s">
        <v>644</v>
      </c>
      <c r="E221" s="178">
        <v>1</v>
      </c>
      <c r="F221" s="179" t="s">
        <v>645</v>
      </c>
      <c r="G221" s="180" t="s">
        <v>639</v>
      </c>
      <c r="H221" s="180" t="s">
        <v>640</v>
      </c>
      <c r="I221" s="181">
        <v>43633</v>
      </c>
      <c r="J221" s="180" t="s">
        <v>121</v>
      </c>
      <c r="K221" s="180" t="s">
        <v>646</v>
      </c>
      <c r="L221" s="180" t="s">
        <v>642</v>
      </c>
      <c r="M221" s="178" t="s">
        <v>36</v>
      </c>
      <c r="N221" s="179">
        <v>43678</v>
      </c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  <c r="AB221" s="138"/>
      <c r="AC221" s="138"/>
      <c r="AD221" s="138"/>
      <c r="AE221" s="138"/>
      <c r="AF221" s="138"/>
      <c r="AG221" s="138"/>
      <c r="AH221" s="138"/>
      <c r="AI221" s="138"/>
      <c r="AJ221" s="138"/>
      <c r="AK221" s="138"/>
      <c r="AL221" s="138"/>
      <c r="AM221" s="138"/>
      <c r="AN221" s="138"/>
      <c r="AO221" s="138"/>
      <c r="AP221" s="138"/>
      <c r="AQ221" s="138"/>
      <c r="AR221" s="138"/>
      <c r="AS221" s="138"/>
    </row>
    <row r="222" spans="1:45" ht="15.75" hidden="1" customHeight="1">
      <c r="A222" s="177">
        <v>13</v>
      </c>
      <c r="B222" s="177" t="s">
        <v>91</v>
      </c>
      <c r="C222" s="178" t="s">
        <v>647</v>
      </c>
      <c r="D222" s="178" t="s">
        <v>648</v>
      </c>
      <c r="E222" s="178">
        <v>6</v>
      </c>
      <c r="F222" s="179">
        <v>43878</v>
      </c>
      <c r="G222" s="180" t="s">
        <v>649</v>
      </c>
      <c r="H222" s="180" t="s">
        <v>650</v>
      </c>
      <c r="I222" s="181">
        <v>43497</v>
      </c>
      <c r="J222" s="180" t="s">
        <v>244</v>
      </c>
      <c r="K222" s="180" t="s">
        <v>142</v>
      </c>
      <c r="L222" s="180" t="s">
        <v>651</v>
      </c>
      <c r="M222" s="178" t="s">
        <v>36</v>
      </c>
      <c r="N222" s="179">
        <v>43678</v>
      </c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  <c r="AB222" s="138"/>
      <c r="AC222" s="138"/>
      <c r="AD222" s="138"/>
      <c r="AE222" s="138"/>
      <c r="AF222" s="138"/>
      <c r="AG222" s="138"/>
      <c r="AH222" s="138"/>
      <c r="AI222" s="138"/>
      <c r="AJ222" s="138"/>
      <c r="AK222" s="138"/>
      <c r="AL222" s="138"/>
      <c r="AM222" s="138"/>
      <c r="AN222" s="138"/>
      <c r="AO222" s="138"/>
      <c r="AP222" s="138"/>
      <c r="AQ222" s="138"/>
      <c r="AR222" s="138"/>
      <c r="AS222" s="138"/>
    </row>
    <row r="223" spans="1:45" ht="15.75" hidden="1" customHeight="1">
      <c r="A223" s="177">
        <v>14</v>
      </c>
      <c r="B223" s="177" t="s">
        <v>50</v>
      </c>
      <c r="C223" s="178" t="s">
        <v>652</v>
      </c>
      <c r="D223" s="178" t="s">
        <v>375</v>
      </c>
      <c r="E223" s="178" t="s">
        <v>190</v>
      </c>
      <c r="F223" s="179">
        <v>41802</v>
      </c>
      <c r="G223" s="180" t="s">
        <v>614</v>
      </c>
      <c r="H223" s="180" t="s">
        <v>615</v>
      </c>
      <c r="I223" s="181">
        <v>43633</v>
      </c>
      <c r="J223" s="180" t="s">
        <v>349</v>
      </c>
      <c r="K223" s="180" t="s">
        <v>653</v>
      </c>
      <c r="L223" s="180"/>
      <c r="M223" s="178" t="s">
        <v>36</v>
      </c>
      <c r="N223" s="179">
        <v>43678</v>
      </c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  <c r="AB223" s="138"/>
      <c r="AC223" s="138"/>
      <c r="AD223" s="138"/>
      <c r="AE223" s="138"/>
      <c r="AF223" s="138"/>
      <c r="AG223" s="138"/>
      <c r="AH223" s="138"/>
      <c r="AI223" s="138"/>
      <c r="AJ223" s="138"/>
      <c r="AK223" s="138"/>
      <c r="AL223" s="138"/>
      <c r="AM223" s="138"/>
      <c r="AN223" s="138"/>
      <c r="AO223" s="138"/>
      <c r="AP223" s="138"/>
      <c r="AQ223" s="138"/>
      <c r="AR223" s="138"/>
      <c r="AS223" s="138"/>
    </row>
    <row r="224" spans="1:45" ht="15.75" hidden="1" customHeight="1">
      <c r="A224" s="177">
        <v>15</v>
      </c>
      <c r="B224" s="177" t="s">
        <v>91</v>
      </c>
      <c r="C224" s="178" t="s">
        <v>652</v>
      </c>
      <c r="D224" s="178" t="s">
        <v>375</v>
      </c>
      <c r="E224" s="178" t="s">
        <v>190</v>
      </c>
      <c r="F224" s="179">
        <v>41802</v>
      </c>
      <c r="G224" s="180" t="s">
        <v>614</v>
      </c>
      <c r="H224" s="180" t="s">
        <v>615</v>
      </c>
      <c r="I224" s="181">
        <v>43633</v>
      </c>
      <c r="J224" s="180" t="s">
        <v>654</v>
      </c>
      <c r="K224" s="180" t="s">
        <v>655</v>
      </c>
      <c r="L224" s="180"/>
      <c r="M224" s="178" t="s">
        <v>36</v>
      </c>
      <c r="N224" s="179">
        <v>43678</v>
      </c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  <c r="AB224" s="138"/>
      <c r="AC224" s="138"/>
      <c r="AD224" s="138"/>
      <c r="AE224" s="138"/>
      <c r="AF224" s="138"/>
      <c r="AG224" s="138"/>
      <c r="AH224" s="138"/>
      <c r="AI224" s="138"/>
      <c r="AJ224" s="138"/>
      <c r="AK224" s="138"/>
      <c r="AL224" s="138"/>
      <c r="AM224" s="138"/>
      <c r="AN224" s="138"/>
      <c r="AO224" s="138"/>
      <c r="AP224" s="138"/>
      <c r="AQ224" s="138"/>
      <c r="AR224" s="138"/>
      <c r="AS224" s="138"/>
    </row>
    <row r="225" spans="1:45" ht="15.75" hidden="1" customHeight="1">
      <c r="A225" s="177">
        <v>16</v>
      </c>
      <c r="B225" s="177" t="s">
        <v>50</v>
      </c>
      <c r="C225" s="178" t="s">
        <v>656</v>
      </c>
      <c r="D225" s="178" t="s">
        <v>286</v>
      </c>
      <c r="E225" s="178">
        <v>7</v>
      </c>
      <c r="F225" s="179">
        <v>38853</v>
      </c>
      <c r="G225" s="180" t="s">
        <v>657</v>
      </c>
      <c r="H225" s="180" t="s">
        <v>658</v>
      </c>
      <c r="I225" s="181">
        <v>43640</v>
      </c>
      <c r="J225" s="180" t="s">
        <v>255</v>
      </c>
      <c r="K225" s="180" t="s">
        <v>162</v>
      </c>
      <c r="L225" s="180"/>
      <c r="M225" s="178" t="s">
        <v>36</v>
      </c>
      <c r="N225" s="179">
        <v>43678</v>
      </c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  <c r="AB225" s="138"/>
      <c r="AC225" s="138"/>
      <c r="AD225" s="138"/>
      <c r="AE225" s="138"/>
      <c r="AF225" s="138"/>
      <c r="AG225" s="138"/>
      <c r="AH225" s="138"/>
      <c r="AI225" s="138"/>
      <c r="AJ225" s="138"/>
      <c r="AK225" s="138"/>
      <c r="AL225" s="138"/>
      <c r="AM225" s="138"/>
      <c r="AN225" s="138"/>
      <c r="AO225" s="138"/>
      <c r="AP225" s="138"/>
      <c r="AQ225" s="138"/>
      <c r="AR225" s="138"/>
      <c r="AS225" s="138"/>
    </row>
    <row r="226" spans="1:45" ht="15.75" hidden="1" customHeight="1">
      <c r="A226" s="177">
        <v>17</v>
      </c>
      <c r="B226" s="177" t="s">
        <v>91</v>
      </c>
      <c r="C226" s="178" t="s">
        <v>656</v>
      </c>
      <c r="D226" s="178" t="s">
        <v>286</v>
      </c>
      <c r="E226" s="178">
        <v>7</v>
      </c>
      <c r="F226" s="179">
        <v>38853</v>
      </c>
      <c r="G226" s="180" t="s">
        <v>657</v>
      </c>
      <c r="H226" s="180" t="s">
        <v>658</v>
      </c>
      <c r="I226" s="181">
        <v>43640</v>
      </c>
      <c r="J226" s="180" t="s">
        <v>188</v>
      </c>
      <c r="K226" s="180" t="s">
        <v>122</v>
      </c>
      <c r="L226" s="180"/>
      <c r="M226" s="178" t="s">
        <v>36</v>
      </c>
      <c r="N226" s="179">
        <v>43678</v>
      </c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  <c r="AB226" s="138"/>
      <c r="AC226" s="138"/>
      <c r="AD226" s="138"/>
      <c r="AE226" s="138"/>
      <c r="AF226" s="138"/>
      <c r="AG226" s="138"/>
      <c r="AH226" s="138"/>
      <c r="AI226" s="138"/>
      <c r="AJ226" s="138"/>
      <c r="AK226" s="138"/>
      <c r="AL226" s="138"/>
      <c r="AM226" s="138"/>
      <c r="AN226" s="138"/>
      <c r="AO226" s="138"/>
      <c r="AP226" s="138"/>
      <c r="AQ226" s="138"/>
      <c r="AR226" s="138"/>
      <c r="AS226" s="138"/>
    </row>
    <row r="227" spans="1:45" ht="15.75" hidden="1" customHeight="1">
      <c r="A227" s="177">
        <v>18</v>
      </c>
      <c r="B227" s="177" t="s">
        <v>50</v>
      </c>
      <c r="C227" s="178" t="s">
        <v>659</v>
      </c>
      <c r="D227" s="178" t="s">
        <v>660</v>
      </c>
      <c r="E227" s="178" t="s">
        <v>190</v>
      </c>
      <c r="F227" s="179">
        <v>41186</v>
      </c>
      <c r="G227" s="180" t="s">
        <v>661</v>
      </c>
      <c r="H227" s="180" t="s">
        <v>662</v>
      </c>
      <c r="I227" s="181">
        <v>43586</v>
      </c>
      <c r="J227" s="180" t="s">
        <v>308</v>
      </c>
      <c r="K227" s="180" t="s">
        <v>663</v>
      </c>
      <c r="L227" s="180" t="s">
        <v>664</v>
      </c>
      <c r="M227" s="178" t="s">
        <v>36</v>
      </c>
      <c r="N227" s="179">
        <v>43678</v>
      </c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  <c r="AB227" s="138"/>
      <c r="AC227" s="138"/>
      <c r="AD227" s="138"/>
      <c r="AE227" s="138"/>
      <c r="AF227" s="138"/>
      <c r="AG227" s="138"/>
      <c r="AH227" s="138"/>
      <c r="AI227" s="138"/>
      <c r="AJ227" s="138"/>
      <c r="AK227" s="138"/>
      <c r="AL227" s="138"/>
      <c r="AM227" s="138"/>
      <c r="AN227" s="138"/>
      <c r="AO227" s="138"/>
      <c r="AP227" s="138"/>
      <c r="AQ227" s="138"/>
      <c r="AR227" s="138"/>
      <c r="AS227" s="138"/>
    </row>
    <row r="228" spans="1:45" ht="15.75" hidden="1" customHeight="1">
      <c r="A228" s="177">
        <v>19</v>
      </c>
      <c r="B228" s="177" t="s">
        <v>91</v>
      </c>
      <c r="C228" s="178" t="s">
        <v>659</v>
      </c>
      <c r="D228" s="178" t="s">
        <v>660</v>
      </c>
      <c r="E228" s="178" t="s">
        <v>190</v>
      </c>
      <c r="F228" s="179">
        <v>41186</v>
      </c>
      <c r="G228" s="180" t="s">
        <v>661</v>
      </c>
      <c r="H228" s="180" t="s">
        <v>662</v>
      </c>
      <c r="I228" s="181">
        <v>43586</v>
      </c>
      <c r="J228" s="180" t="s">
        <v>233</v>
      </c>
      <c r="K228" s="180" t="s">
        <v>641</v>
      </c>
      <c r="L228" s="180" t="s">
        <v>664</v>
      </c>
      <c r="M228" s="178" t="s">
        <v>36</v>
      </c>
      <c r="N228" s="179">
        <v>43678</v>
      </c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  <c r="AB228" s="138"/>
      <c r="AC228" s="138"/>
      <c r="AD228" s="138"/>
      <c r="AE228" s="138"/>
      <c r="AF228" s="138"/>
      <c r="AG228" s="138"/>
      <c r="AH228" s="138"/>
      <c r="AI228" s="138"/>
      <c r="AJ228" s="138"/>
      <c r="AK228" s="138"/>
      <c r="AL228" s="138"/>
      <c r="AM228" s="138"/>
      <c r="AN228" s="138"/>
      <c r="AO228" s="138"/>
      <c r="AP228" s="138"/>
      <c r="AQ228" s="138"/>
      <c r="AR228" s="138"/>
      <c r="AS228" s="138"/>
    </row>
    <row r="229" spans="1:45" ht="15.75" hidden="1" customHeight="1">
      <c r="A229" s="177">
        <v>20</v>
      </c>
      <c r="B229" s="177" t="s">
        <v>91</v>
      </c>
      <c r="C229" s="178" t="s">
        <v>375</v>
      </c>
      <c r="D229" s="178" t="s">
        <v>665</v>
      </c>
      <c r="E229" s="178">
        <v>3</v>
      </c>
      <c r="F229" s="179" t="s">
        <v>666</v>
      </c>
      <c r="G229" s="180" t="s">
        <v>667</v>
      </c>
      <c r="H229" s="180" t="s">
        <v>668</v>
      </c>
      <c r="I229" s="181" t="s">
        <v>669</v>
      </c>
      <c r="J229" s="180" t="s">
        <v>141</v>
      </c>
      <c r="K229" s="180" t="s">
        <v>256</v>
      </c>
      <c r="L229" s="180"/>
      <c r="M229" s="178" t="s">
        <v>36</v>
      </c>
      <c r="N229" s="179">
        <v>43678</v>
      </c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  <c r="AB229" s="138"/>
      <c r="AC229" s="138"/>
      <c r="AD229" s="138"/>
      <c r="AE229" s="138"/>
      <c r="AF229" s="138"/>
      <c r="AG229" s="138"/>
      <c r="AH229" s="138"/>
      <c r="AI229" s="138"/>
      <c r="AJ229" s="138"/>
      <c r="AK229" s="138"/>
      <c r="AL229" s="138"/>
      <c r="AM229" s="138"/>
      <c r="AN229" s="138"/>
      <c r="AO229" s="138"/>
      <c r="AP229" s="138"/>
      <c r="AQ229" s="138"/>
      <c r="AR229" s="138"/>
      <c r="AS229" s="138"/>
    </row>
    <row r="230" spans="1:45" ht="15.75" hidden="1" customHeight="1">
      <c r="A230" s="177">
        <v>21</v>
      </c>
      <c r="B230" s="177" t="s">
        <v>50</v>
      </c>
      <c r="C230" s="178" t="s">
        <v>375</v>
      </c>
      <c r="D230" s="178" t="s">
        <v>665</v>
      </c>
      <c r="E230" s="178">
        <v>3</v>
      </c>
      <c r="F230" s="179" t="s">
        <v>666</v>
      </c>
      <c r="G230" s="180" t="s">
        <v>667</v>
      </c>
      <c r="H230" s="180" t="s">
        <v>668</v>
      </c>
      <c r="I230" s="181" t="s">
        <v>669</v>
      </c>
      <c r="J230" s="180" t="s">
        <v>261</v>
      </c>
      <c r="K230" s="180" t="s">
        <v>199</v>
      </c>
      <c r="L230" s="180"/>
      <c r="M230" s="178" t="s">
        <v>36</v>
      </c>
      <c r="N230" s="179">
        <v>43678</v>
      </c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  <c r="AB230" s="138"/>
      <c r="AC230" s="138"/>
      <c r="AD230" s="138"/>
      <c r="AE230" s="138"/>
      <c r="AF230" s="138"/>
      <c r="AG230" s="138"/>
      <c r="AH230" s="138"/>
      <c r="AI230" s="138"/>
      <c r="AJ230" s="138"/>
      <c r="AK230" s="138"/>
      <c r="AL230" s="138"/>
      <c r="AM230" s="138"/>
      <c r="AN230" s="138"/>
      <c r="AO230" s="138"/>
      <c r="AP230" s="138"/>
      <c r="AQ230" s="138"/>
      <c r="AR230" s="138"/>
      <c r="AS230" s="138"/>
    </row>
    <row r="231" spans="1:45" ht="15.75" hidden="1" customHeight="1">
      <c r="A231" s="177">
        <v>22</v>
      </c>
      <c r="B231" s="177" t="s">
        <v>50</v>
      </c>
      <c r="C231" s="178" t="s">
        <v>670</v>
      </c>
      <c r="D231" s="178" t="s">
        <v>671</v>
      </c>
      <c r="E231" s="178">
        <v>4</v>
      </c>
      <c r="F231" s="179" t="s">
        <v>672</v>
      </c>
      <c r="G231" s="180" t="s">
        <v>673</v>
      </c>
      <c r="H231" s="180" t="s">
        <v>674</v>
      </c>
      <c r="I231" s="181" t="s">
        <v>675</v>
      </c>
      <c r="J231" s="180" t="s">
        <v>140</v>
      </c>
      <c r="K231" s="180" t="s">
        <v>626</v>
      </c>
      <c r="L231" s="180"/>
      <c r="M231" s="178" t="s">
        <v>36</v>
      </c>
      <c r="N231" s="179">
        <v>43678</v>
      </c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  <c r="AB231" s="138"/>
      <c r="AC231" s="138"/>
      <c r="AD231" s="138"/>
      <c r="AE231" s="138"/>
      <c r="AF231" s="138"/>
      <c r="AG231" s="138"/>
      <c r="AH231" s="138"/>
      <c r="AI231" s="138"/>
      <c r="AJ231" s="138"/>
      <c r="AK231" s="138"/>
      <c r="AL231" s="138"/>
      <c r="AM231" s="138"/>
      <c r="AN231" s="138"/>
      <c r="AO231" s="138"/>
      <c r="AP231" s="138"/>
      <c r="AQ231" s="138"/>
      <c r="AR231" s="138"/>
      <c r="AS231" s="138"/>
    </row>
    <row r="232" spans="1:45" ht="15.75" hidden="1" customHeight="1">
      <c r="A232" s="177">
        <v>23</v>
      </c>
      <c r="B232" s="177" t="s">
        <v>91</v>
      </c>
      <c r="C232" s="178" t="s">
        <v>670</v>
      </c>
      <c r="D232" s="178" t="s">
        <v>671</v>
      </c>
      <c r="E232" s="178">
        <v>4</v>
      </c>
      <c r="F232" s="179" t="s">
        <v>672</v>
      </c>
      <c r="G232" s="180" t="s">
        <v>673</v>
      </c>
      <c r="H232" s="180" t="s">
        <v>674</v>
      </c>
      <c r="I232" s="181" t="s">
        <v>675</v>
      </c>
      <c r="J232" s="180" t="s">
        <v>121</v>
      </c>
      <c r="K232" s="180" t="s">
        <v>663</v>
      </c>
      <c r="L232" s="180"/>
      <c r="M232" s="178" t="s">
        <v>36</v>
      </c>
      <c r="N232" s="179">
        <v>43678</v>
      </c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  <c r="AB232" s="138"/>
      <c r="AC232" s="138"/>
      <c r="AD232" s="138"/>
      <c r="AE232" s="138"/>
      <c r="AF232" s="138"/>
      <c r="AG232" s="138"/>
      <c r="AH232" s="138"/>
      <c r="AI232" s="138"/>
      <c r="AJ232" s="138"/>
      <c r="AK232" s="138"/>
      <c r="AL232" s="138"/>
      <c r="AM232" s="138"/>
      <c r="AN232" s="138"/>
      <c r="AO232" s="138"/>
      <c r="AP232" s="138"/>
      <c r="AQ232" s="138"/>
      <c r="AR232" s="138"/>
      <c r="AS232" s="138"/>
    </row>
    <row r="233" spans="1:45" ht="15.75" hidden="1" customHeight="1">
      <c r="A233" s="177">
        <v>1</v>
      </c>
      <c r="B233" s="177" t="s">
        <v>91</v>
      </c>
      <c r="C233" s="178" t="s">
        <v>676</v>
      </c>
      <c r="D233" s="178" t="s">
        <v>410</v>
      </c>
      <c r="E233" s="178">
        <v>6</v>
      </c>
      <c r="F233" s="179" t="s">
        <v>677</v>
      </c>
      <c r="G233" s="180" t="s">
        <v>678</v>
      </c>
      <c r="H233" s="180">
        <v>0</v>
      </c>
      <c r="I233" s="181" t="s">
        <v>679</v>
      </c>
      <c r="J233" s="180" t="s">
        <v>238</v>
      </c>
      <c r="K233" s="180" t="s">
        <v>680</v>
      </c>
      <c r="L233" s="180" t="s">
        <v>681</v>
      </c>
      <c r="M233" s="178" t="s">
        <v>36</v>
      </c>
      <c r="N233" s="179">
        <v>43709</v>
      </c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  <c r="AB233" s="138"/>
      <c r="AC233" s="138"/>
      <c r="AD233" s="138"/>
      <c r="AE233" s="138"/>
      <c r="AF233" s="138"/>
      <c r="AG233" s="138"/>
      <c r="AH233" s="138"/>
      <c r="AI233" s="138"/>
      <c r="AJ233" s="138"/>
      <c r="AK233" s="138"/>
      <c r="AL233" s="138"/>
      <c r="AM233" s="138"/>
      <c r="AN233" s="138"/>
      <c r="AO233" s="138"/>
      <c r="AP233" s="138"/>
      <c r="AQ233" s="138"/>
      <c r="AR233" s="138"/>
      <c r="AS233" s="138"/>
    </row>
    <row r="234" spans="1:45" ht="15.75" hidden="1" customHeight="1">
      <c r="A234" s="177">
        <v>2</v>
      </c>
      <c r="B234" s="177" t="s">
        <v>50</v>
      </c>
      <c r="C234" s="178" t="s">
        <v>617</v>
      </c>
      <c r="D234" s="178" t="s">
        <v>618</v>
      </c>
      <c r="E234" s="178">
        <v>1</v>
      </c>
      <c r="F234" s="179">
        <v>40994</v>
      </c>
      <c r="G234" s="180" t="s">
        <v>619</v>
      </c>
      <c r="H234" s="180" t="s">
        <v>147</v>
      </c>
      <c r="I234" s="181">
        <v>43633</v>
      </c>
      <c r="J234" s="180" t="s">
        <v>140</v>
      </c>
      <c r="K234" s="180" t="s">
        <v>291</v>
      </c>
      <c r="L234" s="180" t="s">
        <v>682</v>
      </c>
      <c r="M234" s="178" t="s">
        <v>36</v>
      </c>
      <c r="N234" s="179">
        <v>43709</v>
      </c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  <c r="AB234" s="138"/>
      <c r="AC234" s="138"/>
      <c r="AD234" s="138"/>
      <c r="AE234" s="138"/>
      <c r="AF234" s="138"/>
      <c r="AG234" s="138"/>
      <c r="AH234" s="138"/>
      <c r="AI234" s="138"/>
      <c r="AJ234" s="138"/>
      <c r="AK234" s="138"/>
      <c r="AL234" s="138"/>
      <c r="AM234" s="138"/>
      <c r="AN234" s="138"/>
      <c r="AO234" s="138"/>
      <c r="AP234" s="138"/>
      <c r="AQ234" s="138"/>
      <c r="AR234" s="138"/>
      <c r="AS234" s="138"/>
    </row>
    <row r="235" spans="1:45" ht="15.75" hidden="1" customHeight="1">
      <c r="A235" s="177">
        <v>3</v>
      </c>
      <c r="B235" s="177" t="s">
        <v>50</v>
      </c>
      <c r="C235" s="178" t="s">
        <v>683</v>
      </c>
      <c r="D235" s="178" t="s">
        <v>684</v>
      </c>
      <c r="E235" s="178">
        <v>4</v>
      </c>
      <c r="F235" s="179">
        <v>39671</v>
      </c>
      <c r="G235" s="180" t="s">
        <v>685</v>
      </c>
      <c r="H235" s="180" t="s">
        <v>686</v>
      </c>
      <c r="I235" s="181">
        <v>43633</v>
      </c>
      <c r="J235" s="180" t="s">
        <v>148</v>
      </c>
      <c r="K235" s="180" t="s">
        <v>187</v>
      </c>
      <c r="L235" s="180" t="s">
        <v>687</v>
      </c>
      <c r="M235" s="178" t="s">
        <v>36</v>
      </c>
      <c r="N235" s="179">
        <v>43709</v>
      </c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  <c r="AB235" s="138"/>
      <c r="AC235" s="138"/>
      <c r="AD235" s="138"/>
      <c r="AE235" s="138"/>
      <c r="AF235" s="138"/>
      <c r="AG235" s="138"/>
      <c r="AH235" s="138"/>
      <c r="AI235" s="138"/>
      <c r="AJ235" s="138"/>
      <c r="AK235" s="138"/>
      <c r="AL235" s="138"/>
      <c r="AM235" s="138"/>
      <c r="AN235" s="138"/>
      <c r="AO235" s="138"/>
      <c r="AP235" s="138"/>
      <c r="AQ235" s="138"/>
      <c r="AR235" s="138"/>
      <c r="AS235" s="138"/>
    </row>
    <row r="236" spans="1:45" ht="15.75" hidden="1" customHeight="1">
      <c r="A236" s="177">
        <v>4</v>
      </c>
      <c r="B236" s="177" t="s">
        <v>91</v>
      </c>
      <c r="C236" s="178" t="s">
        <v>683</v>
      </c>
      <c r="D236" s="178" t="s">
        <v>684</v>
      </c>
      <c r="E236" s="178">
        <v>4</v>
      </c>
      <c r="F236" s="179">
        <v>39671</v>
      </c>
      <c r="G236" s="180" t="s">
        <v>685</v>
      </c>
      <c r="H236" s="180" t="s">
        <v>686</v>
      </c>
      <c r="I236" s="181">
        <v>43633</v>
      </c>
      <c r="J236" s="180" t="s">
        <v>244</v>
      </c>
      <c r="K236" s="180" t="s">
        <v>113</v>
      </c>
      <c r="L236" s="180" t="s">
        <v>687</v>
      </c>
      <c r="M236" s="178" t="s">
        <v>36</v>
      </c>
      <c r="N236" s="179">
        <v>43709</v>
      </c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  <c r="AB236" s="138"/>
      <c r="AC236" s="138"/>
      <c r="AD236" s="138"/>
      <c r="AE236" s="138"/>
      <c r="AF236" s="138"/>
      <c r="AG236" s="138"/>
      <c r="AH236" s="138"/>
      <c r="AI236" s="138"/>
      <c r="AJ236" s="138"/>
      <c r="AK236" s="138"/>
      <c r="AL236" s="138"/>
      <c r="AM236" s="138"/>
      <c r="AN236" s="138"/>
      <c r="AO236" s="138"/>
      <c r="AP236" s="138"/>
      <c r="AQ236" s="138"/>
      <c r="AR236" s="138"/>
      <c r="AS236" s="138"/>
    </row>
    <row r="237" spans="1:45" ht="15.75" hidden="1" customHeight="1">
      <c r="A237" s="177">
        <v>1</v>
      </c>
      <c r="B237" s="177" t="s">
        <v>91</v>
      </c>
      <c r="C237" s="178" t="s">
        <v>375</v>
      </c>
      <c r="D237" s="178" t="s">
        <v>376</v>
      </c>
      <c r="E237" s="178">
        <v>1</v>
      </c>
      <c r="F237" s="179">
        <v>40886</v>
      </c>
      <c r="G237" s="180" t="s">
        <v>377</v>
      </c>
      <c r="H237" s="180" t="s">
        <v>688</v>
      </c>
      <c r="I237" s="181">
        <v>43313</v>
      </c>
      <c r="J237" s="180" t="s">
        <v>112</v>
      </c>
      <c r="K237" s="180" t="s">
        <v>126</v>
      </c>
      <c r="L237" s="180" t="s">
        <v>689</v>
      </c>
      <c r="M237" s="178" t="s">
        <v>36</v>
      </c>
      <c r="N237" s="179">
        <v>43739</v>
      </c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  <c r="AB237" s="138"/>
      <c r="AC237" s="138"/>
      <c r="AD237" s="138"/>
      <c r="AE237" s="138"/>
      <c r="AF237" s="138"/>
      <c r="AG237" s="138"/>
      <c r="AH237" s="138"/>
      <c r="AI237" s="138"/>
      <c r="AJ237" s="138"/>
      <c r="AK237" s="138"/>
      <c r="AL237" s="138"/>
      <c r="AM237" s="138"/>
      <c r="AN237" s="138"/>
      <c r="AO237" s="138"/>
      <c r="AP237" s="138"/>
      <c r="AQ237" s="138"/>
      <c r="AR237" s="138"/>
      <c r="AS237" s="138"/>
    </row>
    <row r="238" spans="1:45" ht="15.75" hidden="1" customHeight="1">
      <c r="A238" s="177">
        <v>2</v>
      </c>
      <c r="B238" s="177" t="s">
        <v>50</v>
      </c>
      <c r="C238" s="178" t="s">
        <v>690</v>
      </c>
      <c r="D238" s="178" t="s">
        <v>578</v>
      </c>
      <c r="E238" s="178">
        <v>4</v>
      </c>
      <c r="F238" s="179">
        <v>40415</v>
      </c>
      <c r="G238" s="180" t="s">
        <v>691</v>
      </c>
      <c r="H238" s="180" t="s">
        <v>270</v>
      </c>
      <c r="I238" s="181">
        <v>43696</v>
      </c>
      <c r="J238" s="180" t="s">
        <v>140</v>
      </c>
      <c r="K238" s="180" t="s">
        <v>267</v>
      </c>
      <c r="L238" s="180"/>
      <c r="M238" s="178" t="s">
        <v>36</v>
      </c>
      <c r="N238" s="179">
        <v>43739</v>
      </c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  <c r="AB238" s="138"/>
      <c r="AC238" s="138"/>
      <c r="AD238" s="138"/>
      <c r="AE238" s="138"/>
      <c r="AF238" s="138"/>
      <c r="AG238" s="138"/>
      <c r="AH238" s="138"/>
      <c r="AI238" s="138"/>
      <c r="AJ238" s="138"/>
      <c r="AK238" s="138"/>
      <c r="AL238" s="138"/>
      <c r="AM238" s="138"/>
      <c r="AN238" s="138"/>
      <c r="AO238" s="138"/>
      <c r="AP238" s="138"/>
      <c r="AQ238" s="138"/>
      <c r="AR238" s="138"/>
      <c r="AS238" s="138"/>
    </row>
    <row r="239" spans="1:45" ht="15.75" hidden="1" customHeight="1">
      <c r="A239" s="177">
        <v>3</v>
      </c>
      <c r="B239" s="177" t="s">
        <v>91</v>
      </c>
      <c r="C239" s="178" t="s">
        <v>690</v>
      </c>
      <c r="D239" s="178" t="s">
        <v>578</v>
      </c>
      <c r="E239" s="178">
        <v>4</v>
      </c>
      <c r="F239" s="179">
        <v>40415</v>
      </c>
      <c r="G239" s="180" t="s">
        <v>691</v>
      </c>
      <c r="H239" s="180" t="s">
        <v>270</v>
      </c>
      <c r="I239" s="181">
        <v>43696</v>
      </c>
      <c r="J239" s="180" t="s">
        <v>121</v>
      </c>
      <c r="K239" s="180" t="s">
        <v>692</v>
      </c>
      <c r="L239" s="180"/>
      <c r="M239" s="178" t="s">
        <v>36</v>
      </c>
      <c r="N239" s="179">
        <v>43739</v>
      </c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  <c r="AB239" s="138"/>
      <c r="AC239" s="138"/>
      <c r="AD239" s="138"/>
      <c r="AE239" s="138"/>
      <c r="AF239" s="138"/>
      <c r="AG239" s="138"/>
      <c r="AH239" s="138"/>
      <c r="AI239" s="138"/>
      <c r="AJ239" s="138"/>
      <c r="AK239" s="138"/>
      <c r="AL239" s="138"/>
      <c r="AM239" s="138"/>
      <c r="AN239" s="138"/>
      <c r="AO239" s="138"/>
      <c r="AP239" s="138"/>
      <c r="AQ239" s="138"/>
      <c r="AR239" s="138"/>
      <c r="AS239" s="138"/>
    </row>
    <row r="240" spans="1:45" ht="15.75" hidden="1" customHeight="1">
      <c r="A240" s="177">
        <v>4</v>
      </c>
      <c r="B240" s="177" t="s">
        <v>50</v>
      </c>
      <c r="C240" s="178" t="s">
        <v>693</v>
      </c>
      <c r="D240" s="178" t="s">
        <v>694</v>
      </c>
      <c r="E240" s="178">
        <v>7</v>
      </c>
      <c r="F240" s="179">
        <v>39143</v>
      </c>
      <c r="G240" s="180" t="s">
        <v>695</v>
      </c>
      <c r="H240" s="180" t="s">
        <v>696</v>
      </c>
      <c r="I240" s="181">
        <v>43693</v>
      </c>
      <c r="J240" s="180" t="s">
        <v>186</v>
      </c>
      <c r="K240" s="180" t="s">
        <v>187</v>
      </c>
      <c r="L240" s="180" t="s">
        <v>697</v>
      </c>
      <c r="M240" s="178" t="s">
        <v>36</v>
      </c>
      <c r="N240" s="179">
        <v>43739</v>
      </c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  <c r="AB240" s="138"/>
      <c r="AC240" s="138"/>
      <c r="AD240" s="138"/>
      <c r="AE240" s="138"/>
      <c r="AF240" s="138"/>
      <c r="AG240" s="138"/>
      <c r="AH240" s="138"/>
      <c r="AI240" s="138"/>
      <c r="AJ240" s="138"/>
      <c r="AK240" s="138"/>
      <c r="AL240" s="138"/>
      <c r="AM240" s="138"/>
      <c r="AN240" s="138"/>
      <c r="AO240" s="138"/>
      <c r="AP240" s="138"/>
      <c r="AQ240" s="138"/>
      <c r="AR240" s="138"/>
      <c r="AS240" s="138"/>
    </row>
    <row r="241" spans="1:45" ht="15.75" hidden="1" customHeight="1">
      <c r="A241" s="177">
        <v>5</v>
      </c>
      <c r="B241" s="177" t="s">
        <v>91</v>
      </c>
      <c r="C241" s="178" t="s">
        <v>693</v>
      </c>
      <c r="D241" s="178" t="s">
        <v>694</v>
      </c>
      <c r="E241" s="178">
        <v>7</v>
      </c>
      <c r="F241" s="179">
        <v>39143</v>
      </c>
      <c r="G241" s="180" t="s">
        <v>695</v>
      </c>
      <c r="H241" s="180" t="s">
        <v>696</v>
      </c>
      <c r="I241" s="181">
        <v>43693</v>
      </c>
      <c r="J241" s="180" t="s">
        <v>221</v>
      </c>
      <c r="K241" s="180" t="s">
        <v>125</v>
      </c>
      <c r="L241" s="180" t="s">
        <v>697</v>
      </c>
      <c r="M241" s="178" t="s">
        <v>36</v>
      </c>
      <c r="N241" s="179">
        <v>43739</v>
      </c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  <c r="AB241" s="138"/>
      <c r="AC241" s="138"/>
      <c r="AD241" s="138"/>
      <c r="AE241" s="138"/>
      <c r="AF241" s="138"/>
      <c r="AG241" s="138"/>
      <c r="AH241" s="138"/>
      <c r="AI241" s="138"/>
      <c r="AJ241" s="138"/>
      <c r="AK241" s="138"/>
      <c r="AL241" s="138"/>
      <c r="AM241" s="138"/>
      <c r="AN241" s="138"/>
      <c r="AO241" s="138"/>
      <c r="AP241" s="138"/>
      <c r="AQ241" s="138"/>
      <c r="AR241" s="138"/>
      <c r="AS241" s="138"/>
    </row>
    <row r="242" spans="1:45" ht="15.75" hidden="1" customHeight="1">
      <c r="A242" s="177">
        <v>6</v>
      </c>
      <c r="B242" s="177" t="s">
        <v>91</v>
      </c>
      <c r="C242" s="178" t="s">
        <v>375</v>
      </c>
      <c r="D242" s="178" t="s">
        <v>387</v>
      </c>
      <c r="E242" s="178">
        <v>2</v>
      </c>
      <c r="F242" s="179">
        <v>40070</v>
      </c>
      <c r="G242" s="180" t="s">
        <v>377</v>
      </c>
      <c r="H242" s="180" t="s">
        <v>343</v>
      </c>
      <c r="I242" s="181">
        <v>43313</v>
      </c>
      <c r="J242" s="180" t="s">
        <v>112</v>
      </c>
      <c r="K242" s="180" t="s">
        <v>162</v>
      </c>
      <c r="L242" s="180" t="s">
        <v>689</v>
      </c>
      <c r="M242" s="178" t="s">
        <v>36</v>
      </c>
      <c r="N242" s="179">
        <v>43739</v>
      </c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  <c r="AB242" s="138"/>
      <c r="AC242" s="138"/>
      <c r="AD242" s="138"/>
      <c r="AE242" s="138"/>
      <c r="AF242" s="138"/>
      <c r="AG242" s="138"/>
      <c r="AH242" s="138"/>
      <c r="AI242" s="138"/>
      <c r="AJ242" s="138"/>
      <c r="AK242" s="138"/>
      <c r="AL242" s="138"/>
      <c r="AM242" s="138"/>
      <c r="AN242" s="138"/>
      <c r="AO242" s="138"/>
      <c r="AP242" s="138"/>
      <c r="AQ242" s="138"/>
      <c r="AR242" s="138"/>
      <c r="AS242" s="138"/>
    </row>
    <row r="243" spans="1:45" ht="15.75" hidden="1" customHeight="1">
      <c r="A243" s="177">
        <v>1</v>
      </c>
      <c r="B243" s="177" t="s">
        <v>91</v>
      </c>
      <c r="C243" s="178" t="s">
        <v>698</v>
      </c>
      <c r="D243" s="178" t="s">
        <v>699</v>
      </c>
      <c r="E243" s="178">
        <v>0</v>
      </c>
      <c r="F243" s="179">
        <v>41792</v>
      </c>
      <c r="G243" s="180" t="s">
        <v>9</v>
      </c>
      <c r="H243" s="180" t="s">
        <v>700</v>
      </c>
      <c r="I243" s="181">
        <v>43718</v>
      </c>
      <c r="J243" s="180" t="s">
        <v>192</v>
      </c>
      <c r="K243" s="180" t="s">
        <v>199</v>
      </c>
      <c r="L243" s="180" t="s">
        <v>701</v>
      </c>
      <c r="M243" s="178" t="s">
        <v>36</v>
      </c>
      <c r="N243" s="179">
        <v>43770</v>
      </c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  <c r="AB243" s="138"/>
      <c r="AC243" s="138"/>
      <c r="AD243" s="138"/>
      <c r="AE243" s="138"/>
      <c r="AF243" s="138"/>
      <c r="AG243" s="138"/>
      <c r="AH243" s="138"/>
      <c r="AI243" s="138"/>
      <c r="AJ243" s="138"/>
      <c r="AK243" s="138"/>
      <c r="AL243" s="138"/>
      <c r="AM243" s="138"/>
      <c r="AN243" s="138"/>
      <c r="AO243" s="138"/>
      <c r="AP243" s="138"/>
      <c r="AQ243" s="138"/>
      <c r="AR243" s="138"/>
      <c r="AS243" s="138"/>
    </row>
    <row r="244" spans="1:45" ht="15.75" hidden="1" customHeight="1">
      <c r="A244" s="177">
        <v>2</v>
      </c>
      <c r="B244" s="177" t="s">
        <v>50</v>
      </c>
      <c r="C244" s="178" t="s">
        <v>698</v>
      </c>
      <c r="D244" s="178" t="s">
        <v>699</v>
      </c>
      <c r="E244" s="178">
        <v>0</v>
      </c>
      <c r="F244" s="179">
        <v>41792</v>
      </c>
      <c r="G244" s="180" t="s">
        <v>9</v>
      </c>
      <c r="H244" s="180" t="s">
        <v>700</v>
      </c>
      <c r="I244" s="181">
        <v>43718</v>
      </c>
      <c r="J244" s="180" t="s">
        <v>702</v>
      </c>
      <c r="K244" s="180" t="s">
        <v>304</v>
      </c>
      <c r="L244" s="180" t="s">
        <v>701</v>
      </c>
      <c r="M244" s="178" t="s">
        <v>36</v>
      </c>
      <c r="N244" s="179">
        <v>43770</v>
      </c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  <c r="AB244" s="138"/>
      <c r="AC244" s="138"/>
      <c r="AD244" s="138"/>
      <c r="AE244" s="138"/>
      <c r="AF244" s="138"/>
      <c r="AG244" s="138"/>
      <c r="AH244" s="138"/>
      <c r="AI244" s="138"/>
      <c r="AJ244" s="138"/>
      <c r="AK244" s="138"/>
      <c r="AL244" s="138"/>
      <c r="AM244" s="138"/>
      <c r="AN244" s="138"/>
      <c r="AO244" s="138"/>
      <c r="AP244" s="138"/>
      <c r="AQ244" s="138"/>
      <c r="AR244" s="138"/>
      <c r="AS244" s="138"/>
    </row>
    <row r="245" spans="1:45" ht="15.75" hidden="1" customHeight="1">
      <c r="A245" s="177">
        <v>3</v>
      </c>
      <c r="B245" s="177" t="s">
        <v>91</v>
      </c>
      <c r="C245" s="178" t="s">
        <v>698</v>
      </c>
      <c r="D245" s="178" t="s">
        <v>703</v>
      </c>
      <c r="E245" s="178">
        <v>2</v>
      </c>
      <c r="F245" s="179">
        <v>41050</v>
      </c>
      <c r="G245" s="180" t="s">
        <v>9</v>
      </c>
      <c r="H245" s="180" t="s">
        <v>700</v>
      </c>
      <c r="I245" s="181">
        <v>43718</v>
      </c>
      <c r="J245" s="180" t="s">
        <v>261</v>
      </c>
      <c r="K245" s="180" t="s">
        <v>663</v>
      </c>
      <c r="L245" s="180" t="s">
        <v>701</v>
      </c>
      <c r="M245" s="178" t="s">
        <v>36</v>
      </c>
      <c r="N245" s="179">
        <v>43770</v>
      </c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  <c r="AB245" s="138"/>
      <c r="AC245" s="138"/>
      <c r="AD245" s="138"/>
      <c r="AE245" s="138"/>
      <c r="AF245" s="138"/>
      <c r="AG245" s="138"/>
      <c r="AH245" s="138"/>
      <c r="AI245" s="138"/>
      <c r="AJ245" s="138"/>
      <c r="AK245" s="138"/>
      <c r="AL245" s="138"/>
      <c r="AM245" s="138"/>
      <c r="AN245" s="138"/>
      <c r="AO245" s="138"/>
      <c r="AP245" s="138"/>
      <c r="AQ245" s="138"/>
      <c r="AR245" s="138"/>
      <c r="AS245" s="138"/>
    </row>
    <row r="246" spans="1:45" ht="15.75" hidden="1" customHeight="1">
      <c r="A246" s="177">
        <v>4</v>
      </c>
      <c r="B246" s="177" t="s">
        <v>50</v>
      </c>
      <c r="C246" s="178" t="s">
        <v>698</v>
      </c>
      <c r="D246" s="178" t="s">
        <v>703</v>
      </c>
      <c r="E246" s="178">
        <v>2</v>
      </c>
      <c r="F246" s="179">
        <v>41050</v>
      </c>
      <c r="G246" s="180" t="s">
        <v>9</v>
      </c>
      <c r="H246" s="180" t="s">
        <v>700</v>
      </c>
      <c r="I246" s="181">
        <v>43718</v>
      </c>
      <c r="J246" s="180" t="s">
        <v>211</v>
      </c>
      <c r="K246" s="180" t="s">
        <v>175</v>
      </c>
      <c r="L246" s="180" t="s">
        <v>701</v>
      </c>
      <c r="M246" s="178" t="s">
        <v>36</v>
      </c>
      <c r="N246" s="179">
        <v>43770</v>
      </c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  <c r="AB246" s="138"/>
      <c r="AC246" s="138"/>
      <c r="AD246" s="138"/>
      <c r="AE246" s="138"/>
      <c r="AF246" s="138"/>
      <c r="AG246" s="138"/>
      <c r="AH246" s="138"/>
      <c r="AI246" s="138"/>
      <c r="AJ246" s="138"/>
      <c r="AK246" s="138"/>
      <c r="AL246" s="138"/>
      <c r="AM246" s="138"/>
      <c r="AN246" s="138"/>
      <c r="AO246" s="138"/>
      <c r="AP246" s="138"/>
      <c r="AQ246" s="138"/>
      <c r="AR246" s="138"/>
      <c r="AS246" s="138"/>
    </row>
    <row r="247" spans="1:45" ht="15.75" hidden="1" customHeight="1">
      <c r="A247" s="177">
        <v>5</v>
      </c>
      <c r="B247" s="177" t="s">
        <v>50</v>
      </c>
      <c r="C247" s="178" t="s">
        <v>636</v>
      </c>
      <c r="D247" s="178" t="s">
        <v>637</v>
      </c>
      <c r="E247" s="178" t="s">
        <v>145</v>
      </c>
      <c r="F247" s="179" t="s">
        <v>638</v>
      </c>
      <c r="G247" s="180" t="s">
        <v>639</v>
      </c>
      <c r="H247" s="180" t="s">
        <v>640</v>
      </c>
      <c r="I247" s="181">
        <v>43709</v>
      </c>
      <c r="J247" s="180" t="s">
        <v>110</v>
      </c>
      <c r="K247" s="180" t="s">
        <v>181</v>
      </c>
      <c r="L247" s="180"/>
      <c r="M247" s="178" t="s">
        <v>36</v>
      </c>
      <c r="N247" s="179">
        <v>43770</v>
      </c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  <c r="AB247" s="138"/>
      <c r="AC247" s="138"/>
      <c r="AD247" s="138"/>
      <c r="AE247" s="138"/>
      <c r="AF247" s="138"/>
      <c r="AG247" s="138"/>
      <c r="AH247" s="138"/>
      <c r="AI247" s="138"/>
      <c r="AJ247" s="138"/>
      <c r="AK247" s="138"/>
      <c r="AL247" s="138"/>
      <c r="AM247" s="138"/>
      <c r="AN247" s="138"/>
      <c r="AO247" s="138"/>
      <c r="AP247" s="138"/>
      <c r="AQ247" s="138"/>
      <c r="AR247" s="138"/>
      <c r="AS247" s="138"/>
    </row>
    <row r="248" spans="1:45" ht="15.75" hidden="1" customHeight="1">
      <c r="A248" s="177">
        <v>6</v>
      </c>
      <c r="B248" s="177" t="s">
        <v>91</v>
      </c>
      <c r="C248" s="178" t="s">
        <v>636</v>
      </c>
      <c r="D248" s="178" t="s">
        <v>637</v>
      </c>
      <c r="E248" s="178" t="s">
        <v>145</v>
      </c>
      <c r="F248" s="179" t="s">
        <v>638</v>
      </c>
      <c r="G248" s="180" t="s">
        <v>639</v>
      </c>
      <c r="H248" s="180" t="s">
        <v>640</v>
      </c>
      <c r="I248" s="181">
        <v>43709</v>
      </c>
      <c r="J248" s="180" t="s">
        <v>233</v>
      </c>
      <c r="K248" s="180" t="s">
        <v>113</v>
      </c>
      <c r="L248" s="180"/>
      <c r="M248" s="178" t="s">
        <v>36</v>
      </c>
      <c r="N248" s="179">
        <v>43770</v>
      </c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  <c r="AB248" s="138"/>
      <c r="AC248" s="138"/>
      <c r="AD248" s="138"/>
      <c r="AE248" s="138"/>
      <c r="AF248" s="138"/>
      <c r="AG248" s="138"/>
      <c r="AH248" s="138"/>
      <c r="AI248" s="138"/>
      <c r="AJ248" s="138"/>
      <c r="AK248" s="138"/>
      <c r="AL248" s="138"/>
      <c r="AM248" s="138"/>
      <c r="AN248" s="138"/>
      <c r="AO248" s="138"/>
      <c r="AP248" s="138"/>
      <c r="AQ248" s="138"/>
      <c r="AR248" s="138"/>
      <c r="AS248" s="138"/>
    </row>
    <row r="249" spans="1:45" ht="15.75" hidden="1" customHeight="1">
      <c r="A249" s="177">
        <v>7</v>
      </c>
      <c r="B249" s="177" t="s">
        <v>50</v>
      </c>
      <c r="C249" s="178" t="s">
        <v>636</v>
      </c>
      <c r="D249" s="178" t="s">
        <v>644</v>
      </c>
      <c r="E249" s="178">
        <v>1</v>
      </c>
      <c r="F249" s="179" t="s">
        <v>645</v>
      </c>
      <c r="G249" s="180" t="s">
        <v>639</v>
      </c>
      <c r="H249" s="180" t="s">
        <v>640</v>
      </c>
      <c r="I249" s="181">
        <v>43709</v>
      </c>
      <c r="J249" s="180" t="s">
        <v>186</v>
      </c>
      <c r="K249" s="180" t="s">
        <v>122</v>
      </c>
      <c r="L249" s="180"/>
      <c r="M249" s="178" t="s">
        <v>36</v>
      </c>
      <c r="N249" s="179">
        <v>43770</v>
      </c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  <c r="AB249" s="138"/>
      <c r="AC249" s="138"/>
      <c r="AD249" s="138"/>
      <c r="AE249" s="138"/>
      <c r="AF249" s="138"/>
      <c r="AG249" s="138"/>
      <c r="AH249" s="138"/>
      <c r="AI249" s="138"/>
      <c r="AJ249" s="138"/>
      <c r="AK249" s="138"/>
      <c r="AL249" s="138"/>
      <c r="AM249" s="138"/>
      <c r="AN249" s="138"/>
      <c r="AO249" s="138"/>
      <c r="AP249" s="138"/>
      <c r="AQ249" s="138"/>
      <c r="AR249" s="138"/>
      <c r="AS249" s="138"/>
    </row>
    <row r="250" spans="1:45" ht="15.75" hidden="1" customHeight="1">
      <c r="A250" s="177">
        <v>8</v>
      </c>
      <c r="B250" s="177" t="s">
        <v>91</v>
      </c>
      <c r="C250" s="178" t="s">
        <v>636</v>
      </c>
      <c r="D250" s="178" t="s">
        <v>644</v>
      </c>
      <c r="E250" s="178">
        <v>1</v>
      </c>
      <c r="F250" s="179" t="s">
        <v>645</v>
      </c>
      <c r="G250" s="180" t="s">
        <v>639</v>
      </c>
      <c r="H250" s="180" t="s">
        <v>640</v>
      </c>
      <c r="I250" s="181">
        <v>43709</v>
      </c>
      <c r="J250" s="180" t="s">
        <v>141</v>
      </c>
      <c r="K250" s="180" t="s">
        <v>162</v>
      </c>
      <c r="L250" s="180"/>
      <c r="M250" s="178" t="s">
        <v>36</v>
      </c>
      <c r="N250" s="179">
        <v>43770</v>
      </c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  <c r="AB250" s="138"/>
      <c r="AC250" s="138"/>
      <c r="AD250" s="138"/>
      <c r="AE250" s="138"/>
      <c r="AF250" s="138"/>
      <c r="AG250" s="138"/>
      <c r="AH250" s="138"/>
      <c r="AI250" s="138"/>
      <c r="AJ250" s="138"/>
      <c r="AK250" s="138"/>
      <c r="AL250" s="138"/>
      <c r="AM250" s="138"/>
      <c r="AN250" s="138"/>
      <c r="AO250" s="138"/>
      <c r="AP250" s="138"/>
      <c r="AQ250" s="138"/>
      <c r="AR250" s="138"/>
      <c r="AS250" s="138"/>
    </row>
    <row r="251" spans="1:45" ht="15.75" hidden="1" customHeight="1">
      <c r="A251" s="177">
        <v>9</v>
      </c>
      <c r="B251" s="177" t="s">
        <v>50</v>
      </c>
      <c r="C251" s="178" t="s">
        <v>704</v>
      </c>
      <c r="D251" s="178" t="s">
        <v>705</v>
      </c>
      <c r="E251" s="178">
        <v>11</v>
      </c>
      <c r="F251" s="179">
        <v>37747</v>
      </c>
      <c r="G251" s="180" t="s">
        <v>706</v>
      </c>
      <c r="H251" s="180" t="s">
        <v>707</v>
      </c>
      <c r="I251" s="181">
        <v>43727</v>
      </c>
      <c r="J251" s="180" t="s">
        <v>124</v>
      </c>
      <c r="K251" s="180" t="s">
        <v>663</v>
      </c>
      <c r="L251" s="180" t="s">
        <v>708</v>
      </c>
      <c r="M251" s="178" t="s">
        <v>36</v>
      </c>
      <c r="N251" s="179">
        <v>43770</v>
      </c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  <c r="AB251" s="138"/>
      <c r="AC251" s="138"/>
      <c r="AD251" s="138"/>
      <c r="AE251" s="138"/>
      <c r="AF251" s="138"/>
      <c r="AG251" s="138"/>
      <c r="AH251" s="138"/>
      <c r="AI251" s="138"/>
      <c r="AJ251" s="138"/>
      <c r="AK251" s="138"/>
      <c r="AL251" s="138"/>
      <c r="AM251" s="138"/>
      <c r="AN251" s="138"/>
      <c r="AO251" s="138"/>
      <c r="AP251" s="138"/>
      <c r="AQ251" s="138"/>
      <c r="AR251" s="138"/>
      <c r="AS251" s="138"/>
    </row>
    <row r="252" spans="1:45" ht="15.75" hidden="1" customHeight="1">
      <c r="A252" s="177">
        <v>10</v>
      </c>
      <c r="B252" s="177" t="s">
        <v>50</v>
      </c>
      <c r="C252" s="178" t="s">
        <v>375</v>
      </c>
      <c r="D252" s="178" t="s">
        <v>709</v>
      </c>
      <c r="E252" s="178">
        <v>3</v>
      </c>
      <c r="F252" s="179">
        <v>40760</v>
      </c>
      <c r="G252" s="180" t="s">
        <v>710</v>
      </c>
      <c r="H252" s="180" t="s">
        <v>711</v>
      </c>
      <c r="I252" s="180" t="s">
        <v>712</v>
      </c>
      <c r="J252" s="180" t="s">
        <v>134</v>
      </c>
      <c r="K252" s="180" t="s">
        <v>175</v>
      </c>
      <c r="L252" s="180" t="s">
        <v>708</v>
      </c>
      <c r="M252" s="178" t="s">
        <v>36</v>
      </c>
      <c r="N252" s="179">
        <v>43770</v>
      </c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  <c r="AB252" s="138"/>
      <c r="AC252" s="138"/>
      <c r="AD252" s="138"/>
      <c r="AE252" s="138"/>
      <c r="AF252" s="138"/>
      <c r="AG252" s="138"/>
      <c r="AH252" s="138"/>
      <c r="AI252" s="138"/>
      <c r="AJ252" s="138"/>
      <c r="AK252" s="138"/>
      <c r="AL252" s="138"/>
      <c r="AM252" s="138"/>
      <c r="AN252" s="138"/>
      <c r="AO252" s="138"/>
      <c r="AP252" s="138"/>
      <c r="AQ252" s="138"/>
      <c r="AR252" s="138"/>
      <c r="AS252" s="138"/>
    </row>
    <row r="253" spans="1:45" ht="15.75" hidden="1" customHeight="1">
      <c r="A253" s="177">
        <v>11</v>
      </c>
      <c r="B253" s="177" t="s">
        <v>91</v>
      </c>
      <c r="C253" s="178" t="s">
        <v>579</v>
      </c>
      <c r="D253" s="178" t="s">
        <v>585</v>
      </c>
      <c r="E253" s="178">
        <v>0</v>
      </c>
      <c r="F253" s="179">
        <v>41667</v>
      </c>
      <c r="G253" s="180" t="s">
        <v>713</v>
      </c>
      <c r="H253" s="180" t="s">
        <v>378</v>
      </c>
      <c r="I253" s="181">
        <v>43678</v>
      </c>
      <c r="J253" s="180" t="s">
        <v>702</v>
      </c>
      <c r="K253" s="180" t="s">
        <v>205</v>
      </c>
      <c r="L253" s="180" t="s">
        <v>714</v>
      </c>
      <c r="M253" s="178" t="s">
        <v>36</v>
      </c>
      <c r="N253" s="179">
        <v>43770</v>
      </c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  <c r="AB253" s="138"/>
      <c r="AC253" s="138"/>
      <c r="AD253" s="138"/>
      <c r="AE253" s="138"/>
      <c r="AF253" s="138"/>
      <c r="AG253" s="138"/>
      <c r="AH253" s="138"/>
      <c r="AI253" s="138"/>
      <c r="AJ253" s="138"/>
      <c r="AK253" s="138"/>
      <c r="AL253" s="138"/>
      <c r="AM253" s="138"/>
      <c r="AN253" s="138"/>
      <c r="AO253" s="138"/>
      <c r="AP253" s="138"/>
      <c r="AQ253" s="138"/>
      <c r="AR253" s="138"/>
      <c r="AS253" s="138"/>
    </row>
    <row r="254" spans="1:45" ht="15.75" hidden="1" customHeight="1">
      <c r="A254" s="177">
        <v>12</v>
      </c>
      <c r="B254" s="177" t="s">
        <v>50</v>
      </c>
      <c r="C254" s="178" t="s">
        <v>579</v>
      </c>
      <c r="D254" s="178" t="s">
        <v>585</v>
      </c>
      <c r="E254" s="178">
        <v>0</v>
      </c>
      <c r="F254" s="179">
        <v>41667</v>
      </c>
      <c r="G254" s="180" t="s">
        <v>713</v>
      </c>
      <c r="H254" s="180" t="s">
        <v>378</v>
      </c>
      <c r="I254" s="181">
        <v>43678</v>
      </c>
      <c r="J254" s="180" t="s">
        <v>349</v>
      </c>
      <c r="K254" s="180" t="s">
        <v>663</v>
      </c>
      <c r="L254" s="180" t="s">
        <v>714</v>
      </c>
      <c r="M254" s="178" t="s">
        <v>36</v>
      </c>
      <c r="N254" s="179">
        <v>43770</v>
      </c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  <c r="AB254" s="138"/>
      <c r="AC254" s="138"/>
      <c r="AD254" s="138"/>
      <c r="AE254" s="138"/>
      <c r="AF254" s="138"/>
      <c r="AG254" s="138"/>
      <c r="AH254" s="138"/>
      <c r="AI254" s="138"/>
      <c r="AJ254" s="138"/>
      <c r="AK254" s="138"/>
      <c r="AL254" s="138"/>
      <c r="AM254" s="138"/>
      <c r="AN254" s="138"/>
      <c r="AO254" s="138"/>
      <c r="AP254" s="138"/>
      <c r="AQ254" s="138"/>
      <c r="AR254" s="138"/>
      <c r="AS254" s="138"/>
    </row>
    <row r="255" spans="1:45" ht="15.75" hidden="1" customHeight="1">
      <c r="A255" s="177">
        <v>13</v>
      </c>
      <c r="B255" s="177" t="s">
        <v>91</v>
      </c>
      <c r="C255" s="178" t="s">
        <v>715</v>
      </c>
      <c r="D255" s="178" t="s">
        <v>716</v>
      </c>
      <c r="E255" s="178">
        <v>1</v>
      </c>
      <c r="F255" s="179" t="s">
        <v>717</v>
      </c>
      <c r="G255" s="180" t="s">
        <v>718</v>
      </c>
      <c r="H255" s="180" t="s">
        <v>493</v>
      </c>
      <c r="I255" s="181">
        <v>43313</v>
      </c>
      <c r="J255" s="180" t="s">
        <v>238</v>
      </c>
      <c r="K255" s="180" t="s">
        <v>719</v>
      </c>
      <c r="L255" s="180"/>
      <c r="M255" s="178" t="s">
        <v>36</v>
      </c>
      <c r="N255" s="179">
        <v>43770</v>
      </c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  <c r="AB255" s="138"/>
      <c r="AC255" s="138"/>
      <c r="AD255" s="138"/>
      <c r="AE255" s="138"/>
      <c r="AF255" s="138"/>
      <c r="AG255" s="138"/>
      <c r="AH255" s="138"/>
      <c r="AI255" s="138"/>
      <c r="AJ255" s="138"/>
      <c r="AK255" s="138"/>
      <c r="AL255" s="138"/>
      <c r="AM255" s="138"/>
      <c r="AN255" s="138"/>
      <c r="AO255" s="138"/>
      <c r="AP255" s="138"/>
      <c r="AQ255" s="138"/>
      <c r="AR255" s="138"/>
      <c r="AS255" s="138"/>
    </row>
    <row r="256" spans="1:45" ht="15.75" hidden="1" customHeight="1">
      <c r="A256" s="177">
        <v>1</v>
      </c>
      <c r="B256" s="177" t="s">
        <v>50</v>
      </c>
      <c r="C256" s="178" t="s">
        <v>562</v>
      </c>
      <c r="D256" s="178" t="s">
        <v>563</v>
      </c>
      <c r="E256" s="178">
        <v>1</v>
      </c>
      <c r="F256" s="179">
        <v>40867</v>
      </c>
      <c r="G256" s="180" t="s">
        <v>564</v>
      </c>
      <c r="H256" s="180" t="s">
        <v>565</v>
      </c>
      <c r="I256" s="181">
        <v>43710</v>
      </c>
      <c r="J256" s="180" t="s">
        <v>186</v>
      </c>
      <c r="K256" s="180" t="s">
        <v>205</v>
      </c>
      <c r="L256" s="180"/>
      <c r="M256" s="178" t="s">
        <v>36</v>
      </c>
      <c r="N256" s="179">
        <v>43800</v>
      </c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  <c r="AB256" s="138"/>
      <c r="AC256" s="138"/>
      <c r="AD256" s="138"/>
      <c r="AE256" s="138"/>
      <c r="AF256" s="138"/>
      <c r="AG256" s="138"/>
      <c r="AH256" s="138"/>
      <c r="AI256" s="138"/>
      <c r="AJ256" s="138"/>
      <c r="AK256" s="138"/>
      <c r="AL256" s="138"/>
      <c r="AM256" s="138"/>
      <c r="AN256" s="138"/>
      <c r="AO256" s="138"/>
      <c r="AP256" s="138"/>
      <c r="AQ256" s="138"/>
      <c r="AR256" s="138"/>
      <c r="AS256" s="138"/>
    </row>
    <row r="257" spans="1:45" ht="15.75" hidden="1" customHeight="1">
      <c r="A257" s="177">
        <v>2</v>
      </c>
      <c r="B257" s="177" t="s">
        <v>91</v>
      </c>
      <c r="C257" s="178" t="s">
        <v>562</v>
      </c>
      <c r="D257" s="178" t="s">
        <v>563</v>
      </c>
      <c r="E257" s="178">
        <v>1</v>
      </c>
      <c r="F257" s="179">
        <v>40867</v>
      </c>
      <c r="G257" s="180" t="s">
        <v>564</v>
      </c>
      <c r="H257" s="180" t="s">
        <v>565</v>
      </c>
      <c r="I257" s="181">
        <v>43710</v>
      </c>
      <c r="J257" s="180" t="s">
        <v>156</v>
      </c>
      <c r="K257" s="180" t="s">
        <v>205</v>
      </c>
      <c r="L257" s="180"/>
      <c r="M257" s="178" t="s">
        <v>36</v>
      </c>
      <c r="N257" s="179">
        <v>43800</v>
      </c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  <c r="AB257" s="138"/>
      <c r="AC257" s="138"/>
      <c r="AD257" s="138"/>
      <c r="AE257" s="138"/>
      <c r="AF257" s="138"/>
      <c r="AG257" s="138"/>
      <c r="AH257" s="138"/>
      <c r="AI257" s="138"/>
      <c r="AJ257" s="138"/>
      <c r="AK257" s="138"/>
      <c r="AL257" s="138"/>
      <c r="AM257" s="138"/>
      <c r="AN257" s="138"/>
      <c r="AO257" s="138"/>
      <c r="AP257" s="138"/>
      <c r="AQ257" s="138"/>
      <c r="AR257" s="138"/>
      <c r="AS257" s="138"/>
    </row>
    <row r="258" spans="1:45" ht="15.75" hidden="1" customHeight="1">
      <c r="A258" s="177">
        <v>3</v>
      </c>
      <c r="B258" s="177" t="s">
        <v>50</v>
      </c>
      <c r="C258" s="178" t="s">
        <v>720</v>
      </c>
      <c r="D258" s="178" t="s">
        <v>721</v>
      </c>
      <c r="E258" s="178">
        <v>4</v>
      </c>
      <c r="F258" s="179">
        <v>40283</v>
      </c>
      <c r="G258" s="180" t="s">
        <v>722</v>
      </c>
      <c r="H258" s="180" t="s">
        <v>723</v>
      </c>
      <c r="I258" s="181">
        <v>43696</v>
      </c>
      <c r="J258" s="180" t="s">
        <v>255</v>
      </c>
      <c r="K258" s="180" t="s">
        <v>566</v>
      </c>
      <c r="L258" s="180" t="s">
        <v>724</v>
      </c>
      <c r="M258" s="178" t="s">
        <v>36</v>
      </c>
      <c r="N258" s="179">
        <v>43800</v>
      </c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  <c r="AB258" s="138"/>
      <c r="AC258" s="138"/>
      <c r="AD258" s="138"/>
      <c r="AE258" s="138"/>
      <c r="AF258" s="138"/>
      <c r="AG258" s="138"/>
      <c r="AH258" s="138"/>
      <c r="AI258" s="138"/>
      <c r="AJ258" s="138"/>
      <c r="AK258" s="138"/>
      <c r="AL258" s="138"/>
      <c r="AM258" s="138"/>
      <c r="AN258" s="138"/>
      <c r="AO258" s="138"/>
      <c r="AP258" s="138"/>
      <c r="AQ258" s="138"/>
      <c r="AR258" s="138"/>
      <c r="AS258" s="138"/>
    </row>
    <row r="259" spans="1:45" ht="15.75" hidden="1" customHeight="1">
      <c r="A259" s="177">
        <v>4</v>
      </c>
      <c r="B259" s="177" t="s">
        <v>91</v>
      </c>
      <c r="C259" s="178" t="s">
        <v>720</v>
      </c>
      <c r="D259" s="178" t="s">
        <v>721</v>
      </c>
      <c r="E259" s="178">
        <v>4</v>
      </c>
      <c r="F259" s="179">
        <v>40283</v>
      </c>
      <c r="G259" s="180" t="s">
        <v>722</v>
      </c>
      <c r="H259" s="180" t="s">
        <v>723</v>
      </c>
      <c r="I259" s="181">
        <v>43696</v>
      </c>
      <c r="J259" s="180" t="s">
        <v>188</v>
      </c>
      <c r="K259" s="180" t="s">
        <v>587</v>
      </c>
      <c r="L259" s="180" t="s">
        <v>724</v>
      </c>
      <c r="M259" s="178" t="s">
        <v>36</v>
      </c>
      <c r="N259" s="179">
        <v>43800</v>
      </c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  <c r="AG259" s="138"/>
      <c r="AH259" s="138"/>
      <c r="AI259" s="138"/>
      <c r="AJ259" s="138"/>
      <c r="AK259" s="138"/>
      <c r="AL259" s="138"/>
      <c r="AM259" s="138"/>
      <c r="AN259" s="138"/>
      <c r="AO259" s="138"/>
      <c r="AP259" s="138"/>
      <c r="AQ259" s="138"/>
      <c r="AR259" s="138"/>
      <c r="AS259" s="138"/>
    </row>
    <row r="260" spans="1:45" ht="15.75" hidden="1" customHeight="1">
      <c r="A260" s="177">
        <v>5</v>
      </c>
      <c r="B260" s="177" t="s">
        <v>50</v>
      </c>
      <c r="C260" s="178" t="s">
        <v>482</v>
      </c>
      <c r="D260" s="178" t="s">
        <v>725</v>
      </c>
      <c r="E260" s="178">
        <v>5</v>
      </c>
      <c r="F260" s="179"/>
      <c r="G260" s="180" t="s">
        <v>484</v>
      </c>
      <c r="H260" s="180" t="s">
        <v>485</v>
      </c>
      <c r="I260" s="181">
        <v>43591</v>
      </c>
      <c r="J260" s="180" t="s">
        <v>255</v>
      </c>
      <c r="K260" s="180" t="s">
        <v>126</v>
      </c>
      <c r="L260" s="180" t="s">
        <v>726</v>
      </c>
      <c r="M260" s="178" t="s">
        <v>36</v>
      </c>
      <c r="N260" s="179">
        <v>43800</v>
      </c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  <c r="AB260" s="138"/>
      <c r="AC260" s="138"/>
      <c r="AD260" s="138"/>
      <c r="AE260" s="138"/>
      <c r="AF260" s="138"/>
      <c r="AG260" s="138"/>
      <c r="AH260" s="138"/>
      <c r="AI260" s="138"/>
      <c r="AJ260" s="138"/>
      <c r="AK260" s="138"/>
      <c r="AL260" s="138"/>
      <c r="AM260" s="138"/>
      <c r="AN260" s="138"/>
      <c r="AO260" s="138"/>
      <c r="AP260" s="138"/>
      <c r="AQ260" s="138"/>
      <c r="AR260" s="138"/>
      <c r="AS260" s="138"/>
    </row>
    <row r="261" spans="1:45" ht="15.75" hidden="1" customHeight="1">
      <c r="A261" s="177">
        <v>6</v>
      </c>
      <c r="B261" s="177" t="s">
        <v>91</v>
      </c>
      <c r="C261" s="178" t="s">
        <v>482</v>
      </c>
      <c r="D261" s="178" t="s">
        <v>725</v>
      </c>
      <c r="E261" s="178">
        <v>5</v>
      </c>
      <c r="F261" s="179"/>
      <c r="G261" s="180" t="s">
        <v>484</v>
      </c>
      <c r="H261" s="180" t="s">
        <v>485</v>
      </c>
      <c r="I261" s="181">
        <v>43591</v>
      </c>
      <c r="J261" s="180" t="s">
        <v>150</v>
      </c>
      <c r="K261" s="180" t="s">
        <v>727</v>
      </c>
      <c r="L261" s="180" t="s">
        <v>726</v>
      </c>
      <c r="M261" s="178" t="s">
        <v>36</v>
      </c>
      <c r="N261" s="179">
        <v>43800</v>
      </c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  <c r="AB261" s="138"/>
      <c r="AC261" s="138"/>
      <c r="AD261" s="138"/>
      <c r="AE261" s="138"/>
      <c r="AF261" s="138"/>
      <c r="AG261" s="138"/>
      <c r="AH261" s="138"/>
      <c r="AI261" s="138"/>
      <c r="AJ261" s="138"/>
      <c r="AK261" s="138"/>
      <c r="AL261" s="138"/>
      <c r="AM261" s="138"/>
      <c r="AN261" s="138"/>
      <c r="AO261" s="138"/>
      <c r="AP261" s="138"/>
      <c r="AQ261" s="138"/>
      <c r="AR261" s="138"/>
      <c r="AS261" s="138"/>
    </row>
    <row r="262" spans="1:45" ht="15.75" hidden="1" customHeight="1">
      <c r="A262" s="177">
        <v>7</v>
      </c>
      <c r="B262" s="177" t="s">
        <v>50</v>
      </c>
      <c r="C262" s="178" t="s">
        <v>482</v>
      </c>
      <c r="D262" s="178" t="s">
        <v>483</v>
      </c>
      <c r="E262" s="178">
        <v>5</v>
      </c>
      <c r="F262" s="179"/>
      <c r="G262" s="180" t="s">
        <v>484</v>
      </c>
      <c r="H262" s="180" t="s">
        <v>485</v>
      </c>
      <c r="I262" s="181">
        <v>43586</v>
      </c>
      <c r="J262" s="180" t="s">
        <v>261</v>
      </c>
      <c r="K262" s="180" t="s">
        <v>163</v>
      </c>
      <c r="L262" s="180" t="s">
        <v>726</v>
      </c>
      <c r="M262" s="178" t="s">
        <v>36</v>
      </c>
      <c r="N262" s="179">
        <v>43800</v>
      </c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  <c r="AB262" s="138"/>
      <c r="AC262" s="138"/>
      <c r="AD262" s="138"/>
      <c r="AE262" s="138"/>
      <c r="AF262" s="138"/>
      <c r="AG262" s="138"/>
      <c r="AH262" s="138"/>
      <c r="AI262" s="138"/>
      <c r="AJ262" s="138"/>
      <c r="AK262" s="138"/>
      <c r="AL262" s="138"/>
      <c r="AM262" s="138"/>
      <c r="AN262" s="138"/>
      <c r="AO262" s="138"/>
      <c r="AP262" s="138"/>
      <c r="AQ262" s="138"/>
      <c r="AR262" s="138"/>
      <c r="AS262" s="138"/>
    </row>
    <row r="263" spans="1:45" ht="15.75" hidden="1" customHeight="1">
      <c r="A263" s="177">
        <v>8</v>
      </c>
      <c r="B263" s="177" t="s">
        <v>91</v>
      </c>
      <c r="C263" s="178" t="s">
        <v>482</v>
      </c>
      <c r="D263" s="178" t="s">
        <v>483</v>
      </c>
      <c r="E263" s="178">
        <v>5</v>
      </c>
      <c r="F263" s="179"/>
      <c r="G263" s="180" t="s">
        <v>484</v>
      </c>
      <c r="H263" s="180" t="s">
        <v>485</v>
      </c>
      <c r="I263" s="181">
        <v>43586</v>
      </c>
      <c r="J263" s="180" t="s">
        <v>233</v>
      </c>
      <c r="K263" s="180" t="s">
        <v>199</v>
      </c>
      <c r="L263" s="180" t="s">
        <v>726</v>
      </c>
      <c r="M263" s="178" t="s">
        <v>36</v>
      </c>
      <c r="N263" s="179">
        <v>43800</v>
      </c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  <c r="AB263" s="138"/>
      <c r="AC263" s="138"/>
      <c r="AD263" s="138"/>
      <c r="AE263" s="138"/>
      <c r="AF263" s="138"/>
      <c r="AG263" s="138"/>
      <c r="AH263" s="138"/>
      <c r="AI263" s="138"/>
      <c r="AJ263" s="138"/>
      <c r="AK263" s="138"/>
      <c r="AL263" s="138"/>
      <c r="AM263" s="138"/>
      <c r="AN263" s="138"/>
      <c r="AO263" s="138"/>
      <c r="AP263" s="138"/>
      <c r="AQ263" s="138"/>
      <c r="AR263" s="138"/>
      <c r="AS263" s="138"/>
    </row>
    <row r="264" spans="1:45" ht="15.75" hidden="1" customHeight="1">
      <c r="A264" s="177">
        <v>9</v>
      </c>
      <c r="B264" s="177" t="s">
        <v>50</v>
      </c>
      <c r="C264" s="178" t="s">
        <v>720</v>
      </c>
      <c r="D264" s="178" t="s">
        <v>728</v>
      </c>
      <c r="E264" s="178">
        <v>2</v>
      </c>
      <c r="F264" s="179">
        <v>40918</v>
      </c>
      <c r="G264" s="180" t="s">
        <v>722</v>
      </c>
      <c r="H264" s="180" t="s">
        <v>270</v>
      </c>
      <c r="I264" s="181">
        <v>43696</v>
      </c>
      <c r="J264" s="180" t="s">
        <v>358</v>
      </c>
      <c r="K264" s="180" t="s">
        <v>175</v>
      </c>
      <c r="L264" s="180" t="s">
        <v>724</v>
      </c>
      <c r="M264" s="178" t="s">
        <v>36</v>
      </c>
      <c r="N264" s="179">
        <v>43800</v>
      </c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  <c r="AB264" s="138"/>
      <c r="AC264" s="138"/>
      <c r="AD264" s="138"/>
      <c r="AE264" s="138"/>
      <c r="AF264" s="138"/>
      <c r="AG264" s="138"/>
      <c r="AH264" s="138"/>
      <c r="AI264" s="138"/>
      <c r="AJ264" s="138"/>
      <c r="AK264" s="138"/>
      <c r="AL264" s="138"/>
      <c r="AM264" s="138"/>
      <c r="AN264" s="138"/>
      <c r="AO264" s="138"/>
      <c r="AP264" s="138"/>
      <c r="AQ264" s="138"/>
      <c r="AR264" s="138"/>
      <c r="AS264" s="138"/>
    </row>
    <row r="265" spans="1:45" ht="15.75" hidden="1" customHeight="1">
      <c r="A265" s="177">
        <v>10</v>
      </c>
      <c r="B265" s="177" t="s">
        <v>91</v>
      </c>
      <c r="C265" s="178" t="s">
        <v>720</v>
      </c>
      <c r="D265" s="178" t="s">
        <v>728</v>
      </c>
      <c r="E265" s="178">
        <v>2</v>
      </c>
      <c r="F265" s="179">
        <v>40918</v>
      </c>
      <c r="G265" s="180" t="s">
        <v>722</v>
      </c>
      <c r="H265" s="180" t="s">
        <v>270</v>
      </c>
      <c r="I265" s="181">
        <v>43696</v>
      </c>
      <c r="J265" s="180" t="s">
        <v>156</v>
      </c>
      <c r="K265" s="180" t="s">
        <v>162</v>
      </c>
      <c r="L265" s="180" t="s">
        <v>724</v>
      </c>
      <c r="M265" s="178" t="s">
        <v>36</v>
      </c>
      <c r="N265" s="179">
        <v>43800</v>
      </c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  <c r="AB265" s="138"/>
      <c r="AC265" s="138"/>
      <c r="AD265" s="138"/>
      <c r="AE265" s="138"/>
      <c r="AF265" s="138"/>
      <c r="AG265" s="138"/>
      <c r="AH265" s="138"/>
      <c r="AI265" s="138"/>
      <c r="AJ265" s="138"/>
      <c r="AK265" s="138"/>
      <c r="AL265" s="138"/>
      <c r="AM265" s="138"/>
      <c r="AN265" s="138"/>
      <c r="AO265" s="138"/>
      <c r="AP265" s="138"/>
      <c r="AQ265" s="138"/>
      <c r="AR265" s="138"/>
      <c r="AS265" s="138"/>
    </row>
    <row r="266" spans="1:45" ht="15.75" hidden="1" customHeight="1">
      <c r="A266" s="177">
        <v>11</v>
      </c>
      <c r="B266" s="177" t="s">
        <v>50</v>
      </c>
      <c r="C266" s="178" t="s">
        <v>729</v>
      </c>
      <c r="D266" s="178" t="s">
        <v>730</v>
      </c>
      <c r="E266" s="178">
        <v>2</v>
      </c>
      <c r="F266" s="179">
        <v>41040</v>
      </c>
      <c r="G266" s="180" t="s">
        <v>731</v>
      </c>
      <c r="H266" s="180" t="s">
        <v>732</v>
      </c>
      <c r="I266" s="181">
        <v>43693</v>
      </c>
      <c r="J266" s="180" t="s">
        <v>140</v>
      </c>
      <c r="K266" s="180" t="s">
        <v>641</v>
      </c>
      <c r="L266" s="180" t="s">
        <v>733</v>
      </c>
      <c r="M266" s="178" t="s">
        <v>36</v>
      </c>
      <c r="N266" s="179">
        <v>43800</v>
      </c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  <c r="AB266" s="138"/>
      <c r="AC266" s="138"/>
      <c r="AD266" s="138"/>
      <c r="AE266" s="138"/>
      <c r="AF266" s="138"/>
      <c r="AG266" s="138"/>
      <c r="AH266" s="138"/>
      <c r="AI266" s="138"/>
      <c r="AJ266" s="138"/>
      <c r="AK266" s="138"/>
      <c r="AL266" s="138"/>
      <c r="AM266" s="138"/>
      <c r="AN266" s="138"/>
      <c r="AO266" s="138"/>
      <c r="AP266" s="138"/>
      <c r="AQ266" s="138"/>
      <c r="AR266" s="138"/>
      <c r="AS266" s="138"/>
    </row>
    <row r="267" spans="1:45" ht="15.75" hidden="1" customHeight="1">
      <c r="A267" s="177">
        <v>12</v>
      </c>
      <c r="B267" s="177" t="s">
        <v>91</v>
      </c>
      <c r="C267" s="178" t="s">
        <v>729</v>
      </c>
      <c r="D267" s="178" t="s">
        <v>730</v>
      </c>
      <c r="E267" s="178">
        <v>2</v>
      </c>
      <c r="F267" s="179">
        <v>41040</v>
      </c>
      <c r="G267" s="180" t="s">
        <v>731</v>
      </c>
      <c r="H267" s="180" t="s">
        <v>732</v>
      </c>
      <c r="I267" s="181">
        <v>43693</v>
      </c>
      <c r="J267" s="180" t="s">
        <v>121</v>
      </c>
      <c r="K267" s="180" t="s">
        <v>119</v>
      </c>
      <c r="L267" s="180" t="s">
        <v>733</v>
      </c>
      <c r="M267" s="178" t="s">
        <v>36</v>
      </c>
      <c r="N267" s="179">
        <v>43800</v>
      </c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  <c r="AB267" s="138"/>
      <c r="AC267" s="138"/>
      <c r="AD267" s="138"/>
      <c r="AE267" s="138"/>
      <c r="AF267" s="138"/>
      <c r="AG267" s="138"/>
      <c r="AH267" s="138"/>
      <c r="AI267" s="138"/>
      <c r="AJ267" s="138"/>
      <c r="AK267" s="138"/>
      <c r="AL267" s="138"/>
      <c r="AM267" s="138"/>
      <c r="AN267" s="138"/>
      <c r="AO267" s="138"/>
      <c r="AP267" s="138"/>
      <c r="AQ267" s="138"/>
      <c r="AR267" s="138"/>
      <c r="AS267" s="138"/>
    </row>
    <row r="268" spans="1:45" ht="15.75" hidden="1" customHeight="1">
      <c r="A268" s="177">
        <v>13</v>
      </c>
      <c r="B268" s="177" t="s">
        <v>50</v>
      </c>
      <c r="C268" s="178" t="s">
        <v>463</v>
      </c>
      <c r="D268" s="178" t="s">
        <v>275</v>
      </c>
      <c r="E268" s="178" t="s">
        <v>190</v>
      </c>
      <c r="F268" s="179" t="s">
        <v>734</v>
      </c>
      <c r="G268" s="180" t="s">
        <v>735</v>
      </c>
      <c r="H268" s="180" t="s">
        <v>736</v>
      </c>
      <c r="I268" s="181" t="s">
        <v>675</v>
      </c>
      <c r="J268" s="180" t="s">
        <v>192</v>
      </c>
      <c r="K268" s="180" t="s">
        <v>737</v>
      </c>
      <c r="L268" s="180" t="s">
        <v>724</v>
      </c>
      <c r="M268" s="178" t="s">
        <v>36</v>
      </c>
      <c r="N268" s="179">
        <v>43800</v>
      </c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  <c r="AB268" s="138"/>
      <c r="AC268" s="138"/>
      <c r="AD268" s="138"/>
      <c r="AE268" s="138"/>
      <c r="AF268" s="138"/>
      <c r="AG268" s="138"/>
      <c r="AH268" s="138"/>
      <c r="AI268" s="138"/>
      <c r="AJ268" s="138"/>
      <c r="AK268" s="138"/>
      <c r="AL268" s="138"/>
      <c r="AM268" s="138"/>
      <c r="AN268" s="138"/>
      <c r="AO268" s="138"/>
      <c r="AP268" s="138"/>
      <c r="AQ268" s="138"/>
      <c r="AR268" s="138"/>
      <c r="AS268" s="138"/>
    </row>
    <row r="269" spans="1:45" ht="15.75" hidden="1" customHeight="1">
      <c r="A269" s="177">
        <v>14</v>
      </c>
      <c r="B269" s="177" t="s">
        <v>91</v>
      </c>
      <c r="C269" s="178" t="s">
        <v>463</v>
      </c>
      <c r="D269" s="178" t="s">
        <v>275</v>
      </c>
      <c r="E269" s="178">
        <v>1</v>
      </c>
      <c r="F269" s="179">
        <v>41264</v>
      </c>
      <c r="G269" s="180" t="s">
        <v>738</v>
      </c>
      <c r="H269" s="180" t="s">
        <v>736</v>
      </c>
      <c r="I269" s="181">
        <v>43714</v>
      </c>
      <c r="J269" s="180" t="s">
        <v>194</v>
      </c>
      <c r="K269" s="180" t="s">
        <v>125</v>
      </c>
      <c r="L269" s="180" t="s">
        <v>724</v>
      </c>
      <c r="M269" s="178" t="s">
        <v>36</v>
      </c>
      <c r="N269" s="179">
        <v>43800</v>
      </c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  <c r="AB269" s="138"/>
      <c r="AC269" s="138"/>
      <c r="AD269" s="138"/>
      <c r="AE269" s="138"/>
      <c r="AF269" s="138"/>
      <c r="AG269" s="138"/>
      <c r="AH269" s="138"/>
      <c r="AI269" s="138"/>
      <c r="AJ269" s="138"/>
      <c r="AK269" s="138"/>
      <c r="AL269" s="138"/>
      <c r="AM269" s="138"/>
      <c r="AN269" s="138"/>
      <c r="AO269" s="138"/>
      <c r="AP269" s="138"/>
      <c r="AQ269" s="138"/>
      <c r="AR269" s="138"/>
      <c r="AS269" s="138"/>
    </row>
    <row r="270" spans="1:45" ht="15.75" hidden="1" customHeight="1">
      <c r="A270" s="177">
        <v>1</v>
      </c>
      <c r="B270" s="177" t="s">
        <v>50</v>
      </c>
      <c r="C270" s="178" t="s">
        <v>627</v>
      </c>
      <c r="D270" s="178" t="s">
        <v>628</v>
      </c>
      <c r="E270" s="178">
        <v>6</v>
      </c>
      <c r="F270" s="179">
        <v>39202</v>
      </c>
      <c r="G270" s="180" t="s">
        <v>629</v>
      </c>
      <c r="H270" s="180" t="s">
        <v>630</v>
      </c>
      <c r="I270" s="181">
        <v>43709</v>
      </c>
      <c r="J270" s="180" t="s">
        <v>249</v>
      </c>
      <c r="K270" s="180" t="s">
        <v>739</v>
      </c>
      <c r="L270" s="180" t="s">
        <v>740</v>
      </c>
      <c r="M270" s="178" t="s">
        <v>36</v>
      </c>
      <c r="N270" s="179">
        <v>43831</v>
      </c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  <c r="AB270" s="138"/>
      <c r="AC270" s="138"/>
      <c r="AD270" s="138"/>
      <c r="AE270" s="138"/>
      <c r="AF270" s="138"/>
      <c r="AG270" s="138"/>
      <c r="AH270" s="138"/>
      <c r="AI270" s="138"/>
      <c r="AJ270" s="138"/>
      <c r="AK270" s="138"/>
      <c r="AL270" s="138"/>
      <c r="AM270" s="138"/>
      <c r="AN270" s="138"/>
      <c r="AO270" s="138"/>
      <c r="AP270" s="138"/>
      <c r="AQ270" s="138"/>
      <c r="AR270" s="138"/>
      <c r="AS270" s="138"/>
    </row>
    <row r="271" spans="1:45" ht="15.75" hidden="1" customHeight="1">
      <c r="A271" s="177">
        <v>2</v>
      </c>
      <c r="B271" s="177" t="s">
        <v>91</v>
      </c>
      <c r="C271" s="178" t="s">
        <v>627</v>
      </c>
      <c r="D271" s="178" t="s">
        <v>628</v>
      </c>
      <c r="E271" s="178">
        <v>6</v>
      </c>
      <c r="F271" s="179">
        <v>39202</v>
      </c>
      <c r="G271" s="180" t="s">
        <v>629</v>
      </c>
      <c r="H271" s="180" t="s">
        <v>630</v>
      </c>
      <c r="I271" s="181">
        <v>43709</v>
      </c>
      <c r="J271" s="180" t="s">
        <v>238</v>
      </c>
      <c r="K271" s="180" t="s">
        <v>741</v>
      </c>
      <c r="L271" s="180" t="s">
        <v>740</v>
      </c>
      <c r="M271" s="178" t="s">
        <v>36</v>
      </c>
      <c r="N271" s="179">
        <v>43831</v>
      </c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  <c r="AB271" s="138"/>
      <c r="AC271" s="138"/>
      <c r="AD271" s="138"/>
      <c r="AE271" s="138"/>
      <c r="AF271" s="138"/>
      <c r="AG271" s="138"/>
      <c r="AH271" s="138"/>
      <c r="AI271" s="138"/>
      <c r="AJ271" s="138"/>
      <c r="AK271" s="138"/>
      <c r="AL271" s="138"/>
      <c r="AM271" s="138"/>
      <c r="AN271" s="138"/>
      <c r="AO271" s="138"/>
      <c r="AP271" s="138"/>
      <c r="AQ271" s="138"/>
      <c r="AR271" s="138"/>
      <c r="AS271" s="138"/>
    </row>
    <row r="272" spans="1:45" ht="15.75" hidden="1" customHeight="1">
      <c r="A272" s="177">
        <v>3</v>
      </c>
      <c r="B272" s="177" t="s">
        <v>91</v>
      </c>
      <c r="C272" s="178" t="s">
        <v>742</v>
      </c>
      <c r="D272" s="178" t="s">
        <v>743</v>
      </c>
      <c r="E272" s="178">
        <v>8</v>
      </c>
      <c r="F272" s="179">
        <v>39002</v>
      </c>
      <c r="G272" s="180" t="s">
        <v>744</v>
      </c>
      <c r="H272" s="180" t="s">
        <v>745</v>
      </c>
      <c r="I272" s="181">
        <v>43709</v>
      </c>
      <c r="J272" s="180" t="s">
        <v>140</v>
      </c>
      <c r="K272" s="180" t="s">
        <v>187</v>
      </c>
      <c r="L272" s="180" t="s">
        <v>746</v>
      </c>
      <c r="M272" s="178" t="s">
        <v>36</v>
      </c>
      <c r="N272" s="179">
        <v>43831</v>
      </c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  <c r="AB272" s="138"/>
      <c r="AC272" s="138"/>
      <c r="AD272" s="138"/>
      <c r="AE272" s="138"/>
      <c r="AF272" s="138"/>
      <c r="AG272" s="138"/>
      <c r="AH272" s="138"/>
      <c r="AI272" s="138"/>
      <c r="AJ272" s="138"/>
      <c r="AK272" s="138"/>
      <c r="AL272" s="138"/>
      <c r="AM272" s="138"/>
      <c r="AN272" s="138"/>
      <c r="AO272" s="138"/>
      <c r="AP272" s="138"/>
      <c r="AQ272" s="138"/>
      <c r="AR272" s="138"/>
      <c r="AS272" s="138"/>
    </row>
    <row r="273" spans="1:45" ht="15.75" hidden="1" customHeight="1">
      <c r="A273" s="177">
        <v>4</v>
      </c>
      <c r="B273" s="177" t="s">
        <v>50</v>
      </c>
      <c r="C273" s="178" t="s">
        <v>742</v>
      </c>
      <c r="D273" s="178" t="s">
        <v>743</v>
      </c>
      <c r="E273" s="178">
        <v>8</v>
      </c>
      <c r="F273" s="179">
        <v>39002</v>
      </c>
      <c r="G273" s="180" t="s">
        <v>744</v>
      </c>
      <c r="H273" s="180" t="s">
        <v>745</v>
      </c>
      <c r="I273" s="181">
        <v>43709</v>
      </c>
      <c r="J273" s="180" t="s">
        <v>121</v>
      </c>
      <c r="K273" s="180" t="s">
        <v>212</v>
      </c>
      <c r="L273" s="180" t="s">
        <v>746</v>
      </c>
      <c r="M273" s="178" t="s">
        <v>36</v>
      </c>
      <c r="N273" s="179">
        <v>43831</v>
      </c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  <c r="AB273" s="138"/>
      <c r="AC273" s="138"/>
      <c r="AD273" s="138"/>
      <c r="AE273" s="138"/>
      <c r="AF273" s="138"/>
      <c r="AG273" s="138"/>
      <c r="AH273" s="138"/>
      <c r="AI273" s="138"/>
      <c r="AJ273" s="138"/>
      <c r="AK273" s="138"/>
      <c r="AL273" s="138"/>
      <c r="AM273" s="138"/>
      <c r="AN273" s="138"/>
      <c r="AO273" s="138"/>
      <c r="AP273" s="138"/>
      <c r="AQ273" s="138"/>
      <c r="AR273" s="138"/>
      <c r="AS273" s="138"/>
    </row>
    <row r="274" spans="1:45" ht="15.75" hidden="1" customHeight="1">
      <c r="A274" s="177">
        <v>5</v>
      </c>
      <c r="B274" s="177" t="s">
        <v>50</v>
      </c>
      <c r="C274" s="178" t="s">
        <v>747</v>
      </c>
      <c r="D274" s="178" t="s">
        <v>748</v>
      </c>
      <c r="E274" s="178" t="s">
        <v>190</v>
      </c>
      <c r="F274" s="179">
        <v>41841</v>
      </c>
      <c r="G274" s="180" t="s">
        <v>749</v>
      </c>
      <c r="H274" s="180" t="s">
        <v>750</v>
      </c>
      <c r="I274" s="181">
        <v>43727</v>
      </c>
      <c r="J274" s="180" t="s">
        <v>349</v>
      </c>
      <c r="K274" s="180" t="s">
        <v>751</v>
      </c>
      <c r="L274" s="180"/>
      <c r="M274" s="178" t="s">
        <v>36</v>
      </c>
      <c r="N274" s="179">
        <v>43831</v>
      </c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  <c r="AB274" s="138"/>
      <c r="AC274" s="138"/>
      <c r="AD274" s="138"/>
      <c r="AE274" s="138"/>
      <c r="AF274" s="138"/>
      <c r="AG274" s="138"/>
      <c r="AH274" s="138"/>
      <c r="AI274" s="138"/>
      <c r="AJ274" s="138"/>
      <c r="AK274" s="138"/>
      <c r="AL274" s="138"/>
      <c r="AM274" s="138"/>
      <c r="AN274" s="138"/>
      <c r="AO274" s="138"/>
      <c r="AP274" s="138"/>
      <c r="AQ274" s="138"/>
      <c r="AR274" s="138"/>
      <c r="AS274" s="138"/>
    </row>
    <row r="275" spans="1:45" ht="15.75" hidden="1" customHeight="1">
      <c r="A275" s="177">
        <v>6</v>
      </c>
      <c r="B275" s="177" t="s">
        <v>91</v>
      </c>
      <c r="C275" s="178" t="s">
        <v>747</v>
      </c>
      <c r="D275" s="178" t="s">
        <v>748</v>
      </c>
      <c r="E275" s="178" t="s">
        <v>190</v>
      </c>
      <c r="F275" s="179">
        <v>41841</v>
      </c>
      <c r="G275" s="180" t="s">
        <v>749</v>
      </c>
      <c r="H275" s="180" t="s">
        <v>750</v>
      </c>
      <c r="I275" s="181">
        <v>43727</v>
      </c>
      <c r="J275" s="180" t="s">
        <v>752</v>
      </c>
      <c r="K275" s="180" t="s">
        <v>753</v>
      </c>
      <c r="L275" s="180"/>
      <c r="M275" s="178" t="s">
        <v>36</v>
      </c>
      <c r="N275" s="179">
        <v>43831</v>
      </c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  <c r="AB275" s="138"/>
      <c r="AC275" s="138"/>
      <c r="AD275" s="138"/>
      <c r="AE275" s="138"/>
      <c r="AF275" s="138"/>
      <c r="AG275" s="138"/>
      <c r="AH275" s="138"/>
      <c r="AI275" s="138"/>
      <c r="AJ275" s="138"/>
      <c r="AK275" s="138"/>
      <c r="AL275" s="138"/>
      <c r="AM275" s="138"/>
      <c r="AN275" s="138"/>
      <c r="AO275" s="138"/>
      <c r="AP275" s="138"/>
      <c r="AQ275" s="138"/>
      <c r="AR275" s="138"/>
      <c r="AS275" s="138"/>
    </row>
    <row r="276" spans="1:45" ht="15.75" hidden="1" customHeight="1">
      <c r="A276" s="177">
        <v>7</v>
      </c>
      <c r="B276" s="177" t="s">
        <v>50</v>
      </c>
      <c r="C276" s="178" t="s">
        <v>754</v>
      </c>
      <c r="D276" s="178" t="s">
        <v>755</v>
      </c>
      <c r="E276" s="178">
        <v>1</v>
      </c>
      <c r="F276" s="179">
        <v>41036</v>
      </c>
      <c r="G276" s="180" t="s">
        <v>756</v>
      </c>
      <c r="H276" s="180" t="s">
        <v>757</v>
      </c>
      <c r="I276" s="181" t="s">
        <v>758</v>
      </c>
      <c r="J276" s="180" t="s">
        <v>140</v>
      </c>
      <c r="K276" s="180" t="s">
        <v>181</v>
      </c>
      <c r="L276" s="180" t="s">
        <v>759</v>
      </c>
      <c r="M276" s="178" t="s">
        <v>36</v>
      </c>
      <c r="N276" s="179">
        <v>43831</v>
      </c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  <c r="AB276" s="138"/>
      <c r="AC276" s="138"/>
      <c r="AD276" s="138"/>
      <c r="AE276" s="138"/>
      <c r="AF276" s="138"/>
      <c r="AG276" s="138"/>
      <c r="AH276" s="138"/>
      <c r="AI276" s="138"/>
      <c r="AJ276" s="138"/>
      <c r="AK276" s="138"/>
      <c r="AL276" s="138"/>
      <c r="AM276" s="138"/>
      <c r="AN276" s="138"/>
      <c r="AO276" s="138"/>
      <c r="AP276" s="138"/>
      <c r="AQ276" s="138"/>
      <c r="AR276" s="138"/>
      <c r="AS276" s="138"/>
    </row>
    <row r="277" spans="1:45" ht="15.75" hidden="1" customHeight="1">
      <c r="A277" s="177">
        <v>8</v>
      </c>
      <c r="B277" s="177" t="s">
        <v>50</v>
      </c>
      <c r="C277" s="178" t="s">
        <v>463</v>
      </c>
      <c r="D277" s="178" t="s">
        <v>588</v>
      </c>
      <c r="E277" s="178">
        <v>3</v>
      </c>
      <c r="F277" s="179">
        <v>40788</v>
      </c>
      <c r="G277" s="180" t="s">
        <v>760</v>
      </c>
      <c r="H277" s="180" t="e">
        <v>#VALUE!</v>
      </c>
      <c r="I277" s="181">
        <v>43690</v>
      </c>
      <c r="J277" s="180" t="s">
        <v>255</v>
      </c>
      <c r="K277" s="180" t="s">
        <v>719</v>
      </c>
      <c r="L277" s="180" t="s">
        <v>761</v>
      </c>
      <c r="M277" s="178" t="s">
        <v>36</v>
      </c>
      <c r="N277" s="179">
        <v>43831</v>
      </c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  <c r="AB277" s="138"/>
      <c r="AC277" s="138"/>
      <c r="AD277" s="138"/>
      <c r="AE277" s="138"/>
      <c r="AF277" s="138"/>
      <c r="AG277" s="138"/>
      <c r="AH277" s="138"/>
      <c r="AI277" s="138"/>
      <c r="AJ277" s="138"/>
      <c r="AK277" s="138"/>
      <c r="AL277" s="138"/>
      <c r="AM277" s="138"/>
      <c r="AN277" s="138"/>
      <c r="AO277" s="138"/>
      <c r="AP277" s="138"/>
      <c r="AQ277" s="138"/>
      <c r="AR277" s="138"/>
      <c r="AS277" s="138"/>
    </row>
    <row r="278" spans="1:45" ht="15.75" hidden="1" customHeight="1">
      <c r="A278" s="177">
        <v>9</v>
      </c>
      <c r="B278" s="177" t="s">
        <v>91</v>
      </c>
      <c r="C278" s="178" t="s">
        <v>463</v>
      </c>
      <c r="D278" s="178" t="s">
        <v>588</v>
      </c>
      <c r="E278" s="178">
        <v>3</v>
      </c>
      <c r="F278" s="179">
        <v>40788</v>
      </c>
      <c r="G278" s="180" t="s">
        <v>760</v>
      </c>
      <c r="H278" s="180" t="e">
        <v>#VALUE!</v>
      </c>
      <c r="I278" s="181">
        <v>43690</v>
      </c>
      <c r="J278" s="180" t="s">
        <v>188</v>
      </c>
      <c r="K278" s="180" t="s">
        <v>762</v>
      </c>
      <c r="L278" s="180" t="s">
        <v>761</v>
      </c>
      <c r="M278" s="178" t="s">
        <v>36</v>
      </c>
      <c r="N278" s="179">
        <v>43831</v>
      </c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  <c r="AB278" s="138"/>
      <c r="AC278" s="138"/>
      <c r="AD278" s="138"/>
      <c r="AE278" s="138"/>
      <c r="AF278" s="138"/>
      <c r="AG278" s="138"/>
      <c r="AH278" s="138"/>
      <c r="AI278" s="138"/>
      <c r="AJ278" s="138"/>
      <c r="AK278" s="138"/>
      <c r="AL278" s="138"/>
      <c r="AM278" s="138"/>
      <c r="AN278" s="138"/>
      <c r="AO278" s="138"/>
      <c r="AP278" s="138"/>
      <c r="AQ278" s="138"/>
      <c r="AR278" s="138"/>
      <c r="AS278" s="138"/>
    </row>
    <row r="279" spans="1:45" ht="15.75" hidden="1" customHeight="1">
      <c r="A279" s="177">
        <v>10</v>
      </c>
      <c r="B279" s="177" t="s">
        <v>50</v>
      </c>
      <c r="C279" s="178" t="s">
        <v>463</v>
      </c>
      <c r="D279" s="178" t="s">
        <v>763</v>
      </c>
      <c r="E279" s="178">
        <v>4</v>
      </c>
      <c r="F279" s="179">
        <v>40270</v>
      </c>
      <c r="G279" s="180" t="s">
        <v>760</v>
      </c>
      <c r="H279" s="180" t="e">
        <v>#VALUE!</v>
      </c>
      <c r="I279" s="181">
        <v>43682</v>
      </c>
      <c r="J279" s="180" t="s">
        <v>255</v>
      </c>
      <c r="K279" s="180" t="s">
        <v>142</v>
      </c>
      <c r="L279" s="180" t="s">
        <v>761</v>
      </c>
      <c r="M279" s="178" t="s">
        <v>36</v>
      </c>
      <c r="N279" s="179">
        <v>43831</v>
      </c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  <c r="AB279" s="138"/>
      <c r="AC279" s="138"/>
      <c r="AD279" s="138"/>
      <c r="AE279" s="138"/>
      <c r="AF279" s="138"/>
      <c r="AG279" s="138"/>
      <c r="AH279" s="138"/>
      <c r="AI279" s="138"/>
      <c r="AJ279" s="138"/>
      <c r="AK279" s="138"/>
      <c r="AL279" s="138"/>
      <c r="AM279" s="138"/>
      <c r="AN279" s="138"/>
      <c r="AO279" s="138"/>
      <c r="AP279" s="138"/>
      <c r="AQ279" s="138"/>
      <c r="AR279" s="138"/>
      <c r="AS279" s="138"/>
    </row>
    <row r="280" spans="1:45" ht="15.75" hidden="1" customHeight="1">
      <c r="A280" s="177">
        <v>11</v>
      </c>
      <c r="B280" s="177" t="s">
        <v>91</v>
      </c>
      <c r="C280" s="178" t="s">
        <v>463</v>
      </c>
      <c r="D280" s="178" t="s">
        <v>763</v>
      </c>
      <c r="E280" s="178">
        <v>4</v>
      </c>
      <c r="F280" s="179">
        <v>40270</v>
      </c>
      <c r="G280" s="180" t="s">
        <v>760</v>
      </c>
      <c r="H280" s="180" t="e">
        <v>#VALUE!</v>
      </c>
      <c r="I280" s="181">
        <v>43682</v>
      </c>
      <c r="J280" s="180" t="s">
        <v>188</v>
      </c>
      <c r="K280" s="180" t="s">
        <v>764</v>
      </c>
      <c r="L280" s="180" t="s">
        <v>761</v>
      </c>
      <c r="M280" s="178" t="s">
        <v>36</v>
      </c>
      <c r="N280" s="179">
        <v>43831</v>
      </c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  <c r="AB280" s="138"/>
      <c r="AC280" s="138"/>
      <c r="AD280" s="138"/>
      <c r="AE280" s="138"/>
      <c r="AF280" s="138"/>
      <c r="AG280" s="138"/>
      <c r="AH280" s="138"/>
      <c r="AI280" s="138"/>
      <c r="AJ280" s="138"/>
      <c r="AK280" s="138"/>
      <c r="AL280" s="138"/>
      <c r="AM280" s="138"/>
      <c r="AN280" s="138"/>
      <c r="AO280" s="138"/>
      <c r="AP280" s="138"/>
      <c r="AQ280" s="138"/>
      <c r="AR280" s="138"/>
      <c r="AS280" s="138"/>
    </row>
    <row r="281" spans="1:45" ht="15.75" hidden="1" customHeight="1">
      <c r="A281" s="177">
        <v>12</v>
      </c>
      <c r="B281" s="177" t="s">
        <v>50</v>
      </c>
      <c r="C281" s="178" t="s">
        <v>516</v>
      </c>
      <c r="D281" s="178" t="s">
        <v>410</v>
      </c>
      <c r="E281" s="178" t="s">
        <v>586</v>
      </c>
      <c r="F281" s="179">
        <v>41885</v>
      </c>
      <c r="G281" s="180" t="s">
        <v>517</v>
      </c>
      <c r="H281" s="180" t="s">
        <v>518</v>
      </c>
      <c r="I281" s="181">
        <v>43609</v>
      </c>
      <c r="J281" s="180" t="s">
        <v>349</v>
      </c>
      <c r="K281" s="180" t="s">
        <v>765</v>
      </c>
      <c r="L281" s="180" t="s">
        <v>766</v>
      </c>
      <c r="M281" s="178" t="s">
        <v>36</v>
      </c>
      <c r="N281" s="179">
        <v>43831</v>
      </c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  <c r="AB281" s="138"/>
      <c r="AC281" s="138"/>
      <c r="AD281" s="138"/>
      <c r="AE281" s="138"/>
      <c r="AF281" s="138"/>
      <c r="AG281" s="138"/>
      <c r="AH281" s="138"/>
      <c r="AI281" s="138"/>
      <c r="AJ281" s="138"/>
      <c r="AK281" s="138"/>
      <c r="AL281" s="138"/>
      <c r="AM281" s="138"/>
      <c r="AN281" s="138"/>
      <c r="AO281" s="138"/>
      <c r="AP281" s="138"/>
      <c r="AQ281" s="138"/>
      <c r="AR281" s="138"/>
      <c r="AS281" s="138"/>
    </row>
    <row r="282" spans="1:45" ht="15.75" hidden="1" customHeight="1">
      <c r="A282" s="177">
        <v>13</v>
      </c>
      <c r="B282" s="177" t="s">
        <v>91</v>
      </c>
      <c r="C282" s="178" t="s">
        <v>516</v>
      </c>
      <c r="D282" s="178" t="s">
        <v>410</v>
      </c>
      <c r="E282" s="178">
        <v>0</v>
      </c>
      <c r="F282" s="179">
        <v>41885</v>
      </c>
      <c r="G282" s="180" t="s">
        <v>517</v>
      </c>
      <c r="H282" s="180" t="s">
        <v>518</v>
      </c>
      <c r="I282" s="181">
        <v>43724</v>
      </c>
      <c r="J282" s="180" t="s">
        <v>654</v>
      </c>
      <c r="K282" s="180" t="s">
        <v>767</v>
      </c>
      <c r="L282" s="180" t="s">
        <v>766</v>
      </c>
      <c r="M282" s="178" t="s">
        <v>36</v>
      </c>
      <c r="N282" s="179">
        <v>43831</v>
      </c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  <c r="AB282" s="138"/>
      <c r="AC282" s="138"/>
      <c r="AD282" s="138"/>
      <c r="AE282" s="138"/>
      <c r="AF282" s="138"/>
      <c r="AG282" s="138"/>
      <c r="AH282" s="138"/>
      <c r="AI282" s="138"/>
      <c r="AJ282" s="138"/>
      <c r="AK282" s="138"/>
      <c r="AL282" s="138"/>
      <c r="AM282" s="138"/>
      <c r="AN282" s="138"/>
      <c r="AO282" s="138"/>
      <c r="AP282" s="138"/>
      <c r="AQ282" s="138"/>
      <c r="AR282" s="138"/>
      <c r="AS282" s="138"/>
    </row>
    <row r="283" spans="1:45" ht="15.75" hidden="1" customHeight="1">
      <c r="A283" s="177">
        <v>1</v>
      </c>
      <c r="B283" s="177" t="s">
        <v>50</v>
      </c>
      <c r="C283" s="178" t="s">
        <v>768</v>
      </c>
      <c r="D283" s="178" t="s">
        <v>769</v>
      </c>
      <c r="E283" s="178">
        <v>3</v>
      </c>
      <c r="F283" s="179">
        <v>40852</v>
      </c>
      <c r="G283" s="180" t="s">
        <v>770</v>
      </c>
      <c r="H283" s="180" t="s">
        <v>771</v>
      </c>
      <c r="I283" s="181">
        <v>43754</v>
      </c>
      <c r="J283" s="180" t="s">
        <v>261</v>
      </c>
      <c r="K283" s="180" t="s">
        <v>772</v>
      </c>
      <c r="L283" s="180" t="s">
        <v>773</v>
      </c>
      <c r="M283" s="178" t="s">
        <v>36</v>
      </c>
      <c r="N283" s="179">
        <v>43862</v>
      </c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  <c r="AB283" s="138"/>
      <c r="AC283" s="138"/>
      <c r="AD283" s="138"/>
      <c r="AE283" s="138"/>
      <c r="AF283" s="138"/>
      <c r="AG283" s="138"/>
      <c r="AH283" s="138"/>
      <c r="AI283" s="138"/>
      <c r="AJ283" s="138"/>
      <c r="AK283" s="138"/>
      <c r="AL283" s="138"/>
      <c r="AM283" s="138"/>
      <c r="AN283" s="138"/>
      <c r="AO283" s="138"/>
      <c r="AP283" s="138"/>
      <c r="AQ283" s="138"/>
      <c r="AR283" s="138"/>
      <c r="AS283" s="138"/>
    </row>
    <row r="284" spans="1:45" ht="15.75" hidden="1" customHeight="1">
      <c r="A284" s="177">
        <v>2</v>
      </c>
      <c r="B284" s="177" t="s">
        <v>91</v>
      </c>
      <c r="C284" s="178" t="s">
        <v>768</v>
      </c>
      <c r="D284" s="178" t="s">
        <v>769</v>
      </c>
      <c r="E284" s="178">
        <v>3</v>
      </c>
      <c r="F284" s="179">
        <v>40852</v>
      </c>
      <c r="G284" s="180" t="s">
        <v>770</v>
      </c>
      <c r="H284" s="180" t="s">
        <v>771</v>
      </c>
      <c r="I284" s="181">
        <v>43754</v>
      </c>
      <c r="J284" s="180" t="s">
        <v>194</v>
      </c>
      <c r="K284" s="180" t="s">
        <v>774</v>
      </c>
      <c r="L284" s="180" t="s">
        <v>773</v>
      </c>
      <c r="M284" s="178" t="s">
        <v>36</v>
      </c>
      <c r="N284" s="179">
        <v>43862</v>
      </c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  <c r="AB284" s="138"/>
      <c r="AC284" s="138"/>
      <c r="AD284" s="138"/>
      <c r="AE284" s="138"/>
      <c r="AF284" s="138"/>
      <c r="AG284" s="138"/>
      <c r="AH284" s="138"/>
      <c r="AI284" s="138"/>
      <c r="AJ284" s="138"/>
      <c r="AK284" s="138"/>
      <c r="AL284" s="138"/>
      <c r="AM284" s="138"/>
      <c r="AN284" s="138"/>
      <c r="AO284" s="138"/>
      <c r="AP284" s="138"/>
      <c r="AQ284" s="138"/>
      <c r="AR284" s="138"/>
      <c r="AS284" s="138"/>
    </row>
    <row r="285" spans="1:45" ht="15.75" hidden="1" customHeight="1">
      <c r="A285" s="177">
        <v>3</v>
      </c>
      <c r="B285" s="177" t="s">
        <v>50</v>
      </c>
      <c r="C285" s="178" t="s">
        <v>775</v>
      </c>
      <c r="D285" s="178" t="s">
        <v>776</v>
      </c>
      <c r="E285" s="178">
        <v>2</v>
      </c>
      <c r="F285" s="179" t="s">
        <v>777</v>
      </c>
      <c r="G285" s="180" t="s">
        <v>778</v>
      </c>
      <c r="H285" s="180" t="s">
        <v>554</v>
      </c>
      <c r="I285" s="181" t="s">
        <v>712</v>
      </c>
      <c r="J285" s="180" t="s">
        <v>186</v>
      </c>
      <c r="K285" s="180" t="s">
        <v>779</v>
      </c>
      <c r="L285" s="180" t="s">
        <v>780</v>
      </c>
      <c r="M285" s="178" t="s">
        <v>36</v>
      </c>
      <c r="N285" s="179">
        <v>43862</v>
      </c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  <c r="AB285" s="138"/>
      <c r="AC285" s="138"/>
      <c r="AD285" s="138"/>
      <c r="AE285" s="138"/>
      <c r="AF285" s="138"/>
      <c r="AG285" s="138"/>
      <c r="AH285" s="138"/>
      <c r="AI285" s="138"/>
      <c r="AJ285" s="138"/>
      <c r="AK285" s="138"/>
      <c r="AL285" s="138"/>
      <c r="AM285" s="138"/>
      <c r="AN285" s="138"/>
      <c r="AO285" s="138"/>
      <c r="AP285" s="138"/>
      <c r="AQ285" s="138"/>
      <c r="AR285" s="138"/>
      <c r="AS285" s="138"/>
    </row>
    <row r="286" spans="1:45" ht="15.75" hidden="1" customHeight="1">
      <c r="A286" s="177">
        <v>4</v>
      </c>
      <c r="B286" s="177" t="s">
        <v>91</v>
      </c>
      <c r="C286" s="178" t="s">
        <v>781</v>
      </c>
      <c r="D286" s="178" t="s">
        <v>782</v>
      </c>
      <c r="E286" s="178">
        <v>10</v>
      </c>
      <c r="F286" s="179">
        <v>37953</v>
      </c>
      <c r="G286" s="180" t="s">
        <v>783</v>
      </c>
      <c r="H286" s="180" t="s">
        <v>784</v>
      </c>
      <c r="I286" s="181">
        <v>43710</v>
      </c>
      <c r="J286" s="180" t="s">
        <v>274</v>
      </c>
      <c r="K286" s="180" t="s">
        <v>135</v>
      </c>
      <c r="L286" s="180" t="s">
        <v>785</v>
      </c>
      <c r="M286" s="178" t="s">
        <v>36</v>
      </c>
      <c r="N286" s="179">
        <v>43862</v>
      </c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  <c r="AB286" s="138"/>
      <c r="AC286" s="138"/>
      <c r="AD286" s="138"/>
      <c r="AE286" s="138"/>
      <c r="AF286" s="138"/>
      <c r="AG286" s="138"/>
      <c r="AH286" s="138"/>
      <c r="AI286" s="138"/>
      <c r="AJ286" s="138"/>
      <c r="AK286" s="138"/>
      <c r="AL286" s="138"/>
      <c r="AM286" s="138"/>
      <c r="AN286" s="138"/>
      <c r="AO286" s="138"/>
      <c r="AP286" s="138"/>
      <c r="AQ286" s="138"/>
      <c r="AR286" s="138"/>
      <c r="AS286" s="138"/>
    </row>
    <row r="287" spans="1:45" ht="15.75" hidden="1" customHeight="1">
      <c r="A287" s="177">
        <v>5</v>
      </c>
      <c r="B287" s="177" t="s">
        <v>50</v>
      </c>
      <c r="C287" s="178" t="s">
        <v>786</v>
      </c>
      <c r="D287" s="178" t="s">
        <v>787</v>
      </c>
      <c r="E287" s="178">
        <v>3</v>
      </c>
      <c r="F287" s="179">
        <v>40480</v>
      </c>
      <c r="G287" s="180" t="s">
        <v>788</v>
      </c>
      <c r="H287" s="180" t="s">
        <v>789</v>
      </c>
      <c r="I287" s="181" t="s">
        <v>712</v>
      </c>
      <c r="J287" s="180" t="s">
        <v>204</v>
      </c>
      <c r="K287" s="180" t="s">
        <v>790</v>
      </c>
      <c r="L287" s="180" t="s">
        <v>773</v>
      </c>
      <c r="M287" s="178" t="s">
        <v>36</v>
      </c>
      <c r="N287" s="179">
        <v>43862</v>
      </c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  <c r="AB287" s="138"/>
      <c r="AC287" s="138"/>
      <c r="AD287" s="138"/>
      <c r="AE287" s="138"/>
      <c r="AF287" s="138"/>
      <c r="AG287" s="138"/>
      <c r="AH287" s="138"/>
      <c r="AI287" s="138"/>
      <c r="AJ287" s="138"/>
      <c r="AK287" s="138"/>
      <c r="AL287" s="138"/>
      <c r="AM287" s="138"/>
      <c r="AN287" s="138"/>
      <c r="AO287" s="138"/>
      <c r="AP287" s="138"/>
      <c r="AQ287" s="138"/>
      <c r="AR287" s="138"/>
      <c r="AS287" s="138"/>
    </row>
    <row r="288" spans="1:45" ht="15.75" hidden="1" customHeight="1">
      <c r="A288" s="177">
        <v>6</v>
      </c>
      <c r="B288" s="177" t="s">
        <v>91</v>
      </c>
      <c r="C288" s="178" t="s">
        <v>786</v>
      </c>
      <c r="D288" s="178" t="s">
        <v>787</v>
      </c>
      <c r="E288" s="178">
        <v>3</v>
      </c>
      <c r="F288" s="179">
        <v>40480</v>
      </c>
      <c r="G288" s="180" t="s">
        <v>788</v>
      </c>
      <c r="H288" s="180" t="s">
        <v>789</v>
      </c>
      <c r="I288" s="181" t="s">
        <v>712</v>
      </c>
      <c r="J288" s="180" t="s">
        <v>188</v>
      </c>
      <c r="K288" s="180" t="s">
        <v>791</v>
      </c>
      <c r="L288" s="180" t="s">
        <v>773</v>
      </c>
      <c r="M288" s="178" t="s">
        <v>36</v>
      </c>
      <c r="N288" s="179">
        <v>43862</v>
      </c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  <c r="AB288" s="138"/>
      <c r="AC288" s="138"/>
      <c r="AD288" s="138"/>
      <c r="AE288" s="138"/>
      <c r="AF288" s="138"/>
      <c r="AG288" s="138"/>
      <c r="AH288" s="138"/>
      <c r="AI288" s="138"/>
      <c r="AJ288" s="138"/>
      <c r="AK288" s="138"/>
      <c r="AL288" s="138"/>
      <c r="AM288" s="138"/>
      <c r="AN288" s="138"/>
      <c r="AO288" s="138"/>
      <c r="AP288" s="138"/>
      <c r="AQ288" s="138"/>
      <c r="AR288" s="138"/>
      <c r="AS288" s="138"/>
    </row>
    <row r="289" spans="1:45" ht="15.75" hidden="1" customHeight="1">
      <c r="A289" s="177">
        <v>7</v>
      </c>
      <c r="B289" s="177" t="s">
        <v>91</v>
      </c>
      <c r="C289" s="178" t="s">
        <v>775</v>
      </c>
      <c r="D289" s="178" t="s">
        <v>550</v>
      </c>
      <c r="E289" s="178">
        <v>5</v>
      </c>
      <c r="F289" s="179" t="s">
        <v>792</v>
      </c>
      <c r="G289" s="180" t="s">
        <v>778</v>
      </c>
      <c r="H289" s="180" t="s">
        <v>554</v>
      </c>
      <c r="I289" s="181" t="s">
        <v>712</v>
      </c>
      <c r="J289" s="180" t="s">
        <v>221</v>
      </c>
      <c r="K289" s="180" t="s">
        <v>793</v>
      </c>
      <c r="L289" s="180" t="s">
        <v>780</v>
      </c>
      <c r="M289" s="178" t="s">
        <v>36</v>
      </c>
      <c r="N289" s="179">
        <v>43862</v>
      </c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  <c r="AB289" s="138"/>
      <c r="AC289" s="138"/>
      <c r="AD289" s="138"/>
      <c r="AE289" s="138"/>
      <c r="AF289" s="138"/>
      <c r="AG289" s="138"/>
      <c r="AH289" s="138"/>
      <c r="AI289" s="138"/>
      <c r="AJ289" s="138"/>
      <c r="AK289" s="138"/>
      <c r="AL289" s="138"/>
      <c r="AM289" s="138"/>
      <c r="AN289" s="138"/>
      <c r="AO289" s="138"/>
      <c r="AP289" s="138"/>
      <c r="AQ289" s="138"/>
      <c r="AR289" s="138"/>
      <c r="AS289" s="138"/>
    </row>
    <row r="290" spans="1:45" ht="15.75" hidden="1" customHeight="1">
      <c r="A290" s="177">
        <v>8</v>
      </c>
      <c r="B290" s="177" t="s">
        <v>91</v>
      </c>
      <c r="C290" s="178" t="s">
        <v>794</v>
      </c>
      <c r="D290" s="178" t="s">
        <v>795</v>
      </c>
      <c r="E290" s="178">
        <v>5</v>
      </c>
      <c r="F290" s="179">
        <v>39964</v>
      </c>
      <c r="G290" s="180" t="s">
        <v>796</v>
      </c>
      <c r="H290" s="180" t="s">
        <v>797</v>
      </c>
      <c r="I290" s="181">
        <v>43714</v>
      </c>
      <c r="J290" s="180" t="s">
        <v>188</v>
      </c>
      <c r="K290" s="180" t="s">
        <v>790</v>
      </c>
      <c r="L290" s="180" t="s">
        <v>773</v>
      </c>
      <c r="M290" s="178" t="s">
        <v>36</v>
      </c>
      <c r="N290" s="179">
        <v>43862</v>
      </c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  <c r="AB290" s="138"/>
      <c r="AC290" s="138"/>
      <c r="AD290" s="138"/>
      <c r="AE290" s="138"/>
      <c r="AF290" s="138"/>
      <c r="AG290" s="138"/>
      <c r="AH290" s="138"/>
      <c r="AI290" s="138"/>
      <c r="AJ290" s="138"/>
      <c r="AK290" s="138"/>
      <c r="AL290" s="138"/>
      <c r="AM290" s="138"/>
      <c r="AN290" s="138"/>
      <c r="AO290" s="138"/>
      <c r="AP290" s="138"/>
      <c r="AQ290" s="138"/>
      <c r="AR290" s="138"/>
      <c r="AS290" s="138"/>
    </row>
    <row r="291" spans="1:45" ht="15.75" hidden="1" customHeight="1">
      <c r="A291" s="177">
        <v>9</v>
      </c>
      <c r="B291" s="177" t="s">
        <v>50</v>
      </c>
      <c r="C291" s="178" t="s">
        <v>798</v>
      </c>
      <c r="D291" s="178" t="s">
        <v>799</v>
      </c>
      <c r="E291" s="178">
        <v>1</v>
      </c>
      <c r="F291" s="179">
        <v>41228</v>
      </c>
      <c r="G291" s="180" t="s">
        <v>800</v>
      </c>
      <c r="H291" s="180" t="s">
        <v>801</v>
      </c>
      <c r="I291" s="181">
        <v>43743</v>
      </c>
      <c r="J291" s="180" t="s">
        <v>140</v>
      </c>
      <c r="K291" s="180" t="s">
        <v>583</v>
      </c>
      <c r="L291" s="180" t="s">
        <v>773</v>
      </c>
      <c r="M291" s="178" t="s">
        <v>36</v>
      </c>
      <c r="N291" s="179">
        <v>43862</v>
      </c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  <c r="AB291" s="138"/>
      <c r="AC291" s="138"/>
      <c r="AD291" s="138"/>
      <c r="AE291" s="138"/>
      <c r="AF291" s="138"/>
      <c r="AG291" s="138"/>
      <c r="AH291" s="138"/>
      <c r="AI291" s="138"/>
      <c r="AJ291" s="138"/>
      <c r="AK291" s="138"/>
      <c r="AL291" s="138"/>
      <c r="AM291" s="138"/>
      <c r="AN291" s="138"/>
      <c r="AO291" s="138"/>
      <c r="AP291" s="138"/>
      <c r="AQ291" s="138"/>
      <c r="AR291" s="138"/>
      <c r="AS291" s="138"/>
    </row>
    <row r="292" spans="1:45" ht="15.75" hidden="1" customHeight="1">
      <c r="A292" s="177">
        <v>10</v>
      </c>
      <c r="B292" s="177" t="s">
        <v>91</v>
      </c>
      <c r="C292" s="178" t="s">
        <v>798</v>
      </c>
      <c r="D292" s="178" t="s">
        <v>799</v>
      </c>
      <c r="E292" s="178">
        <v>1</v>
      </c>
      <c r="F292" s="179">
        <v>41228</v>
      </c>
      <c r="G292" s="180" t="s">
        <v>800</v>
      </c>
      <c r="H292" s="180" t="s">
        <v>801</v>
      </c>
      <c r="I292" s="181">
        <v>43743</v>
      </c>
      <c r="J292" s="180" t="s">
        <v>156</v>
      </c>
      <c r="K292" s="180" t="s">
        <v>802</v>
      </c>
      <c r="L292" s="180" t="s">
        <v>773</v>
      </c>
      <c r="M292" s="178" t="s">
        <v>36</v>
      </c>
      <c r="N292" s="179">
        <v>43862</v>
      </c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  <c r="AB292" s="138"/>
      <c r="AC292" s="138"/>
      <c r="AD292" s="138"/>
      <c r="AE292" s="138"/>
      <c r="AF292" s="138"/>
      <c r="AG292" s="138"/>
      <c r="AH292" s="138"/>
      <c r="AI292" s="138"/>
      <c r="AJ292" s="138"/>
      <c r="AK292" s="138"/>
      <c r="AL292" s="138"/>
      <c r="AM292" s="138"/>
      <c r="AN292" s="138"/>
      <c r="AO292" s="138"/>
      <c r="AP292" s="138"/>
      <c r="AQ292" s="138"/>
      <c r="AR292" s="138"/>
      <c r="AS292" s="138"/>
    </row>
    <row r="293" spans="1:45" ht="15.75" hidden="1" customHeight="1">
      <c r="A293" s="177">
        <v>11</v>
      </c>
      <c r="B293" s="177" t="s">
        <v>91</v>
      </c>
      <c r="C293" s="178" t="s">
        <v>754</v>
      </c>
      <c r="D293" s="178" t="s">
        <v>755</v>
      </c>
      <c r="E293" s="178">
        <v>1</v>
      </c>
      <c r="F293" s="179">
        <v>41036</v>
      </c>
      <c r="G293" s="180" t="s">
        <v>756</v>
      </c>
      <c r="H293" s="180" t="s">
        <v>757</v>
      </c>
      <c r="I293" s="181" t="s">
        <v>758</v>
      </c>
      <c r="J293" s="180" t="s">
        <v>156</v>
      </c>
      <c r="K293" s="180" t="s">
        <v>643</v>
      </c>
      <c r="L293" s="180" t="s">
        <v>773</v>
      </c>
      <c r="M293" s="178" t="s">
        <v>36</v>
      </c>
      <c r="N293" s="179">
        <v>43862</v>
      </c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  <c r="AB293" s="138"/>
      <c r="AC293" s="138"/>
      <c r="AD293" s="138"/>
      <c r="AE293" s="138"/>
      <c r="AF293" s="138"/>
      <c r="AG293" s="138"/>
      <c r="AH293" s="138"/>
      <c r="AI293" s="138"/>
      <c r="AJ293" s="138"/>
      <c r="AK293" s="138"/>
      <c r="AL293" s="138"/>
      <c r="AM293" s="138"/>
      <c r="AN293" s="138"/>
      <c r="AO293" s="138"/>
      <c r="AP293" s="138"/>
      <c r="AQ293" s="138"/>
      <c r="AR293" s="138"/>
      <c r="AS293" s="138"/>
    </row>
    <row r="294" spans="1:45" ht="15.75" hidden="1" customHeight="1">
      <c r="A294" s="177">
        <v>12</v>
      </c>
      <c r="B294" s="177" t="s">
        <v>50</v>
      </c>
      <c r="C294" s="178" t="s">
        <v>803</v>
      </c>
      <c r="D294" s="178" t="s">
        <v>804</v>
      </c>
      <c r="E294" s="178">
        <v>1</v>
      </c>
      <c r="F294" s="179">
        <v>41228</v>
      </c>
      <c r="G294" s="180" t="s">
        <v>800</v>
      </c>
      <c r="H294" s="180" t="s">
        <v>801</v>
      </c>
      <c r="I294" s="181">
        <v>43743</v>
      </c>
      <c r="J294" s="180" t="s">
        <v>140</v>
      </c>
      <c r="K294" s="180" t="s">
        <v>805</v>
      </c>
      <c r="L294" s="180" t="s">
        <v>773</v>
      </c>
      <c r="M294" s="178" t="s">
        <v>36</v>
      </c>
      <c r="N294" s="179">
        <v>43862</v>
      </c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  <c r="AB294" s="138"/>
      <c r="AC294" s="138"/>
      <c r="AD294" s="138"/>
      <c r="AE294" s="138"/>
      <c r="AF294" s="138"/>
      <c r="AG294" s="138"/>
      <c r="AH294" s="138"/>
      <c r="AI294" s="138"/>
      <c r="AJ294" s="138"/>
      <c r="AK294" s="138"/>
      <c r="AL294" s="138"/>
      <c r="AM294" s="138"/>
      <c r="AN294" s="138"/>
      <c r="AO294" s="138"/>
      <c r="AP294" s="138"/>
      <c r="AQ294" s="138"/>
      <c r="AR294" s="138"/>
      <c r="AS294" s="138"/>
    </row>
    <row r="295" spans="1:45" ht="15.75" hidden="1" customHeight="1">
      <c r="A295" s="177">
        <v>13</v>
      </c>
      <c r="B295" s="177" t="s">
        <v>91</v>
      </c>
      <c r="C295" s="178" t="s">
        <v>803</v>
      </c>
      <c r="D295" s="178" t="s">
        <v>804</v>
      </c>
      <c r="E295" s="178">
        <v>1</v>
      </c>
      <c r="F295" s="179">
        <v>41228</v>
      </c>
      <c r="G295" s="180" t="s">
        <v>800</v>
      </c>
      <c r="H295" s="180" t="s">
        <v>801</v>
      </c>
      <c r="I295" s="181">
        <v>43743</v>
      </c>
      <c r="J295" s="180" t="s">
        <v>156</v>
      </c>
      <c r="K295" s="180" t="s">
        <v>132</v>
      </c>
      <c r="L295" s="180" t="s">
        <v>773</v>
      </c>
      <c r="M295" s="178" t="s">
        <v>36</v>
      </c>
      <c r="N295" s="179">
        <v>43862</v>
      </c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  <c r="AB295" s="138"/>
      <c r="AC295" s="138"/>
      <c r="AD295" s="138"/>
      <c r="AE295" s="138"/>
      <c r="AF295" s="138"/>
      <c r="AG295" s="138"/>
      <c r="AH295" s="138"/>
      <c r="AI295" s="138"/>
      <c r="AJ295" s="138"/>
      <c r="AK295" s="138"/>
      <c r="AL295" s="138"/>
      <c r="AM295" s="138"/>
      <c r="AN295" s="138"/>
      <c r="AO295" s="138"/>
      <c r="AP295" s="138"/>
      <c r="AQ295" s="138"/>
      <c r="AR295" s="138"/>
      <c r="AS295" s="138"/>
    </row>
    <row r="296" spans="1:45" ht="15.75" hidden="1" customHeight="1">
      <c r="A296" s="177">
        <v>14</v>
      </c>
      <c r="B296" s="177" t="s">
        <v>50</v>
      </c>
      <c r="C296" s="178" t="s">
        <v>806</v>
      </c>
      <c r="D296" s="178" t="s">
        <v>807</v>
      </c>
      <c r="E296" s="178">
        <v>2</v>
      </c>
      <c r="F296" s="179">
        <v>41068</v>
      </c>
      <c r="G296" s="180" t="s">
        <v>808</v>
      </c>
      <c r="H296" s="180" t="s">
        <v>809</v>
      </c>
      <c r="I296" s="181">
        <v>43711</v>
      </c>
      <c r="J296" s="180" t="s">
        <v>140</v>
      </c>
      <c r="K296" s="180" t="s">
        <v>753</v>
      </c>
      <c r="L296" s="180" t="s">
        <v>785</v>
      </c>
      <c r="M296" s="178" t="s">
        <v>36</v>
      </c>
      <c r="N296" s="179">
        <v>43862</v>
      </c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  <c r="AB296" s="138"/>
      <c r="AC296" s="138"/>
      <c r="AD296" s="138"/>
      <c r="AE296" s="138"/>
      <c r="AF296" s="138"/>
      <c r="AG296" s="138"/>
      <c r="AH296" s="138"/>
      <c r="AI296" s="138"/>
      <c r="AJ296" s="138"/>
      <c r="AK296" s="138"/>
      <c r="AL296" s="138"/>
      <c r="AM296" s="138"/>
      <c r="AN296" s="138"/>
      <c r="AO296" s="138"/>
      <c r="AP296" s="138"/>
      <c r="AQ296" s="138"/>
      <c r="AR296" s="138"/>
      <c r="AS296" s="138"/>
    </row>
    <row r="297" spans="1:45" ht="15.75" hidden="1" customHeight="1">
      <c r="A297" s="177">
        <v>15</v>
      </c>
      <c r="B297" s="177" t="s">
        <v>50</v>
      </c>
      <c r="C297" s="178" t="s">
        <v>806</v>
      </c>
      <c r="D297" s="178" t="s">
        <v>810</v>
      </c>
      <c r="E297" s="178" t="s">
        <v>178</v>
      </c>
      <c r="F297" s="179">
        <v>41948</v>
      </c>
      <c r="G297" s="180" t="s">
        <v>808</v>
      </c>
      <c r="H297" s="180" t="s">
        <v>809</v>
      </c>
      <c r="I297" s="181">
        <v>43711</v>
      </c>
      <c r="J297" s="180" t="s">
        <v>134</v>
      </c>
      <c r="K297" s="180" t="s">
        <v>811</v>
      </c>
      <c r="L297" s="180" t="s">
        <v>785</v>
      </c>
      <c r="M297" s="178" t="s">
        <v>36</v>
      </c>
      <c r="N297" s="179">
        <v>43862</v>
      </c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  <c r="AB297" s="138"/>
      <c r="AC297" s="138"/>
      <c r="AD297" s="138"/>
      <c r="AE297" s="138"/>
      <c r="AF297" s="138"/>
      <c r="AG297" s="138"/>
      <c r="AH297" s="138"/>
      <c r="AI297" s="138"/>
      <c r="AJ297" s="138"/>
      <c r="AK297" s="138"/>
      <c r="AL297" s="138"/>
      <c r="AM297" s="138"/>
      <c r="AN297" s="138"/>
      <c r="AO297" s="138"/>
      <c r="AP297" s="138"/>
      <c r="AQ297" s="138"/>
      <c r="AR297" s="138"/>
      <c r="AS297" s="138"/>
    </row>
    <row r="298" spans="1:45" ht="15.75" hidden="1" customHeight="1">
      <c r="A298" s="177">
        <v>16</v>
      </c>
      <c r="B298" s="177" t="s">
        <v>50</v>
      </c>
      <c r="C298" s="178" t="s">
        <v>704</v>
      </c>
      <c r="D298" s="178" t="s">
        <v>705</v>
      </c>
      <c r="E298" s="178">
        <v>11</v>
      </c>
      <c r="F298" s="179">
        <v>37747</v>
      </c>
      <c r="G298" s="180" t="s">
        <v>812</v>
      </c>
      <c r="H298" s="180" t="s">
        <v>707</v>
      </c>
      <c r="I298" s="181">
        <v>43727</v>
      </c>
      <c r="J298" s="180" t="s">
        <v>140</v>
      </c>
      <c r="K298" s="180" t="s">
        <v>135</v>
      </c>
      <c r="L298" s="180" t="s">
        <v>780</v>
      </c>
      <c r="M298" s="178" t="s">
        <v>36</v>
      </c>
      <c r="N298" s="179">
        <v>43862</v>
      </c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  <c r="AB298" s="138"/>
      <c r="AC298" s="138"/>
      <c r="AD298" s="138"/>
      <c r="AE298" s="138"/>
      <c r="AF298" s="138"/>
      <c r="AG298" s="138"/>
      <c r="AH298" s="138"/>
      <c r="AI298" s="138"/>
      <c r="AJ298" s="138"/>
      <c r="AK298" s="138"/>
      <c r="AL298" s="138"/>
      <c r="AM298" s="138"/>
      <c r="AN298" s="138"/>
      <c r="AO298" s="138"/>
      <c r="AP298" s="138"/>
      <c r="AQ298" s="138"/>
      <c r="AR298" s="138"/>
      <c r="AS298" s="138"/>
    </row>
    <row r="299" spans="1:45" ht="15.75" hidden="1" customHeight="1">
      <c r="A299" s="177">
        <v>17</v>
      </c>
      <c r="B299" s="177" t="s">
        <v>91</v>
      </c>
      <c r="C299" s="178" t="s">
        <v>519</v>
      </c>
      <c r="D299" s="178" t="s">
        <v>813</v>
      </c>
      <c r="E299" s="178">
        <v>9</v>
      </c>
      <c r="F299" s="179">
        <v>38480</v>
      </c>
      <c r="G299" s="180" t="s">
        <v>814</v>
      </c>
      <c r="H299" s="180" t="s">
        <v>815</v>
      </c>
      <c r="I299" s="181">
        <v>43591</v>
      </c>
      <c r="J299" s="180" t="s">
        <v>167</v>
      </c>
      <c r="K299" s="180" t="s">
        <v>113</v>
      </c>
      <c r="L299" s="180" t="s">
        <v>816</v>
      </c>
      <c r="M299" s="178" t="s">
        <v>36</v>
      </c>
      <c r="N299" s="179">
        <v>43862</v>
      </c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  <c r="AB299" s="138"/>
      <c r="AC299" s="138"/>
      <c r="AD299" s="138"/>
      <c r="AE299" s="138"/>
      <c r="AF299" s="138"/>
      <c r="AG299" s="138"/>
      <c r="AH299" s="138"/>
      <c r="AI299" s="138"/>
      <c r="AJ299" s="138"/>
      <c r="AK299" s="138"/>
      <c r="AL299" s="138"/>
      <c r="AM299" s="138"/>
      <c r="AN299" s="138"/>
      <c r="AO299" s="138"/>
      <c r="AP299" s="138"/>
      <c r="AQ299" s="138"/>
      <c r="AR299" s="138"/>
      <c r="AS299" s="138"/>
    </row>
    <row r="300" spans="1:45" ht="15.75" hidden="1" customHeight="1">
      <c r="A300" s="177">
        <v>1</v>
      </c>
      <c r="B300" s="177" t="s">
        <v>50</v>
      </c>
      <c r="C300" s="178" t="s">
        <v>817</v>
      </c>
      <c r="D300" s="178" t="s">
        <v>818</v>
      </c>
      <c r="E300" s="178">
        <v>1</v>
      </c>
      <c r="F300" s="179">
        <v>41072</v>
      </c>
      <c r="G300" s="180" t="s">
        <v>819</v>
      </c>
      <c r="H300" s="180" t="s">
        <v>820</v>
      </c>
      <c r="I300" s="181">
        <v>43775</v>
      </c>
      <c r="J300" s="180" t="s">
        <v>110</v>
      </c>
      <c r="K300" s="180" t="s">
        <v>821</v>
      </c>
      <c r="L300" s="180" t="s">
        <v>822</v>
      </c>
      <c r="M300" s="178" t="s">
        <v>36</v>
      </c>
      <c r="N300" s="179">
        <v>43891</v>
      </c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  <c r="AB300" s="138"/>
      <c r="AC300" s="138"/>
      <c r="AD300" s="138"/>
      <c r="AE300" s="138"/>
      <c r="AF300" s="138"/>
      <c r="AG300" s="138"/>
      <c r="AH300" s="138"/>
      <c r="AI300" s="138"/>
      <c r="AJ300" s="138"/>
      <c r="AK300" s="138"/>
      <c r="AL300" s="138"/>
      <c r="AM300" s="138"/>
      <c r="AN300" s="138"/>
      <c r="AO300" s="138"/>
      <c r="AP300" s="138"/>
      <c r="AQ300" s="138"/>
      <c r="AR300" s="138"/>
      <c r="AS300" s="138"/>
    </row>
    <row r="301" spans="1:45" ht="15.75" hidden="1" customHeight="1">
      <c r="A301" s="177">
        <v>2</v>
      </c>
      <c r="B301" s="177" t="s">
        <v>91</v>
      </c>
      <c r="C301" s="178" t="s">
        <v>817</v>
      </c>
      <c r="D301" s="178" t="s">
        <v>818</v>
      </c>
      <c r="E301" s="178">
        <v>1</v>
      </c>
      <c r="F301" s="179">
        <v>41072</v>
      </c>
      <c r="G301" s="180" t="s">
        <v>819</v>
      </c>
      <c r="H301" s="180" t="s">
        <v>820</v>
      </c>
      <c r="I301" s="181">
        <v>43775</v>
      </c>
      <c r="J301" s="180" t="s">
        <v>156</v>
      </c>
      <c r="K301" s="180" t="s">
        <v>823</v>
      </c>
      <c r="L301" s="180"/>
      <c r="M301" s="178" t="s">
        <v>36</v>
      </c>
      <c r="N301" s="179">
        <v>43891</v>
      </c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  <c r="AB301" s="138"/>
      <c r="AC301" s="138"/>
      <c r="AD301" s="138"/>
      <c r="AE301" s="138"/>
      <c r="AF301" s="138"/>
      <c r="AG301" s="138"/>
      <c r="AH301" s="138"/>
      <c r="AI301" s="138"/>
      <c r="AJ301" s="138"/>
      <c r="AK301" s="138"/>
      <c r="AL301" s="138"/>
      <c r="AM301" s="138"/>
      <c r="AN301" s="138"/>
      <c r="AO301" s="138"/>
      <c r="AP301" s="138"/>
      <c r="AQ301" s="138"/>
      <c r="AR301" s="138"/>
      <c r="AS301" s="138"/>
    </row>
    <row r="302" spans="1:45" ht="15.75" hidden="1" customHeight="1">
      <c r="A302" s="177">
        <v>3</v>
      </c>
      <c r="B302" s="177" t="s">
        <v>50</v>
      </c>
      <c r="C302" s="178" t="s">
        <v>463</v>
      </c>
      <c r="D302" s="178" t="s">
        <v>278</v>
      </c>
      <c r="E302" s="178">
        <v>5</v>
      </c>
      <c r="F302" s="179">
        <v>39719</v>
      </c>
      <c r="G302" s="180" t="s">
        <v>824</v>
      </c>
      <c r="H302" s="180" t="e">
        <v>#VALUE!</v>
      </c>
      <c r="I302" s="181">
        <v>43690</v>
      </c>
      <c r="J302" s="180" t="s">
        <v>204</v>
      </c>
      <c r="K302" s="180" t="s">
        <v>825</v>
      </c>
      <c r="L302" s="180"/>
      <c r="M302" s="178" t="s">
        <v>36</v>
      </c>
      <c r="N302" s="179">
        <v>43891</v>
      </c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  <c r="AB302" s="138"/>
      <c r="AC302" s="138"/>
      <c r="AD302" s="138"/>
      <c r="AE302" s="138"/>
      <c r="AF302" s="138"/>
      <c r="AG302" s="138"/>
      <c r="AH302" s="138"/>
      <c r="AI302" s="138"/>
      <c r="AJ302" s="138"/>
      <c r="AK302" s="138"/>
      <c r="AL302" s="138"/>
      <c r="AM302" s="138"/>
      <c r="AN302" s="138"/>
      <c r="AO302" s="138"/>
      <c r="AP302" s="138"/>
      <c r="AQ302" s="138"/>
      <c r="AR302" s="138"/>
      <c r="AS302" s="138"/>
    </row>
    <row r="303" spans="1:45" ht="15.75" hidden="1" customHeight="1">
      <c r="A303" s="177">
        <v>4</v>
      </c>
      <c r="B303" s="177" t="s">
        <v>91</v>
      </c>
      <c r="C303" s="178" t="s">
        <v>463</v>
      </c>
      <c r="D303" s="178" t="s">
        <v>278</v>
      </c>
      <c r="E303" s="178">
        <v>5</v>
      </c>
      <c r="F303" s="179">
        <v>39719</v>
      </c>
      <c r="G303" s="180" t="s">
        <v>824</v>
      </c>
      <c r="H303" s="180" t="e">
        <v>#VALUE!</v>
      </c>
      <c r="I303" s="181">
        <v>43690</v>
      </c>
      <c r="J303" s="180" t="s">
        <v>150</v>
      </c>
      <c r="K303" s="180" t="s">
        <v>256</v>
      </c>
      <c r="L303" s="180"/>
      <c r="M303" s="178" t="s">
        <v>36</v>
      </c>
      <c r="N303" s="179">
        <v>43891</v>
      </c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  <c r="AB303" s="138"/>
      <c r="AC303" s="138"/>
      <c r="AD303" s="138"/>
      <c r="AE303" s="138"/>
      <c r="AF303" s="138"/>
      <c r="AG303" s="138"/>
      <c r="AH303" s="138"/>
      <c r="AI303" s="138"/>
      <c r="AJ303" s="138"/>
      <c r="AK303" s="138"/>
      <c r="AL303" s="138"/>
      <c r="AM303" s="138"/>
      <c r="AN303" s="138"/>
      <c r="AO303" s="138"/>
      <c r="AP303" s="138"/>
      <c r="AQ303" s="138"/>
      <c r="AR303" s="138"/>
      <c r="AS303" s="138"/>
    </row>
    <row r="304" spans="1:45" ht="15.75" hidden="1" customHeight="1">
      <c r="A304" s="177">
        <v>5</v>
      </c>
      <c r="B304" s="177" t="s">
        <v>50</v>
      </c>
      <c r="C304" s="178" t="s">
        <v>826</v>
      </c>
      <c r="D304" s="178" t="s">
        <v>263</v>
      </c>
      <c r="E304" s="178">
        <v>4</v>
      </c>
      <c r="F304" s="179" t="s">
        <v>827</v>
      </c>
      <c r="G304" s="180" t="s">
        <v>828</v>
      </c>
      <c r="H304" s="180" t="s">
        <v>829</v>
      </c>
      <c r="I304" s="181" t="s">
        <v>830</v>
      </c>
      <c r="J304" s="180" t="s">
        <v>358</v>
      </c>
      <c r="K304" s="180" t="s">
        <v>831</v>
      </c>
      <c r="L304" s="180" t="s">
        <v>822</v>
      </c>
      <c r="M304" s="178" t="s">
        <v>36</v>
      </c>
      <c r="N304" s="179">
        <v>43891</v>
      </c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  <c r="AB304" s="138"/>
      <c r="AC304" s="138"/>
      <c r="AD304" s="138"/>
      <c r="AE304" s="138"/>
      <c r="AF304" s="138"/>
      <c r="AG304" s="138"/>
      <c r="AH304" s="138"/>
      <c r="AI304" s="138"/>
      <c r="AJ304" s="138"/>
      <c r="AK304" s="138"/>
      <c r="AL304" s="138"/>
      <c r="AM304" s="138"/>
      <c r="AN304" s="138"/>
      <c r="AO304" s="138"/>
      <c r="AP304" s="138"/>
      <c r="AQ304" s="138"/>
      <c r="AR304" s="138"/>
      <c r="AS304" s="138"/>
    </row>
    <row r="305" spans="1:45" ht="15.75" hidden="1" customHeight="1">
      <c r="A305" s="177">
        <v>6</v>
      </c>
      <c r="B305" s="177" t="s">
        <v>91</v>
      </c>
      <c r="C305" s="178" t="s">
        <v>826</v>
      </c>
      <c r="D305" s="178" t="s">
        <v>263</v>
      </c>
      <c r="E305" s="178">
        <v>4</v>
      </c>
      <c r="F305" s="179" t="s">
        <v>827</v>
      </c>
      <c r="G305" s="180" t="s">
        <v>828</v>
      </c>
      <c r="H305" s="180" t="s">
        <v>829</v>
      </c>
      <c r="I305" s="181" t="s">
        <v>830</v>
      </c>
      <c r="J305" s="180" t="s">
        <v>141</v>
      </c>
      <c r="K305" s="180" t="s">
        <v>646</v>
      </c>
      <c r="L305" s="180" t="s">
        <v>822</v>
      </c>
      <c r="M305" s="178" t="s">
        <v>36</v>
      </c>
      <c r="N305" s="179">
        <v>43891</v>
      </c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  <c r="AB305" s="138"/>
      <c r="AC305" s="138"/>
      <c r="AD305" s="138"/>
      <c r="AE305" s="138"/>
      <c r="AF305" s="138"/>
      <c r="AG305" s="138"/>
      <c r="AH305" s="138"/>
      <c r="AI305" s="138"/>
      <c r="AJ305" s="138"/>
      <c r="AK305" s="138"/>
      <c r="AL305" s="138"/>
      <c r="AM305" s="138"/>
      <c r="AN305" s="138"/>
      <c r="AO305" s="138"/>
      <c r="AP305" s="138"/>
      <c r="AQ305" s="138"/>
      <c r="AR305" s="138"/>
      <c r="AS305" s="138"/>
    </row>
    <row r="306" spans="1:45" ht="15.75" hidden="1" customHeight="1">
      <c r="A306" s="177">
        <v>7</v>
      </c>
      <c r="B306" s="177" t="s">
        <v>50</v>
      </c>
      <c r="C306" s="178" t="s">
        <v>832</v>
      </c>
      <c r="D306" s="178" t="s">
        <v>268</v>
      </c>
      <c r="E306" s="178">
        <v>3</v>
      </c>
      <c r="F306" s="179">
        <v>40337</v>
      </c>
      <c r="G306" s="180" t="s">
        <v>833</v>
      </c>
      <c r="H306" s="180" t="s">
        <v>834</v>
      </c>
      <c r="I306" s="181" t="s">
        <v>675</v>
      </c>
      <c r="J306" s="180" t="s">
        <v>204</v>
      </c>
      <c r="K306" s="180" t="s">
        <v>751</v>
      </c>
      <c r="L306" s="180" t="s">
        <v>66</v>
      </c>
      <c r="M306" s="178" t="s">
        <v>36</v>
      </c>
      <c r="N306" s="179">
        <v>43891</v>
      </c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  <c r="AB306" s="138"/>
      <c r="AC306" s="138"/>
      <c r="AD306" s="138"/>
      <c r="AE306" s="138"/>
      <c r="AF306" s="138"/>
      <c r="AG306" s="138"/>
      <c r="AH306" s="138"/>
      <c r="AI306" s="138"/>
      <c r="AJ306" s="138"/>
      <c r="AK306" s="138"/>
      <c r="AL306" s="138"/>
      <c r="AM306" s="138"/>
      <c r="AN306" s="138"/>
      <c r="AO306" s="138"/>
      <c r="AP306" s="138"/>
      <c r="AQ306" s="138"/>
      <c r="AR306" s="138"/>
      <c r="AS306" s="138"/>
    </row>
    <row r="307" spans="1:45" ht="15.75" hidden="1" customHeight="1">
      <c r="A307" s="177">
        <v>8</v>
      </c>
      <c r="B307" s="177" t="s">
        <v>91</v>
      </c>
      <c r="C307" s="178" t="s">
        <v>832</v>
      </c>
      <c r="D307" s="178" t="s">
        <v>268</v>
      </c>
      <c r="E307" s="178">
        <v>3</v>
      </c>
      <c r="F307" s="179">
        <v>40337</v>
      </c>
      <c r="G307" s="180" t="s">
        <v>833</v>
      </c>
      <c r="H307" s="180" t="s">
        <v>834</v>
      </c>
      <c r="I307" s="181" t="s">
        <v>675</v>
      </c>
      <c r="J307" s="180" t="s">
        <v>221</v>
      </c>
      <c r="K307" s="180" t="s">
        <v>646</v>
      </c>
      <c r="L307" s="180" t="s">
        <v>66</v>
      </c>
      <c r="M307" s="178" t="s">
        <v>36</v>
      </c>
      <c r="N307" s="179">
        <v>43891</v>
      </c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  <c r="AB307" s="138"/>
      <c r="AC307" s="138"/>
      <c r="AD307" s="138"/>
      <c r="AE307" s="138"/>
      <c r="AF307" s="138"/>
      <c r="AG307" s="138"/>
      <c r="AH307" s="138"/>
      <c r="AI307" s="138"/>
      <c r="AJ307" s="138"/>
      <c r="AK307" s="138"/>
      <c r="AL307" s="138"/>
      <c r="AM307" s="138"/>
      <c r="AN307" s="138"/>
      <c r="AO307" s="138"/>
      <c r="AP307" s="138"/>
      <c r="AQ307" s="138"/>
      <c r="AR307" s="138"/>
      <c r="AS307" s="138"/>
    </row>
    <row r="308" spans="1:45" ht="15.75" hidden="1" customHeight="1">
      <c r="A308" s="177">
        <v>9</v>
      </c>
      <c r="B308" s="177" t="s">
        <v>50</v>
      </c>
      <c r="C308" s="178" t="s">
        <v>715</v>
      </c>
      <c r="D308" s="178" t="s">
        <v>835</v>
      </c>
      <c r="E308" s="178">
        <v>4</v>
      </c>
      <c r="F308" s="179" t="s">
        <v>717</v>
      </c>
      <c r="G308" s="180" t="s">
        <v>718</v>
      </c>
      <c r="H308" s="180" t="s">
        <v>493</v>
      </c>
      <c r="I308" s="181" t="s">
        <v>836</v>
      </c>
      <c r="J308" s="180" t="s">
        <v>165</v>
      </c>
      <c r="K308" s="180" t="s">
        <v>837</v>
      </c>
      <c r="L308" s="180"/>
      <c r="M308" s="178" t="s">
        <v>36</v>
      </c>
      <c r="N308" s="179">
        <v>43891</v>
      </c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  <c r="AB308" s="138"/>
      <c r="AC308" s="138"/>
      <c r="AD308" s="138"/>
      <c r="AE308" s="138"/>
      <c r="AF308" s="138"/>
      <c r="AG308" s="138"/>
      <c r="AH308" s="138"/>
      <c r="AI308" s="138"/>
      <c r="AJ308" s="138"/>
      <c r="AK308" s="138"/>
      <c r="AL308" s="138"/>
      <c r="AM308" s="138"/>
      <c r="AN308" s="138"/>
      <c r="AO308" s="138"/>
      <c r="AP308" s="138"/>
      <c r="AQ308" s="138"/>
      <c r="AR308" s="138"/>
      <c r="AS308" s="138"/>
    </row>
    <row r="309" spans="1:45" ht="15.75" hidden="1" customHeight="1">
      <c r="A309" s="177">
        <v>10</v>
      </c>
      <c r="B309" s="177" t="s">
        <v>91</v>
      </c>
      <c r="C309" s="178" t="s">
        <v>715</v>
      </c>
      <c r="D309" s="178" t="s">
        <v>835</v>
      </c>
      <c r="E309" s="178">
        <v>4</v>
      </c>
      <c r="F309" s="179" t="s">
        <v>717</v>
      </c>
      <c r="G309" s="180" t="s">
        <v>718</v>
      </c>
      <c r="H309" s="180" t="s">
        <v>493</v>
      </c>
      <c r="I309" s="181" t="s">
        <v>836</v>
      </c>
      <c r="J309" s="180" t="s">
        <v>238</v>
      </c>
      <c r="K309" s="180" t="s">
        <v>811</v>
      </c>
      <c r="L309" s="180"/>
      <c r="M309" s="178" t="s">
        <v>36</v>
      </c>
      <c r="N309" s="179">
        <v>43891</v>
      </c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  <c r="AB309" s="138"/>
      <c r="AC309" s="138"/>
      <c r="AD309" s="138"/>
      <c r="AE309" s="138"/>
      <c r="AF309" s="138"/>
      <c r="AG309" s="138"/>
      <c r="AH309" s="138"/>
      <c r="AI309" s="138"/>
      <c r="AJ309" s="138"/>
      <c r="AK309" s="138"/>
      <c r="AL309" s="138"/>
      <c r="AM309" s="138"/>
      <c r="AN309" s="138"/>
      <c r="AO309" s="138"/>
      <c r="AP309" s="138"/>
      <c r="AQ309" s="138"/>
      <c r="AR309" s="138"/>
      <c r="AS309" s="138"/>
    </row>
    <row r="310" spans="1:45" ht="15.75" hidden="1" customHeight="1">
      <c r="A310" s="177">
        <v>11</v>
      </c>
      <c r="B310" s="177" t="s">
        <v>50</v>
      </c>
      <c r="C310" s="178" t="s">
        <v>832</v>
      </c>
      <c r="D310" s="178" t="s">
        <v>838</v>
      </c>
      <c r="E310" s="178">
        <v>2</v>
      </c>
      <c r="F310" s="179">
        <v>40689</v>
      </c>
      <c r="G310" s="180" t="s">
        <v>833</v>
      </c>
      <c r="H310" s="180" t="s">
        <v>839</v>
      </c>
      <c r="I310" s="181" t="s">
        <v>675</v>
      </c>
      <c r="J310" s="180" t="s">
        <v>255</v>
      </c>
      <c r="K310" s="180" t="s">
        <v>840</v>
      </c>
      <c r="L310" s="180" t="s">
        <v>66</v>
      </c>
      <c r="M310" s="178" t="s">
        <v>36</v>
      </c>
      <c r="N310" s="179">
        <v>43891</v>
      </c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  <c r="AB310" s="138"/>
      <c r="AC310" s="138"/>
      <c r="AD310" s="138"/>
      <c r="AE310" s="138"/>
      <c r="AF310" s="138"/>
      <c r="AG310" s="138"/>
      <c r="AH310" s="138"/>
      <c r="AI310" s="138"/>
      <c r="AJ310" s="138"/>
      <c r="AK310" s="138"/>
      <c r="AL310" s="138"/>
      <c r="AM310" s="138"/>
      <c r="AN310" s="138"/>
      <c r="AO310" s="138"/>
      <c r="AP310" s="138"/>
      <c r="AQ310" s="138"/>
      <c r="AR310" s="138"/>
      <c r="AS310" s="138"/>
    </row>
    <row r="311" spans="1:45" ht="15.75" hidden="1" customHeight="1">
      <c r="A311" s="177">
        <v>12</v>
      </c>
      <c r="B311" s="177" t="s">
        <v>91</v>
      </c>
      <c r="C311" s="178" t="s">
        <v>832</v>
      </c>
      <c r="D311" s="178" t="s">
        <v>838</v>
      </c>
      <c r="E311" s="178">
        <v>2</v>
      </c>
      <c r="F311" s="179">
        <v>40689</v>
      </c>
      <c r="G311" s="180" t="s">
        <v>833</v>
      </c>
      <c r="H311" s="180" t="s">
        <v>839</v>
      </c>
      <c r="I311" s="181" t="s">
        <v>675</v>
      </c>
      <c r="J311" s="180" t="s">
        <v>188</v>
      </c>
      <c r="K311" s="180" t="s">
        <v>212</v>
      </c>
      <c r="L311" s="180" t="s">
        <v>66</v>
      </c>
      <c r="M311" s="178" t="s">
        <v>36</v>
      </c>
      <c r="N311" s="179">
        <v>43891</v>
      </c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  <c r="AB311" s="138"/>
      <c r="AC311" s="138"/>
      <c r="AD311" s="138"/>
      <c r="AE311" s="138"/>
      <c r="AF311" s="138"/>
      <c r="AG311" s="138"/>
      <c r="AH311" s="138"/>
      <c r="AI311" s="138"/>
      <c r="AJ311" s="138"/>
      <c r="AK311" s="138"/>
      <c r="AL311" s="138"/>
      <c r="AM311" s="138"/>
      <c r="AN311" s="138"/>
      <c r="AO311" s="138"/>
      <c r="AP311" s="138"/>
      <c r="AQ311" s="138"/>
      <c r="AR311" s="138"/>
      <c r="AS311" s="138"/>
    </row>
    <row r="312" spans="1:45" ht="15.75" hidden="1" customHeight="1">
      <c r="A312" s="177">
        <v>13</v>
      </c>
      <c r="B312" s="177" t="s">
        <v>50</v>
      </c>
      <c r="C312" s="178" t="s">
        <v>768</v>
      </c>
      <c r="D312" s="178" t="s">
        <v>841</v>
      </c>
      <c r="E312" s="178">
        <v>5</v>
      </c>
      <c r="F312" s="179">
        <v>39917</v>
      </c>
      <c r="G312" s="180" t="s">
        <v>842</v>
      </c>
      <c r="H312" s="180" t="s">
        <v>843</v>
      </c>
      <c r="I312" s="181">
        <v>43832</v>
      </c>
      <c r="J312" s="180" t="s">
        <v>186</v>
      </c>
      <c r="K312" s="180" t="s">
        <v>719</v>
      </c>
      <c r="L312" s="180"/>
      <c r="M312" s="178" t="s">
        <v>36</v>
      </c>
      <c r="N312" s="179">
        <v>43891</v>
      </c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  <c r="AB312" s="138"/>
      <c r="AC312" s="138"/>
      <c r="AD312" s="138"/>
      <c r="AE312" s="138"/>
      <c r="AF312" s="138"/>
      <c r="AG312" s="138"/>
      <c r="AH312" s="138"/>
      <c r="AI312" s="138"/>
      <c r="AJ312" s="138"/>
      <c r="AK312" s="138"/>
      <c r="AL312" s="138"/>
      <c r="AM312" s="138"/>
      <c r="AN312" s="138"/>
      <c r="AO312" s="138"/>
      <c r="AP312" s="138"/>
      <c r="AQ312" s="138"/>
      <c r="AR312" s="138"/>
      <c r="AS312" s="138"/>
    </row>
    <row r="313" spans="1:45" ht="15.75" hidden="1" customHeight="1">
      <c r="A313" s="177">
        <v>14</v>
      </c>
      <c r="B313" s="177" t="s">
        <v>91</v>
      </c>
      <c r="C313" s="178" t="s">
        <v>768</v>
      </c>
      <c r="D313" s="178" t="s">
        <v>841</v>
      </c>
      <c r="E313" s="178">
        <v>5</v>
      </c>
      <c r="F313" s="179">
        <v>39917</v>
      </c>
      <c r="G313" s="180" t="s">
        <v>842</v>
      </c>
      <c r="H313" s="180" t="s">
        <v>843</v>
      </c>
      <c r="I313" s="181">
        <v>43832</v>
      </c>
      <c r="J313" s="180" t="s">
        <v>121</v>
      </c>
      <c r="K313" s="180" t="s">
        <v>751</v>
      </c>
      <c r="L313" s="180"/>
      <c r="M313" s="178" t="s">
        <v>36</v>
      </c>
      <c r="N313" s="179">
        <v>43891</v>
      </c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  <c r="AB313" s="138"/>
      <c r="AC313" s="138"/>
      <c r="AD313" s="138"/>
      <c r="AE313" s="138"/>
      <c r="AF313" s="138"/>
      <c r="AG313" s="138"/>
      <c r="AH313" s="138"/>
      <c r="AI313" s="138"/>
      <c r="AJ313" s="138"/>
      <c r="AK313" s="138"/>
      <c r="AL313" s="138"/>
      <c r="AM313" s="138"/>
      <c r="AN313" s="138"/>
      <c r="AO313" s="138"/>
      <c r="AP313" s="138"/>
      <c r="AQ313" s="138"/>
      <c r="AR313" s="138"/>
      <c r="AS313" s="138"/>
    </row>
    <row r="314" spans="1:45" ht="15.75" hidden="1" customHeight="1">
      <c r="A314" s="177">
        <v>15</v>
      </c>
      <c r="B314" s="177" t="s">
        <v>50</v>
      </c>
      <c r="C314" s="178" t="s">
        <v>375</v>
      </c>
      <c r="D314" s="178" t="s">
        <v>665</v>
      </c>
      <c r="E314" s="178">
        <v>5</v>
      </c>
      <c r="F314" s="179">
        <v>39962</v>
      </c>
      <c r="G314" s="180" t="s">
        <v>844</v>
      </c>
      <c r="H314" s="180" t="s">
        <v>668</v>
      </c>
      <c r="I314" s="181">
        <v>43727</v>
      </c>
      <c r="J314" s="180" t="s">
        <v>186</v>
      </c>
      <c r="K314" s="180" t="s">
        <v>753</v>
      </c>
      <c r="L314" s="180"/>
      <c r="M314" s="178" t="s">
        <v>36</v>
      </c>
      <c r="N314" s="179">
        <v>43891</v>
      </c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  <c r="AB314" s="138"/>
      <c r="AC314" s="138"/>
      <c r="AD314" s="138"/>
      <c r="AE314" s="138"/>
      <c r="AF314" s="138"/>
      <c r="AG314" s="138"/>
      <c r="AH314" s="138"/>
      <c r="AI314" s="138"/>
      <c r="AJ314" s="138"/>
      <c r="AK314" s="138"/>
      <c r="AL314" s="138"/>
      <c r="AM314" s="138"/>
      <c r="AN314" s="138"/>
      <c r="AO314" s="138"/>
      <c r="AP314" s="138"/>
      <c r="AQ314" s="138"/>
      <c r="AR314" s="138"/>
      <c r="AS314" s="138"/>
    </row>
    <row r="315" spans="1:45" ht="15.75" hidden="1" customHeight="1">
      <c r="A315" s="177">
        <v>16</v>
      </c>
      <c r="B315" s="177" t="s">
        <v>50</v>
      </c>
      <c r="C315" s="178" t="s">
        <v>768</v>
      </c>
      <c r="D315" s="178" t="s">
        <v>318</v>
      </c>
      <c r="E315" s="178" t="s">
        <v>145</v>
      </c>
      <c r="F315" s="179" t="s">
        <v>845</v>
      </c>
      <c r="G315" s="180" t="s">
        <v>846</v>
      </c>
      <c r="H315" s="180" t="s">
        <v>847</v>
      </c>
      <c r="I315" s="181" t="s">
        <v>712</v>
      </c>
      <c r="J315" s="180" t="s">
        <v>358</v>
      </c>
      <c r="K315" s="180" t="s">
        <v>793</v>
      </c>
      <c r="L315" s="180"/>
      <c r="M315" s="178" t="s">
        <v>36</v>
      </c>
      <c r="N315" s="179">
        <v>43891</v>
      </c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  <c r="AB315" s="138"/>
      <c r="AC315" s="138"/>
      <c r="AD315" s="138"/>
      <c r="AE315" s="138"/>
      <c r="AF315" s="138"/>
      <c r="AG315" s="138"/>
      <c r="AH315" s="138"/>
      <c r="AI315" s="138"/>
      <c r="AJ315" s="138"/>
      <c r="AK315" s="138"/>
      <c r="AL315" s="138"/>
      <c r="AM315" s="138"/>
      <c r="AN315" s="138"/>
      <c r="AO315" s="138"/>
      <c r="AP315" s="138"/>
      <c r="AQ315" s="138"/>
      <c r="AR315" s="138"/>
      <c r="AS315" s="138"/>
    </row>
    <row r="316" spans="1:45" ht="15.75" hidden="1" customHeight="1">
      <c r="A316" s="177">
        <v>17</v>
      </c>
      <c r="B316" s="177" t="s">
        <v>91</v>
      </c>
      <c r="C316" s="178" t="s">
        <v>768</v>
      </c>
      <c r="D316" s="178" t="s">
        <v>318</v>
      </c>
      <c r="E316" s="178" t="s">
        <v>145</v>
      </c>
      <c r="F316" s="179" t="s">
        <v>845</v>
      </c>
      <c r="G316" s="180" t="s">
        <v>846</v>
      </c>
      <c r="H316" s="180" t="s">
        <v>847</v>
      </c>
      <c r="I316" s="181" t="s">
        <v>712</v>
      </c>
      <c r="J316" s="180" t="s">
        <v>156</v>
      </c>
      <c r="K316" s="180" t="s">
        <v>848</v>
      </c>
      <c r="L316" s="180"/>
      <c r="M316" s="178" t="s">
        <v>36</v>
      </c>
      <c r="N316" s="179">
        <v>43891</v>
      </c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  <c r="AB316" s="138"/>
      <c r="AC316" s="138"/>
      <c r="AD316" s="138"/>
      <c r="AE316" s="138"/>
      <c r="AF316" s="138"/>
      <c r="AG316" s="138"/>
      <c r="AH316" s="138"/>
      <c r="AI316" s="138"/>
      <c r="AJ316" s="138"/>
      <c r="AK316" s="138"/>
      <c r="AL316" s="138"/>
      <c r="AM316" s="138"/>
      <c r="AN316" s="138"/>
      <c r="AO316" s="138"/>
      <c r="AP316" s="138"/>
      <c r="AQ316" s="138"/>
      <c r="AR316" s="138"/>
      <c r="AS316" s="138"/>
    </row>
    <row r="317" spans="1:45" ht="15.75" hidden="1" customHeight="1">
      <c r="A317" s="177">
        <v>18</v>
      </c>
      <c r="B317" s="177" t="s">
        <v>50</v>
      </c>
      <c r="C317" s="178" t="s">
        <v>607</v>
      </c>
      <c r="D317" s="178" t="s">
        <v>849</v>
      </c>
      <c r="E317" s="178">
        <v>3</v>
      </c>
      <c r="F317" s="179" t="s">
        <v>850</v>
      </c>
      <c r="G317" s="180" t="s">
        <v>851</v>
      </c>
      <c r="H317" s="180" t="s">
        <v>852</v>
      </c>
      <c r="I317" s="181" t="s">
        <v>675</v>
      </c>
      <c r="J317" s="180" t="s">
        <v>124</v>
      </c>
      <c r="K317" s="180" t="s">
        <v>126</v>
      </c>
      <c r="L317" s="180" t="s">
        <v>853</v>
      </c>
      <c r="M317" s="178" t="s">
        <v>36</v>
      </c>
      <c r="N317" s="179">
        <v>43891</v>
      </c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  <c r="AB317" s="138"/>
      <c r="AC317" s="138"/>
      <c r="AD317" s="138"/>
      <c r="AE317" s="138"/>
      <c r="AF317" s="138"/>
      <c r="AG317" s="138"/>
      <c r="AH317" s="138"/>
      <c r="AI317" s="138"/>
      <c r="AJ317" s="138"/>
      <c r="AK317" s="138"/>
      <c r="AL317" s="138"/>
      <c r="AM317" s="138"/>
      <c r="AN317" s="138"/>
      <c r="AO317" s="138"/>
      <c r="AP317" s="138"/>
      <c r="AQ317" s="138"/>
      <c r="AR317" s="138"/>
      <c r="AS317" s="138"/>
    </row>
    <row r="318" spans="1:45" ht="15.75" hidden="1" customHeight="1">
      <c r="A318" s="177">
        <v>19</v>
      </c>
      <c r="B318" s="177" t="s">
        <v>91</v>
      </c>
      <c r="C318" s="178" t="s">
        <v>607</v>
      </c>
      <c r="D318" s="178" t="s">
        <v>849</v>
      </c>
      <c r="E318" s="178">
        <v>4</v>
      </c>
      <c r="F318" s="179">
        <v>40227</v>
      </c>
      <c r="G318" s="180" t="s">
        <v>851</v>
      </c>
      <c r="H318" s="180" t="s">
        <v>852</v>
      </c>
      <c r="I318" s="181" t="s">
        <v>712</v>
      </c>
      <c r="J318" s="180" t="s">
        <v>141</v>
      </c>
      <c r="K318" s="180" t="s">
        <v>854</v>
      </c>
      <c r="L318" s="180" t="s">
        <v>853</v>
      </c>
      <c r="M318" s="178" t="s">
        <v>36</v>
      </c>
      <c r="N318" s="179">
        <v>43891</v>
      </c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  <c r="AB318" s="138"/>
      <c r="AC318" s="138"/>
      <c r="AD318" s="138"/>
      <c r="AE318" s="138"/>
      <c r="AF318" s="138"/>
      <c r="AG318" s="138"/>
      <c r="AH318" s="138"/>
      <c r="AI318" s="138"/>
      <c r="AJ318" s="138"/>
      <c r="AK318" s="138"/>
      <c r="AL318" s="138"/>
      <c r="AM318" s="138"/>
      <c r="AN318" s="138"/>
      <c r="AO318" s="138"/>
      <c r="AP318" s="138"/>
      <c r="AQ318" s="138"/>
      <c r="AR318" s="138"/>
      <c r="AS318" s="138"/>
    </row>
    <row r="319" spans="1:45" ht="15.75" hidden="1" customHeight="1">
      <c r="A319" s="177">
        <v>20</v>
      </c>
      <c r="B319" s="177" t="s">
        <v>50</v>
      </c>
      <c r="C319" s="178" t="s">
        <v>768</v>
      </c>
      <c r="D319" s="178" t="s">
        <v>855</v>
      </c>
      <c r="E319" s="178">
        <v>3</v>
      </c>
      <c r="F319" s="179" t="s">
        <v>856</v>
      </c>
      <c r="G319" s="180" t="s">
        <v>846</v>
      </c>
      <c r="H319" s="180" t="s">
        <v>847</v>
      </c>
      <c r="I319" s="181" t="s">
        <v>712</v>
      </c>
      <c r="J319" s="180" t="s">
        <v>148</v>
      </c>
      <c r="K319" s="180" t="s">
        <v>149</v>
      </c>
      <c r="L319" s="180"/>
      <c r="M319" s="178" t="s">
        <v>36</v>
      </c>
      <c r="N319" s="179">
        <v>43891</v>
      </c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  <c r="AB319" s="138"/>
      <c r="AC319" s="138"/>
      <c r="AD319" s="138"/>
      <c r="AE319" s="138"/>
      <c r="AF319" s="138"/>
      <c r="AG319" s="138"/>
      <c r="AH319" s="138"/>
      <c r="AI319" s="138"/>
      <c r="AJ319" s="138"/>
      <c r="AK319" s="138"/>
      <c r="AL319" s="138"/>
      <c r="AM319" s="138"/>
      <c r="AN319" s="138"/>
      <c r="AO319" s="138"/>
      <c r="AP319" s="138"/>
      <c r="AQ319" s="138"/>
      <c r="AR319" s="138"/>
      <c r="AS319" s="138"/>
    </row>
    <row r="320" spans="1:45" ht="15.75" hidden="1" customHeight="1">
      <c r="A320" s="177">
        <v>21</v>
      </c>
      <c r="B320" s="177" t="s">
        <v>91</v>
      </c>
      <c r="C320" s="178" t="s">
        <v>768</v>
      </c>
      <c r="D320" s="178" t="s">
        <v>855</v>
      </c>
      <c r="E320" s="178">
        <v>3</v>
      </c>
      <c r="F320" s="179" t="s">
        <v>856</v>
      </c>
      <c r="G320" s="180" t="s">
        <v>846</v>
      </c>
      <c r="H320" s="180" t="s">
        <v>847</v>
      </c>
      <c r="I320" s="181" t="s">
        <v>712</v>
      </c>
      <c r="J320" s="180" t="s">
        <v>244</v>
      </c>
      <c r="K320" s="180" t="s">
        <v>823</v>
      </c>
      <c r="L320" s="180"/>
      <c r="M320" s="178" t="s">
        <v>36</v>
      </c>
      <c r="N320" s="179">
        <v>43891</v>
      </c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  <c r="AB320" s="138"/>
      <c r="AC320" s="138"/>
      <c r="AD320" s="138"/>
      <c r="AE320" s="138"/>
      <c r="AF320" s="138"/>
      <c r="AG320" s="138"/>
      <c r="AH320" s="138"/>
      <c r="AI320" s="138"/>
      <c r="AJ320" s="138"/>
      <c r="AK320" s="138"/>
      <c r="AL320" s="138"/>
      <c r="AM320" s="138"/>
      <c r="AN320" s="138"/>
      <c r="AO320" s="138"/>
      <c r="AP320" s="138"/>
      <c r="AQ320" s="138"/>
      <c r="AR320" s="138"/>
      <c r="AS320" s="138"/>
    </row>
    <row r="321" spans="1:45" ht="15.75" hidden="1" customHeight="1">
      <c r="A321" s="177">
        <v>22</v>
      </c>
      <c r="B321" s="177" t="s">
        <v>50</v>
      </c>
      <c r="C321" s="178" t="s">
        <v>494</v>
      </c>
      <c r="D321" s="178" t="s">
        <v>857</v>
      </c>
      <c r="E321" s="178">
        <v>1</v>
      </c>
      <c r="F321" s="179">
        <v>41009</v>
      </c>
      <c r="G321" s="180" t="s">
        <v>858</v>
      </c>
      <c r="H321" s="180" t="s">
        <v>859</v>
      </c>
      <c r="I321" s="181">
        <v>43525</v>
      </c>
      <c r="J321" s="180" t="s">
        <v>156</v>
      </c>
      <c r="K321" s="180" t="s">
        <v>719</v>
      </c>
      <c r="L321" s="180"/>
      <c r="M321" s="178" t="s">
        <v>36</v>
      </c>
      <c r="N321" s="179">
        <v>43891</v>
      </c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  <c r="AB321" s="138"/>
      <c r="AC321" s="138"/>
      <c r="AD321" s="138"/>
      <c r="AE321" s="138"/>
      <c r="AF321" s="138"/>
      <c r="AG321" s="138"/>
      <c r="AH321" s="138"/>
      <c r="AI321" s="138"/>
      <c r="AJ321" s="138"/>
      <c r="AK321" s="138"/>
      <c r="AL321" s="138"/>
      <c r="AM321" s="138"/>
      <c r="AN321" s="138"/>
      <c r="AO321" s="138"/>
      <c r="AP321" s="138"/>
      <c r="AQ321" s="138"/>
      <c r="AR321" s="138"/>
      <c r="AS321" s="138"/>
    </row>
    <row r="322" spans="1:45" ht="15.75" hidden="1" customHeight="1">
      <c r="A322" s="177">
        <v>23</v>
      </c>
      <c r="B322" s="177" t="s">
        <v>91</v>
      </c>
      <c r="C322" s="178" t="s">
        <v>860</v>
      </c>
      <c r="D322" s="178" t="s">
        <v>861</v>
      </c>
      <c r="E322" s="178">
        <v>9</v>
      </c>
      <c r="F322" s="179" t="s">
        <v>862</v>
      </c>
      <c r="G322" s="180" t="s">
        <v>863</v>
      </c>
      <c r="H322" s="180" t="s">
        <v>864</v>
      </c>
      <c r="I322" s="181" t="s">
        <v>865</v>
      </c>
      <c r="J322" s="180" t="s">
        <v>121</v>
      </c>
      <c r="K322" s="180" t="s">
        <v>751</v>
      </c>
      <c r="L322" s="180"/>
      <c r="M322" s="178" t="s">
        <v>36</v>
      </c>
      <c r="N322" s="179">
        <v>43891</v>
      </c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  <c r="AB322" s="138"/>
      <c r="AC322" s="138"/>
      <c r="AD322" s="138"/>
      <c r="AE322" s="138"/>
      <c r="AF322" s="138"/>
      <c r="AG322" s="138"/>
      <c r="AH322" s="138"/>
      <c r="AI322" s="138"/>
      <c r="AJ322" s="138"/>
      <c r="AK322" s="138"/>
      <c r="AL322" s="138"/>
      <c r="AM322" s="138"/>
      <c r="AN322" s="138"/>
      <c r="AO322" s="138"/>
      <c r="AP322" s="138"/>
      <c r="AQ322" s="138"/>
      <c r="AR322" s="138"/>
      <c r="AS322" s="138"/>
    </row>
    <row r="323" spans="1:45" ht="15.75" hidden="1" customHeight="1">
      <c r="A323" s="177">
        <v>24</v>
      </c>
      <c r="B323" s="177" t="s">
        <v>91</v>
      </c>
      <c r="C323" s="178" t="s">
        <v>627</v>
      </c>
      <c r="D323" s="178" t="s">
        <v>866</v>
      </c>
      <c r="E323" s="178">
        <v>11</v>
      </c>
      <c r="F323" s="179">
        <v>37781</v>
      </c>
      <c r="G323" s="180" t="s">
        <v>867</v>
      </c>
      <c r="H323" s="180" t="s">
        <v>868</v>
      </c>
      <c r="I323" s="181">
        <v>43709</v>
      </c>
      <c r="J323" s="180" t="s">
        <v>167</v>
      </c>
      <c r="K323" s="180" t="s">
        <v>823</v>
      </c>
      <c r="L323" s="180"/>
      <c r="M323" s="178" t="s">
        <v>36</v>
      </c>
      <c r="N323" s="179">
        <v>43891</v>
      </c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  <c r="AB323" s="138"/>
      <c r="AC323" s="138"/>
      <c r="AD323" s="138"/>
      <c r="AE323" s="138"/>
      <c r="AF323" s="138"/>
      <c r="AG323" s="138"/>
      <c r="AH323" s="138"/>
      <c r="AI323" s="138"/>
      <c r="AJ323" s="138"/>
      <c r="AK323" s="138"/>
      <c r="AL323" s="138"/>
      <c r="AM323" s="138"/>
      <c r="AN323" s="138"/>
      <c r="AO323" s="138"/>
      <c r="AP323" s="138"/>
      <c r="AQ323" s="138"/>
      <c r="AR323" s="138"/>
      <c r="AS323" s="138"/>
    </row>
    <row r="324" spans="1:45" ht="15.75" hidden="1" customHeight="1">
      <c r="A324" s="177">
        <v>25</v>
      </c>
      <c r="B324" s="177" t="s">
        <v>50</v>
      </c>
      <c r="C324" s="178" t="s">
        <v>869</v>
      </c>
      <c r="D324" s="178" t="s">
        <v>870</v>
      </c>
      <c r="E324" s="178">
        <v>5</v>
      </c>
      <c r="F324" s="179" t="s">
        <v>66</v>
      </c>
      <c r="G324" s="180" t="s">
        <v>871</v>
      </c>
      <c r="H324" s="180" t="s">
        <v>872</v>
      </c>
      <c r="I324" s="181">
        <v>43348</v>
      </c>
      <c r="J324" s="180" t="s">
        <v>255</v>
      </c>
      <c r="K324" s="180" t="s">
        <v>873</v>
      </c>
      <c r="L324" s="180" t="s">
        <v>66</v>
      </c>
      <c r="M324" s="178" t="s">
        <v>36</v>
      </c>
      <c r="N324" s="179">
        <v>43891</v>
      </c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  <c r="AB324" s="138"/>
      <c r="AC324" s="138"/>
      <c r="AD324" s="138"/>
      <c r="AE324" s="138"/>
      <c r="AF324" s="138"/>
      <c r="AG324" s="138"/>
      <c r="AH324" s="138"/>
      <c r="AI324" s="138"/>
      <c r="AJ324" s="138"/>
      <c r="AK324" s="138"/>
      <c r="AL324" s="138"/>
      <c r="AM324" s="138"/>
      <c r="AN324" s="138"/>
      <c r="AO324" s="138"/>
      <c r="AP324" s="138"/>
      <c r="AQ324" s="138"/>
      <c r="AR324" s="138"/>
      <c r="AS324" s="138"/>
    </row>
    <row r="325" spans="1:45" ht="15.75" hidden="1" customHeight="1">
      <c r="A325" s="177">
        <v>26</v>
      </c>
      <c r="B325" s="177" t="s">
        <v>50</v>
      </c>
      <c r="C325" s="178" t="s">
        <v>826</v>
      </c>
      <c r="D325" s="178" t="s">
        <v>874</v>
      </c>
      <c r="E325" s="178" t="s">
        <v>145</v>
      </c>
      <c r="F325" s="179" t="s">
        <v>875</v>
      </c>
      <c r="G325" s="180" t="s">
        <v>828</v>
      </c>
      <c r="H325" s="180" t="s">
        <v>829</v>
      </c>
      <c r="I325" s="181" t="s">
        <v>830</v>
      </c>
      <c r="J325" s="180" t="s">
        <v>261</v>
      </c>
      <c r="K325" s="180" t="s">
        <v>779</v>
      </c>
      <c r="L325" s="180" t="s">
        <v>822</v>
      </c>
      <c r="M325" s="178" t="s">
        <v>36</v>
      </c>
      <c r="N325" s="179">
        <v>43891</v>
      </c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  <c r="AB325" s="138"/>
      <c r="AC325" s="138"/>
      <c r="AD325" s="138"/>
      <c r="AE325" s="138"/>
      <c r="AF325" s="138"/>
      <c r="AG325" s="138"/>
      <c r="AH325" s="138"/>
      <c r="AI325" s="138"/>
      <c r="AJ325" s="138"/>
      <c r="AK325" s="138"/>
      <c r="AL325" s="138"/>
      <c r="AM325" s="138"/>
      <c r="AN325" s="138"/>
      <c r="AO325" s="138"/>
      <c r="AP325" s="138"/>
      <c r="AQ325" s="138"/>
      <c r="AR325" s="138"/>
      <c r="AS325" s="138"/>
    </row>
    <row r="326" spans="1:45" ht="15.75" hidden="1" customHeight="1">
      <c r="A326" s="177">
        <v>27</v>
      </c>
      <c r="B326" s="177" t="s">
        <v>91</v>
      </c>
      <c r="C326" s="178" t="s">
        <v>826</v>
      </c>
      <c r="D326" s="178" t="s">
        <v>874</v>
      </c>
      <c r="E326" s="178" t="s">
        <v>145</v>
      </c>
      <c r="F326" s="179" t="s">
        <v>875</v>
      </c>
      <c r="G326" s="180" t="s">
        <v>828</v>
      </c>
      <c r="H326" s="180" t="s">
        <v>829</v>
      </c>
      <c r="I326" s="181" t="s">
        <v>830</v>
      </c>
      <c r="J326" s="180" t="s">
        <v>112</v>
      </c>
      <c r="K326" s="180" t="s">
        <v>719</v>
      </c>
      <c r="L326" s="180"/>
      <c r="M326" s="178" t="s">
        <v>36</v>
      </c>
      <c r="N326" s="179">
        <v>43891</v>
      </c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  <c r="AB326" s="138"/>
      <c r="AC326" s="138"/>
      <c r="AD326" s="138"/>
      <c r="AE326" s="138"/>
      <c r="AF326" s="138"/>
      <c r="AG326" s="138"/>
      <c r="AH326" s="138"/>
      <c r="AI326" s="138"/>
      <c r="AJ326" s="138"/>
      <c r="AK326" s="138"/>
      <c r="AL326" s="138"/>
      <c r="AM326" s="138"/>
      <c r="AN326" s="138"/>
      <c r="AO326" s="138"/>
      <c r="AP326" s="138"/>
      <c r="AQ326" s="138"/>
      <c r="AR326" s="138"/>
      <c r="AS326" s="138"/>
    </row>
    <row r="327" spans="1:45" ht="15.75" hidden="1" customHeight="1">
      <c r="A327" s="177">
        <v>28</v>
      </c>
      <c r="B327" s="177" t="s">
        <v>50</v>
      </c>
      <c r="C327" s="178" t="s">
        <v>463</v>
      </c>
      <c r="D327" s="178" t="s">
        <v>479</v>
      </c>
      <c r="E327" s="178" t="s">
        <v>190</v>
      </c>
      <c r="F327" s="179" t="s">
        <v>876</v>
      </c>
      <c r="G327" s="180" t="s">
        <v>877</v>
      </c>
      <c r="H327" s="180" t="s">
        <v>878</v>
      </c>
      <c r="I327" s="181" t="s">
        <v>879</v>
      </c>
      <c r="J327" s="180" t="s">
        <v>165</v>
      </c>
      <c r="K327" s="180" t="s">
        <v>646</v>
      </c>
      <c r="L327" s="180"/>
      <c r="M327" s="178" t="s">
        <v>36</v>
      </c>
      <c r="N327" s="179">
        <v>43891</v>
      </c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  <c r="AB327" s="138"/>
      <c r="AC327" s="138"/>
      <c r="AD327" s="138"/>
      <c r="AE327" s="138"/>
      <c r="AF327" s="138"/>
      <c r="AG327" s="138"/>
      <c r="AH327" s="138"/>
      <c r="AI327" s="138"/>
      <c r="AJ327" s="138"/>
      <c r="AK327" s="138"/>
      <c r="AL327" s="138"/>
      <c r="AM327" s="138"/>
      <c r="AN327" s="138"/>
      <c r="AO327" s="138"/>
      <c r="AP327" s="138"/>
      <c r="AQ327" s="138"/>
      <c r="AR327" s="138"/>
      <c r="AS327" s="138"/>
    </row>
    <row r="328" spans="1:45" ht="15.75" hidden="1" customHeight="1">
      <c r="A328" s="177">
        <v>29</v>
      </c>
      <c r="B328" s="177" t="s">
        <v>91</v>
      </c>
      <c r="C328" s="178" t="s">
        <v>463</v>
      </c>
      <c r="D328" s="178" t="s">
        <v>479</v>
      </c>
      <c r="E328" s="178" t="s">
        <v>190</v>
      </c>
      <c r="F328" s="179" t="s">
        <v>876</v>
      </c>
      <c r="G328" s="180" t="s">
        <v>877</v>
      </c>
      <c r="H328" s="180" t="s">
        <v>878</v>
      </c>
      <c r="I328" s="181" t="s">
        <v>879</v>
      </c>
      <c r="J328" s="180" t="s">
        <v>238</v>
      </c>
      <c r="K328" s="180" t="s">
        <v>880</v>
      </c>
      <c r="L328" s="180"/>
      <c r="M328" s="178" t="s">
        <v>36</v>
      </c>
      <c r="N328" s="179">
        <v>43891</v>
      </c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  <c r="AB328" s="138"/>
      <c r="AC328" s="138"/>
      <c r="AD328" s="138"/>
      <c r="AE328" s="138"/>
      <c r="AF328" s="138"/>
      <c r="AG328" s="138"/>
      <c r="AH328" s="138"/>
      <c r="AI328" s="138"/>
      <c r="AJ328" s="138"/>
      <c r="AK328" s="138"/>
      <c r="AL328" s="138"/>
      <c r="AM328" s="138"/>
      <c r="AN328" s="138"/>
      <c r="AO328" s="138"/>
      <c r="AP328" s="138"/>
      <c r="AQ328" s="138"/>
      <c r="AR328" s="138"/>
      <c r="AS328" s="138"/>
    </row>
    <row r="329" spans="1:45" ht="15.75" hidden="1" customHeight="1">
      <c r="A329" s="177">
        <v>30</v>
      </c>
      <c r="B329" s="177" t="s">
        <v>50</v>
      </c>
      <c r="C329" s="178" t="s">
        <v>286</v>
      </c>
      <c r="D329" s="178" t="s">
        <v>881</v>
      </c>
      <c r="E329" s="178">
        <v>3</v>
      </c>
      <c r="F329" s="179" t="s">
        <v>882</v>
      </c>
      <c r="G329" s="180" t="s">
        <v>883</v>
      </c>
      <c r="H329" s="180" t="s">
        <v>884</v>
      </c>
      <c r="I329" s="181" t="s">
        <v>885</v>
      </c>
      <c r="J329" s="180" t="s">
        <v>124</v>
      </c>
      <c r="K329" s="180" t="s">
        <v>840</v>
      </c>
      <c r="L329" s="180"/>
      <c r="M329" s="178" t="s">
        <v>36</v>
      </c>
      <c r="N329" s="179">
        <v>43891</v>
      </c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  <c r="AB329" s="138"/>
      <c r="AC329" s="138"/>
      <c r="AD329" s="138"/>
      <c r="AE329" s="138"/>
      <c r="AF329" s="138"/>
      <c r="AG329" s="138"/>
      <c r="AH329" s="138"/>
      <c r="AI329" s="138"/>
      <c r="AJ329" s="138"/>
      <c r="AK329" s="138"/>
      <c r="AL329" s="138"/>
      <c r="AM329" s="138"/>
      <c r="AN329" s="138"/>
      <c r="AO329" s="138"/>
      <c r="AP329" s="138"/>
      <c r="AQ329" s="138"/>
      <c r="AR329" s="138"/>
      <c r="AS329" s="138"/>
    </row>
    <row r="330" spans="1:45" ht="15.75" hidden="1" customHeight="1">
      <c r="A330" s="177">
        <v>31</v>
      </c>
      <c r="B330" s="177" t="s">
        <v>91</v>
      </c>
      <c r="C330" s="178" t="s">
        <v>286</v>
      </c>
      <c r="D330" s="178" t="s">
        <v>881</v>
      </c>
      <c r="E330" s="178">
        <v>3</v>
      </c>
      <c r="F330" s="179" t="s">
        <v>882</v>
      </c>
      <c r="G330" s="180" t="s">
        <v>883</v>
      </c>
      <c r="H330" s="180" t="s">
        <v>884</v>
      </c>
      <c r="I330" s="181" t="s">
        <v>885</v>
      </c>
      <c r="J330" s="180" t="s">
        <v>141</v>
      </c>
      <c r="K330" s="180" t="s">
        <v>840</v>
      </c>
      <c r="L330" s="180"/>
      <c r="M330" s="178" t="s">
        <v>36</v>
      </c>
      <c r="N330" s="179">
        <v>43891</v>
      </c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  <c r="AB330" s="138"/>
      <c r="AC330" s="138"/>
      <c r="AD330" s="138"/>
      <c r="AE330" s="138"/>
      <c r="AF330" s="138"/>
      <c r="AG330" s="138"/>
      <c r="AH330" s="138"/>
      <c r="AI330" s="138"/>
      <c r="AJ330" s="138"/>
      <c r="AK330" s="138"/>
      <c r="AL330" s="138"/>
      <c r="AM330" s="138"/>
      <c r="AN330" s="138"/>
      <c r="AO330" s="138"/>
      <c r="AP330" s="138"/>
      <c r="AQ330" s="138"/>
      <c r="AR330" s="138"/>
      <c r="AS330" s="138"/>
    </row>
    <row r="331" spans="1:45" ht="15.75" hidden="1" customHeight="1">
      <c r="A331" s="177">
        <v>1</v>
      </c>
      <c r="B331" s="177" t="s">
        <v>50</v>
      </c>
      <c r="C331" s="178" t="s">
        <v>375</v>
      </c>
      <c r="D331" s="178" t="s">
        <v>709</v>
      </c>
      <c r="E331" s="178">
        <v>3</v>
      </c>
      <c r="F331" s="179">
        <v>40760</v>
      </c>
      <c r="G331" s="180" t="s">
        <v>886</v>
      </c>
      <c r="H331" s="180" t="s">
        <v>711</v>
      </c>
      <c r="I331" s="181" t="s">
        <v>712</v>
      </c>
      <c r="J331" s="180" t="s">
        <v>134</v>
      </c>
      <c r="K331" s="180" t="s">
        <v>663</v>
      </c>
      <c r="L331" s="180" t="s">
        <v>887</v>
      </c>
      <c r="M331" s="178" t="s">
        <v>36</v>
      </c>
      <c r="N331" s="179">
        <v>43922</v>
      </c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  <c r="AB331" s="138"/>
      <c r="AC331" s="138"/>
      <c r="AD331" s="138"/>
      <c r="AE331" s="138"/>
      <c r="AF331" s="138"/>
      <c r="AG331" s="138"/>
      <c r="AH331" s="138"/>
      <c r="AI331" s="138"/>
      <c r="AJ331" s="138"/>
      <c r="AK331" s="138"/>
      <c r="AL331" s="138"/>
      <c r="AM331" s="138"/>
      <c r="AN331" s="138"/>
      <c r="AO331" s="138"/>
      <c r="AP331" s="138"/>
      <c r="AQ331" s="138"/>
      <c r="AR331" s="138"/>
      <c r="AS331" s="138"/>
    </row>
    <row r="332" spans="1:45" ht="15.75" hidden="1" customHeight="1">
      <c r="A332" s="177">
        <v>2</v>
      </c>
      <c r="B332" s="177" t="s">
        <v>50</v>
      </c>
      <c r="C332" s="178" t="s">
        <v>375</v>
      </c>
      <c r="D332" s="178" t="s">
        <v>888</v>
      </c>
      <c r="E332" s="178">
        <v>2</v>
      </c>
      <c r="F332" s="179">
        <v>40477</v>
      </c>
      <c r="G332" s="180" t="s">
        <v>889</v>
      </c>
      <c r="H332" s="180" t="s">
        <v>890</v>
      </c>
      <c r="I332" s="181" t="s">
        <v>675</v>
      </c>
      <c r="J332" s="180" t="s">
        <v>186</v>
      </c>
      <c r="K332" s="180" t="s">
        <v>663</v>
      </c>
      <c r="L332" s="180" t="s">
        <v>887</v>
      </c>
      <c r="M332" s="178" t="s">
        <v>36</v>
      </c>
      <c r="N332" s="179">
        <v>43922</v>
      </c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  <c r="AB332" s="138"/>
      <c r="AC332" s="138"/>
      <c r="AD332" s="138"/>
      <c r="AE332" s="138"/>
      <c r="AF332" s="138"/>
      <c r="AG332" s="138"/>
      <c r="AH332" s="138"/>
      <c r="AI332" s="138"/>
      <c r="AJ332" s="138"/>
      <c r="AK332" s="138"/>
      <c r="AL332" s="138"/>
      <c r="AM332" s="138"/>
      <c r="AN332" s="138"/>
      <c r="AO332" s="138"/>
      <c r="AP332" s="138"/>
      <c r="AQ332" s="138"/>
      <c r="AR332" s="138"/>
      <c r="AS332" s="138"/>
    </row>
    <row r="333" spans="1:45" ht="15.75" hidden="1" customHeight="1">
      <c r="A333" s="177">
        <v>3</v>
      </c>
      <c r="B333" s="177" t="s">
        <v>91</v>
      </c>
      <c r="C333" s="178" t="s">
        <v>375</v>
      </c>
      <c r="D333" s="178" t="s">
        <v>888</v>
      </c>
      <c r="E333" s="178">
        <v>2</v>
      </c>
      <c r="F333" s="179">
        <v>40477</v>
      </c>
      <c r="G333" s="180" t="s">
        <v>889</v>
      </c>
      <c r="H333" s="180" t="s">
        <v>891</v>
      </c>
      <c r="I333" s="181" t="s">
        <v>675</v>
      </c>
      <c r="J333" s="180" t="s">
        <v>150</v>
      </c>
      <c r="K333" s="180" t="s">
        <v>663</v>
      </c>
      <c r="L333" s="180" t="s">
        <v>887</v>
      </c>
      <c r="M333" s="178" t="s">
        <v>36</v>
      </c>
      <c r="N333" s="179">
        <v>43922</v>
      </c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  <c r="AB333" s="138"/>
      <c r="AC333" s="138"/>
      <c r="AD333" s="138"/>
      <c r="AE333" s="138"/>
      <c r="AF333" s="138"/>
      <c r="AG333" s="138"/>
      <c r="AH333" s="138"/>
      <c r="AI333" s="138"/>
      <c r="AJ333" s="138"/>
      <c r="AK333" s="138"/>
      <c r="AL333" s="138"/>
      <c r="AM333" s="138"/>
      <c r="AN333" s="138"/>
      <c r="AO333" s="138"/>
      <c r="AP333" s="138"/>
      <c r="AQ333" s="138"/>
      <c r="AR333" s="138"/>
      <c r="AS333" s="138"/>
    </row>
    <row r="334" spans="1:45" ht="15.75" hidden="1" customHeight="1">
      <c r="A334" s="177">
        <v>4</v>
      </c>
      <c r="B334" s="177" t="s">
        <v>91</v>
      </c>
      <c r="C334" s="178" t="s">
        <v>892</v>
      </c>
      <c r="D334" s="178" t="s">
        <v>893</v>
      </c>
      <c r="E334" s="178" t="s">
        <v>190</v>
      </c>
      <c r="F334" s="179" t="s">
        <v>894</v>
      </c>
      <c r="G334" s="180" t="s">
        <v>895</v>
      </c>
      <c r="H334" s="180" t="s">
        <v>872</v>
      </c>
      <c r="I334" s="181">
        <v>43556</v>
      </c>
      <c r="J334" s="180" t="s">
        <v>188</v>
      </c>
      <c r="K334" s="180" t="s">
        <v>626</v>
      </c>
      <c r="L334" s="180" t="s">
        <v>887</v>
      </c>
      <c r="M334" s="178" t="s">
        <v>36</v>
      </c>
      <c r="N334" s="179">
        <v>43922</v>
      </c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  <c r="AB334" s="138"/>
      <c r="AC334" s="138"/>
      <c r="AD334" s="138"/>
      <c r="AE334" s="138"/>
      <c r="AF334" s="138"/>
      <c r="AG334" s="138"/>
      <c r="AH334" s="138"/>
      <c r="AI334" s="138"/>
      <c r="AJ334" s="138"/>
      <c r="AK334" s="138"/>
      <c r="AL334" s="138"/>
      <c r="AM334" s="138"/>
      <c r="AN334" s="138"/>
      <c r="AO334" s="138"/>
      <c r="AP334" s="138"/>
      <c r="AQ334" s="138"/>
      <c r="AR334" s="138"/>
      <c r="AS334" s="138"/>
    </row>
    <row r="335" spans="1:45" ht="15.75" hidden="1" customHeight="1">
      <c r="A335" s="177">
        <v>5</v>
      </c>
      <c r="B335" s="177" t="s">
        <v>50</v>
      </c>
      <c r="C335" s="178" t="s">
        <v>607</v>
      </c>
      <c r="D335" s="178" t="s">
        <v>896</v>
      </c>
      <c r="E335" s="178" t="s">
        <v>190</v>
      </c>
      <c r="F335" s="179">
        <v>41793</v>
      </c>
      <c r="G335" s="180" t="s">
        <v>897</v>
      </c>
      <c r="H335" s="180" t="s">
        <v>898</v>
      </c>
      <c r="I335" s="181">
        <v>43849</v>
      </c>
      <c r="J335" s="180" t="s">
        <v>349</v>
      </c>
      <c r="K335" s="180" t="s">
        <v>663</v>
      </c>
      <c r="L335" s="180" t="s">
        <v>887</v>
      </c>
      <c r="M335" s="178" t="s">
        <v>36</v>
      </c>
      <c r="N335" s="179">
        <v>43922</v>
      </c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  <c r="AB335" s="138"/>
      <c r="AC335" s="138"/>
      <c r="AD335" s="138"/>
      <c r="AE335" s="138"/>
      <c r="AF335" s="138"/>
      <c r="AG335" s="138"/>
      <c r="AH335" s="138"/>
      <c r="AI335" s="138"/>
      <c r="AJ335" s="138"/>
      <c r="AK335" s="138"/>
      <c r="AL335" s="138"/>
      <c r="AM335" s="138"/>
      <c r="AN335" s="138"/>
      <c r="AO335" s="138"/>
      <c r="AP335" s="138"/>
      <c r="AQ335" s="138"/>
      <c r="AR335" s="138"/>
      <c r="AS335" s="138"/>
    </row>
    <row r="336" spans="1:45" ht="15.75" hidden="1" customHeight="1">
      <c r="A336" s="177">
        <v>6</v>
      </c>
      <c r="B336" s="177" t="s">
        <v>91</v>
      </c>
      <c r="C336" s="178" t="s">
        <v>899</v>
      </c>
      <c r="D336" s="178" t="s">
        <v>900</v>
      </c>
      <c r="E336" s="178">
        <v>5</v>
      </c>
      <c r="F336" s="179" t="s">
        <v>901</v>
      </c>
      <c r="G336" s="180" t="s">
        <v>902</v>
      </c>
      <c r="H336" s="180" t="s">
        <v>839</v>
      </c>
      <c r="I336" s="181">
        <v>43101</v>
      </c>
      <c r="J336" s="180" t="s">
        <v>244</v>
      </c>
      <c r="K336" s="180" t="s">
        <v>880</v>
      </c>
      <c r="L336" s="180" t="s">
        <v>887</v>
      </c>
      <c r="M336" s="178" t="s">
        <v>36</v>
      </c>
      <c r="N336" s="179">
        <v>43922</v>
      </c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  <c r="AB336" s="138"/>
      <c r="AC336" s="138"/>
      <c r="AD336" s="138"/>
      <c r="AE336" s="138"/>
      <c r="AF336" s="138"/>
      <c r="AG336" s="138"/>
      <c r="AH336" s="138"/>
      <c r="AI336" s="138"/>
      <c r="AJ336" s="138"/>
      <c r="AK336" s="138"/>
      <c r="AL336" s="138"/>
      <c r="AM336" s="138"/>
      <c r="AN336" s="138"/>
      <c r="AO336" s="138"/>
      <c r="AP336" s="138"/>
      <c r="AQ336" s="138"/>
      <c r="AR336" s="138"/>
      <c r="AS336" s="138"/>
    </row>
    <row r="337" spans="1:45" ht="15.75" hidden="1" customHeight="1">
      <c r="A337" s="177">
        <v>7</v>
      </c>
      <c r="B337" s="177" t="s">
        <v>50</v>
      </c>
      <c r="C337" s="178" t="s">
        <v>899</v>
      </c>
      <c r="D337" s="178" t="s">
        <v>900</v>
      </c>
      <c r="E337" s="178">
        <v>5</v>
      </c>
      <c r="F337" s="179" t="s">
        <v>901</v>
      </c>
      <c r="G337" s="180" t="s">
        <v>902</v>
      </c>
      <c r="H337" s="180" t="s">
        <v>839</v>
      </c>
      <c r="I337" s="181" t="s">
        <v>669</v>
      </c>
      <c r="J337" s="180" t="s">
        <v>204</v>
      </c>
      <c r="K337" s="180" t="s">
        <v>641</v>
      </c>
      <c r="L337" s="180" t="s">
        <v>887</v>
      </c>
      <c r="M337" s="178" t="s">
        <v>36</v>
      </c>
      <c r="N337" s="179">
        <v>43922</v>
      </c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  <c r="AB337" s="138"/>
      <c r="AC337" s="138"/>
      <c r="AD337" s="138"/>
      <c r="AE337" s="138"/>
      <c r="AF337" s="138"/>
      <c r="AG337" s="138"/>
      <c r="AH337" s="138"/>
      <c r="AI337" s="138"/>
      <c r="AJ337" s="138"/>
      <c r="AK337" s="138"/>
      <c r="AL337" s="138"/>
      <c r="AM337" s="138"/>
      <c r="AN337" s="138"/>
      <c r="AO337" s="138"/>
      <c r="AP337" s="138"/>
      <c r="AQ337" s="138"/>
      <c r="AR337" s="138"/>
      <c r="AS337" s="138"/>
    </row>
    <row r="338" spans="1:45" ht="15.75" hidden="1" customHeight="1">
      <c r="A338" s="177">
        <v>8</v>
      </c>
      <c r="B338" s="177" t="s">
        <v>50</v>
      </c>
      <c r="C338" s="178" t="s">
        <v>903</v>
      </c>
      <c r="D338" s="178" t="s">
        <v>904</v>
      </c>
      <c r="E338" s="178">
        <v>1</v>
      </c>
      <c r="F338" s="179">
        <v>41245</v>
      </c>
      <c r="G338" s="180" t="s">
        <v>905</v>
      </c>
      <c r="H338" s="180" t="s">
        <v>906</v>
      </c>
      <c r="I338" s="181">
        <v>43836</v>
      </c>
      <c r="J338" s="180" t="s">
        <v>261</v>
      </c>
      <c r="K338" s="180" t="s">
        <v>663</v>
      </c>
      <c r="L338" s="180" t="s">
        <v>887</v>
      </c>
      <c r="M338" s="178" t="s">
        <v>36</v>
      </c>
      <c r="N338" s="179">
        <v>43922</v>
      </c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  <c r="AB338" s="138"/>
      <c r="AC338" s="138"/>
      <c r="AD338" s="138"/>
      <c r="AE338" s="138"/>
      <c r="AF338" s="138"/>
      <c r="AG338" s="138"/>
      <c r="AH338" s="138"/>
      <c r="AI338" s="138"/>
      <c r="AJ338" s="138"/>
      <c r="AK338" s="138"/>
      <c r="AL338" s="138"/>
      <c r="AM338" s="138"/>
      <c r="AN338" s="138"/>
      <c r="AO338" s="138"/>
      <c r="AP338" s="138"/>
      <c r="AQ338" s="138"/>
      <c r="AR338" s="138"/>
      <c r="AS338" s="138"/>
    </row>
    <row r="339" spans="1:45" ht="15.75" hidden="1" customHeight="1">
      <c r="A339" s="177">
        <v>9</v>
      </c>
      <c r="B339" s="177" t="s">
        <v>91</v>
      </c>
      <c r="C339" s="178" t="s">
        <v>903</v>
      </c>
      <c r="D339" s="178" t="s">
        <v>904</v>
      </c>
      <c r="E339" s="178">
        <v>1</v>
      </c>
      <c r="F339" s="179">
        <v>41245</v>
      </c>
      <c r="G339" s="180" t="s">
        <v>905</v>
      </c>
      <c r="H339" s="180" t="s">
        <v>906</v>
      </c>
      <c r="I339" s="181">
        <v>43836</v>
      </c>
      <c r="J339" s="180" t="s">
        <v>141</v>
      </c>
      <c r="K339" s="180" t="s">
        <v>663</v>
      </c>
      <c r="L339" s="180" t="s">
        <v>887</v>
      </c>
      <c r="M339" s="178" t="s">
        <v>36</v>
      </c>
      <c r="N339" s="179">
        <v>43922</v>
      </c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  <c r="AG339" s="138"/>
      <c r="AH339" s="138"/>
      <c r="AI339" s="138"/>
      <c r="AJ339" s="138"/>
      <c r="AK339" s="138"/>
      <c r="AL339" s="138"/>
      <c r="AM339" s="138"/>
      <c r="AN339" s="138"/>
      <c r="AO339" s="138"/>
      <c r="AP339" s="138"/>
      <c r="AQ339" s="138"/>
      <c r="AR339" s="138"/>
      <c r="AS339" s="138"/>
    </row>
    <row r="340" spans="1:45" ht="15.75" hidden="1" customHeight="1">
      <c r="A340" s="177">
        <v>10</v>
      </c>
      <c r="B340" s="177" t="s">
        <v>50</v>
      </c>
      <c r="C340" s="178" t="s">
        <v>570</v>
      </c>
      <c r="D340" s="178" t="s">
        <v>571</v>
      </c>
      <c r="E340" s="178" t="s">
        <v>190</v>
      </c>
      <c r="F340" s="179" t="s">
        <v>572</v>
      </c>
      <c r="G340" s="180" t="s">
        <v>573</v>
      </c>
      <c r="H340" s="180" t="s">
        <v>574</v>
      </c>
      <c r="I340" s="181" t="s">
        <v>712</v>
      </c>
      <c r="J340" s="180" t="s">
        <v>186</v>
      </c>
      <c r="K340" s="180" t="s">
        <v>663</v>
      </c>
      <c r="L340" s="180" t="s">
        <v>887</v>
      </c>
      <c r="M340" s="178" t="s">
        <v>36</v>
      </c>
      <c r="N340" s="179">
        <v>43922</v>
      </c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  <c r="AB340" s="138"/>
      <c r="AC340" s="138"/>
      <c r="AD340" s="138"/>
      <c r="AE340" s="138"/>
      <c r="AF340" s="138"/>
      <c r="AG340" s="138"/>
      <c r="AH340" s="138"/>
      <c r="AI340" s="138"/>
      <c r="AJ340" s="138"/>
      <c r="AK340" s="138"/>
      <c r="AL340" s="138"/>
      <c r="AM340" s="138"/>
      <c r="AN340" s="138"/>
      <c r="AO340" s="138"/>
      <c r="AP340" s="138"/>
      <c r="AQ340" s="138"/>
      <c r="AR340" s="138"/>
      <c r="AS340" s="138"/>
    </row>
    <row r="341" spans="1:45" ht="15.75" hidden="1" customHeight="1">
      <c r="A341" s="177">
        <v>11</v>
      </c>
      <c r="B341" s="177" t="s">
        <v>50</v>
      </c>
      <c r="C341" s="178" t="s">
        <v>570</v>
      </c>
      <c r="D341" s="178" t="s">
        <v>577</v>
      </c>
      <c r="E341" s="178" t="s">
        <v>190</v>
      </c>
      <c r="F341" s="179" t="s">
        <v>572</v>
      </c>
      <c r="G341" s="180" t="s">
        <v>573</v>
      </c>
      <c r="H341" s="180" t="s">
        <v>574</v>
      </c>
      <c r="I341" s="181" t="s">
        <v>712</v>
      </c>
      <c r="J341" s="180" t="s">
        <v>358</v>
      </c>
      <c r="K341" s="180" t="s">
        <v>663</v>
      </c>
      <c r="L341" s="180" t="s">
        <v>887</v>
      </c>
      <c r="M341" s="178" t="s">
        <v>36</v>
      </c>
      <c r="N341" s="179">
        <v>43922</v>
      </c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  <c r="AB341" s="138"/>
      <c r="AC341" s="138"/>
      <c r="AD341" s="138"/>
      <c r="AE341" s="138"/>
      <c r="AF341" s="138"/>
      <c r="AG341" s="138"/>
      <c r="AH341" s="138"/>
      <c r="AI341" s="138"/>
      <c r="AJ341" s="138"/>
      <c r="AK341" s="138"/>
      <c r="AL341" s="138"/>
      <c r="AM341" s="138"/>
      <c r="AN341" s="138"/>
      <c r="AO341" s="138"/>
      <c r="AP341" s="138"/>
      <c r="AQ341" s="138"/>
      <c r="AR341" s="138"/>
      <c r="AS341" s="138"/>
    </row>
    <row r="342" spans="1:45" ht="15.75" hidden="1" customHeight="1">
      <c r="A342" s="177">
        <v>12</v>
      </c>
      <c r="B342" s="177" t="s">
        <v>50</v>
      </c>
      <c r="C342" s="178" t="s">
        <v>907</v>
      </c>
      <c r="D342" s="178" t="s">
        <v>908</v>
      </c>
      <c r="E342" s="178">
        <v>4</v>
      </c>
      <c r="F342" s="179" t="s">
        <v>909</v>
      </c>
      <c r="G342" s="180" t="s">
        <v>910</v>
      </c>
      <c r="H342" s="180" t="s">
        <v>884</v>
      </c>
      <c r="I342" s="181" t="s">
        <v>675</v>
      </c>
      <c r="J342" s="180" t="s">
        <v>165</v>
      </c>
      <c r="K342" s="180" t="s">
        <v>663</v>
      </c>
      <c r="L342" s="180" t="s">
        <v>887</v>
      </c>
      <c r="M342" s="178" t="s">
        <v>36</v>
      </c>
      <c r="N342" s="179">
        <v>43922</v>
      </c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  <c r="AB342" s="138"/>
      <c r="AC342" s="138"/>
      <c r="AD342" s="138"/>
      <c r="AE342" s="138"/>
      <c r="AF342" s="138"/>
      <c r="AG342" s="138"/>
      <c r="AH342" s="138"/>
      <c r="AI342" s="138"/>
      <c r="AJ342" s="138"/>
      <c r="AK342" s="138"/>
      <c r="AL342" s="138"/>
      <c r="AM342" s="138"/>
      <c r="AN342" s="138"/>
      <c r="AO342" s="138"/>
      <c r="AP342" s="138"/>
      <c r="AQ342" s="138"/>
      <c r="AR342" s="138"/>
      <c r="AS342" s="138"/>
    </row>
    <row r="343" spans="1:45" ht="15.75" hidden="1" customHeight="1">
      <c r="A343" s="177">
        <v>13</v>
      </c>
      <c r="B343" s="177" t="s">
        <v>91</v>
      </c>
      <c r="C343" s="178" t="s">
        <v>907</v>
      </c>
      <c r="D343" s="178" t="s">
        <v>908</v>
      </c>
      <c r="E343" s="178">
        <v>4</v>
      </c>
      <c r="F343" s="179" t="s">
        <v>909</v>
      </c>
      <c r="G343" s="180" t="s">
        <v>910</v>
      </c>
      <c r="H343" s="180" t="s">
        <v>884</v>
      </c>
      <c r="I343" s="181" t="s">
        <v>675</v>
      </c>
      <c r="J343" s="180" t="s">
        <v>238</v>
      </c>
      <c r="K343" s="180" t="s">
        <v>175</v>
      </c>
      <c r="L343" s="180" t="s">
        <v>887</v>
      </c>
      <c r="M343" s="178" t="s">
        <v>36</v>
      </c>
      <c r="N343" s="179">
        <v>43922</v>
      </c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  <c r="AB343" s="138"/>
      <c r="AC343" s="138"/>
      <c r="AD343" s="138"/>
      <c r="AE343" s="138"/>
      <c r="AF343" s="138"/>
      <c r="AG343" s="138"/>
      <c r="AH343" s="138"/>
      <c r="AI343" s="138"/>
      <c r="AJ343" s="138"/>
      <c r="AK343" s="138"/>
      <c r="AL343" s="138"/>
      <c r="AM343" s="138"/>
      <c r="AN343" s="138"/>
      <c r="AO343" s="138"/>
      <c r="AP343" s="138"/>
      <c r="AQ343" s="138"/>
      <c r="AR343" s="138"/>
      <c r="AS343" s="138"/>
    </row>
    <row r="344" spans="1:45" ht="15.75" hidden="1" customHeight="1">
      <c r="A344" s="177">
        <v>14</v>
      </c>
      <c r="B344" s="177" t="s">
        <v>50</v>
      </c>
      <c r="C344" s="178" t="s">
        <v>598</v>
      </c>
      <c r="D344" s="178" t="s">
        <v>599</v>
      </c>
      <c r="E344" s="178">
        <v>7</v>
      </c>
      <c r="F344" s="179">
        <v>39175</v>
      </c>
      <c r="G344" s="180" t="s">
        <v>911</v>
      </c>
      <c r="H344" s="180" t="e">
        <v>#REF!</v>
      </c>
      <c r="I344" s="181">
        <v>43689</v>
      </c>
      <c r="J344" s="180" t="s">
        <v>290</v>
      </c>
      <c r="K344" s="180" t="s">
        <v>663</v>
      </c>
      <c r="L344" s="180" t="s">
        <v>912</v>
      </c>
      <c r="M344" s="178" t="s">
        <v>36</v>
      </c>
      <c r="N344" s="179">
        <v>43922</v>
      </c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  <c r="AB344" s="138"/>
      <c r="AC344" s="138"/>
      <c r="AD344" s="138"/>
      <c r="AE344" s="138"/>
      <c r="AF344" s="138"/>
      <c r="AG344" s="138"/>
      <c r="AH344" s="138"/>
      <c r="AI344" s="138"/>
      <c r="AJ344" s="138"/>
      <c r="AK344" s="138"/>
      <c r="AL344" s="138"/>
      <c r="AM344" s="138"/>
      <c r="AN344" s="138"/>
      <c r="AO344" s="138"/>
      <c r="AP344" s="138"/>
      <c r="AQ344" s="138"/>
      <c r="AR344" s="138"/>
      <c r="AS344" s="138"/>
    </row>
    <row r="345" spans="1:45" ht="15.75" hidden="1" customHeight="1">
      <c r="A345" s="177">
        <v>15</v>
      </c>
      <c r="B345" s="177" t="s">
        <v>91</v>
      </c>
      <c r="C345" s="178" t="s">
        <v>598</v>
      </c>
      <c r="D345" s="178" t="s">
        <v>599</v>
      </c>
      <c r="E345" s="178">
        <v>7</v>
      </c>
      <c r="F345" s="179">
        <v>39175</v>
      </c>
      <c r="G345" s="180" t="s">
        <v>911</v>
      </c>
      <c r="H345" s="180" t="e">
        <v>#REF!</v>
      </c>
      <c r="I345" s="181">
        <v>43689</v>
      </c>
      <c r="J345" s="180" t="s">
        <v>172</v>
      </c>
      <c r="K345" s="180" t="s">
        <v>663</v>
      </c>
      <c r="L345" s="180" t="s">
        <v>912</v>
      </c>
      <c r="M345" s="178" t="s">
        <v>36</v>
      </c>
      <c r="N345" s="179">
        <v>43922</v>
      </c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  <c r="AB345" s="138"/>
      <c r="AC345" s="138"/>
      <c r="AD345" s="138"/>
      <c r="AE345" s="138"/>
      <c r="AF345" s="138"/>
      <c r="AG345" s="138"/>
      <c r="AH345" s="138"/>
      <c r="AI345" s="138"/>
      <c r="AJ345" s="138"/>
      <c r="AK345" s="138"/>
      <c r="AL345" s="138"/>
      <c r="AM345" s="138"/>
      <c r="AN345" s="138"/>
      <c r="AO345" s="138"/>
      <c r="AP345" s="138"/>
      <c r="AQ345" s="138"/>
      <c r="AR345" s="138"/>
      <c r="AS345" s="138"/>
    </row>
    <row r="346" spans="1:45" ht="15.75" hidden="1" customHeight="1">
      <c r="A346" s="177">
        <v>16</v>
      </c>
      <c r="B346" s="177" t="s">
        <v>50</v>
      </c>
      <c r="C346" s="178" t="s">
        <v>570</v>
      </c>
      <c r="D346" s="178" t="s">
        <v>578</v>
      </c>
      <c r="E346" s="178" t="s">
        <v>190</v>
      </c>
      <c r="F346" s="179" t="s">
        <v>572</v>
      </c>
      <c r="G346" s="180" t="s">
        <v>573</v>
      </c>
      <c r="H346" s="180" t="s">
        <v>574</v>
      </c>
      <c r="I346" s="181" t="s">
        <v>712</v>
      </c>
      <c r="J346" s="180" t="s">
        <v>186</v>
      </c>
      <c r="K346" s="180" t="s">
        <v>663</v>
      </c>
      <c r="L346" s="180" t="s">
        <v>887</v>
      </c>
      <c r="M346" s="178" t="s">
        <v>36</v>
      </c>
      <c r="N346" s="179">
        <v>43922</v>
      </c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  <c r="AB346" s="138"/>
      <c r="AC346" s="138"/>
      <c r="AD346" s="138"/>
      <c r="AE346" s="138"/>
      <c r="AF346" s="138"/>
      <c r="AG346" s="138"/>
      <c r="AH346" s="138"/>
      <c r="AI346" s="138"/>
      <c r="AJ346" s="138"/>
      <c r="AK346" s="138"/>
      <c r="AL346" s="138"/>
      <c r="AM346" s="138"/>
      <c r="AN346" s="138"/>
      <c r="AO346" s="138"/>
      <c r="AP346" s="138"/>
      <c r="AQ346" s="138"/>
      <c r="AR346" s="138"/>
      <c r="AS346" s="138"/>
    </row>
    <row r="347" spans="1:45" ht="15.75" hidden="1" customHeight="1">
      <c r="A347" s="177">
        <v>17</v>
      </c>
      <c r="B347" s="177" t="s">
        <v>50</v>
      </c>
      <c r="C347" s="178" t="s">
        <v>647</v>
      </c>
      <c r="D347" s="178" t="s">
        <v>648</v>
      </c>
      <c r="E347" s="178">
        <v>6</v>
      </c>
      <c r="F347" s="179">
        <v>43878</v>
      </c>
      <c r="G347" s="180" t="s">
        <v>649</v>
      </c>
      <c r="H347" s="180" t="s">
        <v>650</v>
      </c>
      <c r="I347" s="181" t="s">
        <v>712</v>
      </c>
      <c r="J347" s="180" t="s">
        <v>204</v>
      </c>
      <c r="K347" s="180" t="s">
        <v>663</v>
      </c>
      <c r="L347" s="180" t="s">
        <v>887</v>
      </c>
      <c r="M347" s="178" t="s">
        <v>36</v>
      </c>
      <c r="N347" s="179">
        <v>43922</v>
      </c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  <c r="AB347" s="138"/>
      <c r="AC347" s="138"/>
      <c r="AD347" s="138"/>
      <c r="AE347" s="138"/>
      <c r="AF347" s="138"/>
      <c r="AG347" s="138"/>
      <c r="AH347" s="138"/>
      <c r="AI347" s="138"/>
      <c r="AJ347" s="138"/>
      <c r="AK347" s="138"/>
      <c r="AL347" s="138"/>
      <c r="AM347" s="138"/>
      <c r="AN347" s="138"/>
      <c r="AO347" s="138"/>
      <c r="AP347" s="138"/>
      <c r="AQ347" s="138"/>
      <c r="AR347" s="138"/>
      <c r="AS347" s="138"/>
    </row>
    <row r="348" spans="1:45" ht="15.75" hidden="1" customHeight="1">
      <c r="A348" s="177">
        <v>18</v>
      </c>
      <c r="B348" s="177" t="s">
        <v>91</v>
      </c>
      <c r="C348" s="178" t="s">
        <v>647</v>
      </c>
      <c r="D348" s="178" t="s">
        <v>648</v>
      </c>
      <c r="E348" s="178">
        <v>6</v>
      </c>
      <c r="F348" s="179">
        <v>43878</v>
      </c>
      <c r="G348" s="180" t="s">
        <v>649</v>
      </c>
      <c r="H348" s="180" t="s">
        <v>650</v>
      </c>
      <c r="I348" s="181" t="s">
        <v>712</v>
      </c>
      <c r="J348" s="180" t="s">
        <v>244</v>
      </c>
      <c r="K348" s="180" t="s">
        <v>626</v>
      </c>
      <c r="L348" s="180" t="s">
        <v>887</v>
      </c>
      <c r="M348" s="178" t="s">
        <v>36</v>
      </c>
      <c r="N348" s="179">
        <v>43922</v>
      </c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  <c r="AB348" s="138"/>
      <c r="AC348" s="138"/>
      <c r="AD348" s="138"/>
      <c r="AE348" s="138"/>
      <c r="AF348" s="138"/>
      <c r="AG348" s="138"/>
      <c r="AH348" s="138"/>
      <c r="AI348" s="138"/>
      <c r="AJ348" s="138"/>
      <c r="AK348" s="138"/>
      <c r="AL348" s="138"/>
      <c r="AM348" s="138"/>
      <c r="AN348" s="138"/>
      <c r="AO348" s="138"/>
      <c r="AP348" s="138"/>
      <c r="AQ348" s="138"/>
      <c r="AR348" s="138"/>
      <c r="AS348" s="138"/>
    </row>
    <row r="349" spans="1:45" ht="15.75" hidden="1" customHeight="1">
      <c r="A349" s="177">
        <v>19</v>
      </c>
      <c r="B349" s="177" t="s">
        <v>50</v>
      </c>
      <c r="C349" s="178" t="s">
        <v>913</v>
      </c>
      <c r="D349" s="178" t="s">
        <v>914</v>
      </c>
      <c r="E349" s="178">
        <v>1</v>
      </c>
      <c r="F349" s="179">
        <v>40701</v>
      </c>
      <c r="G349" s="180" t="s">
        <v>915</v>
      </c>
      <c r="H349" s="180" t="s">
        <v>916</v>
      </c>
      <c r="I349" s="181">
        <v>43313</v>
      </c>
      <c r="J349" s="180" t="s">
        <v>186</v>
      </c>
      <c r="K349" s="180" t="s">
        <v>790</v>
      </c>
      <c r="L349" s="180" t="s">
        <v>887</v>
      </c>
      <c r="M349" s="178" t="s">
        <v>36</v>
      </c>
      <c r="N349" s="179">
        <v>43922</v>
      </c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  <c r="AB349" s="138"/>
      <c r="AC349" s="138"/>
      <c r="AD349" s="138"/>
      <c r="AE349" s="138"/>
      <c r="AF349" s="138"/>
      <c r="AG349" s="138"/>
      <c r="AH349" s="138"/>
      <c r="AI349" s="138"/>
      <c r="AJ349" s="138"/>
      <c r="AK349" s="138"/>
      <c r="AL349" s="138"/>
      <c r="AM349" s="138"/>
      <c r="AN349" s="138"/>
      <c r="AO349" s="138"/>
      <c r="AP349" s="138"/>
      <c r="AQ349" s="138"/>
      <c r="AR349" s="138"/>
      <c r="AS349" s="138"/>
    </row>
    <row r="350" spans="1:45" ht="15.75" hidden="1" customHeight="1">
      <c r="A350" s="177">
        <v>20</v>
      </c>
      <c r="B350" s="177" t="s">
        <v>91</v>
      </c>
      <c r="C350" s="178" t="s">
        <v>913</v>
      </c>
      <c r="D350" s="178" t="s">
        <v>914</v>
      </c>
      <c r="E350" s="178">
        <v>1</v>
      </c>
      <c r="F350" s="179">
        <v>40701</v>
      </c>
      <c r="G350" s="180" t="s">
        <v>915</v>
      </c>
      <c r="H350" s="180" t="s">
        <v>916</v>
      </c>
      <c r="I350" s="181">
        <v>43313</v>
      </c>
      <c r="J350" s="180" t="s">
        <v>141</v>
      </c>
      <c r="K350" s="180" t="s">
        <v>917</v>
      </c>
      <c r="L350" s="180" t="s">
        <v>887</v>
      </c>
      <c r="M350" s="178" t="s">
        <v>36</v>
      </c>
      <c r="N350" s="179">
        <v>43922</v>
      </c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  <c r="AB350" s="138"/>
      <c r="AC350" s="138"/>
      <c r="AD350" s="138"/>
      <c r="AE350" s="138"/>
      <c r="AF350" s="138"/>
      <c r="AG350" s="138"/>
      <c r="AH350" s="138"/>
      <c r="AI350" s="138"/>
      <c r="AJ350" s="138"/>
      <c r="AK350" s="138"/>
      <c r="AL350" s="138"/>
      <c r="AM350" s="138"/>
      <c r="AN350" s="138"/>
      <c r="AO350" s="138"/>
      <c r="AP350" s="138"/>
      <c r="AQ350" s="138"/>
      <c r="AR350" s="138"/>
      <c r="AS350" s="138"/>
    </row>
    <row r="351" spans="1:45" ht="15.75" hidden="1" customHeight="1">
      <c r="A351" s="177">
        <v>21</v>
      </c>
      <c r="B351" s="177" t="s">
        <v>50</v>
      </c>
      <c r="C351" s="178" t="s">
        <v>903</v>
      </c>
      <c r="D351" s="178" t="s">
        <v>918</v>
      </c>
      <c r="E351" s="178">
        <v>6</v>
      </c>
      <c r="F351" s="179">
        <v>39615</v>
      </c>
      <c r="G351" s="180" t="s">
        <v>905</v>
      </c>
      <c r="H351" s="180" t="s">
        <v>906</v>
      </c>
      <c r="I351" s="181">
        <v>43836</v>
      </c>
      <c r="J351" s="180" t="s">
        <v>358</v>
      </c>
      <c r="K351" s="180" t="s">
        <v>663</v>
      </c>
      <c r="L351" s="180" t="s">
        <v>887</v>
      </c>
      <c r="M351" s="178" t="s">
        <v>36</v>
      </c>
      <c r="N351" s="179">
        <v>43922</v>
      </c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  <c r="AB351" s="138"/>
      <c r="AC351" s="138"/>
      <c r="AD351" s="138"/>
      <c r="AE351" s="138"/>
      <c r="AF351" s="138"/>
      <c r="AG351" s="138"/>
      <c r="AH351" s="138"/>
      <c r="AI351" s="138"/>
      <c r="AJ351" s="138"/>
      <c r="AK351" s="138"/>
      <c r="AL351" s="138"/>
      <c r="AM351" s="138"/>
      <c r="AN351" s="138"/>
      <c r="AO351" s="138"/>
      <c r="AP351" s="138"/>
      <c r="AQ351" s="138"/>
      <c r="AR351" s="138"/>
      <c r="AS351" s="138"/>
    </row>
    <row r="352" spans="1:45" ht="15.75" hidden="1" customHeight="1">
      <c r="A352" s="177">
        <v>22</v>
      </c>
      <c r="B352" s="177" t="s">
        <v>91</v>
      </c>
      <c r="C352" s="178" t="s">
        <v>903</v>
      </c>
      <c r="D352" s="178" t="s">
        <v>918</v>
      </c>
      <c r="E352" s="178">
        <v>6</v>
      </c>
      <c r="F352" s="179">
        <v>39615</v>
      </c>
      <c r="G352" s="180" t="s">
        <v>905</v>
      </c>
      <c r="H352" s="180" t="s">
        <v>906</v>
      </c>
      <c r="I352" s="181">
        <v>43836</v>
      </c>
      <c r="J352" s="180" t="s">
        <v>141</v>
      </c>
      <c r="K352" s="180" t="s">
        <v>663</v>
      </c>
      <c r="L352" s="180" t="s">
        <v>887</v>
      </c>
      <c r="M352" s="178" t="s">
        <v>36</v>
      </c>
      <c r="N352" s="179">
        <v>43922</v>
      </c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  <c r="AB352" s="138"/>
      <c r="AC352" s="138"/>
      <c r="AD352" s="138"/>
      <c r="AE352" s="138"/>
      <c r="AF352" s="138"/>
      <c r="AG352" s="138"/>
      <c r="AH352" s="138"/>
      <c r="AI352" s="138"/>
      <c r="AJ352" s="138"/>
      <c r="AK352" s="138"/>
      <c r="AL352" s="138"/>
      <c r="AM352" s="138"/>
      <c r="AN352" s="138"/>
      <c r="AO352" s="138"/>
      <c r="AP352" s="138"/>
      <c r="AQ352" s="138"/>
      <c r="AR352" s="138"/>
      <c r="AS352" s="138"/>
    </row>
    <row r="353" spans="1:45" ht="15.75" hidden="1" customHeight="1">
      <c r="A353" s="177">
        <v>23</v>
      </c>
      <c r="B353" s="177" t="s">
        <v>91</v>
      </c>
      <c r="C353" s="178" t="s">
        <v>919</v>
      </c>
      <c r="D353" s="178" t="s">
        <v>920</v>
      </c>
      <c r="E353" s="178" t="s">
        <v>190</v>
      </c>
      <c r="F353" s="179" t="s">
        <v>921</v>
      </c>
      <c r="G353" s="180" t="s">
        <v>922</v>
      </c>
      <c r="H353" s="180" t="s">
        <v>923</v>
      </c>
      <c r="I353" s="181" t="s">
        <v>924</v>
      </c>
      <c r="J353" s="180" t="s">
        <v>188</v>
      </c>
      <c r="K353" s="180" t="s">
        <v>626</v>
      </c>
      <c r="L353" s="180" t="s">
        <v>925</v>
      </c>
      <c r="M353" s="178" t="s">
        <v>36</v>
      </c>
      <c r="N353" s="179">
        <v>43922</v>
      </c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  <c r="AB353" s="138"/>
      <c r="AC353" s="138"/>
      <c r="AD353" s="138"/>
      <c r="AE353" s="138"/>
      <c r="AF353" s="138"/>
      <c r="AG353" s="138"/>
      <c r="AH353" s="138"/>
      <c r="AI353" s="138"/>
      <c r="AJ353" s="138"/>
      <c r="AK353" s="138"/>
      <c r="AL353" s="138"/>
      <c r="AM353" s="138"/>
      <c r="AN353" s="138"/>
      <c r="AO353" s="138"/>
      <c r="AP353" s="138"/>
      <c r="AQ353" s="138"/>
      <c r="AR353" s="138"/>
      <c r="AS353" s="138"/>
    </row>
    <row r="354" spans="1:45" ht="15.75" hidden="1" customHeight="1">
      <c r="A354" s="177">
        <v>24</v>
      </c>
      <c r="B354" s="177" t="s">
        <v>50</v>
      </c>
      <c r="C354" s="178" t="s">
        <v>618</v>
      </c>
      <c r="D354" s="178" t="s">
        <v>926</v>
      </c>
      <c r="E354" s="178">
        <v>3</v>
      </c>
      <c r="F354" s="179">
        <v>40736</v>
      </c>
      <c r="G354" s="180" t="s">
        <v>927</v>
      </c>
      <c r="H354" s="180" t="s">
        <v>928</v>
      </c>
      <c r="I354" s="181">
        <v>43760</v>
      </c>
      <c r="J354" s="180" t="s">
        <v>358</v>
      </c>
      <c r="K354" s="180" t="s">
        <v>663</v>
      </c>
      <c r="L354" s="180" t="s">
        <v>929</v>
      </c>
      <c r="M354" s="178" t="s">
        <v>36</v>
      </c>
      <c r="N354" s="179">
        <v>43922</v>
      </c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  <c r="AB354" s="138"/>
      <c r="AC354" s="138"/>
      <c r="AD354" s="138"/>
      <c r="AE354" s="138"/>
      <c r="AF354" s="138"/>
      <c r="AG354" s="138"/>
      <c r="AH354" s="138"/>
      <c r="AI354" s="138"/>
      <c r="AJ354" s="138"/>
      <c r="AK354" s="138"/>
      <c r="AL354" s="138"/>
      <c r="AM354" s="138"/>
      <c r="AN354" s="138"/>
      <c r="AO354" s="138"/>
      <c r="AP354" s="138"/>
      <c r="AQ354" s="138"/>
      <c r="AR354" s="138"/>
      <c r="AS354" s="138"/>
    </row>
    <row r="355" spans="1:45" ht="15.75" hidden="1" customHeight="1">
      <c r="A355" s="177">
        <v>25</v>
      </c>
      <c r="B355" s="177" t="s">
        <v>91</v>
      </c>
      <c r="C355" s="178" t="s">
        <v>618</v>
      </c>
      <c r="D355" s="178" t="s">
        <v>926</v>
      </c>
      <c r="E355" s="178">
        <v>3</v>
      </c>
      <c r="F355" s="179">
        <v>40736</v>
      </c>
      <c r="G355" s="180" t="s">
        <v>927</v>
      </c>
      <c r="H355" s="180" t="s">
        <v>928</v>
      </c>
      <c r="I355" s="181">
        <v>43760</v>
      </c>
      <c r="J355" s="180" t="s">
        <v>141</v>
      </c>
      <c r="K355" s="180" t="s">
        <v>626</v>
      </c>
      <c r="L355" s="180" t="s">
        <v>929</v>
      </c>
      <c r="M355" s="178" t="s">
        <v>36</v>
      </c>
      <c r="N355" s="179">
        <v>43922</v>
      </c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  <c r="AB355" s="138"/>
      <c r="AC355" s="138"/>
      <c r="AD355" s="138"/>
      <c r="AE355" s="138"/>
      <c r="AF355" s="138"/>
      <c r="AG355" s="138"/>
      <c r="AH355" s="138"/>
      <c r="AI355" s="138"/>
      <c r="AJ355" s="138"/>
      <c r="AK355" s="138"/>
      <c r="AL355" s="138"/>
      <c r="AM355" s="138"/>
      <c r="AN355" s="138"/>
      <c r="AO355" s="138"/>
      <c r="AP355" s="138"/>
      <c r="AQ355" s="138"/>
      <c r="AR355" s="138"/>
      <c r="AS355" s="138"/>
    </row>
    <row r="356" spans="1:45" ht="15.75" hidden="1" customHeight="1">
      <c r="A356" s="177">
        <v>26</v>
      </c>
      <c r="B356" s="177" t="s">
        <v>50</v>
      </c>
      <c r="C356" s="178" t="s">
        <v>704</v>
      </c>
      <c r="D356" s="178" t="s">
        <v>930</v>
      </c>
      <c r="E356" s="178">
        <v>1</v>
      </c>
      <c r="F356" s="179">
        <v>41084</v>
      </c>
      <c r="G356" s="180" t="s">
        <v>897</v>
      </c>
      <c r="H356" s="180" t="s">
        <v>931</v>
      </c>
      <c r="I356" s="181">
        <v>43849</v>
      </c>
      <c r="J356" s="180" t="s">
        <v>192</v>
      </c>
      <c r="K356" s="180" t="s">
        <v>663</v>
      </c>
      <c r="L356" s="180" t="s">
        <v>887</v>
      </c>
      <c r="M356" s="178" t="s">
        <v>36</v>
      </c>
      <c r="N356" s="179">
        <v>43922</v>
      </c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  <c r="AB356" s="138"/>
      <c r="AC356" s="138"/>
      <c r="AD356" s="138"/>
      <c r="AE356" s="138"/>
      <c r="AF356" s="138"/>
      <c r="AG356" s="138"/>
      <c r="AH356" s="138"/>
      <c r="AI356" s="138"/>
      <c r="AJ356" s="138"/>
      <c r="AK356" s="138"/>
      <c r="AL356" s="138"/>
      <c r="AM356" s="138"/>
      <c r="AN356" s="138"/>
      <c r="AO356" s="138"/>
      <c r="AP356" s="138"/>
      <c r="AQ356" s="138"/>
      <c r="AR356" s="138"/>
      <c r="AS356" s="138"/>
    </row>
    <row r="357" spans="1:45" ht="15.75" hidden="1" customHeight="1">
      <c r="A357" s="177">
        <v>27</v>
      </c>
      <c r="B357" s="177" t="s">
        <v>91</v>
      </c>
      <c r="C357" s="178" t="s">
        <v>932</v>
      </c>
      <c r="D357" s="178" t="s">
        <v>933</v>
      </c>
      <c r="E357" s="178">
        <v>5</v>
      </c>
      <c r="F357" s="179">
        <v>39793</v>
      </c>
      <c r="G357" s="180" t="s">
        <v>934</v>
      </c>
      <c r="H357" s="180" t="s">
        <v>935</v>
      </c>
      <c r="I357" s="181">
        <v>43746</v>
      </c>
      <c r="J357" s="180" t="s">
        <v>188</v>
      </c>
      <c r="K357" s="180" t="s">
        <v>751</v>
      </c>
      <c r="L357" s="180" t="s">
        <v>887</v>
      </c>
      <c r="M357" s="178" t="s">
        <v>36</v>
      </c>
      <c r="N357" s="179">
        <v>43922</v>
      </c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  <c r="AB357" s="138"/>
      <c r="AC357" s="138"/>
      <c r="AD357" s="138"/>
      <c r="AE357" s="138"/>
      <c r="AF357" s="138"/>
      <c r="AG357" s="138"/>
      <c r="AH357" s="138"/>
      <c r="AI357" s="138"/>
      <c r="AJ357" s="138"/>
      <c r="AK357" s="138"/>
      <c r="AL357" s="138"/>
      <c r="AM357" s="138"/>
      <c r="AN357" s="138"/>
      <c r="AO357" s="138"/>
      <c r="AP357" s="138"/>
      <c r="AQ357" s="138"/>
      <c r="AR357" s="138"/>
      <c r="AS357" s="138"/>
    </row>
    <row r="358" spans="1:45" ht="15.75" hidden="1" customHeight="1">
      <c r="A358" s="177">
        <v>28</v>
      </c>
      <c r="B358" s="177" t="s">
        <v>50</v>
      </c>
      <c r="C358" s="178" t="s">
        <v>729</v>
      </c>
      <c r="D358" s="178" t="s">
        <v>730</v>
      </c>
      <c r="E358" s="178">
        <v>2</v>
      </c>
      <c r="F358" s="179">
        <v>41040</v>
      </c>
      <c r="G358" s="180" t="s">
        <v>731</v>
      </c>
      <c r="H358" s="180" t="s">
        <v>732</v>
      </c>
      <c r="I358" s="181">
        <v>43836</v>
      </c>
      <c r="J358" s="180" t="s">
        <v>358</v>
      </c>
      <c r="K358" s="180" t="s">
        <v>790</v>
      </c>
      <c r="L358" s="180" t="s">
        <v>887</v>
      </c>
      <c r="M358" s="178" t="s">
        <v>36</v>
      </c>
      <c r="N358" s="179">
        <v>43922</v>
      </c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  <c r="AB358" s="138"/>
      <c r="AC358" s="138"/>
      <c r="AD358" s="138"/>
      <c r="AE358" s="138"/>
      <c r="AF358" s="138"/>
      <c r="AG358" s="138"/>
      <c r="AH358" s="138"/>
      <c r="AI358" s="138"/>
      <c r="AJ358" s="138"/>
      <c r="AK358" s="138"/>
      <c r="AL358" s="138"/>
      <c r="AM358" s="138"/>
      <c r="AN358" s="138"/>
      <c r="AO358" s="138"/>
      <c r="AP358" s="138"/>
      <c r="AQ358" s="138"/>
      <c r="AR358" s="138"/>
      <c r="AS358" s="138"/>
    </row>
    <row r="359" spans="1:45" ht="15.75" hidden="1" customHeight="1">
      <c r="A359" s="177">
        <v>29</v>
      </c>
      <c r="B359" s="177" t="s">
        <v>91</v>
      </c>
      <c r="C359" s="178" t="s">
        <v>729</v>
      </c>
      <c r="D359" s="178" t="s">
        <v>730</v>
      </c>
      <c r="E359" s="178">
        <v>2</v>
      </c>
      <c r="F359" s="179">
        <v>41040</v>
      </c>
      <c r="G359" s="180" t="s">
        <v>731</v>
      </c>
      <c r="H359" s="180" t="s">
        <v>732</v>
      </c>
      <c r="I359" s="181">
        <v>43836</v>
      </c>
      <c r="J359" s="180" t="s">
        <v>188</v>
      </c>
      <c r="K359" s="180" t="s">
        <v>175</v>
      </c>
      <c r="L359" s="180" t="s">
        <v>887</v>
      </c>
      <c r="M359" s="178" t="s">
        <v>36</v>
      </c>
      <c r="N359" s="179">
        <v>43922</v>
      </c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  <c r="AB359" s="138"/>
      <c r="AC359" s="138"/>
      <c r="AD359" s="138"/>
      <c r="AE359" s="138"/>
      <c r="AF359" s="138"/>
      <c r="AG359" s="138"/>
      <c r="AH359" s="138"/>
      <c r="AI359" s="138"/>
      <c r="AJ359" s="138"/>
      <c r="AK359" s="138"/>
      <c r="AL359" s="138"/>
      <c r="AM359" s="138"/>
      <c r="AN359" s="138"/>
      <c r="AO359" s="138"/>
      <c r="AP359" s="138"/>
      <c r="AQ359" s="138"/>
      <c r="AR359" s="138"/>
      <c r="AS359" s="138"/>
    </row>
    <row r="360" spans="1:45" ht="15.75" hidden="1" customHeight="1">
      <c r="A360" s="177">
        <v>30</v>
      </c>
      <c r="B360" s="177" t="s">
        <v>50</v>
      </c>
      <c r="C360" s="178" t="s">
        <v>936</v>
      </c>
      <c r="D360" s="178" t="s">
        <v>937</v>
      </c>
      <c r="E360" s="178">
        <v>2</v>
      </c>
      <c r="F360" s="179">
        <v>40894</v>
      </c>
      <c r="G360" s="180" t="s">
        <v>938</v>
      </c>
      <c r="H360" s="180" t="s">
        <v>939</v>
      </c>
      <c r="I360" s="181">
        <v>43755</v>
      </c>
      <c r="J360" s="180" t="s">
        <v>140</v>
      </c>
      <c r="K360" s="180" t="s">
        <v>663</v>
      </c>
      <c r="L360" s="180" t="s">
        <v>887</v>
      </c>
      <c r="M360" s="178" t="s">
        <v>36</v>
      </c>
      <c r="N360" s="179">
        <v>43922</v>
      </c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  <c r="AB360" s="138"/>
      <c r="AC360" s="138"/>
      <c r="AD360" s="138"/>
      <c r="AE360" s="138"/>
      <c r="AF360" s="138"/>
      <c r="AG360" s="138"/>
      <c r="AH360" s="138"/>
      <c r="AI360" s="138"/>
      <c r="AJ360" s="138"/>
      <c r="AK360" s="138"/>
      <c r="AL360" s="138"/>
      <c r="AM360" s="138"/>
      <c r="AN360" s="138"/>
      <c r="AO360" s="138"/>
      <c r="AP360" s="138"/>
      <c r="AQ360" s="138"/>
      <c r="AR360" s="138"/>
      <c r="AS360" s="138"/>
    </row>
    <row r="361" spans="1:45" ht="15.75" hidden="1" customHeight="1">
      <c r="A361" s="177">
        <v>31</v>
      </c>
      <c r="B361" s="177" t="s">
        <v>91</v>
      </c>
      <c r="C361" s="178" t="s">
        <v>936</v>
      </c>
      <c r="D361" s="178" t="s">
        <v>937</v>
      </c>
      <c r="E361" s="178">
        <v>2</v>
      </c>
      <c r="F361" s="179">
        <v>40894</v>
      </c>
      <c r="G361" s="180" t="s">
        <v>938</v>
      </c>
      <c r="H361" s="180" t="s">
        <v>939</v>
      </c>
      <c r="I361" s="181">
        <v>43755</v>
      </c>
      <c r="J361" s="180" t="s">
        <v>141</v>
      </c>
      <c r="K361" s="180" t="s">
        <v>663</v>
      </c>
      <c r="L361" s="180" t="s">
        <v>887</v>
      </c>
      <c r="M361" s="178" t="s">
        <v>36</v>
      </c>
      <c r="N361" s="179">
        <v>43922</v>
      </c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  <c r="AB361" s="138"/>
      <c r="AC361" s="138"/>
      <c r="AD361" s="138"/>
      <c r="AE361" s="138"/>
      <c r="AF361" s="138"/>
      <c r="AG361" s="138"/>
      <c r="AH361" s="138"/>
      <c r="AI361" s="138"/>
      <c r="AJ361" s="138"/>
      <c r="AK361" s="138"/>
      <c r="AL361" s="138"/>
      <c r="AM361" s="138"/>
      <c r="AN361" s="138"/>
      <c r="AO361" s="138"/>
      <c r="AP361" s="138"/>
      <c r="AQ361" s="138"/>
      <c r="AR361" s="138"/>
      <c r="AS361" s="138"/>
    </row>
    <row r="362" spans="1:45" ht="15.75" hidden="1" customHeight="1">
      <c r="A362" s="177">
        <v>32</v>
      </c>
      <c r="B362" s="177" t="s">
        <v>50</v>
      </c>
      <c r="C362" s="178" t="s">
        <v>562</v>
      </c>
      <c r="D362" s="178" t="s">
        <v>569</v>
      </c>
      <c r="E362" s="178">
        <v>6</v>
      </c>
      <c r="F362" s="179">
        <v>39287</v>
      </c>
      <c r="G362" s="180" t="s">
        <v>564</v>
      </c>
      <c r="H362" s="180" t="s">
        <v>565</v>
      </c>
      <c r="I362" s="181">
        <v>43710</v>
      </c>
      <c r="J362" s="180" t="s">
        <v>148</v>
      </c>
      <c r="K362" s="180" t="s">
        <v>663</v>
      </c>
      <c r="L362" s="180" t="s">
        <v>887</v>
      </c>
      <c r="M362" s="178" t="s">
        <v>36</v>
      </c>
      <c r="N362" s="179">
        <v>43922</v>
      </c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  <c r="AB362" s="138"/>
      <c r="AC362" s="138"/>
      <c r="AD362" s="138"/>
      <c r="AE362" s="138"/>
      <c r="AF362" s="138"/>
      <c r="AG362" s="138"/>
      <c r="AH362" s="138"/>
      <c r="AI362" s="138"/>
      <c r="AJ362" s="138"/>
      <c r="AK362" s="138"/>
      <c r="AL362" s="138"/>
      <c r="AM362" s="138"/>
      <c r="AN362" s="138"/>
      <c r="AO362" s="138"/>
      <c r="AP362" s="138"/>
      <c r="AQ362" s="138"/>
      <c r="AR362" s="138"/>
      <c r="AS362" s="138"/>
    </row>
    <row r="363" spans="1:45" ht="15.75" hidden="1" customHeight="1">
      <c r="A363" s="177">
        <v>33</v>
      </c>
      <c r="B363" s="177" t="s">
        <v>91</v>
      </c>
      <c r="C363" s="178" t="s">
        <v>562</v>
      </c>
      <c r="D363" s="178" t="s">
        <v>569</v>
      </c>
      <c r="E363" s="178">
        <v>6</v>
      </c>
      <c r="F363" s="179">
        <v>39287</v>
      </c>
      <c r="G363" s="180" t="s">
        <v>564</v>
      </c>
      <c r="H363" s="180" t="s">
        <v>565</v>
      </c>
      <c r="I363" s="181">
        <v>43710</v>
      </c>
      <c r="J363" s="180" t="s">
        <v>172</v>
      </c>
      <c r="K363" s="180" t="s">
        <v>663</v>
      </c>
      <c r="L363" s="180" t="s">
        <v>887</v>
      </c>
      <c r="M363" s="178" t="s">
        <v>36</v>
      </c>
      <c r="N363" s="179">
        <v>43922</v>
      </c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  <c r="AB363" s="138"/>
      <c r="AC363" s="138"/>
      <c r="AD363" s="138"/>
      <c r="AE363" s="138"/>
      <c r="AF363" s="138"/>
      <c r="AG363" s="138"/>
      <c r="AH363" s="138"/>
      <c r="AI363" s="138"/>
      <c r="AJ363" s="138"/>
      <c r="AK363" s="138"/>
      <c r="AL363" s="138"/>
      <c r="AM363" s="138"/>
      <c r="AN363" s="138"/>
      <c r="AO363" s="138"/>
      <c r="AP363" s="138"/>
      <c r="AQ363" s="138"/>
      <c r="AR363" s="138"/>
      <c r="AS363" s="138"/>
    </row>
    <row r="364" spans="1:45" ht="15.75" hidden="1" customHeight="1">
      <c r="A364" s="177">
        <v>34</v>
      </c>
      <c r="B364" s="177" t="s">
        <v>50</v>
      </c>
      <c r="C364" s="178" t="s">
        <v>498</v>
      </c>
      <c r="D364" s="178" t="s">
        <v>940</v>
      </c>
      <c r="E364" s="178">
        <v>8</v>
      </c>
      <c r="F364" s="179">
        <v>38929</v>
      </c>
      <c r="G364" s="180" t="s">
        <v>941</v>
      </c>
      <c r="H364" s="180" t="s">
        <v>942</v>
      </c>
      <c r="I364" s="181" t="s">
        <v>712</v>
      </c>
      <c r="J364" s="180" t="s">
        <v>255</v>
      </c>
      <c r="K364" s="180" t="s">
        <v>663</v>
      </c>
      <c r="L364" s="180" t="s">
        <v>943</v>
      </c>
      <c r="M364" s="178" t="s">
        <v>36</v>
      </c>
      <c r="N364" s="179">
        <v>43922</v>
      </c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  <c r="AB364" s="138"/>
      <c r="AC364" s="138"/>
      <c r="AD364" s="138"/>
      <c r="AE364" s="138"/>
      <c r="AF364" s="138"/>
      <c r="AG364" s="138"/>
      <c r="AH364" s="138"/>
      <c r="AI364" s="138"/>
      <c r="AJ364" s="138"/>
      <c r="AK364" s="138"/>
      <c r="AL364" s="138"/>
      <c r="AM364" s="138"/>
      <c r="AN364" s="138"/>
      <c r="AO364" s="138"/>
      <c r="AP364" s="138"/>
      <c r="AQ364" s="138"/>
      <c r="AR364" s="138"/>
      <c r="AS364" s="138"/>
    </row>
    <row r="365" spans="1:45" ht="15.75" hidden="1" customHeight="1">
      <c r="A365" s="177">
        <v>35</v>
      </c>
      <c r="B365" s="177" t="s">
        <v>91</v>
      </c>
      <c r="C365" s="178" t="s">
        <v>498</v>
      </c>
      <c r="D365" s="178" t="s">
        <v>940</v>
      </c>
      <c r="E365" s="178">
        <v>8</v>
      </c>
      <c r="F365" s="179">
        <v>38929</v>
      </c>
      <c r="G365" s="180" t="s">
        <v>941</v>
      </c>
      <c r="H365" s="180" t="s">
        <v>942</v>
      </c>
      <c r="I365" s="181" t="s">
        <v>712</v>
      </c>
      <c r="J365" s="180" t="s">
        <v>244</v>
      </c>
      <c r="K365" s="180" t="s">
        <v>663</v>
      </c>
      <c r="L365" s="180" t="s">
        <v>943</v>
      </c>
      <c r="M365" s="178" t="s">
        <v>36</v>
      </c>
      <c r="N365" s="179">
        <v>43922</v>
      </c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  <c r="AB365" s="138"/>
      <c r="AC365" s="138"/>
      <c r="AD365" s="138"/>
      <c r="AE365" s="138"/>
      <c r="AF365" s="138"/>
      <c r="AG365" s="138"/>
      <c r="AH365" s="138"/>
      <c r="AI365" s="138"/>
      <c r="AJ365" s="138"/>
      <c r="AK365" s="138"/>
      <c r="AL365" s="138"/>
      <c r="AM365" s="138"/>
      <c r="AN365" s="138"/>
      <c r="AO365" s="138"/>
      <c r="AP365" s="138"/>
      <c r="AQ365" s="138"/>
      <c r="AR365" s="138"/>
      <c r="AS365" s="138"/>
    </row>
    <row r="366" spans="1:45" ht="15.75" hidden="1" customHeight="1">
      <c r="A366" s="177">
        <v>36</v>
      </c>
      <c r="B366" s="177" t="s">
        <v>50</v>
      </c>
      <c r="C366" s="178" t="s">
        <v>944</v>
      </c>
      <c r="D366" s="178" t="s">
        <v>945</v>
      </c>
      <c r="E366" s="178">
        <v>3</v>
      </c>
      <c r="F366" s="179">
        <v>40494</v>
      </c>
      <c r="G366" s="180" t="s">
        <v>946</v>
      </c>
      <c r="H366" s="180" t="s">
        <v>947</v>
      </c>
      <c r="I366" s="181">
        <v>43698</v>
      </c>
      <c r="J366" s="180" t="s">
        <v>186</v>
      </c>
      <c r="K366" s="180" t="s">
        <v>663</v>
      </c>
      <c r="L366" s="180" t="s">
        <v>887</v>
      </c>
      <c r="M366" s="178" t="s">
        <v>36</v>
      </c>
      <c r="N366" s="179">
        <v>43922</v>
      </c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  <c r="AB366" s="138"/>
      <c r="AC366" s="138"/>
      <c r="AD366" s="138"/>
      <c r="AE366" s="138"/>
      <c r="AF366" s="138"/>
      <c r="AG366" s="138"/>
      <c r="AH366" s="138"/>
      <c r="AI366" s="138"/>
      <c r="AJ366" s="138"/>
      <c r="AK366" s="138"/>
      <c r="AL366" s="138"/>
      <c r="AM366" s="138"/>
      <c r="AN366" s="138"/>
      <c r="AO366" s="138"/>
      <c r="AP366" s="138"/>
      <c r="AQ366" s="138"/>
      <c r="AR366" s="138"/>
      <c r="AS366" s="138"/>
    </row>
    <row r="367" spans="1:45" ht="15.75" hidden="1" customHeight="1">
      <c r="A367" s="177">
        <v>37</v>
      </c>
      <c r="B367" s="177" t="s">
        <v>91</v>
      </c>
      <c r="C367" s="178" t="s">
        <v>944</v>
      </c>
      <c r="D367" s="178" t="s">
        <v>945</v>
      </c>
      <c r="E367" s="178">
        <v>3</v>
      </c>
      <c r="F367" s="179">
        <v>40494</v>
      </c>
      <c r="G367" s="180" t="s">
        <v>946</v>
      </c>
      <c r="H367" s="180" t="s">
        <v>947</v>
      </c>
      <c r="I367" s="181">
        <v>43698</v>
      </c>
      <c r="J367" s="180" t="s">
        <v>188</v>
      </c>
      <c r="K367" s="180" t="s">
        <v>663</v>
      </c>
      <c r="L367" s="180" t="s">
        <v>887</v>
      </c>
      <c r="M367" s="178" t="s">
        <v>36</v>
      </c>
      <c r="N367" s="179">
        <v>43922</v>
      </c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  <c r="AB367" s="138"/>
      <c r="AC367" s="138"/>
      <c r="AD367" s="138"/>
      <c r="AE367" s="138"/>
      <c r="AF367" s="138"/>
      <c r="AG367" s="138"/>
      <c r="AH367" s="138"/>
      <c r="AI367" s="138"/>
      <c r="AJ367" s="138"/>
      <c r="AK367" s="138"/>
      <c r="AL367" s="138"/>
      <c r="AM367" s="138"/>
      <c r="AN367" s="138"/>
      <c r="AO367" s="138"/>
      <c r="AP367" s="138"/>
      <c r="AQ367" s="138"/>
      <c r="AR367" s="138"/>
      <c r="AS367" s="138"/>
    </row>
    <row r="368" spans="1:45" ht="15.75" hidden="1" customHeight="1">
      <c r="A368" s="177">
        <v>38</v>
      </c>
      <c r="B368" s="177" t="s">
        <v>50</v>
      </c>
      <c r="C368" s="178" t="s">
        <v>944</v>
      </c>
      <c r="D368" s="178" t="s">
        <v>948</v>
      </c>
      <c r="E368" s="178">
        <v>7</v>
      </c>
      <c r="F368" s="179">
        <v>39115</v>
      </c>
      <c r="G368" s="180" t="s">
        <v>946</v>
      </c>
      <c r="H368" s="180" t="s">
        <v>378</v>
      </c>
      <c r="I368" s="181">
        <v>43698</v>
      </c>
      <c r="J368" s="180" t="s">
        <v>148</v>
      </c>
      <c r="K368" s="180" t="s">
        <v>663</v>
      </c>
      <c r="L368" s="180" t="s">
        <v>887</v>
      </c>
      <c r="M368" s="178" t="s">
        <v>36</v>
      </c>
      <c r="N368" s="179">
        <v>43922</v>
      </c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  <c r="AB368" s="138"/>
      <c r="AC368" s="138"/>
      <c r="AD368" s="138"/>
      <c r="AE368" s="138"/>
      <c r="AF368" s="138"/>
      <c r="AG368" s="138"/>
      <c r="AH368" s="138"/>
      <c r="AI368" s="138"/>
      <c r="AJ368" s="138"/>
      <c r="AK368" s="138"/>
      <c r="AL368" s="138"/>
      <c r="AM368" s="138"/>
      <c r="AN368" s="138"/>
      <c r="AO368" s="138"/>
      <c r="AP368" s="138"/>
      <c r="AQ368" s="138"/>
      <c r="AR368" s="138"/>
      <c r="AS368" s="138"/>
    </row>
    <row r="369" spans="1:45" ht="15.75" hidden="1" customHeight="1">
      <c r="A369" s="177">
        <v>39</v>
      </c>
      <c r="B369" s="177" t="s">
        <v>91</v>
      </c>
      <c r="C369" s="178" t="s">
        <v>944</v>
      </c>
      <c r="D369" s="178" t="s">
        <v>948</v>
      </c>
      <c r="E369" s="178">
        <v>7</v>
      </c>
      <c r="F369" s="179">
        <v>39115</v>
      </c>
      <c r="G369" s="180" t="s">
        <v>946</v>
      </c>
      <c r="H369" s="180" t="s">
        <v>378</v>
      </c>
      <c r="I369" s="181">
        <v>43698</v>
      </c>
      <c r="J369" s="180" t="s">
        <v>244</v>
      </c>
      <c r="K369" s="180" t="s">
        <v>663</v>
      </c>
      <c r="L369" s="180" t="s">
        <v>887</v>
      </c>
      <c r="M369" s="178" t="s">
        <v>36</v>
      </c>
      <c r="N369" s="179">
        <v>43922</v>
      </c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  <c r="AB369" s="138"/>
      <c r="AC369" s="138"/>
      <c r="AD369" s="138"/>
      <c r="AE369" s="138"/>
      <c r="AF369" s="138"/>
      <c r="AG369" s="138"/>
      <c r="AH369" s="138"/>
      <c r="AI369" s="138"/>
      <c r="AJ369" s="138"/>
      <c r="AK369" s="138"/>
      <c r="AL369" s="138"/>
      <c r="AM369" s="138"/>
      <c r="AN369" s="138"/>
      <c r="AO369" s="138"/>
      <c r="AP369" s="138"/>
      <c r="AQ369" s="138"/>
      <c r="AR369" s="138"/>
      <c r="AS369" s="138"/>
    </row>
    <row r="370" spans="1:45" ht="15.75" hidden="1" customHeight="1">
      <c r="A370" s="177">
        <v>40</v>
      </c>
      <c r="B370" s="177" t="s">
        <v>91</v>
      </c>
      <c r="C370" s="178" t="s">
        <v>892</v>
      </c>
      <c r="D370" s="178" t="s">
        <v>479</v>
      </c>
      <c r="E370" s="178">
        <v>5</v>
      </c>
      <c r="F370" s="179" t="s">
        <v>949</v>
      </c>
      <c r="G370" s="180" t="s">
        <v>895</v>
      </c>
      <c r="H370" s="180" t="s">
        <v>829</v>
      </c>
      <c r="I370" s="181">
        <v>43466</v>
      </c>
      <c r="J370" s="180" t="s">
        <v>150</v>
      </c>
      <c r="K370" s="180" t="s">
        <v>663</v>
      </c>
      <c r="L370" s="180" t="s">
        <v>887</v>
      </c>
      <c r="M370" s="178" t="s">
        <v>36</v>
      </c>
      <c r="N370" s="179">
        <v>43922</v>
      </c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  <c r="AB370" s="138"/>
      <c r="AC370" s="138"/>
      <c r="AD370" s="138"/>
      <c r="AE370" s="138"/>
      <c r="AF370" s="138"/>
      <c r="AG370" s="138"/>
      <c r="AH370" s="138"/>
      <c r="AI370" s="138"/>
      <c r="AJ370" s="138"/>
      <c r="AK370" s="138"/>
      <c r="AL370" s="138"/>
      <c r="AM370" s="138"/>
      <c r="AN370" s="138"/>
      <c r="AO370" s="138"/>
      <c r="AP370" s="138"/>
      <c r="AQ370" s="138"/>
      <c r="AR370" s="138"/>
      <c r="AS370" s="138"/>
    </row>
    <row r="371" spans="1:45" ht="15.75" hidden="1" customHeight="1">
      <c r="A371" s="177">
        <v>41</v>
      </c>
      <c r="B371" s="177" t="s">
        <v>50</v>
      </c>
      <c r="C371" s="178" t="s">
        <v>375</v>
      </c>
      <c r="D371" s="178" t="s">
        <v>389</v>
      </c>
      <c r="E371" s="178" t="s">
        <v>178</v>
      </c>
      <c r="F371" s="179">
        <v>42231</v>
      </c>
      <c r="G371" s="180" t="s">
        <v>377</v>
      </c>
      <c r="H371" s="180" t="s">
        <v>378</v>
      </c>
      <c r="I371" s="181">
        <v>43852</v>
      </c>
      <c r="J371" s="180" t="s">
        <v>349</v>
      </c>
      <c r="K371" s="180" t="s">
        <v>663</v>
      </c>
      <c r="L371" s="180" t="s">
        <v>887</v>
      </c>
      <c r="M371" s="178" t="s">
        <v>36</v>
      </c>
      <c r="N371" s="179">
        <v>43922</v>
      </c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  <c r="AB371" s="138"/>
      <c r="AC371" s="138"/>
      <c r="AD371" s="138"/>
      <c r="AE371" s="138"/>
      <c r="AF371" s="138"/>
      <c r="AG371" s="138"/>
      <c r="AH371" s="138"/>
      <c r="AI371" s="138"/>
      <c r="AJ371" s="138"/>
      <c r="AK371" s="138"/>
      <c r="AL371" s="138"/>
      <c r="AM371" s="138"/>
      <c r="AN371" s="138"/>
      <c r="AO371" s="138"/>
      <c r="AP371" s="138"/>
      <c r="AQ371" s="138"/>
      <c r="AR371" s="138"/>
      <c r="AS371" s="138"/>
    </row>
    <row r="372" spans="1:45" ht="15.75" hidden="1" customHeight="1">
      <c r="A372" s="177">
        <v>42</v>
      </c>
      <c r="B372" s="177" t="s">
        <v>50</v>
      </c>
      <c r="C372" s="178" t="s">
        <v>588</v>
      </c>
      <c r="D372" s="178" t="s">
        <v>482</v>
      </c>
      <c r="E372" s="178">
        <v>1</v>
      </c>
      <c r="F372" s="179" t="s">
        <v>950</v>
      </c>
      <c r="G372" s="180" t="s">
        <v>951</v>
      </c>
      <c r="H372" s="180" t="s">
        <v>952</v>
      </c>
      <c r="I372" s="181" t="s">
        <v>953</v>
      </c>
      <c r="J372" s="180" t="s">
        <v>349</v>
      </c>
      <c r="K372" s="180" t="s">
        <v>779</v>
      </c>
      <c r="L372" s="180" t="s">
        <v>887</v>
      </c>
      <c r="M372" s="178" t="s">
        <v>36</v>
      </c>
      <c r="N372" s="179">
        <v>43922</v>
      </c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  <c r="AB372" s="138"/>
      <c r="AC372" s="138"/>
      <c r="AD372" s="138"/>
      <c r="AE372" s="138"/>
      <c r="AF372" s="138"/>
      <c r="AG372" s="138"/>
      <c r="AH372" s="138"/>
      <c r="AI372" s="138"/>
      <c r="AJ372" s="138"/>
      <c r="AK372" s="138"/>
      <c r="AL372" s="138"/>
      <c r="AM372" s="138"/>
      <c r="AN372" s="138"/>
      <c r="AO372" s="138"/>
      <c r="AP372" s="138"/>
      <c r="AQ372" s="138"/>
      <c r="AR372" s="138"/>
      <c r="AS372" s="138"/>
    </row>
    <row r="373" spans="1:45" ht="15.75" hidden="1" customHeight="1">
      <c r="A373" s="177">
        <v>1</v>
      </c>
      <c r="B373" s="177" t="s">
        <v>50</v>
      </c>
      <c r="C373" s="178" t="s">
        <v>375</v>
      </c>
      <c r="D373" s="178" t="s">
        <v>287</v>
      </c>
      <c r="E373" s="178">
        <v>4</v>
      </c>
      <c r="F373" s="179" t="s">
        <v>954</v>
      </c>
      <c r="G373" s="180" t="s">
        <v>384</v>
      </c>
      <c r="H373" s="180" t="s">
        <v>688</v>
      </c>
      <c r="I373" s="181" t="s">
        <v>955</v>
      </c>
      <c r="J373" s="180" t="s">
        <v>956</v>
      </c>
      <c r="K373" s="180" t="s">
        <v>957</v>
      </c>
      <c r="L373" s="180" t="s">
        <v>958</v>
      </c>
      <c r="M373" s="178" t="s">
        <v>36</v>
      </c>
      <c r="N373" s="179">
        <v>43952</v>
      </c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  <c r="AB373" s="138"/>
      <c r="AC373" s="138"/>
      <c r="AD373" s="138"/>
      <c r="AE373" s="138"/>
      <c r="AF373" s="138"/>
      <c r="AG373" s="138"/>
      <c r="AH373" s="138"/>
      <c r="AI373" s="138"/>
      <c r="AJ373" s="138"/>
      <c r="AK373" s="138"/>
      <c r="AL373" s="138"/>
      <c r="AM373" s="138"/>
      <c r="AN373" s="138"/>
      <c r="AO373" s="138"/>
      <c r="AP373" s="138"/>
      <c r="AQ373" s="138"/>
      <c r="AR373" s="138"/>
      <c r="AS373" s="138"/>
    </row>
    <row r="374" spans="1:45" ht="15.75" hidden="1" customHeight="1">
      <c r="A374" s="177">
        <v>2</v>
      </c>
      <c r="B374" s="177" t="s">
        <v>50</v>
      </c>
      <c r="C374" s="178" t="s">
        <v>463</v>
      </c>
      <c r="D374" s="178" t="s">
        <v>959</v>
      </c>
      <c r="E374" s="178">
        <v>7</v>
      </c>
      <c r="F374" s="179">
        <v>39334</v>
      </c>
      <c r="G374" s="180" t="s">
        <v>960</v>
      </c>
      <c r="H374" s="180" t="s">
        <v>961</v>
      </c>
      <c r="I374" s="181">
        <v>43836</v>
      </c>
      <c r="J374" s="180" t="s">
        <v>290</v>
      </c>
      <c r="K374" s="180" t="s">
        <v>663</v>
      </c>
      <c r="L374" s="180" t="s">
        <v>962</v>
      </c>
      <c r="M374" s="178" t="s">
        <v>36</v>
      </c>
      <c r="N374" s="179">
        <v>43952</v>
      </c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  <c r="AB374" s="138"/>
      <c r="AC374" s="138"/>
      <c r="AD374" s="138"/>
      <c r="AE374" s="138"/>
      <c r="AF374" s="138"/>
      <c r="AG374" s="138"/>
      <c r="AH374" s="138"/>
      <c r="AI374" s="138"/>
      <c r="AJ374" s="138"/>
      <c r="AK374" s="138"/>
      <c r="AL374" s="138"/>
      <c r="AM374" s="138"/>
      <c r="AN374" s="138"/>
      <c r="AO374" s="138"/>
      <c r="AP374" s="138"/>
      <c r="AQ374" s="138"/>
      <c r="AR374" s="138"/>
      <c r="AS374" s="138"/>
    </row>
    <row r="375" spans="1:45" ht="15.75" hidden="1" customHeight="1">
      <c r="A375" s="177">
        <v>3</v>
      </c>
      <c r="B375" s="177" t="s">
        <v>91</v>
      </c>
      <c r="C375" s="178" t="s">
        <v>463</v>
      </c>
      <c r="D375" s="178" t="s">
        <v>959</v>
      </c>
      <c r="E375" s="178">
        <v>7</v>
      </c>
      <c r="F375" s="179">
        <v>39334</v>
      </c>
      <c r="G375" s="180" t="s">
        <v>960</v>
      </c>
      <c r="H375" s="180" t="s">
        <v>961</v>
      </c>
      <c r="I375" s="181">
        <v>43836</v>
      </c>
      <c r="J375" s="180" t="s">
        <v>244</v>
      </c>
      <c r="K375" s="180" t="s">
        <v>957</v>
      </c>
      <c r="L375" s="180" t="s">
        <v>962</v>
      </c>
      <c r="M375" s="178" t="s">
        <v>36</v>
      </c>
      <c r="N375" s="179">
        <v>43952</v>
      </c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  <c r="AB375" s="138"/>
      <c r="AC375" s="138"/>
      <c r="AD375" s="138"/>
      <c r="AE375" s="138"/>
      <c r="AF375" s="138"/>
      <c r="AG375" s="138"/>
      <c r="AH375" s="138"/>
      <c r="AI375" s="138"/>
      <c r="AJ375" s="138"/>
      <c r="AK375" s="138"/>
      <c r="AL375" s="138"/>
      <c r="AM375" s="138"/>
      <c r="AN375" s="138"/>
      <c r="AO375" s="138"/>
      <c r="AP375" s="138"/>
      <c r="AQ375" s="138"/>
      <c r="AR375" s="138"/>
      <c r="AS375" s="138"/>
    </row>
    <row r="376" spans="1:45" ht="15.75" hidden="1" customHeight="1">
      <c r="A376" s="177">
        <v>4</v>
      </c>
      <c r="B376" s="177" t="s">
        <v>50</v>
      </c>
      <c r="C376" s="178" t="s">
        <v>963</v>
      </c>
      <c r="D376" s="178" t="s">
        <v>964</v>
      </c>
      <c r="E376" s="178">
        <v>4</v>
      </c>
      <c r="F376" s="179">
        <v>40170</v>
      </c>
      <c r="G376" s="180" t="s">
        <v>965</v>
      </c>
      <c r="H376" s="180" t="s">
        <v>732</v>
      </c>
      <c r="I376" s="181">
        <v>43696</v>
      </c>
      <c r="J376" s="180" t="s">
        <v>186</v>
      </c>
      <c r="K376" s="180" t="s">
        <v>272</v>
      </c>
      <c r="L376" s="180" t="s">
        <v>966</v>
      </c>
      <c r="M376" s="178" t="s">
        <v>36</v>
      </c>
      <c r="N376" s="179">
        <v>43952</v>
      </c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  <c r="AB376" s="138"/>
      <c r="AC376" s="138"/>
      <c r="AD376" s="138"/>
      <c r="AE376" s="138"/>
      <c r="AF376" s="138"/>
      <c r="AG376" s="138"/>
      <c r="AH376" s="138"/>
      <c r="AI376" s="138"/>
      <c r="AJ376" s="138"/>
      <c r="AK376" s="138"/>
      <c r="AL376" s="138"/>
      <c r="AM376" s="138"/>
      <c r="AN376" s="138"/>
      <c r="AO376" s="138"/>
      <c r="AP376" s="138"/>
      <c r="AQ376" s="138"/>
      <c r="AR376" s="138"/>
      <c r="AS376" s="138"/>
    </row>
    <row r="377" spans="1:45" ht="15.75" hidden="1" customHeight="1">
      <c r="A377" s="177">
        <v>5</v>
      </c>
      <c r="B377" s="177" t="s">
        <v>91</v>
      </c>
      <c r="C377" s="178" t="s">
        <v>963</v>
      </c>
      <c r="D377" s="178" t="s">
        <v>964</v>
      </c>
      <c r="E377" s="178">
        <v>4</v>
      </c>
      <c r="F377" s="179">
        <v>40170</v>
      </c>
      <c r="G377" s="180" t="s">
        <v>965</v>
      </c>
      <c r="H377" s="180" t="s">
        <v>732</v>
      </c>
      <c r="I377" s="181">
        <v>43696</v>
      </c>
      <c r="J377" s="180" t="s">
        <v>141</v>
      </c>
      <c r="K377" s="180" t="s">
        <v>272</v>
      </c>
      <c r="L377" s="180" t="s">
        <v>966</v>
      </c>
      <c r="M377" s="178" t="s">
        <v>36</v>
      </c>
      <c r="N377" s="179">
        <v>43952</v>
      </c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  <c r="AB377" s="138"/>
      <c r="AC377" s="138"/>
      <c r="AD377" s="138"/>
      <c r="AE377" s="138"/>
      <c r="AF377" s="138"/>
      <c r="AG377" s="138"/>
      <c r="AH377" s="138"/>
      <c r="AI377" s="138"/>
      <c r="AJ377" s="138"/>
      <c r="AK377" s="138"/>
      <c r="AL377" s="138"/>
      <c r="AM377" s="138"/>
      <c r="AN377" s="138"/>
      <c r="AO377" s="138"/>
      <c r="AP377" s="138"/>
      <c r="AQ377" s="138"/>
      <c r="AR377" s="138"/>
      <c r="AS377" s="138"/>
    </row>
    <row r="378" spans="1:45" ht="15.75" hidden="1" customHeight="1">
      <c r="A378" s="177">
        <v>6</v>
      </c>
      <c r="B378" s="177" t="s">
        <v>50</v>
      </c>
      <c r="C378" s="178" t="s">
        <v>967</v>
      </c>
      <c r="D378" s="178" t="s">
        <v>763</v>
      </c>
      <c r="E378" s="178">
        <v>3</v>
      </c>
      <c r="F378" s="179">
        <v>40644</v>
      </c>
      <c r="G378" s="180" t="s">
        <v>968</v>
      </c>
      <c r="H378" s="180" t="s">
        <v>969</v>
      </c>
      <c r="I378" s="181">
        <v>43836</v>
      </c>
      <c r="J378" s="180" t="s">
        <v>186</v>
      </c>
      <c r="K378" s="180" t="s">
        <v>626</v>
      </c>
      <c r="L378" s="180" t="s">
        <v>970</v>
      </c>
      <c r="M378" s="178" t="s">
        <v>36</v>
      </c>
      <c r="N378" s="179">
        <v>43952</v>
      </c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  <c r="AB378" s="138"/>
      <c r="AC378" s="138"/>
      <c r="AD378" s="138"/>
      <c r="AE378" s="138"/>
      <c r="AF378" s="138"/>
      <c r="AG378" s="138"/>
      <c r="AH378" s="138"/>
      <c r="AI378" s="138"/>
      <c r="AJ378" s="138"/>
      <c r="AK378" s="138"/>
      <c r="AL378" s="138"/>
      <c r="AM378" s="138"/>
      <c r="AN378" s="138"/>
      <c r="AO378" s="138"/>
      <c r="AP378" s="138"/>
      <c r="AQ378" s="138"/>
      <c r="AR378" s="138"/>
      <c r="AS378" s="138"/>
    </row>
    <row r="379" spans="1:45" ht="15.75" hidden="1" customHeight="1">
      <c r="A379" s="177">
        <v>7</v>
      </c>
      <c r="B379" s="177" t="s">
        <v>91</v>
      </c>
      <c r="C379" s="178" t="s">
        <v>967</v>
      </c>
      <c r="D379" s="178" t="s">
        <v>763</v>
      </c>
      <c r="E379" s="178">
        <v>3</v>
      </c>
      <c r="F379" s="179">
        <v>40644</v>
      </c>
      <c r="G379" s="180" t="s">
        <v>968</v>
      </c>
      <c r="H379" s="180" t="s">
        <v>969</v>
      </c>
      <c r="I379" s="181">
        <v>43836</v>
      </c>
      <c r="J379" s="180" t="s">
        <v>121</v>
      </c>
      <c r="K379" s="180" t="s">
        <v>626</v>
      </c>
      <c r="L379" s="180" t="s">
        <v>970</v>
      </c>
      <c r="M379" s="178" t="s">
        <v>36</v>
      </c>
      <c r="N379" s="179">
        <v>43952</v>
      </c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  <c r="AB379" s="138"/>
      <c r="AC379" s="138"/>
      <c r="AD379" s="138"/>
      <c r="AE379" s="138"/>
      <c r="AF379" s="138"/>
      <c r="AG379" s="138"/>
      <c r="AH379" s="138"/>
      <c r="AI379" s="138"/>
      <c r="AJ379" s="138"/>
      <c r="AK379" s="138"/>
      <c r="AL379" s="138"/>
      <c r="AM379" s="138"/>
      <c r="AN379" s="138"/>
      <c r="AO379" s="138"/>
      <c r="AP379" s="138"/>
      <c r="AQ379" s="138"/>
      <c r="AR379" s="138"/>
      <c r="AS379" s="138"/>
    </row>
    <row r="380" spans="1:45" ht="15.75" hidden="1" customHeight="1">
      <c r="A380" s="177">
        <v>8</v>
      </c>
      <c r="B380" s="177" t="s">
        <v>50</v>
      </c>
      <c r="C380" s="178" t="s">
        <v>463</v>
      </c>
      <c r="D380" s="178" t="s">
        <v>971</v>
      </c>
      <c r="E380" s="178">
        <v>4</v>
      </c>
      <c r="F380" s="179">
        <v>39972</v>
      </c>
      <c r="G380" s="180" t="s">
        <v>960</v>
      </c>
      <c r="H380" s="180" t="s">
        <v>961</v>
      </c>
      <c r="I380" s="181">
        <v>43836</v>
      </c>
      <c r="J380" s="180" t="s">
        <v>204</v>
      </c>
      <c r="K380" s="180" t="s">
        <v>957</v>
      </c>
      <c r="L380" s="180" t="s">
        <v>962</v>
      </c>
      <c r="M380" s="178" t="s">
        <v>36</v>
      </c>
      <c r="N380" s="179">
        <v>43952</v>
      </c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  <c r="AB380" s="138"/>
      <c r="AC380" s="138"/>
      <c r="AD380" s="138"/>
      <c r="AE380" s="138"/>
      <c r="AF380" s="138"/>
      <c r="AG380" s="138"/>
      <c r="AH380" s="138"/>
      <c r="AI380" s="138"/>
      <c r="AJ380" s="138"/>
      <c r="AK380" s="138"/>
      <c r="AL380" s="138"/>
      <c r="AM380" s="138"/>
      <c r="AN380" s="138"/>
      <c r="AO380" s="138"/>
      <c r="AP380" s="138"/>
      <c r="AQ380" s="138"/>
      <c r="AR380" s="138"/>
      <c r="AS380" s="138"/>
    </row>
    <row r="381" spans="1:45" ht="15.75" hidden="1" customHeight="1">
      <c r="A381" s="177">
        <v>9</v>
      </c>
      <c r="B381" s="177" t="s">
        <v>91</v>
      </c>
      <c r="C381" s="178" t="s">
        <v>463</v>
      </c>
      <c r="D381" s="178" t="s">
        <v>971</v>
      </c>
      <c r="E381" s="178">
        <v>4</v>
      </c>
      <c r="F381" s="179">
        <v>39972</v>
      </c>
      <c r="G381" s="180" t="s">
        <v>960</v>
      </c>
      <c r="H381" s="180" t="s">
        <v>961</v>
      </c>
      <c r="I381" s="181">
        <v>43836</v>
      </c>
      <c r="J381" s="180" t="s">
        <v>221</v>
      </c>
      <c r="K381" s="180" t="s">
        <v>957</v>
      </c>
      <c r="L381" s="180" t="s">
        <v>962</v>
      </c>
      <c r="M381" s="178" t="s">
        <v>36</v>
      </c>
      <c r="N381" s="179">
        <v>43952</v>
      </c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  <c r="AB381" s="138"/>
      <c r="AC381" s="138"/>
      <c r="AD381" s="138"/>
      <c r="AE381" s="138"/>
      <c r="AF381" s="138"/>
      <c r="AG381" s="138"/>
      <c r="AH381" s="138"/>
      <c r="AI381" s="138"/>
      <c r="AJ381" s="138"/>
      <c r="AK381" s="138"/>
      <c r="AL381" s="138"/>
      <c r="AM381" s="138"/>
      <c r="AN381" s="138"/>
      <c r="AO381" s="138"/>
      <c r="AP381" s="138"/>
      <c r="AQ381" s="138"/>
      <c r="AR381" s="138"/>
      <c r="AS381" s="138"/>
    </row>
    <row r="382" spans="1:45" ht="15.75" hidden="1" customHeight="1">
      <c r="A382" s="177">
        <v>10</v>
      </c>
      <c r="B382" s="177" t="s">
        <v>50</v>
      </c>
      <c r="C382" s="178" t="s">
        <v>972</v>
      </c>
      <c r="D382" s="178" t="s">
        <v>973</v>
      </c>
      <c r="E382" s="178">
        <v>1</v>
      </c>
      <c r="F382" s="179">
        <v>41108</v>
      </c>
      <c r="G382" s="180" t="s">
        <v>974</v>
      </c>
      <c r="H382" s="180" t="s">
        <v>975</v>
      </c>
      <c r="I382" s="181">
        <v>43497</v>
      </c>
      <c r="J382" s="180" t="s">
        <v>148</v>
      </c>
      <c r="K382" s="180" t="s">
        <v>663</v>
      </c>
      <c r="L382" s="180" t="s">
        <v>962</v>
      </c>
      <c r="M382" s="178" t="s">
        <v>36</v>
      </c>
      <c r="N382" s="179">
        <v>43952</v>
      </c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  <c r="AB382" s="138"/>
      <c r="AC382" s="138"/>
      <c r="AD382" s="138"/>
      <c r="AE382" s="138"/>
      <c r="AF382" s="138"/>
      <c r="AG382" s="138"/>
      <c r="AH382" s="138"/>
      <c r="AI382" s="138"/>
      <c r="AJ382" s="138"/>
      <c r="AK382" s="138"/>
      <c r="AL382" s="138"/>
      <c r="AM382" s="138"/>
      <c r="AN382" s="138"/>
      <c r="AO382" s="138"/>
      <c r="AP382" s="138"/>
      <c r="AQ382" s="138"/>
      <c r="AR382" s="138"/>
      <c r="AS382" s="138"/>
    </row>
    <row r="383" spans="1:45" ht="15.75" hidden="1" customHeight="1">
      <c r="A383" s="177">
        <v>11</v>
      </c>
      <c r="B383" s="177" t="s">
        <v>91</v>
      </c>
      <c r="C383" s="178" t="s">
        <v>972</v>
      </c>
      <c r="D383" s="178" t="s">
        <v>973</v>
      </c>
      <c r="E383" s="178">
        <v>2</v>
      </c>
      <c r="F383" s="179">
        <v>41108</v>
      </c>
      <c r="G383" s="180" t="s">
        <v>976</v>
      </c>
      <c r="H383" s="180" t="s">
        <v>975</v>
      </c>
      <c r="I383" s="181" t="s">
        <v>712</v>
      </c>
      <c r="J383" s="180" t="s">
        <v>150</v>
      </c>
      <c r="K383" s="180" t="s">
        <v>663</v>
      </c>
      <c r="L383" s="180" t="s">
        <v>962</v>
      </c>
      <c r="M383" s="178" t="s">
        <v>36</v>
      </c>
      <c r="N383" s="179">
        <v>43952</v>
      </c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  <c r="AB383" s="138"/>
      <c r="AC383" s="138"/>
      <c r="AD383" s="138"/>
      <c r="AE383" s="138"/>
      <c r="AF383" s="138"/>
      <c r="AG383" s="138"/>
      <c r="AH383" s="138"/>
      <c r="AI383" s="138"/>
      <c r="AJ383" s="138"/>
      <c r="AK383" s="138"/>
      <c r="AL383" s="138"/>
      <c r="AM383" s="138"/>
      <c r="AN383" s="138"/>
      <c r="AO383" s="138"/>
      <c r="AP383" s="138"/>
      <c r="AQ383" s="138"/>
      <c r="AR383" s="138"/>
      <c r="AS383" s="138"/>
    </row>
    <row r="384" spans="1:45" ht="15.75" hidden="1" customHeight="1">
      <c r="A384" s="177">
        <v>12</v>
      </c>
      <c r="B384" s="177" t="s">
        <v>50</v>
      </c>
      <c r="C384" s="178" t="s">
        <v>977</v>
      </c>
      <c r="D384" s="178" t="s">
        <v>978</v>
      </c>
      <c r="E384" s="178">
        <v>1</v>
      </c>
      <c r="F384" s="179">
        <v>41522</v>
      </c>
      <c r="G384" s="180" t="s">
        <v>979</v>
      </c>
      <c r="H384" s="180" t="e">
        <v>#VALUE!</v>
      </c>
      <c r="I384" s="181">
        <v>43693</v>
      </c>
      <c r="J384" s="180" t="s">
        <v>124</v>
      </c>
      <c r="K384" s="180" t="s">
        <v>663</v>
      </c>
      <c r="L384" s="180" t="s">
        <v>962</v>
      </c>
      <c r="M384" s="178" t="s">
        <v>36</v>
      </c>
      <c r="N384" s="179">
        <v>43952</v>
      </c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  <c r="AB384" s="138"/>
      <c r="AC384" s="138"/>
      <c r="AD384" s="138"/>
      <c r="AE384" s="138"/>
      <c r="AF384" s="138"/>
      <c r="AG384" s="138"/>
      <c r="AH384" s="138"/>
      <c r="AI384" s="138"/>
      <c r="AJ384" s="138"/>
      <c r="AK384" s="138"/>
      <c r="AL384" s="138"/>
      <c r="AM384" s="138"/>
      <c r="AN384" s="138"/>
      <c r="AO384" s="138"/>
      <c r="AP384" s="138"/>
      <c r="AQ384" s="138"/>
      <c r="AR384" s="138"/>
      <c r="AS384" s="138"/>
    </row>
    <row r="385" spans="1:45" ht="15.75" hidden="1" customHeight="1">
      <c r="A385" s="177">
        <v>13</v>
      </c>
      <c r="B385" s="177" t="s">
        <v>91</v>
      </c>
      <c r="C385" s="178" t="s">
        <v>977</v>
      </c>
      <c r="D385" s="178" t="s">
        <v>978</v>
      </c>
      <c r="E385" s="178">
        <v>1</v>
      </c>
      <c r="F385" s="179">
        <v>41522</v>
      </c>
      <c r="G385" s="180" t="s">
        <v>979</v>
      </c>
      <c r="H385" s="180" t="e">
        <v>#VALUE!</v>
      </c>
      <c r="I385" s="181">
        <v>43693</v>
      </c>
      <c r="J385" s="180" t="s">
        <v>121</v>
      </c>
      <c r="K385" s="180" t="s">
        <v>663</v>
      </c>
      <c r="L385" s="180" t="s">
        <v>962</v>
      </c>
      <c r="M385" s="178" t="s">
        <v>36</v>
      </c>
      <c r="N385" s="179">
        <v>43952</v>
      </c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  <c r="AB385" s="138"/>
      <c r="AC385" s="138"/>
      <c r="AD385" s="138"/>
      <c r="AE385" s="138"/>
      <c r="AF385" s="138"/>
      <c r="AG385" s="138"/>
      <c r="AH385" s="138"/>
      <c r="AI385" s="138"/>
      <c r="AJ385" s="138"/>
      <c r="AK385" s="138"/>
      <c r="AL385" s="138"/>
      <c r="AM385" s="138"/>
      <c r="AN385" s="138"/>
      <c r="AO385" s="138"/>
      <c r="AP385" s="138"/>
      <c r="AQ385" s="138"/>
      <c r="AR385" s="138"/>
      <c r="AS385" s="138"/>
    </row>
    <row r="386" spans="1:45" ht="15.75" hidden="1" customHeight="1">
      <c r="A386" s="177">
        <v>14</v>
      </c>
      <c r="B386" s="177" t="s">
        <v>50</v>
      </c>
      <c r="C386" s="178" t="s">
        <v>977</v>
      </c>
      <c r="D386" s="178" t="s">
        <v>980</v>
      </c>
      <c r="E386" s="178">
        <v>3</v>
      </c>
      <c r="F386" s="179">
        <v>40436</v>
      </c>
      <c r="G386" s="180" t="s">
        <v>979</v>
      </c>
      <c r="H386" s="180" t="e">
        <v>#VALUE!</v>
      </c>
      <c r="I386" s="181">
        <v>43693</v>
      </c>
      <c r="J386" s="180" t="s">
        <v>358</v>
      </c>
      <c r="K386" s="180" t="s">
        <v>663</v>
      </c>
      <c r="L386" s="180" t="s">
        <v>962</v>
      </c>
      <c r="M386" s="178" t="s">
        <v>36</v>
      </c>
      <c r="N386" s="179">
        <v>43952</v>
      </c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  <c r="AB386" s="138"/>
      <c r="AC386" s="138"/>
      <c r="AD386" s="138"/>
      <c r="AE386" s="138"/>
      <c r="AF386" s="138"/>
      <c r="AG386" s="138"/>
      <c r="AH386" s="138"/>
      <c r="AI386" s="138"/>
      <c r="AJ386" s="138"/>
      <c r="AK386" s="138"/>
      <c r="AL386" s="138"/>
      <c r="AM386" s="138"/>
      <c r="AN386" s="138"/>
      <c r="AO386" s="138"/>
      <c r="AP386" s="138"/>
      <c r="AQ386" s="138"/>
      <c r="AR386" s="138"/>
      <c r="AS386" s="138"/>
    </row>
    <row r="387" spans="1:45" ht="15.75" hidden="1" customHeight="1">
      <c r="A387" s="177">
        <v>15</v>
      </c>
      <c r="B387" s="177" t="s">
        <v>91</v>
      </c>
      <c r="C387" s="178" t="s">
        <v>977</v>
      </c>
      <c r="D387" s="178" t="s">
        <v>980</v>
      </c>
      <c r="E387" s="178">
        <v>3</v>
      </c>
      <c r="F387" s="179">
        <v>40436</v>
      </c>
      <c r="G387" s="180" t="s">
        <v>979</v>
      </c>
      <c r="H387" s="180" t="e">
        <v>#VALUE!</v>
      </c>
      <c r="I387" s="181">
        <v>43693</v>
      </c>
      <c r="J387" s="180" t="s">
        <v>221</v>
      </c>
      <c r="K387" s="180" t="s">
        <v>663</v>
      </c>
      <c r="L387" s="180" t="s">
        <v>962</v>
      </c>
      <c r="M387" s="178" t="s">
        <v>36</v>
      </c>
      <c r="N387" s="179">
        <v>43952</v>
      </c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  <c r="AB387" s="138"/>
      <c r="AC387" s="138"/>
      <c r="AD387" s="138"/>
      <c r="AE387" s="138"/>
      <c r="AF387" s="138"/>
      <c r="AG387" s="138"/>
      <c r="AH387" s="138"/>
      <c r="AI387" s="138"/>
      <c r="AJ387" s="138"/>
      <c r="AK387" s="138"/>
      <c r="AL387" s="138"/>
      <c r="AM387" s="138"/>
      <c r="AN387" s="138"/>
      <c r="AO387" s="138"/>
      <c r="AP387" s="138"/>
      <c r="AQ387" s="138"/>
      <c r="AR387" s="138"/>
      <c r="AS387" s="138"/>
    </row>
    <row r="388" spans="1:45" ht="15.75" hidden="1" customHeight="1">
      <c r="A388" s="177">
        <v>1</v>
      </c>
      <c r="B388" s="177" t="s">
        <v>50</v>
      </c>
      <c r="C388" s="178" t="s">
        <v>245</v>
      </c>
      <c r="D388" s="178" t="s">
        <v>981</v>
      </c>
      <c r="E388" s="178">
        <v>4</v>
      </c>
      <c r="F388" s="179">
        <v>40260</v>
      </c>
      <c r="G388" s="180" t="s">
        <v>982</v>
      </c>
      <c r="H388" s="180" t="s">
        <v>983</v>
      </c>
      <c r="I388" s="181">
        <v>43851</v>
      </c>
      <c r="J388" s="180" t="s">
        <v>249</v>
      </c>
      <c r="K388" s="180" t="s">
        <v>272</v>
      </c>
      <c r="L388" s="180" t="s">
        <v>984</v>
      </c>
      <c r="M388" s="178" t="s">
        <v>36</v>
      </c>
      <c r="N388" s="179">
        <v>43983</v>
      </c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  <c r="AB388" s="138"/>
      <c r="AC388" s="138"/>
      <c r="AD388" s="138"/>
      <c r="AE388" s="138"/>
      <c r="AF388" s="138"/>
      <c r="AG388" s="138"/>
      <c r="AH388" s="138"/>
      <c r="AI388" s="138"/>
      <c r="AJ388" s="138"/>
      <c r="AK388" s="138"/>
      <c r="AL388" s="138"/>
      <c r="AM388" s="138"/>
      <c r="AN388" s="138"/>
      <c r="AO388" s="138"/>
      <c r="AP388" s="138"/>
      <c r="AQ388" s="138"/>
      <c r="AR388" s="138"/>
      <c r="AS388" s="138"/>
    </row>
    <row r="389" spans="1:45" ht="15.75" hidden="1" customHeight="1">
      <c r="A389" s="177">
        <v>2</v>
      </c>
      <c r="B389" s="177" t="s">
        <v>91</v>
      </c>
      <c r="C389" s="178" t="s">
        <v>245</v>
      </c>
      <c r="D389" s="178" t="s">
        <v>981</v>
      </c>
      <c r="E389" s="178">
        <v>4</v>
      </c>
      <c r="F389" s="179">
        <v>40260</v>
      </c>
      <c r="G389" s="180" t="s">
        <v>982</v>
      </c>
      <c r="H389" s="180" t="s">
        <v>983</v>
      </c>
      <c r="I389" s="181">
        <v>43851</v>
      </c>
      <c r="J389" s="180" t="s">
        <v>244</v>
      </c>
      <c r="K389" s="180" t="s">
        <v>646</v>
      </c>
      <c r="L389" s="180" t="s">
        <v>984</v>
      </c>
      <c r="M389" s="178" t="s">
        <v>36</v>
      </c>
      <c r="N389" s="179">
        <v>43983</v>
      </c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  <c r="AB389" s="138"/>
      <c r="AC389" s="138"/>
      <c r="AD389" s="138"/>
      <c r="AE389" s="138"/>
      <c r="AF389" s="138"/>
      <c r="AG389" s="138"/>
      <c r="AH389" s="138"/>
      <c r="AI389" s="138"/>
      <c r="AJ389" s="138"/>
      <c r="AK389" s="138"/>
      <c r="AL389" s="138"/>
      <c r="AM389" s="138"/>
      <c r="AN389" s="138"/>
      <c r="AO389" s="138"/>
      <c r="AP389" s="138"/>
      <c r="AQ389" s="138"/>
      <c r="AR389" s="138"/>
      <c r="AS389" s="138"/>
    </row>
    <row r="390" spans="1:45" ht="15.75" hidden="1" customHeight="1">
      <c r="A390" s="177">
        <v>3</v>
      </c>
      <c r="B390" s="177" t="s">
        <v>50</v>
      </c>
      <c r="C390" s="178" t="s">
        <v>562</v>
      </c>
      <c r="D390" s="178" t="s">
        <v>563</v>
      </c>
      <c r="E390" s="178">
        <v>1</v>
      </c>
      <c r="F390" s="179">
        <v>40867</v>
      </c>
      <c r="G390" s="180" t="s">
        <v>564</v>
      </c>
      <c r="H390" s="180" t="s">
        <v>565</v>
      </c>
      <c r="I390" s="181">
        <v>43836</v>
      </c>
      <c r="J390" s="180" t="s">
        <v>358</v>
      </c>
      <c r="K390" s="180" t="s">
        <v>663</v>
      </c>
      <c r="L390" s="180" t="s">
        <v>985</v>
      </c>
      <c r="M390" s="178" t="s">
        <v>36</v>
      </c>
      <c r="N390" s="179">
        <v>43983</v>
      </c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  <c r="AB390" s="138"/>
      <c r="AC390" s="138"/>
      <c r="AD390" s="138"/>
      <c r="AE390" s="138"/>
      <c r="AF390" s="138"/>
      <c r="AG390" s="138"/>
      <c r="AH390" s="138"/>
      <c r="AI390" s="138"/>
      <c r="AJ390" s="138"/>
      <c r="AK390" s="138"/>
      <c r="AL390" s="138"/>
      <c r="AM390" s="138"/>
      <c r="AN390" s="138"/>
      <c r="AO390" s="138"/>
      <c r="AP390" s="138"/>
      <c r="AQ390" s="138"/>
      <c r="AR390" s="138"/>
      <c r="AS390" s="138"/>
    </row>
    <row r="391" spans="1:45" ht="15.75" hidden="1" customHeight="1">
      <c r="A391" s="177">
        <v>4</v>
      </c>
      <c r="B391" s="177" t="s">
        <v>91</v>
      </c>
      <c r="C391" s="178" t="s">
        <v>562</v>
      </c>
      <c r="D391" s="178" t="s">
        <v>563</v>
      </c>
      <c r="E391" s="178">
        <v>1</v>
      </c>
      <c r="F391" s="179">
        <v>40867</v>
      </c>
      <c r="G391" s="180" t="s">
        <v>564</v>
      </c>
      <c r="H391" s="180" t="s">
        <v>565</v>
      </c>
      <c r="I391" s="181">
        <v>43836</v>
      </c>
      <c r="J391" s="180" t="s">
        <v>121</v>
      </c>
      <c r="K391" s="180" t="s">
        <v>957</v>
      </c>
      <c r="L391" s="180" t="s">
        <v>985</v>
      </c>
      <c r="M391" s="178" t="s">
        <v>36</v>
      </c>
      <c r="N391" s="179">
        <v>43983</v>
      </c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  <c r="AB391" s="138"/>
      <c r="AC391" s="138"/>
      <c r="AD391" s="138"/>
      <c r="AE391" s="138"/>
      <c r="AF391" s="138"/>
      <c r="AG391" s="138"/>
      <c r="AH391" s="138"/>
      <c r="AI391" s="138"/>
      <c r="AJ391" s="138"/>
      <c r="AK391" s="138"/>
      <c r="AL391" s="138"/>
      <c r="AM391" s="138"/>
      <c r="AN391" s="138"/>
      <c r="AO391" s="138"/>
      <c r="AP391" s="138"/>
      <c r="AQ391" s="138"/>
      <c r="AR391" s="138"/>
      <c r="AS391" s="138"/>
    </row>
    <row r="392" spans="1:45" ht="15.75" hidden="1" customHeight="1">
      <c r="A392" s="177">
        <v>5</v>
      </c>
      <c r="B392" s="177" t="s">
        <v>50</v>
      </c>
      <c r="C392" s="178" t="s">
        <v>986</v>
      </c>
      <c r="D392" s="178" t="s">
        <v>987</v>
      </c>
      <c r="E392" s="178">
        <v>5</v>
      </c>
      <c r="F392" s="179">
        <v>39827</v>
      </c>
      <c r="G392" s="180" t="s">
        <v>988</v>
      </c>
      <c r="H392" s="180" t="s">
        <v>686</v>
      </c>
      <c r="I392" s="181">
        <v>43696</v>
      </c>
      <c r="J392" s="180" t="s">
        <v>296</v>
      </c>
      <c r="K392" s="180" t="s">
        <v>272</v>
      </c>
      <c r="L392" s="180" t="s">
        <v>962</v>
      </c>
      <c r="M392" s="178" t="s">
        <v>36</v>
      </c>
      <c r="N392" s="179">
        <v>43983</v>
      </c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  <c r="AB392" s="138"/>
      <c r="AC392" s="138"/>
      <c r="AD392" s="138"/>
      <c r="AE392" s="138"/>
      <c r="AF392" s="138"/>
      <c r="AG392" s="138"/>
      <c r="AH392" s="138"/>
      <c r="AI392" s="138"/>
      <c r="AJ392" s="138"/>
      <c r="AK392" s="138"/>
      <c r="AL392" s="138"/>
      <c r="AM392" s="138"/>
      <c r="AN392" s="138"/>
      <c r="AO392" s="138"/>
      <c r="AP392" s="138"/>
      <c r="AQ392" s="138"/>
      <c r="AR392" s="138"/>
      <c r="AS392" s="138"/>
    </row>
    <row r="393" spans="1:45" ht="15.75" hidden="1" customHeight="1">
      <c r="A393" s="177">
        <v>6</v>
      </c>
      <c r="B393" s="177" t="s">
        <v>91</v>
      </c>
      <c r="C393" s="178" t="s">
        <v>986</v>
      </c>
      <c r="D393" s="178" t="s">
        <v>987</v>
      </c>
      <c r="E393" s="178">
        <v>5</v>
      </c>
      <c r="F393" s="179">
        <v>39827</v>
      </c>
      <c r="G393" s="180" t="s">
        <v>988</v>
      </c>
      <c r="H393" s="180" t="s">
        <v>686</v>
      </c>
      <c r="I393" s="181">
        <v>43696</v>
      </c>
      <c r="J393" s="180" t="s">
        <v>167</v>
      </c>
      <c r="K393" s="180" t="s">
        <v>272</v>
      </c>
      <c r="L393" s="180" t="s">
        <v>962</v>
      </c>
      <c r="M393" s="178" t="s">
        <v>36</v>
      </c>
      <c r="N393" s="179">
        <v>43983</v>
      </c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  <c r="AB393" s="138"/>
      <c r="AC393" s="138"/>
      <c r="AD393" s="138"/>
      <c r="AE393" s="138"/>
      <c r="AF393" s="138"/>
      <c r="AG393" s="138"/>
      <c r="AH393" s="138"/>
      <c r="AI393" s="138"/>
      <c r="AJ393" s="138"/>
      <c r="AK393" s="138"/>
      <c r="AL393" s="138"/>
      <c r="AM393" s="138"/>
      <c r="AN393" s="138"/>
      <c r="AO393" s="138"/>
      <c r="AP393" s="138"/>
      <c r="AQ393" s="138"/>
      <c r="AR393" s="138"/>
      <c r="AS393" s="138"/>
    </row>
    <row r="394" spans="1:45" ht="15.75" hidden="1" customHeight="1">
      <c r="A394" s="177">
        <v>7</v>
      </c>
      <c r="B394" s="177" t="s">
        <v>50</v>
      </c>
      <c r="C394" s="178" t="s">
        <v>986</v>
      </c>
      <c r="D394" s="178" t="s">
        <v>989</v>
      </c>
      <c r="E394" s="178">
        <v>2</v>
      </c>
      <c r="F394" s="179">
        <v>41059</v>
      </c>
      <c r="G394" s="180" t="s">
        <v>988</v>
      </c>
      <c r="H394" s="180" t="s">
        <v>916</v>
      </c>
      <c r="I394" s="181">
        <v>43696</v>
      </c>
      <c r="J394" s="180" t="s">
        <v>255</v>
      </c>
      <c r="K394" s="180" t="s">
        <v>272</v>
      </c>
      <c r="L394" s="180" t="s">
        <v>990</v>
      </c>
      <c r="M394" s="178" t="s">
        <v>36</v>
      </c>
      <c r="N394" s="179">
        <v>43983</v>
      </c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  <c r="AB394" s="138"/>
      <c r="AC394" s="138"/>
      <c r="AD394" s="138"/>
      <c r="AE394" s="138"/>
      <c r="AF394" s="138"/>
      <c r="AG394" s="138"/>
      <c r="AH394" s="138"/>
      <c r="AI394" s="138"/>
      <c r="AJ394" s="138"/>
      <c r="AK394" s="138"/>
      <c r="AL394" s="138"/>
      <c r="AM394" s="138"/>
      <c r="AN394" s="138"/>
      <c r="AO394" s="138"/>
      <c r="AP394" s="138"/>
      <c r="AQ394" s="138"/>
      <c r="AR394" s="138"/>
      <c r="AS394" s="138"/>
    </row>
    <row r="395" spans="1:45" ht="15.75" hidden="1" customHeight="1">
      <c r="A395" s="177">
        <v>8</v>
      </c>
      <c r="B395" s="177" t="s">
        <v>91</v>
      </c>
      <c r="C395" s="178" t="s">
        <v>986</v>
      </c>
      <c r="D395" s="178" t="s">
        <v>989</v>
      </c>
      <c r="E395" s="178">
        <v>2</v>
      </c>
      <c r="F395" s="179">
        <v>41059</v>
      </c>
      <c r="G395" s="180" t="s">
        <v>988</v>
      </c>
      <c r="H395" s="180" t="s">
        <v>916</v>
      </c>
      <c r="I395" s="181">
        <v>43696</v>
      </c>
      <c r="J395" s="180" t="s">
        <v>188</v>
      </c>
      <c r="K395" s="180" t="s">
        <v>272</v>
      </c>
      <c r="L395" s="180" t="s">
        <v>990</v>
      </c>
      <c r="M395" s="178" t="s">
        <v>36</v>
      </c>
      <c r="N395" s="179">
        <v>43983</v>
      </c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  <c r="AB395" s="138"/>
      <c r="AC395" s="138"/>
      <c r="AD395" s="138"/>
      <c r="AE395" s="138"/>
      <c r="AF395" s="138"/>
      <c r="AG395" s="138"/>
      <c r="AH395" s="138"/>
      <c r="AI395" s="138"/>
      <c r="AJ395" s="138"/>
      <c r="AK395" s="138"/>
      <c r="AL395" s="138"/>
      <c r="AM395" s="138"/>
      <c r="AN395" s="138"/>
      <c r="AO395" s="138"/>
      <c r="AP395" s="138"/>
      <c r="AQ395" s="138"/>
      <c r="AR395" s="138"/>
      <c r="AS395" s="138"/>
    </row>
    <row r="396" spans="1:45" ht="15.75" hidden="1" customHeight="1">
      <c r="A396" s="177">
        <v>9</v>
      </c>
      <c r="B396" s="177" t="s">
        <v>50</v>
      </c>
      <c r="C396" s="178" t="s">
        <v>519</v>
      </c>
      <c r="D396" s="178" t="s">
        <v>991</v>
      </c>
      <c r="E396" s="178">
        <v>4</v>
      </c>
      <c r="F396" s="179">
        <v>40364</v>
      </c>
      <c r="G396" s="180" t="s">
        <v>814</v>
      </c>
      <c r="H396" s="180" t="s">
        <v>815</v>
      </c>
      <c r="I396" s="181">
        <v>43591</v>
      </c>
      <c r="J396" s="180" t="s">
        <v>148</v>
      </c>
      <c r="K396" s="180" t="s">
        <v>992</v>
      </c>
      <c r="L396" s="180" t="s">
        <v>993</v>
      </c>
      <c r="M396" s="178" t="s">
        <v>36</v>
      </c>
      <c r="N396" s="179">
        <v>43983</v>
      </c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  <c r="AB396" s="138"/>
      <c r="AC396" s="138"/>
      <c r="AD396" s="138"/>
      <c r="AE396" s="138"/>
      <c r="AF396" s="138"/>
      <c r="AG396" s="138"/>
      <c r="AH396" s="138"/>
      <c r="AI396" s="138"/>
      <c r="AJ396" s="138"/>
      <c r="AK396" s="138"/>
      <c r="AL396" s="138"/>
      <c r="AM396" s="138"/>
      <c r="AN396" s="138"/>
      <c r="AO396" s="138"/>
      <c r="AP396" s="138"/>
      <c r="AQ396" s="138"/>
      <c r="AR396" s="138"/>
      <c r="AS396" s="138"/>
    </row>
    <row r="397" spans="1:45" ht="15.75" hidden="1" customHeight="1">
      <c r="A397" s="177">
        <v>10</v>
      </c>
      <c r="B397" s="177" t="s">
        <v>91</v>
      </c>
      <c r="C397" s="178" t="s">
        <v>519</v>
      </c>
      <c r="D397" s="178" t="s">
        <v>991</v>
      </c>
      <c r="E397" s="178">
        <v>4</v>
      </c>
      <c r="F397" s="179">
        <v>40364</v>
      </c>
      <c r="G397" s="180" t="s">
        <v>814</v>
      </c>
      <c r="H397" s="180" t="s">
        <v>815</v>
      </c>
      <c r="I397" s="181">
        <v>43591</v>
      </c>
      <c r="J397" s="180" t="s">
        <v>150</v>
      </c>
      <c r="K397" s="180" t="s">
        <v>992</v>
      </c>
      <c r="L397" s="180" t="s">
        <v>994</v>
      </c>
      <c r="M397" s="178" t="s">
        <v>36</v>
      </c>
      <c r="N397" s="179">
        <v>43983</v>
      </c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  <c r="AB397" s="138"/>
      <c r="AC397" s="138"/>
      <c r="AD397" s="138"/>
      <c r="AE397" s="138"/>
      <c r="AF397" s="138"/>
      <c r="AG397" s="138"/>
      <c r="AH397" s="138"/>
      <c r="AI397" s="138"/>
      <c r="AJ397" s="138"/>
      <c r="AK397" s="138"/>
      <c r="AL397" s="138"/>
      <c r="AM397" s="138"/>
      <c r="AN397" s="138"/>
      <c r="AO397" s="138"/>
      <c r="AP397" s="138"/>
      <c r="AQ397" s="138"/>
      <c r="AR397" s="138"/>
      <c r="AS397" s="138"/>
    </row>
    <row r="398" spans="1:45" ht="15.75" hidden="1" customHeight="1">
      <c r="A398" s="177">
        <v>11</v>
      </c>
      <c r="B398" s="177" t="s">
        <v>50</v>
      </c>
      <c r="C398" s="178" t="s">
        <v>375</v>
      </c>
      <c r="D398" s="178" t="s">
        <v>376</v>
      </c>
      <c r="E398" s="178">
        <v>1</v>
      </c>
      <c r="F398" s="179">
        <v>40886</v>
      </c>
      <c r="G398" s="180" t="s">
        <v>377</v>
      </c>
      <c r="H398" s="180" t="s">
        <v>378</v>
      </c>
      <c r="I398" s="181">
        <v>42965</v>
      </c>
      <c r="J398" s="180" t="s">
        <v>186</v>
      </c>
      <c r="K398" s="180" t="s">
        <v>957</v>
      </c>
      <c r="L398" s="180" t="s">
        <v>995</v>
      </c>
      <c r="M398" s="178" t="s">
        <v>36</v>
      </c>
      <c r="N398" s="179">
        <v>43983</v>
      </c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  <c r="AB398" s="138"/>
      <c r="AC398" s="138"/>
      <c r="AD398" s="138"/>
      <c r="AE398" s="138"/>
      <c r="AF398" s="138"/>
      <c r="AG398" s="138"/>
      <c r="AH398" s="138"/>
      <c r="AI398" s="138"/>
      <c r="AJ398" s="138"/>
      <c r="AK398" s="138"/>
      <c r="AL398" s="138"/>
      <c r="AM398" s="138"/>
      <c r="AN398" s="138"/>
      <c r="AO398" s="138"/>
      <c r="AP398" s="138"/>
      <c r="AQ398" s="138"/>
      <c r="AR398" s="138"/>
      <c r="AS398" s="138"/>
    </row>
    <row r="399" spans="1:45" ht="15.75" hidden="1" customHeight="1">
      <c r="A399" s="177">
        <v>12</v>
      </c>
      <c r="B399" s="177" t="s">
        <v>50</v>
      </c>
      <c r="C399" s="178" t="s">
        <v>509</v>
      </c>
      <c r="D399" s="178" t="s">
        <v>472</v>
      </c>
      <c r="E399" s="178">
        <v>0</v>
      </c>
      <c r="F399" s="179">
        <v>41628</v>
      </c>
      <c r="G399" s="180" t="s">
        <v>996</v>
      </c>
      <c r="H399" s="180" t="s">
        <v>997</v>
      </c>
      <c r="I399" s="181">
        <v>43743</v>
      </c>
      <c r="J399" s="180" t="s">
        <v>124</v>
      </c>
      <c r="K399" s="180" t="s">
        <v>663</v>
      </c>
      <c r="L399" s="180" t="s">
        <v>998</v>
      </c>
      <c r="M399" s="178" t="s">
        <v>36</v>
      </c>
      <c r="N399" s="179">
        <v>43983</v>
      </c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  <c r="AB399" s="138"/>
      <c r="AC399" s="138"/>
      <c r="AD399" s="138"/>
      <c r="AE399" s="138"/>
      <c r="AF399" s="138"/>
      <c r="AG399" s="138"/>
      <c r="AH399" s="138"/>
      <c r="AI399" s="138"/>
      <c r="AJ399" s="138"/>
      <c r="AK399" s="138"/>
      <c r="AL399" s="138"/>
      <c r="AM399" s="138"/>
      <c r="AN399" s="138"/>
      <c r="AO399" s="138"/>
      <c r="AP399" s="138"/>
      <c r="AQ399" s="138"/>
      <c r="AR399" s="138"/>
      <c r="AS399" s="138"/>
    </row>
    <row r="400" spans="1:45" ht="15.75" hidden="1" customHeight="1">
      <c r="A400" s="177">
        <v>13</v>
      </c>
      <c r="B400" s="177" t="s">
        <v>91</v>
      </c>
      <c r="C400" s="178" t="s">
        <v>509</v>
      </c>
      <c r="D400" s="178" t="s">
        <v>472</v>
      </c>
      <c r="E400" s="178">
        <v>0</v>
      </c>
      <c r="F400" s="179">
        <v>41628</v>
      </c>
      <c r="G400" s="180" t="s">
        <v>996</v>
      </c>
      <c r="H400" s="180" t="s">
        <v>997</v>
      </c>
      <c r="I400" s="181">
        <v>43770</v>
      </c>
      <c r="J400" s="180" t="s">
        <v>156</v>
      </c>
      <c r="K400" s="180" t="s">
        <v>626</v>
      </c>
      <c r="L400" s="180" t="s">
        <v>998</v>
      </c>
      <c r="M400" s="178" t="s">
        <v>36</v>
      </c>
      <c r="N400" s="179">
        <v>43983</v>
      </c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  <c r="AB400" s="138"/>
      <c r="AC400" s="138"/>
      <c r="AD400" s="138"/>
      <c r="AE400" s="138"/>
      <c r="AF400" s="138"/>
      <c r="AG400" s="138"/>
      <c r="AH400" s="138"/>
      <c r="AI400" s="138"/>
      <c r="AJ400" s="138"/>
      <c r="AK400" s="138"/>
      <c r="AL400" s="138"/>
      <c r="AM400" s="138"/>
      <c r="AN400" s="138"/>
      <c r="AO400" s="138"/>
      <c r="AP400" s="138"/>
      <c r="AQ400" s="138"/>
      <c r="AR400" s="138"/>
      <c r="AS400" s="138"/>
    </row>
    <row r="401" spans="1:45" ht="15.75" hidden="1" customHeight="1">
      <c r="A401" s="177">
        <v>14</v>
      </c>
      <c r="B401" s="177" t="s">
        <v>91</v>
      </c>
      <c r="C401" s="178" t="s">
        <v>371</v>
      </c>
      <c r="D401" s="178" t="s">
        <v>999</v>
      </c>
      <c r="E401" s="178">
        <v>7</v>
      </c>
      <c r="F401" s="179">
        <v>39147</v>
      </c>
      <c r="G401" s="180" t="s">
        <v>1000</v>
      </c>
      <c r="H401" s="180" t="s">
        <v>1001</v>
      </c>
      <c r="I401" s="181">
        <v>43757</v>
      </c>
      <c r="J401" s="180" t="s">
        <v>244</v>
      </c>
      <c r="K401" s="180" t="s">
        <v>646</v>
      </c>
      <c r="L401" s="180" t="s">
        <v>1002</v>
      </c>
      <c r="M401" s="178" t="s">
        <v>36</v>
      </c>
      <c r="N401" s="179">
        <v>43983</v>
      </c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  <c r="AB401" s="138"/>
      <c r="AC401" s="138"/>
      <c r="AD401" s="138"/>
      <c r="AE401" s="138"/>
      <c r="AF401" s="138"/>
      <c r="AG401" s="138"/>
      <c r="AH401" s="138"/>
      <c r="AI401" s="138"/>
      <c r="AJ401" s="138"/>
      <c r="AK401" s="138"/>
      <c r="AL401" s="138"/>
      <c r="AM401" s="138"/>
      <c r="AN401" s="138"/>
      <c r="AO401" s="138"/>
      <c r="AP401" s="138"/>
      <c r="AQ401" s="138"/>
      <c r="AR401" s="138"/>
      <c r="AS401" s="138"/>
    </row>
    <row r="402" spans="1:45" ht="15.75" hidden="1" customHeight="1">
      <c r="A402" s="177">
        <v>15</v>
      </c>
      <c r="B402" s="177" t="s">
        <v>50</v>
      </c>
      <c r="C402" s="178" t="s">
        <v>262</v>
      </c>
      <c r="D402" s="178" t="s">
        <v>240</v>
      </c>
      <c r="E402" s="178">
        <v>2</v>
      </c>
      <c r="F402" s="179">
        <v>40886</v>
      </c>
      <c r="G402" s="180" t="s">
        <v>1003</v>
      </c>
      <c r="H402" s="180" t="s">
        <v>1004</v>
      </c>
      <c r="I402" s="181">
        <v>43695</v>
      </c>
      <c r="J402" s="180" t="s">
        <v>140</v>
      </c>
      <c r="K402" s="180" t="s">
        <v>276</v>
      </c>
      <c r="L402" s="180" t="s">
        <v>1005</v>
      </c>
      <c r="M402" s="178" t="s">
        <v>36</v>
      </c>
      <c r="N402" s="179">
        <v>43983</v>
      </c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  <c r="AC402" s="138"/>
      <c r="AD402" s="138"/>
      <c r="AE402" s="138"/>
      <c r="AF402" s="138"/>
      <c r="AG402" s="138"/>
      <c r="AH402" s="138"/>
      <c r="AI402" s="138"/>
      <c r="AJ402" s="138"/>
      <c r="AK402" s="138"/>
      <c r="AL402" s="138"/>
      <c r="AM402" s="138"/>
      <c r="AN402" s="138"/>
      <c r="AO402" s="138"/>
      <c r="AP402" s="138"/>
      <c r="AQ402" s="138"/>
      <c r="AR402" s="138"/>
      <c r="AS402" s="138"/>
    </row>
    <row r="403" spans="1:45" ht="15.75" hidden="1" customHeight="1">
      <c r="A403" s="177">
        <v>16</v>
      </c>
      <c r="B403" s="177" t="s">
        <v>91</v>
      </c>
      <c r="C403" s="178" t="s">
        <v>262</v>
      </c>
      <c r="D403" s="178" t="s">
        <v>240</v>
      </c>
      <c r="E403" s="178">
        <v>2</v>
      </c>
      <c r="F403" s="179">
        <v>40886</v>
      </c>
      <c r="G403" s="180" t="s">
        <v>1003</v>
      </c>
      <c r="H403" s="180" t="s">
        <v>1004</v>
      </c>
      <c r="I403" s="181">
        <v>43695</v>
      </c>
      <c r="J403" s="180" t="s">
        <v>121</v>
      </c>
      <c r="K403" s="180" t="s">
        <v>663</v>
      </c>
      <c r="L403" s="180" t="s">
        <v>1005</v>
      </c>
      <c r="M403" s="178" t="s">
        <v>36</v>
      </c>
      <c r="N403" s="179">
        <v>43983</v>
      </c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  <c r="AB403" s="138"/>
      <c r="AC403" s="138"/>
      <c r="AD403" s="138"/>
      <c r="AE403" s="138"/>
      <c r="AF403" s="138"/>
      <c r="AG403" s="138"/>
      <c r="AH403" s="138"/>
      <c r="AI403" s="138"/>
      <c r="AJ403" s="138"/>
      <c r="AK403" s="138"/>
      <c r="AL403" s="138"/>
      <c r="AM403" s="138"/>
      <c r="AN403" s="138"/>
      <c r="AO403" s="138"/>
      <c r="AP403" s="138"/>
      <c r="AQ403" s="138"/>
      <c r="AR403" s="138"/>
      <c r="AS403" s="138"/>
    </row>
    <row r="404" spans="1:45" ht="15.75" hidden="1" customHeight="1">
      <c r="A404" s="177">
        <v>17</v>
      </c>
      <c r="B404" s="177" t="s">
        <v>50</v>
      </c>
      <c r="C404" s="178" t="s">
        <v>519</v>
      </c>
      <c r="D404" s="178" t="s">
        <v>599</v>
      </c>
      <c r="E404" s="178">
        <v>1</v>
      </c>
      <c r="F404" s="179">
        <v>41302</v>
      </c>
      <c r="G404" s="180" t="s">
        <v>814</v>
      </c>
      <c r="H404" s="180" t="s">
        <v>815</v>
      </c>
      <c r="I404" s="181">
        <v>43617</v>
      </c>
      <c r="J404" s="180" t="s">
        <v>186</v>
      </c>
      <c r="K404" s="180" t="s">
        <v>992</v>
      </c>
      <c r="L404" s="180" t="s">
        <v>993</v>
      </c>
      <c r="M404" s="178" t="s">
        <v>36</v>
      </c>
      <c r="N404" s="179">
        <v>43983</v>
      </c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  <c r="AB404" s="138"/>
      <c r="AC404" s="138"/>
      <c r="AD404" s="138"/>
      <c r="AE404" s="138"/>
      <c r="AF404" s="138"/>
      <c r="AG404" s="138"/>
      <c r="AH404" s="138"/>
      <c r="AI404" s="138"/>
      <c r="AJ404" s="138"/>
      <c r="AK404" s="138"/>
      <c r="AL404" s="138"/>
      <c r="AM404" s="138"/>
      <c r="AN404" s="138"/>
      <c r="AO404" s="138"/>
      <c r="AP404" s="138"/>
      <c r="AQ404" s="138"/>
      <c r="AR404" s="138"/>
      <c r="AS404" s="138"/>
    </row>
    <row r="405" spans="1:45" ht="15.75" hidden="1" customHeight="1">
      <c r="A405" s="177">
        <v>18</v>
      </c>
      <c r="B405" s="177" t="s">
        <v>91</v>
      </c>
      <c r="C405" s="178" t="s">
        <v>519</v>
      </c>
      <c r="D405" s="178" t="s">
        <v>599</v>
      </c>
      <c r="E405" s="178">
        <v>1</v>
      </c>
      <c r="F405" s="179">
        <v>41302</v>
      </c>
      <c r="G405" s="180" t="s">
        <v>814</v>
      </c>
      <c r="H405" s="180" t="s">
        <v>815</v>
      </c>
      <c r="I405" s="181">
        <v>43617</v>
      </c>
      <c r="J405" s="180" t="s">
        <v>141</v>
      </c>
      <c r="K405" s="180" t="s">
        <v>957</v>
      </c>
      <c r="L405" s="180" t="s">
        <v>993</v>
      </c>
      <c r="M405" s="178" t="s">
        <v>36</v>
      </c>
      <c r="N405" s="179">
        <v>43983</v>
      </c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  <c r="AB405" s="138"/>
      <c r="AC405" s="138"/>
      <c r="AD405" s="138"/>
      <c r="AE405" s="138"/>
      <c r="AF405" s="138"/>
      <c r="AG405" s="138"/>
      <c r="AH405" s="138"/>
      <c r="AI405" s="138"/>
      <c r="AJ405" s="138"/>
      <c r="AK405" s="138"/>
      <c r="AL405" s="138"/>
      <c r="AM405" s="138"/>
      <c r="AN405" s="138"/>
      <c r="AO405" s="138"/>
      <c r="AP405" s="138"/>
      <c r="AQ405" s="138"/>
      <c r="AR405" s="138"/>
      <c r="AS405" s="138"/>
    </row>
    <row r="406" spans="1:45" ht="15.75" hidden="1" customHeight="1">
      <c r="A406" s="177">
        <v>19</v>
      </c>
      <c r="B406" s="177" t="s">
        <v>91</v>
      </c>
      <c r="C406" s="178" t="s">
        <v>1006</v>
      </c>
      <c r="D406" s="178" t="s">
        <v>1007</v>
      </c>
      <c r="E406" s="178">
        <v>1</v>
      </c>
      <c r="F406" s="179">
        <v>41377</v>
      </c>
      <c r="G406" s="180" t="s">
        <v>1008</v>
      </c>
      <c r="H406" s="180" t="s">
        <v>1009</v>
      </c>
      <c r="I406" s="181">
        <v>43709</v>
      </c>
      <c r="J406" s="180" t="s">
        <v>156</v>
      </c>
      <c r="K406" s="180" t="s">
        <v>663</v>
      </c>
      <c r="L406" s="180" t="s">
        <v>985</v>
      </c>
      <c r="M406" s="178" t="s">
        <v>36</v>
      </c>
      <c r="N406" s="179">
        <v>43983</v>
      </c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  <c r="AB406" s="138"/>
      <c r="AC406" s="138"/>
      <c r="AD406" s="138"/>
      <c r="AE406" s="138"/>
      <c r="AF406" s="138"/>
      <c r="AG406" s="138"/>
      <c r="AH406" s="138"/>
      <c r="AI406" s="138"/>
      <c r="AJ406" s="138"/>
      <c r="AK406" s="138"/>
      <c r="AL406" s="138"/>
      <c r="AM406" s="138"/>
      <c r="AN406" s="138"/>
      <c r="AO406" s="138"/>
      <c r="AP406" s="138"/>
      <c r="AQ406" s="138"/>
      <c r="AR406" s="138"/>
      <c r="AS406" s="138"/>
    </row>
    <row r="407" spans="1:45" ht="15.75" hidden="1" customHeight="1">
      <c r="A407" s="177">
        <v>20</v>
      </c>
      <c r="B407" s="177" t="s">
        <v>50</v>
      </c>
      <c r="C407" s="178" t="s">
        <v>1006</v>
      </c>
      <c r="D407" s="178" t="s">
        <v>1007</v>
      </c>
      <c r="E407" s="178">
        <v>1</v>
      </c>
      <c r="F407" s="179">
        <v>41377</v>
      </c>
      <c r="G407" s="180" t="s">
        <v>1008</v>
      </c>
      <c r="H407" s="180" t="s">
        <v>1009</v>
      </c>
      <c r="I407" s="181">
        <v>43709</v>
      </c>
      <c r="J407" s="180" t="s">
        <v>140</v>
      </c>
      <c r="K407" s="180" t="s">
        <v>626</v>
      </c>
      <c r="L407" s="180" t="s">
        <v>985</v>
      </c>
      <c r="M407" s="178" t="s">
        <v>36</v>
      </c>
      <c r="N407" s="179">
        <v>43983</v>
      </c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  <c r="AB407" s="138"/>
      <c r="AC407" s="138"/>
      <c r="AD407" s="138"/>
      <c r="AE407" s="138"/>
      <c r="AF407" s="138"/>
      <c r="AG407" s="138"/>
      <c r="AH407" s="138"/>
      <c r="AI407" s="138"/>
      <c r="AJ407" s="138"/>
      <c r="AK407" s="138"/>
      <c r="AL407" s="138"/>
      <c r="AM407" s="138"/>
      <c r="AN407" s="138"/>
      <c r="AO407" s="138"/>
      <c r="AP407" s="138"/>
      <c r="AQ407" s="138"/>
      <c r="AR407" s="138"/>
      <c r="AS407" s="138"/>
    </row>
    <row r="408" spans="1:45" ht="15.75" hidden="1" customHeight="1">
      <c r="A408" s="177">
        <v>21</v>
      </c>
      <c r="B408" s="177" t="s">
        <v>91</v>
      </c>
      <c r="C408" s="178" t="s">
        <v>1006</v>
      </c>
      <c r="D408" s="178" t="s">
        <v>1010</v>
      </c>
      <c r="E408" s="178">
        <v>3</v>
      </c>
      <c r="F408" s="179" t="s">
        <v>1011</v>
      </c>
      <c r="G408" s="180" t="s">
        <v>1008</v>
      </c>
      <c r="H408" s="180" t="s">
        <v>1009</v>
      </c>
      <c r="I408" s="181">
        <v>43709</v>
      </c>
      <c r="J408" s="180" t="s">
        <v>204</v>
      </c>
      <c r="K408" s="180" t="s">
        <v>992</v>
      </c>
      <c r="L408" s="180" t="s">
        <v>985</v>
      </c>
      <c r="M408" s="178" t="s">
        <v>36</v>
      </c>
      <c r="N408" s="179">
        <v>43983</v>
      </c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  <c r="AB408" s="138"/>
      <c r="AC408" s="138"/>
      <c r="AD408" s="138"/>
      <c r="AE408" s="138"/>
      <c r="AF408" s="138"/>
      <c r="AG408" s="138"/>
      <c r="AH408" s="138"/>
      <c r="AI408" s="138"/>
      <c r="AJ408" s="138"/>
      <c r="AK408" s="138"/>
      <c r="AL408" s="138"/>
      <c r="AM408" s="138"/>
      <c r="AN408" s="138"/>
      <c r="AO408" s="138"/>
      <c r="AP408" s="138"/>
      <c r="AQ408" s="138"/>
      <c r="AR408" s="138"/>
      <c r="AS408" s="138"/>
    </row>
    <row r="409" spans="1:45" ht="15.75" hidden="1" customHeight="1">
      <c r="A409" s="177">
        <v>22</v>
      </c>
      <c r="B409" s="177" t="s">
        <v>50</v>
      </c>
      <c r="C409" s="178" t="s">
        <v>1006</v>
      </c>
      <c r="D409" s="178" t="s">
        <v>1010</v>
      </c>
      <c r="E409" s="178">
        <v>3</v>
      </c>
      <c r="F409" s="179" t="s">
        <v>1011</v>
      </c>
      <c r="G409" s="180" t="s">
        <v>1008</v>
      </c>
      <c r="H409" s="180" t="s">
        <v>1009</v>
      </c>
      <c r="I409" s="181">
        <v>43709</v>
      </c>
      <c r="J409" s="180" t="s">
        <v>188</v>
      </c>
      <c r="K409" s="180" t="s">
        <v>626</v>
      </c>
      <c r="L409" s="180" t="s">
        <v>985</v>
      </c>
      <c r="M409" s="178" t="s">
        <v>36</v>
      </c>
      <c r="N409" s="179">
        <v>43983</v>
      </c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  <c r="AB409" s="138"/>
      <c r="AC409" s="138"/>
      <c r="AD409" s="138"/>
      <c r="AE409" s="138"/>
      <c r="AF409" s="138"/>
      <c r="AG409" s="138"/>
      <c r="AH409" s="138"/>
      <c r="AI409" s="138"/>
      <c r="AJ409" s="138"/>
      <c r="AK409" s="138"/>
      <c r="AL409" s="138"/>
      <c r="AM409" s="138"/>
      <c r="AN409" s="138"/>
      <c r="AO409" s="138"/>
      <c r="AP409" s="138"/>
      <c r="AQ409" s="138"/>
      <c r="AR409" s="138"/>
      <c r="AS409" s="138"/>
    </row>
    <row r="410" spans="1:45" ht="15.75" hidden="1" customHeight="1">
      <c r="A410" s="177">
        <v>23</v>
      </c>
      <c r="B410" s="177" t="s">
        <v>50</v>
      </c>
      <c r="C410" s="178" t="s">
        <v>375</v>
      </c>
      <c r="D410" s="178" t="s">
        <v>387</v>
      </c>
      <c r="E410" s="178">
        <v>2</v>
      </c>
      <c r="F410" s="179">
        <v>40070</v>
      </c>
      <c r="G410" s="180" t="s">
        <v>377</v>
      </c>
      <c r="H410" s="180" t="s">
        <v>378</v>
      </c>
      <c r="I410" s="181">
        <v>42965</v>
      </c>
      <c r="J410" s="180" t="s">
        <v>186</v>
      </c>
      <c r="K410" s="180" t="s">
        <v>992</v>
      </c>
      <c r="L410" s="180"/>
      <c r="M410" s="178" t="s">
        <v>36</v>
      </c>
      <c r="N410" s="179">
        <v>43983</v>
      </c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  <c r="AB410" s="138"/>
      <c r="AC410" s="138"/>
      <c r="AD410" s="138"/>
      <c r="AE410" s="138"/>
      <c r="AF410" s="138"/>
      <c r="AG410" s="138"/>
      <c r="AH410" s="138"/>
      <c r="AI410" s="138"/>
      <c r="AJ410" s="138"/>
      <c r="AK410" s="138"/>
      <c r="AL410" s="138"/>
      <c r="AM410" s="138"/>
      <c r="AN410" s="138"/>
      <c r="AO410" s="138"/>
      <c r="AP410" s="138"/>
      <c r="AQ410" s="138"/>
      <c r="AR410" s="138"/>
      <c r="AS410" s="138"/>
    </row>
    <row r="411" spans="1:45" ht="15.75" hidden="1" customHeight="1">
      <c r="A411" s="177">
        <v>1</v>
      </c>
      <c r="B411" s="177" t="s">
        <v>91</v>
      </c>
      <c r="C411" s="178" t="s">
        <v>498</v>
      </c>
      <c r="D411" s="178" t="s">
        <v>1012</v>
      </c>
      <c r="E411" s="178" t="s">
        <v>190</v>
      </c>
      <c r="F411" s="179">
        <v>42064</v>
      </c>
      <c r="G411" s="180" t="s">
        <v>1013</v>
      </c>
      <c r="H411" s="180" t="s">
        <v>1014</v>
      </c>
      <c r="I411" s="181">
        <v>43985</v>
      </c>
      <c r="J411" s="180" t="s">
        <v>194</v>
      </c>
      <c r="K411" s="180" t="s">
        <v>1015</v>
      </c>
      <c r="L411" s="180"/>
      <c r="M411" s="178" t="s">
        <v>36</v>
      </c>
      <c r="N411" s="179">
        <v>44013</v>
      </c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  <c r="AB411" s="138"/>
      <c r="AC411" s="138"/>
      <c r="AD411" s="138"/>
      <c r="AE411" s="138"/>
      <c r="AF411" s="138"/>
      <c r="AG411" s="138"/>
      <c r="AH411" s="138"/>
      <c r="AI411" s="138"/>
      <c r="AJ411" s="138"/>
      <c r="AK411" s="138"/>
      <c r="AL411" s="138"/>
      <c r="AM411" s="138"/>
      <c r="AN411" s="138"/>
      <c r="AO411" s="138"/>
      <c r="AP411" s="138"/>
      <c r="AQ411" s="138"/>
      <c r="AR411" s="138"/>
      <c r="AS411" s="138"/>
    </row>
    <row r="412" spans="1:45" ht="15.75" hidden="1" customHeight="1">
      <c r="A412" s="177">
        <v>2</v>
      </c>
      <c r="B412" s="177" t="s">
        <v>50</v>
      </c>
      <c r="C412" s="178" t="s">
        <v>1016</v>
      </c>
      <c r="D412" s="178" t="s">
        <v>1017</v>
      </c>
      <c r="E412" s="178">
        <v>3</v>
      </c>
      <c r="F412" s="179" t="s">
        <v>1018</v>
      </c>
      <c r="G412" s="180" t="s">
        <v>1019</v>
      </c>
      <c r="H412" s="180" t="s">
        <v>1020</v>
      </c>
      <c r="I412" s="181" t="s">
        <v>1021</v>
      </c>
      <c r="J412" s="180" t="s">
        <v>358</v>
      </c>
      <c r="K412" s="180" t="s">
        <v>1022</v>
      </c>
      <c r="L412" s="180" t="s">
        <v>1023</v>
      </c>
      <c r="M412" s="178" t="s">
        <v>36</v>
      </c>
      <c r="N412" s="179">
        <v>44013</v>
      </c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  <c r="AB412" s="138"/>
      <c r="AC412" s="138"/>
      <c r="AD412" s="138"/>
      <c r="AE412" s="138"/>
      <c r="AF412" s="138"/>
      <c r="AG412" s="138"/>
      <c r="AH412" s="138"/>
      <c r="AI412" s="138"/>
      <c r="AJ412" s="138"/>
      <c r="AK412" s="138"/>
      <c r="AL412" s="138"/>
      <c r="AM412" s="138"/>
      <c r="AN412" s="138"/>
      <c r="AO412" s="138"/>
      <c r="AP412" s="138"/>
      <c r="AQ412" s="138"/>
      <c r="AR412" s="138"/>
      <c r="AS412" s="138"/>
    </row>
    <row r="413" spans="1:45" ht="15.75" hidden="1" customHeight="1">
      <c r="A413" s="177">
        <v>3</v>
      </c>
      <c r="B413" s="177" t="s">
        <v>91</v>
      </c>
      <c r="C413" s="178" t="s">
        <v>1016</v>
      </c>
      <c r="D413" s="178" t="s">
        <v>1017</v>
      </c>
      <c r="E413" s="178">
        <v>3</v>
      </c>
      <c r="F413" s="179" t="s">
        <v>1018</v>
      </c>
      <c r="G413" s="180" t="s">
        <v>1019</v>
      </c>
      <c r="H413" s="180" t="s">
        <v>1020</v>
      </c>
      <c r="I413" s="181" t="s">
        <v>1021</v>
      </c>
      <c r="J413" s="180" t="s">
        <v>188</v>
      </c>
      <c r="K413" s="180" t="s">
        <v>957</v>
      </c>
      <c r="L413" s="180" t="s">
        <v>1023</v>
      </c>
      <c r="M413" s="178" t="s">
        <v>36</v>
      </c>
      <c r="N413" s="179">
        <v>44013</v>
      </c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  <c r="AB413" s="138"/>
      <c r="AC413" s="138"/>
      <c r="AD413" s="138"/>
      <c r="AE413" s="138"/>
      <c r="AF413" s="138"/>
      <c r="AG413" s="138"/>
      <c r="AH413" s="138"/>
      <c r="AI413" s="138"/>
      <c r="AJ413" s="138"/>
      <c r="AK413" s="138"/>
      <c r="AL413" s="138"/>
      <c r="AM413" s="138"/>
      <c r="AN413" s="138"/>
      <c r="AO413" s="138"/>
      <c r="AP413" s="138"/>
      <c r="AQ413" s="138"/>
      <c r="AR413" s="138"/>
      <c r="AS413" s="138"/>
    </row>
    <row r="414" spans="1:45" ht="15.75" hidden="1" customHeight="1">
      <c r="A414" s="177">
        <v>1</v>
      </c>
      <c r="B414" s="177" t="s">
        <v>50</v>
      </c>
      <c r="C414" s="178" t="s">
        <v>899</v>
      </c>
      <c r="D414" s="178" t="s">
        <v>1024</v>
      </c>
      <c r="E414" s="178" t="s">
        <v>145</v>
      </c>
      <c r="F414" s="179">
        <v>41393</v>
      </c>
      <c r="G414" s="180" t="s">
        <v>1025</v>
      </c>
      <c r="H414" s="180" t="s">
        <v>834</v>
      </c>
      <c r="I414" s="181">
        <v>43359</v>
      </c>
      <c r="J414" s="180" t="s">
        <v>134</v>
      </c>
      <c r="K414" s="180" t="s">
        <v>823</v>
      </c>
      <c r="L414" s="180" t="s">
        <v>1026</v>
      </c>
      <c r="M414" s="178" t="s">
        <v>36</v>
      </c>
      <c r="N414" s="179">
        <v>44044</v>
      </c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  <c r="AB414" s="138"/>
      <c r="AC414" s="138"/>
      <c r="AD414" s="138"/>
      <c r="AE414" s="138"/>
      <c r="AF414" s="138"/>
      <c r="AG414" s="138"/>
      <c r="AH414" s="138"/>
      <c r="AI414" s="138"/>
      <c r="AJ414" s="138"/>
      <c r="AK414" s="138"/>
      <c r="AL414" s="138"/>
      <c r="AM414" s="138"/>
      <c r="AN414" s="138"/>
      <c r="AO414" s="138"/>
      <c r="AP414" s="138"/>
      <c r="AQ414" s="138"/>
      <c r="AR414" s="138"/>
      <c r="AS414" s="138"/>
    </row>
    <row r="415" spans="1:45" ht="15.75" hidden="1" customHeight="1">
      <c r="A415" s="177">
        <v>2</v>
      </c>
      <c r="B415" s="177" t="s">
        <v>50</v>
      </c>
      <c r="C415" s="178" t="s">
        <v>262</v>
      </c>
      <c r="D415" s="178" t="s">
        <v>332</v>
      </c>
      <c r="E415" s="178">
        <v>7</v>
      </c>
      <c r="F415" s="179">
        <v>44197</v>
      </c>
      <c r="G415" s="180" t="s">
        <v>1027</v>
      </c>
      <c r="H415" s="180" t="s">
        <v>1028</v>
      </c>
      <c r="I415" s="181">
        <v>44001</v>
      </c>
      <c r="J415" s="180" t="s">
        <v>165</v>
      </c>
      <c r="K415" s="180" t="s">
        <v>1015</v>
      </c>
      <c r="L415" s="180"/>
      <c r="M415" s="178" t="s">
        <v>36</v>
      </c>
      <c r="N415" s="179">
        <v>44044</v>
      </c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  <c r="AB415" s="138"/>
      <c r="AC415" s="138"/>
      <c r="AD415" s="138"/>
      <c r="AE415" s="138"/>
      <c r="AF415" s="138"/>
      <c r="AG415" s="138"/>
      <c r="AH415" s="138"/>
      <c r="AI415" s="138"/>
      <c r="AJ415" s="138"/>
      <c r="AK415" s="138"/>
      <c r="AL415" s="138"/>
      <c r="AM415" s="138"/>
      <c r="AN415" s="138"/>
      <c r="AO415" s="138"/>
      <c r="AP415" s="138"/>
      <c r="AQ415" s="138"/>
      <c r="AR415" s="138"/>
      <c r="AS415" s="138"/>
    </row>
    <row r="416" spans="1:45" ht="15.75" hidden="1" customHeight="1">
      <c r="A416" s="177">
        <v>3</v>
      </c>
      <c r="B416" s="177" t="s">
        <v>50</v>
      </c>
      <c r="C416" s="178" t="s">
        <v>618</v>
      </c>
      <c r="D416" s="178" t="s">
        <v>1029</v>
      </c>
      <c r="E416" s="178" t="s">
        <v>586</v>
      </c>
      <c r="F416" s="179">
        <v>42184</v>
      </c>
      <c r="G416" s="180" t="s">
        <v>1030</v>
      </c>
      <c r="H416" s="180" t="s">
        <v>1031</v>
      </c>
      <c r="I416" s="181">
        <v>44004</v>
      </c>
      <c r="J416" s="180" t="s">
        <v>1032</v>
      </c>
      <c r="K416" s="180" t="s">
        <v>663</v>
      </c>
      <c r="L416" s="180"/>
      <c r="M416" s="178" t="s">
        <v>36</v>
      </c>
      <c r="N416" s="179">
        <v>44044</v>
      </c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  <c r="AB416" s="138"/>
      <c r="AC416" s="138"/>
      <c r="AD416" s="138"/>
      <c r="AE416" s="138"/>
      <c r="AF416" s="138"/>
      <c r="AG416" s="138"/>
      <c r="AH416" s="138"/>
      <c r="AI416" s="138"/>
      <c r="AJ416" s="138"/>
      <c r="AK416" s="138"/>
      <c r="AL416" s="138"/>
      <c r="AM416" s="138"/>
      <c r="AN416" s="138"/>
      <c r="AO416" s="138"/>
      <c r="AP416" s="138"/>
      <c r="AQ416" s="138"/>
      <c r="AR416" s="138"/>
      <c r="AS416" s="138"/>
    </row>
    <row r="417" spans="1:45" ht="15.75" hidden="1" customHeight="1">
      <c r="A417" s="177">
        <v>4</v>
      </c>
      <c r="B417" s="177" t="s">
        <v>50</v>
      </c>
      <c r="C417" s="178" t="s">
        <v>715</v>
      </c>
      <c r="D417" s="178" t="s">
        <v>1033</v>
      </c>
      <c r="E417" s="178">
        <v>1</v>
      </c>
      <c r="F417" s="179">
        <v>41326</v>
      </c>
      <c r="G417" s="180" t="s">
        <v>1034</v>
      </c>
      <c r="H417" s="180" t="s">
        <v>1035</v>
      </c>
      <c r="I417" s="181">
        <v>43714</v>
      </c>
      <c r="J417" s="180" t="s">
        <v>140</v>
      </c>
      <c r="K417" s="180" t="s">
        <v>957</v>
      </c>
      <c r="L417" s="180" t="s">
        <v>1036</v>
      </c>
      <c r="M417" s="178" t="s">
        <v>36</v>
      </c>
      <c r="N417" s="179">
        <v>44044</v>
      </c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  <c r="AB417" s="138"/>
      <c r="AC417" s="138"/>
      <c r="AD417" s="138"/>
      <c r="AE417" s="138"/>
      <c r="AF417" s="138"/>
      <c r="AG417" s="138"/>
      <c r="AH417" s="138"/>
      <c r="AI417" s="138"/>
      <c r="AJ417" s="138"/>
      <c r="AK417" s="138"/>
      <c r="AL417" s="138"/>
      <c r="AM417" s="138"/>
      <c r="AN417" s="138"/>
      <c r="AO417" s="138"/>
      <c r="AP417" s="138"/>
      <c r="AQ417" s="138"/>
      <c r="AR417" s="138"/>
      <c r="AS417" s="138"/>
    </row>
    <row r="418" spans="1:45" ht="15.75" hidden="1" customHeight="1">
      <c r="A418" s="177">
        <v>5</v>
      </c>
      <c r="B418" s="177" t="s">
        <v>50</v>
      </c>
      <c r="C418" s="178" t="s">
        <v>607</v>
      </c>
      <c r="D418" s="178" t="s">
        <v>217</v>
      </c>
      <c r="E418" s="178">
        <v>4</v>
      </c>
      <c r="F418" s="179">
        <v>40605</v>
      </c>
      <c r="G418" s="180" t="s">
        <v>1037</v>
      </c>
      <c r="H418" s="180" t="s">
        <v>1038</v>
      </c>
      <c r="I418" s="181">
        <v>44000</v>
      </c>
      <c r="J418" s="180" t="s">
        <v>204</v>
      </c>
      <c r="K418" s="180" t="s">
        <v>1039</v>
      </c>
      <c r="L418" s="180"/>
      <c r="M418" s="178" t="s">
        <v>36</v>
      </c>
      <c r="N418" s="179">
        <v>44044</v>
      </c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  <c r="AB418" s="138"/>
      <c r="AC418" s="138"/>
      <c r="AD418" s="138"/>
      <c r="AE418" s="138"/>
      <c r="AF418" s="138"/>
      <c r="AG418" s="138"/>
      <c r="AH418" s="138"/>
      <c r="AI418" s="138"/>
      <c r="AJ418" s="138"/>
      <c r="AK418" s="138"/>
      <c r="AL418" s="138"/>
      <c r="AM418" s="138"/>
      <c r="AN418" s="138"/>
      <c r="AO418" s="138"/>
      <c r="AP418" s="138"/>
      <c r="AQ418" s="138"/>
      <c r="AR418" s="138"/>
      <c r="AS418" s="138"/>
    </row>
    <row r="419" spans="1:45" ht="15.75" hidden="1" customHeight="1">
      <c r="A419" s="177">
        <v>6</v>
      </c>
      <c r="B419" s="177" t="s">
        <v>50</v>
      </c>
      <c r="C419" s="178" t="s">
        <v>328</v>
      </c>
      <c r="D419" s="178" t="s">
        <v>571</v>
      </c>
      <c r="E419" s="178">
        <v>1</v>
      </c>
      <c r="F419" s="179">
        <v>41303</v>
      </c>
      <c r="G419" s="180" t="s">
        <v>1040</v>
      </c>
      <c r="H419" s="180" t="s">
        <v>1041</v>
      </c>
      <c r="I419" s="181">
        <v>43852</v>
      </c>
      <c r="J419" s="180" t="s">
        <v>110</v>
      </c>
      <c r="K419" s="180" t="s">
        <v>626</v>
      </c>
      <c r="L419" s="180"/>
      <c r="M419" s="178" t="s">
        <v>36</v>
      </c>
      <c r="N419" s="179">
        <v>44044</v>
      </c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  <c r="AB419" s="138"/>
      <c r="AC419" s="138"/>
      <c r="AD419" s="138"/>
      <c r="AE419" s="138"/>
      <c r="AF419" s="138"/>
      <c r="AG419" s="138"/>
      <c r="AH419" s="138"/>
      <c r="AI419" s="138"/>
      <c r="AJ419" s="138"/>
      <c r="AK419" s="138"/>
      <c r="AL419" s="138"/>
      <c r="AM419" s="138"/>
      <c r="AN419" s="138"/>
      <c r="AO419" s="138"/>
      <c r="AP419" s="138"/>
      <c r="AQ419" s="138"/>
      <c r="AR419" s="138"/>
      <c r="AS419" s="138"/>
    </row>
    <row r="420" spans="1:45" ht="15.75" hidden="1" customHeight="1">
      <c r="A420" s="177">
        <v>7</v>
      </c>
      <c r="B420" s="177" t="s">
        <v>50</v>
      </c>
      <c r="C420" s="178" t="s">
        <v>919</v>
      </c>
      <c r="D420" s="178" t="s">
        <v>920</v>
      </c>
      <c r="E420" s="178" t="s">
        <v>190</v>
      </c>
      <c r="F420" s="179" t="s">
        <v>921</v>
      </c>
      <c r="G420" s="180" t="s">
        <v>922</v>
      </c>
      <c r="H420" s="180" t="s">
        <v>923</v>
      </c>
      <c r="I420" s="181" t="s">
        <v>924</v>
      </c>
      <c r="J420" s="180" t="s">
        <v>148</v>
      </c>
      <c r="K420" s="180" t="s">
        <v>626</v>
      </c>
      <c r="L420" s="180" t="s">
        <v>1042</v>
      </c>
      <c r="M420" s="178" t="s">
        <v>36</v>
      </c>
      <c r="N420" s="179">
        <v>44044</v>
      </c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  <c r="AB420" s="138"/>
      <c r="AC420" s="138"/>
      <c r="AD420" s="138"/>
      <c r="AE420" s="138"/>
      <c r="AF420" s="138"/>
      <c r="AG420" s="138"/>
      <c r="AH420" s="138"/>
      <c r="AI420" s="138"/>
      <c r="AJ420" s="138"/>
      <c r="AK420" s="138"/>
      <c r="AL420" s="138"/>
      <c r="AM420" s="138"/>
      <c r="AN420" s="138"/>
      <c r="AO420" s="138"/>
      <c r="AP420" s="138"/>
      <c r="AQ420" s="138"/>
      <c r="AR420" s="138"/>
      <c r="AS420" s="138"/>
    </row>
    <row r="421" spans="1:45" ht="15.75" hidden="1" customHeight="1">
      <c r="A421" s="177">
        <v>8</v>
      </c>
      <c r="B421" s="177" t="s">
        <v>50</v>
      </c>
      <c r="C421" s="178" t="s">
        <v>1043</v>
      </c>
      <c r="D421" s="178" t="s">
        <v>1044</v>
      </c>
      <c r="E421" s="178">
        <v>5</v>
      </c>
      <c r="F421" s="179">
        <v>40288</v>
      </c>
      <c r="G421" s="180" t="s">
        <v>1045</v>
      </c>
      <c r="H421" s="180" t="s">
        <v>1046</v>
      </c>
      <c r="I421" s="181">
        <v>44006</v>
      </c>
      <c r="J421" s="180" t="s">
        <v>358</v>
      </c>
      <c r="K421" s="180" t="s">
        <v>1047</v>
      </c>
      <c r="L421" s="180" t="s">
        <v>1048</v>
      </c>
      <c r="M421" s="178" t="s">
        <v>36</v>
      </c>
      <c r="N421" s="179">
        <v>44044</v>
      </c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  <c r="AB421" s="138"/>
      <c r="AC421" s="138"/>
      <c r="AD421" s="138"/>
      <c r="AE421" s="138"/>
      <c r="AF421" s="138"/>
      <c r="AG421" s="138"/>
      <c r="AH421" s="138"/>
      <c r="AI421" s="138"/>
      <c r="AJ421" s="138"/>
      <c r="AK421" s="138"/>
      <c r="AL421" s="138"/>
      <c r="AM421" s="138"/>
      <c r="AN421" s="138"/>
      <c r="AO421" s="138"/>
      <c r="AP421" s="138"/>
      <c r="AQ421" s="138"/>
      <c r="AR421" s="138"/>
      <c r="AS421" s="138"/>
    </row>
    <row r="422" spans="1:45" ht="15.75" hidden="1" customHeight="1">
      <c r="A422" s="177">
        <v>9</v>
      </c>
      <c r="B422" s="177" t="s">
        <v>50</v>
      </c>
      <c r="C422" s="178" t="s">
        <v>1049</v>
      </c>
      <c r="D422" s="178" t="s">
        <v>1050</v>
      </c>
      <c r="E422" s="178">
        <v>3</v>
      </c>
      <c r="F422" s="179">
        <v>40927</v>
      </c>
      <c r="G422" s="180" t="s">
        <v>1051</v>
      </c>
      <c r="H422" s="180" t="s">
        <v>1052</v>
      </c>
      <c r="I422" s="181">
        <v>44013</v>
      </c>
      <c r="J422" s="180" t="s">
        <v>261</v>
      </c>
      <c r="K422" s="180" t="s">
        <v>1053</v>
      </c>
      <c r="L422" s="180"/>
      <c r="M422" s="178" t="s">
        <v>36</v>
      </c>
      <c r="N422" s="179">
        <v>44044</v>
      </c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  <c r="AB422" s="138"/>
      <c r="AC422" s="138"/>
      <c r="AD422" s="138"/>
      <c r="AE422" s="138"/>
      <c r="AF422" s="138"/>
      <c r="AG422" s="138"/>
      <c r="AH422" s="138"/>
      <c r="AI422" s="138"/>
      <c r="AJ422" s="138"/>
      <c r="AK422" s="138"/>
      <c r="AL422" s="138"/>
      <c r="AM422" s="138"/>
      <c r="AN422" s="138"/>
      <c r="AO422" s="138"/>
      <c r="AP422" s="138"/>
      <c r="AQ422" s="138"/>
      <c r="AR422" s="138"/>
      <c r="AS422" s="138"/>
    </row>
    <row r="423" spans="1:45" ht="15.75" hidden="1" customHeight="1">
      <c r="A423" s="177">
        <v>10</v>
      </c>
      <c r="B423" s="177" t="s">
        <v>50</v>
      </c>
      <c r="C423" s="178" t="s">
        <v>1054</v>
      </c>
      <c r="D423" s="178" t="s">
        <v>1055</v>
      </c>
      <c r="E423" s="178">
        <v>5</v>
      </c>
      <c r="F423" s="179">
        <v>40169</v>
      </c>
      <c r="G423" s="180" t="s">
        <v>1056</v>
      </c>
      <c r="H423" s="180" t="s">
        <v>1057</v>
      </c>
      <c r="I423" s="181">
        <v>44000</v>
      </c>
      <c r="J423" s="180" t="s">
        <v>140</v>
      </c>
      <c r="K423" s="180" t="s">
        <v>1047</v>
      </c>
      <c r="L423" s="180"/>
      <c r="M423" s="178" t="s">
        <v>36</v>
      </c>
      <c r="N423" s="179">
        <v>44044</v>
      </c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  <c r="AB423" s="138"/>
      <c r="AC423" s="138"/>
      <c r="AD423" s="138"/>
      <c r="AE423" s="138"/>
      <c r="AF423" s="138"/>
      <c r="AG423" s="138"/>
      <c r="AH423" s="138"/>
      <c r="AI423" s="138"/>
      <c r="AJ423" s="138"/>
      <c r="AK423" s="138"/>
      <c r="AL423" s="138"/>
      <c r="AM423" s="138"/>
      <c r="AN423" s="138"/>
      <c r="AO423" s="138"/>
      <c r="AP423" s="138"/>
      <c r="AQ423" s="138"/>
      <c r="AR423" s="138"/>
      <c r="AS423" s="138"/>
    </row>
    <row r="424" spans="1:45" ht="15.75" hidden="1" customHeight="1">
      <c r="A424" s="177">
        <v>11</v>
      </c>
      <c r="B424" s="177" t="s">
        <v>50</v>
      </c>
      <c r="C424" s="178" t="s">
        <v>498</v>
      </c>
      <c r="D424" s="178" t="s">
        <v>1058</v>
      </c>
      <c r="E424" s="178" t="s">
        <v>190</v>
      </c>
      <c r="F424" s="179">
        <v>41953</v>
      </c>
      <c r="G424" s="180" t="s">
        <v>1059</v>
      </c>
      <c r="H424" s="180" t="s">
        <v>1060</v>
      </c>
      <c r="I424" s="181">
        <v>44004</v>
      </c>
      <c r="J424" s="180" t="s">
        <v>131</v>
      </c>
      <c r="K424" s="180" t="s">
        <v>1061</v>
      </c>
      <c r="L424" s="180" t="s">
        <v>1062</v>
      </c>
      <c r="M424" s="178" t="s">
        <v>36</v>
      </c>
      <c r="N424" s="179">
        <v>44044</v>
      </c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  <c r="AB424" s="138"/>
      <c r="AC424" s="138"/>
      <c r="AD424" s="138"/>
      <c r="AE424" s="138"/>
      <c r="AF424" s="138"/>
      <c r="AG424" s="138"/>
      <c r="AH424" s="138"/>
      <c r="AI424" s="138"/>
      <c r="AJ424" s="138"/>
      <c r="AK424" s="138"/>
      <c r="AL424" s="138"/>
      <c r="AM424" s="138"/>
      <c r="AN424" s="138"/>
      <c r="AO424" s="138"/>
      <c r="AP424" s="138"/>
      <c r="AQ424" s="138"/>
      <c r="AR424" s="138"/>
      <c r="AS424" s="138"/>
    </row>
    <row r="425" spans="1:45" ht="15.75" hidden="1" customHeight="1">
      <c r="A425" s="177">
        <v>12</v>
      </c>
      <c r="B425" s="177" t="s">
        <v>91</v>
      </c>
      <c r="C425" s="178" t="s">
        <v>899</v>
      </c>
      <c r="D425" s="178" t="s">
        <v>1024</v>
      </c>
      <c r="E425" s="178" t="s">
        <v>145</v>
      </c>
      <c r="F425" s="179">
        <v>41393</v>
      </c>
      <c r="G425" s="180" t="s">
        <v>1025</v>
      </c>
      <c r="H425" s="180" t="s">
        <v>834</v>
      </c>
      <c r="I425" s="181">
        <v>43359</v>
      </c>
      <c r="J425" s="180" t="s">
        <v>211</v>
      </c>
      <c r="K425" s="180" t="s">
        <v>612</v>
      </c>
      <c r="L425" s="180" t="s">
        <v>1026</v>
      </c>
      <c r="M425" s="178" t="s">
        <v>36</v>
      </c>
      <c r="N425" s="179">
        <v>44044</v>
      </c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  <c r="AB425" s="138"/>
      <c r="AC425" s="138"/>
      <c r="AD425" s="138"/>
      <c r="AE425" s="138"/>
      <c r="AF425" s="138"/>
      <c r="AG425" s="138"/>
      <c r="AH425" s="138"/>
      <c r="AI425" s="138"/>
      <c r="AJ425" s="138"/>
      <c r="AK425" s="138"/>
      <c r="AL425" s="138"/>
      <c r="AM425" s="138"/>
      <c r="AN425" s="138"/>
      <c r="AO425" s="138"/>
      <c r="AP425" s="138"/>
      <c r="AQ425" s="138"/>
      <c r="AR425" s="138"/>
      <c r="AS425" s="138"/>
    </row>
    <row r="426" spans="1:45" ht="15.75" hidden="1" customHeight="1">
      <c r="A426" s="177">
        <v>13</v>
      </c>
      <c r="B426" s="177" t="s">
        <v>91</v>
      </c>
      <c r="C426" s="178" t="s">
        <v>262</v>
      </c>
      <c r="D426" s="178" t="s">
        <v>332</v>
      </c>
      <c r="E426" s="178">
        <v>7</v>
      </c>
      <c r="F426" s="179">
        <v>44197</v>
      </c>
      <c r="G426" s="180" t="s">
        <v>1027</v>
      </c>
      <c r="H426" s="180" t="s">
        <v>1028</v>
      </c>
      <c r="I426" s="181">
        <v>44001</v>
      </c>
      <c r="J426" s="180" t="s">
        <v>150</v>
      </c>
      <c r="K426" s="180" t="s">
        <v>1015</v>
      </c>
      <c r="L426" s="180"/>
      <c r="M426" s="178" t="s">
        <v>36</v>
      </c>
      <c r="N426" s="179">
        <v>44044</v>
      </c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  <c r="AB426" s="138"/>
      <c r="AC426" s="138"/>
      <c r="AD426" s="138"/>
      <c r="AE426" s="138"/>
      <c r="AF426" s="138"/>
      <c r="AG426" s="138"/>
      <c r="AH426" s="138"/>
      <c r="AI426" s="138"/>
      <c r="AJ426" s="138"/>
      <c r="AK426" s="138"/>
      <c r="AL426" s="138"/>
      <c r="AM426" s="138"/>
      <c r="AN426" s="138"/>
      <c r="AO426" s="138"/>
      <c r="AP426" s="138"/>
      <c r="AQ426" s="138"/>
      <c r="AR426" s="138"/>
      <c r="AS426" s="138"/>
    </row>
    <row r="427" spans="1:45" ht="15.75" hidden="1" customHeight="1">
      <c r="A427" s="177">
        <v>14</v>
      </c>
      <c r="B427" s="177" t="s">
        <v>91</v>
      </c>
      <c r="C427" s="178" t="s">
        <v>618</v>
      </c>
      <c r="D427" s="178" t="s">
        <v>1029</v>
      </c>
      <c r="E427" s="178" t="s">
        <v>586</v>
      </c>
      <c r="F427" s="179">
        <v>42184</v>
      </c>
      <c r="G427" s="180" t="s">
        <v>1030</v>
      </c>
      <c r="H427" s="180" t="s">
        <v>1031</v>
      </c>
      <c r="I427" s="181">
        <v>44004</v>
      </c>
      <c r="J427" s="180" t="s">
        <v>702</v>
      </c>
      <c r="K427" s="180" t="s">
        <v>1063</v>
      </c>
      <c r="L427" s="180"/>
      <c r="M427" s="178" t="s">
        <v>36</v>
      </c>
      <c r="N427" s="179">
        <v>44044</v>
      </c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  <c r="AB427" s="138"/>
      <c r="AC427" s="138"/>
      <c r="AD427" s="138"/>
      <c r="AE427" s="138"/>
      <c r="AF427" s="138"/>
      <c r="AG427" s="138"/>
      <c r="AH427" s="138"/>
      <c r="AI427" s="138"/>
      <c r="AJ427" s="138"/>
      <c r="AK427" s="138"/>
      <c r="AL427" s="138"/>
      <c r="AM427" s="138"/>
      <c r="AN427" s="138"/>
      <c r="AO427" s="138"/>
      <c r="AP427" s="138"/>
      <c r="AQ427" s="138"/>
      <c r="AR427" s="138"/>
      <c r="AS427" s="138"/>
    </row>
    <row r="428" spans="1:45" ht="15.75" hidden="1" customHeight="1">
      <c r="A428" s="177">
        <v>15</v>
      </c>
      <c r="B428" s="177" t="s">
        <v>91</v>
      </c>
      <c r="C428" s="178" t="s">
        <v>832</v>
      </c>
      <c r="D428" s="178" t="s">
        <v>1064</v>
      </c>
      <c r="E428" s="178">
        <v>4</v>
      </c>
      <c r="F428" s="179">
        <v>40725</v>
      </c>
      <c r="G428" s="180" t="s">
        <v>1065</v>
      </c>
      <c r="H428" s="180" t="s">
        <v>1066</v>
      </c>
      <c r="I428" s="181">
        <v>44018</v>
      </c>
      <c r="J428" s="180" t="s">
        <v>141</v>
      </c>
      <c r="K428" s="180" t="s">
        <v>1053</v>
      </c>
      <c r="L428" s="180"/>
      <c r="M428" s="178" t="s">
        <v>36</v>
      </c>
      <c r="N428" s="179">
        <v>44044</v>
      </c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  <c r="AB428" s="138"/>
      <c r="AC428" s="138"/>
      <c r="AD428" s="138"/>
      <c r="AE428" s="138"/>
      <c r="AF428" s="138"/>
      <c r="AG428" s="138"/>
      <c r="AH428" s="138"/>
      <c r="AI428" s="138"/>
      <c r="AJ428" s="138"/>
      <c r="AK428" s="138"/>
      <c r="AL428" s="138"/>
      <c r="AM428" s="138"/>
      <c r="AN428" s="138"/>
      <c r="AO428" s="138"/>
      <c r="AP428" s="138"/>
      <c r="AQ428" s="138"/>
      <c r="AR428" s="138"/>
      <c r="AS428" s="138"/>
    </row>
    <row r="429" spans="1:45" ht="15.75" hidden="1" customHeight="1">
      <c r="A429" s="177">
        <v>16</v>
      </c>
      <c r="B429" s="177" t="s">
        <v>91</v>
      </c>
      <c r="C429" s="178" t="s">
        <v>715</v>
      </c>
      <c r="D429" s="178" t="s">
        <v>1033</v>
      </c>
      <c r="E429" s="178">
        <v>1</v>
      </c>
      <c r="F429" s="179">
        <v>41326</v>
      </c>
      <c r="G429" s="180" t="s">
        <v>1034</v>
      </c>
      <c r="H429" s="180" t="s">
        <v>1035</v>
      </c>
      <c r="I429" s="181">
        <v>43770</v>
      </c>
      <c r="J429" s="180" t="s">
        <v>121</v>
      </c>
      <c r="K429" s="180" t="s">
        <v>1053</v>
      </c>
      <c r="L429" s="180" t="s">
        <v>1036</v>
      </c>
      <c r="M429" s="178" t="s">
        <v>36</v>
      </c>
      <c r="N429" s="179">
        <v>44044</v>
      </c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  <c r="AB429" s="138"/>
      <c r="AC429" s="138"/>
      <c r="AD429" s="138"/>
      <c r="AE429" s="138"/>
      <c r="AF429" s="138"/>
      <c r="AG429" s="138"/>
      <c r="AH429" s="138"/>
      <c r="AI429" s="138"/>
      <c r="AJ429" s="138"/>
      <c r="AK429" s="138"/>
      <c r="AL429" s="138"/>
      <c r="AM429" s="138"/>
      <c r="AN429" s="138"/>
      <c r="AO429" s="138"/>
      <c r="AP429" s="138"/>
      <c r="AQ429" s="138"/>
      <c r="AR429" s="138"/>
      <c r="AS429" s="138"/>
    </row>
    <row r="430" spans="1:45" ht="15.75" hidden="1" customHeight="1">
      <c r="A430" s="177">
        <v>17</v>
      </c>
      <c r="B430" s="177" t="s">
        <v>91</v>
      </c>
      <c r="C430" s="178" t="s">
        <v>607</v>
      </c>
      <c r="D430" s="178" t="s">
        <v>217</v>
      </c>
      <c r="E430" s="178">
        <v>4</v>
      </c>
      <c r="F430" s="179">
        <v>40605</v>
      </c>
      <c r="G430" s="180" t="s">
        <v>1037</v>
      </c>
      <c r="H430" s="180" t="s">
        <v>1038</v>
      </c>
      <c r="I430" s="181">
        <v>44000</v>
      </c>
      <c r="J430" s="180" t="s">
        <v>188</v>
      </c>
      <c r="K430" s="180" t="s">
        <v>1067</v>
      </c>
      <c r="L430" s="180"/>
      <c r="M430" s="178" t="s">
        <v>36</v>
      </c>
      <c r="N430" s="179">
        <v>44044</v>
      </c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  <c r="AB430" s="138"/>
      <c r="AC430" s="138"/>
      <c r="AD430" s="138"/>
      <c r="AE430" s="138"/>
      <c r="AF430" s="138"/>
      <c r="AG430" s="138"/>
      <c r="AH430" s="138"/>
      <c r="AI430" s="138"/>
      <c r="AJ430" s="138"/>
      <c r="AK430" s="138"/>
      <c r="AL430" s="138"/>
      <c r="AM430" s="138"/>
      <c r="AN430" s="138"/>
      <c r="AO430" s="138"/>
      <c r="AP430" s="138"/>
      <c r="AQ430" s="138"/>
      <c r="AR430" s="138"/>
      <c r="AS430" s="138"/>
    </row>
    <row r="431" spans="1:45" ht="15.75" hidden="1" customHeight="1">
      <c r="A431" s="177">
        <v>18</v>
      </c>
      <c r="B431" s="177" t="s">
        <v>91</v>
      </c>
      <c r="C431" s="178" t="s">
        <v>1043</v>
      </c>
      <c r="D431" s="178" t="s">
        <v>1044</v>
      </c>
      <c r="E431" s="178">
        <v>5</v>
      </c>
      <c r="F431" s="179">
        <v>40288</v>
      </c>
      <c r="G431" s="180" t="s">
        <v>1045</v>
      </c>
      <c r="H431" s="180" t="s">
        <v>1046</v>
      </c>
      <c r="I431" s="181">
        <v>44006</v>
      </c>
      <c r="J431" s="180" t="s">
        <v>221</v>
      </c>
      <c r="K431" s="180" t="s">
        <v>1067</v>
      </c>
      <c r="L431" s="180" t="s">
        <v>1048</v>
      </c>
      <c r="M431" s="178" t="s">
        <v>36</v>
      </c>
      <c r="N431" s="179">
        <v>44044</v>
      </c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  <c r="AB431" s="138"/>
      <c r="AC431" s="138"/>
      <c r="AD431" s="138"/>
      <c r="AE431" s="138"/>
      <c r="AF431" s="138"/>
      <c r="AG431" s="138"/>
      <c r="AH431" s="138"/>
      <c r="AI431" s="138"/>
      <c r="AJ431" s="138"/>
      <c r="AK431" s="138"/>
      <c r="AL431" s="138"/>
      <c r="AM431" s="138"/>
      <c r="AN431" s="138"/>
      <c r="AO431" s="138"/>
      <c r="AP431" s="138"/>
      <c r="AQ431" s="138"/>
      <c r="AR431" s="138"/>
      <c r="AS431" s="138"/>
    </row>
    <row r="432" spans="1:45" ht="15.75" hidden="1" customHeight="1">
      <c r="A432" s="177">
        <v>19</v>
      </c>
      <c r="B432" s="177" t="s">
        <v>91</v>
      </c>
      <c r="C432" s="178" t="s">
        <v>932</v>
      </c>
      <c r="D432" s="178" t="s">
        <v>933</v>
      </c>
      <c r="E432" s="178">
        <v>6</v>
      </c>
      <c r="F432" s="179">
        <v>39793</v>
      </c>
      <c r="G432" s="180" t="s">
        <v>1068</v>
      </c>
      <c r="H432" s="180" t="s">
        <v>935</v>
      </c>
      <c r="I432" s="181">
        <v>44032</v>
      </c>
      <c r="J432" s="180" t="s">
        <v>1069</v>
      </c>
      <c r="K432" s="180" t="s">
        <v>1053</v>
      </c>
      <c r="L432" s="180" t="s">
        <v>1070</v>
      </c>
      <c r="M432" s="178" t="s">
        <v>36</v>
      </c>
      <c r="N432" s="179">
        <v>44044</v>
      </c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  <c r="AB432" s="138"/>
      <c r="AC432" s="138"/>
      <c r="AD432" s="138"/>
      <c r="AE432" s="138"/>
      <c r="AF432" s="138"/>
      <c r="AG432" s="138"/>
      <c r="AH432" s="138"/>
      <c r="AI432" s="138"/>
      <c r="AJ432" s="138"/>
      <c r="AK432" s="138"/>
      <c r="AL432" s="138"/>
      <c r="AM432" s="138"/>
      <c r="AN432" s="138"/>
      <c r="AO432" s="138"/>
      <c r="AP432" s="138"/>
      <c r="AQ432" s="138"/>
      <c r="AR432" s="138"/>
      <c r="AS432" s="138"/>
    </row>
    <row r="433" spans="1:45" ht="15.75" hidden="1" customHeight="1">
      <c r="A433" s="177">
        <v>20</v>
      </c>
      <c r="B433" s="177" t="s">
        <v>91</v>
      </c>
      <c r="C433" s="178" t="s">
        <v>1049</v>
      </c>
      <c r="D433" s="178" t="s">
        <v>1050</v>
      </c>
      <c r="E433" s="178">
        <v>3</v>
      </c>
      <c r="F433" s="179">
        <v>40927</v>
      </c>
      <c r="G433" s="180" t="s">
        <v>1051</v>
      </c>
      <c r="H433" s="180" t="s">
        <v>1052</v>
      </c>
      <c r="I433" s="181">
        <v>44013</v>
      </c>
      <c r="J433" s="180" t="s">
        <v>121</v>
      </c>
      <c r="K433" s="180" t="s">
        <v>1022</v>
      </c>
      <c r="L433" s="180"/>
      <c r="M433" s="178" t="s">
        <v>36</v>
      </c>
      <c r="N433" s="179">
        <v>44044</v>
      </c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  <c r="AB433" s="138"/>
      <c r="AC433" s="138"/>
      <c r="AD433" s="138"/>
      <c r="AE433" s="138"/>
      <c r="AF433" s="138"/>
      <c r="AG433" s="138"/>
      <c r="AH433" s="138"/>
      <c r="AI433" s="138"/>
      <c r="AJ433" s="138"/>
      <c r="AK433" s="138"/>
      <c r="AL433" s="138"/>
      <c r="AM433" s="138"/>
      <c r="AN433" s="138"/>
      <c r="AO433" s="138"/>
      <c r="AP433" s="138"/>
      <c r="AQ433" s="138"/>
      <c r="AR433" s="138"/>
      <c r="AS433" s="138"/>
    </row>
    <row r="434" spans="1:45" ht="15.75" hidden="1" customHeight="1">
      <c r="A434" s="177">
        <v>21</v>
      </c>
      <c r="B434" s="177" t="s">
        <v>91</v>
      </c>
      <c r="C434" s="178" t="s">
        <v>1054</v>
      </c>
      <c r="D434" s="178" t="s">
        <v>1055</v>
      </c>
      <c r="E434" s="178">
        <v>5</v>
      </c>
      <c r="F434" s="179">
        <v>40169</v>
      </c>
      <c r="G434" s="180" t="s">
        <v>1056</v>
      </c>
      <c r="H434" s="180" t="s">
        <v>1057</v>
      </c>
      <c r="I434" s="181">
        <v>44000</v>
      </c>
      <c r="J434" s="180" t="s">
        <v>121</v>
      </c>
      <c r="K434" s="180" t="s">
        <v>1047</v>
      </c>
      <c r="L434" s="180"/>
      <c r="M434" s="178" t="s">
        <v>36</v>
      </c>
      <c r="N434" s="179">
        <v>44044</v>
      </c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  <c r="AB434" s="138"/>
      <c r="AC434" s="138"/>
      <c r="AD434" s="138"/>
      <c r="AE434" s="138"/>
      <c r="AF434" s="138"/>
      <c r="AG434" s="138"/>
      <c r="AH434" s="138"/>
      <c r="AI434" s="138"/>
      <c r="AJ434" s="138"/>
      <c r="AK434" s="138"/>
      <c r="AL434" s="138"/>
      <c r="AM434" s="138"/>
      <c r="AN434" s="138"/>
      <c r="AO434" s="138"/>
      <c r="AP434" s="138"/>
      <c r="AQ434" s="138"/>
      <c r="AR434" s="138"/>
      <c r="AS434" s="138"/>
    </row>
    <row r="435" spans="1:45" ht="15.75" hidden="1" customHeight="1">
      <c r="A435" s="177">
        <v>22</v>
      </c>
      <c r="B435" s="177" t="s">
        <v>91</v>
      </c>
      <c r="C435" s="178" t="s">
        <v>498</v>
      </c>
      <c r="D435" s="178" t="s">
        <v>1058</v>
      </c>
      <c r="E435" s="178" t="s">
        <v>190</v>
      </c>
      <c r="F435" s="179">
        <v>41953</v>
      </c>
      <c r="G435" s="180" t="s">
        <v>1059</v>
      </c>
      <c r="H435" s="180" t="s">
        <v>1060</v>
      </c>
      <c r="I435" s="181">
        <v>44004</v>
      </c>
      <c r="J435" s="180" t="s">
        <v>156</v>
      </c>
      <c r="K435" s="180" t="s">
        <v>1067</v>
      </c>
      <c r="L435" s="180" t="s">
        <v>1062</v>
      </c>
      <c r="M435" s="178" t="s">
        <v>36</v>
      </c>
      <c r="N435" s="179">
        <v>44044</v>
      </c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  <c r="AB435" s="138"/>
      <c r="AC435" s="138"/>
      <c r="AD435" s="138"/>
      <c r="AE435" s="138"/>
      <c r="AF435" s="138"/>
      <c r="AG435" s="138"/>
      <c r="AH435" s="138"/>
      <c r="AI435" s="138"/>
      <c r="AJ435" s="138"/>
      <c r="AK435" s="138"/>
      <c r="AL435" s="138"/>
      <c r="AM435" s="138"/>
      <c r="AN435" s="138"/>
      <c r="AO435" s="138"/>
      <c r="AP435" s="138"/>
      <c r="AQ435" s="138"/>
      <c r="AR435" s="138"/>
      <c r="AS435" s="138"/>
    </row>
    <row r="436" spans="1:45" ht="15.75" hidden="1" customHeight="1">
      <c r="A436" s="177">
        <v>1</v>
      </c>
      <c r="B436" s="177" t="s">
        <v>91</v>
      </c>
      <c r="C436" s="178" t="s">
        <v>1071</v>
      </c>
      <c r="D436" s="178" t="s">
        <v>1072</v>
      </c>
      <c r="E436" s="178">
        <v>1</v>
      </c>
      <c r="F436" s="179">
        <v>41692</v>
      </c>
      <c r="G436" s="180" t="s">
        <v>1073</v>
      </c>
      <c r="H436" s="180" t="s">
        <v>1074</v>
      </c>
      <c r="I436" s="181">
        <v>44004</v>
      </c>
      <c r="J436" s="180" t="s">
        <v>156</v>
      </c>
      <c r="K436" s="180" t="s">
        <v>1047</v>
      </c>
      <c r="L436" s="180"/>
      <c r="M436" s="178" t="s">
        <v>36</v>
      </c>
      <c r="N436" s="179">
        <v>44075</v>
      </c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  <c r="AB436" s="138"/>
      <c r="AC436" s="138"/>
      <c r="AD436" s="138"/>
      <c r="AE436" s="138"/>
      <c r="AF436" s="138"/>
      <c r="AG436" s="138"/>
      <c r="AH436" s="138"/>
      <c r="AI436" s="138"/>
      <c r="AJ436" s="138"/>
      <c r="AK436" s="138"/>
      <c r="AL436" s="138"/>
      <c r="AM436" s="138"/>
      <c r="AN436" s="138"/>
      <c r="AO436" s="138"/>
      <c r="AP436" s="138"/>
      <c r="AQ436" s="138"/>
      <c r="AR436" s="138"/>
      <c r="AS436" s="138"/>
    </row>
    <row r="437" spans="1:45" ht="15.75" hidden="1" customHeight="1">
      <c r="A437" s="177">
        <v>2</v>
      </c>
      <c r="B437" s="177" t="s">
        <v>91</v>
      </c>
      <c r="C437" s="178" t="s">
        <v>647</v>
      </c>
      <c r="D437" s="178" t="s">
        <v>1075</v>
      </c>
      <c r="E437" s="178">
        <v>1</v>
      </c>
      <c r="F437" s="179">
        <v>41713</v>
      </c>
      <c r="G437" s="180" t="s">
        <v>1076</v>
      </c>
      <c r="H437" s="180" t="s">
        <v>1077</v>
      </c>
      <c r="I437" s="181">
        <v>43985</v>
      </c>
      <c r="J437" s="180" t="s">
        <v>1078</v>
      </c>
      <c r="K437" s="180" t="s">
        <v>1067</v>
      </c>
      <c r="L437" s="180"/>
      <c r="M437" s="178" t="s">
        <v>36</v>
      </c>
      <c r="N437" s="179">
        <v>44075</v>
      </c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  <c r="AB437" s="138"/>
      <c r="AC437" s="138"/>
      <c r="AD437" s="138"/>
      <c r="AE437" s="138"/>
      <c r="AF437" s="138"/>
      <c r="AG437" s="138"/>
      <c r="AH437" s="138"/>
      <c r="AI437" s="138"/>
      <c r="AJ437" s="138"/>
      <c r="AK437" s="138"/>
      <c r="AL437" s="138"/>
      <c r="AM437" s="138"/>
      <c r="AN437" s="138"/>
      <c r="AO437" s="138"/>
      <c r="AP437" s="138"/>
      <c r="AQ437" s="138"/>
      <c r="AR437" s="138"/>
      <c r="AS437" s="138"/>
    </row>
    <row r="438" spans="1:45" ht="15.75" hidden="1" customHeight="1">
      <c r="A438" s="177">
        <v>3</v>
      </c>
      <c r="B438" s="177" t="s">
        <v>91</v>
      </c>
      <c r="C438" s="178" t="s">
        <v>1079</v>
      </c>
      <c r="D438" s="178" t="s">
        <v>472</v>
      </c>
      <c r="E438" s="178">
        <v>4</v>
      </c>
      <c r="F438" s="179">
        <v>40447</v>
      </c>
      <c r="G438" s="180" t="s">
        <v>1027</v>
      </c>
      <c r="H438" s="180" t="s">
        <v>1028</v>
      </c>
      <c r="I438" s="181">
        <v>44019</v>
      </c>
      <c r="J438" s="180" t="s">
        <v>121</v>
      </c>
      <c r="K438" s="180" t="s">
        <v>1047</v>
      </c>
      <c r="L438" s="180"/>
      <c r="M438" s="178" t="s">
        <v>36</v>
      </c>
      <c r="N438" s="179">
        <v>44075</v>
      </c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  <c r="AB438" s="138"/>
      <c r="AC438" s="138"/>
      <c r="AD438" s="138"/>
      <c r="AE438" s="138"/>
      <c r="AF438" s="138"/>
      <c r="AG438" s="138"/>
      <c r="AH438" s="138"/>
      <c r="AI438" s="138"/>
      <c r="AJ438" s="138"/>
      <c r="AK438" s="138"/>
      <c r="AL438" s="138"/>
      <c r="AM438" s="138"/>
      <c r="AN438" s="138"/>
      <c r="AO438" s="138"/>
      <c r="AP438" s="138"/>
      <c r="AQ438" s="138"/>
      <c r="AR438" s="138"/>
      <c r="AS438" s="138"/>
    </row>
    <row r="439" spans="1:45" ht="15.75" hidden="1" customHeight="1">
      <c r="A439" s="177">
        <v>4</v>
      </c>
      <c r="B439" s="177" t="s">
        <v>50</v>
      </c>
      <c r="C439" s="178" t="s">
        <v>328</v>
      </c>
      <c r="D439" s="178" t="s">
        <v>1080</v>
      </c>
      <c r="E439" s="178">
        <v>3</v>
      </c>
      <c r="F439" s="179" t="s">
        <v>1081</v>
      </c>
      <c r="G439" s="180" t="s">
        <v>1082</v>
      </c>
      <c r="H439" s="180" t="s">
        <v>1083</v>
      </c>
      <c r="I439" s="181">
        <v>43617</v>
      </c>
      <c r="J439" s="180" t="s">
        <v>271</v>
      </c>
      <c r="K439" s="180" t="s">
        <v>1047</v>
      </c>
      <c r="L439" s="180" t="s">
        <v>1084</v>
      </c>
      <c r="M439" s="178" t="s">
        <v>36</v>
      </c>
      <c r="N439" s="179">
        <v>44075</v>
      </c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  <c r="AB439" s="138"/>
      <c r="AC439" s="138"/>
      <c r="AD439" s="138"/>
      <c r="AE439" s="138"/>
      <c r="AF439" s="138"/>
      <c r="AG439" s="138"/>
      <c r="AH439" s="138"/>
      <c r="AI439" s="138"/>
      <c r="AJ439" s="138"/>
      <c r="AK439" s="138"/>
      <c r="AL439" s="138"/>
      <c r="AM439" s="138"/>
      <c r="AN439" s="138"/>
      <c r="AO439" s="138"/>
      <c r="AP439" s="138"/>
      <c r="AQ439" s="138"/>
      <c r="AR439" s="138"/>
      <c r="AS439" s="138"/>
    </row>
    <row r="440" spans="1:45" ht="15.75" hidden="1" customHeight="1">
      <c r="A440" s="177">
        <v>5</v>
      </c>
      <c r="B440" s="177" t="s">
        <v>91</v>
      </c>
      <c r="C440" s="178" t="s">
        <v>328</v>
      </c>
      <c r="D440" s="178" t="s">
        <v>1080</v>
      </c>
      <c r="E440" s="178">
        <v>3</v>
      </c>
      <c r="F440" s="179" t="s">
        <v>1081</v>
      </c>
      <c r="G440" s="180" t="s">
        <v>1082</v>
      </c>
      <c r="H440" s="180" t="s">
        <v>1083</v>
      </c>
      <c r="I440" s="181">
        <v>43617</v>
      </c>
      <c r="J440" s="180" t="s">
        <v>238</v>
      </c>
      <c r="K440" s="180" t="s">
        <v>663</v>
      </c>
      <c r="L440" s="180" t="s">
        <v>1084</v>
      </c>
      <c r="M440" s="178" t="s">
        <v>36</v>
      </c>
      <c r="N440" s="179">
        <v>44075</v>
      </c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  <c r="AB440" s="138"/>
      <c r="AC440" s="138"/>
      <c r="AD440" s="138"/>
      <c r="AE440" s="138"/>
      <c r="AF440" s="138"/>
      <c r="AG440" s="138"/>
      <c r="AH440" s="138"/>
      <c r="AI440" s="138"/>
      <c r="AJ440" s="138"/>
      <c r="AK440" s="138"/>
      <c r="AL440" s="138"/>
      <c r="AM440" s="138"/>
      <c r="AN440" s="138"/>
      <c r="AO440" s="138"/>
      <c r="AP440" s="138"/>
      <c r="AQ440" s="138"/>
      <c r="AR440" s="138"/>
      <c r="AS440" s="138"/>
    </row>
    <row r="441" spans="1:45" ht="15.75" hidden="1" customHeight="1">
      <c r="A441" s="177">
        <v>6</v>
      </c>
      <c r="B441" s="177" t="s">
        <v>50</v>
      </c>
      <c r="C441" s="178" t="s">
        <v>328</v>
      </c>
      <c r="D441" s="178" t="s">
        <v>866</v>
      </c>
      <c r="E441" s="178" t="s">
        <v>190</v>
      </c>
      <c r="F441" s="179" t="s">
        <v>1085</v>
      </c>
      <c r="G441" s="180" t="s">
        <v>1082</v>
      </c>
      <c r="H441" s="180" t="s">
        <v>1086</v>
      </c>
      <c r="I441" s="181">
        <v>43617</v>
      </c>
      <c r="J441" s="180" t="s">
        <v>186</v>
      </c>
      <c r="K441" s="180" t="s">
        <v>992</v>
      </c>
      <c r="L441" s="180" t="s">
        <v>1084</v>
      </c>
      <c r="M441" s="178" t="s">
        <v>36</v>
      </c>
      <c r="N441" s="179">
        <v>44075</v>
      </c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  <c r="AB441" s="138"/>
      <c r="AC441" s="138"/>
      <c r="AD441" s="138"/>
      <c r="AE441" s="138"/>
      <c r="AF441" s="138"/>
      <c r="AG441" s="138"/>
      <c r="AH441" s="138"/>
      <c r="AI441" s="138"/>
      <c r="AJ441" s="138"/>
      <c r="AK441" s="138"/>
      <c r="AL441" s="138"/>
      <c r="AM441" s="138"/>
      <c r="AN441" s="138"/>
      <c r="AO441" s="138"/>
      <c r="AP441" s="138"/>
      <c r="AQ441" s="138"/>
      <c r="AR441" s="138"/>
      <c r="AS441" s="138"/>
    </row>
    <row r="442" spans="1:45" ht="15.75" hidden="1" customHeight="1">
      <c r="A442" s="177">
        <v>7</v>
      </c>
      <c r="B442" s="177" t="s">
        <v>91</v>
      </c>
      <c r="C442" s="178" t="s">
        <v>328</v>
      </c>
      <c r="D442" s="178" t="s">
        <v>866</v>
      </c>
      <c r="E442" s="178" t="s">
        <v>190</v>
      </c>
      <c r="F442" s="179" t="s">
        <v>1085</v>
      </c>
      <c r="G442" s="180" t="s">
        <v>1082</v>
      </c>
      <c r="H442" s="180" t="s">
        <v>1086</v>
      </c>
      <c r="I442" s="181">
        <v>43617</v>
      </c>
      <c r="J442" s="180" t="s">
        <v>188</v>
      </c>
      <c r="K442" s="180" t="s">
        <v>1022</v>
      </c>
      <c r="L442" s="180" t="s">
        <v>1084</v>
      </c>
      <c r="M442" s="178" t="s">
        <v>36</v>
      </c>
      <c r="N442" s="179">
        <v>44075</v>
      </c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  <c r="AB442" s="138"/>
      <c r="AC442" s="138"/>
      <c r="AD442" s="138"/>
      <c r="AE442" s="138"/>
      <c r="AF442" s="138"/>
      <c r="AG442" s="138"/>
      <c r="AH442" s="138"/>
      <c r="AI442" s="138"/>
      <c r="AJ442" s="138"/>
      <c r="AK442" s="138"/>
      <c r="AL442" s="138"/>
      <c r="AM442" s="138"/>
      <c r="AN442" s="138"/>
      <c r="AO442" s="138"/>
      <c r="AP442" s="138"/>
      <c r="AQ442" s="138"/>
      <c r="AR442" s="138"/>
      <c r="AS442" s="138"/>
    </row>
    <row r="443" spans="1:45" ht="15.75" hidden="1" customHeight="1">
      <c r="A443" s="177">
        <v>8</v>
      </c>
      <c r="B443" s="177" t="s">
        <v>91</v>
      </c>
      <c r="C443" s="178" t="s">
        <v>1087</v>
      </c>
      <c r="D443" s="178" t="s">
        <v>1088</v>
      </c>
      <c r="E443" s="178" t="s">
        <v>178</v>
      </c>
      <c r="F443" s="179">
        <v>41914</v>
      </c>
      <c r="G443" s="180" t="s">
        <v>1089</v>
      </c>
      <c r="H443" s="180" t="s">
        <v>1090</v>
      </c>
      <c r="I443" s="181">
        <v>44004</v>
      </c>
      <c r="J443" s="180" t="s">
        <v>194</v>
      </c>
      <c r="K443" s="180" t="s">
        <v>1067</v>
      </c>
      <c r="L443" s="180"/>
      <c r="M443" s="178" t="s">
        <v>36</v>
      </c>
      <c r="N443" s="179">
        <v>44075</v>
      </c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  <c r="AB443" s="138"/>
      <c r="AC443" s="138"/>
      <c r="AD443" s="138"/>
      <c r="AE443" s="138"/>
      <c r="AF443" s="138"/>
      <c r="AG443" s="138"/>
      <c r="AH443" s="138"/>
      <c r="AI443" s="138"/>
      <c r="AJ443" s="138"/>
      <c r="AK443" s="138"/>
      <c r="AL443" s="138"/>
      <c r="AM443" s="138"/>
      <c r="AN443" s="138"/>
      <c r="AO443" s="138"/>
      <c r="AP443" s="138"/>
      <c r="AQ443" s="138"/>
      <c r="AR443" s="138"/>
      <c r="AS443" s="138"/>
    </row>
    <row r="444" spans="1:45" ht="15.75" hidden="1" customHeight="1">
      <c r="A444" s="177">
        <v>9</v>
      </c>
      <c r="B444" s="177" t="s">
        <v>50</v>
      </c>
      <c r="C444" s="178" t="s">
        <v>482</v>
      </c>
      <c r="D444" s="178" t="s">
        <v>725</v>
      </c>
      <c r="E444" s="178">
        <v>5</v>
      </c>
      <c r="F444" s="179"/>
      <c r="G444" s="180" t="s">
        <v>484</v>
      </c>
      <c r="H444" s="180" t="s">
        <v>485</v>
      </c>
      <c r="I444" s="181">
        <v>43831</v>
      </c>
      <c r="J444" s="180" t="s">
        <v>204</v>
      </c>
      <c r="K444" s="180" t="s">
        <v>272</v>
      </c>
      <c r="L444" s="180" t="s">
        <v>1091</v>
      </c>
      <c r="M444" s="178" t="s">
        <v>36</v>
      </c>
      <c r="N444" s="179">
        <v>44075</v>
      </c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  <c r="AB444" s="138"/>
      <c r="AC444" s="138"/>
      <c r="AD444" s="138"/>
      <c r="AE444" s="138"/>
      <c r="AF444" s="138"/>
      <c r="AG444" s="138"/>
      <c r="AH444" s="138"/>
      <c r="AI444" s="138"/>
      <c r="AJ444" s="138"/>
      <c r="AK444" s="138"/>
      <c r="AL444" s="138"/>
      <c r="AM444" s="138"/>
      <c r="AN444" s="138"/>
      <c r="AO444" s="138"/>
      <c r="AP444" s="138"/>
      <c r="AQ444" s="138"/>
      <c r="AR444" s="138"/>
      <c r="AS444" s="138"/>
    </row>
    <row r="445" spans="1:45" ht="15.75" hidden="1" customHeight="1">
      <c r="A445" s="177">
        <v>10</v>
      </c>
      <c r="B445" s="177" t="s">
        <v>91</v>
      </c>
      <c r="C445" s="178" t="s">
        <v>482</v>
      </c>
      <c r="D445" s="178" t="s">
        <v>725</v>
      </c>
      <c r="E445" s="178">
        <v>5</v>
      </c>
      <c r="F445" s="179"/>
      <c r="G445" s="180" t="s">
        <v>484</v>
      </c>
      <c r="H445" s="180" t="s">
        <v>485</v>
      </c>
      <c r="I445" s="181">
        <v>43831</v>
      </c>
      <c r="J445" s="180" t="s">
        <v>244</v>
      </c>
      <c r="K445" s="180" t="s">
        <v>272</v>
      </c>
      <c r="L445" s="180" t="s">
        <v>1091</v>
      </c>
      <c r="M445" s="178" t="s">
        <v>36</v>
      </c>
      <c r="N445" s="179">
        <v>44075</v>
      </c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  <c r="AB445" s="138"/>
      <c r="AC445" s="138"/>
      <c r="AD445" s="138"/>
      <c r="AE445" s="138"/>
      <c r="AF445" s="138"/>
      <c r="AG445" s="138"/>
      <c r="AH445" s="138"/>
      <c r="AI445" s="138"/>
      <c r="AJ445" s="138"/>
      <c r="AK445" s="138"/>
      <c r="AL445" s="138"/>
      <c r="AM445" s="138"/>
      <c r="AN445" s="138"/>
      <c r="AO445" s="138"/>
      <c r="AP445" s="138"/>
      <c r="AQ445" s="138"/>
      <c r="AR445" s="138"/>
      <c r="AS445" s="138"/>
    </row>
    <row r="446" spans="1:45" ht="15.75" hidden="1" customHeight="1">
      <c r="A446" s="177">
        <v>11</v>
      </c>
      <c r="B446" s="177" t="s">
        <v>50</v>
      </c>
      <c r="C446" s="178" t="s">
        <v>482</v>
      </c>
      <c r="D446" s="178" t="s">
        <v>483</v>
      </c>
      <c r="E446" s="178">
        <v>5</v>
      </c>
      <c r="F446" s="179"/>
      <c r="G446" s="180" t="s">
        <v>484</v>
      </c>
      <c r="H446" s="180" t="s">
        <v>485</v>
      </c>
      <c r="I446" s="181">
        <v>43831</v>
      </c>
      <c r="J446" s="180" t="s">
        <v>140</v>
      </c>
      <c r="K446" s="180" t="s">
        <v>1047</v>
      </c>
      <c r="L446" s="180" t="s">
        <v>1091</v>
      </c>
      <c r="M446" s="178" t="s">
        <v>36</v>
      </c>
      <c r="N446" s="179">
        <v>44075</v>
      </c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  <c r="AB446" s="138"/>
      <c r="AC446" s="138"/>
      <c r="AD446" s="138"/>
      <c r="AE446" s="138"/>
      <c r="AF446" s="138"/>
      <c r="AG446" s="138"/>
      <c r="AH446" s="138"/>
      <c r="AI446" s="138"/>
      <c r="AJ446" s="138"/>
      <c r="AK446" s="138"/>
      <c r="AL446" s="138"/>
      <c r="AM446" s="138"/>
      <c r="AN446" s="138"/>
      <c r="AO446" s="138"/>
      <c r="AP446" s="138"/>
      <c r="AQ446" s="138"/>
      <c r="AR446" s="138"/>
      <c r="AS446" s="138"/>
    </row>
    <row r="447" spans="1:45" ht="15.75" hidden="1" customHeight="1">
      <c r="A447" s="177">
        <v>12</v>
      </c>
      <c r="B447" s="177" t="s">
        <v>91</v>
      </c>
      <c r="C447" s="178" t="s">
        <v>482</v>
      </c>
      <c r="D447" s="178" t="s">
        <v>483</v>
      </c>
      <c r="E447" s="178">
        <v>5</v>
      </c>
      <c r="F447" s="179"/>
      <c r="G447" s="180" t="s">
        <v>484</v>
      </c>
      <c r="H447" s="180" t="s">
        <v>485</v>
      </c>
      <c r="I447" s="181">
        <v>43831</v>
      </c>
      <c r="J447" s="180" t="s">
        <v>156</v>
      </c>
      <c r="K447" s="180" t="s">
        <v>1047</v>
      </c>
      <c r="L447" s="180" t="s">
        <v>1091</v>
      </c>
      <c r="M447" s="178" t="s">
        <v>36</v>
      </c>
      <c r="N447" s="179">
        <v>44075</v>
      </c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  <c r="AB447" s="138"/>
      <c r="AC447" s="138"/>
      <c r="AD447" s="138"/>
      <c r="AE447" s="138"/>
      <c r="AF447" s="138"/>
      <c r="AG447" s="138"/>
      <c r="AH447" s="138"/>
      <c r="AI447" s="138"/>
      <c r="AJ447" s="138"/>
      <c r="AK447" s="138"/>
      <c r="AL447" s="138"/>
      <c r="AM447" s="138"/>
      <c r="AN447" s="138"/>
      <c r="AO447" s="138"/>
      <c r="AP447" s="138"/>
      <c r="AQ447" s="138"/>
      <c r="AR447" s="138"/>
      <c r="AS447" s="138"/>
    </row>
    <row r="448" spans="1:45" ht="15.75" hidden="1" customHeight="1">
      <c r="A448" s="177">
        <v>13</v>
      </c>
      <c r="B448" s="177" t="s">
        <v>91</v>
      </c>
      <c r="C448" s="178" t="s">
        <v>1043</v>
      </c>
      <c r="D448" s="178" t="s">
        <v>1092</v>
      </c>
      <c r="E448" s="178">
        <v>1</v>
      </c>
      <c r="F448" s="179">
        <v>41663</v>
      </c>
      <c r="G448" s="180" t="s">
        <v>1093</v>
      </c>
      <c r="H448" s="180" t="s">
        <v>1094</v>
      </c>
      <c r="I448" s="181">
        <v>44004</v>
      </c>
      <c r="J448" s="180" t="s">
        <v>156</v>
      </c>
      <c r="K448" s="180" t="s">
        <v>1067</v>
      </c>
      <c r="L448" s="180"/>
      <c r="M448" s="178" t="s">
        <v>36</v>
      </c>
      <c r="N448" s="179">
        <v>44075</v>
      </c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  <c r="AB448" s="138"/>
      <c r="AC448" s="138"/>
      <c r="AD448" s="138"/>
      <c r="AE448" s="138"/>
      <c r="AF448" s="138"/>
      <c r="AG448" s="138"/>
      <c r="AH448" s="138"/>
      <c r="AI448" s="138"/>
      <c r="AJ448" s="138"/>
      <c r="AK448" s="138"/>
      <c r="AL448" s="138"/>
      <c r="AM448" s="138"/>
      <c r="AN448" s="138"/>
      <c r="AO448" s="138"/>
      <c r="AP448" s="138"/>
      <c r="AQ448" s="138"/>
      <c r="AR448" s="138"/>
      <c r="AS448" s="138"/>
    </row>
    <row r="449" spans="1:45" ht="15.75" hidden="1" customHeight="1">
      <c r="A449" s="177">
        <v>14</v>
      </c>
      <c r="B449" s="177" t="s">
        <v>50</v>
      </c>
      <c r="C449" s="178" t="s">
        <v>509</v>
      </c>
      <c r="D449" s="178" t="s">
        <v>1095</v>
      </c>
      <c r="E449" s="178" t="s">
        <v>586</v>
      </c>
      <c r="F449" s="179">
        <v>42474</v>
      </c>
      <c r="G449" s="180" t="s">
        <v>1096</v>
      </c>
      <c r="H449" s="180" t="s">
        <v>997</v>
      </c>
      <c r="I449" s="181">
        <v>44013</v>
      </c>
      <c r="J449" s="180" t="s">
        <v>349</v>
      </c>
      <c r="K449" s="180" t="s">
        <v>1039</v>
      </c>
      <c r="L449" s="180" t="s">
        <v>1084</v>
      </c>
      <c r="M449" s="178" t="s">
        <v>36</v>
      </c>
      <c r="N449" s="179">
        <v>44075</v>
      </c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  <c r="AB449" s="138"/>
      <c r="AC449" s="138"/>
      <c r="AD449" s="138"/>
      <c r="AE449" s="138"/>
      <c r="AF449" s="138"/>
      <c r="AG449" s="138"/>
      <c r="AH449" s="138"/>
      <c r="AI449" s="138"/>
      <c r="AJ449" s="138"/>
      <c r="AK449" s="138"/>
      <c r="AL449" s="138"/>
      <c r="AM449" s="138"/>
      <c r="AN449" s="138"/>
      <c r="AO449" s="138"/>
      <c r="AP449" s="138"/>
      <c r="AQ449" s="138"/>
      <c r="AR449" s="138"/>
      <c r="AS449" s="138"/>
    </row>
    <row r="450" spans="1:45" ht="15.75" hidden="1" customHeight="1">
      <c r="A450" s="177">
        <v>1</v>
      </c>
      <c r="B450" s="177" t="s">
        <v>50</v>
      </c>
      <c r="C450" s="178" t="s">
        <v>143</v>
      </c>
      <c r="D450" s="178" t="s">
        <v>144</v>
      </c>
      <c r="E450" s="178" t="s">
        <v>145</v>
      </c>
      <c r="F450" s="179">
        <v>41461</v>
      </c>
      <c r="G450" s="180" t="s">
        <v>146</v>
      </c>
      <c r="H450" s="180" t="s">
        <v>1004</v>
      </c>
      <c r="I450" s="181" t="s">
        <v>1097</v>
      </c>
      <c r="J450" s="180" t="s">
        <v>261</v>
      </c>
      <c r="K450" s="180" t="s">
        <v>663</v>
      </c>
      <c r="L450" s="180" t="s">
        <v>1098</v>
      </c>
      <c r="M450" s="178" t="s">
        <v>36</v>
      </c>
      <c r="N450" s="179">
        <v>44105</v>
      </c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  <c r="AB450" s="138"/>
      <c r="AC450" s="138"/>
      <c r="AD450" s="138"/>
      <c r="AE450" s="138"/>
      <c r="AF450" s="138"/>
      <c r="AG450" s="138"/>
      <c r="AH450" s="138"/>
      <c r="AI450" s="138"/>
      <c r="AJ450" s="138"/>
      <c r="AK450" s="138"/>
      <c r="AL450" s="138"/>
      <c r="AM450" s="138"/>
      <c r="AN450" s="138"/>
      <c r="AO450" s="138"/>
      <c r="AP450" s="138"/>
      <c r="AQ450" s="138"/>
      <c r="AR450" s="138"/>
      <c r="AS450" s="138"/>
    </row>
    <row r="451" spans="1:45" ht="15.75" hidden="1" customHeight="1">
      <c r="A451" s="177">
        <v>2</v>
      </c>
      <c r="B451" s="177" t="s">
        <v>91</v>
      </c>
      <c r="C451" s="178" t="s">
        <v>143</v>
      </c>
      <c r="D451" s="178" t="s">
        <v>144</v>
      </c>
      <c r="E451" s="178" t="s">
        <v>145</v>
      </c>
      <c r="F451" s="179">
        <v>41461</v>
      </c>
      <c r="G451" s="180" t="s">
        <v>146</v>
      </c>
      <c r="H451" s="180" t="s">
        <v>147</v>
      </c>
      <c r="I451" s="181" t="s">
        <v>1097</v>
      </c>
      <c r="J451" s="180" t="s">
        <v>156</v>
      </c>
      <c r="K451" s="180" t="s">
        <v>272</v>
      </c>
      <c r="L451" s="180" t="s">
        <v>1098</v>
      </c>
      <c r="M451" s="178" t="s">
        <v>36</v>
      </c>
      <c r="N451" s="179">
        <v>44105</v>
      </c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  <c r="AB451" s="138"/>
      <c r="AC451" s="138"/>
      <c r="AD451" s="138"/>
      <c r="AE451" s="138"/>
      <c r="AF451" s="138"/>
      <c r="AG451" s="138"/>
      <c r="AH451" s="138"/>
      <c r="AI451" s="138"/>
      <c r="AJ451" s="138"/>
      <c r="AK451" s="138"/>
      <c r="AL451" s="138"/>
      <c r="AM451" s="138"/>
      <c r="AN451" s="138"/>
      <c r="AO451" s="138"/>
      <c r="AP451" s="138"/>
      <c r="AQ451" s="138"/>
      <c r="AR451" s="138"/>
      <c r="AS451" s="138"/>
    </row>
    <row r="452" spans="1:45" ht="15.75" hidden="1" customHeight="1">
      <c r="A452" s="177">
        <v>3</v>
      </c>
      <c r="B452" s="177" t="s">
        <v>50</v>
      </c>
      <c r="C452" s="178" t="s">
        <v>579</v>
      </c>
      <c r="D452" s="178" t="s">
        <v>585</v>
      </c>
      <c r="E452" s="178">
        <v>0</v>
      </c>
      <c r="F452" s="179">
        <v>41667</v>
      </c>
      <c r="G452" s="180" t="s">
        <v>713</v>
      </c>
      <c r="H452" s="180" t="s">
        <v>378</v>
      </c>
      <c r="I452" s="181">
        <v>43877</v>
      </c>
      <c r="J452" s="180" t="s">
        <v>233</v>
      </c>
      <c r="K452" s="180" t="s">
        <v>957</v>
      </c>
      <c r="L452" s="180" t="s">
        <v>1099</v>
      </c>
      <c r="M452" s="178" t="s">
        <v>36</v>
      </c>
      <c r="N452" s="179">
        <v>44105</v>
      </c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  <c r="AG452" s="138"/>
      <c r="AH452" s="138"/>
      <c r="AI452" s="138"/>
      <c r="AJ452" s="138"/>
      <c r="AK452" s="138"/>
      <c r="AL452" s="138"/>
      <c r="AM452" s="138"/>
      <c r="AN452" s="138"/>
      <c r="AO452" s="138"/>
      <c r="AP452" s="138"/>
      <c r="AQ452" s="138"/>
      <c r="AR452" s="138"/>
      <c r="AS452" s="138"/>
    </row>
    <row r="453" spans="1:45" ht="15.75" hidden="1" customHeight="1">
      <c r="A453" s="177">
        <v>4</v>
      </c>
      <c r="B453" s="177" t="s">
        <v>91</v>
      </c>
      <c r="C453" s="178" t="s">
        <v>579</v>
      </c>
      <c r="D453" s="178" t="s">
        <v>585</v>
      </c>
      <c r="E453" s="178">
        <v>0</v>
      </c>
      <c r="F453" s="179">
        <v>41667</v>
      </c>
      <c r="G453" s="180" t="s">
        <v>713</v>
      </c>
      <c r="H453" s="180" t="s">
        <v>378</v>
      </c>
      <c r="I453" s="181">
        <v>43877</v>
      </c>
      <c r="J453" s="180" t="s">
        <v>134</v>
      </c>
      <c r="K453" s="180" t="s">
        <v>1053</v>
      </c>
      <c r="L453" s="180" t="s">
        <v>1099</v>
      </c>
      <c r="M453" s="178" t="s">
        <v>36</v>
      </c>
      <c r="N453" s="179">
        <v>44105</v>
      </c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  <c r="AB453" s="138"/>
      <c r="AC453" s="138"/>
      <c r="AD453" s="138"/>
      <c r="AE453" s="138"/>
      <c r="AF453" s="138"/>
      <c r="AG453" s="138"/>
      <c r="AH453" s="138"/>
      <c r="AI453" s="138"/>
      <c r="AJ453" s="138"/>
      <c r="AK453" s="138"/>
      <c r="AL453" s="138"/>
      <c r="AM453" s="138"/>
      <c r="AN453" s="138"/>
      <c r="AO453" s="138"/>
      <c r="AP453" s="138"/>
      <c r="AQ453" s="138"/>
      <c r="AR453" s="138"/>
      <c r="AS453" s="138"/>
    </row>
    <row r="454" spans="1:45" ht="15.75" hidden="1" customHeight="1">
      <c r="A454" s="177">
        <v>1</v>
      </c>
      <c r="B454" s="177" t="s">
        <v>50</v>
      </c>
      <c r="C454" s="178" t="s">
        <v>1100</v>
      </c>
      <c r="D454" s="178" t="s">
        <v>1101</v>
      </c>
      <c r="E454" s="178">
        <v>1</v>
      </c>
      <c r="F454" s="179">
        <v>41656</v>
      </c>
      <c r="G454" s="180" t="s">
        <v>1102</v>
      </c>
      <c r="H454" s="180" t="s">
        <v>1103</v>
      </c>
      <c r="I454" s="181">
        <v>44059</v>
      </c>
      <c r="J454" s="180" t="s">
        <v>134</v>
      </c>
      <c r="K454" s="180" t="s">
        <v>1067</v>
      </c>
      <c r="L454" s="180" t="s">
        <v>1098</v>
      </c>
      <c r="M454" s="178" t="s">
        <v>36</v>
      </c>
      <c r="N454" s="179">
        <v>44136</v>
      </c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  <c r="AB454" s="138"/>
      <c r="AC454" s="138"/>
      <c r="AD454" s="138"/>
      <c r="AE454" s="138"/>
      <c r="AF454" s="138"/>
      <c r="AG454" s="138"/>
      <c r="AH454" s="138"/>
      <c r="AI454" s="138"/>
      <c r="AJ454" s="138"/>
      <c r="AK454" s="138"/>
      <c r="AL454" s="138"/>
      <c r="AM454" s="138"/>
      <c r="AN454" s="138"/>
      <c r="AO454" s="138"/>
      <c r="AP454" s="138"/>
      <c r="AQ454" s="138"/>
      <c r="AR454" s="138"/>
      <c r="AS454" s="138"/>
    </row>
    <row r="455" spans="1:45" ht="15.75" hidden="1" customHeight="1">
      <c r="A455" s="177">
        <v>2</v>
      </c>
      <c r="B455" s="177" t="s">
        <v>91</v>
      </c>
      <c r="C455" s="178" t="s">
        <v>1100</v>
      </c>
      <c r="D455" s="178" t="s">
        <v>1101</v>
      </c>
      <c r="E455" s="178">
        <v>1</v>
      </c>
      <c r="F455" s="179">
        <v>41656</v>
      </c>
      <c r="G455" s="180" t="s">
        <v>1102</v>
      </c>
      <c r="H455" s="180" t="s">
        <v>1103</v>
      </c>
      <c r="I455" s="181">
        <v>44059</v>
      </c>
      <c r="J455" s="180" t="s">
        <v>211</v>
      </c>
      <c r="K455" s="180" t="s">
        <v>1015</v>
      </c>
      <c r="L455" s="180" t="s">
        <v>1098</v>
      </c>
      <c r="M455" s="178" t="s">
        <v>36</v>
      </c>
      <c r="N455" s="179">
        <v>44136</v>
      </c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  <c r="AB455" s="138"/>
      <c r="AC455" s="138"/>
      <c r="AD455" s="138"/>
      <c r="AE455" s="138"/>
      <c r="AF455" s="138"/>
      <c r="AG455" s="138"/>
      <c r="AH455" s="138"/>
      <c r="AI455" s="138"/>
      <c r="AJ455" s="138"/>
      <c r="AK455" s="138"/>
      <c r="AL455" s="138"/>
      <c r="AM455" s="138"/>
      <c r="AN455" s="138"/>
      <c r="AO455" s="138"/>
      <c r="AP455" s="138"/>
      <c r="AQ455" s="138"/>
      <c r="AR455" s="138"/>
      <c r="AS455" s="138"/>
    </row>
    <row r="456" spans="1:45" ht="15.75" hidden="1" customHeight="1">
      <c r="A456" s="177">
        <v>3</v>
      </c>
      <c r="B456" s="177" t="s">
        <v>50</v>
      </c>
      <c r="C456" s="178" t="s">
        <v>509</v>
      </c>
      <c r="D456" s="178" t="s">
        <v>472</v>
      </c>
      <c r="E456" s="178">
        <v>0</v>
      </c>
      <c r="F456" s="179">
        <v>41628</v>
      </c>
      <c r="G456" s="180" t="s">
        <v>996</v>
      </c>
      <c r="H456" s="180" t="s">
        <v>997</v>
      </c>
      <c r="I456" s="181">
        <v>44013</v>
      </c>
      <c r="J456" s="180" t="s">
        <v>140</v>
      </c>
      <c r="K456" s="180" t="s">
        <v>276</v>
      </c>
      <c r="L456" s="180" t="s">
        <v>1098</v>
      </c>
      <c r="M456" s="178" t="s">
        <v>36</v>
      </c>
      <c r="N456" s="179">
        <v>44136</v>
      </c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  <c r="AB456" s="138"/>
      <c r="AC456" s="138"/>
      <c r="AD456" s="138"/>
      <c r="AE456" s="138"/>
      <c r="AF456" s="138"/>
      <c r="AG456" s="138"/>
      <c r="AH456" s="138"/>
      <c r="AI456" s="138"/>
      <c r="AJ456" s="138"/>
      <c r="AK456" s="138"/>
      <c r="AL456" s="138"/>
      <c r="AM456" s="138"/>
      <c r="AN456" s="138"/>
      <c r="AO456" s="138"/>
      <c r="AP456" s="138"/>
      <c r="AQ456" s="138"/>
      <c r="AR456" s="138"/>
      <c r="AS456" s="138"/>
    </row>
    <row r="457" spans="1:45" ht="15.75" hidden="1" customHeight="1">
      <c r="A457" s="177">
        <v>1</v>
      </c>
      <c r="B457" s="177" t="s">
        <v>50</v>
      </c>
      <c r="C457" s="178" t="s">
        <v>375</v>
      </c>
      <c r="D457" s="178" t="s">
        <v>613</v>
      </c>
      <c r="E457" s="178">
        <v>1</v>
      </c>
      <c r="F457" s="179">
        <v>41165</v>
      </c>
      <c r="G457" s="180" t="s">
        <v>614</v>
      </c>
      <c r="H457" s="180" t="s">
        <v>615</v>
      </c>
      <c r="I457" s="181">
        <v>43862</v>
      </c>
      <c r="J457" s="180" t="s">
        <v>186</v>
      </c>
      <c r="K457" s="180" t="s">
        <v>1104</v>
      </c>
      <c r="L457" s="180" t="s">
        <v>1105</v>
      </c>
      <c r="M457" s="178" t="s">
        <v>36</v>
      </c>
      <c r="N457" s="179">
        <v>44166</v>
      </c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  <c r="AB457" s="138"/>
      <c r="AC457" s="138"/>
      <c r="AD457" s="138"/>
      <c r="AE457" s="138"/>
      <c r="AF457" s="138"/>
      <c r="AG457" s="138"/>
      <c r="AH457" s="138"/>
      <c r="AI457" s="138"/>
      <c r="AJ457" s="138"/>
      <c r="AK457" s="138"/>
      <c r="AL457" s="138"/>
      <c r="AM457" s="138"/>
      <c r="AN457" s="138"/>
      <c r="AO457" s="138"/>
      <c r="AP457" s="138"/>
      <c r="AQ457" s="138"/>
      <c r="AR457" s="138"/>
      <c r="AS457" s="138"/>
    </row>
    <row r="458" spans="1:45" ht="15.75" hidden="1" customHeight="1">
      <c r="A458" s="177">
        <v>2</v>
      </c>
      <c r="B458" s="177" t="s">
        <v>91</v>
      </c>
      <c r="C458" s="178" t="s">
        <v>375</v>
      </c>
      <c r="D458" s="178" t="s">
        <v>613</v>
      </c>
      <c r="E458" s="178">
        <v>1</v>
      </c>
      <c r="F458" s="179">
        <v>41165</v>
      </c>
      <c r="G458" s="180" t="s">
        <v>614</v>
      </c>
      <c r="H458" s="180" t="s">
        <v>615</v>
      </c>
      <c r="I458" s="181">
        <v>43862</v>
      </c>
      <c r="J458" s="180" t="s">
        <v>141</v>
      </c>
      <c r="K458" s="180" t="s">
        <v>276</v>
      </c>
      <c r="L458" s="180" t="s">
        <v>1105</v>
      </c>
      <c r="M458" s="178" t="s">
        <v>36</v>
      </c>
      <c r="N458" s="179">
        <v>44166</v>
      </c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  <c r="AB458" s="138"/>
      <c r="AC458" s="138"/>
      <c r="AD458" s="138"/>
      <c r="AE458" s="138"/>
      <c r="AF458" s="138"/>
      <c r="AG458" s="138"/>
      <c r="AH458" s="138"/>
      <c r="AI458" s="138"/>
      <c r="AJ458" s="138"/>
      <c r="AK458" s="138"/>
      <c r="AL458" s="138"/>
      <c r="AM458" s="138"/>
      <c r="AN458" s="138"/>
      <c r="AO458" s="138"/>
      <c r="AP458" s="138"/>
      <c r="AQ458" s="138"/>
      <c r="AR458" s="138"/>
      <c r="AS458" s="138"/>
    </row>
    <row r="459" spans="1:45" ht="15.75" hidden="1" customHeight="1">
      <c r="A459" s="177">
        <v>3</v>
      </c>
      <c r="B459" s="177" t="s">
        <v>50</v>
      </c>
      <c r="C459" s="178" t="s">
        <v>986</v>
      </c>
      <c r="D459" s="178" t="s">
        <v>987</v>
      </c>
      <c r="E459" s="178">
        <v>6</v>
      </c>
      <c r="F459" s="179">
        <v>39827</v>
      </c>
      <c r="G459" s="180" t="s">
        <v>1106</v>
      </c>
      <c r="H459" s="180" t="s">
        <v>1107</v>
      </c>
      <c r="I459" s="181">
        <v>44060</v>
      </c>
      <c r="J459" s="180" t="s">
        <v>956</v>
      </c>
      <c r="K459" s="180" t="s">
        <v>764</v>
      </c>
      <c r="L459" s="180" t="s">
        <v>1108</v>
      </c>
      <c r="M459" s="178" t="s">
        <v>36</v>
      </c>
      <c r="N459" s="179">
        <v>44166</v>
      </c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  <c r="AB459" s="138"/>
      <c r="AC459" s="138"/>
      <c r="AD459" s="138"/>
      <c r="AE459" s="138"/>
      <c r="AF459" s="138"/>
      <c r="AG459" s="138"/>
      <c r="AH459" s="138"/>
      <c r="AI459" s="138"/>
      <c r="AJ459" s="138"/>
      <c r="AK459" s="138"/>
      <c r="AL459" s="138"/>
      <c r="AM459" s="138"/>
      <c r="AN459" s="138"/>
      <c r="AO459" s="138"/>
      <c r="AP459" s="138"/>
      <c r="AQ459" s="138"/>
      <c r="AR459" s="138"/>
      <c r="AS459" s="138"/>
    </row>
    <row r="460" spans="1:45" ht="15.75" hidden="1" customHeight="1">
      <c r="A460" s="177">
        <v>4</v>
      </c>
      <c r="B460" s="177" t="s">
        <v>50</v>
      </c>
      <c r="C460" s="178" t="s">
        <v>375</v>
      </c>
      <c r="D460" s="178" t="s">
        <v>376</v>
      </c>
      <c r="E460" s="178">
        <v>3</v>
      </c>
      <c r="F460" s="179">
        <v>40886</v>
      </c>
      <c r="G460" s="180" t="s">
        <v>377</v>
      </c>
      <c r="H460" s="180" t="s">
        <v>378</v>
      </c>
      <c r="I460" s="181">
        <v>44013</v>
      </c>
      <c r="J460" s="180" t="s">
        <v>186</v>
      </c>
      <c r="K460" s="180" t="s">
        <v>957</v>
      </c>
      <c r="L460" s="180" t="s">
        <v>1109</v>
      </c>
      <c r="M460" s="178" t="s">
        <v>36</v>
      </c>
      <c r="N460" s="179">
        <v>44166</v>
      </c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  <c r="AB460" s="138"/>
      <c r="AC460" s="138"/>
      <c r="AD460" s="138"/>
      <c r="AE460" s="138"/>
      <c r="AF460" s="138"/>
      <c r="AG460" s="138"/>
      <c r="AH460" s="138"/>
      <c r="AI460" s="138"/>
      <c r="AJ460" s="138"/>
      <c r="AK460" s="138"/>
      <c r="AL460" s="138"/>
      <c r="AM460" s="138"/>
      <c r="AN460" s="138"/>
      <c r="AO460" s="138"/>
      <c r="AP460" s="138"/>
      <c r="AQ460" s="138"/>
      <c r="AR460" s="138"/>
      <c r="AS460" s="138"/>
    </row>
    <row r="461" spans="1:45" ht="15.75" hidden="1" customHeight="1">
      <c r="A461" s="177">
        <v>5</v>
      </c>
      <c r="B461" s="177" t="s">
        <v>50</v>
      </c>
      <c r="C461" s="178" t="s">
        <v>1110</v>
      </c>
      <c r="D461" s="178" t="s">
        <v>1111</v>
      </c>
      <c r="E461" s="178">
        <v>3</v>
      </c>
      <c r="F461" s="179">
        <v>40857</v>
      </c>
      <c r="G461" s="180" t="s">
        <v>1112</v>
      </c>
      <c r="H461" s="180" t="s">
        <v>1113</v>
      </c>
      <c r="I461" s="181">
        <v>44074</v>
      </c>
      <c r="J461" s="180" t="s">
        <v>186</v>
      </c>
      <c r="K461" s="180" t="s">
        <v>821</v>
      </c>
      <c r="L461" s="180" t="s">
        <v>1114</v>
      </c>
      <c r="M461" s="178" t="s">
        <v>36</v>
      </c>
      <c r="N461" s="179">
        <v>44166</v>
      </c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  <c r="AB461" s="138"/>
      <c r="AC461" s="138"/>
      <c r="AD461" s="138"/>
      <c r="AE461" s="138"/>
      <c r="AF461" s="138"/>
      <c r="AG461" s="138"/>
      <c r="AH461" s="138"/>
      <c r="AI461" s="138"/>
      <c r="AJ461" s="138"/>
      <c r="AK461" s="138"/>
      <c r="AL461" s="138"/>
      <c r="AM461" s="138"/>
      <c r="AN461" s="138"/>
      <c r="AO461" s="138"/>
      <c r="AP461" s="138"/>
      <c r="AQ461" s="138"/>
      <c r="AR461" s="138"/>
      <c r="AS461" s="138"/>
    </row>
    <row r="462" spans="1:45" ht="15.75" hidden="1" customHeight="1">
      <c r="A462" s="177">
        <v>6</v>
      </c>
      <c r="B462" s="177" t="s">
        <v>91</v>
      </c>
      <c r="C462" s="178" t="s">
        <v>1110</v>
      </c>
      <c r="D462" s="178" t="s">
        <v>1111</v>
      </c>
      <c r="E462" s="178">
        <v>3</v>
      </c>
      <c r="F462" s="179">
        <v>40857</v>
      </c>
      <c r="G462" s="180" t="s">
        <v>1112</v>
      </c>
      <c r="H462" s="180" t="s">
        <v>1113</v>
      </c>
      <c r="I462" s="181">
        <v>44074</v>
      </c>
      <c r="J462" s="180" t="s">
        <v>188</v>
      </c>
      <c r="K462" s="180" t="s">
        <v>821</v>
      </c>
      <c r="L462" s="180" t="s">
        <v>1114</v>
      </c>
      <c r="M462" s="178" t="s">
        <v>36</v>
      </c>
      <c r="N462" s="179">
        <v>44166</v>
      </c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  <c r="AB462" s="138"/>
      <c r="AC462" s="138"/>
      <c r="AD462" s="138"/>
      <c r="AE462" s="138"/>
      <c r="AF462" s="138"/>
      <c r="AG462" s="138"/>
      <c r="AH462" s="138"/>
      <c r="AI462" s="138"/>
      <c r="AJ462" s="138"/>
      <c r="AK462" s="138"/>
      <c r="AL462" s="138"/>
      <c r="AM462" s="138"/>
      <c r="AN462" s="138"/>
      <c r="AO462" s="138"/>
      <c r="AP462" s="138"/>
      <c r="AQ462" s="138"/>
      <c r="AR462" s="138"/>
      <c r="AS462" s="138"/>
    </row>
    <row r="463" spans="1:45" ht="15.75" hidden="1" customHeight="1">
      <c r="A463" s="177">
        <v>7</v>
      </c>
      <c r="B463" s="177" t="s">
        <v>50</v>
      </c>
      <c r="C463" s="178" t="s">
        <v>375</v>
      </c>
      <c r="D463" s="178" t="s">
        <v>652</v>
      </c>
      <c r="E463" s="178" t="s">
        <v>190</v>
      </c>
      <c r="F463" s="179">
        <v>41802</v>
      </c>
      <c r="G463" s="180" t="s">
        <v>614</v>
      </c>
      <c r="H463" s="180" t="s">
        <v>615</v>
      </c>
      <c r="I463" s="181">
        <v>43862</v>
      </c>
      <c r="J463" s="180" t="s">
        <v>261</v>
      </c>
      <c r="K463" s="180" t="s">
        <v>1104</v>
      </c>
      <c r="L463" s="180" t="s">
        <v>1105</v>
      </c>
      <c r="M463" s="178" t="s">
        <v>36</v>
      </c>
      <c r="N463" s="179">
        <v>44166</v>
      </c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  <c r="AB463" s="138"/>
      <c r="AC463" s="138"/>
      <c r="AD463" s="138"/>
      <c r="AE463" s="138"/>
      <c r="AF463" s="138"/>
      <c r="AG463" s="138"/>
      <c r="AH463" s="138"/>
      <c r="AI463" s="138"/>
      <c r="AJ463" s="138"/>
      <c r="AK463" s="138"/>
      <c r="AL463" s="138"/>
      <c r="AM463" s="138"/>
      <c r="AN463" s="138"/>
      <c r="AO463" s="138"/>
      <c r="AP463" s="138"/>
      <c r="AQ463" s="138"/>
      <c r="AR463" s="138"/>
      <c r="AS463" s="138"/>
    </row>
    <row r="464" spans="1:45" ht="15.75" hidden="1" customHeight="1">
      <c r="A464" s="177">
        <v>8</v>
      </c>
      <c r="B464" s="177" t="s">
        <v>91</v>
      </c>
      <c r="C464" s="178" t="s">
        <v>375</v>
      </c>
      <c r="D464" s="178" t="s">
        <v>652</v>
      </c>
      <c r="E464" s="178" t="s">
        <v>190</v>
      </c>
      <c r="F464" s="179">
        <v>41802</v>
      </c>
      <c r="G464" s="180" t="s">
        <v>614</v>
      </c>
      <c r="H464" s="180" t="s">
        <v>615</v>
      </c>
      <c r="I464" s="181">
        <v>43862</v>
      </c>
      <c r="J464" s="180" t="s">
        <v>156</v>
      </c>
      <c r="K464" s="180" t="s">
        <v>276</v>
      </c>
      <c r="L464" s="180" t="s">
        <v>1105</v>
      </c>
      <c r="M464" s="178" t="s">
        <v>36</v>
      </c>
      <c r="N464" s="179">
        <v>44166</v>
      </c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  <c r="AB464" s="138"/>
      <c r="AC464" s="138"/>
      <c r="AD464" s="138"/>
      <c r="AE464" s="138"/>
      <c r="AF464" s="138"/>
      <c r="AG464" s="138"/>
      <c r="AH464" s="138"/>
      <c r="AI464" s="138"/>
      <c r="AJ464" s="138"/>
      <c r="AK464" s="138"/>
      <c r="AL464" s="138"/>
      <c r="AM464" s="138"/>
      <c r="AN464" s="138"/>
      <c r="AO464" s="138"/>
      <c r="AP464" s="138"/>
      <c r="AQ464" s="138"/>
      <c r="AR464" s="138"/>
      <c r="AS464" s="138"/>
    </row>
    <row r="465" spans="1:45" ht="15.75" hidden="1" customHeight="1">
      <c r="A465" s="177">
        <v>9</v>
      </c>
      <c r="B465" s="177" t="s">
        <v>50</v>
      </c>
      <c r="C465" s="178" t="s">
        <v>1115</v>
      </c>
      <c r="D465" s="178" t="s">
        <v>1116</v>
      </c>
      <c r="E465" s="178" t="s">
        <v>190</v>
      </c>
      <c r="F465" s="179">
        <v>42071</v>
      </c>
      <c r="G465" s="180"/>
      <c r="H465" s="180" t="s">
        <v>1117</v>
      </c>
      <c r="I465" s="181">
        <v>44105</v>
      </c>
      <c r="J465" s="180" t="s">
        <v>192</v>
      </c>
      <c r="K465" s="180" t="s">
        <v>1067</v>
      </c>
      <c r="L465" s="180" t="s">
        <v>1098</v>
      </c>
      <c r="M465" s="178" t="s">
        <v>36</v>
      </c>
      <c r="N465" s="179">
        <v>44166</v>
      </c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  <c r="AB465" s="138"/>
      <c r="AC465" s="138"/>
      <c r="AD465" s="138"/>
      <c r="AE465" s="138"/>
      <c r="AF465" s="138"/>
      <c r="AG465" s="138"/>
      <c r="AH465" s="138"/>
      <c r="AI465" s="138"/>
      <c r="AJ465" s="138"/>
      <c r="AK465" s="138"/>
      <c r="AL465" s="138"/>
      <c r="AM465" s="138"/>
      <c r="AN465" s="138"/>
      <c r="AO465" s="138"/>
      <c r="AP465" s="138"/>
      <c r="AQ465" s="138"/>
      <c r="AR465" s="138"/>
      <c r="AS465" s="138"/>
    </row>
    <row r="466" spans="1:45" ht="15.75" hidden="1" customHeight="1">
      <c r="A466" s="177">
        <v>10</v>
      </c>
      <c r="B466" s="177" t="s">
        <v>91</v>
      </c>
      <c r="C466" s="178" t="s">
        <v>1115</v>
      </c>
      <c r="D466" s="178" t="s">
        <v>1116</v>
      </c>
      <c r="E466" s="178" t="s">
        <v>190</v>
      </c>
      <c r="F466" s="179">
        <v>42071</v>
      </c>
      <c r="G466" s="180"/>
      <c r="H466" s="180" t="s">
        <v>1117</v>
      </c>
      <c r="I466" s="181">
        <v>44105</v>
      </c>
      <c r="J466" s="180" t="s">
        <v>654</v>
      </c>
      <c r="K466" s="180" t="s">
        <v>1015</v>
      </c>
      <c r="L466" s="180" t="s">
        <v>1098</v>
      </c>
      <c r="M466" s="178" t="s">
        <v>36</v>
      </c>
      <c r="N466" s="179">
        <v>44166</v>
      </c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  <c r="AB466" s="138"/>
      <c r="AC466" s="138"/>
      <c r="AD466" s="138"/>
      <c r="AE466" s="138"/>
      <c r="AF466" s="138"/>
      <c r="AG466" s="138"/>
      <c r="AH466" s="138"/>
      <c r="AI466" s="138"/>
      <c r="AJ466" s="138"/>
      <c r="AK466" s="138"/>
      <c r="AL466" s="138"/>
      <c r="AM466" s="138"/>
      <c r="AN466" s="138"/>
      <c r="AO466" s="138"/>
      <c r="AP466" s="138"/>
      <c r="AQ466" s="138"/>
      <c r="AR466" s="138"/>
      <c r="AS466" s="138"/>
    </row>
    <row r="467" spans="1:45" ht="15.75" hidden="1" customHeight="1">
      <c r="A467" s="177">
        <v>11</v>
      </c>
      <c r="B467" s="177" t="s">
        <v>50</v>
      </c>
      <c r="C467" s="178" t="s">
        <v>375</v>
      </c>
      <c r="D467" s="178" t="s">
        <v>387</v>
      </c>
      <c r="E467" s="178">
        <v>4</v>
      </c>
      <c r="F467" s="179">
        <v>40070</v>
      </c>
      <c r="G467" s="180" t="s">
        <v>377</v>
      </c>
      <c r="H467" s="180" t="s">
        <v>378</v>
      </c>
      <c r="I467" s="181">
        <v>44013</v>
      </c>
      <c r="J467" s="180" t="s">
        <v>186</v>
      </c>
      <c r="K467" s="180" t="s">
        <v>663</v>
      </c>
      <c r="L467" s="180" t="s">
        <v>1109</v>
      </c>
      <c r="M467" s="178" t="s">
        <v>36</v>
      </c>
      <c r="N467" s="179">
        <v>44166</v>
      </c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  <c r="AB467" s="138"/>
      <c r="AC467" s="138"/>
      <c r="AD467" s="138"/>
      <c r="AE467" s="138"/>
      <c r="AF467" s="138"/>
      <c r="AG467" s="138"/>
      <c r="AH467" s="138"/>
      <c r="AI467" s="138"/>
      <c r="AJ467" s="138"/>
      <c r="AK467" s="138"/>
      <c r="AL467" s="138"/>
      <c r="AM467" s="138"/>
      <c r="AN467" s="138"/>
      <c r="AO467" s="138"/>
      <c r="AP467" s="138"/>
      <c r="AQ467" s="138"/>
      <c r="AR467" s="138"/>
      <c r="AS467" s="138"/>
    </row>
    <row r="468" spans="1:45" ht="15.75" hidden="1" customHeight="1">
      <c r="A468" s="177">
        <v>12</v>
      </c>
      <c r="B468" s="177" t="s">
        <v>50</v>
      </c>
      <c r="C468" s="178" t="s">
        <v>375</v>
      </c>
      <c r="D468" s="178" t="s">
        <v>389</v>
      </c>
      <c r="E468" s="178" t="s">
        <v>145</v>
      </c>
      <c r="F468" s="179">
        <v>42221</v>
      </c>
      <c r="G468" s="180" t="s">
        <v>377</v>
      </c>
      <c r="H468" s="180" t="s">
        <v>378</v>
      </c>
      <c r="I468" s="181">
        <v>44013</v>
      </c>
      <c r="J468" s="180" t="s">
        <v>192</v>
      </c>
      <c r="K468" s="180" t="s">
        <v>1104</v>
      </c>
      <c r="L468" s="180" t="s">
        <v>1109</v>
      </c>
      <c r="M468" s="178" t="s">
        <v>36</v>
      </c>
      <c r="N468" s="179">
        <v>44166</v>
      </c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  <c r="AB468" s="138"/>
      <c r="AC468" s="138"/>
      <c r="AD468" s="138"/>
      <c r="AE468" s="138"/>
      <c r="AF468" s="138"/>
      <c r="AG468" s="138"/>
      <c r="AH468" s="138"/>
      <c r="AI468" s="138"/>
      <c r="AJ468" s="138"/>
      <c r="AK468" s="138"/>
      <c r="AL468" s="138"/>
      <c r="AM468" s="138"/>
      <c r="AN468" s="138"/>
      <c r="AO468" s="138"/>
      <c r="AP468" s="138"/>
      <c r="AQ468" s="138"/>
      <c r="AR468" s="138"/>
      <c r="AS468" s="138"/>
    </row>
    <row r="469" spans="1:45" ht="15.75" hidden="1" customHeight="1">
      <c r="A469" s="177">
        <v>1</v>
      </c>
      <c r="B469" s="177" t="s">
        <v>50</v>
      </c>
      <c r="C469" s="178" t="s">
        <v>482</v>
      </c>
      <c r="D469" s="178" t="s">
        <v>588</v>
      </c>
      <c r="E469" s="178">
        <v>1</v>
      </c>
      <c r="F469" s="179">
        <v>43831</v>
      </c>
      <c r="G469" s="180" t="s">
        <v>1118</v>
      </c>
      <c r="H469" s="180" t="s">
        <v>952</v>
      </c>
      <c r="I469" s="181">
        <v>43983</v>
      </c>
      <c r="J469" s="180" t="s">
        <v>134</v>
      </c>
      <c r="K469" s="180" t="s">
        <v>1015</v>
      </c>
      <c r="L469" s="180" t="s">
        <v>1119</v>
      </c>
      <c r="M469" s="178" t="s">
        <v>36</v>
      </c>
      <c r="N469" s="179">
        <v>44197</v>
      </c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  <c r="AB469" s="138"/>
      <c r="AC469" s="138"/>
      <c r="AD469" s="138"/>
      <c r="AE469" s="138"/>
      <c r="AF469" s="138"/>
      <c r="AG469" s="138"/>
      <c r="AH469" s="138"/>
      <c r="AI469" s="138"/>
      <c r="AJ469" s="138"/>
      <c r="AK469" s="138"/>
      <c r="AL469" s="138"/>
      <c r="AM469" s="138"/>
      <c r="AN469" s="138"/>
      <c r="AO469" s="138"/>
      <c r="AP469" s="138"/>
      <c r="AQ469" s="138"/>
      <c r="AR469" s="138"/>
      <c r="AS469" s="138"/>
    </row>
    <row r="470" spans="1:45" ht="15.75" hidden="1" customHeight="1">
      <c r="A470" s="177">
        <v>2</v>
      </c>
      <c r="B470" s="177" t="s">
        <v>50</v>
      </c>
      <c r="C470" s="178" t="s">
        <v>498</v>
      </c>
      <c r="D470" s="178" t="s">
        <v>1012</v>
      </c>
      <c r="E470" s="178" t="s">
        <v>190</v>
      </c>
      <c r="F470" s="179">
        <v>42064</v>
      </c>
      <c r="G470" s="180" t="s">
        <v>1013</v>
      </c>
      <c r="H470" s="180" t="s">
        <v>1014</v>
      </c>
      <c r="I470" s="181">
        <v>43985</v>
      </c>
      <c r="J470" s="180" t="s">
        <v>261</v>
      </c>
      <c r="K470" s="180" t="s">
        <v>1015</v>
      </c>
      <c r="L470" s="180" t="s">
        <v>1119</v>
      </c>
      <c r="M470" s="178" t="s">
        <v>36</v>
      </c>
      <c r="N470" s="179">
        <v>44197</v>
      </c>
      <c r="O470" s="138"/>
      <c r="P470" s="138"/>
      <c r="Q470" s="138" t="s">
        <v>1120</v>
      </c>
      <c r="R470" s="138">
        <v>1</v>
      </c>
      <c r="S470" s="138"/>
      <c r="T470" s="138"/>
      <c r="U470" s="138"/>
      <c r="V470" s="138"/>
      <c r="W470" s="138"/>
      <c r="X470" s="138"/>
      <c r="Y470" s="138"/>
      <c r="Z470" s="138"/>
      <c r="AA470" s="138"/>
      <c r="AB470" s="138"/>
      <c r="AC470" s="138"/>
      <c r="AD470" s="138"/>
      <c r="AE470" s="138"/>
      <c r="AF470" s="138"/>
      <c r="AG470" s="138"/>
      <c r="AH470" s="138"/>
      <c r="AI470" s="138"/>
      <c r="AJ470" s="138"/>
      <c r="AK470" s="138"/>
      <c r="AL470" s="138"/>
      <c r="AM470" s="138"/>
      <c r="AN470" s="138"/>
      <c r="AO470" s="138"/>
      <c r="AP470" s="138"/>
      <c r="AQ470" s="138"/>
      <c r="AR470" s="138"/>
      <c r="AS470" s="138"/>
    </row>
    <row r="471" spans="1:45" ht="15.75" hidden="1" customHeight="1">
      <c r="A471" s="177">
        <v>3</v>
      </c>
      <c r="B471" s="177" t="s">
        <v>91</v>
      </c>
      <c r="C471" s="178" t="s">
        <v>1121</v>
      </c>
      <c r="D471" s="178" t="s">
        <v>1122</v>
      </c>
      <c r="E471" s="178">
        <v>4</v>
      </c>
      <c r="F471" s="179">
        <v>40831</v>
      </c>
      <c r="G471" s="180" t="s">
        <v>1123</v>
      </c>
      <c r="H471" s="180" t="s">
        <v>1124</v>
      </c>
      <c r="I471" s="181">
        <v>44077</v>
      </c>
      <c r="J471" s="180" t="s">
        <v>221</v>
      </c>
      <c r="K471" s="180" t="s">
        <v>276</v>
      </c>
      <c r="L471" s="180" t="s">
        <v>1098</v>
      </c>
      <c r="M471" s="178" t="s">
        <v>36</v>
      </c>
      <c r="N471" s="179">
        <v>44197</v>
      </c>
      <c r="O471" s="138"/>
      <c r="P471" s="138"/>
      <c r="Q471" s="138" t="s">
        <v>1125</v>
      </c>
      <c r="R471" s="138">
        <v>1</v>
      </c>
      <c r="S471" s="138"/>
      <c r="T471" s="138"/>
      <c r="U471" s="138"/>
      <c r="V471" s="138"/>
      <c r="W471" s="138"/>
      <c r="X471" s="138"/>
      <c r="Y471" s="138"/>
      <c r="Z471" s="138"/>
      <c r="AA471" s="138"/>
      <c r="AB471" s="138"/>
      <c r="AC471" s="138"/>
      <c r="AD471" s="138"/>
      <c r="AE471" s="138"/>
      <c r="AF471" s="138"/>
      <c r="AG471" s="138"/>
      <c r="AH471" s="138"/>
      <c r="AI471" s="138"/>
      <c r="AJ471" s="138"/>
      <c r="AK471" s="138"/>
      <c r="AL471" s="138"/>
      <c r="AM471" s="138"/>
      <c r="AN471" s="138"/>
      <c r="AO471" s="138"/>
      <c r="AP471" s="138"/>
      <c r="AQ471" s="138"/>
      <c r="AR471" s="138"/>
      <c r="AS471" s="138"/>
    </row>
    <row r="472" spans="1:45" ht="15.75" hidden="1" customHeight="1">
      <c r="A472" s="177">
        <v>4</v>
      </c>
      <c r="B472" s="177" t="s">
        <v>91</v>
      </c>
      <c r="C472" s="178" t="s">
        <v>1121</v>
      </c>
      <c r="D472" s="178" t="s">
        <v>1126</v>
      </c>
      <c r="E472" s="178">
        <v>1</v>
      </c>
      <c r="F472" s="179">
        <v>41663</v>
      </c>
      <c r="G472" s="180"/>
      <c r="H472" s="180" t="s">
        <v>1124</v>
      </c>
      <c r="I472" s="181">
        <v>44136</v>
      </c>
      <c r="J472" s="180" t="s">
        <v>156</v>
      </c>
      <c r="K472" s="180" t="s">
        <v>276</v>
      </c>
      <c r="L472" s="180" t="s">
        <v>1098</v>
      </c>
      <c r="M472" s="178" t="s">
        <v>36</v>
      </c>
      <c r="N472" s="179">
        <v>44197</v>
      </c>
      <c r="O472" s="138"/>
      <c r="P472" s="138"/>
      <c r="Q472" s="138" t="s">
        <v>1127</v>
      </c>
      <c r="R472" s="138">
        <v>3</v>
      </c>
      <c r="S472" s="138"/>
      <c r="T472" s="138"/>
      <c r="U472" s="138"/>
      <c r="V472" s="138"/>
      <c r="W472" s="138"/>
      <c r="X472" s="138"/>
      <c r="Y472" s="138"/>
      <c r="Z472" s="138"/>
      <c r="AA472" s="138"/>
      <c r="AB472" s="138"/>
      <c r="AC472" s="138"/>
      <c r="AD472" s="138"/>
      <c r="AE472" s="138"/>
      <c r="AF472" s="138"/>
      <c r="AG472" s="138"/>
      <c r="AH472" s="138"/>
      <c r="AI472" s="138"/>
      <c r="AJ472" s="138"/>
      <c r="AK472" s="138"/>
      <c r="AL472" s="138"/>
      <c r="AM472" s="138"/>
      <c r="AN472" s="138"/>
      <c r="AO472" s="138"/>
      <c r="AP472" s="138"/>
      <c r="AQ472" s="138"/>
      <c r="AR472" s="138"/>
      <c r="AS472" s="138"/>
    </row>
    <row r="473" spans="1:45" ht="15.75" hidden="1" customHeight="1">
      <c r="A473" s="177">
        <v>5</v>
      </c>
      <c r="B473" s="177" t="s">
        <v>91</v>
      </c>
      <c r="C473" s="178" t="s">
        <v>1128</v>
      </c>
      <c r="D473" s="178" t="s">
        <v>1129</v>
      </c>
      <c r="E473" s="178">
        <v>1</v>
      </c>
      <c r="F473" s="179">
        <v>41687</v>
      </c>
      <c r="G473" s="180"/>
      <c r="H473" s="180" t="s">
        <v>1130</v>
      </c>
      <c r="I473" s="181">
        <v>44136</v>
      </c>
      <c r="J473" s="180" t="s">
        <v>112</v>
      </c>
      <c r="K473" s="180" t="s">
        <v>1015</v>
      </c>
      <c r="L473" s="180" t="s">
        <v>1131</v>
      </c>
      <c r="M473" s="178" t="s">
        <v>36</v>
      </c>
      <c r="N473" s="179">
        <v>44197</v>
      </c>
      <c r="O473" s="138"/>
      <c r="P473" s="138"/>
      <c r="Q473" s="138" t="s">
        <v>1132</v>
      </c>
      <c r="R473" s="138">
        <v>2</v>
      </c>
      <c r="S473" s="138"/>
      <c r="T473" s="138"/>
      <c r="U473" s="138"/>
      <c r="V473" s="138"/>
      <c r="W473" s="138"/>
      <c r="X473" s="138"/>
      <c r="Y473" s="138"/>
      <c r="Z473" s="138"/>
      <c r="AA473" s="138"/>
      <c r="AB473" s="138"/>
      <c r="AC473" s="138"/>
      <c r="AD473" s="138"/>
      <c r="AE473" s="138"/>
      <c r="AF473" s="138"/>
      <c r="AG473" s="138"/>
      <c r="AH473" s="138"/>
      <c r="AI473" s="138"/>
      <c r="AJ473" s="138"/>
      <c r="AK473" s="138"/>
      <c r="AL473" s="138"/>
      <c r="AM473" s="138"/>
      <c r="AN473" s="138"/>
      <c r="AO473" s="138"/>
      <c r="AP473" s="138"/>
      <c r="AQ473" s="138"/>
      <c r="AR473" s="138"/>
      <c r="AS473" s="138"/>
    </row>
    <row r="474" spans="1:45" ht="15.75" hidden="1" customHeight="1">
      <c r="A474" s="177">
        <v>1</v>
      </c>
      <c r="B474" s="177" t="s">
        <v>50</v>
      </c>
      <c r="C474" s="178" t="s">
        <v>1133</v>
      </c>
      <c r="D474" s="178" t="s">
        <v>557</v>
      </c>
      <c r="E474" s="178">
        <v>3</v>
      </c>
      <c r="F474" s="179">
        <v>40878</v>
      </c>
      <c r="G474" s="180"/>
      <c r="H474" s="180" t="s">
        <v>1134</v>
      </c>
      <c r="I474" s="181">
        <v>44151</v>
      </c>
      <c r="J474" s="180" t="s">
        <v>140</v>
      </c>
      <c r="K474" s="180" t="s">
        <v>612</v>
      </c>
      <c r="L474" s="180" t="s">
        <v>1135</v>
      </c>
      <c r="M474" s="178" t="s">
        <v>36</v>
      </c>
      <c r="N474" s="179">
        <v>44228</v>
      </c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  <c r="AB474" s="138"/>
      <c r="AC474" s="138"/>
      <c r="AD474" s="138"/>
      <c r="AE474" s="138"/>
      <c r="AF474" s="138"/>
      <c r="AG474" s="138"/>
      <c r="AH474" s="138"/>
      <c r="AI474" s="138"/>
      <c r="AJ474" s="138"/>
      <c r="AK474" s="138"/>
      <c r="AL474" s="138"/>
      <c r="AM474" s="138"/>
      <c r="AN474" s="138"/>
      <c r="AO474" s="138"/>
      <c r="AP474" s="138"/>
      <c r="AQ474" s="138"/>
      <c r="AR474" s="138"/>
      <c r="AS474" s="138"/>
    </row>
    <row r="475" spans="1:45" ht="15.75" hidden="1" customHeight="1">
      <c r="A475" s="177">
        <v>2</v>
      </c>
      <c r="B475" s="177" t="s">
        <v>50</v>
      </c>
      <c r="C475" s="178" t="s">
        <v>262</v>
      </c>
      <c r="D475" s="178" t="s">
        <v>263</v>
      </c>
      <c r="E475" s="178">
        <v>1</v>
      </c>
      <c r="F475" s="179">
        <v>41773</v>
      </c>
      <c r="G475" s="180"/>
      <c r="H475" s="180" t="s">
        <v>265</v>
      </c>
      <c r="I475" s="181">
        <v>44136</v>
      </c>
      <c r="J475" s="180" t="s">
        <v>124</v>
      </c>
      <c r="K475" s="180" t="s">
        <v>276</v>
      </c>
      <c r="L475" s="180" t="s">
        <v>1136</v>
      </c>
      <c r="M475" s="178" t="s">
        <v>36</v>
      </c>
      <c r="N475" s="179">
        <v>44228</v>
      </c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  <c r="AB475" s="138"/>
      <c r="AC475" s="138"/>
      <c r="AD475" s="138"/>
      <c r="AE475" s="138"/>
      <c r="AF475" s="138"/>
      <c r="AG475" s="138"/>
      <c r="AH475" s="138"/>
      <c r="AI475" s="138"/>
      <c r="AJ475" s="138"/>
      <c r="AK475" s="138"/>
      <c r="AL475" s="138"/>
      <c r="AM475" s="138"/>
      <c r="AN475" s="138"/>
      <c r="AO475" s="138"/>
      <c r="AP475" s="138"/>
      <c r="AQ475" s="138"/>
      <c r="AR475" s="138"/>
      <c r="AS475" s="138"/>
    </row>
    <row r="476" spans="1:45" ht="15.75" hidden="1" customHeight="1">
      <c r="A476" s="177">
        <v>3</v>
      </c>
      <c r="B476" s="177" t="s">
        <v>91</v>
      </c>
      <c r="C476" s="178" t="s">
        <v>262</v>
      </c>
      <c r="D476" s="178" t="s">
        <v>263</v>
      </c>
      <c r="E476" s="178">
        <v>1</v>
      </c>
      <c r="F476" s="179">
        <v>41773</v>
      </c>
      <c r="G476" s="180"/>
      <c r="H476" s="180" t="s">
        <v>265</v>
      </c>
      <c r="I476" s="181">
        <v>44136</v>
      </c>
      <c r="J476" s="180" t="s">
        <v>156</v>
      </c>
      <c r="K476" s="180" t="s">
        <v>276</v>
      </c>
      <c r="L476" s="180" t="s">
        <v>1136</v>
      </c>
      <c r="M476" s="178" t="s">
        <v>36</v>
      </c>
      <c r="N476" s="179">
        <v>44228</v>
      </c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  <c r="AB476" s="138"/>
      <c r="AC476" s="138"/>
      <c r="AD476" s="138"/>
      <c r="AE476" s="138"/>
      <c r="AF476" s="138"/>
      <c r="AG476" s="138"/>
      <c r="AH476" s="138"/>
      <c r="AI476" s="138"/>
      <c r="AJ476" s="138"/>
      <c r="AK476" s="138"/>
      <c r="AL476" s="138"/>
      <c r="AM476" s="138"/>
      <c r="AN476" s="138"/>
      <c r="AO476" s="138"/>
      <c r="AP476" s="138"/>
      <c r="AQ476" s="138"/>
      <c r="AR476" s="138"/>
      <c r="AS476" s="138"/>
    </row>
    <row r="477" spans="1:45" ht="15.75" hidden="1" customHeight="1">
      <c r="A477" s="177">
        <v>1</v>
      </c>
      <c r="B477" s="177" t="s">
        <v>50</v>
      </c>
      <c r="C477" s="178" t="s">
        <v>262</v>
      </c>
      <c r="D477" s="178" t="s">
        <v>268</v>
      </c>
      <c r="E477" s="178" t="s">
        <v>190</v>
      </c>
      <c r="F477" s="179" t="s">
        <v>1137</v>
      </c>
      <c r="G477" s="180" t="s">
        <v>269</v>
      </c>
      <c r="H477" s="180" t="s">
        <v>1107</v>
      </c>
      <c r="I477" s="180" t="s">
        <v>1138</v>
      </c>
      <c r="J477" s="180" t="s">
        <v>204</v>
      </c>
      <c r="K477" s="180" t="s">
        <v>276</v>
      </c>
      <c r="L477" s="180" t="s">
        <v>1139</v>
      </c>
      <c r="M477" s="178" t="s">
        <v>36</v>
      </c>
      <c r="N477" s="179">
        <v>44256</v>
      </c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  <c r="AB477" s="138"/>
      <c r="AC477" s="138"/>
      <c r="AD477" s="138"/>
      <c r="AE477" s="138"/>
      <c r="AF477" s="138"/>
      <c r="AG477" s="138"/>
      <c r="AH477" s="138"/>
      <c r="AI477" s="138"/>
      <c r="AJ477" s="138"/>
      <c r="AK477" s="138"/>
      <c r="AL477" s="138"/>
      <c r="AM477" s="138"/>
      <c r="AN477" s="138"/>
      <c r="AO477" s="138"/>
      <c r="AP477" s="138"/>
      <c r="AQ477" s="138"/>
      <c r="AR477" s="138"/>
      <c r="AS477" s="138"/>
    </row>
    <row r="478" spans="1:45" ht="15.75" hidden="1" customHeight="1">
      <c r="A478" s="177">
        <v>2</v>
      </c>
      <c r="B478" s="177" t="s">
        <v>91</v>
      </c>
      <c r="C478" s="178" t="s">
        <v>262</v>
      </c>
      <c r="D478" s="178" t="s">
        <v>268</v>
      </c>
      <c r="E478" s="178" t="s">
        <v>190</v>
      </c>
      <c r="F478" s="179" t="s">
        <v>1137</v>
      </c>
      <c r="G478" s="180" t="s">
        <v>269</v>
      </c>
      <c r="H478" s="180" t="s">
        <v>1107</v>
      </c>
      <c r="I478" s="180" t="s">
        <v>1138</v>
      </c>
      <c r="J478" s="180" t="s">
        <v>238</v>
      </c>
      <c r="K478" s="180" t="s">
        <v>663</v>
      </c>
      <c r="L478" s="180" t="s">
        <v>1139</v>
      </c>
      <c r="M478" s="178" t="s">
        <v>36</v>
      </c>
      <c r="N478" s="179">
        <v>44256</v>
      </c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  <c r="AB478" s="138"/>
      <c r="AC478" s="138"/>
      <c r="AD478" s="138"/>
      <c r="AE478" s="138"/>
      <c r="AF478" s="138"/>
      <c r="AG478" s="138"/>
      <c r="AH478" s="138"/>
      <c r="AI478" s="138"/>
      <c r="AJ478" s="138"/>
      <c r="AK478" s="138"/>
      <c r="AL478" s="138"/>
      <c r="AM478" s="138"/>
      <c r="AN478" s="138"/>
      <c r="AO478" s="138"/>
      <c r="AP478" s="138"/>
      <c r="AQ478" s="138"/>
      <c r="AR478" s="138"/>
      <c r="AS478" s="138"/>
    </row>
    <row r="479" spans="1:45" ht="15.75" hidden="1" customHeight="1">
      <c r="A479" s="177">
        <v>3</v>
      </c>
      <c r="B479" s="177" t="s">
        <v>50</v>
      </c>
      <c r="C479" s="178" t="s">
        <v>262</v>
      </c>
      <c r="D479" s="178" t="s">
        <v>275</v>
      </c>
      <c r="E479" s="178" t="s">
        <v>178</v>
      </c>
      <c r="F479" s="179">
        <v>41761</v>
      </c>
      <c r="G479" s="180" t="s">
        <v>269</v>
      </c>
      <c r="H479" s="180" t="s">
        <v>1107</v>
      </c>
      <c r="I479" s="181">
        <v>43339</v>
      </c>
      <c r="J479" s="180" t="s">
        <v>110</v>
      </c>
      <c r="K479" s="180" t="s">
        <v>272</v>
      </c>
      <c r="L479" s="180" t="s">
        <v>1139</v>
      </c>
      <c r="M479" s="178" t="s">
        <v>36</v>
      </c>
      <c r="N479" s="179">
        <v>44256</v>
      </c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  <c r="AB479" s="138"/>
      <c r="AC479" s="138"/>
      <c r="AD479" s="138"/>
      <c r="AE479" s="138"/>
      <c r="AF479" s="138"/>
      <c r="AG479" s="138"/>
      <c r="AH479" s="138"/>
      <c r="AI479" s="138"/>
      <c r="AJ479" s="138"/>
      <c r="AK479" s="138"/>
      <c r="AL479" s="138"/>
      <c r="AM479" s="138"/>
      <c r="AN479" s="138"/>
      <c r="AO479" s="138"/>
      <c r="AP479" s="138"/>
      <c r="AQ479" s="138"/>
      <c r="AR479" s="138"/>
      <c r="AS479" s="138"/>
    </row>
    <row r="480" spans="1:45" ht="15.75" hidden="1" customHeight="1">
      <c r="A480" s="177">
        <v>4</v>
      </c>
      <c r="B480" s="177" t="s">
        <v>91</v>
      </c>
      <c r="C480" s="178" t="s">
        <v>262</v>
      </c>
      <c r="D480" s="178" t="s">
        <v>275</v>
      </c>
      <c r="E480" s="178" t="s">
        <v>178</v>
      </c>
      <c r="F480" s="179">
        <v>41761</v>
      </c>
      <c r="G480" s="180" t="s">
        <v>269</v>
      </c>
      <c r="H480" s="180" t="s">
        <v>1107</v>
      </c>
      <c r="I480" s="181">
        <v>43339</v>
      </c>
      <c r="J480" s="180" t="s">
        <v>112</v>
      </c>
      <c r="K480" s="180" t="s">
        <v>272</v>
      </c>
      <c r="L480" s="180" t="s">
        <v>1139</v>
      </c>
      <c r="M480" s="178" t="s">
        <v>36</v>
      </c>
      <c r="N480" s="179">
        <v>44256</v>
      </c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  <c r="AB480" s="138"/>
      <c r="AC480" s="138"/>
      <c r="AD480" s="138"/>
      <c r="AE480" s="138"/>
      <c r="AF480" s="138"/>
      <c r="AG480" s="138"/>
      <c r="AH480" s="138"/>
      <c r="AI480" s="138"/>
      <c r="AJ480" s="138"/>
      <c r="AK480" s="138"/>
      <c r="AL480" s="138"/>
      <c r="AM480" s="138"/>
      <c r="AN480" s="138"/>
      <c r="AO480" s="138"/>
      <c r="AP480" s="138"/>
      <c r="AQ480" s="138"/>
      <c r="AR480" s="138"/>
      <c r="AS480" s="138"/>
    </row>
    <row r="481" spans="1:45" ht="15.75" hidden="1" customHeight="1">
      <c r="A481" s="177">
        <v>1</v>
      </c>
      <c r="B481" s="177" t="s">
        <v>91</v>
      </c>
      <c r="C481" s="178" t="s">
        <v>986</v>
      </c>
      <c r="D481" s="178" t="s">
        <v>987</v>
      </c>
      <c r="E481" s="178">
        <v>6</v>
      </c>
      <c r="F481" s="179">
        <v>39827</v>
      </c>
      <c r="G481" s="180" t="s">
        <v>1106</v>
      </c>
      <c r="H481" s="180" t="s">
        <v>1107</v>
      </c>
      <c r="I481" s="181">
        <v>44060</v>
      </c>
      <c r="J481" s="180" t="s">
        <v>1140</v>
      </c>
      <c r="K481" s="180" t="s">
        <v>276</v>
      </c>
      <c r="L481" s="180" t="s">
        <v>1141</v>
      </c>
      <c r="M481" s="178" t="s">
        <v>36</v>
      </c>
      <c r="N481" s="179">
        <v>44287</v>
      </c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  <c r="AB481" s="138"/>
      <c r="AC481" s="138"/>
      <c r="AD481" s="138"/>
      <c r="AE481" s="138"/>
      <c r="AF481" s="138"/>
      <c r="AG481" s="138"/>
      <c r="AH481" s="138"/>
      <c r="AI481" s="138"/>
      <c r="AJ481" s="138"/>
      <c r="AK481" s="138"/>
      <c r="AL481" s="138"/>
      <c r="AM481" s="138"/>
      <c r="AN481" s="138"/>
      <c r="AO481" s="138"/>
      <c r="AP481" s="138"/>
      <c r="AQ481" s="138"/>
      <c r="AR481" s="138"/>
      <c r="AS481" s="138"/>
    </row>
    <row r="482" spans="1:45" ht="15.75" hidden="1" customHeight="1">
      <c r="A482" s="177">
        <v>2</v>
      </c>
      <c r="B482" s="177" t="s">
        <v>50</v>
      </c>
      <c r="C482" s="178" t="s">
        <v>1142</v>
      </c>
      <c r="D482" s="178" t="s">
        <v>1143</v>
      </c>
      <c r="E482" s="178">
        <v>3</v>
      </c>
      <c r="F482" s="179">
        <v>41074</v>
      </c>
      <c r="G482" s="180" t="s">
        <v>1056</v>
      </c>
      <c r="H482" s="180" t="s">
        <v>1144</v>
      </c>
      <c r="I482" s="181">
        <v>44214</v>
      </c>
      <c r="J482" s="180" t="s">
        <v>186</v>
      </c>
      <c r="K482" s="180" t="s">
        <v>276</v>
      </c>
      <c r="L482" s="180" t="s">
        <v>1145</v>
      </c>
      <c r="M482" s="178" t="s">
        <v>36</v>
      </c>
      <c r="N482" s="179">
        <v>44287</v>
      </c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  <c r="AB482" s="138"/>
      <c r="AC482" s="138"/>
      <c r="AD482" s="138"/>
      <c r="AE482" s="138"/>
      <c r="AF482" s="138"/>
      <c r="AG482" s="138"/>
      <c r="AH482" s="138"/>
      <c r="AI482" s="138"/>
      <c r="AJ482" s="138"/>
      <c r="AK482" s="138"/>
      <c r="AL482" s="138"/>
      <c r="AM482" s="138"/>
      <c r="AN482" s="138"/>
      <c r="AO482" s="138"/>
      <c r="AP482" s="138"/>
      <c r="AQ482" s="138"/>
      <c r="AR482" s="138"/>
      <c r="AS482" s="138"/>
    </row>
    <row r="483" spans="1:45" ht="15.75" hidden="1" customHeight="1">
      <c r="A483" s="177">
        <v>3</v>
      </c>
      <c r="B483" s="177" t="s">
        <v>91</v>
      </c>
      <c r="C483" s="178" t="s">
        <v>482</v>
      </c>
      <c r="D483" s="178" t="s">
        <v>1146</v>
      </c>
      <c r="E483" s="178">
        <v>2</v>
      </c>
      <c r="F483" s="179">
        <v>41260</v>
      </c>
      <c r="G483" s="180"/>
      <c r="H483" s="180" t="s">
        <v>1147</v>
      </c>
      <c r="I483" s="181">
        <v>44075</v>
      </c>
      <c r="J483" s="180" t="s">
        <v>233</v>
      </c>
      <c r="K483" s="180" t="s">
        <v>272</v>
      </c>
      <c r="L483" s="180" t="s">
        <v>1145</v>
      </c>
      <c r="M483" s="178" t="s">
        <v>36</v>
      </c>
      <c r="N483" s="179">
        <v>44287</v>
      </c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  <c r="AB483" s="138"/>
      <c r="AC483" s="138"/>
      <c r="AD483" s="138"/>
      <c r="AE483" s="138"/>
      <c r="AF483" s="138"/>
      <c r="AG483" s="138"/>
      <c r="AH483" s="138"/>
      <c r="AI483" s="138"/>
      <c r="AJ483" s="138"/>
      <c r="AK483" s="138"/>
      <c r="AL483" s="138"/>
      <c r="AM483" s="138"/>
      <c r="AN483" s="138"/>
      <c r="AO483" s="138"/>
      <c r="AP483" s="138"/>
      <c r="AQ483" s="138"/>
      <c r="AR483" s="138"/>
      <c r="AS483" s="138"/>
    </row>
    <row r="484" spans="1:45" ht="15.75" hidden="1" customHeight="1">
      <c r="A484" s="177">
        <v>4</v>
      </c>
      <c r="B484" s="177" t="s">
        <v>91</v>
      </c>
      <c r="C484" s="178" t="s">
        <v>1148</v>
      </c>
      <c r="D484" s="178" t="s">
        <v>1149</v>
      </c>
      <c r="E484" s="178">
        <v>2</v>
      </c>
      <c r="F484" s="179">
        <v>41308</v>
      </c>
      <c r="G484" s="180" t="s">
        <v>1150</v>
      </c>
      <c r="H484" s="180" t="s">
        <v>1151</v>
      </c>
      <c r="I484" s="181">
        <v>44067</v>
      </c>
      <c r="J484" s="180" t="s">
        <v>188</v>
      </c>
      <c r="K484" s="180" t="s">
        <v>1152</v>
      </c>
      <c r="L484" s="180" t="s">
        <v>1145</v>
      </c>
      <c r="M484" s="178" t="s">
        <v>36</v>
      </c>
      <c r="N484" s="179">
        <v>44287</v>
      </c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  <c r="AB484" s="138"/>
      <c r="AC484" s="138"/>
      <c r="AD484" s="138"/>
      <c r="AE484" s="138"/>
      <c r="AF484" s="138"/>
      <c r="AG484" s="138"/>
      <c r="AH484" s="138"/>
      <c r="AI484" s="138"/>
      <c r="AJ484" s="138"/>
      <c r="AK484" s="138"/>
      <c r="AL484" s="138"/>
      <c r="AM484" s="138"/>
      <c r="AN484" s="138"/>
      <c r="AO484" s="138"/>
      <c r="AP484" s="138"/>
      <c r="AQ484" s="138"/>
      <c r="AR484" s="138"/>
      <c r="AS484" s="138"/>
    </row>
    <row r="485" spans="1:45" ht="15.75" hidden="1" customHeight="1">
      <c r="A485" s="177">
        <v>5</v>
      </c>
      <c r="B485" s="177" t="s">
        <v>91</v>
      </c>
      <c r="C485" s="178" t="s">
        <v>1148</v>
      </c>
      <c r="D485" s="178" t="s">
        <v>1153</v>
      </c>
      <c r="E485" s="178">
        <v>6</v>
      </c>
      <c r="F485" s="179">
        <v>40014</v>
      </c>
      <c r="G485" s="180" t="s">
        <v>1150</v>
      </c>
      <c r="H485" s="180" t="s">
        <v>1151</v>
      </c>
      <c r="I485" s="181">
        <v>44067</v>
      </c>
      <c r="J485" s="180" t="s">
        <v>238</v>
      </c>
      <c r="K485" s="180" t="s">
        <v>1015</v>
      </c>
      <c r="L485" s="180" t="s">
        <v>1145</v>
      </c>
      <c r="M485" s="178" t="s">
        <v>36</v>
      </c>
      <c r="N485" s="179">
        <v>44287</v>
      </c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  <c r="AB485" s="138"/>
      <c r="AC485" s="138"/>
      <c r="AD485" s="138"/>
      <c r="AE485" s="138"/>
      <c r="AF485" s="138"/>
      <c r="AG485" s="138"/>
      <c r="AH485" s="138"/>
      <c r="AI485" s="138"/>
      <c r="AJ485" s="138"/>
      <c r="AK485" s="138"/>
      <c r="AL485" s="138"/>
      <c r="AM485" s="138"/>
      <c r="AN485" s="138"/>
      <c r="AO485" s="138"/>
      <c r="AP485" s="138"/>
      <c r="AQ485" s="138"/>
      <c r="AR485" s="138"/>
      <c r="AS485" s="138"/>
    </row>
    <row r="486" spans="1:45" ht="15.75" hidden="1" customHeight="1">
      <c r="A486" s="177">
        <v>1</v>
      </c>
      <c r="B486" s="177" t="s">
        <v>50</v>
      </c>
      <c r="C486" s="178" t="s">
        <v>1154</v>
      </c>
      <c r="D486" s="178" t="s">
        <v>1155</v>
      </c>
      <c r="E486" s="178">
        <v>5</v>
      </c>
      <c r="F486" s="179">
        <v>40321</v>
      </c>
      <c r="G486" s="180" t="s">
        <v>1156</v>
      </c>
      <c r="H486" s="180" t="s">
        <v>1157</v>
      </c>
      <c r="I486" s="181">
        <v>44060</v>
      </c>
      <c r="J486" s="180" t="s">
        <v>204</v>
      </c>
      <c r="K486" s="180" t="s">
        <v>272</v>
      </c>
      <c r="L486" s="180" t="s">
        <v>1158</v>
      </c>
      <c r="M486" s="178" t="s">
        <v>36</v>
      </c>
      <c r="N486" s="179">
        <v>44348</v>
      </c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  <c r="AB486" s="138"/>
      <c r="AC486" s="138"/>
      <c r="AD486" s="138"/>
      <c r="AE486" s="138"/>
      <c r="AF486" s="138"/>
      <c r="AG486" s="138"/>
      <c r="AH486" s="138"/>
      <c r="AI486" s="138"/>
      <c r="AJ486" s="138"/>
      <c r="AK486" s="138"/>
      <c r="AL486" s="138"/>
      <c r="AM486" s="138"/>
      <c r="AN486" s="138"/>
      <c r="AO486" s="138"/>
      <c r="AP486" s="138"/>
      <c r="AQ486" s="138"/>
      <c r="AR486" s="138"/>
      <c r="AS486" s="138"/>
    </row>
    <row r="487" spans="1:45" ht="15.75" hidden="1" customHeight="1">
      <c r="A487" s="177">
        <v>2</v>
      </c>
      <c r="B487" s="177" t="s">
        <v>91</v>
      </c>
      <c r="C487" s="178" t="s">
        <v>1154</v>
      </c>
      <c r="D487" s="178" t="s">
        <v>1155</v>
      </c>
      <c r="E487" s="178">
        <v>5</v>
      </c>
      <c r="F487" s="179">
        <v>40321</v>
      </c>
      <c r="G487" s="180" t="s">
        <v>1156</v>
      </c>
      <c r="H487" s="180" t="s">
        <v>1157</v>
      </c>
      <c r="I487" s="181">
        <v>44060</v>
      </c>
      <c r="J487" s="180" t="s">
        <v>221</v>
      </c>
      <c r="K487" s="180" t="s">
        <v>612</v>
      </c>
      <c r="L487" s="180" t="s">
        <v>1158</v>
      </c>
      <c r="M487" s="178" t="s">
        <v>36</v>
      </c>
      <c r="N487" s="179">
        <v>44348</v>
      </c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  <c r="AB487" s="138"/>
      <c r="AC487" s="138"/>
      <c r="AD487" s="138"/>
      <c r="AE487" s="138"/>
      <c r="AF487" s="138"/>
      <c r="AG487" s="138"/>
      <c r="AH487" s="138"/>
      <c r="AI487" s="138"/>
      <c r="AJ487" s="138"/>
      <c r="AK487" s="138"/>
      <c r="AL487" s="138"/>
      <c r="AM487" s="138"/>
      <c r="AN487" s="138"/>
      <c r="AO487" s="138"/>
      <c r="AP487" s="138"/>
      <c r="AQ487" s="138"/>
      <c r="AR487" s="138"/>
      <c r="AS487" s="138"/>
    </row>
    <row r="488" spans="1:45" ht="15.75" hidden="1" customHeight="1">
      <c r="A488" s="177">
        <v>3</v>
      </c>
      <c r="B488" s="177" t="s">
        <v>50</v>
      </c>
      <c r="C488" s="178" t="s">
        <v>633</v>
      </c>
      <c r="D488" s="178" t="s">
        <v>987</v>
      </c>
      <c r="E488" s="178" t="s">
        <v>190</v>
      </c>
      <c r="F488" s="179">
        <v>41870</v>
      </c>
      <c r="G488" s="180" t="s">
        <v>1159</v>
      </c>
      <c r="H488" s="180" t="s">
        <v>635</v>
      </c>
      <c r="I488" s="181">
        <v>43990</v>
      </c>
      <c r="J488" s="180" t="s">
        <v>231</v>
      </c>
      <c r="K488" s="180" t="s">
        <v>272</v>
      </c>
      <c r="L488" s="180" t="s">
        <v>1160</v>
      </c>
      <c r="M488" s="178" t="s">
        <v>36</v>
      </c>
      <c r="N488" s="179">
        <v>44348</v>
      </c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  <c r="AB488" s="138"/>
      <c r="AC488" s="138"/>
      <c r="AD488" s="138"/>
      <c r="AE488" s="138"/>
      <c r="AF488" s="138"/>
      <c r="AG488" s="138"/>
      <c r="AH488" s="138"/>
      <c r="AI488" s="138"/>
      <c r="AJ488" s="138"/>
      <c r="AK488" s="138"/>
      <c r="AL488" s="138"/>
      <c r="AM488" s="138"/>
      <c r="AN488" s="138"/>
      <c r="AO488" s="138"/>
      <c r="AP488" s="138"/>
      <c r="AQ488" s="138"/>
      <c r="AR488" s="138"/>
      <c r="AS488" s="138"/>
    </row>
    <row r="489" spans="1:45" ht="15.75" hidden="1" customHeight="1">
      <c r="A489" s="177">
        <v>4</v>
      </c>
      <c r="B489" s="177" t="s">
        <v>91</v>
      </c>
      <c r="C489" s="178" t="s">
        <v>633</v>
      </c>
      <c r="D489" s="178" t="s">
        <v>987</v>
      </c>
      <c r="E489" s="178" t="s">
        <v>190</v>
      </c>
      <c r="F489" s="179">
        <v>41870</v>
      </c>
      <c r="G489" s="180" t="s">
        <v>1159</v>
      </c>
      <c r="H489" s="180" t="s">
        <v>635</v>
      </c>
      <c r="I489" s="181">
        <v>43990</v>
      </c>
      <c r="J489" s="180" t="s">
        <v>112</v>
      </c>
      <c r="K489" s="180" t="s">
        <v>612</v>
      </c>
      <c r="L489" s="180" t="s">
        <v>1160</v>
      </c>
      <c r="M489" s="178" t="s">
        <v>36</v>
      </c>
      <c r="N489" s="179">
        <v>44348</v>
      </c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  <c r="AB489" s="138"/>
      <c r="AC489" s="138"/>
      <c r="AD489" s="138"/>
      <c r="AE489" s="138"/>
      <c r="AF489" s="138"/>
      <c r="AG489" s="138"/>
      <c r="AH489" s="138"/>
      <c r="AI489" s="138"/>
      <c r="AJ489" s="138"/>
      <c r="AK489" s="138"/>
      <c r="AL489" s="138"/>
      <c r="AM489" s="138"/>
      <c r="AN489" s="138"/>
      <c r="AO489" s="138"/>
      <c r="AP489" s="138"/>
      <c r="AQ489" s="138"/>
      <c r="AR489" s="138"/>
      <c r="AS489" s="138"/>
    </row>
    <row r="490" spans="1:45" ht="15.75" hidden="1" customHeight="1">
      <c r="A490" s="177">
        <v>5</v>
      </c>
      <c r="B490" s="177" t="s">
        <v>50</v>
      </c>
      <c r="C490" s="178" t="s">
        <v>986</v>
      </c>
      <c r="D490" s="178" t="s">
        <v>989</v>
      </c>
      <c r="E490" s="178">
        <v>3</v>
      </c>
      <c r="F490" s="179">
        <v>41059</v>
      </c>
      <c r="G490" s="180" t="s">
        <v>1106</v>
      </c>
      <c r="H490" s="180" t="s">
        <v>1107</v>
      </c>
      <c r="I490" s="181">
        <v>44060</v>
      </c>
      <c r="J490" s="180" t="s">
        <v>255</v>
      </c>
      <c r="K490" s="180" t="s">
        <v>272</v>
      </c>
      <c r="L490" s="180" t="s">
        <v>1160</v>
      </c>
      <c r="M490" s="178" t="s">
        <v>36</v>
      </c>
      <c r="N490" s="179">
        <v>44348</v>
      </c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  <c r="AB490" s="138"/>
      <c r="AC490" s="138"/>
      <c r="AD490" s="138"/>
      <c r="AE490" s="138"/>
      <c r="AF490" s="138"/>
      <c r="AG490" s="138"/>
      <c r="AH490" s="138"/>
      <c r="AI490" s="138"/>
      <c r="AJ490" s="138"/>
      <c r="AK490" s="138"/>
      <c r="AL490" s="138"/>
      <c r="AM490" s="138"/>
      <c r="AN490" s="138"/>
      <c r="AO490" s="138"/>
      <c r="AP490" s="138"/>
      <c r="AQ490" s="138"/>
      <c r="AR490" s="138"/>
      <c r="AS490" s="138"/>
    </row>
    <row r="491" spans="1:45" ht="15.75" hidden="1" customHeight="1">
      <c r="A491" s="177">
        <v>6</v>
      </c>
      <c r="B491" s="177" t="s">
        <v>91</v>
      </c>
      <c r="C491" s="178" t="s">
        <v>986</v>
      </c>
      <c r="D491" s="178" t="s">
        <v>989</v>
      </c>
      <c r="E491" s="178">
        <v>3</v>
      </c>
      <c r="F491" s="179">
        <v>41059</v>
      </c>
      <c r="G491" s="180" t="s">
        <v>1106</v>
      </c>
      <c r="H491" s="180" t="s">
        <v>1107</v>
      </c>
      <c r="I491" s="181">
        <v>44060</v>
      </c>
      <c r="J491" s="180" t="s">
        <v>221</v>
      </c>
      <c r="K491" s="180" t="s">
        <v>612</v>
      </c>
      <c r="L491" s="180" t="s">
        <v>1160</v>
      </c>
      <c r="M491" s="178" t="s">
        <v>36</v>
      </c>
      <c r="N491" s="179">
        <v>44348</v>
      </c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  <c r="AB491" s="138"/>
      <c r="AC491" s="138"/>
      <c r="AD491" s="138"/>
      <c r="AE491" s="138"/>
      <c r="AF491" s="138"/>
      <c r="AG491" s="138"/>
      <c r="AH491" s="138"/>
      <c r="AI491" s="138"/>
      <c r="AJ491" s="138"/>
      <c r="AK491" s="138"/>
      <c r="AL491" s="138"/>
      <c r="AM491" s="138"/>
      <c r="AN491" s="138"/>
      <c r="AO491" s="138"/>
      <c r="AP491" s="138"/>
      <c r="AQ491" s="138"/>
      <c r="AR491" s="138"/>
      <c r="AS491" s="138"/>
    </row>
    <row r="492" spans="1:45" ht="15.75" hidden="1" customHeight="1">
      <c r="A492" s="177">
        <v>7</v>
      </c>
      <c r="B492" s="177" t="s">
        <v>50</v>
      </c>
      <c r="C492" s="178" t="s">
        <v>1071</v>
      </c>
      <c r="D492" s="178" t="s">
        <v>1072</v>
      </c>
      <c r="E492" s="178">
        <v>1</v>
      </c>
      <c r="F492" s="179">
        <v>41692</v>
      </c>
      <c r="G492" s="180" t="s">
        <v>1073</v>
      </c>
      <c r="H492" s="180" t="s">
        <v>1074</v>
      </c>
      <c r="I492" s="181">
        <v>44004</v>
      </c>
      <c r="J492" s="180" t="s">
        <v>110</v>
      </c>
      <c r="K492" s="180" t="s">
        <v>1047</v>
      </c>
      <c r="L492" s="180" t="s">
        <v>1160</v>
      </c>
      <c r="M492" s="178" t="s">
        <v>36</v>
      </c>
      <c r="N492" s="179">
        <v>44348</v>
      </c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  <c r="AB492" s="138"/>
      <c r="AC492" s="138"/>
      <c r="AD492" s="138"/>
      <c r="AE492" s="138"/>
      <c r="AF492" s="138"/>
      <c r="AG492" s="138"/>
      <c r="AH492" s="138"/>
      <c r="AI492" s="138"/>
      <c r="AJ492" s="138"/>
      <c r="AK492" s="138"/>
      <c r="AL492" s="138"/>
      <c r="AM492" s="138"/>
      <c r="AN492" s="138"/>
      <c r="AO492" s="138"/>
      <c r="AP492" s="138"/>
      <c r="AQ492" s="138"/>
      <c r="AR492" s="138"/>
      <c r="AS492" s="138"/>
    </row>
    <row r="493" spans="1:45" ht="15.75" hidden="1" customHeight="1">
      <c r="A493" s="177">
        <v>8</v>
      </c>
      <c r="B493" s="177" t="s">
        <v>50</v>
      </c>
      <c r="C493" s="178" t="s">
        <v>633</v>
      </c>
      <c r="D493" s="178" t="s">
        <v>632</v>
      </c>
      <c r="E493" s="178">
        <v>4</v>
      </c>
      <c r="F493" s="179">
        <v>40492</v>
      </c>
      <c r="G493" s="180" t="s">
        <v>1159</v>
      </c>
      <c r="H493" s="180" t="s">
        <v>635</v>
      </c>
      <c r="I493" s="181">
        <v>43990</v>
      </c>
      <c r="J493" s="180" t="s">
        <v>255</v>
      </c>
      <c r="K493" s="180" t="s">
        <v>272</v>
      </c>
      <c r="L493" s="180" t="s">
        <v>1160</v>
      </c>
      <c r="M493" s="178" t="s">
        <v>36</v>
      </c>
      <c r="N493" s="179">
        <v>44348</v>
      </c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  <c r="AB493" s="138"/>
      <c r="AC493" s="138"/>
      <c r="AD493" s="138"/>
      <c r="AE493" s="138"/>
      <c r="AF493" s="138"/>
      <c r="AG493" s="138"/>
      <c r="AH493" s="138"/>
      <c r="AI493" s="138"/>
      <c r="AJ493" s="138"/>
      <c r="AK493" s="138"/>
      <c r="AL493" s="138"/>
      <c r="AM493" s="138"/>
      <c r="AN493" s="138"/>
      <c r="AO493" s="138"/>
      <c r="AP493" s="138"/>
      <c r="AQ493" s="138"/>
      <c r="AR493" s="138"/>
      <c r="AS493" s="138"/>
    </row>
    <row r="494" spans="1:45" ht="15.75" hidden="1" customHeight="1">
      <c r="A494" s="177">
        <v>9</v>
      </c>
      <c r="B494" s="177" t="s">
        <v>91</v>
      </c>
      <c r="C494" s="178" t="s">
        <v>633</v>
      </c>
      <c r="D494" s="178" t="s">
        <v>632</v>
      </c>
      <c r="E494" s="178">
        <v>4</v>
      </c>
      <c r="F494" s="179">
        <v>40492</v>
      </c>
      <c r="G494" s="180" t="s">
        <v>1159</v>
      </c>
      <c r="H494" s="180" t="s">
        <v>635</v>
      </c>
      <c r="I494" s="181">
        <v>43990</v>
      </c>
      <c r="J494" s="180" t="s">
        <v>141</v>
      </c>
      <c r="K494" s="180" t="s">
        <v>1015</v>
      </c>
      <c r="L494" s="180" t="s">
        <v>1160</v>
      </c>
      <c r="M494" s="178" t="s">
        <v>36</v>
      </c>
      <c r="N494" s="179">
        <v>44348</v>
      </c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  <c r="AB494" s="138"/>
      <c r="AC494" s="138"/>
      <c r="AD494" s="138"/>
      <c r="AE494" s="138"/>
      <c r="AF494" s="138"/>
      <c r="AG494" s="138"/>
      <c r="AH494" s="138"/>
      <c r="AI494" s="138"/>
      <c r="AJ494" s="138"/>
      <c r="AK494" s="138"/>
      <c r="AL494" s="138"/>
      <c r="AM494" s="138"/>
      <c r="AN494" s="138"/>
      <c r="AO494" s="138"/>
      <c r="AP494" s="138"/>
      <c r="AQ494" s="138"/>
      <c r="AR494" s="138"/>
      <c r="AS494" s="138"/>
    </row>
    <row r="495" spans="1:45" ht="15.75" hidden="1" customHeight="1">
      <c r="A495" s="177">
        <v>10</v>
      </c>
      <c r="B495" s="177" t="s">
        <v>50</v>
      </c>
      <c r="C495" s="178" t="s">
        <v>579</v>
      </c>
      <c r="D495" s="178" t="s">
        <v>580</v>
      </c>
      <c r="E495" s="178">
        <v>3</v>
      </c>
      <c r="F495" s="179">
        <v>40335</v>
      </c>
      <c r="G495" s="180" t="s">
        <v>581</v>
      </c>
      <c r="H495" s="180" t="s">
        <v>1161</v>
      </c>
      <c r="I495" s="181">
        <v>43678</v>
      </c>
      <c r="J495" s="180" t="s">
        <v>148</v>
      </c>
      <c r="K495" s="180" t="s">
        <v>612</v>
      </c>
      <c r="L495" s="180" t="s">
        <v>1160</v>
      </c>
      <c r="M495" s="178" t="s">
        <v>36</v>
      </c>
      <c r="N495" s="179">
        <v>44348</v>
      </c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  <c r="AB495" s="138"/>
      <c r="AC495" s="138"/>
      <c r="AD495" s="138"/>
      <c r="AE495" s="138"/>
      <c r="AF495" s="138"/>
      <c r="AG495" s="138"/>
      <c r="AH495" s="138"/>
      <c r="AI495" s="138"/>
      <c r="AJ495" s="138"/>
      <c r="AK495" s="138"/>
      <c r="AL495" s="138"/>
      <c r="AM495" s="138"/>
      <c r="AN495" s="138"/>
      <c r="AO495" s="138"/>
      <c r="AP495" s="138"/>
      <c r="AQ495" s="138"/>
      <c r="AR495" s="138"/>
      <c r="AS495" s="138"/>
    </row>
    <row r="496" spans="1:45" ht="15.75" hidden="1" customHeight="1">
      <c r="A496" s="177">
        <v>11</v>
      </c>
      <c r="B496" s="177" t="s">
        <v>91</v>
      </c>
      <c r="C496" s="178" t="s">
        <v>579</v>
      </c>
      <c r="D496" s="178" t="s">
        <v>580</v>
      </c>
      <c r="E496" s="178">
        <v>3</v>
      </c>
      <c r="F496" s="179">
        <v>40335</v>
      </c>
      <c r="G496" s="180" t="s">
        <v>581</v>
      </c>
      <c r="H496" s="180" t="s">
        <v>1161</v>
      </c>
      <c r="I496" s="181">
        <v>43678</v>
      </c>
      <c r="J496" s="180" t="s">
        <v>221</v>
      </c>
      <c r="K496" s="180" t="s">
        <v>612</v>
      </c>
      <c r="L496" s="180" t="s">
        <v>1160</v>
      </c>
      <c r="M496" s="178" t="s">
        <v>36</v>
      </c>
      <c r="N496" s="179">
        <v>44348</v>
      </c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  <c r="AB496" s="138"/>
      <c r="AC496" s="138"/>
      <c r="AD496" s="138"/>
      <c r="AE496" s="138"/>
      <c r="AF496" s="138"/>
      <c r="AG496" s="138"/>
      <c r="AH496" s="138"/>
      <c r="AI496" s="138"/>
      <c r="AJ496" s="138"/>
      <c r="AK496" s="138"/>
      <c r="AL496" s="138"/>
      <c r="AM496" s="138"/>
      <c r="AN496" s="138"/>
      <c r="AO496" s="138"/>
      <c r="AP496" s="138"/>
      <c r="AQ496" s="138"/>
      <c r="AR496" s="138"/>
      <c r="AS496" s="138"/>
    </row>
    <row r="497" spans="1:45" ht="15.75" hidden="1" customHeight="1">
      <c r="A497" s="177">
        <v>12</v>
      </c>
      <c r="B497" s="177" t="s">
        <v>50</v>
      </c>
      <c r="C497" s="178" t="s">
        <v>1162</v>
      </c>
      <c r="D497" s="178" t="s">
        <v>1163</v>
      </c>
      <c r="E497" s="178">
        <v>1</v>
      </c>
      <c r="F497" s="179">
        <v>41791</v>
      </c>
      <c r="G497" s="180" t="s">
        <v>1164</v>
      </c>
      <c r="H497" s="180" t="s">
        <v>1165</v>
      </c>
      <c r="I497" s="181">
        <v>44256</v>
      </c>
      <c r="J497" s="180" t="s">
        <v>349</v>
      </c>
      <c r="K497" s="180" t="s">
        <v>612</v>
      </c>
      <c r="L497" s="180" t="s">
        <v>1166</v>
      </c>
      <c r="M497" s="178" t="s">
        <v>36</v>
      </c>
      <c r="N497" s="179">
        <v>44348</v>
      </c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  <c r="AB497" s="138"/>
      <c r="AC497" s="138"/>
      <c r="AD497" s="138"/>
      <c r="AE497" s="138"/>
      <c r="AF497" s="138"/>
      <c r="AG497" s="138"/>
      <c r="AH497" s="138"/>
      <c r="AI497" s="138"/>
      <c r="AJ497" s="138"/>
      <c r="AK497" s="138"/>
      <c r="AL497" s="138"/>
      <c r="AM497" s="138"/>
      <c r="AN497" s="138"/>
      <c r="AO497" s="138"/>
      <c r="AP497" s="138"/>
      <c r="AQ497" s="138"/>
      <c r="AR497" s="138"/>
      <c r="AS497" s="138"/>
    </row>
    <row r="498" spans="1:45" ht="15.75" hidden="1" customHeight="1">
      <c r="A498" s="177">
        <v>13</v>
      </c>
      <c r="B498" s="177" t="s">
        <v>91</v>
      </c>
      <c r="C498" s="178" t="s">
        <v>1162</v>
      </c>
      <c r="D498" s="178" t="s">
        <v>1163</v>
      </c>
      <c r="E498" s="178">
        <v>1</v>
      </c>
      <c r="F498" s="179">
        <v>41791</v>
      </c>
      <c r="G498" s="180" t="s">
        <v>1164</v>
      </c>
      <c r="H498" s="180" t="s">
        <v>1165</v>
      </c>
      <c r="I498" s="181">
        <v>44256</v>
      </c>
      <c r="J498" s="180" t="s">
        <v>194</v>
      </c>
      <c r="K498" s="180" t="s">
        <v>272</v>
      </c>
      <c r="L498" s="180"/>
      <c r="M498" s="178" t="s">
        <v>36</v>
      </c>
      <c r="N498" s="179">
        <v>44348</v>
      </c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  <c r="AB498" s="138"/>
      <c r="AC498" s="138"/>
      <c r="AD498" s="138"/>
      <c r="AE498" s="138"/>
      <c r="AF498" s="138"/>
      <c r="AG498" s="138"/>
      <c r="AH498" s="138"/>
      <c r="AI498" s="138"/>
      <c r="AJ498" s="138"/>
      <c r="AK498" s="138"/>
      <c r="AL498" s="138"/>
      <c r="AM498" s="138"/>
      <c r="AN498" s="138"/>
      <c r="AO498" s="138"/>
      <c r="AP498" s="138"/>
      <c r="AQ498" s="138"/>
      <c r="AR498" s="138"/>
      <c r="AS498" s="138"/>
    </row>
    <row r="499" spans="1:45" ht="15.75" hidden="1" customHeight="1">
      <c r="A499" s="177">
        <v>14</v>
      </c>
      <c r="B499" s="177" t="s">
        <v>50</v>
      </c>
      <c r="C499" s="178" t="s">
        <v>1167</v>
      </c>
      <c r="D499" s="178" t="s">
        <v>1168</v>
      </c>
      <c r="E499" s="178" t="s">
        <v>145</v>
      </c>
      <c r="F499" s="179">
        <v>42156</v>
      </c>
      <c r="G499" s="180"/>
      <c r="H499" s="180" t="s">
        <v>1169</v>
      </c>
      <c r="I499" s="181">
        <v>44136</v>
      </c>
      <c r="J499" s="180" t="s">
        <v>1170</v>
      </c>
      <c r="K499" s="180" t="s">
        <v>1015</v>
      </c>
      <c r="L499" s="180" t="s">
        <v>1160</v>
      </c>
      <c r="M499" s="178" t="s">
        <v>36</v>
      </c>
      <c r="N499" s="179">
        <v>44348</v>
      </c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  <c r="AB499" s="138"/>
      <c r="AC499" s="138"/>
      <c r="AD499" s="138"/>
      <c r="AE499" s="138"/>
      <c r="AF499" s="138"/>
      <c r="AG499" s="138"/>
      <c r="AH499" s="138"/>
      <c r="AI499" s="138"/>
      <c r="AJ499" s="138"/>
      <c r="AK499" s="138"/>
      <c r="AL499" s="138"/>
      <c r="AM499" s="138"/>
      <c r="AN499" s="138"/>
      <c r="AO499" s="138"/>
      <c r="AP499" s="138"/>
      <c r="AQ499" s="138"/>
      <c r="AR499" s="138"/>
      <c r="AS499" s="138"/>
    </row>
    <row r="500" spans="1:45" ht="15.75" hidden="1" customHeight="1">
      <c r="A500" s="177">
        <v>15</v>
      </c>
      <c r="B500" s="177" t="s">
        <v>91</v>
      </c>
      <c r="C500" s="178" t="s">
        <v>1167</v>
      </c>
      <c r="D500" s="178" t="s">
        <v>1168</v>
      </c>
      <c r="E500" s="178" t="s">
        <v>145</v>
      </c>
      <c r="F500" s="179">
        <v>42156</v>
      </c>
      <c r="G500" s="180"/>
      <c r="H500" s="180" t="s">
        <v>1169</v>
      </c>
      <c r="I500" s="181">
        <v>44136</v>
      </c>
      <c r="J500" s="180" t="s">
        <v>112</v>
      </c>
      <c r="K500" s="180" t="s">
        <v>1015</v>
      </c>
      <c r="L500" s="180" t="s">
        <v>1160</v>
      </c>
      <c r="M500" s="178" t="s">
        <v>36</v>
      </c>
      <c r="N500" s="179">
        <v>44348</v>
      </c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  <c r="AB500" s="138"/>
      <c r="AC500" s="138"/>
      <c r="AD500" s="138"/>
      <c r="AE500" s="138"/>
      <c r="AF500" s="138"/>
      <c r="AG500" s="138"/>
      <c r="AH500" s="138"/>
      <c r="AI500" s="138"/>
      <c r="AJ500" s="138"/>
      <c r="AK500" s="138"/>
      <c r="AL500" s="138"/>
      <c r="AM500" s="138"/>
      <c r="AN500" s="138"/>
      <c r="AO500" s="138"/>
      <c r="AP500" s="138"/>
      <c r="AQ500" s="138"/>
      <c r="AR500" s="138"/>
      <c r="AS500" s="138"/>
    </row>
    <row r="501" spans="1:45" ht="15.75" hidden="1" customHeight="1">
      <c r="A501" s="177">
        <v>16</v>
      </c>
      <c r="B501" s="177" t="s">
        <v>50</v>
      </c>
      <c r="C501" s="178" t="s">
        <v>1171</v>
      </c>
      <c r="D501" s="178" t="s">
        <v>1172</v>
      </c>
      <c r="E501" s="178">
        <v>5</v>
      </c>
      <c r="F501" s="179">
        <v>40274</v>
      </c>
      <c r="G501" s="180" t="s">
        <v>1173</v>
      </c>
      <c r="H501" s="180" t="s">
        <v>1174</v>
      </c>
      <c r="I501" s="181">
        <v>44060</v>
      </c>
      <c r="J501" s="180" t="s">
        <v>204</v>
      </c>
      <c r="K501" s="180" t="s">
        <v>276</v>
      </c>
      <c r="L501" s="180" t="s">
        <v>1160</v>
      </c>
      <c r="M501" s="178" t="s">
        <v>36</v>
      </c>
      <c r="N501" s="179">
        <v>44348</v>
      </c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  <c r="AB501" s="138"/>
      <c r="AC501" s="138"/>
      <c r="AD501" s="138"/>
      <c r="AE501" s="138"/>
      <c r="AF501" s="138"/>
      <c r="AG501" s="138"/>
      <c r="AH501" s="138"/>
      <c r="AI501" s="138"/>
      <c r="AJ501" s="138"/>
      <c r="AK501" s="138"/>
      <c r="AL501" s="138"/>
      <c r="AM501" s="138"/>
      <c r="AN501" s="138"/>
      <c r="AO501" s="138"/>
      <c r="AP501" s="138"/>
      <c r="AQ501" s="138"/>
      <c r="AR501" s="138"/>
      <c r="AS501" s="138"/>
    </row>
    <row r="502" spans="1:45" ht="15.75" hidden="1" customHeight="1">
      <c r="A502" s="177">
        <v>17</v>
      </c>
      <c r="B502" s="177" t="s">
        <v>91</v>
      </c>
      <c r="C502" s="178" t="s">
        <v>1171</v>
      </c>
      <c r="D502" s="178" t="s">
        <v>1172</v>
      </c>
      <c r="E502" s="178">
        <v>5</v>
      </c>
      <c r="F502" s="179">
        <v>40274</v>
      </c>
      <c r="G502" s="180" t="s">
        <v>1173</v>
      </c>
      <c r="H502" s="180" t="s">
        <v>1174</v>
      </c>
      <c r="I502" s="181">
        <v>44060</v>
      </c>
      <c r="J502" s="180" t="s">
        <v>221</v>
      </c>
      <c r="K502" s="180" t="s">
        <v>272</v>
      </c>
      <c r="L502" s="180" t="s">
        <v>1160</v>
      </c>
      <c r="M502" s="178" t="s">
        <v>36</v>
      </c>
      <c r="N502" s="179">
        <v>44348</v>
      </c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  <c r="AB502" s="138"/>
      <c r="AC502" s="138"/>
      <c r="AD502" s="138"/>
      <c r="AE502" s="138"/>
      <c r="AF502" s="138"/>
      <c r="AG502" s="138"/>
      <c r="AH502" s="138"/>
      <c r="AI502" s="138"/>
      <c r="AJ502" s="138"/>
      <c r="AK502" s="138"/>
      <c r="AL502" s="138"/>
      <c r="AM502" s="138"/>
      <c r="AN502" s="138"/>
      <c r="AO502" s="138"/>
      <c r="AP502" s="138"/>
      <c r="AQ502" s="138"/>
      <c r="AR502" s="138"/>
      <c r="AS502" s="138"/>
    </row>
    <row r="503" spans="1:45" ht="15.75" hidden="1" customHeight="1">
      <c r="A503" s="177">
        <v>18</v>
      </c>
      <c r="B503" s="177" t="s">
        <v>91</v>
      </c>
      <c r="C503" s="178" t="s">
        <v>715</v>
      </c>
      <c r="D503" s="178" t="s">
        <v>716</v>
      </c>
      <c r="E503" s="178">
        <v>1</v>
      </c>
      <c r="F503" s="179" t="s">
        <v>717</v>
      </c>
      <c r="G503" s="180" t="s">
        <v>718</v>
      </c>
      <c r="H503" s="180" t="s">
        <v>493</v>
      </c>
      <c r="I503" s="181">
        <v>44136</v>
      </c>
      <c r="J503" s="180" t="s">
        <v>167</v>
      </c>
      <c r="K503" s="180" t="s">
        <v>612</v>
      </c>
      <c r="L503" s="180" t="s">
        <v>1175</v>
      </c>
      <c r="M503" s="178" t="s">
        <v>36</v>
      </c>
      <c r="N503" s="179">
        <v>44348</v>
      </c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  <c r="AB503" s="138"/>
      <c r="AC503" s="138"/>
      <c r="AD503" s="138"/>
      <c r="AE503" s="138"/>
      <c r="AF503" s="138"/>
      <c r="AG503" s="138"/>
      <c r="AH503" s="138"/>
      <c r="AI503" s="138"/>
      <c r="AJ503" s="138"/>
      <c r="AK503" s="138"/>
      <c r="AL503" s="138"/>
      <c r="AM503" s="138"/>
      <c r="AN503" s="138"/>
      <c r="AO503" s="138"/>
      <c r="AP503" s="138"/>
      <c r="AQ503" s="138"/>
      <c r="AR503" s="138"/>
      <c r="AS503" s="138"/>
    </row>
    <row r="504" spans="1:45" ht="15.75" hidden="1" customHeight="1">
      <c r="A504" s="177">
        <v>19</v>
      </c>
      <c r="B504" s="177" t="s">
        <v>50</v>
      </c>
      <c r="C504" s="178" t="s">
        <v>647</v>
      </c>
      <c r="D504" s="178" t="s">
        <v>1075</v>
      </c>
      <c r="E504" s="178">
        <v>1</v>
      </c>
      <c r="F504" s="179">
        <v>41713</v>
      </c>
      <c r="G504" s="180" t="s">
        <v>1076</v>
      </c>
      <c r="H504" s="180" t="s">
        <v>1077</v>
      </c>
      <c r="I504" s="181">
        <v>43985</v>
      </c>
      <c r="J504" s="180" t="s">
        <v>110</v>
      </c>
      <c r="K504" s="180" t="s">
        <v>1047</v>
      </c>
      <c r="L504" s="180" t="s">
        <v>1160</v>
      </c>
      <c r="M504" s="178" t="s">
        <v>36</v>
      </c>
      <c r="N504" s="179">
        <v>44348</v>
      </c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  <c r="AB504" s="138"/>
      <c r="AC504" s="138"/>
      <c r="AD504" s="138"/>
      <c r="AE504" s="138"/>
      <c r="AF504" s="138"/>
      <c r="AG504" s="138"/>
      <c r="AH504" s="138"/>
      <c r="AI504" s="138"/>
      <c r="AJ504" s="138"/>
      <c r="AK504" s="138"/>
      <c r="AL504" s="138"/>
      <c r="AM504" s="138"/>
      <c r="AN504" s="138"/>
      <c r="AO504" s="138"/>
      <c r="AP504" s="138"/>
      <c r="AQ504" s="138"/>
      <c r="AR504" s="138"/>
      <c r="AS504" s="138"/>
    </row>
    <row r="505" spans="1:45" ht="15.75" hidden="1" customHeight="1">
      <c r="A505" s="177">
        <v>20</v>
      </c>
      <c r="B505" s="177" t="s">
        <v>50</v>
      </c>
      <c r="C505" s="178" t="s">
        <v>340</v>
      </c>
      <c r="D505" s="178" t="s">
        <v>1176</v>
      </c>
      <c r="E505" s="178">
        <v>1</v>
      </c>
      <c r="F505" s="179">
        <v>41250</v>
      </c>
      <c r="G505" s="180" t="s">
        <v>1177</v>
      </c>
      <c r="H505" s="180" t="s">
        <v>1020</v>
      </c>
      <c r="I505" s="181">
        <v>43693</v>
      </c>
      <c r="J505" s="180" t="s">
        <v>249</v>
      </c>
      <c r="K505" s="180" t="s">
        <v>1015</v>
      </c>
      <c r="L505" s="180" t="s">
        <v>1160</v>
      </c>
      <c r="M505" s="178" t="s">
        <v>36</v>
      </c>
      <c r="N505" s="179">
        <v>44348</v>
      </c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  <c r="AB505" s="138"/>
      <c r="AC505" s="138"/>
      <c r="AD505" s="138"/>
      <c r="AE505" s="138"/>
      <c r="AF505" s="138"/>
      <c r="AG505" s="138"/>
      <c r="AH505" s="138"/>
      <c r="AI505" s="138"/>
      <c r="AJ505" s="138"/>
      <c r="AK505" s="138"/>
      <c r="AL505" s="138"/>
      <c r="AM505" s="138"/>
      <c r="AN505" s="138"/>
      <c r="AO505" s="138"/>
      <c r="AP505" s="138"/>
      <c r="AQ505" s="138"/>
      <c r="AR505" s="138"/>
      <c r="AS505" s="138"/>
    </row>
    <row r="506" spans="1:45" ht="15.75" hidden="1" customHeight="1">
      <c r="A506" s="177">
        <v>21</v>
      </c>
      <c r="B506" s="177" t="s">
        <v>91</v>
      </c>
      <c r="C506" s="178" t="s">
        <v>340</v>
      </c>
      <c r="D506" s="178" t="s">
        <v>1176</v>
      </c>
      <c r="E506" s="178">
        <v>1</v>
      </c>
      <c r="F506" s="179">
        <v>41250</v>
      </c>
      <c r="G506" s="180" t="s">
        <v>1177</v>
      </c>
      <c r="H506" s="180" t="s">
        <v>1020</v>
      </c>
      <c r="I506" s="181">
        <v>43693</v>
      </c>
      <c r="J506" s="180" t="s">
        <v>221</v>
      </c>
      <c r="K506" s="180" t="s">
        <v>612</v>
      </c>
      <c r="L506" s="180" t="s">
        <v>1160</v>
      </c>
      <c r="M506" s="178" t="s">
        <v>36</v>
      </c>
      <c r="N506" s="179">
        <v>44348</v>
      </c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  <c r="AB506" s="138"/>
      <c r="AC506" s="138"/>
      <c r="AD506" s="138"/>
      <c r="AE506" s="138"/>
      <c r="AF506" s="138"/>
      <c r="AG506" s="138"/>
      <c r="AH506" s="138"/>
      <c r="AI506" s="138"/>
      <c r="AJ506" s="138"/>
      <c r="AK506" s="138"/>
      <c r="AL506" s="138"/>
      <c r="AM506" s="138"/>
      <c r="AN506" s="138"/>
      <c r="AO506" s="138"/>
      <c r="AP506" s="138"/>
      <c r="AQ506" s="138"/>
      <c r="AR506" s="138"/>
      <c r="AS506" s="138"/>
    </row>
    <row r="507" spans="1:45" ht="15.75" hidden="1" customHeight="1">
      <c r="A507" s="177">
        <v>22</v>
      </c>
      <c r="B507" s="177" t="s">
        <v>50</v>
      </c>
      <c r="C507" s="178" t="s">
        <v>1178</v>
      </c>
      <c r="D507" s="178" t="s">
        <v>1179</v>
      </c>
      <c r="E507" s="178">
        <v>3</v>
      </c>
      <c r="F507" s="179">
        <v>41153</v>
      </c>
      <c r="G507" s="180"/>
      <c r="H507" s="180" t="s">
        <v>1180</v>
      </c>
      <c r="I507" s="181">
        <v>44075</v>
      </c>
      <c r="J507" s="180" t="s">
        <v>140</v>
      </c>
      <c r="K507" s="180" t="s">
        <v>612</v>
      </c>
      <c r="L507" s="180" t="s">
        <v>1175</v>
      </c>
      <c r="M507" s="178" t="s">
        <v>36</v>
      </c>
      <c r="N507" s="179">
        <v>44348</v>
      </c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  <c r="AB507" s="138"/>
      <c r="AC507" s="138"/>
      <c r="AD507" s="138"/>
      <c r="AE507" s="138"/>
      <c r="AF507" s="138"/>
      <c r="AG507" s="138"/>
      <c r="AH507" s="138"/>
      <c r="AI507" s="138"/>
      <c r="AJ507" s="138"/>
      <c r="AK507" s="138"/>
      <c r="AL507" s="138"/>
      <c r="AM507" s="138"/>
      <c r="AN507" s="138"/>
      <c r="AO507" s="138"/>
      <c r="AP507" s="138"/>
      <c r="AQ507" s="138"/>
      <c r="AR507" s="138"/>
      <c r="AS507" s="138"/>
    </row>
    <row r="508" spans="1:45" ht="15.75" hidden="1" customHeight="1">
      <c r="A508" s="177">
        <v>23</v>
      </c>
      <c r="B508" s="177" t="s">
        <v>91</v>
      </c>
      <c r="C508" s="178" t="s">
        <v>1178</v>
      </c>
      <c r="D508" s="178" t="s">
        <v>1179</v>
      </c>
      <c r="E508" s="178">
        <v>3</v>
      </c>
      <c r="F508" s="179">
        <v>41153</v>
      </c>
      <c r="G508" s="180"/>
      <c r="H508" s="180" t="s">
        <v>1180</v>
      </c>
      <c r="I508" s="181">
        <v>44075</v>
      </c>
      <c r="J508" s="180" t="s">
        <v>141</v>
      </c>
      <c r="K508" s="180" t="s">
        <v>272</v>
      </c>
      <c r="L508" s="180" t="s">
        <v>1175</v>
      </c>
      <c r="M508" s="178" t="s">
        <v>36</v>
      </c>
      <c r="N508" s="179">
        <v>44348</v>
      </c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  <c r="AB508" s="138"/>
      <c r="AC508" s="138"/>
      <c r="AD508" s="138"/>
      <c r="AE508" s="138"/>
      <c r="AF508" s="138"/>
      <c r="AG508" s="138"/>
      <c r="AH508" s="138"/>
      <c r="AI508" s="138"/>
      <c r="AJ508" s="138"/>
      <c r="AK508" s="138"/>
      <c r="AL508" s="138"/>
      <c r="AM508" s="138"/>
      <c r="AN508" s="138"/>
      <c r="AO508" s="138"/>
      <c r="AP508" s="138"/>
      <c r="AQ508" s="138"/>
      <c r="AR508" s="138"/>
      <c r="AS508" s="138"/>
    </row>
    <row r="509" spans="1:45" ht="15.75" hidden="1" customHeight="1">
      <c r="A509" s="177">
        <v>24</v>
      </c>
      <c r="B509" s="177" t="s">
        <v>50</v>
      </c>
      <c r="C509" s="178" t="s">
        <v>498</v>
      </c>
      <c r="D509" s="178" t="s">
        <v>1181</v>
      </c>
      <c r="E509" s="178">
        <v>3</v>
      </c>
      <c r="F509" s="179">
        <v>41214</v>
      </c>
      <c r="G509" s="180"/>
      <c r="H509" s="180" t="s">
        <v>1182</v>
      </c>
      <c r="I509" s="181">
        <v>44214</v>
      </c>
      <c r="J509" s="180" t="s">
        <v>192</v>
      </c>
      <c r="K509" s="180" t="s">
        <v>612</v>
      </c>
      <c r="L509" s="180" t="s">
        <v>1160</v>
      </c>
      <c r="M509" s="178" t="s">
        <v>36</v>
      </c>
      <c r="N509" s="179">
        <v>44348</v>
      </c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  <c r="AB509" s="138"/>
      <c r="AC509" s="138"/>
      <c r="AD509" s="138"/>
      <c r="AE509" s="138"/>
      <c r="AF509" s="138"/>
      <c r="AG509" s="138"/>
      <c r="AH509" s="138"/>
      <c r="AI509" s="138"/>
      <c r="AJ509" s="138"/>
      <c r="AK509" s="138"/>
      <c r="AL509" s="138"/>
      <c r="AM509" s="138"/>
      <c r="AN509" s="138"/>
      <c r="AO509" s="138"/>
      <c r="AP509" s="138"/>
      <c r="AQ509" s="138"/>
      <c r="AR509" s="138"/>
      <c r="AS509" s="138"/>
    </row>
    <row r="510" spans="1:45" ht="15.75" hidden="1" customHeight="1">
      <c r="A510" s="177">
        <v>1</v>
      </c>
      <c r="B510" s="177" t="s">
        <v>50</v>
      </c>
      <c r="C510" s="178" t="s">
        <v>1183</v>
      </c>
      <c r="D510" s="178" t="s">
        <v>1184</v>
      </c>
      <c r="E510" s="178" t="s">
        <v>145</v>
      </c>
      <c r="F510" s="179">
        <v>42335</v>
      </c>
      <c r="G510" s="180" t="s">
        <v>1185</v>
      </c>
      <c r="H510" s="180" t="s">
        <v>1186</v>
      </c>
      <c r="I510" s="181">
        <v>44257</v>
      </c>
      <c r="J510" s="180" t="s">
        <v>121</v>
      </c>
      <c r="K510" s="180" t="s">
        <v>272</v>
      </c>
      <c r="L510" s="180" t="s">
        <v>1187</v>
      </c>
      <c r="M510" s="178" t="s">
        <v>36</v>
      </c>
      <c r="N510" s="179">
        <v>44378</v>
      </c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  <c r="AB510" s="138"/>
      <c r="AC510" s="138"/>
      <c r="AD510" s="138"/>
      <c r="AE510" s="138"/>
      <c r="AF510" s="138"/>
      <c r="AG510" s="138"/>
      <c r="AH510" s="138"/>
      <c r="AI510" s="138"/>
      <c r="AJ510" s="138"/>
      <c r="AK510" s="138"/>
      <c r="AL510" s="138"/>
      <c r="AM510" s="138"/>
      <c r="AN510" s="138"/>
      <c r="AO510" s="138"/>
      <c r="AP510" s="138"/>
      <c r="AQ510" s="138"/>
      <c r="AR510" s="138"/>
      <c r="AS510" s="138"/>
    </row>
    <row r="511" spans="1:45" ht="15.75" hidden="1" customHeight="1">
      <c r="A511" s="177">
        <v>2</v>
      </c>
      <c r="B511" s="177" t="s">
        <v>91</v>
      </c>
      <c r="C511" s="178" t="s">
        <v>1006</v>
      </c>
      <c r="D511" s="178" t="s">
        <v>1007</v>
      </c>
      <c r="E511" s="178">
        <v>1</v>
      </c>
      <c r="F511" s="179">
        <v>41377</v>
      </c>
      <c r="G511" s="180" t="s">
        <v>1008</v>
      </c>
      <c r="H511" s="180" t="s">
        <v>1009</v>
      </c>
      <c r="I511" s="181">
        <v>44075</v>
      </c>
      <c r="J511" s="180" t="s">
        <v>141</v>
      </c>
      <c r="K511" s="180" t="s">
        <v>612</v>
      </c>
      <c r="L511" s="180" t="s">
        <v>1188</v>
      </c>
      <c r="M511" s="178" t="s">
        <v>36</v>
      </c>
      <c r="N511" s="179">
        <v>44378</v>
      </c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  <c r="AB511" s="138"/>
      <c r="AC511" s="138"/>
      <c r="AD511" s="138"/>
      <c r="AE511" s="138"/>
      <c r="AF511" s="138"/>
      <c r="AG511" s="138"/>
      <c r="AH511" s="138"/>
      <c r="AI511" s="138"/>
      <c r="AJ511" s="138"/>
      <c r="AK511" s="138"/>
      <c r="AL511" s="138"/>
      <c r="AM511" s="138"/>
      <c r="AN511" s="138"/>
      <c r="AO511" s="138"/>
      <c r="AP511" s="138"/>
      <c r="AQ511" s="138"/>
      <c r="AR511" s="138"/>
      <c r="AS511" s="138"/>
    </row>
    <row r="512" spans="1:45" ht="15.75" hidden="1" customHeight="1">
      <c r="A512" s="177">
        <v>3</v>
      </c>
      <c r="B512" s="177" t="s">
        <v>50</v>
      </c>
      <c r="C512" s="178" t="s">
        <v>1006</v>
      </c>
      <c r="D512" s="178" t="s">
        <v>1007</v>
      </c>
      <c r="E512" s="178">
        <v>1</v>
      </c>
      <c r="F512" s="179">
        <v>41377</v>
      </c>
      <c r="G512" s="180" t="s">
        <v>1008</v>
      </c>
      <c r="H512" s="180" t="s">
        <v>1009</v>
      </c>
      <c r="I512" s="181">
        <v>44075</v>
      </c>
      <c r="J512" s="180" t="s">
        <v>358</v>
      </c>
      <c r="K512" s="180" t="s">
        <v>1152</v>
      </c>
      <c r="L512" s="180" t="s">
        <v>1188</v>
      </c>
      <c r="M512" s="178" t="s">
        <v>36</v>
      </c>
      <c r="N512" s="179">
        <v>44378</v>
      </c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  <c r="AB512" s="138"/>
      <c r="AC512" s="138"/>
      <c r="AD512" s="138"/>
      <c r="AE512" s="138"/>
      <c r="AF512" s="138"/>
      <c r="AG512" s="138"/>
      <c r="AH512" s="138"/>
      <c r="AI512" s="138"/>
      <c r="AJ512" s="138"/>
      <c r="AK512" s="138"/>
      <c r="AL512" s="138"/>
      <c r="AM512" s="138"/>
      <c r="AN512" s="138"/>
      <c r="AO512" s="138"/>
      <c r="AP512" s="138"/>
      <c r="AQ512" s="138"/>
      <c r="AR512" s="138"/>
      <c r="AS512" s="138"/>
    </row>
    <row r="513" spans="1:45" ht="15.75" hidden="1" customHeight="1">
      <c r="A513" s="177">
        <v>4</v>
      </c>
      <c r="B513" s="177" t="s">
        <v>50</v>
      </c>
      <c r="C513" s="178" t="s">
        <v>1006</v>
      </c>
      <c r="D513" s="178" t="s">
        <v>1010</v>
      </c>
      <c r="E513" s="178">
        <v>3</v>
      </c>
      <c r="F513" s="179" t="s">
        <v>1011</v>
      </c>
      <c r="G513" s="180" t="s">
        <v>1008</v>
      </c>
      <c r="H513" s="180" t="s">
        <v>1009</v>
      </c>
      <c r="I513" s="181">
        <v>44105</v>
      </c>
      <c r="J513" s="180" t="s">
        <v>148</v>
      </c>
      <c r="K513" s="180" t="s">
        <v>612</v>
      </c>
      <c r="L513" s="180" t="s">
        <v>1188</v>
      </c>
      <c r="M513" s="178" t="s">
        <v>36</v>
      </c>
      <c r="N513" s="179">
        <v>44378</v>
      </c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  <c r="AB513" s="138"/>
      <c r="AC513" s="138"/>
      <c r="AD513" s="138"/>
      <c r="AE513" s="138"/>
      <c r="AF513" s="138"/>
      <c r="AG513" s="138"/>
      <c r="AH513" s="138"/>
      <c r="AI513" s="138"/>
      <c r="AJ513" s="138"/>
      <c r="AK513" s="138"/>
      <c r="AL513" s="138"/>
      <c r="AM513" s="138"/>
      <c r="AN513" s="138"/>
      <c r="AO513" s="138"/>
      <c r="AP513" s="138"/>
      <c r="AQ513" s="138"/>
      <c r="AR513" s="138"/>
      <c r="AS513" s="138"/>
    </row>
    <row r="514" spans="1:45" ht="15.75" hidden="1" customHeight="1">
      <c r="A514" s="177">
        <v>5</v>
      </c>
      <c r="B514" s="177" t="s">
        <v>91</v>
      </c>
      <c r="C514" s="178" t="s">
        <v>1006</v>
      </c>
      <c r="D514" s="178" t="s">
        <v>1010</v>
      </c>
      <c r="E514" s="178">
        <v>3</v>
      </c>
      <c r="F514" s="179" t="s">
        <v>1011</v>
      </c>
      <c r="G514" s="180" t="s">
        <v>1008</v>
      </c>
      <c r="H514" s="180" t="s">
        <v>1009</v>
      </c>
      <c r="I514" s="181">
        <v>44075</v>
      </c>
      <c r="J514" s="180" t="s">
        <v>221</v>
      </c>
      <c r="K514" s="180" t="s">
        <v>612</v>
      </c>
      <c r="L514" s="180" t="s">
        <v>1188</v>
      </c>
      <c r="M514" s="178" t="s">
        <v>36</v>
      </c>
      <c r="N514" s="179">
        <v>44378</v>
      </c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  <c r="AB514" s="138"/>
      <c r="AC514" s="138"/>
      <c r="AD514" s="138"/>
      <c r="AE514" s="138"/>
      <c r="AF514" s="138"/>
      <c r="AG514" s="138"/>
      <c r="AH514" s="138"/>
      <c r="AI514" s="138"/>
      <c r="AJ514" s="138"/>
      <c r="AK514" s="138"/>
      <c r="AL514" s="138"/>
      <c r="AM514" s="138"/>
      <c r="AN514" s="138"/>
      <c r="AO514" s="138"/>
      <c r="AP514" s="138"/>
      <c r="AQ514" s="138"/>
      <c r="AR514" s="138"/>
      <c r="AS514" s="138"/>
    </row>
    <row r="515" spans="1:45" ht="15.75" hidden="1" customHeight="1">
      <c r="A515" s="177">
        <v>6</v>
      </c>
      <c r="B515" s="177" t="s">
        <v>91</v>
      </c>
      <c r="C515" s="178" t="s">
        <v>794</v>
      </c>
      <c r="D515" s="178" t="s">
        <v>795</v>
      </c>
      <c r="E515" s="178">
        <v>6</v>
      </c>
      <c r="F515" s="179">
        <v>39964</v>
      </c>
      <c r="G515" s="180" t="s">
        <v>796</v>
      </c>
      <c r="H515" s="180" t="s">
        <v>797</v>
      </c>
      <c r="I515" s="181">
        <v>44230</v>
      </c>
      <c r="J515" s="180" t="s">
        <v>221</v>
      </c>
      <c r="K515" s="180" t="s">
        <v>276</v>
      </c>
      <c r="L515" s="180" t="s">
        <v>1189</v>
      </c>
      <c r="M515" s="178" t="s">
        <v>36</v>
      </c>
      <c r="N515" s="179">
        <v>44378</v>
      </c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  <c r="AB515" s="138"/>
      <c r="AC515" s="138"/>
      <c r="AD515" s="138"/>
      <c r="AE515" s="138"/>
      <c r="AF515" s="138"/>
      <c r="AG515" s="138"/>
      <c r="AH515" s="138"/>
      <c r="AI515" s="138"/>
      <c r="AJ515" s="138"/>
      <c r="AK515" s="138"/>
      <c r="AL515" s="138"/>
      <c r="AM515" s="138"/>
      <c r="AN515" s="138"/>
      <c r="AO515" s="138"/>
      <c r="AP515" s="138"/>
      <c r="AQ515" s="138"/>
      <c r="AR515" s="138"/>
      <c r="AS515" s="138"/>
    </row>
    <row r="516" spans="1:45" ht="15.75" hidden="1" customHeight="1">
      <c r="A516" s="177">
        <v>7</v>
      </c>
      <c r="B516" s="177" t="s">
        <v>50</v>
      </c>
      <c r="C516" s="178" t="s">
        <v>794</v>
      </c>
      <c r="D516" s="178" t="s">
        <v>795</v>
      </c>
      <c r="E516" s="178">
        <v>6</v>
      </c>
      <c r="F516" s="179">
        <v>39964</v>
      </c>
      <c r="G516" s="180" t="s">
        <v>796</v>
      </c>
      <c r="H516" s="180" t="s">
        <v>797</v>
      </c>
      <c r="I516" s="181">
        <v>44230</v>
      </c>
      <c r="J516" s="180" t="s">
        <v>148</v>
      </c>
      <c r="K516" s="180" t="s">
        <v>568</v>
      </c>
      <c r="L516" s="180" t="s">
        <v>1189</v>
      </c>
      <c r="M516" s="178" t="s">
        <v>36</v>
      </c>
      <c r="N516" s="179">
        <v>44378</v>
      </c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  <c r="AB516" s="138"/>
      <c r="AC516" s="138"/>
      <c r="AD516" s="138"/>
      <c r="AE516" s="138"/>
      <c r="AF516" s="138"/>
      <c r="AG516" s="138"/>
      <c r="AH516" s="138"/>
      <c r="AI516" s="138"/>
      <c r="AJ516" s="138"/>
      <c r="AK516" s="138"/>
      <c r="AL516" s="138"/>
      <c r="AM516" s="138"/>
      <c r="AN516" s="138"/>
      <c r="AO516" s="138"/>
      <c r="AP516" s="138"/>
      <c r="AQ516" s="138"/>
      <c r="AR516" s="138"/>
      <c r="AS516" s="138"/>
    </row>
    <row r="517" spans="1:45" ht="15.75" hidden="1" customHeight="1">
      <c r="A517" s="177">
        <v>8</v>
      </c>
      <c r="B517" s="177" t="s">
        <v>50</v>
      </c>
      <c r="C517" s="178" t="s">
        <v>1190</v>
      </c>
      <c r="D517" s="178" t="s">
        <v>479</v>
      </c>
      <c r="E517" s="178">
        <v>7</v>
      </c>
      <c r="F517" s="179">
        <v>39375</v>
      </c>
      <c r="G517" s="180" t="s">
        <v>1191</v>
      </c>
      <c r="H517" s="180" t="s">
        <v>1192</v>
      </c>
      <c r="I517" s="181">
        <v>44060</v>
      </c>
      <c r="J517" s="180" t="s">
        <v>243</v>
      </c>
      <c r="K517" s="180" t="s">
        <v>1152</v>
      </c>
      <c r="L517" s="180" t="s">
        <v>1193</v>
      </c>
      <c r="M517" s="178" t="s">
        <v>36</v>
      </c>
      <c r="N517" s="179">
        <v>44378</v>
      </c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  <c r="AB517" s="138"/>
      <c r="AC517" s="138"/>
      <c r="AD517" s="138"/>
      <c r="AE517" s="138"/>
      <c r="AF517" s="138"/>
      <c r="AG517" s="138"/>
      <c r="AH517" s="138"/>
      <c r="AI517" s="138"/>
      <c r="AJ517" s="138"/>
      <c r="AK517" s="138"/>
      <c r="AL517" s="138"/>
      <c r="AM517" s="138"/>
      <c r="AN517" s="138"/>
      <c r="AO517" s="138"/>
      <c r="AP517" s="138"/>
      <c r="AQ517" s="138"/>
      <c r="AR517" s="138"/>
      <c r="AS517" s="138"/>
    </row>
    <row r="518" spans="1:45" ht="15.75" hidden="1" customHeight="1">
      <c r="A518" s="177">
        <v>9</v>
      </c>
      <c r="B518" s="177" t="s">
        <v>91</v>
      </c>
      <c r="C518" s="178" t="s">
        <v>1190</v>
      </c>
      <c r="D518" s="178" t="s">
        <v>479</v>
      </c>
      <c r="E518" s="178">
        <v>7</v>
      </c>
      <c r="F518" s="179">
        <v>39375</v>
      </c>
      <c r="G518" s="180" t="s">
        <v>1191</v>
      </c>
      <c r="H518" s="180" t="s">
        <v>1192</v>
      </c>
      <c r="I518" s="181">
        <v>44060</v>
      </c>
      <c r="J518" s="180" t="s">
        <v>172</v>
      </c>
      <c r="K518" s="180" t="s">
        <v>276</v>
      </c>
      <c r="L518" s="180" t="s">
        <v>1193</v>
      </c>
      <c r="M518" s="178" t="s">
        <v>36</v>
      </c>
      <c r="N518" s="179">
        <v>44378</v>
      </c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  <c r="AB518" s="138"/>
      <c r="AC518" s="138"/>
      <c r="AD518" s="138"/>
      <c r="AE518" s="138"/>
      <c r="AF518" s="138"/>
      <c r="AG518" s="138"/>
      <c r="AH518" s="138"/>
      <c r="AI518" s="138"/>
      <c r="AJ518" s="138"/>
      <c r="AK518" s="138"/>
      <c r="AL518" s="138"/>
      <c r="AM518" s="138"/>
      <c r="AN518" s="138"/>
      <c r="AO518" s="138"/>
      <c r="AP518" s="138"/>
      <c r="AQ518" s="138"/>
      <c r="AR518" s="138"/>
      <c r="AS518" s="138"/>
    </row>
    <row r="519" spans="1:45" ht="15.75" hidden="1" customHeight="1">
      <c r="A519" s="177">
        <v>1</v>
      </c>
      <c r="B519" s="177" t="s">
        <v>50</v>
      </c>
      <c r="C519" s="178" t="s">
        <v>899</v>
      </c>
      <c r="D519" s="178" t="s">
        <v>1024</v>
      </c>
      <c r="E519" s="178" t="s">
        <v>145</v>
      </c>
      <c r="F519" s="179">
        <v>41393</v>
      </c>
      <c r="G519" s="180" t="s">
        <v>1025</v>
      </c>
      <c r="H519" s="180" t="s">
        <v>834</v>
      </c>
      <c r="I519" s="181">
        <v>44075</v>
      </c>
      <c r="J519" s="180" t="s">
        <v>124</v>
      </c>
      <c r="K519" s="180" t="s">
        <v>276</v>
      </c>
      <c r="L519" s="180" t="s">
        <v>1194</v>
      </c>
      <c r="M519" s="178" t="s">
        <v>36</v>
      </c>
      <c r="N519" s="179">
        <v>44409</v>
      </c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  <c r="AB519" s="138"/>
      <c r="AC519" s="138"/>
      <c r="AD519" s="138"/>
      <c r="AE519" s="138"/>
      <c r="AF519" s="138"/>
      <c r="AG519" s="138"/>
      <c r="AH519" s="138"/>
      <c r="AI519" s="138"/>
      <c r="AJ519" s="138"/>
      <c r="AK519" s="138"/>
      <c r="AL519" s="138"/>
      <c r="AM519" s="138"/>
      <c r="AN519" s="138"/>
      <c r="AO519" s="138"/>
      <c r="AP519" s="138"/>
      <c r="AQ519" s="138"/>
      <c r="AR519" s="138"/>
      <c r="AS519" s="138"/>
    </row>
    <row r="520" spans="1:45" ht="15.75" hidden="1" customHeight="1">
      <c r="A520" s="177">
        <v>2</v>
      </c>
      <c r="B520" s="177" t="s">
        <v>91</v>
      </c>
      <c r="C520" s="178" t="s">
        <v>899</v>
      </c>
      <c r="D520" s="178" t="s">
        <v>1024</v>
      </c>
      <c r="E520" s="178" t="s">
        <v>145</v>
      </c>
      <c r="F520" s="179">
        <v>41393</v>
      </c>
      <c r="G520" s="180" t="s">
        <v>1025</v>
      </c>
      <c r="H520" s="180" t="s">
        <v>834</v>
      </c>
      <c r="I520" s="181">
        <v>44354</v>
      </c>
      <c r="J520" s="180" t="s">
        <v>156</v>
      </c>
      <c r="K520" s="180" t="s">
        <v>276</v>
      </c>
      <c r="L520" s="180" t="s">
        <v>1194</v>
      </c>
      <c r="M520" s="178" t="s">
        <v>36</v>
      </c>
      <c r="N520" s="179">
        <v>44409</v>
      </c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  <c r="AB520" s="138"/>
      <c r="AC520" s="138"/>
      <c r="AD520" s="138"/>
      <c r="AE520" s="138"/>
      <c r="AF520" s="138"/>
      <c r="AG520" s="138"/>
      <c r="AH520" s="138"/>
      <c r="AI520" s="138"/>
      <c r="AJ520" s="138"/>
      <c r="AK520" s="138"/>
      <c r="AL520" s="138"/>
      <c r="AM520" s="138"/>
      <c r="AN520" s="138"/>
      <c r="AO520" s="138"/>
      <c r="AP520" s="138"/>
      <c r="AQ520" s="138"/>
      <c r="AR520" s="138"/>
      <c r="AS520" s="138"/>
    </row>
    <row r="521" spans="1:45" ht="15.75" hidden="1" customHeight="1">
      <c r="A521" s="177">
        <v>3</v>
      </c>
      <c r="B521" s="177" t="s">
        <v>91</v>
      </c>
      <c r="C521" s="178" t="s">
        <v>967</v>
      </c>
      <c r="D521" s="178" t="s">
        <v>763</v>
      </c>
      <c r="E521" s="178">
        <v>3</v>
      </c>
      <c r="F521" s="179">
        <v>40644</v>
      </c>
      <c r="G521" s="180" t="s">
        <v>968</v>
      </c>
      <c r="H521" s="180" t="s">
        <v>969</v>
      </c>
      <c r="I521" s="181">
        <v>43836</v>
      </c>
      <c r="J521" s="180" t="s">
        <v>221</v>
      </c>
      <c r="K521" s="180" t="s">
        <v>272</v>
      </c>
      <c r="L521" s="180" t="s">
        <v>66</v>
      </c>
      <c r="M521" s="178" t="s">
        <v>36</v>
      </c>
      <c r="N521" s="179">
        <v>44409</v>
      </c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  <c r="AB521" s="138"/>
      <c r="AC521" s="138"/>
      <c r="AD521" s="138"/>
      <c r="AE521" s="138"/>
      <c r="AF521" s="138"/>
      <c r="AG521" s="138"/>
      <c r="AH521" s="138"/>
      <c r="AI521" s="138"/>
      <c r="AJ521" s="138"/>
      <c r="AK521" s="138"/>
      <c r="AL521" s="138"/>
      <c r="AM521" s="138"/>
      <c r="AN521" s="138"/>
      <c r="AO521" s="138"/>
      <c r="AP521" s="138"/>
      <c r="AQ521" s="138"/>
      <c r="AR521" s="138"/>
      <c r="AS521" s="138"/>
    </row>
    <row r="522" spans="1:45" ht="15.75" hidden="1" customHeight="1">
      <c r="A522" s="177">
        <v>4</v>
      </c>
      <c r="B522" s="177" t="s">
        <v>50</v>
      </c>
      <c r="C522" s="178" t="s">
        <v>967</v>
      </c>
      <c r="D522" s="178" t="s">
        <v>1195</v>
      </c>
      <c r="E522" s="178" t="s">
        <v>178</v>
      </c>
      <c r="F522" s="179">
        <v>42342</v>
      </c>
      <c r="G522" s="180" t="s">
        <v>968</v>
      </c>
      <c r="H522" s="180" t="s">
        <v>969</v>
      </c>
      <c r="I522" s="181">
        <v>43952</v>
      </c>
      <c r="J522" s="180" t="s">
        <v>134</v>
      </c>
      <c r="K522" s="180" t="s">
        <v>612</v>
      </c>
      <c r="L522" s="180" t="s">
        <v>1196</v>
      </c>
      <c r="M522" s="178" t="s">
        <v>36</v>
      </c>
      <c r="N522" s="179">
        <v>44409</v>
      </c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  <c r="AB522" s="138"/>
      <c r="AC522" s="138"/>
      <c r="AD522" s="138"/>
      <c r="AE522" s="138"/>
      <c r="AF522" s="138"/>
      <c r="AG522" s="138"/>
      <c r="AH522" s="138"/>
      <c r="AI522" s="138"/>
      <c r="AJ522" s="138"/>
      <c r="AK522" s="138"/>
      <c r="AL522" s="138"/>
      <c r="AM522" s="138"/>
      <c r="AN522" s="138"/>
      <c r="AO522" s="138"/>
      <c r="AP522" s="138"/>
      <c r="AQ522" s="138"/>
      <c r="AR522" s="138"/>
      <c r="AS522" s="138"/>
    </row>
    <row r="523" spans="1:45" ht="15.75" hidden="1" customHeight="1">
      <c r="A523" s="177">
        <v>5</v>
      </c>
      <c r="B523" s="177" t="s">
        <v>91</v>
      </c>
      <c r="C523" s="178" t="s">
        <v>967</v>
      </c>
      <c r="D523" s="178" t="s">
        <v>1195</v>
      </c>
      <c r="E523" s="178" t="s">
        <v>178</v>
      </c>
      <c r="F523" s="179">
        <v>42342</v>
      </c>
      <c r="G523" s="180" t="s">
        <v>968</v>
      </c>
      <c r="H523" s="180" t="s">
        <v>969</v>
      </c>
      <c r="I523" s="181">
        <v>43952</v>
      </c>
      <c r="J523" s="180" t="s">
        <v>211</v>
      </c>
      <c r="K523" s="180" t="s">
        <v>272</v>
      </c>
      <c r="L523" s="180" t="s">
        <v>1196</v>
      </c>
      <c r="M523" s="178" t="s">
        <v>36</v>
      </c>
      <c r="N523" s="179">
        <v>44409</v>
      </c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  <c r="AB523" s="138"/>
      <c r="AC523" s="138"/>
      <c r="AD523" s="138"/>
      <c r="AE523" s="138"/>
      <c r="AF523" s="138"/>
      <c r="AG523" s="138"/>
      <c r="AH523" s="138"/>
      <c r="AI523" s="138"/>
      <c r="AJ523" s="138"/>
      <c r="AK523" s="138"/>
      <c r="AL523" s="138"/>
      <c r="AM523" s="138"/>
      <c r="AN523" s="138"/>
      <c r="AO523" s="138"/>
      <c r="AP523" s="138"/>
      <c r="AQ523" s="138"/>
      <c r="AR523" s="138"/>
      <c r="AS523" s="138"/>
    </row>
    <row r="524" spans="1:45" ht="15.75" hidden="1" customHeight="1">
      <c r="A524" s="177">
        <v>6</v>
      </c>
      <c r="B524" s="177" t="s">
        <v>50</v>
      </c>
      <c r="C524" s="178" t="s">
        <v>1079</v>
      </c>
      <c r="D524" s="178" t="s">
        <v>472</v>
      </c>
      <c r="E524" s="178">
        <v>4</v>
      </c>
      <c r="F524" s="179">
        <v>40447</v>
      </c>
      <c r="G524" s="180" t="s">
        <v>1027</v>
      </c>
      <c r="H524" s="180" t="s">
        <v>1028</v>
      </c>
      <c r="I524" s="181">
        <v>44019</v>
      </c>
      <c r="J524" s="180" t="s">
        <v>148</v>
      </c>
      <c r="K524" s="180" t="s">
        <v>612</v>
      </c>
      <c r="L524" s="180" t="s">
        <v>66</v>
      </c>
      <c r="M524" s="178" t="s">
        <v>36</v>
      </c>
      <c r="N524" s="179">
        <v>44409</v>
      </c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  <c r="AB524" s="138"/>
      <c r="AC524" s="138"/>
      <c r="AD524" s="138"/>
      <c r="AE524" s="138"/>
      <c r="AF524" s="138"/>
      <c r="AG524" s="138"/>
      <c r="AH524" s="138"/>
      <c r="AI524" s="138"/>
      <c r="AJ524" s="138"/>
      <c r="AK524" s="138"/>
      <c r="AL524" s="138"/>
      <c r="AM524" s="138"/>
      <c r="AN524" s="138"/>
      <c r="AO524" s="138"/>
      <c r="AP524" s="138"/>
      <c r="AQ524" s="138"/>
      <c r="AR524" s="138"/>
      <c r="AS524" s="138"/>
    </row>
    <row r="525" spans="1:45" ht="15.75" hidden="1" customHeight="1">
      <c r="A525" s="177">
        <v>7</v>
      </c>
      <c r="B525" s="177" t="s">
        <v>50</v>
      </c>
      <c r="C525" s="178" t="s">
        <v>262</v>
      </c>
      <c r="D525" s="178" t="s">
        <v>263</v>
      </c>
      <c r="E525" s="178">
        <v>1</v>
      </c>
      <c r="F525" s="179">
        <v>41773</v>
      </c>
      <c r="G525" s="180" t="s">
        <v>1197</v>
      </c>
      <c r="H525" s="180" t="s">
        <v>265</v>
      </c>
      <c r="I525" s="181">
        <v>44351</v>
      </c>
      <c r="J525" s="180" t="s">
        <v>1198</v>
      </c>
      <c r="K525" s="180" t="s">
        <v>276</v>
      </c>
      <c r="L525" s="180" t="s">
        <v>1199</v>
      </c>
      <c r="M525" s="178" t="s">
        <v>36</v>
      </c>
      <c r="N525" s="179">
        <v>44409</v>
      </c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  <c r="AB525" s="138"/>
      <c r="AC525" s="138"/>
      <c r="AD525" s="138"/>
      <c r="AE525" s="138"/>
      <c r="AF525" s="138"/>
      <c r="AG525" s="138"/>
      <c r="AH525" s="138"/>
      <c r="AI525" s="138"/>
      <c r="AJ525" s="138"/>
      <c r="AK525" s="138"/>
      <c r="AL525" s="138"/>
      <c r="AM525" s="138"/>
      <c r="AN525" s="138"/>
      <c r="AO525" s="138"/>
      <c r="AP525" s="138"/>
      <c r="AQ525" s="138"/>
      <c r="AR525" s="138"/>
      <c r="AS525" s="138"/>
    </row>
    <row r="526" spans="1:45" ht="15.75" hidden="1" customHeight="1">
      <c r="A526" s="177">
        <v>8</v>
      </c>
      <c r="B526" s="177" t="s">
        <v>91</v>
      </c>
      <c r="C526" s="178" t="s">
        <v>262</v>
      </c>
      <c r="D526" s="178" t="s">
        <v>263</v>
      </c>
      <c r="E526" s="178">
        <v>1</v>
      </c>
      <c r="F526" s="179">
        <v>41773</v>
      </c>
      <c r="G526" s="180" t="s">
        <v>1197</v>
      </c>
      <c r="H526" s="180" t="s">
        <v>265</v>
      </c>
      <c r="I526" s="181">
        <v>44351</v>
      </c>
      <c r="J526" s="180" t="s">
        <v>121</v>
      </c>
      <c r="K526" s="180" t="s">
        <v>276</v>
      </c>
      <c r="L526" s="180" t="s">
        <v>1199</v>
      </c>
      <c r="M526" s="178" t="s">
        <v>36</v>
      </c>
      <c r="N526" s="179">
        <v>44409</v>
      </c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  <c r="AB526" s="138"/>
      <c r="AC526" s="138"/>
      <c r="AD526" s="138"/>
      <c r="AE526" s="138"/>
      <c r="AF526" s="138"/>
      <c r="AG526" s="138"/>
      <c r="AH526" s="138"/>
      <c r="AI526" s="138"/>
      <c r="AJ526" s="138"/>
      <c r="AK526" s="138"/>
      <c r="AL526" s="138"/>
      <c r="AM526" s="138"/>
      <c r="AN526" s="138"/>
      <c r="AO526" s="138"/>
      <c r="AP526" s="138"/>
      <c r="AQ526" s="138"/>
      <c r="AR526" s="138"/>
      <c r="AS526" s="138"/>
    </row>
    <row r="527" spans="1:45" ht="15.75" hidden="1" customHeight="1">
      <c r="A527" s="177">
        <v>9</v>
      </c>
      <c r="B527" s="177" t="s">
        <v>50</v>
      </c>
      <c r="C527" s="178" t="s">
        <v>1016</v>
      </c>
      <c r="D527" s="178" t="s">
        <v>1017</v>
      </c>
      <c r="E527" s="178">
        <v>3</v>
      </c>
      <c r="F527" s="179" t="s">
        <v>1018</v>
      </c>
      <c r="G527" s="180" t="s">
        <v>1019</v>
      </c>
      <c r="H527" s="180" t="s">
        <v>1020</v>
      </c>
      <c r="I527" s="181">
        <v>44075</v>
      </c>
      <c r="J527" s="180" t="s">
        <v>204</v>
      </c>
      <c r="K527" s="180" t="s">
        <v>272</v>
      </c>
      <c r="L527" s="180"/>
      <c r="M527" s="178" t="s">
        <v>36</v>
      </c>
      <c r="N527" s="179">
        <v>44409</v>
      </c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  <c r="AB527" s="138"/>
      <c r="AC527" s="138"/>
      <c r="AD527" s="138"/>
      <c r="AE527" s="138"/>
      <c r="AF527" s="138"/>
      <c r="AG527" s="138"/>
      <c r="AH527" s="138"/>
      <c r="AI527" s="138"/>
      <c r="AJ527" s="138"/>
      <c r="AK527" s="138"/>
      <c r="AL527" s="138"/>
      <c r="AM527" s="138"/>
      <c r="AN527" s="138"/>
      <c r="AO527" s="138"/>
      <c r="AP527" s="138"/>
      <c r="AQ527" s="138"/>
      <c r="AR527" s="138"/>
      <c r="AS527" s="138"/>
    </row>
    <row r="528" spans="1:45" ht="15.75" hidden="1" customHeight="1">
      <c r="A528" s="177">
        <v>10</v>
      </c>
      <c r="B528" s="177" t="s">
        <v>91</v>
      </c>
      <c r="C528" s="178" t="s">
        <v>1016</v>
      </c>
      <c r="D528" s="178" t="s">
        <v>1017</v>
      </c>
      <c r="E528" s="178">
        <v>3</v>
      </c>
      <c r="F528" s="179" t="s">
        <v>1018</v>
      </c>
      <c r="G528" s="180" t="s">
        <v>1019</v>
      </c>
      <c r="H528" s="180" t="s">
        <v>1020</v>
      </c>
      <c r="I528" s="181">
        <v>44075</v>
      </c>
      <c r="J528" s="180" t="s">
        <v>150</v>
      </c>
      <c r="K528" s="180" t="s">
        <v>612</v>
      </c>
      <c r="L528" s="180"/>
      <c r="M528" s="178" t="s">
        <v>36</v>
      </c>
      <c r="N528" s="179">
        <v>44409</v>
      </c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  <c r="AB528" s="138"/>
      <c r="AC528" s="138"/>
      <c r="AD528" s="138"/>
      <c r="AE528" s="138"/>
      <c r="AF528" s="138"/>
      <c r="AG528" s="138"/>
      <c r="AH528" s="138"/>
      <c r="AI528" s="138"/>
      <c r="AJ528" s="138"/>
      <c r="AK528" s="138"/>
      <c r="AL528" s="138"/>
      <c r="AM528" s="138"/>
      <c r="AN528" s="138"/>
      <c r="AO528" s="138"/>
      <c r="AP528" s="138"/>
      <c r="AQ528" s="138"/>
      <c r="AR528" s="138"/>
      <c r="AS528" s="138"/>
    </row>
    <row r="529" spans="1:45" ht="15.75" hidden="1" customHeight="1">
      <c r="A529" s="177">
        <v>11</v>
      </c>
      <c r="B529" s="177" t="s">
        <v>50</v>
      </c>
      <c r="C529" s="178" t="s">
        <v>1200</v>
      </c>
      <c r="D529" s="178" t="s">
        <v>1201</v>
      </c>
      <c r="E529" s="178">
        <v>1</v>
      </c>
      <c r="F529" s="179">
        <v>42101</v>
      </c>
      <c r="G529" s="180" t="s">
        <v>1202</v>
      </c>
      <c r="H529" s="180" t="s">
        <v>1203</v>
      </c>
      <c r="I529" s="181">
        <v>44363</v>
      </c>
      <c r="J529" s="180" t="s">
        <v>192</v>
      </c>
      <c r="K529" s="180" t="s">
        <v>272</v>
      </c>
      <c r="L529" s="180"/>
      <c r="M529" s="178" t="s">
        <v>36</v>
      </c>
      <c r="N529" s="179">
        <v>44409</v>
      </c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  <c r="AB529" s="138"/>
      <c r="AC529" s="138"/>
      <c r="AD529" s="138"/>
      <c r="AE529" s="138"/>
      <c r="AF529" s="138"/>
      <c r="AG529" s="138"/>
      <c r="AH529" s="138"/>
      <c r="AI529" s="138"/>
      <c r="AJ529" s="138"/>
      <c r="AK529" s="138"/>
      <c r="AL529" s="138"/>
      <c r="AM529" s="138"/>
      <c r="AN529" s="138"/>
      <c r="AO529" s="138"/>
      <c r="AP529" s="138"/>
      <c r="AQ529" s="138"/>
      <c r="AR529" s="138"/>
      <c r="AS529" s="138"/>
    </row>
    <row r="530" spans="1:45" ht="15.75" hidden="1" customHeight="1">
      <c r="A530" s="177">
        <v>12</v>
      </c>
      <c r="B530" s="177" t="s">
        <v>91</v>
      </c>
      <c r="C530" s="178" t="s">
        <v>1200</v>
      </c>
      <c r="D530" s="178" t="s">
        <v>1201</v>
      </c>
      <c r="E530" s="178">
        <v>1</v>
      </c>
      <c r="F530" s="179">
        <v>42101</v>
      </c>
      <c r="G530" s="180" t="s">
        <v>1202</v>
      </c>
      <c r="H530" s="180" t="s">
        <v>1203</v>
      </c>
      <c r="I530" s="181">
        <v>44363</v>
      </c>
      <c r="J530" s="180" t="s">
        <v>194</v>
      </c>
      <c r="K530" s="180" t="s">
        <v>272</v>
      </c>
      <c r="L530" s="180"/>
      <c r="M530" s="178" t="s">
        <v>36</v>
      </c>
      <c r="N530" s="179">
        <v>44409</v>
      </c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  <c r="AB530" s="138"/>
      <c r="AC530" s="138"/>
      <c r="AD530" s="138"/>
      <c r="AE530" s="138"/>
      <c r="AF530" s="138"/>
      <c r="AG530" s="138"/>
      <c r="AH530" s="138"/>
      <c r="AI530" s="138"/>
      <c r="AJ530" s="138"/>
      <c r="AK530" s="138"/>
      <c r="AL530" s="138"/>
      <c r="AM530" s="138"/>
      <c r="AN530" s="138"/>
      <c r="AO530" s="138"/>
      <c r="AP530" s="138"/>
      <c r="AQ530" s="138"/>
      <c r="AR530" s="138"/>
      <c r="AS530" s="138"/>
    </row>
    <row r="531" spans="1:45" ht="15.75" hidden="1" customHeight="1">
      <c r="A531" s="177">
        <v>13</v>
      </c>
      <c r="B531" s="177" t="s">
        <v>50</v>
      </c>
      <c r="C531" s="178" t="s">
        <v>1204</v>
      </c>
      <c r="D531" s="178" t="s">
        <v>1205</v>
      </c>
      <c r="E531" s="178">
        <v>4</v>
      </c>
      <c r="F531" s="179">
        <v>40760</v>
      </c>
      <c r="G531" s="180" t="s">
        <v>1206</v>
      </c>
      <c r="H531" s="180" t="s">
        <v>1207</v>
      </c>
      <c r="I531" s="181">
        <v>44363</v>
      </c>
      <c r="J531" s="180" t="s">
        <v>358</v>
      </c>
      <c r="K531" s="180" t="s">
        <v>276</v>
      </c>
      <c r="L531" s="180" t="s">
        <v>1208</v>
      </c>
      <c r="M531" s="178" t="s">
        <v>36</v>
      </c>
      <c r="N531" s="179">
        <v>44409</v>
      </c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  <c r="AB531" s="138"/>
      <c r="AC531" s="138"/>
      <c r="AD531" s="138"/>
      <c r="AE531" s="138"/>
      <c r="AF531" s="138"/>
      <c r="AG531" s="138"/>
      <c r="AH531" s="138"/>
      <c r="AI531" s="138"/>
      <c r="AJ531" s="138"/>
      <c r="AK531" s="138"/>
      <c r="AL531" s="138"/>
      <c r="AM531" s="138"/>
      <c r="AN531" s="138"/>
      <c r="AO531" s="138"/>
      <c r="AP531" s="138"/>
      <c r="AQ531" s="138"/>
      <c r="AR531" s="138"/>
      <c r="AS531" s="138"/>
    </row>
    <row r="532" spans="1:45" ht="15.75" hidden="1" customHeight="1">
      <c r="A532" s="177">
        <v>14</v>
      </c>
      <c r="B532" s="177" t="s">
        <v>91</v>
      </c>
      <c r="C532" s="178" t="s">
        <v>1204</v>
      </c>
      <c r="D532" s="178" t="s">
        <v>1205</v>
      </c>
      <c r="E532" s="178">
        <v>4</v>
      </c>
      <c r="F532" s="179">
        <v>40760</v>
      </c>
      <c r="G532" s="180" t="s">
        <v>1206</v>
      </c>
      <c r="H532" s="180" t="s">
        <v>1207</v>
      </c>
      <c r="I532" s="181">
        <v>44363</v>
      </c>
      <c r="J532" s="180" t="s">
        <v>188</v>
      </c>
      <c r="K532" s="180" t="s">
        <v>276</v>
      </c>
      <c r="L532" s="180" t="s">
        <v>1208</v>
      </c>
      <c r="M532" s="178" t="s">
        <v>36</v>
      </c>
      <c r="N532" s="179">
        <v>44409</v>
      </c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  <c r="AB532" s="138"/>
      <c r="AC532" s="138"/>
      <c r="AD532" s="138"/>
      <c r="AE532" s="138"/>
      <c r="AF532" s="138"/>
      <c r="AG532" s="138"/>
      <c r="AH532" s="138"/>
      <c r="AI532" s="138"/>
      <c r="AJ532" s="138"/>
      <c r="AK532" s="138"/>
      <c r="AL532" s="138"/>
      <c r="AM532" s="138"/>
      <c r="AN532" s="138"/>
      <c r="AO532" s="138"/>
      <c r="AP532" s="138"/>
      <c r="AQ532" s="138"/>
      <c r="AR532" s="138"/>
      <c r="AS532" s="138"/>
    </row>
    <row r="533" spans="1:45" ht="15.75" hidden="1" customHeight="1">
      <c r="A533" s="177">
        <v>15</v>
      </c>
      <c r="B533" s="177" t="s">
        <v>50</v>
      </c>
      <c r="C533" s="178" t="s">
        <v>463</v>
      </c>
      <c r="D533" s="178" t="s">
        <v>467</v>
      </c>
      <c r="E533" s="178" t="s">
        <v>190</v>
      </c>
      <c r="F533" s="179">
        <v>42381</v>
      </c>
      <c r="G533" s="180" t="s">
        <v>468</v>
      </c>
      <c r="H533" s="180" t="s">
        <v>469</v>
      </c>
      <c r="I533" s="181">
        <v>44351</v>
      </c>
      <c r="J533" s="180" t="s">
        <v>192</v>
      </c>
      <c r="K533" s="180" t="s">
        <v>272</v>
      </c>
      <c r="L533" s="180"/>
      <c r="M533" s="178" t="s">
        <v>36</v>
      </c>
      <c r="N533" s="179">
        <v>44409</v>
      </c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  <c r="AB533" s="138"/>
      <c r="AC533" s="138"/>
      <c r="AD533" s="138"/>
      <c r="AE533" s="138"/>
      <c r="AF533" s="138"/>
      <c r="AG533" s="138"/>
      <c r="AH533" s="138"/>
      <c r="AI533" s="138"/>
      <c r="AJ533" s="138"/>
      <c r="AK533" s="138"/>
      <c r="AL533" s="138"/>
      <c r="AM533" s="138"/>
      <c r="AN533" s="138"/>
      <c r="AO533" s="138"/>
      <c r="AP533" s="138"/>
      <c r="AQ533" s="138"/>
      <c r="AR533" s="138"/>
      <c r="AS533" s="138"/>
    </row>
    <row r="534" spans="1:45" ht="15.75" hidden="1" customHeight="1">
      <c r="A534" s="177">
        <v>16</v>
      </c>
      <c r="B534" s="177" t="s">
        <v>91</v>
      </c>
      <c r="C534" s="178" t="s">
        <v>463</v>
      </c>
      <c r="D534" s="178" t="s">
        <v>467</v>
      </c>
      <c r="E534" s="178" t="s">
        <v>190</v>
      </c>
      <c r="F534" s="179">
        <v>42381</v>
      </c>
      <c r="G534" s="180" t="s">
        <v>468</v>
      </c>
      <c r="H534" s="180" t="s">
        <v>469</v>
      </c>
      <c r="I534" s="181">
        <v>44351</v>
      </c>
      <c r="J534" s="180" t="s">
        <v>194</v>
      </c>
      <c r="K534" s="180" t="s">
        <v>272</v>
      </c>
      <c r="L534" s="180"/>
      <c r="M534" s="178" t="s">
        <v>36</v>
      </c>
      <c r="N534" s="179">
        <v>44409</v>
      </c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  <c r="AB534" s="138"/>
      <c r="AC534" s="138"/>
      <c r="AD534" s="138"/>
      <c r="AE534" s="138"/>
      <c r="AF534" s="138"/>
      <c r="AG534" s="138"/>
      <c r="AH534" s="138"/>
      <c r="AI534" s="138"/>
      <c r="AJ534" s="138"/>
      <c r="AK534" s="138"/>
      <c r="AL534" s="138"/>
      <c r="AM534" s="138"/>
      <c r="AN534" s="138"/>
      <c r="AO534" s="138"/>
      <c r="AP534" s="138"/>
      <c r="AQ534" s="138"/>
      <c r="AR534" s="138"/>
      <c r="AS534" s="138"/>
    </row>
    <row r="535" spans="1:45" ht="15.75" hidden="1" customHeight="1">
      <c r="A535" s="177">
        <v>17</v>
      </c>
      <c r="B535" s="177" t="s">
        <v>50</v>
      </c>
      <c r="C535" s="178" t="s">
        <v>463</v>
      </c>
      <c r="D535" s="178" t="s">
        <v>1209</v>
      </c>
      <c r="E535" s="178">
        <v>4</v>
      </c>
      <c r="F535" s="179">
        <v>40920</v>
      </c>
      <c r="G535" s="180" t="s">
        <v>468</v>
      </c>
      <c r="H535" s="180" t="s">
        <v>469</v>
      </c>
      <c r="I535" s="181">
        <v>44351</v>
      </c>
      <c r="J535" s="180" t="s">
        <v>140</v>
      </c>
      <c r="K535" s="180" t="s">
        <v>272</v>
      </c>
      <c r="L535" s="180"/>
      <c r="M535" s="178" t="s">
        <v>36</v>
      </c>
      <c r="N535" s="179">
        <v>44409</v>
      </c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  <c r="AB535" s="138"/>
      <c r="AC535" s="138"/>
      <c r="AD535" s="138"/>
      <c r="AE535" s="138"/>
      <c r="AF535" s="138"/>
      <c r="AG535" s="138"/>
      <c r="AH535" s="138"/>
      <c r="AI535" s="138"/>
      <c r="AJ535" s="138"/>
      <c r="AK535" s="138"/>
      <c r="AL535" s="138"/>
      <c r="AM535" s="138"/>
      <c r="AN535" s="138"/>
      <c r="AO535" s="138"/>
      <c r="AP535" s="138"/>
      <c r="AQ535" s="138"/>
      <c r="AR535" s="138"/>
      <c r="AS535" s="138"/>
    </row>
    <row r="536" spans="1:45" ht="15.75" hidden="1" customHeight="1">
      <c r="A536" s="177">
        <v>18</v>
      </c>
      <c r="B536" s="177" t="s">
        <v>91</v>
      </c>
      <c r="C536" s="178" t="s">
        <v>463</v>
      </c>
      <c r="D536" s="178" t="s">
        <v>1209</v>
      </c>
      <c r="E536" s="178">
        <v>4</v>
      </c>
      <c r="F536" s="179">
        <v>40920</v>
      </c>
      <c r="G536" s="180" t="s">
        <v>468</v>
      </c>
      <c r="H536" s="180" t="s">
        <v>469</v>
      </c>
      <c r="I536" s="181">
        <v>44351</v>
      </c>
      <c r="J536" s="180" t="s">
        <v>121</v>
      </c>
      <c r="K536" s="180" t="s">
        <v>276</v>
      </c>
      <c r="L536" s="180"/>
      <c r="M536" s="178" t="s">
        <v>36</v>
      </c>
      <c r="N536" s="179">
        <v>44409</v>
      </c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  <c r="AB536" s="138"/>
      <c r="AC536" s="138"/>
      <c r="AD536" s="138"/>
      <c r="AE536" s="138"/>
      <c r="AF536" s="138"/>
      <c r="AG536" s="138"/>
      <c r="AH536" s="138"/>
      <c r="AI536" s="138"/>
      <c r="AJ536" s="138"/>
      <c r="AK536" s="138"/>
      <c r="AL536" s="138"/>
      <c r="AM536" s="138"/>
      <c r="AN536" s="138"/>
      <c r="AO536" s="138"/>
      <c r="AP536" s="138"/>
      <c r="AQ536" s="138"/>
      <c r="AR536" s="138"/>
      <c r="AS536" s="138"/>
    </row>
    <row r="537" spans="1:45" ht="15.75" hidden="1" customHeight="1">
      <c r="A537" s="177">
        <v>19</v>
      </c>
      <c r="B537" s="177" t="s">
        <v>50</v>
      </c>
      <c r="C537" s="178" t="s">
        <v>633</v>
      </c>
      <c r="D537" s="178" t="s">
        <v>1210</v>
      </c>
      <c r="E537" s="178">
        <v>1</v>
      </c>
      <c r="F537" s="179">
        <v>41870</v>
      </c>
      <c r="G537" s="180"/>
      <c r="H537" s="180" t="s">
        <v>1211</v>
      </c>
      <c r="I537" s="181">
        <v>44091</v>
      </c>
      <c r="J537" s="180" t="s">
        <v>1198</v>
      </c>
      <c r="K537" s="180" t="s">
        <v>1152</v>
      </c>
      <c r="L537" s="180"/>
      <c r="M537" s="178" t="s">
        <v>36</v>
      </c>
      <c r="N537" s="179">
        <v>44409</v>
      </c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  <c r="AB537" s="138"/>
      <c r="AC537" s="138"/>
      <c r="AD537" s="138"/>
      <c r="AE537" s="138"/>
      <c r="AF537" s="138"/>
      <c r="AG537" s="138"/>
      <c r="AH537" s="138"/>
      <c r="AI537" s="138"/>
      <c r="AJ537" s="138"/>
      <c r="AK537" s="138"/>
      <c r="AL537" s="138"/>
      <c r="AM537" s="138"/>
      <c r="AN537" s="138"/>
      <c r="AO537" s="138"/>
      <c r="AP537" s="138"/>
      <c r="AQ537" s="138"/>
      <c r="AR537" s="138"/>
      <c r="AS537" s="138"/>
    </row>
    <row r="538" spans="1:45" ht="15.75" hidden="1" customHeight="1">
      <c r="A538" s="177">
        <v>20</v>
      </c>
      <c r="B538" s="177" t="s">
        <v>91</v>
      </c>
      <c r="C538" s="178" t="s">
        <v>633</v>
      </c>
      <c r="D538" s="178" t="s">
        <v>1210</v>
      </c>
      <c r="E538" s="178">
        <v>1</v>
      </c>
      <c r="F538" s="179">
        <v>41870</v>
      </c>
      <c r="G538" s="180"/>
      <c r="H538" s="180" t="s">
        <v>1211</v>
      </c>
      <c r="I538" s="181">
        <v>44091</v>
      </c>
      <c r="J538" s="180" t="s">
        <v>156</v>
      </c>
      <c r="K538" s="180" t="s">
        <v>276</v>
      </c>
      <c r="L538" s="180"/>
      <c r="M538" s="178" t="s">
        <v>36</v>
      </c>
      <c r="N538" s="179">
        <v>44409</v>
      </c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  <c r="AB538" s="138"/>
      <c r="AC538" s="138"/>
      <c r="AD538" s="138"/>
      <c r="AE538" s="138"/>
      <c r="AF538" s="138"/>
      <c r="AG538" s="138"/>
      <c r="AH538" s="138"/>
      <c r="AI538" s="138"/>
      <c r="AJ538" s="138"/>
      <c r="AK538" s="138"/>
      <c r="AL538" s="138"/>
      <c r="AM538" s="138"/>
      <c r="AN538" s="138"/>
      <c r="AO538" s="138"/>
      <c r="AP538" s="138"/>
      <c r="AQ538" s="138"/>
      <c r="AR538" s="138"/>
      <c r="AS538" s="138"/>
    </row>
    <row r="539" spans="1:45" ht="15.75" hidden="1" customHeight="1">
      <c r="A539" s="177">
        <v>21</v>
      </c>
      <c r="B539" s="177" t="s">
        <v>50</v>
      </c>
      <c r="C539" s="178" t="s">
        <v>1043</v>
      </c>
      <c r="D539" s="178" t="s">
        <v>1044</v>
      </c>
      <c r="E539" s="178">
        <v>5</v>
      </c>
      <c r="F539" s="179">
        <v>40288</v>
      </c>
      <c r="G539" s="180" t="s">
        <v>1045</v>
      </c>
      <c r="H539" s="180" t="s">
        <v>1046</v>
      </c>
      <c r="I539" s="181">
        <v>44091</v>
      </c>
      <c r="J539" s="180" t="s">
        <v>249</v>
      </c>
      <c r="K539" s="180" t="s">
        <v>1212</v>
      </c>
      <c r="L539" s="180" t="s">
        <v>1208</v>
      </c>
      <c r="M539" s="178" t="s">
        <v>36</v>
      </c>
      <c r="N539" s="179">
        <v>44409</v>
      </c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  <c r="AB539" s="138"/>
      <c r="AC539" s="138"/>
      <c r="AD539" s="138"/>
      <c r="AE539" s="138"/>
      <c r="AF539" s="138"/>
      <c r="AG539" s="138"/>
      <c r="AH539" s="138"/>
      <c r="AI539" s="138"/>
      <c r="AJ539" s="138"/>
      <c r="AK539" s="138"/>
      <c r="AL539" s="138"/>
      <c r="AM539" s="138"/>
      <c r="AN539" s="138"/>
      <c r="AO539" s="138"/>
      <c r="AP539" s="138"/>
      <c r="AQ539" s="138"/>
      <c r="AR539" s="138"/>
      <c r="AS539" s="138"/>
    </row>
    <row r="540" spans="1:45" ht="15.75" hidden="1" customHeight="1">
      <c r="A540" s="177">
        <v>22</v>
      </c>
      <c r="B540" s="177" t="s">
        <v>91</v>
      </c>
      <c r="C540" s="178" t="s">
        <v>1043</v>
      </c>
      <c r="D540" s="178" t="s">
        <v>1044</v>
      </c>
      <c r="E540" s="178">
        <v>5</v>
      </c>
      <c r="F540" s="179">
        <v>40288</v>
      </c>
      <c r="G540" s="180" t="s">
        <v>1045</v>
      </c>
      <c r="H540" s="180" t="s">
        <v>1046</v>
      </c>
      <c r="I540" s="181">
        <v>44091</v>
      </c>
      <c r="J540" s="180" t="s">
        <v>238</v>
      </c>
      <c r="K540" s="180" t="s">
        <v>276</v>
      </c>
      <c r="L540" s="180" t="s">
        <v>1208</v>
      </c>
      <c r="M540" s="178" t="s">
        <v>36</v>
      </c>
      <c r="N540" s="179">
        <v>44409</v>
      </c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  <c r="AB540" s="138"/>
      <c r="AC540" s="138"/>
      <c r="AD540" s="138"/>
      <c r="AE540" s="138"/>
      <c r="AF540" s="138"/>
      <c r="AG540" s="138"/>
      <c r="AH540" s="138"/>
      <c r="AI540" s="138"/>
      <c r="AJ540" s="138"/>
      <c r="AK540" s="138"/>
      <c r="AL540" s="138"/>
      <c r="AM540" s="138"/>
      <c r="AN540" s="138"/>
      <c r="AO540" s="138"/>
      <c r="AP540" s="138"/>
      <c r="AQ540" s="138"/>
      <c r="AR540" s="138"/>
      <c r="AS540" s="138"/>
    </row>
    <row r="541" spans="1:45" ht="15.75" hidden="1" customHeight="1">
      <c r="A541" s="177">
        <v>1</v>
      </c>
      <c r="B541" s="177" t="s">
        <v>50</v>
      </c>
      <c r="C541" s="178" t="s">
        <v>1213</v>
      </c>
      <c r="D541" s="178" t="s">
        <v>1214</v>
      </c>
      <c r="E541" s="178">
        <v>1</v>
      </c>
      <c r="F541" s="179">
        <v>42067</v>
      </c>
      <c r="G541" s="180" t="s">
        <v>1215</v>
      </c>
      <c r="H541" s="180" t="s">
        <v>1216</v>
      </c>
      <c r="I541" s="181">
        <v>44349</v>
      </c>
      <c r="J541" s="180" t="s">
        <v>192</v>
      </c>
      <c r="K541" s="180" t="s">
        <v>272</v>
      </c>
      <c r="L541" s="180" t="s">
        <v>1217</v>
      </c>
      <c r="M541" s="178" t="s">
        <v>36</v>
      </c>
      <c r="N541" s="179">
        <v>44440</v>
      </c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  <c r="AB541" s="138"/>
      <c r="AC541" s="138"/>
      <c r="AD541" s="138"/>
      <c r="AE541" s="138"/>
      <c r="AF541" s="138"/>
      <c r="AG541" s="138"/>
      <c r="AH541" s="138"/>
      <c r="AI541" s="138"/>
      <c r="AJ541" s="138"/>
      <c r="AK541" s="138"/>
      <c r="AL541" s="138"/>
      <c r="AM541" s="138"/>
      <c r="AN541" s="138"/>
      <c r="AO541" s="138"/>
      <c r="AP541" s="138"/>
      <c r="AQ541" s="138"/>
      <c r="AR541" s="138"/>
      <c r="AS541" s="138"/>
    </row>
    <row r="542" spans="1:45" ht="15.75" hidden="1" customHeight="1">
      <c r="A542" s="177">
        <v>2</v>
      </c>
      <c r="B542" s="177" t="s">
        <v>91</v>
      </c>
      <c r="C542" s="178" t="s">
        <v>1183</v>
      </c>
      <c r="D542" s="178" t="s">
        <v>1218</v>
      </c>
      <c r="E542" s="178">
        <v>2</v>
      </c>
      <c r="F542" s="179">
        <v>41280</v>
      </c>
      <c r="G542" s="180" t="s">
        <v>1185</v>
      </c>
      <c r="H542" s="180" t="s">
        <v>1186</v>
      </c>
      <c r="I542" s="181">
        <v>44257</v>
      </c>
      <c r="J542" s="180" t="s">
        <v>121</v>
      </c>
      <c r="K542" s="180" t="s">
        <v>612</v>
      </c>
      <c r="L542" s="180" t="s">
        <v>1217</v>
      </c>
      <c r="M542" s="178" t="s">
        <v>36</v>
      </c>
      <c r="N542" s="179">
        <v>44440</v>
      </c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  <c r="AB542" s="138"/>
      <c r="AC542" s="138"/>
      <c r="AD542" s="138"/>
      <c r="AE542" s="138"/>
      <c r="AF542" s="138"/>
      <c r="AG542" s="138"/>
      <c r="AH542" s="138"/>
      <c r="AI542" s="138"/>
      <c r="AJ542" s="138"/>
      <c r="AK542" s="138"/>
      <c r="AL542" s="138"/>
      <c r="AM542" s="138"/>
      <c r="AN542" s="138"/>
      <c r="AO542" s="138"/>
      <c r="AP542" s="138"/>
      <c r="AQ542" s="138"/>
      <c r="AR542" s="138"/>
      <c r="AS542" s="138"/>
    </row>
    <row r="543" spans="1:45" ht="15.75" hidden="1" customHeight="1">
      <c r="A543" s="177">
        <v>3</v>
      </c>
      <c r="B543" s="177" t="s">
        <v>91</v>
      </c>
      <c r="C543" s="178" t="s">
        <v>1219</v>
      </c>
      <c r="D543" s="178" t="s">
        <v>1220</v>
      </c>
      <c r="E543" s="178">
        <v>4</v>
      </c>
      <c r="F543" s="179">
        <v>40588</v>
      </c>
      <c r="G543" s="180"/>
      <c r="H543" s="180" t="s">
        <v>1221</v>
      </c>
      <c r="I543" s="181">
        <v>44287</v>
      </c>
      <c r="J543" s="180" t="s">
        <v>121</v>
      </c>
      <c r="K543" s="180" t="s">
        <v>1015</v>
      </c>
      <c r="L543" s="180" t="s">
        <v>1217</v>
      </c>
      <c r="M543" s="178" t="s">
        <v>36</v>
      </c>
      <c r="N543" s="179">
        <v>44440</v>
      </c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  <c r="AB543" s="138"/>
      <c r="AC543" s="138"/>
      <c r="AD543" s="138"/>
      <c r="AE543" s="138"/>
      <c r="AF543" s="138"/>
      <c r="AG543" s="138"/>
      <c r="AH543" s="138"/>
      <c r="AI543" s="138"/>
      <c r="AJ543" s="138"/>
      <c r="AK543" s="138"/>
      <c r="AL543" s="138"/>
      <c r="AM543" s="138"/>
      <c r="AN543" s="138"/>
      <c r="AO543" s="138"/>
      <c r="AP543" s="138"/>
      <c r="AQ543" s="138"/>
      <c r="AR543" s="138"/>
      <c r="AS543" s="138"/>
    </row>
    <row r="544" spans="1:45" ht="15.75" hidden="1" customHeight="1">
      <c r="A544" s="177">
        <v>4</v>
      </c>
      <c r="B544" s="177" t="s">
        <v>91</v>
      </c>
      <c r="C544" s="178" t="s">
        <v>463</v>
      </c>
      <c r="D544" s="178" t="s">
        <v>479</v>
      </c>
      <c r="E544" s="178">
        <v>5</v>
      </c>
      <c r="F544" s="179">
        <v>40579</v>
      </c>
      <c r="G544" s="180" t="s">
        <v>1222</v>
      </c>
      <c r="H544" s="180" t="s">
        <v>878</v>
      </c>
      <c r="I544" s="181">
        <v>44356</v>
      </c>
      <c r="J544" s="180" t="s">
        <v>244</v>
      </c>
      <c r="K544" s="180" t="s">
        <v>612</v>
      </c>
      <c r="L544" s="180" t="s">
        <v>1223</v>
      </c>
      <c r="M544" s="178" t="s">
        <v>36</v>
      </c>
      <c r="N544" s="179">
        <v>44440</v>
      </c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  <c r="AB544" s="138"/>
      <c r="AC544" s="138"/>
      <c r="AD544" s="138"/>
      <c r="AE544" s="138"/>
      <c r="AF544" s="138"/>
      <c r="AG544" s="138"/>
      <c r="AH544" s="138"/>
      <c r="AI544" s="138"/>
      <c r="AJ544" s="138"/>
      <c r="AK544" s="138"/>
      <c r="AL544" s="138"/>
      <c r="AM544" s="138"/>
      <c r="AN544" s="138"/>
      <c r="AO544" s="138"/>
      <c r="AP544" s="138"/>
      <c r="AQ544" s="138"/>
      <c r="AR544" s="138"/>
      <c r="AS544" s="138"/>
    </row>
    <row r="545" spans="1:45" ht="15.75" hidden="1" customHeight="1">
      <c r="A545" s="177">
        <v>1</v>
      </c>
      <c r="B545" s="177" t="s">
        <v>50</v>
      </c>
      <c r="C545" s="178" t="s">
        <v>986</v>
      </c>
      <c r="D545" s="178" t="s">
        <v>989</v>
      </c>
      <c r="E545" s="178">
        <v>3</v>
      </c>
      <c r="F545" s="179">
        <v>41059</v>
      </c>
      <c r="G545" s="180" t="s">
        <v>1106</v>
      </c>
      <c r="H545" s="180" t="s">
        <v>1107</v>
      </c>
      <c r="I545" s="181">
        <v>44440</v>
      </c>
      <c r="J545" s="180" t="s">
        <v>255</v>
      </c>
      <c r="K545" s="180" t="s">
        <v>612</v>
      </c>
      <c r="L545" s="180" t="s">
        <v>1224</v>
      </c>
      <c r="M545" s="178" t="s">
        <v>36</v>
      </c>
      <c r="N545" s="179">
        <v>44470</v>
      </c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  <c r="AB545" s="138"/>
      <c r="AC545" s="138"/>
      <c r="AD545" s="138"/>
      <c r="AE545" s="138"/>
      <c r="AF545" s="138"/>
      <c r="AG545" s="138"/>
      <c r="AH545" s="138"/>
      <c r="AI545" s="138"/>
      <c r="AJ545" s="138"/>
      <c r="AK545" s="138"/>
      <c r="AL545" s="138"/>
      <c r="AM545" s="138"/>
      <c r="AN545" s="138"/>
      <c r="AO545" s="138"/>
      <c r="AP545" s="138"/>
      <c r="AQ545" s="138"/>
      <c r="AR545" s="138"/>
      <c r="AS545" s="138"/>
    </row>
    <row r="546" spans="1:45" ht="15.75" hidden="1" customHeight="1">
      <c r="A546" s="177">
        <v>2</v>
      </c>
      <c r="B546" s="177" t="s">
        <v>50</v>
      </c>
      <c r="C546" s="178" t="s">
        <v>375</v>
      </c>
      <c r="D546" s="178" t="s">
        <v>632</v>
      </c>
      <c r="E546" s="178">
        <v>3</v>
      </c>
      <c r="F546" s="179">
        <v>40799</v>
      </c>
      <c r="G546" s="180"/>
      <c r="H546" s="180" t="s">
        <v>1225</v>
      </c>
      <c r="I546" s="181">
        <v>44105</v>
      </c>
      <c r="J546" s="180" t="s">
        <v>204</v>
      </c>
      <c r="K546" s="180" t="s">
        <v>276</v>
      </c>
      <c r="L546" s="180" t="s">
        <v>1226</v>
      </c>
      <c r="M546" s="178" t="s">
        <v>36</v>
      </c>
      <c r="N546" s="179">
        <v>44470</v>
      </c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  <c r="AB546" s="138"/>
      <c r="AC546" s="138"/>
      <c r="AD546" s="138"/>
      <c r="AE546" s="138"/>
      <c r="AF546" s="138"/>
      <c r="AG546" s="138"/>
      <c r="AH546" s="138"/>
      <c r="AI546" s="138"/>
      <c r="AJ546" s="138"/>
      <c r="AK546" s="138"/>
      <c r="AL546" s="138"/>
      <c r="AM546" s="138"/>
      <c r="AN546" s="138"/>
      <c r="AO546" s="138"/>
      <c r="AP546" s="138"/>
      <c r="AQ546" s="138"/>
      <c r="AR546" s="138"/>
      <c r="AS546" s="138"/>
    </row>
    <row r="547" spans="1:45" ht="15.75" hidden="1" customHeight="1">
      <c r="A547" s="177">
        <v>3</v>
      </c>
      <c r="B547" s="177" t="s">
        <v>91</v>
      </c>
      <c r="C547" s="178" t="s">
        <v>375</v>
      </c>
      <c r="D547" s="178" t="s">
        <v>632</v>
      </c>
      <c r="E547" s="178">
        <v>3</v>
      </c>
      <c r="F547" s="179">
        <v>40799</v>
      </c>
      <c r="G547" s="180"/>
      <c r="H547" s="180" t="s">
        <v>1225</v>
      </c>
      <c r="I547" s="181">
        <v>44105</v>
      </c>
      <c r="J547" s="180" t="s">
        <v>188</v>
      </c>
      <c r="K547" s="180" t="s">
        <v>612</v>
      </c>
      <c r="L547" s="180" t="s">
        <v>1226</v>
      </c>
      <c r="M547" s="178" t="s">
        <v>36</v>
      </c>
      <c r="N547" s="179">
        <v>44470</v>
      </c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  <c r="AB547" s="138"/>
      <c r="AC547" s="138"/>
      <c r="AD547" s="138"/>
      <c r="AE547" s="138"/>
      <c r="AF547" s="138"/>
      <c r="AG547" s="138"/>
      <c r="AH547" s="138"/>
      <c r="AI547" s="138"/>
      <c r="AJ547" s="138"/>
      <c r="AK547" s="138"/>
      <c r="AL547" s="138"/>
      <c r="AM547" s="138"/>
      <c r="AN547" s="138"/>
      <c r="AO547" s="138"/>
      <c r="AP547" s="138"/>
      <c r="AQ547" s="138"/>
      <c r="AR547" s="138"/>
      <c r="AS547" s="138"/>
    </row>
    <row r="548" spans="1:45" ht="15.75" hidden="1" customHeight="1">
      <c r="A548" s="177">
        <v>4</v>
      </c>
      <c r="B548" s="177" t="s">
        <v>91</v>
      </c>
      <c r="C548" s="178" t="s">
        <v>1227</v>
      </c>
      <c r="D548" s="178" t="s">
        <v>1228</v>
      </c>
      <c r="E548" s="178">
        <v>8</v>
      </c>
      <c r="F548" s="179">
        <v>39608</v>
      </c>
      <c r="G548" s="180" t="s">
        <v>1229</v>
      </c>
      <c r="H548" s="180" t="s">
        <v>1230</v>
      </c>
      <c r="I548" s="181">
        <v>44440</v>
      </c>
      <c r="J548" s="180" t="s">
        <v>121</v>
      </c>
      <c r="K548" s="180" t="s">
        <v>1015</v>
      </c>
      <c r="L548" s="180"/>
      <c r="M548" s="178" t="s">
        <v>36</v>
      </c>
      <c r="N548" s="179">
        <v>44470</v>
      </c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  <c r="AB548" s="138"/>
      <c r="AC548" s="138"/>
      <c r="AD548" s="138"/>
      <c r="AE548" s="138"/>
      <c r="AF548" s="138"/>
      <c r="AG548" s="138"/>
      <c r="AH548" s="138"/>
      <c r="AI548" s="138"/>
      <c r="AJ548" s="138"/>
      <c r="AK548" s="138"/>
      <c r="AL548" s="138"/>
      <c r="AM548" s="138"/>
      <c r="AN548" s="138"/>
      <c r="AO548" s="138"/>
      <c r="AP548" s="138"/>
      <c r="AQ548" s="138"/>
      <c r="AR548" s="138"/>
      <c r="AS548" s="138"/>
    </row>
    <row r="549" spans="1:45" ht="15.75" hidden="1" customHeight="1">
      <c r="A549" s="177">
        <v>5</v>
      </c>
      <c r="B549" s="177" t="s">
        <v>50</v>
      </c>
      <c r="C549" s="178" t="s">
        <v>463</v>
      </c>
      <c r="D549" s="178" t="s">
        <v>866</v>
      </c>
      <c r="E549" s="178">
        <v>3</v>
      </c>
      <c r="F549" s="179">
        <v>41283</v>
      </c>
      <c r="G549" s="180" t="s">
        <v>1231</v>
      </c>
      <c r="H549" s="180" t="s">
        <v>1232</v>
      </c>
      <c r="I549" s="181">
        <v>44440</v>
      </c>
      <c r="J549" s="180" t="s">
        <v>124</v>
      </c>
      <c r="K549" s="180" t="s">
        <v>612</v>
      </c>
      <c r="L549" s="180" t="s">
        <v>1233</v>
      </c>
      <c r="M549" s="178" t="s">
        <v>36</v>
      </c>
      <c r="N549" s="179">
        <v>44470</v>
      </c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  <c r="AB549" s="138"/>
      <c r="AC549" s="138"/>
      <c r="AD549" s="138"/>
      <c r="AE549" s="138"/>
      <c r="AF549" s="138"/>
      <c r="AG549" s="138"/>
      <c r="AH549" s="138"/>
      <c r="AI549" s="138"/>
      <c r="AJ549" s="138"/>
      <c r="AK549" s="138"/>
      <c r="AL549" s="138"/>
      <c r="AM549" s="138"/>
      <c r="AN549" s="138"/>
      <c r="AO549" s="138"/>
      <c r="AP549" s="138"/>
      <c r="AQ549" s="138"/>
      <c r="AR549" s="138"/>
      <c r="AS549" s="138"/>
    </row>
    <row r="550" spans="1:45" ht="15.75" hidden="1" customHeight="1">
      <c r="A550" s="177">
        <v>6</v>
      </c>
      <c r="B550" s="177" t="s">
        <v>91</v>
      </c>
      <c r="C550" s="178" t="s">
        <v>463</v>
      </c>
      <c r="D550" s="178" t="s">
        <v>866</v>
      </c>
      <c r="E550" s="178">
        <v>3</v>
      </c>
      <c r="F550" s="179">
        <v>41283</v>
      </c>
      <c r="G550" s="180" t="s">
        <v>1231</v>
      </c>
      <c r="H550" s="180" t="s">
        <v>1232</v>
      </c>
      <c r="I550" s="181">
        <v>44440</v>
      </c>
      <c r="J550" s="180" t="s">
        <v>121</v>
      </c>
      <c r="K550" s="180" t="s">
        <v>612</v>
      </c>
      <c r="L550" s="180" t="s">
        <v>1233</v>
      </c>
      <c r="M550" s="178" t="s">
        <v>36</v>
      </c>
      <c r="N550" s="179">
        <v>44470</v>
      </c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  <c r="AB550" s="138"/>
      <c r="AC550" s="138"/>
      <c r="AD550" s="138"/>
      <c r="AE550" s="138"/>
      <c r="AF550" s="138"/>
      <c r="AG550" s="138"/>
      <c r="AH550" s="138"/>
      <c r="AI550" s="138"/>
      <c r="AJ550" s="138"/>
      <c r="AK550" s="138"/>
      <c r="AL550" s="138"/>
      <c r="AM550" s="138"/>
      <c r="AN550" s="138"/>
      <c r="AO550" s="138"/>
      <c r="AP550" s="138"/>
      <c r="AQ550" s="138"/>
      <c r="AR550" s="138"/>
      <c r="AS550" s="138"/>
    </row>
    <row r="551" spans="1:45" ht="15.75" hidden="1" customHeight="1">
      <c r="A551" s="177">
        <v>7</v>
      </c>
      <c r="B551" s="177" t="s">
        <v>50</v>
      </c>
      <c r="C551" s="178" t="s">
        <v>463</v>
      </c>
      <c r="D551" s="178" t="s">
        <v>479</v>
      </c>
      <c r="E551" s="178">
        <v>5</v>
      </c>
      <c r="F551" s="179">
        <v>40579</v>
      </c>
      <c r="G551" s="180" t="s">
        <v>1222</v>
      </c>
      <c r="H551" s="180" t="s">
        <v>878</v>
      </c>
      <c r="I551" s="181">
        <v>44356</v>
      </c>
      <c r="J551" s="180" t="s">
        <v>249</v>
      </c>
      <c r="K551" s="180" t="s">
        <v>612</v>
      </c>
      <c r="L551" s="180" t="s">
        <v>66</v>
      </c>
      <c r="M551" s="178" t="s">
        <v>36</v>
      </c>
      <c r="N551" s="179">
        <v>44470</v>
      </c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  <c r="AB551" s="138"/>
      <c r="AC551" s="138"/>
      <c r="AD551" s="138"/>
      <c r="AE551" s="138"/>
      <c r="AF551" s="138"/>
      <c r="AG551" s="138"/>
      <c r="AH551" s="138"/>
      <c r="AI551" s="138"/>
      <c r="AJ551" s="138"/>
      <c r="AK551" s="138"/>
      <c r="AL551" s="138"/>
      <c r="AM551" s="138"/>
      <c r="AN551" s="138"/>
      <c r="AO551" s="138"/>
      <c r="AP551" s="138"/>
      <c r="AQ551" s="138"/>
      <c r="AR551" s="138"/>
      <c r="AS551" s="138"/>
    </row>
    <row r="552" spans="1:45" ht="15.75" hidden="1" customHeight="1">
      <c r="A552" s="177">
        <v>8</v>
      </c>
      <c r="B552" s="177" t="s">
        <v>50</v>
      </c>
      <c r="C552" s="178" t="s">
        <v>607</v>
      </c>
      <c r="D552" s="178" t="s">
        <v>1234</v>
      </c>
      <c r="E552" s="178">
        <v>3</v>
      </c>
      <c r="F552" s="179">
        <v>40167</v>
      </c>
      <c r="G552" s="180" t="s">
        <v>1235</v>
      </c>
      <c r="H552" s="180" t="s">
        <v>1236</v>
      </c>
      <c r="I552" s="181">
        <v>43556</v>
      </c>
      <c r="J552" s="180" t="s">
        <v>1237</v>
      </c>
      <c r="K552" s="180" t="s">
        <v>1152</v>
      </c>
      <c r="L552" s="180" t="s">
        <v>1238</v>
      </c>
      <c r="M552" s="178" t="s">
        <v>36</v>
      </c>
      <c r="N552" s="179">
        <v>44470</v>
      </c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  <c r="AB552" s="138"/>
      <c r="AC552" s="138"/>
      <c r="AD552" s="138"/>
      <c r="AE552" s="138"/>
      <c r="AF552" s="138"/>
      <c r="AG552" s="138"/>
      <c r="AH552" s="138"/>
      <c r="AI552" s="138"/>
      <c r="AJ552" s="138"/>
      <c r="AK552" s="138"/>
      <c r="AL552" s="138"/>
      <c r="AM552" s="138"/>
      <c r="AN552" s="138"/>
      <c r="AO552" s="138"/>
      <c r="AP552" s="138"/>
      <c r="AQ552" s="138"/>
      <c r="AR552" s="138"/>
      <c r="AS552" s="138"/>
    </row>
    <row r="553" spans="1:45" ht="15.75" hidden="1" customHeight="1">
      <c r="A553" s="177">
        <v>9</v>
      </c>
      <c r="B553" s="177" t="s">
        <v>91</v>
      </c>
      <c r="C553" s="178" t="s">
        <v>607</v>
      </c>
      <c r="D553" s="178" t="s">
        <v>1234</v>
      </c>
      <c r="E553" s="178">
        <v>3</v>
      </c>
      <c r="F553" s="179">
        <v>40167</v>
      </c>
      <c r="G553" s="180" t="s">
        <v>1235</v>
      </c>
      <c r="H553" s="180" t="s">
        <v>1236</v>
      </c>
      <c r="I553" s="181">
        <v>43556</v>
      </c>
      <c r="J553" s="180" t="s">
        <v>238</v>
      </c>
      <c r="K553" s="180" t="s">
        <v>1152</v>
      </c>
      <c r="L553" s="180" t="s">
        <v>1238</v>
      </c>
      <c r="M553" s="178" t="s">
        <v>36</v>
      </c>
      <c r="N553" s="179">
        <v>44470</v>
      </c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  <c r="AB553" s="138"/>
      <c r="AC553" s="138"/>
      <c r="AD553" s="138"/>
      <c r="AE553" s="138"/>
      <c r="AF553" s="138"/>
      <c r="AG553" s="138"/>
      <c r="AH553" s="138"/>
      <c r="AI553" s="138"/>
      <c r="AJ553" s="138"/>
      <c r="AK553" s="138"/>
      <c r="AL553" s="138"/>
      <c r="AM553" s="138"/>
      <c r="AN553" s="138"/>
      <c r="AO553" s="138"/>
      <c r="AP553" s="138"/>
      <c r="AQ553" s="138"/>
      <c r="AR553" s="138"/>
      <c r="AS553" s="138"/>
    </row>
    <row r="554" spans="1:45" ht="15.75" hidden="1" customHeight="1">
      <c r="A554" s="177">
        <v>10</v>
      </c>
      <c r="B554" s="177" t="s">
        <v>50</v>
      </c>
      <c r="C554" s="178" t="s">
        <v>607</v>
      </c>
      <c r="D554" s="178" t="s">
        <v>1239</v>
      </c>
      <c r="E554" s="178">
        <v>1</v>
      </c>
      <c r="F554" s="179">
        <v>41138</v>
      </c>
      <c r="G554" s="180" t="s">
        <v>1235</v>
      </c>
      <c r="H554" s="180" t="s">
        <v>1236</v>
      </c>
      <c r="I554" s="181">
        <v>43556</v>
      </c>
      <c r="J554" s="180" t="s">
        <v>165</v>
      </c>
      <c r="K554" s="180" t="s">
        <v>612</v>
      </c>
      <c r="L554" s="180" t="s">
        <v>1238</v>
      </c>
      <c r="M554" s="178" t="s">
        <v>36</v>
      </c>
      <c r="N554" s="179">
        <v>44470</v>
      </c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  <c r="AB554" s="138"/>
      <c r="AC554" s="138"/>
      <c r="AD554" s="138"/>
      <c r="AE554" s="138"/>
      <c r="AF554" s="138"/>
      <c r="AG554" s="138"/>
      <c r="AH554" s="138"/>
      <c r="AI554" s="138"/>
      <c r="AJ554" s="138"/>
      <c r="AK554" s="138"/>
      <c r="AL554" s="138"/>
      <c r="AM554" s="138"/>
      <c r="AN554" s="138"/>
      <c r="AO554" s="138"/>
      <c r="AP554" s="138"/>
      <c r="AQ554" s="138"/>
      <c r="AR554" s="138"/>
      <c r="AS554" s="138"/>
    </row>
    <row r="555" spans="1:45" ht="15.75" hidden="1" customHeight="1">
      <c r="A555" s="177">
        <v>11</v>
      </c>
      <c r="B555" s="177" t="s">
        <v>91</v>
      </c>
      <c r="C555" s="178" t="s">
        <v>607</v>
      </c>
      <c r="D555" s="178" t="s">
        <v>1239</v>
      </c>
      <c r="E555" s="178">
        <v>1</v>
      </c>
      <c r="F555" s="179">
        <v>41138</v>
      </c>
      <c r="G555" s="180" t="s">
        <v>1235</v>
      </c>
      <c r="H555" s="180" t="s">
        <v>1236</v>
      </c>
      <c r="I555" s="181">
        <v>43556</v>
      </c>
      <c r="J555" s="180" t="s">
        <v>221</v>
      </c>
      <c r="K555" s="180" t="s">
        <v>1015</v>
      </c>
      <c r="L555" s="180" t="s">
        <v>1238</v>
      </c>
      <c r="M555" s="178" t="s">
        <v>36</v>
      </c>
      <c r="N555" s="179">
        <v>44470</v>
      </c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  <c r="AB555" s="138"/>
      <c r="AC555" s="138"/>
      <c r="AD555" s="138"/>
      <c r="AE555" s="138"/>
      <c r="AF555" s="138"/>
      <c r="AG555" s="138"/>
      <c r="AH555" s="138"/>
      <c r="AI555" s="138"/>
      <c r="AJ555" s="138"/>
      <c r="AK555" s="138"/>
      <c r="AL555" s="138"/>
      <c r="AM555" s="138"/>
      <c r="AN555" s="138"/>
      <c r="AO555" s="138"/>
      <c r="AP555" s="138"/>
      <c r="AQ555" s="138"/>
      <c r="AR555" s="138"/>
      <c r="AS555" s="138"/>
    </row>
    <row r="556" spans="1:45" ht="15.75" hidden="1" customHeight="1">
      <c r="A556" s="177">
        <v>1</v>
      </c>
      <c r="B556" s="177" t="s">
        <v>50</v>
      </c>
      <c r="C556" s="178" t="s">
        <v>899</v>
      </c>
      <c r="D556" s="178" t="s">
        <v>1240</v>
      </c>
      <c r="E556" s="178">
        <v>6</v>
      </c>
      <c r="F556" s="179">
        <v>40217</v>
      </c>
      <c r="G556" s="180" t="s">
        <v>1241</v>
      </c>
      <c r="H556" s="180" t="s">
        <v>1242</v>
      </c>
      <c r="I556" s="181">
        <v>44448</v>
      </c>
      <c r="J556" s="180" t="s">
        <v>271</v>
      </c>
      <c r="K556" s="180" t="s">
        <v>612</v>
      </c>
      <c r="L556" s="180" t="s">
        <v>1243</v>
      </c>
      <c r="M556" s="178" t="s">
        <v>36</v>
      </c>
      <c r="N556" s="179">
        <v>44531</v>
      </c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  <c r="AB556" s="138"/>
      <c r="AC556" s="138"/>
      <c r="AD556" s="138"/>
      <c r="AE556" s="138"/>
      <c r="AF556" s="138"/>
      <c r="AG556" s="138"/>
      <c r="AH556" s="138"/>
      <c r="AI556" s="138"/>
      <c r="AJ556" s="138"/>
      <c r="AK556" s="138"/>
      <c r="AL556" s="138"/>
      <c r="AM556" s="138"/>
      <c r="AN556" s="138"/>
      <c r="AO556" s="138"/>
      <c r="AP556" s="138"/>
      <c r="AQ556" s="138"/>
      <c r="AR556" s="138"/>
      <c r="AS556" s="138"/>
    </row>
    <row r="557" spans="1:45" ht="15.75" hidden="1" customHeight="1">
      <c r="A557" s="177">
        <v>2</v>
      </c>
      <c r="B557" s="177" t="s">
        <v>91</v>
      </c>
      <c r="C557" s="178" t="s">
        <v>899</v>
      </c>
      <c r="D557" s="178" t="s">
        <v>1240</v>
      </c>
      <c r="E557" s="178">
        <v>6</v>
      </c>
      <c r="F557" s="179">
        <v>40217</v>
      </c>
      <c r="G557" s="180" t="s">
        <v>1241</v>
      </c>
      <c r="H557" s="180" t="s">
        <v>1242</v>
      </c>
      <c r="I557" s="181">
        <v>44448</v>
      </c>
      <c r="J557" s="180" t="s">
        <v>167</v>
      </c>
      <c r="K557" s="180" t="s">
        <v>272</v>
      </c>
      <c r="L557" s="180" t="s">
        <v>1243</v>
      </c>
      <c r="M557" s="178" t="s">
        <v>36</v>
      </c>
      <c r="N557" s="179">
        <v>44531</v>
      </c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  <c r="AB557" s="138"/>
      <c r="AC557" s="138"/>
      <c r="AD557" s="138"/>
      <c r="AE557" s="138"/>
      <c r="AF557" s="138"/>
      <c r="AG557" s="138"/>
      <c r="AH557" s="138"/>
      <c r="AI557" s="138"/>
      <c r="AJ557" s="138"/>
      <c r="AK557" s="138"/>
      <c r="AL557" s="138"/>
      <c r="AM557" s="138"/>
      <c r="AN557" s="138"/>
      <c r="AO557" s="138"/>
      <c r="AP557" s="138"/>
      <c r="AQ557" s="138"/>
      <c r="AR557" s="138"/>
      <c r="AS557" s="138"/>
    </row>
    <row r="558" spans="1:45" ht="15.75" hidden="1" customHeight="1">
      <c r="A558" s="177">
        <v>3</v>
      </c>
      <c r="B558" s="177" t="s">
        <v>50</v>
      </c>
      <c r="C558" s="178" t="s">
        <v>899</v>
      </c>
      <c r="D558" s="178" t="s">
        <v>1244</v>
      </c>
      <c r="E558" s="178">
        <v>6</v>
      </c>
      <c r="F558" s="179">
        <v>40217</v>
      </c>
      <c r="G558" s="180" t="s">
        <v>1241</v>
      </c>
      <c r="H558" s="180" t="s">
        <v>1242</v>
      </c>
      <c r="I558" s="181">
        <v>44448</v>
      </c>
      <c r="J558" s="180" t="s">
        <v>358</v>
      </c>
      <c r="K558" s="180" t="s">
        <v>612</v>
      </c>
      <c r="L558" s="180"/>
      <c r="M558" s="178" t="s">
        <v>36</v>
      </c>
      <c r="N558" s="179">
        <v>44531</v>
      </c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  <c r="AB558" s="138"/>
      <c r="AC558" s="138"/>
      <c r="AD558" s="138"/>
      <c r="AE558" s="138"/>
      <c r="AF558" s="138"/>
      <c r="AG558" s="138"/>
      <c r="AH558" s="138"/>
      <c r="AI558" s="138"/>
      <c r="AJ558" s="138"/>
      <c r="AK558" s="138"/>
      <c r="AL558" s="138"/>
      <c r="AM558" s="138"/>
      <c r="AN558" s="138"/>
      <c r="AO558" s="138"/>
      <c r="AP558" s="138"/>
      <c r="AQ558" s="138"/>
      <c r="AR558" s="138"/>
      <c r="AS558" s="138"/>
    </row>
    <row r="559" spans="1:45" ht="15.75" hidden="1" customHeight="1">
      <c r="A559" s="177">
        <v>4</v>
      </c>
      <c r="B559" s="177" t="s">
        <v>91</v>
      </c>
      <c r="C559" s="178" t="s">
        <v>899</v>
      </c>
      <c r="D559" s="178" t="s">
        <v>1244</v>
      </c>
      <c r="E559" s="178">
        <v>6</v>
      </c>
      <c r="F559" s="179">
        <v>40217</v>
      </c>
      <c r="G559" s="180" t="s">
        <v>1241</v>
      </c>
      <c r="H559" s="180" t="s">
        <v>1242</v>
      </c>
      <c r="I559" s="181">
        <v>44448</v>
      </c>
      <c r="J559" s="180" t="s">
        <v>150</v>
      </c>
      <c r="K559" s="180" t="s">
        <v>272</v>
      </c>
      <c r="L559" s="180"/>
      <c r="M559" s="178" t="s">
        <v>36</v>
      </c>
      <c r="N559" s="179">
        <v>44531</v>
      </c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  <c r="AB559" s="138"/>
      <c r="AC559" s="138"/>
      <c r="AD559" s="138"/>
      <c r="AE559" s="138"/>
      <c r="AF559" s="138"/>
      <c r="AG559" s="138"/>
      <c r="AH559" s="138"/>
      <c r="AI559" s="138"/>
      <c r="AJ559" s="138"/>
      <c r="AK559" s="138"/>
      <c r="AL559" s="138"/>
      <c r="AM559" s="138"/>
      <c r="AN559" s="138"/>
      <c r="AO559" s="138"/>
      <c r="AP559" s="138"/>
      <c r="AQ559" s="138"/>
      <c r="AR559" s="138"/>
      <c r="AS559" s="138"/>
    </row>
    <row r="560" spans="1:45" ht="15.75" hidden="1" customHeight="1">
      <c r="A560" s="177">
        <v>5</v>
      </c>
      <c r="B560" s="177" t="s">
        <v>50</v>
      </c>
      <c r="C560" s="178" t="s">
        <v>1110</v>
      </c>
      <c r="D560" s="178" t="s">
        <v>1245</v>
      </c>
      <c r="E560" s="178">
        <v>8</v>
      </c>
      <c r="F560" s="179">
        <v>39332</v>
      </c>
      <c r="G560" s="180" t="s">
        <v>1112</v>
      </c>
      <c r="H560" s="180" t="s">
        <v>1113</v>
      </c>
      <c r="I560" s="181">
        <v>44074</v>
      </c>
      <c r="J560" s="180" t="s">
        <v>150</v>
      </c>
      <c r="K560" s="180" t="s">
        <v>612</v>
      </c>
      <c r="L560" s="180" t="s">
        <v>1243</v>
      </c>
      <c r="M560" s="178" t="s">
        <v>36</v>
      </c>
      <c r="N560" s="179">
        <v>44531</v>
      </c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  <c r="AB560" s="138"/>
      <c r="AC560" s="138"/>
      <c r="AD560" s="138"/>
      <c r="AE560" s="138"/>
      <c r="AF560" s="138"/>
      <c r="AG560" s="138"/>
      <c r="AH560" s="138"/>
      <c r="AI560" s="138"/>
      <c r="AJ560" s="138"/>
      <c r="AK560" s="138"/>
      <c r="AL560" s="138"/>
      <c r="AM560" s="138"/>
      <c r="AN560" s="138"/>
      <c r="AO560" s="138"/>
      <c r="AP560" s="138"/>
      <c r="AQ560" s="138"/>
      <c r="AR560" s="138"/>
      <c r="AS560" s="138"/>
    </row>
    <row r="561" spans="1:45" ht="15.75" hidden="1" customHeight="1">
      <c r="A561" s="177">
        <v>6</v>
      </c>
      <c r="B561" s="177" t="s">
        <v>50</v>
      </c>
      <c r="C561" s="178" t="s">
        <v>262</v>
      </c>
      <c r="D561" s="178" t="s">
        <v>268</v>
      </c>
      <c r="E561" s="178">
        <v>5</v>
      </c>
      <c r="F561" s="179" t="s">
        <v>1137</v>
      </c>
      <c r="G561" s="180" t="s">
        <v>269</v>
      </c>
      <c r="H561" s="180" t="s">
        <v>1107</v>
      </c>
      <c r="I561" s="181">
        <v>44348</v>
      </c>
      <c r="J561" s="180" t="s">
        <v>148</v>
      </c>
      <c r="K561" s="180" t="s">
        <v>612</v>
      </c>
      <c r="L561" s="180" t="s">
        <v>1139</v>
      </c>
      <c r="M561" s="178" t="s">
        <v>36</v>
      </c>
      <c r="N561" s="179">
        <v>44531</v>
      </c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  <c r="AB561" s="138"/>
      <c r="AC561" s="138"/>
      <c r="AD561" s="138"/>
      <c r="AE561" s="138"/>
      <c r="AF561" s="138"/>
      <c r="AG561" s="138"/>
      <c r="AH561" s="138"/>
      <c r="AI561" s="138"/>
      <c r="AJ561" s="138"/>
      <c r="AK561" s="138"/>
      <c r="AL561" s="138"/>
      <c r="AM561" s="138"/>
      <c r="AN561" s="138"/>
      <c r="AO561" s="138"/>
      <c r="AP561" s="138"/>
      <c r="AQ561" s="138"/>
      <c r="AR561" s="138"/>
      <c r="AS561" s="138"/>
    </row>
    <row r="562" spans="1:45" ht="15.75" hidden="1" customHeight="1">
      <c r="A562" s="177">
        <v>7</v>
      </c>
      <c r="B562" s="177" t="s">
        <v>91</v>
      </c>
      <c r="C562" s="178" t="s">
        <v>262</v>
      </c>
      <c r="D562" s="178" t="s">
        <v>268</v>
      </c>
      <c r="E562" s="178">
        <v>5</v>
      </c>
      <c r="F562" s="179" t="s">
        <v>1137</v>
      </c>
      <c r="G562" s="180" t="s">
        <v>269</v>
      </c>
      <c r="H562" s="180" t="s">
        <v>1107</v>
      </c>
      <c r="I562" s="181">
        <v>44348</v>
      </c>
      <c r="J562" s="180" t="s">
        <v>244</v>
      </c>
      <c r="K562" s="180" t="s">
        <v>612</v>
      </c>
      <c r="L562" s="180" t="s">
        <v>1139</v>
      </c>
      <c r="M562" s="178" t="s">
        <v>36</v>
      </c>
      <c r="N562" s="179">
        <v>44531</v>
      </c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  <c r="AB562" s="138"/>
      <c r="AC562" s="138"/>
      <c r="AD562" s="138"/>
      <c r="AE562" s="138"/>
      <c r="AF562" s="138"/>
      <c r="AG562" s="138"/>
      <c r="AH562" s="138"/>
      <c r="AI562" s="138"/>
      <c r="AJ562" s="138"/>
      <c r="AK562" s="138"/>
      <c r="AL562" s="138"/>
      <c r="AM562" s="138"/>
      <c r="AN562" s="138"/>
      <c r="AO562" s="138"/>
      <c r="AP562" s="138"/>
      <c r="AQ562" s="138"/>
      <c r="AR562" s="138"/>
      <c r="AS562" s="138"/>
    </row>
    <row r="563" spans="1:45" ht="15.75" hidden="1" customHeight="1">
      <c r="A563" s="177">
        <v>8</v>
      </c>
      <c r="B563" s="177" t="s">
        <v>50</v>
      </c>
      <c r="C563" s="178" t="s">
        <v>1087</v>
      </c>
      <c r="D563" s="178" t="s">
        <v>1088</v>
      </c>
      <c r="E563" s="178" t="s">
        <v>178</v>
      </c>
      <c r="F563" s="179">
        <v>41914</v>
      </c>
      <c r="G563" s="180" t="s">
        <v>1089</v>
      </c>
      <c r="H563" s="180" t="s">
        <v>1090</v>
      </c>
      <c r="I563" s="181">
        <v>44004</v>
      </c>
      <c r="J563" s="180" t="s">
        <v>140</v>
      </c>
      <c r="K563" s="180" t="s">
        <v>1152</v>
      </c>
      <c r="L563" s="180" t="s">
        <v>1246</v>
      </c>
      <c r="M563" s="178" t="s">
        <v>36</v>
      </c>
      <c r="N563" s="179">
        <v>44531</v>
      </c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  <c r="AB563" s="138"/>
      <c r="AC563" s="138"/>
      <c r="AD563" s="138"/>
      <c r="AE563" s="138"/>
      <c r="AF563" s="138"/>
      <c r="AG563" s="138"/>
      <c r="AH563" s="138"/>
      <c r="AI563" s="138"/>
      <c r="AJ563" s="138"/>
      <c r="AK563" s="138"/>
      <c r="AL563" s="138"/>
      <c r="AM563" s="138"/>
      <c r="AN563" s="138"/>
      <c r="AO563" s="138"/>
      <c r="AP563" s="138"/>
      <c r="AQ563" s="138"/>
      <c r="AR563" s="138"/>
      <c r="AS563" s="138"/>
    </row>
    <row r="564" spans="1:45" ht="15.75" hidden="1" customHeight="1">
      <c r="A564" s="177">
        <v>9</v>
      </c>
      <c r="B564" s="177" t="s">
        <v>91</v>
      </c>
      <c r="C564" s="178" t="s">
        <v>754</v>
      </c>
      <c r="D564" s="178" t="s">
        <v>755</v>
      </c>
      <c r="E564" s="178">
        <v>1</v>
      </c>
      <c r="F564" s="179">
        <v>41036</v>
      </c>
      <c r="G564" s="180" t="s">
        <v>756</v>
      </c>
      <c r="H564" s="180" t="s">
        <v>757</v>
      </c>
      <c r="I564" s="181">
        <v>44136</v>
      </c>
      <c r="J564" s="180" t="s">
        <v>148</v>
      </c>
      <c r="K564" s="180" t="s">
        <v>1212</v>
      </c>
      <c r="L564" s="180" t="s">
        <v>1247</v>
      </c>
      <c r="M564" s="178" t="s">
        <v>36</v>
      </c>
      <c r="N564" s="179">
        <v>44531</v>
      </c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  <c r="AB564" s="138"/>
      <c r="AC564" s="138"/>
      <c r="AD564" s="138"/>
      <c r="AE564" s="138"/>
      <c r="AF564" s="138"/>
      <c r="AG564" s="138"/>
      <c r="AH564" s="138"/>
      <c r="AI564" s="138"/>
      <c r="AJ564" s="138"/>
      <c r="AK564" s="138"/>
      <c r="AL564" s="138"/>
      <c r="AM564" s="138"/>
      <c r="AN564" s="138"/>
      <c r="AO564" s="138"/>
      <c r="AP564" s="138"/>
      <c r="AQ564" s="138"/>
      <c r="AR564" s="138"/>
      <c r="AS564" s="138"/>
    </row>
    <row r="565" spans="1:45" ht="15.75" hidden="1" customHeight="1">
      <c r="A565" s="177">
        <v>10</v>
      </c>
      <c r="B565" s="177" t="s">
        <v>91</v>
      </c>
      <c r="C565" s="178" t="s">
        <v>754</v>
      </c>
      <c r="D565" s="178" t="s">
        <v>755</v>
      </c>
      <c r="E565" s="178">
        <v>1</v>
      </c>
      <c r="F565" s="179">
        <v>41036</v>
      </c>
      <c r="G565" s="180" t="s">
        <v>756</v>
      </c>
      <c r="H565" s="180" t="s">
        <v>757</v>
      </c>
      <c r="I565" s="181">
        <v>44136</v>
      </c>
      <c r="J565" s="180" t="s">
        <v>150</v>
      </c>
      <c r="K565" s="180" t="s">
        <v>1152</v>
      </c>
      <c r="L565" s="180" t="s">
        <v>1247</v>
      </c>
      <c r="M565" s="178" t="s">
        <v>36</v>
      </c>
      <c r="N565" s="179">
        <v>44531</v>
      </c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  <c r="AG565" s="138"/>
      <c r="AH565" s="138"/>
      <c r="AI565" s="138"/>
      <c r="AJ565" s="138"/>
      <c r="AK565" s="138"/>
      <c r="AL565" s="138"/>
      <c r="AM565" s="138"/>
      <c r="AN565" s="138"/>
      <c r="AO565" s="138"/>
      <c r="AP565" s="138"/>
      <c r="AQ565" s="138"/>
      <c r="AR565" s="138"/>
      <c r="AS565" s="138"/>
    </row>
    <row r="566" spans="1:45" ht="15.75" hidden="1" customHeight="1">
      <c r="A566" s="177">
        <v>11</v>
      </c>
      <c r="B566" s="177" t="s">
        <v>50</v>
      </c>
      <c r="C566" s="178" t="s">
        <v>1248</v>
      </c>
      <c r="D566" s="178" t="s">
        <v>1249</v>
      </c>
      <c r="E566" s="178">
        <v>8</v>
      </c>
      <c r="F566" s="179">
        <v>39592</v>
      </c>
      <c r="G566" s="180" t="s">
        <v>1250</v>
      </c>
      <c r="H566" s="180" t="s">
        <v>1251</v>
      </c>
      <c r="I566" s="181">
        <v>44365</v>
      </c>
      <c r="J566" s="180" t="s">
        <v>134</v>
      </c>
      <c r="K566" s="180" t="s">
        <v>612</v>
      </c>
      <c r="L566" s="180"/>
      <c r="M566" s="178" t="s">
        <v>36</v>
      </c>
      <c r="N566" s="179">
        <v>44531</v>
      </c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  <c r="AB566" s="138"/>
      <c r="AC566" s="138"/>
      <c r="AD566" s="138"/>
      <c r="AE566" s="138"/>
      <c r="AF566" s="138"/>
      <c r="AG566" s="138"/>
      <c r="AH566" s="138"/>
      <c r="AI566" s="138"/>
      <c r="AJ566" s="138"/>
      <c r="AK566" s="138"/>
      <c r="AL566" s="138"/>
      <c r="AM566" s="138"/>
      <c r="AN566" s="138"/>
      <c r="AO566" s="138"/>
      <c r="AP566" s="138"/>
      <c r="AQ566" s="138"/>
      <c r="AR566" s="138"/>
      <c r="AS566" s="138"/>
    </row>
    <row r="567" spans="1:45" ht="15.75" hidden="1" customHeight="1">
      <c r="A567" s="177">
        <v>1</v>
      </c>
      <c r="B567" s="177" t="s">
        <v>50</v>
      </c>
      <c r="C567" s="178" t="s">
        <v>899</v>
      </c>
      <c r="D567" s="178" t="s">
        <v>1024</v>
      </c>
      <c r="E567" s="178" t="s">
        <v>145</v>
      </c>
      <c r="F567" s="179">
        <v>41393</v>
      </c>
      <c r="G567" s="180" t="s">
        <v>1025</v>
      </c>
      <c r="H567" s="180" t="s">
        <v>834</v>
      </c>
      <c r="I567" s="181">
        <v>44440</v>
      </c>
      <c r="J567" s="180" t="s">
        <v>1198</v>
      </c>
      <c r="K567" s="180" t="s">
        <v>821</v>
      </c>
      <c r="L567" s="180" t="s">
        <v>66</v>
      </c>
      <c r="M567" s="178" t="s">
        <v>36</v>
      </c>
      <c r="N567" s="179">
        <v>44561</v>
      </c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  <c r="AB567" s="138"/>
      <c r="AC567" s="138"/>
      <c r="AD567" s="138"/>
      <c r="AE567" s="138"/>
      <c r="AF567" s="138"/>
      <c r="AG567" s="138"/>
      <c r="AH567" s="138"/>
      <c r="AI567" s="138"/>
      <c r="AJ567" s="138"/>
      <c r="AK567" s="138"/>
      <c r="AL567" s="138"/>
      <c r="AM567" s="138"/>
      <c r="AN567" s="138"/>
      <c r="AO567" s="138"/>
      <c r="AP567" s="138"/>
      <c r="AQ567" s="138"/>
      <c r="AR567" s="138"/>
      <c r="AS567" s="138"/>
    </row>
    <row r="568" spans="1:45" ht="15.75" hidden="1" customHeight="1">
      <c r="A568" s="177">
        <v>2</v>
      </c>
      <c r="B568" s="177" t="s">
        <v>91</v>
      </c>
      <c r="C568" s="178" t="s">
        <v>913</v>
      </c>
      <c r="D568" s="178" t="s">
        <v>613</v>
      </c>
      <c r="E568" s="178">
        <v>9</v>
      </c>
      <c r="F568" s="179">
        <v>39356</v>
      </c>
      <c r="G568" s="180" t="s">
        <v>1252</v>
      </c>
      <c r="H568" s="180" t="s">
        <v>1253</v>
      </c>
      <c r="I568" s="181">
        <v>44363</v>
      </c>
      <c r="J568" s="180" t="s">
        <v>238</v>
      </c>
      <c r="K568" s="180" t="s">
        <v>276</v>
      </c>
      <c r="L568" s="180"/>
      <c r="M568" s="178" t="s">
        <v>36</v>
      </c>
      <c r="N568" s="179">
        <v>44561</v>
      </c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  <c r="AB568" s="138"/>
      <c r="AC568" s="138"/>
      <c r="AD568" s="138"/>
      <c r="AE568" s="138"/>
      <c r="AF568" s="138"/>
      <c r="AG568" s="138"/>
      <c r="AH568" s="138"/>
      <c r="AI568" s="138"/>
      <c r="AJ568" s="138"/>
      <c r="AK568" s="138"/>
      <c r="AL568" s="138"/>
      <c r="AM568" s="138"/>
      <c r="AN568" s="138"/>
      <c r="AO568" s="138"/>
      <c r="AP568" s="138"/>
      <c r="AQ568" s="138"/>
      <c r="AR568" s="138"/>
      <c r="AS568" s="138"/>
    </row>
    <row r="569" spans="1:45" ht="15.75" hidden="1" customHeight="1">
      <c r="A569" s="177">
        <v>3</v>
      </c>
      <c r="B569" s="177" t="s">
        <v>50</v>
      </c>
      <c r="C569" s="178" t="s">
        <v>781</v>
      </c>
      <c r="D569" s="178" t="s">
        <v>1254</v>
      </c>
      <c r="E569" s="178">
        <v>5</v>
      </c>
      <c r="F569" s="179">
        <v>40809</v>
      </c>
      <c r="G569" s="180" t="s">
        <v>1255</v>
      </c>
      <c r="H569" s="180" t="s">
        <v>1256</v>
      </c>
      <c r="I569" s="181" t="s">
        <v>1257</v>
      </c>
      <c r="J569" s="180" t="s">
        <v>140</v>
      </c>
      <c r="K569" s="180" t="s">
        <v>276</v>
      </c>
      <c r="L569" s="180" t="s">
        <v>1258</v>
      </c>
      <c r="M569" s="178" t="s">
        <v>36</v>
      </c>
      <c r="N569" s="179">
        <v>44561</v>
      </c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  <c r="AB569" s="138"/>
      <c r="AC569" s="138"/>
      <c r="AD569" s="138"/>
      <c r="AE569" s="138"/>
      <c r="AF569" s="138"/>
      <c r="AG569" s="138"/>
      <c r="AH569" s="138"/>
      <c r="AI569" s="138"/>
      <c r="AJ569" s="138"/>
      <c r="AK569" s="138"/>
      <c r="AL569" s="138"/>
      <c r="AM569" s="138"/>
      <c r="AN569" s="138"/>
      <c r="AO569" s="138"/>
      <c r="AP569" s="138"/>
      <c r="AQ569" s="138"/>
      <c r="AR569" s="138"/>
      <c r="AS569" s="138"/>
    </row>
    <row r="570" spans="1:45" ht="15.75" hidden="1" customHeight="1">
      <c r="A570" s="177">
        <v>4</v>
      </c>
      <c r="B570" s="177" t="s">
        <v>91</v>
      </c>
      <c r="C570" s="178" t="s">
        <v>781</v>
      </c>
      <c r="D570" s="178" t="s">
        <v>1254</v>
      </c>
      <c r="E570" s="178">
        <v>5</v>
      </c>
      <c r="F570" s="179">
        <v>40809</v>
      </c>
      <c r="G570" s="180" t="s">
        <v>1255</v>
      </c>
      <c r="H570" s="180" t="s">
        <v>1256</v>
      </c>
      <c r="I570" s="181" t="s">
        <v>1257</v>
      </c>
      <c r="J570" s="180" t="s">
        <v>141</v>
      </c>
      <c r="K570" s="180" t="s">
        <v>276</v>
      </c>
      <c r="L570" s="180" t="s">
        <v>1258</v>
      </c>
      <c r="M570" s="178" t="s">
        <v>36</v>
      </c>
      <c r="N570" s="179">
        <v>44561</v>
      </c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  <c r="AB570" s="138"/>
      <c r="AC570" s="138"/>
      <c r="AD570" s="138"/>
      <c r="AE570" s="138"/>
      <c r="AF570" s="138"/>
      <c r="AG570" s="138"/>
      <c r="AH570" s="138"/>
      <c r="AI570" s="138"/>
      <c r="AJ570" s="138"/>
      <c r="AK570" s="138"/>
      <c r="AL570" s="138"/>
      <c r="AM570" s="138"/>
      <c r="AN570" s="138"/>
      <c r="AO570" s="138"/>
      <c r="AP570" s="138"/>
      <c r="AQ570" s="138"/>
      <c r="AR570" s="138"/>
      <c r="AS570" s="138"/>
    </row>
    <row r="571" spans="1:45" ht="15.75" hidden="1" customHeight="1">
      <c r="A571" s="177">
        <v>5</v>
      </c>
      <c r="B571" s="177" t="s">
        <v>50</v>
      </c>
      <c r="C571" s="178" t="s">
        <v>525</v>
      </c>
      <c r="D571" s="178" t="s">
        <v>1259</v>
      </c>
      <c r="E571" s="178">
        <v>4</v>
      </c>
      <c r="F571" s="179">
        <v>40606</v>
      </c>
      <c r="G571" s="180" t="s">
        <v>1260</v>
      </c>
      <c r="H571" s="180" t="s">
        <v>1261</v>
      </c>
      <c r="I571" s="181">
        <v>43984</v>
      </c>
      <c r="J571" s="180" t="s">
        <v>165</v>
      </c>
      <c r="K571" s="180" t="s">
        <v>272</v>
      </c>
      <c r="L571" s="180"/>
      <c r="M571" s="178" t="s">
        <v>36</v>
      </c>
      <c r="N571" s="179">
        <v>44561</v>
      </c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  <c r="AB571" s="138"/>
      <c r="AC571" s="138"/>
      <c r="AD571" s="138"/>
      <c r="AE571" s="138"/>
      <c r="AF571" s="138"/>
      <c r="AG571" s="138"/>
      <c r="AH571" s="138"/>
      <c r="AI571" s="138"/>
      <c r="AJ571" s="138"/>
      <c r="AK571" s="138"/>
      <c r="AL571" s="138"/>
      <c r="AM571" s="138"/>
      <c r="AN571" s="138"/>
      <c r="AO571" s="138"/>
      <c r="AP571" s="138"/>
      <c r="AQ571" s="138"/>
      <c r="AR571" s="138"/>
      <c r="AS571" s="138"/>
    </row>
    <row r="572" spans="1:45" ht="15.75" hidden="1" customHeight="1">
      <c r="A572" s="177">
        <v>6</v>
      </c>
      <c r="B572" s="177" t="s">
        <v>91</v>
      </c>
      <c r="C572" s="178" t="s">
        <v>525</v>
      </c>
      <c r="D572" s="178" t="s">
        <v>1259</v>
      </c>
      <c r="E572" s="178">
        <v>4</v>
      </c>
      <c r="F572" s="179">
        <v>40606</v>
      </c>
      <c r="G572" s="180" t="s">
        <v>1260</v>
      </c>
      <c r="H572" s="180" t="s">
        <v>1261</v>
      </c>
      <c r="I572" s="181">
        <v>44348</v>
      </c>
      <c r="J572" s="180" t="s">
        <v>238</v>
      </c>
      <c r="K572" s="180" t="s">
        <v>1152</v>
      </c>
      <c r="L572" s="180"/>
      <c r="M572" s="178" t="s">
        <v>36</v>
      </c>
      <c r="N572" s="179">
        <v>44561</v>
      </c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  <c r="AB572" s="138"/>
      <c r="AC572" s="138"/>
      <c r="AD572" s="138"/>
      <c r="AE572" s="138"/>
      <c r="AF572" s="138"/>
      <c r="AG572" s="138"/>
      <c r="AH572" s="138"/>
      <c r="AI572" s="138"/>
      <c r="AJ572" s="138"/>
      <c r="AK572" s="138"/>
      <c r="AL572" s="138"/>
      <c r="AM572" s="138"/>
      <c r="AN572" s="138"/>
      <c r="AO572" s="138"/>
      <c r="AP572" s="138"/>
      <c r="AQ572" s="138"/>
      <c r="AR572" s="138"/>
      <c r="AS572" s="138"/>
    </row>
    <row r="573" spans="1:45" ht="15.75" hidden="1" customHeight="1">
      <c r="A573" s="177">
        <v>7</v>
      </c>
      <c r="B573" s="177" t="s">
        <v>50</v>
      </c>
      <c r="C573" s="178" t="s">
        <v>781</v>
      </c>
      <c r="D573" s="178" t="s">
        <v>389</v>
      </c>
      <c r="E573" s="178">
        <v>5</v>
      </c>
      <c r="F573" s="179">
        <v>40809</v>
      </c>
      <c r="G573" s="180" t="s">
        <v>1255</v>
      </c>
      <c r="H573" s="180" t="s">
        <v>1256</v>
      </c>
      <c r="I573" s="181" t="s">
        <v>1257</v>
      </c>
      <c r="J573" s="180" t="s">
        <v>140</v>
      </c>
      <c r="K573" s="180" t="s">
        <v>276</v>
      </c>
      <c r="L573" s="180" t="s">
        <v>1258</v>
      </c>
      <c r="M573" s="178" t="s">
        <v>36</v>
      </c>
      <c r="N573" s="179">
        <v>44561</v>
      </c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  <c r="AB573" s="138"/>
      <c r="AC573" s="138"/>
      <c r="AD573" s="138"/>
      <c r="AE573" s="138"/>
      <c r="AF573" s="138"/>
      <c r="AG573" s="138"/>
      <c r="AH573" s="138"/>
      <c r="AI573" s="138"/>
      <c r="AJ573" s="138"/>
      <c r="AK573" s="138"/>
      <c r="AL573" s="138"/>
      <c r="AM573" s="138"/>
      <c r="AN573" s="138"/>
      <c r="AO573" s="138"/>
      <c r="AP573" s="138"/>
      <c r="AQ573" s="138"/>
      <c r="AR573" s="138"/>
      <c r="AS573" s="138"/>
    </row>
    <row r="574" spans="1:45" ht="15.75" hidden="1" customHeight="1">
      <c r="A574" s="177">
        <v>8</v>
      </c>
      <c r="B574" s="177" t="s">
        <v>91</v>
      </c>
      <c r="C574" s="178" t="s">
        <v>781</v>
      </c>
      <c r="D574" s="178" t="s">
        <v>389</v>
      </c>
      <c r="E574" s="178">
        <v>5</v>
      </c>
      <c r="F574" s="179">
        <v>40809</v>
      </c>
      <c r="G574" s="180" t="s">
        <v>1255</v>
      </c>
      <c r="H574" s="180" t="s">
        <v>1256</v>
      </c>
      <c r="I574" s="181" t="s">
        <v>1257</v>
      </c>
      <c r="J574" s="180" t="s">
        <v>141</v>
      </c>
      <c r="K574" s="180" t="s">
        <v>276</v>
      </c>
      <c r="L574" s="180" t="s">
        <v>1258</v>
      </c>
      <c r="M574" s="178" t="s">
        <v>36</v>
      </c>
      <c r="N574" s="179">
        <v>44561</v>
      </c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  <c r="AB574" s="138"/>
      <c r="AC574" s="138"/>
      <c r="AD574" s="138"/>
      <c r="AE574" s="138"/>
      <c r="AF574" s="138"/>
      <c r="AG574" s="138"/>
      <c r="AH574" s="138"/>
      <c r="AI574" s="138"/>
      <c r="AJ574" s="138"/>
      <c r="AK574" s="138"/>
      <c r="AL574" s="138"/>
      <c r="AM574" s="138"/>
      <c r="AN574" s="138"/>
      <c r="AO574" s="138"/>
      <c r="AP574" s="138"/>
      <c r="AQ574" s="138"/>
      <c r="AR574" s="138"/>
      <c r="AS574" s="138"/>
    </row>
    <row r="575" spans="1:45" ht="15.75" hidden="1" customHeight="1">
      <c r="A575" s="177">
        <v>1</v>
      </c>
      <c r="B575" s="177" t="s">
        <v>50</v>
      </c>
      <c r="C575" s="178" t="s">
        <v>1262</v>
      </c>
      <c r="D575" s="178" t="s">
        <v>1263</v>
      </c>
      <c r="E575" s="178">
        <v>2</v>
      </c>
      <c r="F575" s="179">
        <v>41461</v>
      </c>
      <c r="G575" s="180"/>
      <c r="H575" s="180" t="s">
        <v>1264</v>
      </c>
      <c r="I575" s="181">
        <v>44106</v>
      </c>
      <c r="J575" s="180" t="s">
        <v>140</v>
      </c>
      <c r="K575" s="180" t="s">
        <v>272</v>
      </c>
      <c r="L575" s="180" t="s">
        <v>1265</v>
      </c>
      <c r="M575" s="178" t="s">
        <v>36</v>
      </c>
      <c r="N575" s="179">
        <v>44562</v>
      </c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  <c r="AB575" s="138"/>
      <c r="AC575" s="138"/>
      <c r="AD575" s="138"/>
      <c r="AE575" s="138"/>
      <c r="AF575" s="138"/>
      <c r="AG575" s="138"/>
      <c r="AH575" s="138"/>
      <c r="AI575" s="138"/>
      <c r="AJ575" s="138"/>
      <c r="AK575" s="138"/>
      <c r="AL575" s="138"/>
      <c r="AM575" s="138"/>
      <c r="AN575" s="138"/>
      <c r="AO575" s="138"/>
      <c r="AP575" s="138"/>
      <c r="AQ575" s="138"/>
      <c r="AR575" s="138"/>
      <c r="AS575" s="138"/>
    </row>
    <row r="576" spans="1:45" ht="15.75" hidden="1" customHeight="1">
      <c r="A576" s="177">
        <v>2</v>
      </c>
      <c r="B576" s="177" t="s">
        <v>91</v>
      </c>
      <c r="C576" s="178" t="s">
        <v>1262</v>
      </c>
      <c r="D576" s="178" t="s">
        <v>1263</v>
      </c>
      <c r="E576" s="178">
        <v>2</v>
      </c>
      <c r="F576" s="179">
        <v>41461</v>
      </c>
      <c r="G576" s="180"/>
      <c r="H576" s="180" t="s">
        <v>1264</v>
      </c>
      <c r="I576" s="181">
        <v>44106</v>
      </c>
      <c r="J576" s="180" t="s">
        <v>141</v>
      </c>
      <c r="K576" s="180" t="s">
        <v>272</v>
      </c>
      <c r="L576" s="180" t="s">
        <v>1265</v>
      </c>
      <c r="M576" s="178" t="s">
        <v>36</v>
      </c>
      <c r="N576" s="179">
        <v>44562</v>
      </c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  <c r="AB576" s="138"/>
      <c r="AC576" s="138"/>
      <c r="AD576" s="138"/>
      <c r="AE576" s="138"/>
      <c r="AF576" s="138"/>
      <c r="AG576" s="138"/>
      <c r="AH576" s="138"/>
      <c r="AI576" s="138"/>
      <c r="AJ576" s="138"/>
      <c r="AK576" s="138"/>
      <c r="AL576" s="138"/>
      <c r="AM576" s="138"/>
      <c r="AN576" s="138"/>
      <c r="AO576" s="138"/>
      <c r="AP576" s="138"/>
      <c r="AQ576" s="138"/>
      <c r="AR576" s="138"/>
      <c r="AS576" s="138"/>
    </row>
    <row r="577" spans="1:45" ht="15.75" hidden="1" customHeight="1">
      <c r="A577" s="177">
        <v>3</v>
      </c>
      <c r="B577" s="177" t="s">
        <v>50</v>
      </c>
      <c r="C577" s="178" t="s">
        <v>1266</v>
      </c>
      <c r="D577" s="178" t="s">
        <v>1267</v>
      </c>
      <c r="E577" s="178">
        <v>2</v>
      </c>
      <c r="F577" s="179">
        <v>41584</v>
      </c>
      <c r="G577" s="180" t="s">
        <v>1268</v>
      </c>
      <c r="H577" s="180" t="s">
        <v>1269</v>
      </c>
      <c r="I577" s="181">
        <v>44351</v>
      </c>
      <c r="J577" s="180" t="s">
        <v>261</v>
      </c>
      <c r="K577" s="180" t="s">
        <v>1015</v>
      </c>
      <c r="L577" s="180" t="s">
        <v>1270</v>
      </c>
      <c r="M577" s="178" t="s">
        <v>36</v>
      </c>
      <c r="N577" s="179">
        <v>44562</v>
      </c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  <c r="AB577" s="138"/>
      <c r="AC577" s="138"/>
      <c r="AD577" s="138"/>
      <c r="AE577" s="138"/>
      <c r="AF577" s="138"/>
      <c r="AG577" s="138"/>
      <c r="AH577" s="138"/>
      <c r="AI577" s="138"/>
      <c r="AJ577" s="138"/>
      <c r="AK577" s="138"/>
      <c r="AL577" s="138"/>
      <c r="AM577" s="138"/>
      <c r="AN577" s="138"/>
      <c r="AO577" s="138"/>
      <c r="AP577" s="138"/>
      <c r="AQ577" s="138"/>
      <c r="AR577" s="138"/>
      <c r="AS577" s="138"/>
    </row>
    <row r="578" spans="1:45" ht="15.75" hidden="1" customHeight="1">
      <c r="A578" s="177">
        <v>4</v>
      </c>
      <c r="B578" s="177" t="s">
        <v>91</v>
      </c>
      <c r="C578" s="178" t="s">
        <v>1266</v>
      </c>
      <c r="D578" s="178" t="s">
        <v>1267</v>
      </c>
      <c r="E578" s="178">
        <v>2</v>
      </c>
      <c r="F578" s="179">
        <v>41584</v>
      </c>
      <c r="G578" s="180" t="s">
        <v>1268</v>
      </c>
      <c r="H578" s="180" t="s">
        <v>1269</v>
      </c>
      <c r="I578" s="181">
        <v>44351</v>
      </c>
      <c r="J578" s="180" t="s">
        <v>121</v>
      </c>
      <c r="K578" s="180" t="s">
        <v>276</v>
      </c>
      <c r="L578" s="180" t="s">
        <v>1270</v>
      </c>
      <c r="M578" s="178" t="s">
        <v>36</v>
      </c>
      <c r="N578" s="179">
        <v>44562</v>
      </c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  <c r="AB578" s="138"/>
      <c r="AC578" s="138"/>
      <c r="AD578" s="138"/>
      <c r="AE578" s="138"/>
      <c r="AF578" s="138"/>
      <c r="AG578" s="138"/>
      <c r="AH578" s="138"/>
      <c r="AI578" s="138"/>
      <c r="AJ578" s="138"/>
      <c r="AK578" s="138"/>
      <c r="AL578" s="138"/>
      <c r="AM578" s="138"/>
      <c r="AN578" s="138"/>
      <c r="AO578" s="138"/>
      <c r="AP578" s="138"/>
      <c r="AQ578" s="138"/>
      <c r="AR578" s="138"/>
      <c r="AS578" s="138"/>
    </row>
    <row r="579" spans="1:45" ht="15.75" hidden="1" customHeight="1">
      <c r="A579" s="177">
        <v>5</v>
      </c>
      <c r="B579" s="177" t="s">
        <v>50</v>
      </c>
      <c r="C579" s="178" t="s">
        <v>1271</v>
      </c>
      <c r="D579" s="178" t="s">
        <v>1272</v>
      </c>
      <c r="E579" s="178">
        <v>2</v>
      </c>
      <c r="F579" s="179" t="s">
        <v>1273</v>
      </c>
      <c r="G579" s="180" t="s">
        <v>1274</v>
      </c>
      <c r="H579" s="180" t="s">
        <v>1275</v>
      </c>
      <c r="I579" s="181" t="s">
        <v>712</v>
      </c>
      <c r="J579" s="180" t="s">
        <v>255</v>
      </c>
      <c r="K579" s="180" t="s">
        <v>612</v>
      </c>
      <c r="L579" s="180" t="s">
        <v>1276</v>
      </c>
      <c r="M579" s="178" t="s">
        <v>36</v>
      </c>
      <c r="N579" s="179">
        <v>44562</v>
      </c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  <c r="AB579" s="138"/>
      <c r="AC579" s="138"/>
      <c r="AD579" s="138"/>
      <c r="AE579" s="138"/>
      <c r="AF579" s="138"/>
      <c r="AG579" s="138"/>
      <c r="AH579" s="138"/>
      <c r="AI579" s="138"/>
      <c r="AJ579" s="138"/>
      <c r="AK579" s="138"/>
      <c r="AL579" s="138"/>
      <c r="AM579" s="138"/>
      <c r="AN579" s="138"/>
      <c r="AO579" s="138"/>
      <c r="AP579" s="138"/>
      <c r="AQ579" s="138"/>
      <c r="AR579" s="138"/>
      <c r="AS579" s="138"/>
    </row>
    <row r="580" spans="1:45" ht="15.75" hidden="1" customHeight="1">
      <c r="A580" s="177">
        <v>6</v>
      </c>
      <c r="B580" s="177" t="s">
        <v>91</v>
      </c>
      <c r="C580" s="178" t="s">
        <v>1271</v>
      </c>
      <c r="D580" s="178" t="s">
        <v>1272</v>
      </c>
      <c r="E580" s="178">
        <v>2</v>
      </c>
      <c r="F580" s="179" t="s">
        <v>1273</v>
      </c>
      <c r="G580" s="180" t="s">
        <v>1274</v>
      </c>
      <c r="H580" s="180" t="s">
        <v>1275</v>
      </c>
      <c r="I580" s="181" t="s">
        <v>712</v>
      </c>
      <c r="J580" s="180" t="s">
        <v>221</v>
      </c>
      <c r="K580" s="180" t="s">
        <v>612</v>
      </c>
      <c r="L580" s="180" t="s">
        <v>1276</v>
      </c>
      <c r="M580" s="178" t="s">
        <v>36</v>
      </c>
      <c r="N580" s="179">
        <v>44562</v>
      </c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  <c r="AB580" s="138"/>
      <c r="AC580" s="138"/>
      <c r="AD580" s="138"/>
      <c r="AE580" s="138"/>
      <c r="AF580" s="138"/>
      <c r="AG580" s="138"/>
      <c r="AH580" s="138"/>
      <c r="AI580" s="138"/>
      <c r="AJ580" s="138"/>
      <c r="AK580" s="138"/>
      <c r="AL580" s="138"/>
      <c r="AM580" s="138"/>
      <c r="AN580" s="138"/>
      <c r="AO580" s="138"/>
      <c r="AP580" s="138"/>
      <c r="AQ580" s="138"/>
      <c r="AR580" s="138"/>
      <c r="AS580" s="138"/>
    </row>
    <row r="581" spans="1:45" ht="15.75" hidden="1" customHeight="1">
      <c r="A581" s="177">
        <v>7</v>
      </c>
      <c r="B581" s="177" t="s">
        <v>50</v>
      </c>
      <c r="C581" s="178" t="s">
        <v>298</v>
      </c>
      <c r="D581" s="178" t="s">
        <v>1277</v>
      </c>
      <c r="E581" s="178">
        <v>2</v>
      </c>
      <c r="F581" s="179">
        <v>41947</v>
      </c>
      <c r="G581" s="180" t="s">
        <v>1278</v>
      </c>
      <c r="H581" s="180" t="s">
        <v>1279</v>
      </c>
      <c r="I581" s="181" t="s">
        <v>1257</v>
      </c>
      <c r="J581" s="180" t="s">
        <v>124</v>
      </c>
      <c r="K581" s="180" t="s">
        <v>272</v>
      </c>
      <c r="L581" s="180"/>
      <c r="M581" s="178" t="s">
        <v>36</v>
      </c>
      <c r="N581" s="179">
        <v>44562</v>
      </c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  <c r="AB581" s="138"/>
      <c r="AC581" s="138"/>
      <c r="AD581" s="138"/>
      <c r="AE581" s="138"/>
      <c r="AF581" s="138"/>
      <c r="AG581" s="138"/>
      <c r="AH581" s="138"/>
      <c r="AI581" s="138"/>
      <c r="AJ581" s="138"/>
      <c r="AK581" s="138"/>
      <c r="AL581" s="138"/>
      <c r="AM581" s="138"/>
      <c r="AN581" s="138"/>
      <c r="AO581" s="138"/>
      <c r="AP581" s="138"/>
      <c r="AQ581" s="138"/>
      <c r="AR581" s="138"/>
      <c r="AS581" s="138"/>
    </row>
    <row r="582" spans="1:45" ht="15.75" hidden="1" customHeight="1">
      <c r="A582" s="177">
        <v>8</v>
      </c>
      <c r="B582" s="177" t="s">
        <v>91</v>
      </c>
      <c r="C582" s="178" t="s">
        <v>298</v>
      </c>
      <c r="D582" s="178" t="s">
        <v>1277</v>
      </c>
      <c r="E582" s="178">
        <v>2</v>
      </c>
      <c r="F582" s="179">
        <v>41947</v>
      </c>
      <c r="G582" s="180" t="s">
        <v>1278</v>
      </c>
      <c r="H582" s="180" t="s">
        <v>1279</v>
      </c>
      <c r="I582" s="181" t="s">
        <v>1257</v>
      </c>
      <c r="J582" s="180" t="s">
        <v>233</v>
      </c>
      <c r="K582" s="180" t="s">
        <v>272</v>
      </c>
      <c r="L582" s="180"/>
      <c r="M582" s="178" t="s">
        <v>36</v>
      </c>
      <c r="N582" s="179">
        <v>44562</v>
      </c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  <c r="AB582" s="138"/>
      <c r="AC582" s="138"/>
      <c r="AD582" s="138"/>
      <c r="AE582" s="138"/>
      <c r="AF582" s="138"/>
      <c r="AG582" s="138"/>
      <c r="AH582" s="138"/>
      <c r="AI582" s="138"/>
      <c r="AJ582" s="138"/>
      <c r="AK582" s="138"/>
      <c r="AL582" s="138"/>
      <c r="AM582" s="138"/>
      <c r="AN582" s="138"/>
      <c r="AO582" s="138"/>
      <c r="AP582" s="138"/>
      <c r="AQ582" s="138"/>
      <c r="AR582" s="138"/>
      <c r="AS582" s="138"/>
    </row>
    <row r="583" spans="1:45" ht="15.75" hidden="1" customHeight="1">
      <c r="A583" s="177">
        <v>9</v>
      </c>
      <c r="B583" s="177" t="s">
        <v>50</v>
      </c>
      <c r="C583" s="178" t="s">
        <v>1280</v>
      </c>
      <c r="D583" s="178" t="s">
        <v>1281</v>
      </c>
      <c r="E583" s="178">
        <v>1</v>
      </c>
      <c r="F583" s="179">
        <v>42178</v>
      </c>
      <c r="G583" s="180" t="s">
        <v>1282</v>
      </c>
      <c r="H583" s="180" t="s">
        <v>1283</v>
      </c>
      <c r="I583" s="181" t="s">
        <v>1257</v>
      </c>
      <c r="J583" s="180" t="s">
        <v>349</v>
      </c>
      <c r="K583" s="180" t="s">
        <v>272</v>
      </c>
      <c r="L583" s="180" t="s">
        <v>1284</v>
      </c>
      <c r="M583" s="178" t="s">
        <v>36</v>
      </c>
      <c r="N583" s="179">
        <v>44562</v>
      </c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  <c r="AB583" s="138"/>
      <c r="AC583" s="138"/>
      <c r="AD583" s="138"/>
      <c r="AE583" s="138"/>
      <c r="AF583" s="138"/>
      <c r="AG583" s="138"/>
      <c r="AH583" s="138"/>
      <c r="AI583" s="138"/>
      <c r="AJ583" s="138"/>
      <c r="AK583" s="138"/>
      <c r="AL583" s="138"/>
      <c r="AM583" s="138"/>
      <c r="AN583" s="138"/>
      <c r="AO583" s="138"/>
      <c r="AP583" s="138"/>
      <c r="AQ583" s="138"/>
      <c r="AR583" s="138"/>
      <c r="AS583" s="138"/>
    </row>
    <row r="584" spans="1:45" ht="15.75" hidden="1" customHeight="1">
      <c r="A584" s="132">
        <v>1</v>
      </c>
      <c r="B584" s="132" t="s">
        <v>91</v>
      </c>
      <c r="C584" s="182" t="s">
        <v>200</v>
      </c>
      <c r="D584" s="182" t="s">
        <v>1285</v>
      </c>
      <c r="E584" s="182">
        <v>6</v>
      </c>
      <c r="F584" s="183">
        <v>40461</v>
      </c>
      <c r="G584" s="184" t="s">
        <v>1286</v>
      </c>
      <c r="H584" s="184" t="s">
        <v>1287</v>
      </c>
      <c r="I584" s="185">
        <v>44518</v>
      </c>
      <c r="J584" s="184" t="s">
        <v>188</v>
      </c>
      <c r="K584" s="184" t="s">
        <v>272</v>
      </c>
      <c r="L584" s="184"/>
      <c r="M584" s="182" t="s">
        <v>36</v>
      </c>
      <c r="N584" s="183">
        <v>44593</v>
      </c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  <c r="AB584" s="138"/>
      <c r="AC584" s="138"/>
      <c r="AD584" s="138"/>
      <c r="AE584" s="138"/>
      <c r="AF584" s="138"/>
      <c r="AG584" s="138"/>
      <c r="AH584" s="138"/>
      <c r="AI584" s="138"/>
      <c r="AJ584" s="138"/>
      <c r="AK584" s="138"/>
      <c r="AL584" s="138"/>
      <c r="AM584" s="138"/>
      <c r="AN584" s="138"/>
      <c r="AO584" s="138"/>
      <c r="AP584" s="138"/>
      <c r="AQ584" s="138"/>
      <c r="AR584" s="138"/>
      <c r="AS584" s="138"/>
    </row>
    <row r="585" spans="1:45" ht="15.75" hidden="1" customHeight="1">
      <c r="A585" s="132">
        <v>2</v>
      </c>
      <c r="B585" s="132" t="s">
        <v>50</v>
      </c>
      <c r="C585" s="182" t="s">
        <v>498</v>
      </c>
      <c r="D585" s="182" t="s">
        <v>1058</v>
      </c>
      <c r="E585" s="182">
        <v>2</v>
      </c>
      <c r="F585" s="183">
        <v>41953</v>
      </c>
      <c r="G585" s="184" t="s">
        <v>1288</v>
      </c>
      <c r="H585" s="184" t="s">
        <v>1060</v>
      </c>
      <c r="I585" s="185">
        <v>44431</v>
      </c>
      <c r="J585" s="184" t="s">
        <v>261</v>
      </c>
      <c r="K585" s="184" t="s">
        <v>957</v>
      </c>
      <c r="L585" s="184"/>
      <c r="M585" s="182" t="s">
        <v>36</v>
      </c>
      <c r="N585" s="183">
        <v>44593</v>
      </c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  <c r="AB585" s="138"/>
      <c r="AC585" s="138"/>
      <c r="AD585" s="138"/>
      <c r="AE585" s="138"/>
      <c r="AF585" s="138"/>
      <c r="AG585" s="138"/>
      <c r="AH585" s="138"/>
      <c r="AI585" s="138"/>
      <c r="AJ585" s="138"/>
      <c r="AK585" s="138"/>
      <c r="AL585" s="138"/>
      <c r="AM585" s="138"/>
      <c r="AN585" s="138"/>
      <c r="AO585" s="138"/>
      <c r="AP585" s="138"/>
      <c r="AQ585" s="138"/>
      <c r="AR585" s="138"/>
      <c r="AS585" s="138"/>
    </row>
    <row r="586" spans="1:45" ht="15.75" hidden="1" customHeight="1">
      <c r="A586" s="132">
        <v>1</v>
      </c>
      <c r="B586" s="132" t="s">
        <v>50</v>
      </c>
      <c r="C586" s="182" t="s">
        <v>1289</v>
      </c>
      <c r="D586" s="182" t="s">
        <v>1290</v>
      </c>
      <c r="E586" s="182">
        <v>9</v>
      </c>
      <c r="F586" s="183">
        <v>38959</v>
      </c>
      <c r="G586" s="186" t="s">
        <v>1291</v>
      </c>
      <c r="H586" s="184" t="s">
        <v>1292</v>
      </c>
      <c r="I586" s="185">
        <v>44348</v>
      </c>
      <c r="J586" s="184" t="s">
        <v>317</v>
      </c>
      <c r="K586" s="184" t="s">
        <v>272</v>
      </c>
      <c r="L586" s="184"/>
      <c r="M586" s="182" t="s">
        <v>36</v>
      </c>
      <c r="N586" s="183">
        <v>44621</v>
      </c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  <c r="AB586" s="138"/>
      <c r="AC586" s="138"/>
      <c r="AD586" s="138"/>
      <c r="AE586" s="138"/>
      <c r="AF586" s="138"/>
      <c r="AG586" s="138"/>
      <c r="AH586" s="138"/>
      <c r="AI586" s="138"/>
      <c r="AJ586" s="138"/>
      <c r="AK586" s="138"/>
      <c r="AL586" s="138"/>
      <c r="AM586" s="138"/>
      <c r="AN586" s="138"/>
      <c r="AO586" s="138"/>
      <c r="AP586" s="138"/>
      <c r="AQ586" s="138"/>
      <c r="AR586" s="138"/>
      <c r="AS586" s="138"/>
    </row>
    <row r="587" spans="1:45" ht="15.75" hidden="1" customHeight="1">
      <c r="A587" s="132">
        <v>2</v>
      </c>
      <c r="B587" s="132" t="s">
        <v>50</v>
      </c>
      <c r="C587" s="182" t="s">
        <v>1293</v>
      </c>
      <c r="D587" s="182" t="s">
        <v>1294</v>
      </c>
      <c r="E587" s="182">
        <v>4</v>
      </c>
      <c r="F587" s="183">
        <v>41089</v>
      </c>
      <c r="G587" s="184" t="s">
        <v>1295</v>
      </c>
      <c r="H587" s="184" t="s">
        <v>1296</v>
      </c>
      <c r="I587" s="185">
        <v>44516</v>
      </c>
      <c r="J587" s="184" t="s">
        <v>140</v>
      </c>
      <c r="K587" s="184" t="s">
        <v>612</v>
      </c>
      <c r="L587" s="184"/>
      <c r="M587" s="182" t="s">
        <v>36</v>
      </c>
      <c r="N587" s="183">
        <v>44621</v>
      </c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  <c r="AB587" s="138"/>
      <c r="AC587" s="138"/>
      <c r="AD587" s="138"/>
      <c r="AE587" s="138"/>
      <c r="AF587" s="138"/>
      <c r="AG587" s="138"/>
      <c r="AH587" s="138"/>
      <c r="AI587" s="138"/>
      <c r="AJ587" s="138"/>
      <c r="AK587" s="138"/>
      <c r="AL587" s="138"/>
      <c r="AM587" s="138"/>
      <c r="AN587" s="138"/>
      <c r="AO587" s="138"/>
      <c r="AP587" s="138"/>
      <c r="AQ587" s="138"/>
      <c r="AR587" s="138"/>
      <c r="AS587" s="138"/>
    </row>
    <row r="588" spans="1:45" ht="15.75" hidden="1" customHeight="1">
      <c r="A588" s="132">
        <v>3</v>
      </c>
      <c r="B588" s="132" t="s">
        <v>91</v>
      </c>
      <c r="C588" s="182" t="s">
        <v>1293</v>
      </c>
      <c r="D588" s="182" t="s">
        <v>1294</v>
      </c>
      <c r="E588" s="182">
        <v>4</v>
      </c>
      <c r="F588" s="183">
        <v>41089</v>
      </c>
      <c r="G588" s="184" t="s">
        <v>1295</v>
      </c>
      <c r="H588" s="184" t="s">
        <v>1296</v>
      </c>
      <c r="I588" s="185">
        <v>44516</v>
      </c>
      <c r="J588" s="184" t="s">
        <v>141</v>
      </c>
      <c r="K588" s="184" t="s">
        <v>276</v>
      </c>
      <c r="L588" s="184"/>
      <c r="M588" s="182" t="s">
        <v>36</v>
      </c>
      <c r="N588" s="183">
        <v>44621</v>
      </c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  <c r="AB588" s="138"/>
      <c r="AC588" s="138"/>
      <c r="AD588" s="138"/>
      <c r="AE588" s="138"/>
      <c r="AF588" s="138"/>
      <c r="AG588" s="138"/>
      <c r="AH588" s="138"/>
      <c r="AI588" s="138"/>
      <c r="AJ588" s="138"/>
      <c r="AK588" s="138"/>
      <c r="AL588" s="138"/>
      <c r="AM588" s="138"/>
      <c r="AN588" s="138"/>
      <c r="AO588" s="138"/>
      <c r="AP588" s="138"/>
      <c r="AQ588" s="138"/>
      <c r="AR588" s="138"/>
      <c r="AS588" s="138"/>
    </row>
    <row r="589" spans="1:45" ht="15.75" hidden="1" customHeight="1">
      <c r="A589" s="132">
        <v>1</v>
      </c>
      <c r="B589" s="182" t="s">
        <v>91</v>
      </c>
      <c r="C589" s="182" t="s">
        <v>1297</v>
      </c>
      <c r="D589" s="182" t="s">
        <v>1298</v>
      </c>
      <c r="E589" s="187">
        <v>4</v>
      </c>
      <c r="F589" s="183">
        <v>40898</v>
      </c>
      <c r="G589" s="184" t="s">
        <v>1299</v>
      </c>
      <c r="H589" s="186" t="s">
        <v>1300</v>
      </c>
      <c r="I589" s="185">
        <v>44646</v>
      </c>
      <c r="J589" s="188" t="s">
        <v>141</v>
      </c>
      <c r="K589" s="188" t="s">
        <v>821</v>
      </c>
      <c r="L589" s="184"/>
      <c r="M589" s="182" t="s">
        <v>36</v>
      </c>
      <c r="N589" s="183">
        <v>44652</v>
      </c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  <c r="AB589" s="138"/>
      <c r="AC589" s="138"/>
      <c r="AD589" s="138"/>
      <c r="AE589" s="138"/>
      <c r="AF589" s="138"/>
      <c r="AG589" s="138"/>
      <c r="AH589" s="138"/>
      <c r="AI589" s="138"/>
      <c r="AJ589" s="138"/>
      <c r="AK589" s="138"/>
      <c r="AL589" s="138"/>
      <c r="AM589" s="138"/>
      <c r="AN589" s="138"/>
      <c r="AO589" s="138"/>
      <c r="AP589" s="138"/>
      <c r="AQ589" s="138"/>
      <c r="AR589" s="138"/>
      <c r="AS589" s="138"/>
    </row>
    <row r="590" spans="1:45" ht="15.75" hidden="1" customHeight="1">
      <c r="A590" s="132">
        <v>2</v>
      </c>
      <c r="B590" s="132" t="s">
        <v>50</v>
      </c>
      <c r="C590" s="182" t="s">
        <v>1301</v>
      </c>
      <c r="D590" s="182" t="s">
        <v>1302</v>
      </c>
      <c r="E590" s="182">
        <v>7</v>
      </c>
      <c r="F590" s="183">
        <v>39731</v>
      </c>
      <c r="G590" s="184" t="s">
        <v>1303</v>
      </c>
      <c r="H590" s="184" t="s">
        <v>1304</v>
      </c>
      <c r="I590" s="185">
        <v>44424</v>
      </c>
      <c r="J590" s="184" t="s">
        <v>186</v>
      </c>
      <c r="K590" s="184" t="s">
        <v>612</v>
      </c>
      <c r="L590" s="184"/>
      <c r="M590" s="182" t="s">
        <v>36</v>
      </c>
      <c r="N590" s="183">
        <v>44652</v>
      </c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  <c r="AB590" s="138"/>
      <c r="AC590" s="138"/>
      <c r="AD590" s="138"/>
      <c r="AE590" s="138"/>
      <c r="AF590" s="138"/>
      <c r="AG590" s="138"/>
      <c r="AH590" s="138"/>
      <c r="AI590" s="138"/>
      <c r="AJ590" s="138"/>
      <c r="AK590" s="138"/>
      <c r="AL590" s="138"/>
      <c r="AM590" s="138"/>
      <c r="AN590" s="138"/>
      <c r="AO590" s="138"/>
      <c r="AP590" s="138"/>
      <c r="AQ590" s="138"/>
      <c r="AR590" s="138"/>
      <c r="AS590" s="138"/>
    </row>
    <row r="591" spans="1:45" ht="15.75" hidden="1" customHeight="1">
      <c r="A591" s="132">
        <v>3</v>
      </c>
      <c r="B591" s="132" t="s">
        <v>91</v>
      </c>
      <c r="C591" s="182" t="s">
        <v>1301</v>
      </c>
      <c r="D591" s="182" t="s">
        <v>1302</v>
      </c>
      <c r="E591" s="182">
        <v>7</v>
      </c>
      <c r="F591" s="183">
        <v>39731</v>
      </c>
      <c r="G591" s="184" t="s">
        <v>1303</v>
      </c>
      <c r="H591" s="184" t="s">
        <v>1304</v>
      </c>
      <c r="I591" s="185">
        <v>44424</v>
      </c>
      <c r="J591" s="184" t="s">
        <v>141</v>
      </c>
      <c r="K591" s="184" t="s">
        <v>663</v>
      </c>
      <c r="L591" s="184"/>
      <c r="M591" s="182" t="s">
        <v>36</v>
      </c>
      <c r="N591" s="183">
        <v>44652</v>
      </c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  <c r="AB591" s="138"/>
      <c r="AC591" s="138"/>
      <c r="AD591" s="138"/>
      <c r="AE591" s="138"/>
      <c r="AF591" s="138"/>
      <c r="AG591" s="138"/>
      <c r="AH591" s="138"/>
      <c r="AI591" s="138"/>
      <c r="AJ591" s="138"/>
      <c r="AK591" s="138"/>
      <c r="AL591" s="138"/>
      <c r="AM591" s="138"/>
      <c r="AN591" s="138"/>
      <c r="AO591" s="138"/>
      <c r="AP591" s="138"/>
      <c r="AQ591" s="138"/>
      <c r="AR591" s="138"/>
      <c r="AS591" s="138"/>
    </row>
    <row r="592" spans="1:45" ht="15.75" hidden="1" customHeight="1">
      <c r="A592" s="132">
        <v>4</v>
      </c>
      <c r="B592" s="132" t="s">
        <v>50</v>
      </c>
      <c r="C592" s="182" t="s">
        <v>176</v>
      </c>
      <c r="D592" s="182" t="s">
        <v>177</v>
      </c>
      <c r="E592" s="182" t="s">
        <v>178</v>
      </c>
      <c r="F592" s="183">
        <v>42901</v>
      </c>
      <c r="G592" s="184" t="s">
        <v>1305</v>
      </c>
      <c r="H592" s="184" t="s">
        <v>180</v>
      </c>
      <c r="I592" s="185">
        <v>44440</v>
      </c>
      <c r="J592" s="184" t="s">
        <v>349</v>
      </c>
      <c r="K592" s="184" t="s">
        <v>612</v>
      </c>
      <c r="L592" s="184" t="s">
        <v>1306</v>
      </c>
      <c r="M592" s="182" t="s">
        <v>36</v>
      </c>
      <c r="N592" s="183">
        <v>44652</v>
      </c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  <c r="AB592" s="138"/>
      <c r="AC592" s="138"/>
      <c r="AD592" s="138"/>
      <c r="AE592" s="138"/>
      <c r="AF592" s="138"/>
      <c r="AG592" s="138"/>
      <c r="AH592" s="138"/>
      <c r="AI592" s="138"/>
      <c r="AJ592" s="138"/>
      <c r="AK592" s="138"/>
      <c r="AL592" s="138"/>
      <c r="AM592" s="138"/>
      <c r="AN592" s="138"/>
      <c r="AO592" s="138"/>
      <c r="AP592" s="138"/>
      <c r="AQ592" s="138"/>
      <c r="AR592" s="138"/>
      <c r="AS592" s="138"/>
    </row>
    <row r="593" spans="1:45" ht="15.75" hidden="1" customHeight="1">
      <c r="A593" s="132">
        <v>5</v>
      </c>
      <c r="B593" s="132" t="s">
        <v>50</v>
      </c>
      <c r="C593" s="182" t="s">
        <v>1307</v>
      </c>
      <c r="D593" s="182" t="s">
        <v>1308</v>
      </c>
      <c r="E593" s="182">
        <v>4</v>
      </c>
      <c r="F593" s="183">
        <v>40925</v>
      </c>
      <c r="G593" s="184" t="s">
        <v>1309</v>
      </c>
      <c r="H593" s="184" t="s">
        <v>1310</v>
      </c>
      <c r="I593" s="185">
        <v>44427</v>
      </c>
      <c r="J593" s="184" t="s">
        <v>186</v>
      </c>
      <c r="K593" s="184" t="s">
        <v>272</v>
      </c>
      <c r="L593" s="184"/>
      <c r="M593" s="182" t="s">
        <v>36</v>
      </c>
      <c r="N593" s="183">
        <v>44652</v>
      </c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  <c r="AB593" s="138"/>
      <c r="AC593" s="138"/>
      <c r="AD593" s="138"/>
      <c r="AE593" s="138"/>
      <c r="AF593" s="138"/>
      <c r="AG593" s="138"/>
      <c r="AH593" s="138"/>
      <c r="AI593" s="138"/>
      <c r="AJ593" s="138"/>
      <c r="AK593" s="138"/>
      <c r="AL593" s="138"/>
      <c r="AM593" s="138"/>
      <c r="AN593" s="138"/>
      <c r="AO593" s="138"/>
      <c r="AP593" s="138"/>
      <c r="AQ593" s="138"/>
      <c r="AR593" s="138"/>
      <c r="AS593" s="138"/>
    </row>
    <row r="594" spans="1:45" ht="15.75" hidden="1" customHeight="1">
      <c r="A594" s="132">
        <v>6</v>
      </c>
      <c r="B594" s="132" t="s">
        <v>91</v>
      </c>
      <c r="C594" s="182" t="s">
        <v>1307</v>
      </c>
      <c r="D594" s="182" t="s">
        <v>1308</v>
      </c>
      <c r="E594" s="182">
        <v>4</v>
      </c>
      <c r="F594" s="183">
        <v>40925</v>
      </c>
      <c r="G594" s="184" t="s">
        <v>1309</v>
      </c>
      <c r="H594" s="184" t="s">
        <v>1310</v>
      </c>
      <c r="I594" s="185">
        <v>44427</v>
      </c>
      <c r="J594" s="184" t="s">
        <v>188</v>
      </c>
      <c r="K594" s="184" t="s">
        <v>764</v>
      </c>
      <c r="L594" s="184"/>
      <c r="M594" s="182" t="s">
        <v>36</v>
      </c>
      <c r="N594" s="183">
        <v>44652</v>
      </c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  <c r="AB594" s="138"/>
      <c r="AC594" s="138"/>
      <c r="AD594" s="138"/>
      <c r="AE594" s="138"/>
      <c r="AF594" s="138"/>
      <c r="AG594" s="138"/>
      <c r="AH594" s="138"/>
      <c r="AI594" s="138"/>
      <c r="AJ594" s="138"/>
      <c r="AK594" s="138"/>
      <c r="AL594" s="138"/>
      <c r="AM594" s="138"/>
      <c r="AN594" s="138"/>
      <c r="AO594" s="138"/>
      <c r="AP594" s="138"/>
      <c r="AQ594" s="138"/>
      <c r="AR594" s="138"/>
      <c r="AS594" s="138"/>
    </row>
    <row r="595" spans="1:45" ht="15.75" hidden="1" customHeight="1">
      <c r="A595" s="132">
        <v>7</v>
      </c>
      <c r="B595" s="132" t="s">
        <v>50</v>
      </c>
      <c r="C595" s="182" t="s">
        <v>1307</v>
      </c>
      <c r="D595" s="182" t="s">
        <v>1311</v>
      </c>
      <c r="E595" s="182">
        <v>4</v>
      </c>
      <c r="F595" s="183">
        <v>40925</v>
      </c>
      <c r="G595" s="184" t="s">
        <v>1309</v>
      </c>
      <c r="H595" s="184" t="s">
        <v>1310</v>
      </c>
      <c r="I595" s="185">
        <v>44427</v>
      </c>
      <c r="J595" s="184" t="s">
        <v>358</v>
      </c>
      <c r="K595" s="184" t="s">
        <v>1152</v>
      </c>
      <c r="L595" s="184"/>
      <c r="M595" s="182" t="s">
        <v>36</v>
      </c>
      <c r="N595" s="183">
        <v>44652</v>
      </c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  <c r="AB595" s="138"/>
      <c r="AC595" s="138"/>
      <c r="AD595" s="138"/>
      <c r="AE595" s="138"/>
      <c r="AF595" s="138"/>
      <c r="AG595" s="138"/>
      <c r="AH595" s="138"/>
      <c r="AI595" s="138"/>
      <c r="AJ595" s="138"/>
      <c r="AK595" s="138"/>
      <c r="AL595" s="138"/>
      <c r="AM595" s="138"/>
      <c r="AN595" s="138"/>
      <c r="AO595" s="138"/>
      <c r="AP595" s="138"/>
      <c r="AQ595" s="138"/>
      <c r="AR595" s="138"/>
      <c r="AS595" s="138"/>
    </row>
    <row r="596" spans="1:45" ht="15.75" hidden="1" customHeight="1">
      <c r="A596" s="132">
        <v>8</v>
      </c>
      <c r="B596" s="132" t="s">
        <v>91</v>
      </c>
      <c r="C596" s="182" t="s">
        <v>1307</v>
      </c>
      <c r="D596" s="182" t="s">
        <v>1311</v>
      </c>
      <c r="E596" s="182">
        <v>4</v>
      </c>
      <c r="F596" s="183">
        <v>40925</v>
      </c>
      <c r="G596" s="184" t="s">
        <v>1309</v>
      </c>
      <c r="H596" s="184" t="s">
        <v>1310</v>
      </c>
      <c r="I596" s="185">
        <v>44427</v>
      </c>
      <c r="J596" s="184" t="s">
        <v>188</v>
      </c>
      <c r="K596" s="184" t="s">
        <v>764</v>
      </c>
      <c r="L596" s="184"/>
      <c r="M596" s="182" t="s">
        <v>36</v>
      </c>
      <c r="N596" s="183">
        <v>44652</v>
      </c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  <c r="AB596" s="138"/>
      <c r="AC596" s="138"/>
      <c r="AD596" s="138"/>
      <c r="AE596" s="138"/>
      <c r="AF596" s="138"/>
      <c r="AG596" s="138"/>
      <c r="AH596" s="138"/>
      <c r="AI596" s="138"/>
      <c r="AJ596" s="138"/>
      <c r="AK596" s="138"/>
      <c r="AL596" s="138"/>
      <c r="AM596" s="138"/>
      <c r="AN596" s="138"/>
      <c r="AO596" s="138"/>
      <c r="AP596" s="138"/>
      <c r="AQ596" s="138"/>
      <c r="AR596" s="138"/>
      <c r="AS596" s="138"/>
    </row>
    <row r="597" spans="1:45" ht="15.75" hidden="1" customHeight="1">
      <c r="A597" s="132">
        <v>1</v>
      </c>
      <c r="B597" s="132" t="s">
        <v>50</v>
      </c>
      <c r="C597" s="182" t="s">
        <v>1154</v>
      </c>
      <c r="D597" s="182" t="s">
        <v>1155</v>
      </c>
      <c r="E597" s="182">
        <v>6</v>
      </c>
      <c r="F597" s="183">
        <v>40321</v>
      </c>
      <c r="G597" s="184" t="s">
        <v>1312</v>
      </c>
      <c r="H597" s="184" t="s">
        <v>1157</v>
      </c>
      <c r="I597" s="185" t="s">
        <v>1257</v>
      </c>
      <c r="J597" s="184" t="s">
        <v>165</v>
      </c>
      <c r="K597" s="184" t="s">
        <v>272</v>
      </c>
      <c r="L597" s="184" t="s">
        <v>966</v>
      </c>
      <c r="M597" s="182" t="s">
        <v>36</v>
      </c>
      <c r="N597" s="183">
        <v>44713</v>
      </c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  <c r="AB597" s="138"/>
      <c r="AC597" s="138"/>
      <c r="AD597" s="138"/>
      <c r="AE597" s="138"/>
      <c r="AF597" s="138"/>
      <c r="AG597" s="138"/>
      <c r="AH597" s="138"/>
      <c r="AI597" s="138"/>
      <c r="AJ597" s="138"/>
      <c r="AK597" s="138"/>
      <c r="AL597" s="138"/>
      <c r="AM597" s="138"/>
      <c r="AN597" s="138"/>
      <c r="AO597" s="138"/>
      <c r="AP597" s="138"/>
      <c r="AQ597" s="138"/>
      <c r="AR597" s="138"/>
      <c r="AS597" s="138"/>
    </row>
    <row r="598" spans="1:45" ht="15.75" hidden="1" customHeight="1">
      <c r="A598" s="132">
        <v>2</v>
      </c>
      <c r="B598" s="132" t="s">
        <v>91</v>
      </c>
      <c r="C598" s="182" t="s">
        <v>1154</v>
      </c>
      <c r="D598" s="182" t="s">
        <v>1155</v>
      </c>
      <c r="E598" s="182">
        <v>6</v>
      </c>
      <c r="F598" s="183">
        <v>40321</v>
      </c>
      <c r="G598" s="184" t="s">
        <v>1312</v>
      </c>
      <c r="H598" s="184" t="s">
        <v>1157</v>
      </c>
      <c r="I598" s="185" t="s">
        <v>1257</v>
      </c>
      <c r="J598" s="184" t="s">
        <v>150</v>
      </c>
      <c r="K598" s="184" t="s">
        <v>272</v>
      </c>
      <c r="L598" s="184" t="s">
        <v>966</v>
      </c>
      <c r="M598" s="182" t="s">
        <v>36</v>
      </c>
      <c r="N598" s="183">
        <v>44713</v>
      </c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  <c r="AB598" s="138"/>
      <c r="AC598" s="138"/>
      <c r="AD598" s="138"/>
      <c r="AE598" s="138"/>
      <c r="AF598" s="138"/>
      <c r="AG598" s="138"/>
      <c r="AH598" s="138"/>
      <c r="AI598" s="138"/>
      <c r="AJ598" s="138"/>
      <c r="AK598" s="138"/>
      <c r="AL598" s="138"/>
      <c r="AM598" s="138"/>
      <c r="AN598" s="138"/>
      <c r="AO598" s="138"/>
      <c r="AP598" s="138"/>
      <c r="AQ598" s="138"/>
      <c r="AR598" s="138"/>
      <c r="AS598" s="138"/>
    </row>
    <row r="599" spans="1:45" ht="15.75" hidden="1" customHeight="1">
      <c r="A599" s="132">
        <v>3</v>
      </c>
      <c r="B599" s="132" t="s">
        <v>50</v>
      </c>
      <c r="C599" s="182" t="s">
        <v>1171</v>
      </c>
      <c r="D599" s="182" t="s">
        <v>1172</v>
      </c>
      <c r="E599" s="182">
        <v>6</v>
      </c>
      <c r="F599" s="183">
        <v>40274</v>
      </c>
      <c r="G599" s="184" t="s">
        <v>1313</v>
      </c>
      <c r="H599" s="184" t="s">
        <v>1174</v>
      </c>
      <c r="I599" s="185" t="s">
        <v>1257</v>
      </c>
      <c r="J599" s="184" t="s">
        <v>358</v>
      </c>
      <c r="K599" s="184" t="s">
        <v>612</v>
      </c>
      <c r="L599" s="184" t="s">
        <v>966</v>
      </c>
      <c r="M599" s="182" t="s">
        <v>36</v>
      </c>
      <c r="N599" s="183">
        <v>44713</v>
      </c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  <c r="AB599" s="138"/>
      <c r="AC599" s="138"/>
      <c r="AD599" s="138"/>
      <c r="AE599" s="138"/>
      <c r="AF599" s="138"/>
      <c r="AG599" s="138"/>
      <c r="AH599" s="138"/>
      <c r="AI599" s="138"/>
      <c r="AJ599" s="138"/>
      <c r="AK599" s="138"/>
      <c r="AL599" s="138"/>
      <c r="AM599" s="138"/>
      <c r="AN599" s="138"/>
      <c r="AO599" s="138"/>
      <c r="AP599" s="138"/>
      <c r="AQ599" s="138"/>
      <c r="AR599" s="138"/>
      <c r="AS599" s="138"/>
    </row>
    <row r="600" spans="1:45" ht="15.75" hidden="1" customHeight="1">
      <c r="A600" s="132">
        <v>4</v>
      </c>
      <c r="B600" s="132" t="s">
        <v>91</v>
      </c>
      <c r="C600" s="182" t="s">
        <v>1171</v>
      </c>
      <c r="D600" s="182" t="s">
        <v>1172</v>
      </c>
      <c r="E600" s="182">
        <v>6</v>
      </c>
      <c r="F600" s="183">
        <v>40274</v>
      </c>
      <c r="G600" s="184" t="s">
        <v>1313</v>
      </c>
      <c r="H600" s="184" t="s">
        <v>1174</v>
      </c>
      <c r="I600" s="185" t="s">
        <v>1257</v>
      </c>
      <c r="J600" s="184" t="s">
        <v>221</v>
      </c>
      <c r="K600" s="184" t="s">
        <v>1015</v>
      </c>
      <c r="L600" s="184" t="s">
        <v>966</v>
      </c>
      <c r="M600" s="182" t="s">
        <v>36</v>
      </c>
      <c r="N600" s="183">
        <v>44713</v>
      </c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  <c r="AB600" s="138"/>
      <c r="AC600" s="138"/>
      <c r="AD600" s="138"/>
      <c r="AE600" s="138"/>
      <c r="AF600" s="138"/>
      <c r="AG600" s="138"/>
      <c r="AH600" s="138"/>
      <c r="AI600" s="138"/>
      <c r="AJ600" s="138"/>
      <c r="AK600" s="138"/>
      <c r="AL600" s="138"/>
      <c r="AM600" s="138"/>
      <c r="AN600" s="138"/>
      <c r="AO600" s="138"/>
      <c r="AP600" s="138"/>
      <c r="AQ600" s="138"/>
      <c r="AR600" s="138"/>
      <c r="AS600" s="138"/>
    </row>
    <row r="601" spans="1:45" ht="15.75" hidden="1" customHeight="1">
      <c r="A601" s="132">
        <v>1</v>
      </c>
      <c r="B601" s="132" t="s">
        <v>50</v>
      </c>
      <c r="C601" s="182" t="s">
        <v>659</v>
      </c>
      <c r="D601" s="182" t="s">
        <v>660</v>
      </c>
      <c r="E601" s="182">
        <v>4</v>
      </c>
      <c r="F601" s="183">
        <v>41186</v>
      </c>
      <c r="G601" s="184" t="s">
        <v>661</v>
      </c>
      <c r="H601" s="184" t="s">
        <v>662</v>
      </c>
      <c r="I601" s="185">
        <v>44517</v>
      </c>
      <c r="J601" s="184" t="s">
        <v>140</v>
      </c>
      <c r="K601" s="184" t="s">
        <v>272</v>
      </c>
      <c r="L601" s="184" t="s">
        <v>1314</v>
      </c>
      <c r="M601" s="182" t="s">
        <v>36</v>
      </c>
      <c r="N601" s="183">
        <v>44713</v>
      </c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  <c r="AB601" s="138"/>
      <c r="AC601" s="138"/>
      <c r="AD601" s="138"/>
      <c r="AE601" s="138"/>
      <c r="AF601" s="138"/>
      <c r="AG601" s="138"/>
      <c r="AH601" s="138"/>
      <c r="AI601" s="138"/>
      <c r="AJ601" s="138"/>
      <c r="AK601" s="138"/>
      <c r="AL601" s="138"/>
      <c r="AM601" s="138"/>
      <c r="AN601" s="138"/>
      <c r="AO601" s="138"/>
      <c r="AP601" s="138"/>
      <c r="AQ601" s="138"/>
      <c r="AR601" s="138"/>
      <c r="AS601" s="138"/>
    </row>
    <row r="602" spans="1:45" ht="15.75" hidden="1" customHeight="1">
      <c r="A602" s="132">
        <v>2</v>
      </c>
      <c r="B602" s="132" t="s">
        <v>91</v>
      </c>
      <c r="C602" s="182" t="s">
        <v>659</v>
      </c>
      <c r="D602" s="182" t="s">
        <v>660</v>
      </c>
      <c r="E602" s="182">
        <v>4</v>
      </c>
      <c r="F602" s="183">
        <v>41186</v>
      </c>
      <c r="G602" s="184" t="s">
        <v>661</v>
      </c>
      <c r="H602" s="184" t="s">
        <v>662</v>
      </c>
      <c r="I602" s="185">
        <v>44517</v>
      </c>
      <c r="J602" s="184" t="s">
        <v>156</v>
      </c>
      <c r="K602" s="184" t="s">
        <v>612</v>
      </c>
      <c r="L602" s="184" t="s">
        <v>1314</v>
      </c>
      <c r="M602" s="182" t="s">
        <v>36</v>
      </c>
      <c r="N602" s="183">
        <v>44713</v>
      </c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  <c r="AB602" s="138"/>
      <c r="AC602" s="138"/>
      <c r="AD602" s="138"/>
      <c r="AE602" s="138"/>
      <c r="AF602" s="138"/>
      <c r="AG602" s="138"/>
      <c r="AH602" s="138"/>
      <c r="AI602" s="138"/>
      <c r="AJ602" s="138"/>
      <c r="AK602" s="138"/>
      <c r="AL602" s="138"/>
      <c r="AM602" s="138"/>
      <c r="AN602" s="138"/>
      <c r="AO602" s="138"/>
      <c r="AP602" s="138"/>
      <c r="AQ602" s="138"/>
      <c r="AR602" s="138"/>
      <c r="AS602" s="138"/>
    </row>
    <row r="603" spans="1:45" ht="15.75" hidden="1" customHeight="1">
      <c r="A603" s="132">
        <v>3</v>
      </c>
      <c r="B603" s="132" t="s">
        <v>50</v>
      </c>
      <c r="C603" s="182" t="s">
        <v>1315</v>
      </c>
      <c r="D603" s="182" t="s">
        <v>1316</v>
      </c>
      <c r="E603" s="182">
        <v>1</v>
      </c>
      <c r="F603" s="183">
        <v>41922</v>
      </c>
      <c r="G603" s="184" t="s">
        <v>1317</v>
      </c>
      <c r="H603" s="184" t="s">
        <v>1318</v>
      </c>
      <c r="I603" s="185">
        <v>44426</v>
      </c>
      <c r="J603" s="184" t="s">
        <v>110</v>
      </c>
      <c r="K603" s="184" t="s">
        <v>272</v>
      </c>
      <c r="L603" s="184"/>
      <c r="M603" s="182" t="s">
        <v>36</v>
      </c>
      <c r="N603" s="183">
        <v>44713</v>
      </c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  <c r="AB603" s="138"/>
      <c r="AC603" s="138"/>
      <c r="AD603" s="138"/>
      <c r="AE603" s="138"/>
      <c r="AF603" s="138"/>
      <c r="AG603" s="138"/>
      <c r="AH603" s="138"/>
      <c r="AI603" s="138"/>
      <c r="AJ603" s="138"/>
      <c r="AK603" s="138"/>
      <c r="AL603" s="138"/>
      <c r="AM603" s="138"/>
      <c r="AN603" s="138"/>
      <c r="AO603" s="138"/>
      <c r="AP603" s="138"/>
      <c r="AQ603" s="138"/>
      <c r="AR603" s="138"/>
      <c r="AS603" s="138"/>
    </row>
    <row r="604" spans="1:45" ht="15.75" hidden="1" customHeight="1">
      <c r="A604" s="132">
        <v>4</v>
      </c>
      <c r="B604" s="132" t="s">
        <v>91</v>
      </c>
      <c r="C604" s="182" t="s">
        <v>1315</v>
      </c>
      <c r="D604" s="182" t="s">
        <v>1316</v>
      </c>
      <c r="E604" s="182">
        <v>1</v>
      </c>
      <c r="F604" s="183">
        <v>41922</v>
      </c>
      <c r="G604" s="184" t="s">
        <v>1317</v>
      </c>
      <c r="H604" s="184" t="s">
        <v>1318</v>
      </c>
      <c r="I604" s="185">
        <v>44426</v>
      </c>
      <c r="J604" s="184" t="s">
        <v>156</v>
      </c>
      <c r="K604" s="184" t="s">
        <v>612</v>
      </c>
      <c r="L604" s="184"/>
      <c r="M604" s="182" t="s">
        <v>36</v>
      </c>
      <c r="N604" s="183">
        <v>44713</v>
      </c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  <c r="AB604" s="138"/>
      <c r="AC604" s="138"/>
      <c r="AD604" s="138"/>
      <c r="AE604" s="138"/>
      <c r="AF604" s="138"/>
      <c r="AG604" s="138"/>
      <c r="AH604" s="138"/>
      <c r="AI604" s="138"/>
      <c r="AJ604" s="138"/>
      <c r="AK604" s="138"/>
      <c r="AL604" s="138"/>
      <c r="AM604" s="138"/>
      <c r="AN604" s="138"/>
      <c r="AO604" s="138"/>
      <c r="AP604" s="138"/>
      <c r="AQ604" s="138"/>
      <c r="AR604" s="138"/>
      <c r="AS604" s="138"/>
    </row>
    <row r="605" spans="1:45" ht="15.75" hidden="1" customHeight="1">
      <c r="A605" s="132">
        <v>5</v>
      </c>
      <c r="B605" s="132" t="s">
        <v>91</v>
      </c>
      <c r="C605" s="182" t="s">
        <v>986</v>
      </c>
      <c r="D605" s="182" t="s">
        <v>987</v>
      </c>
      <c r="E605" s="182">
        <v>6</v>
      </c>
      <c r="F605" s="183">
        <v>39827</v>
      </c>
      <c r="G605" s="184" t="s">
        <v>1319</v>
      </c>
      <c r="H605" s="184" t="s">
        <v>1107</v>
      </c>
      <c r="I605" s="185">
        <v>44440</v>
      </c>
      <c r="J605" s="184" t="s">
        <v>1320</v>
      </c>
      <c r="K605" s="184" t="s">
        <v>612</v>
      </c>
      <c r="L605" s="184"/>
      <c r="M605" s="182" t="s">
        <v>36</v>
      </c>
      <c r="N605" s="183">
        <v>44713</v>
      </c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  <c r="AB605" s="138"/>
      <c r="AC605" s="138"/>
      <c r="AD605" s="138"/>
      <c r="AE605" s="138"/>
      <c r="AF605" s="138"/>
      <c r="AG605" s="138"/>
      <c r="AH605" s="138"/>
      <c r="AI605" s="138"/>
      <c r="AJ605" s="138"/>
      <c r="AK605" s="138"/>
      <c r="AL605" s="138"/>
      <c r="AM605" s="138"/>
      <c r="AN605" s="138"/>
      <c r="AO605" s="138"/>
      <c r="AP605" s="138"/>
      <c r="AQ605" s="138"/>
      <c r="AR605" s="138"/>
      <c r="AS605" s="138"/>
    </row>
    <row r="606" spans="1:45" ht="15.75" hidden="1" customHeight="1">
      <c r="A606" s="132">
        <v>6</v>
      </c>
      <c r="B606" s="132" t="s">
        <v>50</v>
      </c>
      <c r="C606" s="182" t="s">
        <v>633</v>
      </c>
      <c r="D606" s="182" t="s">
        <v>987</v>
      </c>
      <c r="E606" s="182" t="s">
        <v>190</v>
      </c>
      <c r="F606" s="183">
        <v>41870</v>
      </c>
      <c r="G606" s="184" t="s">
        <v>1159</v>
      </c>
      <c r="H606" s="184" t="s">
        <v>635</v>
      </c>
      <c r="I606" s="185">
        <v>44426</v>
      </c>
      <c r="J606" s="184" t="s">
        <v>261</v>
      </c>
      <c r="K606" s="184" t="s">
        <v>272</v>
      </c>
      <c r="L606" s="184" t="s">
        <v>1314</v>
      </c>
      <c r="M606" s="182" t="s">
        <v>36</v>
      </c>
      <c r="N606" s="183">
        <v>44713</v>
      </c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  <c r="AB606" s="138"/>
      <c r="AC606" s="138"/>
      <c r="AD606" s="138"/>
      <c r="AE606" s="138"/>
      <c r="AF606" s="138"/>
      <c r="AG606" s="138"/>
      <c r="AH606" s="138"/>
      <c r="AI606" s="138"/>
      <c r="AJ606" s="138"/>
      <c r="AK606" s="138"/>
      <c r="AL606" s="138"/>
      <c r="AM606" s="138"/>
      <c r="AN606" s="138"/>
      <c r="AO606" s="138"/>
      <c r="AP606" s="138"/>
      <c r="AQ606" s="138"/>
      <c r="AR606" s="138"/>
      <c r="AS606" s="138"/>
    </row>
    <row r="607" spans="1:45" ht="15.75" hidden="1" customHeight="1">
      <c r="A607" s="132">
        <v>7</v>
      </c>
      <c r="B607" s="132" t="s">
        <v>91</v>
      </c>
      <c r="C607" s="182" t="s">
        <v>633</v>
      </c>
      <c r="D607" s="182" t="s">
        <v>987</v>
      </c>
      <c r="E607" s="182" t="s">
        <v>190</v>
      </c>
      <c r="F607" s="183">
        <v>41870</v>
      </c>
      <c r="G607" s="184" t="s">
        <v>1159</v>
      </c>
      <c r="H607" s="184" t="s">
        <v>635</v>
      </c>
      <c r="I607" s="185">
        <v>44426</v>
      </c>
      <c r="J607" s="184" t="s">
        <v>121</v>
      </c>
      <c r="K607" s="184" t="s">
        <v>276</v>
      </c>
      <c r="L607" s="184" t="s">
        <v>1314</v>
      </c>
      <c r="M607" s="182" t="s">
        <v>36</v>
      </c>
      <c r="N607" s="183">
        <v>44713</v>
      </c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  <c r="AB607" s="138"/>
      <c r="AC607" s="138"/>
      <c r="AD607" s="138"/>
      <c r="AE607" s="138"/>
      <c r="AF607" s="138"/>
      <c r="AG607" s="138"/>
      <c r="AH607" s="138"/>
      <c r="AI607" s="138"/>
      <c r="AJ607" s="138"/>
      <c r="AK607" s="138"/>
      <c r="AL607" s="138"/>
      <c r="AM607" s="138"/>
      <c r="AN607" s="138"/>
      <c r="AO607" s="138"/>
      <c r="AP607" s="138"/>
      <c r="AQ607" s="138"/>
      <c r="AR607" s="138"/>
      <c r="AS607" s="138"/>
    </row>
    <row r="608" spans="1:45" ht="15.75" hidden="1" customHeight="1">
      <c r="A608" s="132">
        <v>8</v>
      </c>
      <c r="B608" s="132" t="s">
        <v>50</v>
      </c>
      <c r="C608" s="182" t="s">
        <v>1121</v>
      </c>
      <c r="D608" s="182" t="s">
        <v>1321</v>
      </c>
      <c r="E608" s="182" t="s">
        <v>190</v>
      </c>
      <c r="F608" s="183">
        <v>42633</v>
      </c>
      <c r="G608" s="184" t="s">
        <v>1322</v>
      </c>
      <c r="H608" s="184" t="s">
        <v>1323</v>
      </c>
      <c r="I608" s="185">
        <v>44536</v>
      </c>
      <c r="J608" s="184" t="s">
        <v>1324</v>
      </c>
      <c r="K608" s="184" t="s">
        <v>272</v>
      </c>
      <c r="L608" s="184" t="s">
        <v>1314</v>
      </c>
      <c r="M608" s="182" t="s">
        <v>36</v>
      </c>
      <c r="N608" s="183">
        <v>44713</v>
      </c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  <c r="AB608" s="138"/>
      <c r="AC608" s="138"/>
      <c r="AD608" s="138"/>
      <c r="AE608" s="138"/>
      <c r="AF608" s="138"/>
      <c r="AG608" s="138"/>
      <c r="AH608" s="138"/>
      <c r="AI608" s="138"/>
      <c r="AJ608" s="138"/>
      <c r="AK608" s="138"/>
      <c r="AL608" s="138"/>
      <c r="AM608" s="138"/>
      <c r="AN608" s="138"/>
      <c r="AO608" s="138"/>
      <c r="AP608" s="138"/>
      <c r="AQ608" s="138"/>
      <c r="AR608" s="138"/>
      <c r="AS608" s="138"/>
    </row>
    <row r="609" spans="1:45" ht="15.75" hidden="1" customHeight="1">
      <c r="A609" s="132">
        <v>9</v>
      </c>
      <c r="B609" s="132" t="s">
        <v>91</v>
      </c>
      <c r="C609" s="182" t="s">
        <v>1121</v>
      </c>
      <c r="D609" s="182" t="s">
        <v>1321</v>
      </c>
      <c r="E609" s="182" t="s">
        <v>190</v>
      </c>
      <c r="F609" s="183">
        <v>42633</v>
      </c>
      <c r="G609" s="184" t="s">
        <v>1322</v>
      </c>
      <c r="H609" s="184" t="s">
        <v>1323</v>
      </c>
      <c r="I609" s="185">
        <v>44536</v>
      </c>
      <c r="J609" s="184" t="s">
        <v>1325</v>
      </c>
      <c r="K609" s="184" t="s">
        <v>272</v>
      </c>
      <c r="L609" s="184" t="s">
        <v>1314</v>
      </c>
      <c r="M609" s="182" t="s">
        <v>36</v>
      </c>
      <c r="N609" s="183">
        <v>44713</v>
      </c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  <c r="AB609" s="138"/>
      <c r="AC609" s="138"/>
      <c r="AD609" s="138"/>
      <c r="AE609" s="138"/>
      <c r="AF609" s="138"/>
      <c r="AG609" s="138"/>
      <c r="AH609" s="138"/>
      <c r="AI609" s="138"/>
      <c r="AJ609" s="138"/>
      <c r="AK609" s="138"/>
      <c r="AL609" s="138"/>
      <c r="AM609" s="138"/>
      <c r="AN609" s="138"/>
      <c r="AO609" s="138"/>
      <c r="AP609" s="138"/>
      <c r="AQ609" s="138"/>
      <c r="AR609" s="138"/>
      <c r="AS609" s="138"/>
    </row>
    <row r="610" spans="1:45" ht="15.75" hidden="1" customHeight="1">
      <c r="A610" s="132">
        <v>10</v>
      </c>
      <c r="B610" s="132" t="s">
        <v>50</v>
      </c>
      <c r="C610" s="182" t="s">
        <v>375</v>
      </c>
      <c r="D610" s="182" t="s">
        <v>888</v>
      </c>
      <c r="E610" s="182">
        <v>5</v>
      </c>
      <c r="F610" s="183">
        <v>40477</v>
      </c>
      <c r="G610" s="184" t="s">
        <v>889</v>
      </c>
      <c r="H610" s="184" t="s">
        <v>1326</v>
      </c>
      <c r="I610" s="185">
        <v>44531</v>
      </c>
      <c r="J610" s="184" t="s">
        <v>255</v>
      </c>
      <c r="K610" s="184" t="s">
        <v>663</v>
      </c>
      <c r="L610" s="184" t="s">
        <v>1327</v>
      </c>
      <c r="M610" s="182" t="s">
        <v>36</v>
      </c>
      <c r="N610" s="183">
        <v>44713</v>
      </c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  <c r="AB610" s="138"/>
      <c r="AC610" s="138"/>
      <c r="AD610" s="138"/>
      <c r="AE610" s="138"/>
      <c r="AF610" s="138"/>
      <c r="AG610" s="138"/>
      <c r="AH610" s="138"/>
      <c r="AI610" s="138"/>
      <c r="AJ610" s="138"/>
      <c r="AK610" s="138"/>
      <c r="AL610" s="138"/>
      <c r="AM610" s="138"/>
      <c r="AN610" s="138"/>
      <c r="AO610" s="138"/>
      <c r="AP610" s="138"/>
      <c r="AQ610" s="138"/>
      <c r="AR610" s="138"/>
      <c r="AS610" s="138"/>
    </row>
    <row r="611" spans="1:45" ht="15.75" hidden="1" customHeight="1">
      <c r="A611" s="132">
        <v>11</v>
      </c>
      <c r="B611" s="132" t="s">
        <v>91</v>
      </c>
      <c r="C611" s="182" t="s">
        <v>375</v>
      </c>
      <c r="D611" s="182" t="s">
        <v>888</v>
      </c>
      <c r="E611" s="182">
        <v>5</v>
      </c>
      <c r="F611" s="183">
        <v>40477</v>
      </c>
      <c r="G611" s="184" t="s">
        <v>889</v>
      </c>
      <c r="H611" s="184" t="s">
        <v>1326</v>
      </c>
      <c r="I611" s="185">
        <v>44531</v>
      </c>
      <c r="J611" s="184" t="s">
        <v>238</v>
      </c>
      <c r="K611" s="184" t="s">
        <v>1152</v>
      </c>
      <c r="L611" s="184" t="s">
        <v>1327</v>
      </c>
      <c r="M611" s="182" t="s">
        <v>36</v>
      </c>
      <c r="N611" s="183">
        <v>44713</v>
      </c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  <c r="AB611" s="138"/>
      <c r="AC611" s="138"/>
      <c r="AD611" s="138"/>
      <c r="AE611" s="138"/>
      <c r="AF611" s="138"/>
      <c r="AG611" s="138"/>
      <c r="AH611" s="138"/>
      <c r="AI611" s="138"/>
      <c r="AJ611" s="138"/>
      <c r="AK611" s="138"/>
      <c r="AL611" s="138"/>
      <c r="AM611" s="138"/>
      <c r="AN611" s="138"/>
      <c r="AO611" s="138"/>
      <c r="AP611" s="138"/>
      <c r="AQ611" s="138"/>
      <c r="AR611" s="138"/>
      <c r="AS611" s="138"/>
    </row>
    <row r="612" spans="1:45" ht="15.75" hidden="1" customHeight="1">
      <c r="A612" s="132">
        <v>12</v>
      </c>
      <c r="B612" s="132" t="s">
        <v>50</v>
      </c>
      <c r="C612" s="182" t="s">
        <v>633</v>
      </c>
      <c r="D612" s="182" t="s">
        <v>1328</v>
      </c>
      <c r="E612" s="182">
        <v>1</v>
      </c>
      <c r="F612" s="183">
        <v>41684</v>
      </c>
      <c r="G612" s="184" t="s">
        <v>1329</v>
      </c>
      <c r="H612" s="184" t="s">
        <v>1330</v>
      </c>
      <c r="I612" s="185">
        <v>44001</v>
      </c>
      <c r="J612" s="184" t="s">
        <v>358</v>
      </c>
      <c r="K612" s="184" t="s">
        <v>1152</v>
      </c>
      <c r="L612" s="184" t="s">
        <v>1314</v>
      </c>
      <c r="M612" s="182" t="s">
        <v>36</v>
      </c>
      <c r="N612" s="183">
        <v>44713</v>
      </c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  <c r="AB612" s="138"/>
      <c r="AC612" s="138"/>
      <c r="AD612" s="138"/>
      <c r="AE612" s="138"/>
      <c r="AF612" s="138"/>
      <c r="AG612" s="138"/>
      <c r="AH612" s="138"/>
      <c r="AI612" s="138"/>
      <c r="AJ612" s="138"/>
      <c r="AK612" s="138"/>
      <c r="AL612" s="138"/>
      <c r="AM612" s="138"/>
      <c r="AN612" s="138"/>
      <c r="AO612" s="138"/>
      <c r="AP612" s="138"/>
      <c r="AQ612" s="138"/>
      <c r="AR612" s="138"/>
      <c r="AS612" s="138"/>
    </row>
    <row r="613" spans="1:45" ht="15.75" hidden="1" customHeight="1">
      <c r="A613" s="132">
        <v>13</v>
      </c>
      <c r="B613" s="132" t="s">
        <v>91</v>
      </c>
      <c r="C613" s="182" t="s">
        <v>633</v>
      </c>
      <c r="D613" s="182" t="s">
        <v>1328</v>
      </c>
      <c r="E613" s="182">
        <v>1</v>
      </c>
      <c r="F613" s="183">
        <v>41684</v>
      </c>
      <c r="G613" s="184" t="s">
        <v>1329</v>
      </c>
      <c r="H613" s="184" t="s">
        <v>1330</v>
      </c>
      <c r="I613" s="185">
        <v>44001</v>
      </c>
      <c r="J613" s="184" t="s">
        <v>188</v>
      </c>
      <c r="K613" s="184" t="s">
        <v>612</v>
      </c>
      <c r="L613" s="184" t="s">
        <v>1314</v>
      </c>
      <c r="M613" s="182" t="s">
        <v>36</v>
      </c>
      <c r="N613" s="183">
        <v>44713</v>
      </c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  <c r="AB613" s="138"/>
      <c r="AC613" s="138"/>
      <c r="AD613" s="138"/>
      <c r="AE613" s="138"/>
      <c r="AF613" s="138"/>
      <c r="AG613" s="138"/>
      <c r="AH613" s="138"/>
      <c r="AI613" s="138"/>
      <c r="AJ613" s="138"/>
      <c r="AK613" s="138"/>
      <c r="AL613" s="138"/>
      <c r="AM613" s="138"/>
      <c r="AN613" s="138"/>
      <c r="AO613" s="138"/>
      <c r="AP613" s="138"/>
      <c r="AQ613" s="138"/>
      <c r="AR613" s="138"/>
      <c r="AS613" s="138"/>
    </row>
    <row r="614" spans="1:45" ht="15.75" hidden="1" customHeight="1">
      <c r="A614" s="132">
        <v>14</v>
      </c>
      <c r="B614" s="132" t="s">
        <v>50</v>
      </c>
      <c r="C614" s="182" t="s">
        <v>463</v>
      </c>
      <c r="D614" s="182" t="s">
        <v>287</v>
      </c>
      <c r="E614" s="182">
        <v>2</v>
      </c>
      <c r="F614" s="183">
        <v>41349</v>
      </c>
      <c r="G614" s="184" t="s">
        <v>1331</v>
      </c>
      <c r="H614" s="184" t="s">
        <v>1332</v>
      </c>
      <c r="I614" s="185">
        <v>44038</v>
      </c>
      <c r="J614" s="184" t="s">
        <v>358</v>
      </c>
      <c r="K614" s="184" t="s">
        <v>276</v>
      </c>
      <c r="L614" s="184" t="s">
        <v>1314</v>
      </c>
      <c r="M614" s="182" t="s">
        <v>36</v>
      </c>
      <c r="N614" s="183">
        <v>44713</v>
      </c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  <c r="AB614" s="138"/>
      <c r="AC614" s="138"/>
      <c r="AD614" s="138"/>
      <c r="AE614" s="138"/>
      <c r="AF614" s="138"/>
      <c r="AG614" s="138"/>
      <c r="AH614" s="138"/>
      <c r="AI614" s="138"/>
      <c r="AJ614" s="138"/>
      <c r="AK614" s="138"/>
      <c r="AL614" s="138"/>
      <c r="AM614" s="138"/>
      <c r="AN614" s="138"/>
      <c r="AO614" s="138"/>
      <c r="AP614" s="138"/>
      <c r="AQ614" s="138"/>
      <c r="AR614" s="138"/>
      <c r="AS614" s="138"/>
    </row>
    <row r="615" spans="1:45" ht="15.75" hidden="1" customHeight="1">
      <c r="A615" s="132">
        <v>15</v>
      </c>
      <c r="B615" s="132" t="s">
        <v>91</v>
      </c>
      <c r="C615" s="182" t="s">
        <v>463</v>
      </c>
      <c r="D615" s="182" t="s">
        <v>287</v>
      </c>
      <c r="E615" s="182">
        <v>2</v>
      </c>
      <c r="F615" s="183">
        <v>41349</v>
      </c>
      <c r="G615" s="184" t="s">
        <v>1331</v>
      </c>
      <c r="H615" s="184" t="s">
        <v>1332</v>
      </c>
      <c r="I615" s="185">
        <v>44038</v>
      </c>
      <c r="J615" s="184" t="s">
        <v>141</v>
      </c>
      <c r="K615" s="184" t="s">
        <v>612</v>
      </c>
      <c r="L615" s="184" t="s">
        <v>1314</v>
      </c>
      <c r="M615" s="182" t="s">
        <v>36</v>
      </c>
      <c r="N615" s="183">
        <v>44713</v>
      </c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  <c r="AB615" s="138"/>
      <c r="AC615" s="138"/>
      <c r="AD615" s="138"/>
      <c r="AE615" s="138"/>
      <c r="AF615" s="138"/>
      <c r="AG615" s="138"/>
      <c r="AH615" s="138"/>
      <c r="AI615" s="138"/>
      <c r="AJ615" s="138"/>
      <c r="AK615" s="138"/>
      <c r="AL615" s="138"/>
      <c r="AM615" s="138"/>
      <c r="AN615" s="138"/>
      <c r="AO615" s="138"/>
      <c r="AP615" s="138"/>
      <c r="AQ615" s="138"/>
      <c r="AR615" s="138"/>
      <c r="AS615" s="138"/>
    </row>
    <row r="616" spans="1:45" ht="15.75" hidden="1" customHeight="1">
      <c r="A616" s="132">
        <v>16</v>
      </c>
      <c r="B616" s="132" t="s">
        <v>50</v>
      </c>
      <c r="C616" s="182" t="s">
        <v>200</v>
      </c>
      <c r="D616" s="182" t="s">
        <v>1285</v>
      </c>
      <c r="E616" s="182">
        <v>6</v>
      </c>
      <c r="F616" s="183">
        <v>40461</v>
      </c>
      <c r="G616" s="184" t="s">
        <v>1286</v>
      </c>
      <c r="H616" s="184" t="s">
        <v>1287</v>
      </c>
      <c r="I616" s="185">
        <v>44518</v>
      </c>
      <c r="J616" s="184" t="s">
        <v>186</v>
      </c>
      <c r="K616" s="184" t="s">
        <v>612</v>
      </c>
      <c r="L616" s="184" t="s">
        <v>1333</v>
      </c>
      <c r="M616" s="182" t="s">
        <v>36</v>
      </c>
      <c r="N616" s="183">
        <v>44713</v>
      </c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  <c r="AB616" s="138"/>
      <c r="AC616" s="138"/>
      <c r="AD616" s="138"/>
      <c r="AE616" s="138"/>
      <c r="AF616" s="138"/>
      <c r="AG616" s="138"/>
      <c r="AH616" s="138"/>
      <c r="AI616" s="138"/>
      <c r="AJ616" s="138"/>
      <c r="AK616" s="138"/>
      <c r="AL616" s="138"/>
      <c r="AM616" s="138"/>
      <c r="AN616" s="138"/>
      <c r="AO616" s="138"/>
      <c r="AP616" s="138"/>
      <c r="AQ616" s="138"/>
      <c r="AR616" s="138"/>
      <c r="AS616" s="138"/>
    </row>
    <row r="617" spans="1:45" ht="15.75" hidden="1" customHeight="1">
      <c r="A617" s="132">
        <v>17</v>
      </c>
      <c r="B617" s="132" t="s">
        <v>50</v>
      </c>
      <c r="C617" s="182" t="s">
        <v>633</v>
      </c>
      <c r="D617" s="182" t="s">
        <v>632</v>
      </c>
      <c r="E617" s="182">
        <v>4</v>
      </c>
      <c r="F617" s="183">
        <v>40492</v>
      </c>
      <c r="G617" s="184" t="s">
        <v>1159</v>
      </c>
      <c r="H617" s="184" t="s">
        <v>635</v>
      </c>
      <c r="I617" s="185">
        <v>44426</v>
      </c>
      <c r="J617" s="184" t="s">
        <v>204</v>
      </c>
      <c r="K617" s="184" t="s">
        <v>612</v>
      </c>
      <c r="L617" s="184"/>
      <c r="M617" s="182" t="s">
        <v>36</v>
      </c>
      <c r="N617" s="183">
        <v>44713</v>
      </c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  <c r="AB617" s="138"/>
      <c r="AC617" s="138"/>
      <c r="AD617" s="138"/>
      <c r="AE617" s="138"/>
      <c r="AF617" s="138"/>
      <c r="AG617" s="138"/>
      <c r="AH617" s="138"/>
      <c r="AI617" s="138"/>
      <c r="AJ617" s="138"/>
      <c r="AK617" s="138"/>
      <c r="AL617" s="138"/>
      <c r="AM617" s="138"/>
      <c r="AN617" s="138"/>
      <c r="AO617" s="138"/>
      <c r="AP617" s="138"/>
      <c r="AQ617" s="138"/>
      <c r="AR617" s="138"/>
      <c r="AS617" s="138"/>
    </row>
    <row r="618" spans="1:45" ht="15.75" hidden="1" customHeight="1">
      <c r="A618" s="132">
        <v>18</v>
      </c>
      <c r="B618" s="132" t="s">
        <v>91</v>
      </c>
      <c r="C618" s="182" t="s">
        <v>633</v>
      </c>
      <c r="D618" s="182" t="s">
        <v>632</v>
      </c>
      <c r="E618" s="182">
        <v>4</v>
      </c>
      <c r="F618" s="183">
        <v>40492</v>
      </c>
      <c r="G618" s="184" t="s">
        <v>1159</v>
      </c>
      <c r="H618" s="184" t="s">
        <v>635</v>
      </c>
      <c r="I618" s="185">
        <v>44426</v>
      </c>
      <c r="J618" s="184" t="s">
        <v>221</v>
      </c>
      <c r="K618" s="184" t="s">
        <v>612</v>
      </c>
      <c r="L618" s="184"/>
      <c r="M618" s="182" t="s">
        <v>36</v>
      </c>
      <c r="N618" s="183">
        <v>44713</v>
      </c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  <c r="AB618" s="138"/>
      <c r="AC618" s="138"/>
      <c r="AD618" s="138"/>
      <c r="AE618" s="138"/>
      <c r="AF618" s="138"/>
      <c r="AG618" s="138"/>
      <c r="AH618" s="138"/>
      <c r="AI618" s="138"/>
      <c r="AJ618" s="138"/>
      <c r="AK618" s="138"/>
      <c r="AL618" s="138"/>
      <c r="AM618" s="138"/>
      <c r="AN618" s="138"/>
      <c r="AO618" s="138"/>
      <c r="AP618" s="138"/>
      <c r="AQ618" s="138"/>
      <c r="AR618" s="138"/>
      <c r="AS618" s="138"/>
    </row>
    <row r="619" spans="1:45" ht="15.75" hidden="1" customHeight="1">
      <c r="A619" s="132">
        <v>19</v>
      </c>
      <c r="B619" s="132" t="s">
        <v>50</v>
      </c>
      <c r="C619" s="182" t="s">
        <v>277</v>
      </c>
      <c r="D619" s="182" t="s">
        <v>278</v>
      </c>
      <c r="E619" s="182">
        <v>1</v>
      </c>
      <c r="F619" s="183">
        <v>42157</v>
      </c>
      <c r="G619" s="184" t="s">
        <v>1334</v>
      </c>
      <c r="H619" s="184" t="s">
        <v>280</v>
      </c>
      <c r="I619" s="185">
        <v>44579</v>
      </c>
      <c r="J619" s="184" t="s">
        <v>231</v>
      </c>
      <c r="K619" s="184" t="s">
        <v>276</v>
      </c>
      <c r="L619" s="184" t="s">
        <v>1314</v>
      </c>
      <c r="M619" s="182" t="s">
        <v>36</v>
      </c>
      <c r="N619" s="183">
        <v>44713</v>
      </c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  <c r="AB619" s="138"/>
      <c r="AC619" s="138"/>
      <c r="AD619" s="138"/>
      <c r="AE619" s="138"/>
      <c r="AF619" s="138"/>
      <c r="AG619" s="138"/>
      <c r="AH619" s="138"/>
      <c r="AI619" s="138"/>
      <c r="AJ619" s="138"/>
      <c r="AK619" s="138"/>
      <c r="AL619" s="138"/>
      <c r="AM619" s="138"/>
      <c r="AN619" s="138"/>
      <c r="AO619" s="138"/>
      <c r="AP619" s="138"/>
      <c r="AQ619" s="138"/>
      <c r="AR619" s="138"/>
      <c r="AS619" s="138"/>
    </row>
    <row r="620" spans="1:45" ht="15.75" hidden="1" customHeight="1">
      <c r="A620" s="132">
        <v>20</v>
      </c>
      <c r="B620" s="132" t="s">
        <v>91</v>
      </c>
      <c r="C620" s="182" t="s">
        <v>277</v>
      </c>
      <c r="D620" s="182" t="s">
        <v>278</v>
      </c>
      <c r="E620" s="182">
        <v>1</v>
      </c>
      <c r="F620" s="183">
        <v>42157</v>
      </c>
      <c r="G620" s="184" t="s">
        <v>1334</v>
      </c>
      <c r="H620" s="184" t="s">
        <v>280</v>
      </c>
      <c r="I620" s="185">
        <v>44579</v>
      </c>
      <c r="J620" s="184" t="s">
        <v>156</v>
      </c>
      <c r="K620" s="184" t="s">
        <v>276</v>
      </c>
      <c r="L620" s="184" t="s">
        <v>1314</v>
      </c>
      <c r="M620" s="182" t="s">
        <v>36</v>
      </c>
      <c r="N620" s="183">
        <v>44713</v>
      </c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  <c r="AB620" s="138"/>
      <c r="AC620" s="138"/>
      <c r="AD620" s="138"/>
      <c r="AE620" s="138"/>
      <c r="AF620" s="138"/>
      <c r="AG620" s="138"/>
      <c r="AH620" s="138"/>
      <c r="AI620" s="138"/>
      <c r="AJ620" s="138"/>
      <c r="AK620" s="138"/>
      <c r="AL620" s="138"/>
      <c r="AM620" s="138"/>
      <c r="AN620" s="138"/>
      <c r="AO620" s="138"/>
      <c r="AP620" s="138"/>
      <c r="AQ620" s="138"/>
      <c r="AR620" s="138"/>
      <c r="AS620" s="138"/>
    </row>
    <row r="621" spans="1:45" ht="15.75" hidden="1" customHeight="1">
      <c r="A621" s="132">
        <v>21</v>
      </c>
      <c r="B621" s="132" t="s">
        <v>50</v>
      </c>
      <c r="C621" s="182" t="s">
        <v>781</v>
      </c>
      <c r="D621" s="182" t="s">
        <v>1254</v>
      </c>
      <c r="E621" s="182">
        <v>5</v>
      </c>
      <c r="F621" s="183">
        <v>40809</v>
      </c>
      <c r="G621" s="184" t="s">
        <v>1255</v>
      </c>
      <c r="H621" s="184" t="s">
        <v>1256</v>
      </c>
      <c r="I621" s="185">
        <v>44593</v>
      </c>
      <c r="J621" s="184" t="s">
        <v>255</v>
      </c>
      <c r="K621" s="184" t="s">
        <v>612</v>
      </c>
      <c r="L621" s="184" t="s">
        <v>1314</v>
      </c>
      <c r="M621" s="182" t="s">
        <v>36</v>
      </c>
      <c r="N621" s="183">
        <v>44713</v>
      </c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  <c r="AB621" s="138"/>
      <c r="AC621" s="138"/>
      <c r="AD621" s="138"/>
      <c r="AE621" s="138"/>
      <c r="AF621" s="138"/>
      <c r="AG621" s="138"/>
      <c r="AH621" s="138"/>
      <c r="AI621" s="138"/>
      <c r="AJ621" s="138"/>
      <c r="AK621" s="138"/>
      <c r="AL621" s="138"/>
      <c r="AM621" s="138"/>
      <c r="AN621" s="138"/>
      <c r="AO621" s="138"/>
      <c r="AP621" s="138"/>
      <c r="AQ621" s="138"/>
      <c r="AR621" s="138"/>
      <c r="AS621" s="138"/>
    </row>
    <row r="622" spans="1:45" ht="15.75" hidden="1" customHeight="1">
      <c r="A622" s="132">
        <v>22</v>
      </c>
      <c r="B622" s="132" t="s">
        <v>91</v>
      </c>
      <c r="C622" s="182" t="s">
        <v>781</v>
      </c>
      <c r="D622" s="182" t="s">
        <v>1254</v>
      </c>
      <c r="E622" s="182">
        <v>5</v>
      </c>
      <c r="F622" s="183">
        <v>40809</v>
      </c>
      <c r="G622" s="184" t="s">
        <v>1255</v>
      </c>
      <c r="H622" s="184" t="s">
        <v>1256</v>
      </c>
      <c r="I622" s="185">
        <v>44593</v>
      </c>
      <c r="J622" s="184" t="s">
        <v>221</v>
      </c>
      <c r="K622" s="184" t="s">
        <v>612</v>
      </c>
      <c r="L622" s="184" t="s">
        <v>1314</v>
      </c>
      <c r="M622" s="182" t="s">
        <v>36</v>
      </c>
      <c r="N622" s="183">
        <v>44713</v>
      </c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  <c r="AB622" s="138"/>
      <c r="AC622" s="138"/>
      <c r="AD622" s="138"/>
      <c r="AE622" s="138"/>
      <c r="AF622" s="138"/>
      <c r="AG622" s="138"/>
      <c r="AH622" s="138"/>
      <c r="AI622" s="138"/>
      <c r="AJ622" s="138"/>
      <c r="AK622" s="138"/>
      <c r="AL622" s="138"/>
      <c r="AM622" s="138"/>
      <c r="AN622" s="138"/>
      <c r="AO622" s="138"/>
      <c r="AP622" s="138"/>
      <c r="AQ622" s="138"/>
      <c r="AR622" s="138"/>
      <c r="AS622" s="138"/>
    </row>
    <row r="623" spans="1:45" ht="15.75" hidden="1" customHeight="1">
      <c r="A623" s="132">
        <v>23</v>
      </c>
      <c r="B623" s="132" t="s">
        <v>50</v>
      </c>
      <c r="C623" s="182" t="s">
        <v>463</v>
      </c>
      <c r="D623" s="182" t="s">
        <v>1335</v>
      </c>
      <c r="E623" s="182">
        <v>1</v>
      </c>
      <c r="F623" s="183">
        <v>42122</v>
      </c>
      <c r="G623" s="184" t="s">
        <v>1336</v>
      </c>
      <c r="H623" s="184" t="s">
        <v>1337</v>
      </c>
      <c r="I623" s="185">
        <v>44519</v>
      </c>
      <c r="J623" s="184" t="s">
        <v>308</v>
      </c>
      <c r="K623" s="184" t="s">
        <v>272</v>
      </c>
      <c r="L623" s="184"/>
      <c r="M623" s="182" t="s">
        <v>36</v>
      </c>
      <c r="N623" s="183">
        <v>44713</v>
      </c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  <c r="AB623" s="138"/>
      <c r="AC623" s="138"/>
      <c r="AD623" s="138"/>
      <c r="AE623" s="138"/>
      <c r="AF623" s="138"/>
      <c r="AG623" s="138"/>
      <c r="AH623" s="138"/>
      <c r="AI623" s="138"/>
      <c r="AJ623" s="138"/>
      <c r="AK623" s="138"/>
      <c r="AL623" s="138"/>
      <c r="AM623" s="138"/>
      <c r="AN623" s="138"/>
      <c r="AO623" s="138"/>
      <c r="AP623" s="138"/>
      <c r="AQ623" s="138"/>
      <c r="AR623" s="138"/>
      <c r="AS623" s="138"/>
    </row>
    <row r="624" spans="1:45" ht="15.75" hidden="1" customHeight="1">
      <c r="A624" s="132">
        <v>24</v>
      </c>
      <c r="B624" s="132" t="s">
        <v>91</v>
      </c>
      <c r="C624" s="182" t="s">
        <v>463</v>
      </c>
      <c r="D624" s="182" t="s">
        <v>1335</v>
      </c>
      <c r="E624" s="182">
        <v>1</v>
      </c>
      <c r="F624" s="183">
        <v>42122</v>
      </c>
      <c r="G624" s="184" t="s">
        <v>1336</v>
      </c>
      <c r="H624" s="184" t="s">
        <v>1337</v>
      </c>
      <c r="I624" s="185">
        <v>44519</v>
      </c>
      <c r="J624" s="184" t="s">
        <v>112</v>
      </c>
      <c r="K624" s="184" t="s">
        <v>612</v>
      </c>
      <c r="L624" s="184"/>
      <c r="M624" s="182" t="s">
        <v>36</v>
      </c>
      <c r="N624" s="183">
        <v>44713</v>
      </c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  <c r="AB624" s="138"/>
      <c r="AC624" s="138"/>
      <c r="AD624" s="138"/>
      <c r="AE624" s="138"/>
      <c r="AF624" s="138"/>
      <c r="AG624" s="138"/>
      <c r="AH624" s="138"/>
      <c r="AI624" s="138"/>
      <c r="AJ624" s="138"/>
      <c r="AK624" s="138"/>
      <c r="AL624" s="138"/>
      <c r="AM624" s="138"/>
      <c r="AN624" s="138"/>
      <c r="AO624" s="138"/>
      <c r="AP624" s="138"/>
      <c r="AQ624" s="138"/>
      <c r="AR624" s="138"/>
      <c r="AS624" s="138"/>
    </row>
    <row r="625" spans="1:45" ht="15.75" hidden="1" customHeight="1">
      <c r="A625" s="132">
        <v>25</v>
      </c>
      <c r="B625" s="132" t="s">
        <v>50</v>
      </c>
      <c r="C625" s="182" t="s">
        <v>903</v>
      </c>
      <c r="D625" s="182" t="s">
        <v>1338</v>
      </c>
      <c r="E625" s="182">
        <v>4</v>
      </c>
      <c r="F625" s="183">
        <v>41061</v>
      </c>
      <c r="G625" s="184" t="s">
        <v>1339</v>
      </c>
      <c r="H625" s="184" t="s">
        <v>1340</v>
      </c>
      <c r="I625" s="185">
        <v>44426</v>
      </c>
      <c r="J625" s="184" t="s">
        <v>358</v>
      </c>
      <c r="K625" s="184" t="s">
        <v>612</v>
      </c>
      <c r="L625" s="184" t="s">
        <v>1314</v>
      </c>
      <c r="M625" s="182" t="s">
        <v>36</v>
      </c>
      <c r="N625" s="183">
        <v>44713</v>
      </c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  <c r="AB625" s="138"/>
      <c r="AC625" s="138"/>
      <c r="AD625" s="138"/>
      <c r="AE625" s="138"/>
      <c r="AF625" s="138"/>
      <c r="AG625" s="138"/>
      <c r="AH625" s="138"/>
      <c r="AI625" s="138"/>
      <c r="AJ625" s="138"/>
      <c r="AK625" s="138"/>
      <c r="AL625" s="138"/>
      <c r="AM625" s="138"/>
      <c r="AN625" s="138"/>
      <c r="AO625" s="138"/>
      <c r="AP625" s="138"/>
      <c r="AQ625" s="138"/>
      <c r="AR625" s="138"/>
      <c r="AS625" s="138"/>
    </row>
    <row r="626" spans="1:45" ht="15.75" hidden="1" customHeight="1">
      <c r="A626" s="132">
        <v>26</v>
      </c>
      <c r="B626" s="132" t="s">
        <v>91</v>
      </c>
      <c r="C626" s="182" t="s">
        <v>903</v>
      </c>
      <c r="D626" s="182" t="s">
        <v>1338</v>
      </c>
      <c r="E626" s="182">
        <v>4</v>
      </c>
      <c r="F626" s="183">
        <v>41061</v>
      </c>
      <c r="G626" s="184" t="s">
        <v>1339</v>
      </c>
      <c r="H626" s="184" t="s">
        <v>1340</v>
      </c>
      <c r="I626" s="185">
        <v>44426</v>
      </c>
      <c r="J626" s="184" t="s">
        <v>188</v>
      </c>
      <c r="K626" s="184" t="s">
        <v>612</v>
      </c>
      <c r="L626" s="184" t="s">
        <v>1314</v>
      </c>
      <c r="M626" s="182" t="s">
        <v>36</v>
      </c>
      <c r="N626" s="183">
        <v>44713</v>
      </c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  <c r="AB626" s="138"/>
      <c r="AC626" s="138"/>
      <c r="AD626" s="138"/>
      <c r="AE626" s="138"/>
      <c r="AF626" s="138"/>
      <c r="AG626" s="138"/>
      <c r="AH626" s="138"/>
      <c r="AI626" s="138"/>
      <c r="AJ626" s="138"/>
      <c r="AK626" s="138"/>
      <c r="AL626" s="138"/>
      <c r="AM626" s="138"/>
      <c r="AN626" s="138"/>
      <c r="AO626" s="138"/>
      <c r="AP626" s="138"/>
      <c r="AQ626" s="138"/>
      <c r="AR626" s="138"/>
      <c r="AS626" s="138"/>
    </row>
    <row r="627" spans="1:45" ht="15.75" hidden="1" customHeight="1">
      <c r="A627" s="132">
        <v>27</v>
      </c>
      <c r="B627" s="132" t="s">
        <v>50</v>
      </c>
      <c r="C627" s="182" t="s">
        <v>1183</v>
      </c>
      <c r="D627" s="182" t="s">
        <v>1341</v>
      </c>
      <c r="E627" s="182">
        <v>7</v>
      </c>
      <c r="F627" s="183">
        <v>40182</v>
      </c>
      <c r="G627" s="184" t="s">
        <v>1342</v>
      </c>
      <c r="H627" s="189" t="s">
        <v>1343</v>
      </c>
      <c r="I627" s="185">
        <v>44593</v>
      </c>
      <c r="J627" s="184" t="s">
        <v>110</v>
      </c>
      <c r="K627" s="184" t="s">
        <v>272</v>
      </c>
      <c r="L627" s="184"/>
      <c r="M627" s="182" t="s">
        <v>36</v>
      </c>
      <c r="N627" s="183">
        <v>44713</v>
      </c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  <c r="AB627" s="138"/>
      <c r="AC627" s="138"/>
      <c r="AD627" s="138"/>
      <c r="AE627" s="138"/>
      <c r="AF627" s="138"/>
      <c r="AG627" s="138"/>
      <c r="AH627" s="138"/>
      <c r="AI627" s="138"/>
      <c r="AJ627" s="138"/>
      <c r="AK627" s="138"/>
      <c r="AL627" s="138"/>
      <c r="AM627" s="138"/>
      <c r="AN627" s="138"/>
      <c r="AO627" s="138"/>
      <c r="AP627" s="138"/>
      <c r="AQ627" s="138"/>
      <c r="AR627" s="138"/>
      <c r="AS627" s="138"/>
    </row>
    <row r="628" spans="1:45" ht="15.75" hidden="1" customHeight="1">
      <c r="A628" s="132">
        <v>28</v>
      </c>
      <c r="B628" s="132" t="s">
        <v>50</v>
      </c>
      <c r="C628" s="182" t="s">
        <v>298</v>
      </c>
      <c r="D628" s="182" t="s">
        <v>1277</v>
      </c>
      <c r="E628" s="182">
        <v>2</v>
      </c>
      <c r="F628" s="183">
        <v>41947</v>
      </c>
      <c r="G628" s="184" t="s">
        <v>1278</v>
      </c>
      <c r="H628" s="184" t="s">
        <v>1279</v>
      </c>
      <c r="I628" s="185">
        <v>44621</v>
      </c>
      <c r="J628" s="184" t="s">
        <v>124</v>
      </c>
      <c r="K628" s="184" t="s">
        <v>568</v>
      </c>
      <c r="L628" s="184" t="s">
        <v>1314</v>
      </c>
      <c r="M628" s="182" t="s">
        <v>36</v>
      </c>
      <c r="N628" s="183">
        <v>44713</v>
      </c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  <c r="AB628" s="138"/>
      <c r="AC628" s="138"/>
      <c r="AD628" s="138"/>
      <c r="AE628" s="138"/>
      <c r="AF628" s="138"/>
      <c r="AG628" s="138"/>
      <c r="AH628" s="138"/>
      <c r="AI628" s="138"/>
      <c r="AJ628" s="138"/>
      <c r="AK628" s="138"/>
      <c r="AL628" s="138"/>
      <c r="AM628" s="138"/>
      <c r="AN628" s="138"/>
      <c r="AO628" s="138"/>
      <c r="AP628" s="138"/>
      <c r="AQ628" s="138"/>
      <c r="AR628" s="138"/>
      <c r="AS628" s="138"/>
    </row>
    <row r="629" spans="1:45" ht="15.75" hidden="1" customHeight="1">
      <c r="A629" s="132">
        <v>29</v>
      </c>
      <c r="B629" s="132" t="s">
        <v>91</v>
      </c>
      <c r="C629" s="182" t="s">
        <v>298</v>
      </c>
      <c r="D629" s="182" t="s">
        <v>1277</v>
      </c>
      <c r="E629" s="182">
        <v>2</v>
      </c>
      <c r="F629" s="183">
        <v>41947</v>
      </c>
      <c r="G629" s="184" t="s">
        <v>1278</v>
      </c>
      <c r="H629" s="184" t="s">
        <v>1279</v>
      </c>
      <c r="I629" s="185">
        <v>44621</v>
      </c>
      <c r="J629" s="184" t="s">
        <v>112</v>
      </c>
      <c r="K629" s="184" t="s">
        <v>612</v>
      </c>
      <c r="L629" s="184" t="s">
        <v>1314</v>
      </c>
      <c r="M629" s="182" t="s">
        <v>36</v>
      </c>
      <c r="N629" s="183">
        <v>44713</v>
      </c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  <c r="AB629" s="138"/>
      <c r="AC629" s="138"/>
      <c r="AD629" s="138"/>
      <c r="AE629" s="138"/>
      <c r="AF629" s="138"/>
      <c r="AG629" s="138"/>
      <c r="AH629" s="138"/>
      <c r="AI629" s="138"/>
      <c r="AJ629" s="138"/>
      <c r="AK629" s="138"/>
      <c r="AL629" s="138"/>
      <c r="AM629" s="138"/>
      <c r="AN629" s="138"/>
      <c r="AO629" s="138"/>
      <c r="AP629" s="138"/>
      <c r="AQ629" s="138"/>
      <c r="AR629" s="138"/>
      <c r="AS629" s="138"/>
    </row>
    <row r="630" spans="1:45" ht="15.75" hidden="1" customHeight="1">
      <c r="A630" s="132">
        <v>30</v>
      </c>
      <c r="B630" s="132" t="s">
        <v>91</v>
      </c>
      <c r="C630" s="182" t="s">
        <v>371</v>
      </c>
      <c r="D630" s="182" t="s">
        <v>1344</v>
      </c>
      <c r="E630" s="182">
        <v>6</v>
      </c>
      <c r="F630" s="183">
        <v>40144</v>
      </c>
      <c r="G630" s="184" t="s">
        <v>1345</v>
      </c>
      <c r="H630" s="184" t="s">
        <v>1346</v>
      </c>
      <c r="I630" s="185">
        <v>44562</v>
      </c>
      <c r="J630" s="184" t="s">
        <v>244</v>
      </c>
      <c r="K630" s="184" t="s">
        <v>612</v>
      </c>
      <c r="L630" s="184" t="s">
        <v>1347</v>
      </c>
      <c r="M630" s="182" t="s">
        <v>36</v>
      </c>
      <c r="N630" s="183">
        <v>44713</v>
      </c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  <c r="AB630" s="138"/>
      <c r="AC630" s="138"/>
      <c r="AD630" s="138"/>
      <c r="AE630" s="138"/>
      <c r="AF630" s="138"/>
      <c r="AG630" s="138"/>
      <c r="AH630" s="138"/>
      <c r="AI630" s="138"/>
      <c r="AJ630" s="138"/>
      <c r="AK630" s="138"/>
      <c r="AL630" s="138"/>
      <c r="AM630" s="138"/>
      <c r="AN630" s="138"/>
      <c r="AO630" s="138"/>
      <c r="AP630" s="138"/>
      <c r="AQ630" s="138"/>
      <c r="AR630" s="138"/>
      <c r="AS630" s="138"/>
    </row>
    <row r="631" spans="1:45" ht="15.75" hidden="1" customHeight="1">
      <c r="A631" s="132">
        <v>31</v>
      </c>
      <c r="B631" s="132" t="s">
        <v>50</v>
      </c>
      <c r="C631" s="182" t="s">
        <v>936</v>
      </c>
      <c r="D631" s="182" t="s">
        <v>1348</v>
      </c>
      <c r="E631" s="182">
        <v>2</v>
      </c>
      <c r="F631" s="183">
        <v>41849</v>
      </c>
      <c r="G631" s="184" t="s">
        <v>1349</v>
      </c>
      <c r="H631" s="184" t="s">
        <v>1350</v>
      </c>
      <c r="I631" s="185">
        <v>44636</v>
      </c>
      <c r="J631" s="184" t="s">
        <v>1198</v>
      </c>
      <c r="K631" s="184" t="s">
        <v>276</v>
      </c>
      <c r="L631" s="184" t="s">
        <v>1314</v>
      </c>
      <c r="M631" s="182" t="s">
        <v>36</v>
      </c>
      <c r="N631" s="183">
        <v>44713</v>
      </c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  <c r="AB631" s="138"/>
      <c r="AC631" s="138"/>
      <c r="AD631" s="138"/>
      <c r="AE631" s="138"/>
      <c r="AF631" s="138"/>
      <c r="AG631" s="138"/>
      <c r="AH631" s="138"/>
      <c r="AI631" s="138"/>
      <c r="AJ631" s="138"/>
      <c r="AK631" s="138"/>
      <c r="AL631" s="138"/>
      <c r="AM631" s="138"/>
      <c r="AN631" s="138"/>
      <c r="AO631" s="138"/>
      <c r="AP631" s="138"/>
      <c r="AQ631" s="138"/>
      <c r="AR631" s="138"/>
      <c r="AS631" s="138"/>
    </row>
    <row r="632" spans="1:45" ht="15.75" hidden="1" customHeight="1">
      <c r="A632" s="132">
        <v>32</v>
      </c>
      <c r="B632" s="132" t="s">
        <v>50</v>
      </c>
      <c r="C632" s="182" t="s">
        <v>1351</v>
      </c>
      <c r="D632" s="182" t="s">
        <v>1352</v>
      </c>
      <c r="E632" s="182">
        <v>1</v>
      </c>
      <c r="F632" s="183">
        <v>42216</v>
      </c>
      <c r="G632" s="184" t="s">
        <v>1353</v>
      </c>
      <c r="H632" s="184" t="s">
        <v>1354</v>
      </c>
      <c r="I632" s="185" t="s">
        <v>1257</v>
      </c>
      <c r="J632" s="184" t="s">
        <v>308</v>
      </c>
      <c r="K632" s="184" t="s">
        <v>1212</v>
      </c>
      <c r="L632" s="184" t="s">
        <v>1314</v>
      </c>
      <c r="M632" s="182" t="s">
        <v>36</v>
      </c>
      <c r="N632" s="183">
        <v>44713</v>
      </c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  <c r="AB632" s="138"/>
      <c r="AC632" s="138"/>
      <c r="AD632" s="138"/>
      <c r="AE632" s="138"/>
      <c r="AF632" s="138"/>
      <c r="AG632" s="138"/>
      <c r="AH632" s="138"/>
      <c r="AI632" s="138"/>
      <c r="AJ632" s="138"/>
      <c r="AK632" s="138"/>
      <c r="AL632" s="138"/>
      <c r="AM632" s="138"/>
      <c r="AN632" s="138"/>
      <c r="AO632" s="138"/>
      <c r="AP632" s="138"/>
      <c r="AQ632" s="138"/>
      <c r="AR632" s="138"/>
      <c r="AS632" s="138"/>
    </row>
    <row r="633" spans="1:45" ht="15.75" hidden="1" customHeight="1">
      <c r="A633" s="132">
        <v>33</v>
      </c>
      <c r="B633" s="132" t="s">
        <v>91</v>
      </c>
      <c r="C633" s="182" t="s">
        <v>1351</v>
      </c>
      <c r="D633" s="182" t="s">
        <v>1352</v>
      </c>
      <c r="E633" s="182">
        <v>1</v>
      </c>
      <c r="F633" s="183">
        <v>42216</v>
      </c>
      <c r="G633" s="184" t="s">
        <v>1353</v>
      </c>
      <c r="H633" s="184" t="s">
        <v>1354</v>
      </c>
      <c r="I633" s="185" t="s">
        <v>1257</v>
      </c>
      <c r="J633" s="184" t="s">
        <v>156</v>
      </c>
      <c r="K633" s="184" t="s">
        <v>1152</v>
      </c>
      <c r="L633" s="184" t="s">
        <v>1314</v>
      </c>
      <c r="M633" s="182" t="s">
        <v>36</v>
      </c>
      <c r="N633" s="183">
        <v>44713</v>
      </c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  <c r="AB633" s="138"/>
      <c r="AC633" s="138"/>
      <c r="AD633" s="138"/>
      <c r="AE633" s="138"/>
      <c r="AF633" s="138"/>
      <c r="AG633" s="138"/>
      <c r="AH633" s="138"/>
      <c r="AI633" s="138"/>
      <c r="AJ633" s="138"/>
      <c r="AK633" s="138"/>
      <c r="AL633" s="138"/>
      <c r="AM633" s="138"/>
      <c r="AN633" s="138"/>
      <c r="AO633" s="138"/>
      <c r="AP633" s="138"/>
      <c r="AQ633" s="138"/>
      <c r="AR633" s="138"/>
      <c r="AS633" s="138"/>
    </row>
    <row r="634" spans="1:45" ht="15.75" hidden="1" customHeight="1">
      <c r="A634" s="132">
        <v>34</v>
      </c>
      <c r="B634" s="132" t="s">
        <v>50</v>
      </c>
      <c r="C634" s="182" t="s">
        <v>1355</v>
      </c>
      <c r="D634" s="182" t="s">
        <v>1356</v>
      </c>
      <c r="E634" s="182">
        <v>3</v>
      </c>
      <c r="F634" s="183">
        <v>41225</v>
      </c>
      <c r="G634" s="184" t="s">
        <v>1357</v>
      </c>
      <c r="H634" s="184" t="s">
        <v>1358</v>
      </c>
      <c r="I634" s="185">
        <v>44424</v>
      </c>
      <c r="J634" s="184" t="s">
        <v>124</v>
      </c>
      <c r="K634" s="184" t="s">
        <v>612</v>
      </c>
      <c r="L634" s="184" t="s">
        <v>1247</v>
      </c>
      <c r="M634" s="182" t="s">
        <v>36</v>
      </c>
      <c r="N634" s="183">
        <v>44713</v>
      </c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  <c r="AB634" s="138"/>
      <c r="AC634" s="138"/>
      <c r="AD634" s="138"/>
      <c r="AE634" s="138"/>
      <c r="AF634" s="138"/>
      <c r="AG634" s="138"/>
      <c r="AH634" s="138"/>
      <c r="AI634" s="138"/>
      <c r="AJ634" s="138"/>
      <c r="AK634" s="138"/>
      <c r="AL634" s="138"/>
      <c r="AM634" s="138"/>
      <c r="AN634" s="138"/>
      <c r="AO634" s="138"/>
      <c r="AP634" s="138"/>
      <c r="AQ634" s="138"/>
      <c r="AR634" s="138"/>
      <c r="AS634" s="138"/>
    </row>
    <row r="635" spans="1:45" ht="15.75" hidden="1" customHeight="1">
      <c r="A635" s="132">
        <v>35</v>
      </c>
      <c r="B635" s="132" t="s">
        <v>91</v>
      </c>
      <c r="C635" s="182" t="s">
        <v>1355</v>
      </c>
      <c r="D635" s="182" t="s">
        <v>1356</v>
      </c>
      <c r="E635" s="182">
        <v>3</v>
      </c>
      <c r="F635" s="183">
        <v>41225</v>
      </c>
      <c r="G635" s="184" t="s">
        <v>1357</v>
      </c>
      <c r="H635" s="184" t="s">
        <v>1358</v>
      </c>
      <c r="I635" s="185">
        <v>44424</v>
      </c>
      <c r="J635" s="184" t="s">
        <v>156</v>
      </c>
      <c r="K635" s="184" t="s">
        <v>612</v>
      </c>
      <c r="L635" s="184" t="s">
        <v>1247</v>
      </c>
      <c r="M635" s="182" t="s">
        <v>36</v>
      </c>
      <c r="N635" s="183">
        <v>44713</v>
      </c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  <c r="AB635" s="138"/>
      <c r="AC635" s="138"/>
      <c r="AD635" s="138"/>
      <c r="AE635" s="138"/>
      <c r="AF635" s="138"/>
      <c r="AG635" s="138"/>
      <c r="AH635" s="138"/>
      <c r="AI635" s="138"/>
      <c r="AJ635" s="138"/>
      <c r="AK635" s="138"/>
      <c r="AL635" s="138"/>
      <c r="AM635" s="138"/>
      <c r="AN635" s="138"/>
      <c r="AO635" s="138"/>
      <c r="AP635" s="138"/>
      <c r="AQ635" s="138"/>
      <c r="AR635" s="138"/>
      <c r="AS635" s="138"/>
    </row>
    <row r="636" spans="1:45" ht="15.75" hidden="1" customHeight="1">
      <c r="A636" s="132">
        <v>36</v>
      </c>
      <c r="B636" s="132" t="s">
        <v>50</v>
      </c>
      <c r="C636" s="182" t="s">
        <v>340</v>
      </c>
      <c r="D636" s="182" t="s">
        <v>341</v>
      </c>
      <c r="E636" s="182">
        <v>3</v>
      </c>
      <c r="F636" s="183">
        <v>41250</v>
      </c>
      <c r="G636" s="184" t="s">
        <v>342</v>
      </c>
      <c r="H636" s="184" t="s">
        <v>343</v>
      </c>
      <c r="I636" s="185">
        <v>44424</v>
      </c>
      <c r="J636" s="184" t="s">
        <v>312</v>
      </c>
      <c r="K636" s="184" t="s">
        <v>1104</v>
      </c>
      <c r="L636" s="184" t="s">
        <v>1314</v>
      </c>
      <c r="M636" s="182" t="s">
        <v>36</v>
      </c>
      <c r="N636" s="183">
        <v>44713</v>
      </c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  <c r="AB636" s="138"/>
      <c r="AC636" s="138"/>
      <c r="AD636" s="138"/>
      <c r="AE636" s="138"/>
      <c r="AF636" s="138"/>
      <c r="AG636" s="138"/>
      <c r="AH636" s="138"/>
      <c r="AI636" s="138"/>
      <c r="AJ636" s="138"/>
      <c r="AK636" s="138"/>
      <c r="AL636" s="138"/>
      <c r="AM636" s="138"/>
      <c r="AN636" s="138"/>
      <c r="AO636" s="138"/>
      <c r="AP636" s="138"/>
      <c r="AQ636" s="138"/>
      <c r="AR636" s="138"/>
      <c r="AS636" s="138"/>
    </row>
    <row r="637" spans="1:45" ht="15.75" hidden="1" customHeight="1">
      <c r="A637" s="132">
        <v>37</v>
      </c>
      <c r="B637" s="132" t="s">
        <v>91</v>
      </c>
      <c r="C637" s="182" t="s">
        <v>340</v>
      </c>
      <c r="D637" s="182" t="s">
        <v>341</v>
      </c>
      <c r="E637" s="182">
        <v>3</v>
      </c>
      <c r="F637" s="183">
        <v>41250</v>
      </c>
      <c r="G637" s="184" t="s">
        <v>342</v>
      </c>
      <c r="H637" s="184" t="s">
        <v>343</v>
      </c>
      <c r="I637" s="185">
        <v>44424</v>
      </c>
      <c r="J637" s="184" t="s">
        <v>244</v>
      </c>
      <c r="K637" s="184" t="s">
        <v>1152</v>
      </c>
      <c r="L637" s="184" t="s">
        <v>1314</v>
      </c>
      <c r="M637" s="182" t="s">
        <v>36</v>
      </c>
      <c r="N637" s="183">
        <v>44713</v>
      </c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  <c r="AB637" s="138"/>
      <c r="AC637" s="138"/>
      <c r="AD637" s="138"/>
      <c r="AE637" s="138"/>
      <c r="AF637" s="138"/>
      <c r="AG637" s="138"/>
      <c r="AH637" s="138"/>
      <c r="AI637" s="138"/>
      <c r="AJ637" s="138"/>
      <c r="AK637" s="138"/>
      <c r="AL637" s="138"/>
      <c r="AM637" s="138"/>
      <c r="AN637" s="138"/>
      <c r="AO637" s="138"/>
      <c r="AP637" s="138"/>
      <c r="AQ637" s="138"/>
      <c r="AR637" s="138"/>
      <c r="AS637" s="138"/>
    </row>
    <row r="638" spans="1:45" ht="15.75" hidden="1" customHeight="1">
      <c r="A638" s="132">
        <v>38</v>
      </c>
      <c r="B638" s="132" t="s">
        <v>50</v>
      </c>
      <c r="C638" s="182" t="s">
        <v>1359</v>
      </c>
      <c r="D638" s="182" t="s">
        <v>1360</v>
      </c>
      <c r="E638" s="182">
        <v>1</v>
      </c>
      <c r="F638" s="183" t="s">
        <v>950</v>
      </c>
      <c r="G638" s="184" t="s">
        <v>9</v>
      </c>
      <c r="H638" s="184" t="s">
        <v>1361</v>
      </c>
      <c r="I638" s="185" t="s">
        <v>1362</v>
      </c>
      <c r="J638" s="184" t="s">
        <v>1198</v>
      </c>
      <c r="K638" s="184" t="s">
        <v>272</v>
      </c>
      <c r="L638" s="184" t="s">
        <v>1363</v>
      </c>
      <c r="M638" s="182" t="s">
        <v>36</v>
      </c>
      <c r="N638" s="183">
        <v>44713</v>
      </c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  <c r="AB638" s="138"/>
      <c r="AC638" s="138"/>
      <c r="AD638" s="138"/>
      <c r="AE638" s="138"/>
      <c r="AF638" s="138"/>
      <c r="AG638" s="138"/>
      <c r="AH638" s="138"/>
      <c r="AI638" s="138"/>
      <c r="AJ638" s="138"/>
      <c r="AK638" s="138"/>
      <c r="AL638" s="138"/>
      <c r="AM638" s="138"/>
      <c r="AN638" s="138"/>
      <c r="AO638" s="138"/>
      <c r="AP638" s="138"/>
      <c r="AQ638" s="138"/>
      <c r="AR638" s="138"/>
      <c r="AS638" s="138"/>
    </row>
    <row r="639" spans="1:45" ht="15.75" hidden="1" customHeight="1">
      <c r="A639" s="132">
        <v>39</v>
      </c>
      <c r="B639" s="132" t="s">
        <v>50</v>
      </c>
      <c r="C639" s="182" t="s">
        <v>1364</v>
      </c>
      <c r="D639" s="182" t="s">
        <v>1365</v>
      </c>
      <c r="E639" s="182">
        <v>4</v>
      </c>
      <c r="F639" s="183">
        <v>41155</v>
      </c>
      <c r="G639" s="184" t="s">
        <v>1366</v>
      </c>
      <c r="H639" s="184" t="s">
        <v>1367</v>
      </c>
      <c r="I639" s="185">
        <v>44450</v>
      </c>
      <c r="J639" s="184" t="s">
        <v>255</v>
      </c>
      <c r="K639" s="184" t="s">
        <v>272</v>
      </c>
      <c r="L639" s="184" t="s">
        <v>1314</v>
      </c>
      <c r="M639" s="182" t="s">
        <v>36</v>
      </c>
      <c r="N639" s="183">
        <v>44713</v>
      </c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  <c r="AB639" s="138"/>
      <c r="AC639" s="138"/>
      <c r="AD639" s="138"/>
      <c r="AE639" s="138"/>
      <c r="AF639" s="138"/>
      <c r="AG639" s="138"/>
      <c r="AH639" s="138"/>
      <c r="AI639" s="138"/>
      <c r="AJ639" s="138"/>
      <c r="AK639" s="138"/>
      <c r="AL639" s="138"/>
      <c r="AM639" s="138"/>
      <c r="AN639" s="138"/>
      <c r="AO639" s="138"/>
      <c r="AP639" s="138"/>
      <c r="AQ639" s="138"/>
      <c r="AR639" s="138"/>
      <c r="AS639" s="138"/>
    </row>
    <row r="640" spans="1:45" ht="15.75" hidden="1" customHeight="1">
      <c r="A640" s="132">
        <v>40</v>
      </c>
      <c r="B640" s="132" t="s">
        <v>91</v>
      </c>
      <c r="C640" s="182" t="s">
        <v>1364</v>
      </c>
      <c r="D640" s="182" t="s">
        <v>1365</v>
      </c>
      <c r="E640" s="182">
        <v>4</v>
      </c>
      <c r="F640" s="183">
        <v>41155</v>
      </c>
      <c r="G640" s="184" t="s">
        <v>1366</v>
      </c>
      <c r="H640" s="184" t="s">
        <v>1367</v>
      </c>
      <c r="I640" s="185">
        <v>44450</v>
      </c>
      <c r="J640" s="184" t="s">
        <v>221</v>
      </c>
      <c r="K640" s="184" t="s">
        <v>272</v>
      </c>
      <c r="L640" s="184" t="s">
        <v>1314</v>
      </c>
      <c r="M640" s="182" t="s">
        <v>36</v>
      </c>
      <c r="N640" s="183">
        <v>44713</v>
      </c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  <c r="AB640" s="138"/>
      <c r="AC640" s="138"/>
      <c r="AD640" s="138"/>
      <c r="AE640" s="138"/>
      <c r="AF640" s="138"/>
      <c r="AG640" s="138"/>
      <c r="AH640" s="138"/>
      <c r="AI640" s="138"/>
      <c r="AJ640" s="138"/>
      <c r="AK640" s="138"/>
      <c r="AL640" s="138"/>
      <c r="AM640" s="138"/>
      <c r="AN640" s="138"/>
      <c r="AO640" s="138"/>
      <c r="AP640" s="138"/>
      <c r="AQ640" s="138"/>
      <c r="AR640" s="138"/>
      <c r="AS640" s="138"/>
    </row>
    <row r="641" spans="1:45" ht="15.75" hidden="1" customHeight="1">
      <c r="A641" s="132">
        <v>41</v>
      </c>
      <c r="B641" s="132" t="s">
        <v>50</v>
      </c>
      <c r="C641" s="182" t="s">
        <v>1190</v>
      </c>
      <c r="D641" s="182" t="s">
        <v>479</v>
      </c>
      <c r="E641" s="182">
        <v>7</v>
      </c>
      <c r="F641" s="183">
        <v>39375</v>
      </c>
      <c r="G641" s="184" t="s">
        <v>1191</v>
      </c>
      <c r="H641" s="184" t="s">
        <v>1192</v>
      </c>
      <c r="I641" s="185">
        <v>44440</v>
      </c>
      <c r="J641" s="184" t="s">
        <v>312</v>
      </c>
      <c r="K641" s="184" t="s">
        <v>1152</v>
      </c>
      <c r="L641" s="184" t="s">
        <v>1368</v>
      </c>
      <c r="M641" s="182" t="s">
        <v>36</v>
      </c>
      <c r="N641" s="183">
        <v>44713</v>
      </c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  <c r="AB641" s="138"/>
      <c r="AC641" s="138"/>
      <c r="AD641" s="138"/>
      <c r="AE641" s="138"/>
      <c r="AF641" s="138"/>
      <c r="AG641" s="138"/>
      <c r="AH641" s="138"/>
      <c r="AI641" s="138"/>
      <c r="AJ641" s="138"/>
      <c r="AK641" s="138"/>
      <c r="AL641" s="138"/>
      <c r="AM641" s="138"/>
      <c r="AN641" s="138"/>
      <c r="AO641" s="138"/>
      <c r="AP641" s="138"/>
      <c r="AQ641" s="138"/>
      <c r="AR641" s="138"/>
      <c r="AS641" s="138"/>
    </row>
    <row r="642" spans="1:45" ht="15.75" hidden="1" customHeight="1">
      <c r="A642" s="132">
        <v>42</v>
      </c>
      <c r="B642" s="132" t="s">
        <v>91</v>
      </c>
      <c r="C642" s="182" t="s">
        <v>1190</v>
      </c>
      <c r="D642" s="182" t="s">
        <v>479</v>
      </c>
      <c r="E642" s="182">
        <v>7</v>
      </c>
      <c r="F642" s="183">
        <v>39375</v>
      </c>
      <c r="G642" s="184" t="s">
        <v>1191</v>
      </c>
      <c r="H642" s="184" t="s">
        <v>1192</v>
      </c>
      <c r="I642" s="185">
        <v>44440</v>
      </c>
      <c r="J642" s="184" t="s">
        <v>167</v>
      </c>
      <c r="K642" s="184" t="s">
        <v>1104</v>
      </c>
      <c r="L642" s="184" t="s">
        <v>1368</v>
      </c>
      <c r="M642" s="182" t="s">
        <v>36</v>
      </c>
      <c r="N642" s="183">
        <v>44713</v>
      </c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  <c r="AB642" s="138"/>
      <c r="AC642" s="138"/>
      <c r="AD642" s="138"/>
      <c r="AE642" s="138"/>
      <c r="AF642" s="138"/>
      <c r="AG642" s="138"/>
      <c r="AH642" s="138"/>
      <c r="AI642" s="138"/>
      <c r="AJ642" s="138"/>
      <c r="AK642" s="138"/>
      <c r="AL642" s="138"/>
      <c r="AM642" s="138"/>
      <c r="AN642" s="138"/>
      <c r="AO642" s="138"/>
      <c r="AP642" s="138"/>
      <c r="AQ642" s="138"/>
      <c r="AR642" s="138"/>
      <c r="AS642" s="138"/>
    </row>
    <row r="643" spans="1:45" ht="15.75" hidden="1" customHeight="1">
      <c r="A643" s="132">
        <v>43</v>
      </c>
      <c r="B643" s="132" t="s">
        <v>50</v>
      </c>
      <c r="C643" s="182" t="s">
        <v>781</v>
      </c>
      <c r="D643" s="182" t="s">
        <v>389</v>
      </c>
      <c r="E643" s="182">
        <v>5</v>
      </c>
      <c r="F643" s="183">
        <v>40809</v>
      </c>
      <c r="G643" s="184" t="s">
        <v>1255</v>
      </c>
      <c r="H643" s="184" t="s">
        <v>1256</v>
      </c>
      <c r="I643" s="185">
        <v>44593</v>
      </c>
      <c r="J643" s="184" t="s">
        <v>255</v>
      </c>
      <c r="K643" s="184" t="s">
        <v>612</v>
      </c>
      <c r="L643" s="184" t="s">
        <v>1314</v>
      </c>
      <c r="M643" s="182" t="s">
        <v>36</v>
      </c>
      <c r="N643" s="183">
        <v>44713</v>
      </c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  <c r="AB643" s="138"/>
      <c r="AC643" s="138"/>
      <c r="AD643" s="138"/>
      <c r="AE643" s="138"/>
      <c r="AF643" s="138"/>
      <c r="AG643" s="138"/>
      <c r="AH643" s="138"/>
      <c r="AI643" s="138"/>
      <c r="AJ643" s="138"/>
      <c r="AK643" s="138"/>
      <c r="AL643" s="138"/>
      <c r="AM643" s="138"/>
      <c r="AN643" s="138"/>
      <c r="AO643" s="138"/>
      <c r="AP643" s="138"/>
      <c r="AQ643" s="138"/>
      <c r="AR643" s="138"/>
      <c r="AS643" s="138"/>
    </row>
    <row r="644" spans="1:45" ht="15.75" hidden="1" customHeight="1">
      <c r="A644" s="132">
        <v>44</v>
      </c>
      <c r="B644" s="132" t="s">
        <v>91</v>
      </c>
      <c r="C644" s="182" t="s">
        <v>781</v>
      </c>
      <c r="D644" s="182" t="s">
        <v>389</v>
      </c>
      <c r="E644" s="182">
        <v>5</v>
      </c>
      <c r="F644" s="183">
        <v>40809</v>
      </c>
      <c r="G644" s="184" t="s">
        <v>1255</v>
      </c>
      <c r="H644" s="184" t="s">
        <v>1256</v>
      </c>
      <c r="I644" s="185">
        <v>44593</v>
      </c>
      <c r="J644" s="184" t="s">
        <v>221</v>
      </c>
      <c r="K644" s="184" t="s">
        <v>612</v>
      </c>
      <c r="L644" s="184" t="s">
        <v>1314</v>
      </c>
      <c r="M644" s="182" t="s">
        <v>36</v>
      </c>
      <c r="N644" s="183">
        <v>44713</v>
      </c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  <c r="AB644" s="138"/>
      <c r="AC644" s="138"/>
      <c r="AD644" s="138"/>
      <c r="AE644" s="138"/>
      <c r="AF644" s="138"/>
      <c r="AG644" s="138"/>
      <c r="AH644" s="138"/>
      <c r="AI644" s="138"/>
      <c r="AJ644" s="138"/>
      <c r="AK644" s="138"/>
      <c r="AL644" s="138"/>
      <c r="AM644" s="138"/>
      <c r="AN644" s="138"/>
      <c r="AO644" s="138"/>
      <c r="AP644" s="138"/>
      <c r="AQ644" s="138"/>
      <c r="AR644" s="138"/>
      <c r="AS644" s="138"/>
    </row>
    <row r="645" spans="1:45" ht="15.75" hidden="1" customHeight="1">
      <c r="A645" s="132">
        <v>45</v>
      </c>
      <c r="B645" s="132" t="s">
        <v>50</v>
      </c>
      <c r="C645" s="182" t="s">
        <v>200</v>
      </c>
      <c r="D645" s="182" t="s">
        <v>201</v>
      </c>
      <c r="E645" s="182">
        <v>4</v>
      </c>
      <c r="F645" s="183">
        <v>41164</v>
      </c>
      <c r="G645" s="184" t="s">
        <v>202</v>
      </c>
      <c r="H645" s="184" t="s">
        <v>203</v>
      </c>
      <c r="I645" s="185">
        <v>44518</v>
      </c>
      <c r="J645" s="184" t="s">
        <v>110</v>
      </c>
      <c r="K645" s="184" t="s">
        <v>272</v>
      </c>
      <c r="L645" s="184" t="s">
        <v>1314</v>
      </c>
      <c r="M645" s="182" t="s">
        <v>36</v>
      </c>
      <c r="N645" s="183">
        <v>44713</v>
      </c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  <c r="AB645" s="138"/>
      <c r="AC645" s="138"/>
      <c r="AD645" s="138"/>
      <c r="AE645" s="138"/>
      <c r="AF645" s="138"/>
      <c r="AG645" s="138"/>
      <c r="AH645" s="138"/>
      <c r="AI645" s="138"/>
      <c r="AJ645" s="138"/>
      <c r="AK645" s="138"/>
      <c r="AL645" s="138"/>
      <c r="AM645" s="138"/>
      <c r="AN645" s="138"/>
      <c r="AO645" s="138"/>
      <c r="AP645" s="138"/>
      <c r="AQ645" s="138"/>
      <c r="AR645" s="138"/>
      <c r="AS645" s="138"/>
    </row>
    <row r="646" spans="1:45" ht="15.75" hidden="1" customHeight="1">
      <c r="A646" s="132">
        <v>46</v>
      </c>
      <c r="B646" s="132" t="s">
        <v>91</v>
      </c>
      <c r="C646" s="182" t="s">
        <v>200</v>
      </c>
      <c r="D646" s="182" t="s">
        <v>201</v>
      </c>
      <c r="E646" s="182">
        <v>4</v>
      </c>
      <c r="F646" s="183">
        <v>41164</v>
      </c>
      <c r="G646" s="184" t="s">
        <v>202</v>
      </c>
      <c r="H646" s="184" t="s">
        <v>203</v>
      </c>
      <c r="I646" s="185">
        <v>44245</v>
      </c>
      <c r="J646" s="184" t="s">
        <v>156</v>
      </c>
      <c r="K646" s="184" t="s">
        <v>612</v>
      </c>
      <c r="L646" s="184" t="s">
        <v>1314</v>
      </c>
      <c r="M646" s="182" t="s">
        <v>36</v>
      </c>
      <c r="N646" s="183">
        <v>44713</v>
      </c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  <c r="AB646" s="138"/>
      <c r="AC646" s="138"/>
      <c r="AD646" s="138"/>
      <c r="AE646" s="138"/>
      <c r="AF646" s="138"/>
      <c r="AG646" s="138"/>
      <c r="AH646" s="138"/>
      <c r="AI646" s="138"/>
      <c r="AJ646" s="138"/>
      <c r="AK646" s="138"/>
      <c r="AL646" s="138"/>
      <c r="AM646" s="138"/>
      <c r="AN646" s="138"/>
      <c r="AO646" s="138"/>
      <c r="AP646" s="138"/>
      <c r="AQ646" s="138"/>
      <c r="AR646" s="138"/>
      <c r="AS646" s="138"/>
    </row>
    <row r="647" spans="1:45" ht="15.75" hidden="1" customHeight="1">
      <c r="A647" s="132">
        <v>47</v>
      </c>
      <c r="B647" s="132" t="s">
        <v>50</v>
      </c>
      <c r="C647" s="182" t="s">
        <v>498</v>
      </c>
      <c r="D647" s="182" t="s">
        <v>1058</v>
      </c>
      <c r="E647" s="182">
        <v>2</v>
      </c>
      <c r="F647" s="183">
        <v>41953</v>
      </c>
      <c r="G647" s="184" t="s">
        <v>1288</v>
      </c>
      <c r="H647" s="184" t="s">
        <v>1060</v>
      </c>
      <c r="I647" s="185">
        <v>44621</v>
      </c>
      <c r="J647" s="184" t="s">
        <v>140</v>
      </c>
      <c r="K647" s="184" t="s">
        <v>1152</v>
      </c>
      <c r="L647" s="184" t="s">
        <v>1314</v>
      </c>
      <c r="M647" s="182" t="s">
        <v>36</v>
      </c>
      <c r="N647" s="183">
        <v>44713</v>
      </c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  <c r="AB647" s="138"/>
      <c r="AC647" s="138"/>
      <c r="AD647" s="138"/>
      <c r="AE647" s="138"/>
      <c r="AF647" s="138"/>
      <c r="AG647" s="138"/>
      <c r="AH647" s="138"/>
      <c r="AI647" s="138"/>
      <c r="AJ647" s="138"/>
      <c r="AK647" s="138"/>
      <c r="AL647" s="138"/>
      <c r="AM647" s="138"/>
      <c r="AN647" s="138"/>
      <c r="AO647" s="138"/>
      <c r="AP647" s="138"/>
      <c r="AQ647" s="138"/>
      <c r="AR647" s="138"/>
      <c r="AS647" s="138"/>
    </row>
    <row r="648" spans="1:45" ht="15.75" hidden="1" customHeight="1">
      <c r="A648" s="132">
        <v>48</v>
      </c>
      <c r="B648" s="132" t="s">
        <v>50</v>
      </c>
      <c r="C648" s="182" t="s">
        <v>899</v>
      </c>
      <c r="D648" s="182" t="s">
        <v>1369</v>
      </c>
      <c r="E648" s="182">
        <v>1</v>
      </c>
      <c r="F648" s="183">
        <v>41239</v>
      </c>
      <c r="G648" s="184" t="s">
        <v>1370</v>
      </c>
      <c r="H648" s="184" t="s">
        <v>1371</v>
      </c>
      <c r="I648" s="185">
        <v>43831</v>
      </c>
      <c r="J648" s="184" t="s">
        <v>140</v>
      </c>
      <c r="K648" s="184" t="s">
        <v>272</v>
      </c>
      <c r="L648" s="184" t="s">
        <v>1314</v>
      </c>
      <c r="M648" s="182" t="s">
        <v>36</v>
      </c>
      <c r="N648" s="183">
        <v>44713</v>
      </c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  <c r="AB648" s="138"/>
      <c r="AC648" s="138"/>
      <c r="AD648" s="138"/>
      <c r="AE648" s="138"/>
      <c r="AF648" s="138"/>
      <c r="AG648" s="138"/>
      <c r="AH648" s="138"/>
      <c r="AI648" s="138"/>
      <c r="AJ648" s="138"/>
      <c r="AK648" s="138"/>
      <c r="AL648" s="138"/>
      <c r="AM648" s="138"/>
      <c r="AN648" s="138"/>
      <c r="AO648" s="138"/>
      <c r="AP648" s="138"/>
      <c r="AQ648" s="138"/>
      <c r="AR648" s="138"/>
      <c r="AS648" s="138"/>
    </row>
    <row r="649" spans="1:45" ht="15.75" hidden="1" customHeight="1">
      <c r="A649" s="132">
        <v>49</v>
      </c>
      <c r="B649" s="132" t="s">
        <v>91</v>
      </c>
      <c r="C649" s="182" t="s">
        <v>899</v>
      </c>
      <c r="D649" s="182" t="s">
        <v>1369</v>
      </c>
      <c r="E649" s="182">
        <v>1</v>
      </c>
      <c r="F649" s="183">
        <v>41239</v>
      </c>
      <c r="G649" s="184" t="s">
        <v>1370</v>
      </c>
      <c r="H649" s="184" t="s">
        <v>1371</v>
      </c>
      <c r="I649" s="185">
        <v>43922</v>
      </c>
      <c r="J649" s="184" t="s">
        <v>141</v>
      </c>
      <c r="K649" s="184" t="s">
        <v>612</v>
      </c>
      <c r="L649" s="184" t="s">
        <v>1314</v>
      </c>
      <c r="M649" s="182" t="s">
        <v>36</v>
      </c>
      <c r="N649" s="183">
        <v>44713</v>
      </c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  <c r="AB649" s="138"/>
      <c r="AC649" s="138"/>
      <c r="AD649" s="138"/>
      <c r="AE649" s="138"/>
      <c r="AF649" s="138"/>
      <c r="AG649" s="138"/>
      <c r="AH649" s="138"/>
      <c r="AI649" s="138"/>
      <c r="AJ649" s="138"/>
      <c r="AK649" s="138"/>
      <c r="AL649" s="138"/>
      <c r="AM649" s="138"/>
      <c r="AN649" s="138"/>
      <c r="AO649" s="138"/>
      <c r="AP649" s="138"/>
      <c r="AQ649" s="138"/>
      <c r="AR649" s="138"/>
      <c r="AS649" s="138"/>
    </row>
    <row r="650" spans="1:45" ht="15.75" hidden="1" customHeight="1">
      <c r="A650" s="132">
        <v>1</v>
      </c>
      <c r="B650" s="132" t="s">
        <v>91</v>
      </c>
      <c r="C650" s="182" t="s">
        <v>986</v>
      </c>
      <c r="D650" s="182" t="s">
        <v>989</v>
      </c>
      <c r="E650" s="182">
        <v>3</v>
      </c>
      <c r="F650" s="183">
        <v>41059</v>
      </c>
      <c r="G650" s="184" t="s">
        <v>1106</v>
      </c>
      <c r="H650" s="184" t="s">
        <v>1107</v>
      </c>
      <c r="I650" s="185">
        <v>44470</v>
      </c>
      <c r="J650" s="184" t="s">
        <v>238</v>
      </c>
      <c r="K650" s="184" t="s">
        <v>272</v>
      </c>
      <c r="L650" s="184" t="s">
        <v>1372</v>
      </c>
      <c r="M650" s="182" t="s">
        <v>36</v>
      </c>
      <c r="N650" s="183">
        <v>44743</v>
      </c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  <c r="AB650" s="138"/>
      <c r="AC650" s="138"/>
      <c r="AD650" s="138"/>
      <c r="AE650" s="138"/>
      <c r="AF650" s="138"/>
      <c r="AG650" s="138"/>
      <c r="AH650" s="138"/>
      <c r="AI650" s="138"/>
      <c r="AJ650" s="138"/>
      <c r="AK650" s="138"/>
      <c r="AL650" s="138"/>
      <c r="AM650" s="138"/>
      <c r="AN650" s="138"/>
      <c r="AO650" s="138"/>
      <c r="AP650" s="138"/>
      <c r="AQ650" s="138"/>
      <c r="AR650" s="138"/>
      <c r="AS650" s="138"/>
    </row>
    <row r="651" spans="1:45" ht="15.75" hidden="1" customHeight="1">
      <c r="A651" s="132">
        <v>2</v>
      </c>
      <c r="B651" s="132" t="s">
        <v>50</v>
      </c>
      <c r="C651" s="182" t="s">
        <v>1297</v>
      </c>
      <c r="D651" s="182" t="s">
        <v>1298</v>
      </c>
      <c r="E651" s="182">
        <v>4</v>
      </c>
      <c r="F651" s="183">
        <v>40898</v>
      </c>
      <c r="G651" s="184" t="s">
        <v>1299</v>
      </c>
      <c r="H651" s="184" t="s">
        <v>1300</v>
      </c>
      <c r="I651" s="185">
        <v>44646</v>
      </c>
      <c r="J651" s="184" t="s">
        <v>140</v>
      </c>
      <c r="K651" s="184" t="s">
        <v>272</v>
      </c>
      <c r="L651" s="184"/>
      <c r="M651" s="182" t="s">
        <v>36</v>
      </c>
      <c r="N651" s="183">
        <v>44743</v>
      </c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  <c r="AB651" s="138"/>
      <c r="AC651" s="138"/>
      <c r="AD651" s="138"/>
      <c r="AE651" s="138"/>
      <c r="AF651" s="138"/>
      <c r="AG651" s="138"/>
      <c r="AH651" s="138"/>
      <c r="AI651" s="138"/>
      <c r="AJ651" s="138"/>
      <c r="AK651" s="138"/>
      <c r="AL651" s="138"/>
      <c r="AM651" s="138"/>
      <c r="AN651" s="138"/>
      <c r="AO651" s="138"/>
      <c r="AP651" s="138"/>
      <c r="AQ651" s="138"/>
      <c r="AR651" s="138"/>
      <c r="AS651" s="138"/>
    </row>
    <row r="652" spans="1:45" ht="15.75" hidden="1" customHeight="1">
      <c r="A652" s="132">
        <v>3</v>
      </c>
      <c r="B652" s="132" t="s">
        <v>50</v>
      </c>
      <c r="C652" s="182" t="s">
        <v>324</v>
      </c>
      <c r="D652" s="182" t="s">
        <v>325</v>
      </c>
      <c r="E652" s="182" t="s">
        <v>190</v>
      </c>
      <c r="F652" s="183">
        <v>42270</v>
      </c>
      <c r="G652" s="184" t="s">
        <v>326</v>
      </c>
      <c r="H652" s="184" t="s">
        <v>327</v>
      </c>
      <c r="I652" s="185">
        <v>409863</v>
      </c>
      <c r="J652" s="184" t="s">
        <v>1170</v>
      </c>
      <c r="K652" s="184" t="s">
        <v>612</v>
      </c>
      <c r="L652" s="184" t="s">
        <v>1373</v>
      </c>
      <c r="M652" s="182" t="s">
        <v>36</v>
      </c>
      <c r="N652" s="183">
        <v>44743</v>
      </c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  <c r="AB652" s="138"/>
      <c r="AC652" s="138"/>
      <c r="AD652" s="138"/>
      <c r="AE652" s="138"/>
      <c r="AF652" s="138"/>
      <c r="AG652" s="138"/>
      <c r="AH652" s="138"/>
      <c r="AI652" s="138"/>
      <c r="AJ652" s="138"/>
      <c r="AK652" s="138"/>
      <c r="AL652" s="138"/>
      <c r="AM652" s="138"/>
      <c r="AN652" s="138"/>
      <c r="AO652" s="138"/>
      <c r="AP652" s="138"/>
      <c r="AQ652" s="138"/>
      <c r="AR652" s="138"/>
      <c r="AS652" s="138"/>
    </row>
    <row r="653" spans="1:45" ht="15.75" hidden="1" customHeight="1">
      <c r="A653" s="132">
        <v>4</v>
      </c>
      <c r="B653" s="132" t="s">
        <v>91</v>
      </c>
      <c r="C653" s="182" t="s">
        <v>324</v>
      </c>
      <c r="D653" s="182" t="s">
        <v>325</v>
      </c>
      <c r="E653" s="182" t="s">
        <v>190</v>
      </c>
      <c r="F653" s="183">
        <v>42270</v>
      </c>
      <c r="G653" s="184" t="s">
        <v>326</v>
      </c>
      <c r="H653" s="184" t="s">
        <v>327</v>
      </c>
      <c r="I653" s="185">
        <v>409863</v>
      </c>
      <c r="J653" s="184" t="s">
        <v>121</v>
      </c>
      <c r="K653" s="184" t="s">
        <v>272</v>
      </c>
      <c r="L653" s="184"/>
      <c r="M653" s="182" t="s">
        <v>36</v>
      </c>
      <c r="N653" s="183">
        <v>44743</v>
      </c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  <c r="AB653" s="138"/>
      <c r="AC653" s="138"/>
      <c r="AD653" s="138"/>
      <c r="AE653" s="138"/>
      <c r="AF653" s="138"/>
      <c r="AG653" s="138"/>
      <c r="AH653" s="138"/>
      <c r="AI653" s="138"/>
      <c r="AJ653" s="138"/>
      <c r="AK653" s="138"/>
      <c r="AL653" s="138"/>
      <c r="AM653" s="138"/>
      <c r="AN653" s="138"/>
      <c r="AO653" s="138"/>
      <c r="AP653" s="138"/>
      <c r="AQ653" s="138"/>
      <c r="AR653" s="138"/>
      <c r="AS653" s="138"/>
    </row>
    <row r="654" spans="1:45" ht="15.75" hidden="1" customHeight="1">
      <c r="A654" s="132">
        <v>5</v>
      </c>
      <c r="B654" s="132" t="s">
        <v>50</v>
      </c>
      <c r="C654" s="182" t="s">
        <v>704</v>
      </c>
      <c r="D654" s="182" t="s">
        <v>1374</v>
      </c>
      <c r="E654" s="182">
        <v>4</v>
      </c>
      <c r="F654" s="183">
        <v>41883</v>
      </c>
      <c r="G654" s="184" t="s">
        <v>1375</v>
      </c>
      <c r="H654" s="184" t="s">
        <v>1376</v>
      </c>
      <c r="I654" s="185">
        <v>43300</v>
      </c>
      <c r="J654" s="184" t="s">
        <v>358</v>
      </c>
      <c r="K654" s="184" t="s">
        <v>276</v>
      </c>
      <c r="L654" s="184" t="s">
        <v>1373</v>
      </c>
      <c r="M654" s="182" t="s">
        <v>36</v>
      </c>
      <c r="N654" s="183">
        <v>44743</v>
      </c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  <c r="AB654" s="138"/>
      <c r="AC654" s="138"/>
      <c r="AD654" s="138"/>
      <c r="AE654" s="138"/>
      <c r="AF654" s="138"/>
      <c r="AG654" s="138"/>
      <c r="AH654" s="138"/>
      <c r="AI654" s="138"/>
      <c r="AJ654" s="138"/>
      <c r="AK654" s="138"/>
      <c r="AL654" s="138"/>
      <c r="AM654" s="138"/>
      <c r="AN654" s="138"/>
      <c r="AO654" s="138"/>
      <c r="AP654" s="138"/>
      <c r="AQ654" s="138"/>
      <c r="AR654" s="138"/>
      <c r="AS654" s="138"/>
    </row>
    <row r="655" spans="1:45" ht="15.75" hidden="1" customHeight="1">
      <c r="A655" s="132">
        <v>6</v>
      </c>
      <c r="B655" s="132" t="s">
        <v>91</v>
      </c>
      <c r="C655" s="182" t="s">
        <v>704</v>
      </c>
      <c r="D655" s="182" t="s">
        <v>1374</v>
      </c>
      <c r="E655" s="182">
        <v>4</v>
      </c>
      <c r="F655" s="183">
        <v>41883</v>
      </c>
      <c r="G655" s="184" t="s">
        <v>1375</v>
      </c>
      <c r="H655" s="184" t="s">
        <v>1376</v>
      </c>
      <c r="I655" s="185">
        <v>43300</v>
      </c>
      <c r="J655" s="184" t="s">
        <v>141</v>
      </c>
      <c r="K655" s="184" t="s">
        <v>612</v>
      </c>
      <c r="L655" s="184" t="s">
        <v>1373</v>
      </c>
      <c r="M655" s="182" t="s">
        <v>36</v>
      </c>
      <c r="N655" s="183">
        <v>44743</v>
      </c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  <c r="AB655" s="138"/>
      <c r="AC655" s="138"/>
      <c r="AD655" s="138"/>
      <c r="AE655" s="138"/>
      <c r="AF655" s="138"/>
      <c r="AG655" s="138"/>
      <c r="AH655" s="138"/>
      <c r="AI655" s="138"/>
      <c r="AJ655" s="138"/>
      <c r="AK655" s="138"/>
      <c r="AL655" s="138"/>
      <c r="AM655" s="138"/>
      <c r="AN655" s="138"/>
      <c r="AO655" s="138"/>
      <c r="AP655" s="138"/>
      <c r="AQ655" s="138"/>
      <c r="AR655" s="138"/>
      <c r="AS655" s="138"/>
    </row>
    <row r="656" spans="1:45" ht="15.75" hidden="1" customHeight="1">
      <c r="A656" s="132">
        <v>7</v>
      </c>
      <c r="B656" s="132" t="s">
        <v>50</v>
      </c>
      <c r="C656" s="182" t="s">
        <v>704</v>
      </c>
      <c r="D656" s="182" t="s">
        <v>904</v>
      </c>
      <c r="E656" s="182">
        <v>5</v>
      </c>
      <c r="F656" s="183">
        <v>41275</v>
      </c>
      <c r="G656" s="184" t="s">
        <v>1375</v>
      </c>
      <c r="H656" s="184" t="s">
        <v>1376</v>
      </c>
      <c r="I656" s="185">
        <v>43300</v>
      </c>
      <c r="J656" s="184" t="s">
        <v>255</v>
      </c>
      <c r="K656" s="184" t="s">
        <v>276</v>
      </c>
      <c r="L656" s="184" t="s">
        <v>1373</v>
      </c>
      <c r="M656" s="182" t="s">
        <v>36</v>
      </c>
      <c r="N656" s="183">
        <v>44743</v>
      </c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  <c r="AB656" s="138"/>
      <c r="AC656" s="138"/>
      <c r="AD656" s="138"/>
      <c r="AE656" s="138"/>
      <c r="AF656" s="138"/>
      <c r="AG656" s="138"/>
      <c r="AH656" s="138"/>
      <c r="AI656" s="138"/>
      <c r="AJ656" s="138"/>
      <c r="AK656" s="138"/>
      <c r="AL656" s="138"/>
      <c r="AM656" s="138"/>
      <c r="AN656" s="138"/>
      <c r="AO656" s="138"/>
      <c r="AP656" s="138"/>
      <c r="AQ656" s="138"/>
      <c r="AR656" s="138"/>
      <c r="AS656" s="138"/>
    </row>
    <row r="657" spans="1:45" ht="15.75" hidden="1" customHeight="1">
      <c r="A657" s="132">
        <v>8</v>
      </c>
      <c r="B657" s="132" t="s">
        <v>91</v>
      </c>
      <c r="C657" s="182" t="s">
        <v>704</v>
      </c>
      <c r="D657" s="182" t="s">
        <v>904</v>
      </c>
      <c r="E657" s="182">
        <v>5</v>
      </c>
      <c r="F657" s="183">
        <v>41275</v>
      </c>
      <c r="G657" s="184" t="s">
        <v>1375</v>
      </c>
      <c r="H657" s="184" t="s">
        <v>1376</v>
      </c>
      <c r="I657" s="185">
        <v>43300</v>
      </c>
      <c r="J657" s="184" t="s">
        <v>188</v>
      </c>
      <c r="K657" s="184" t="s">
        <v>276</v>
      </c>
      <c r="L657" s="184" t="s">
        <v>1373</v>
      </c>
      <c r="M657" s="182" t="s">
        <v>36</v>
      </c>
      <c r="N657" s="183">
        <v>44743</v>
      </c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  <c r="AB657" s="138"/>
      <c r="AC657" s="138"/>
      <c r="AD657" s="138"/>
      <c r="AE657" s="138"/>
      <c r="AF657" s="138"/>
      <c r="AG657" s="138"/>
      <c r="AH657" s="138"/>
      <c r="AI657" s="138"/>
      <c r="AJ657" s="138"/>
      <c r="AK657" s="138"/>
      <c r="AL657" s="138"/>
      <c r="AM657" s="138"/>
      <c r="AN657" s="138"/>
      <c r="AO657" s="138"/>
      <c r="AP657" s="138"/>
      <c r="AQ657" s="138"/>
      <c r="AR657" s="138"/>
      <c r="AS657" s="138"/>
    </row>
    <row r="658" spans="1:45" ht="15.75" hidden="1" customHeight="1">
      <c r="A658" s="132">
        <v>9</v>
      </c>
      <c r="B658" s="132" t="s">
        <v>50</v>
      </c>
      <c r="C658" s="182" t="s">
        <v>1262</v>
      </c>
      <c r="D658" s="182" t="s">
        <v>1263</v>
      </c>
      <c r="E658" s="182">
        <v>2</v>
      </c>
      <c r="F658" s="183">
        <v>41461</v>
      </c>
      <c r="G658" s="184" t="s">
        <v>1377</v>
      </c>
      <c r="H658" s="184" t="s">
        <v>1264</v>
      </c>
      <c r="I658" s="185">
        <v>44621</v>
      </c>
      <c r="J658" s="184" t="s">
        <v>186</v>
      </c>
      <c r="K658" s="184" t="s">
        <v>276</v>
      </c>
      <c r="L658" s="184" t="s">
        <v>1188</v>
      </c>
      <c r="M658" s="182" t="s">
        <v>36</v>
      </c>
      <c r="N658" s="183">
        <v>44743</v>
      </c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  <c r="AB658" s="138"/>
      <c r="AC658" s="138"/>
      <c r="AD658" s="138"/>
      <c r="AE658" s="138"/>
      <c r="AF658" s="138"/>
      <c r="AG658" s="138"/>
      <c r="AH658" s="138"/>
      <c r="AI658" s="138"/>
      <c r="AJ658" s="138"/>
      <c r="AK658" s="138"/>
      <c r="AL658" s="138"/>
      <c r="AM658" s="138"/>
      <c r="AN658" s="138"/>
      <c r="AO658" s="138"/>
      <c r="AP658" s="138"/>
      <c r="AQ658" s="138"/>
      <c r="AR658" s="138"/>
      <c r="AS658" s="138"/>
    </row>
    <row r="659" spans="1:45" ht="15.75" hidden="1" customHeight="1">
      <c r="A659" s="132">
        <v>10</v>
      </c>
      <c r="B659" s="132" t="s">
        <v>91</v>
      </c>
      <c r="C659" s="182" t="s">
        <v>1262</v>
      </c>
      <c r="D659" s="182" t="s">
        <v>1263</v>
      </c>
      <c r="E659" s="182">
        <v>2</v>
      </c>
      <c r="F659" s="183">
        <v>41461</v>
      </c>
      <c r="G659" s="184" t="s">
        <v>1377</v>
      </c>
      <c r="H659" s="184" t="s">
        <v>1264</v>
      </c>
      <c r="I659" s="185">
        <v>44621</v>
      </c>
      <c r="J659" s="184" t="s">
        <v>188</v>
      </c>
      <c r="K659" s="184" t="s">
        <v>276</v>
      </c>
      <c r="L659" s="184" t="s">
        <v>1188</v>
      </c>
      <c r="M659" s="182" t="s">
        <v>36</v>
      </c>
      <c r="N659" s="183">
        <v>44743</v>
      </c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  <c r="AB659" s="138"/>
      <c r="AC659" s="138"/>
      <c r="AD659" s="138"/>
      <c r="AE659" s="138"/>
      <c r="AF659" s="138"/>
      <c r="AG659" s="138"/>
      <c r="AH659" s="138"/>
      <c r="AI659" s="138"/>
      <c r="AJ659" s="138"/>
      <c r="AK659" s="138"/>
      <c r="AL659" s="138"/>
      <c r="AM659" s="138"/>
      <c r="AN659" s="138"/>
      <c r="AO659" s="138"/>
      <c r="AP659" s="138"/>
      <c r="AQ659" s="138"/>
      <c r="AR659" s="138"/>
      <c r="AS659" s="138"/>
    </row>
    <row r="660" spans="1:45" ht="15.75" hidden="1" customHeight="1">
      <c r="A660" s="132">
        <v>11</v>
      </c>
      <c r="B660" s="132" t="s">
        <v>50</v>
      </c>
      <c r="C660" s="182" t="s">
        <v>1378</v>
      </c>
      <c r="D660" s="182" t="s">
        <v>1379</v>
      </c>
      <c r="E660" s="182">
        <v>2</v>
      </c>
      <c r="F660" s="183">
        <v>41915</v>
      </c>
      <c r="G660" s="184" t="s">
        <v>1380</v>
      </c>
      <c r="H660" s="184" t="s">
        <v>1381</v>
      </c>
      <c r="I660" s="185">
        <v>44718</v>
      </c>
      <c r="J660" s="184" t="s">
        <v>186</v>
      </c>
      <c r="K660" s="184" t="s">
        <v>1152</v>
      </c>
      <c r="L660" s="184"/>
      <c r="M660" s="182" t="s">
        <v>36</v>
      </c>
      <c r="N660" s="183">
        <v>44743</v>
      </c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  <c r="AB660" s="138"/>
      <c r="AC660" s="138"/>
      <c r="AD660" s="138"/>
      <c r="AE660" s="138"/>
      <c r="AF660" s="138"/>
      <c r="AG660" s="138"/>
      <c r="AH660" s="138"/>
      <c r="AI660" s="138"/>
      <c r="AJ660" s="138"/>
      <c r="AK660" s="138"/>
      <c r="AL660" s="138"/>
      <c r="AM660" s="138"/>
      <c r="AN660" s="138"/>
      <c r="AO660" s="138"/>
      <c r="AP660" s="138"/>
      <c r="AQ660" s="138"/>
      <c r="AR660" s="138"/>
      <c r="AS660" s="138"/>
    </row>
    <row r="661" spans="1:45" ht="15.75" hidden="1" customHeight="1">
      <c r="A661" s="132">
        <v>12</v>
      </c>
      <c r="B661" s="132" t="s">
        <v>91</v>
      </c>
      <c r="C661" s="182" t="s">
        <v>1378</v>
      </c>
      <c r="D661" s="182" t="s">
        <v>1379</v>
      </c>
      <c r="E661" s="182">
        <v>2</v>
      </c>
      <c r="F661" s="183">
        <v>41915</v>
      </c>
      <c r="G661" s="184" t="s">
        <v>1380</v>
      </c>
      <c r="H661" s="184" t="s">
        <v>1381</v>
      </c>
      <c r="I661" s="185">
        <v>44718</v>
      </c>
      <c r="J661" s="184" t="s">
        <v>141</v>
      </c>
      <c r="K661" s="184" t="s">
        <v>612</v>
      </c>
      <c r="L661" s="184"/>
      <c r="M661" s="182" t="s">
        <v>36</v>
      </c>
      <c r="N661" s="183">
        <v>44743</v>
      </c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  <c r="AB661" s="138"/>
      <c r="AC661" s="138"/>
      <c r="AD661" s="138"/>
      <c r="AE661" s="138"/>
      <c r="AF661" s="138"/>
      <c r="AG661" s="138"/>
      <c r="AH661" s="138"/>
      <c r="AI661" s="138"/>
      <c r="AJ661" s="138"/>
      <c r="AK661" s="138"/>
      <c r="AL661" s="138"/>
      <c r="AM661" s="138"/>
      <c r="AN661" s="138"/>
      <c r="AO661" s="138"/>
      <c r="AP661" s="138"/>
      <c r="AQ661" s="138"/>
      <c r="AR661" s="138"/>
      <c r="AS661" s="138"/>
    </row>
    <row r="662" spans="1:45" ht="15.75" hidden="1" customHeight="1">
      <c r="A662" s="132">
        <v>13</v>
      </c>
      <c r="B662" s="132" t="s">
        <v>50</v>
      </c>
      <c r="C662" s="182" t="s">
        <v>903</v>
      </c>
      <c r="D662" s="182" t="s">
        <v>588</v>
      </c>
      <c r="E662" s="182" t="s">
        <v>190</v>
      </c>
      <c r="F662" s="183">
        <v>42673</v>
      </c>
      <c r="G662" s="184" t="s">
        <v>1382</v>
      </c>
      <c r="H662" s="184" t="s">
        <v>1383</v>
      </c>
      <c r="I662" s="185">
        <v>44562</v>
      </c>
      <c r="J662" s="184" t="s">
        <v>349</v>
      </c>
      <c r="K662" s="184" t="s">
        <v>612</v>
      </c>
      <c r="L662" s="184" t="s">
        <v>1247</v>
      </c>
      <c r="M662" s="182" t="s">
        <v>36</v>
      </c>
      <c r="N662" s="183">
        <v>44743</v>
      </c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  <c r="AB662" s="138"/>
      <c r="AC662" s="138"/>
      <c r="AD662" s="138"/>
      <c r="AE662" s="138"/>
      <c r="AF662" s="138"/>
      <c r="AG662" s="138"/>
      <c r="AH662" s="138"/>
      <c r="AI662" s="138"/>
      <c r="AJ662" s="138"/>
      <c r="AK662" s="138"/>
      <c r="AL662" s="138"/>
      <c r="AM662" s="138"/>
      <c r="AN662" s="138"/>
      <c r="AO662" s="138"/>
      <c r="AP662" s="138"/>
      <c r="AQ662" s="138"/>
      <c r="AR662" s="138"/>
      <c r="AS662" s="138"/>
    </row>
    <row r="663" spans="1:45" ht="15.75" hidden="1" customHeight="1">
      <c r="A663" s="132">
        <v>14</v>
      </c>
      <c r="B663" s="132" t="s">
        <v>91</v>
      </c>
      <c r="C663" s="182" t="s">
        <v>903</v>
      </c>
      <c r="D663" s="182" t="s">
        <v>588</v>
      </c>
      <c r="E663" s="182" t="s">
        <v>190</v>
      </c>
      <c r="F663" s="183">
        <v>42673</v>
      </c>
      <c r="G663" s="184" t="s">
        <v>1382</v>
      </c>
      <c r="H663" s="184" t="s">
        <v>1383</v>
      </c>
      <c r="I663" s="185">
        <v>44562</v>
      </c>
      <c r="J663" s="184" t="s">
        <v>752</v>
      </c>
      <c r="K663" s="184" t="s">
        <v>276</v>
      </c>
      <c r="L663" s="184" t="s">
        <v>1247</v>
      </c>
      <c r="M663" s="182" t="s">
        <v>36</v>
      </c>
      <c r="N663" s="183">
        <v>44743</v>
      </c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  <c r="AG663" s="138"/>
      <c r="AH663" s="138"/>
      <c r="AI663" s="138"/>
      <c r="AJ663" s="138"/>
      <c r="AK663" s="138"/>
      <c r="AL663" s="138"/>
      <c r="AM663" s="138"/>
      <c r="AN663" s="138"/>
      <c r="AO663" s="138"/>
      <c r="AP663" s="138"/>
      <c r="AQ663" s="138"/>
      <c r="AR663" s="138"/>
      <c r="AS663" s="138"/>
    </row>
    <row r="664" spans="1:45" ht="15.75" hidden="1" customHeight="1">
      <c r="A664" s="132">
        <v>15</v>
      </c>
      <c r="B664" s="132" t="s">
        <v>50</v>
      </c>
      <c r="C664" s="182" t="s">
        <v>441</v>
      </c>
      <c r="D664" s="182" t="s">
        <v>1384</v>
      </c>
      <c r="E664" s="182">
        <v>1</v>
      </c>
      <c r="F664" s="183">
        <v>42086</v>
      </c>
      <c r="G664" s="184" t="s">
        <v>1385</v>
      </c>
      <c r="H664" s="184" t="s">
        <v>1386</v>
      </c>
      <c r="I664" s="185">
        <v>44447</v>
      </c>
      <c r="J664" s="184" t="s">
        <v>131</v>
      </c>
      <c r="K664" s="184" t="s">
        <v>612</v>
      </c>
      <c r="L664" s="184"/>
      <c r="M664" s="182" t="s">
        <v>36</v>
      </c>
      <c r="N664" s="183">
        <v>44743</v>
      </c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  <c r="AB664" s="138"/>
      <c r="AC664" s="138"/>
      <c r="AD664" s="138"/>
      <c r="AE664" s="138"/>
      <c r="AF664" s="138"/>
      <c r="AG664" s="138"/>
      <c r="AH664" s="138"/>
      <c r="AI664" s="138"/>
      <c r="AJ664" s="138"/>
      <c r="AK664" s="138"/>
      <c r="AL664" s="138"/>
      <c r="AM664" s="138"/>
      <c r="AN664" s="138"/>
      <c r="AO664" s="138"/>
      <c r="AP664" s="138"/>
      <c r="AQ664" s="138"/>
      <c r="AR664" s="138"/>
      <c r="AS664" s="138"/>
    </row>
    <row r="665" spans="1:45" ht="15.75" hidden="1" customHeight="1">
      <c r="A665" s="132">
        <v>16</v>
      </c>
      <c r="B665" s="132" t="s">
        <v>50</v>
      </c>
      <c r="C665" s="182" t="s">
        <v>715</v>
      </c>
      <c r="D665" s="182" t="s">
        <v>835</v>
      </c>
      <c r="E665" s="182">
        <v>4</v>
      </c>
      <c r="F665" s="183" t="s">
        <v>717</v>
      </c>
      <c r="G665" s="184" t="s">
        <v>718</v>
      </c>
      <c r="H665" s="184" t="s">
        <v>493</v>
      </c>
      <c r="I665" s="185">
        <v>44136</v>
      </c>
      <c r="J665" s="184" t="s">
        <v>271</v>
      </c>
      <c r="K665" s="184" t="s">
        <v>276</v>
      </c>
      <c r="L665" s="184"/>
      <c r="M665" s="182" t="s">
        <v>36</v>
      </c>
      <c r="N665" s="183">
        <v>44743</v>
      </c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  <c r="AB665" s="138"/>
      <c r="AC665" s="138"/>
      <c r="AD665" s="138"/>
      <c r="AE665" s="138"/>
      <c r="AF665" s="138"/>
      <c r="AG665" s="138"/>
      <c r="AH665" s="138"/>
      <c r="AI665" s="138"/>
      <c r="AJ665" s="138"/>
      <c r="AK665" s="138"/>
      <c r="AL665" s="138"/>
      <c r="AM665" s="138"/>
      <c r="AN665" s="138"/>
      <c r="AO665" s="138"/>
      <c r="AP665" s="138"/>
      <c r="AQ665" s="138"/>
      <c r="AR665" s="138"/>
      <c r="AS665" s="138"/>
    </row>
    <row r="666" spans="1:45" ht="15.75" hidden="1" customHeight="1">
      <c r="A666" s="132">
        <v>17</v>
      </c>
      <c r="B666" s="132" t="s">
        <v>91</v>
      </c>
      <c r="C666" s="182" t="s">
        <v>715</v>
      </c>
      <c r="D666" s="182" t="s">
        <v>835</v>
      </c>
      <c r="E666" s="182">
        <v>4</v>
      </c>
      <c r="F666" s="183" t="s">
        <v>717</v>
      </c>
      <c r="G666" s="184" t="s">
        <v>718</v>
      </c>
      <c r="H666" s="184" t="s">
        <v>493</v>
      </c>
      <c r="I666" s="185">
        <v>44136</v>
      </c>
      <c r="J666" s="184" t="s">
        <v>167</v>
      </c>
      <c r="K666" s="184" t="s">
        <v>612</v>
      </c>
      <c r="L666" s="184"/>
      <c r="M666" s="182" t="s">
        <v>36</v>
      </c>
      <c r="N666" s="183">
        <v>44743</v>
      </c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  <c r="AB666" s="138"/>
      <c r="AC666" s="138"/>
      <c r="AD666" s="138"/>
      <c r="AE666" s="138"/>
      <c r="AF666" s="138"/>
      <c r="AG666" s="138"/>
      <c r="AH666" s="138"/>
      <c r="AI666" s="138"/>
      <c r="AJ666" s="138"/>
      <c r="AK666" s="138"/>
      <c r="AL666" s="138"/>
      <c r="AM666" s="138"/>
      <c r="AN666" s="138"/>
      <c r="AO666" s="138"/>
      <c r="AP666" s="138"/>
      <c r="AQ666" s="138"/>
      <c r="AR666" s="138"/>
      <c r="AS666" s="138"/>
    </row>
    <row r="667" spans="1:45" ht="15.75" hidden="1" customHeight="1">
      <c r="A667" s="132">
        <v>18</v>
      </c>
      <c r="B667" s="132" t="s">
        <v>50</v>
      </c>
      <c r="C667" s="182" t="s">
        <v>494</v>
      </c>
      <c r="D667" s="182" t="s">
        <v>495</v>
      </c>
      <c r="E667" s="182">
        <v>4</v>
      </c>
      <c r="F667" s="183">
        <v>40999</v>
      </c>
      <c r="G667" s="184" t="s">
        <v>496</v>
      </c>
      <c r="H667" s="184" t="s">
        <v>497</v>
      </c>
      <c r="I667" s="185">
        <v>44458</v>
      </c>
      <c r="J667" s="184" t="s">
        <v>148</v>
      </c>
      <c r="K667" s="184" t="s">
        <v>612</v>
      </c>
      <c r="L667" s="184" t="s">
        <v>1372</v>
      </c>
      <c r="M667" s="182" t="s">
        <v>36</v>
      </c>
      <c r="N667" s="183">
        <v>44743</v>
      </c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  <c r="AB667" s="138"/>
      <c r="AC667" s="138"/>
      <c r="AD667" s="138"/>
      <c r="AE667" s="138"/>
      <c r="AF667" s="138"/>
      <c r="AG667" s="138"/>
      <c r="AH667" s="138"/>
      <c r="AI667" s="138"/>
      <c r="AJ667" s="138"/>
      <c r="AK667" s="138"/>
      <c r="AL667" s="138"/>
      <c r="AM667" s="138"/>
      <c r="AN667" s="138"/>
      <c r="AO667" s="138"/>
      <c r="AP667" s="138"/>
      <c r="AQ667" s="138"/>
      <c r="AR667" s="138"/>
      <c r="AS667" s="138"/>
    </row>
    <row r="668" spans="1:45" ht="15.75" hidden="1" customHeight="1">
      <c r="A668" s="132">
        <v>19</v>
      </c>
      <c r="B668" s="132" t="s">
        <v>91</v>
      </c>
      <c r="C668" s="182" t="s">
        <v>494</v>
      </c>
      <c r="D668" s="182" t="s">
        <v>495</v>
      </c>
      <c r="E668" s="182">
        <v>4</v>
      </c>
      <c r="F668" s="183">
        <v>40999</v>
      </c>
      <c r="G668" s="184" t="s">
        <v>496</v>
      </c>
      <c r="H668" s="184" t="s">
        <v>497</v>
      </c>
      <c r="I668" s="185">
        <v>44458</v>
      </c>
      <c r="J668" s="184" t="s">
        <v>150</v>
      </c>
      <c r="K668" s="184" t="s">
        <v>568</v>
      </c>
      <c r="L668" s="184"/>
      <c r="M668" s="182" t="s">
        <v>36</v>
      </c>
      <c r="N668" s="183">
        <v>44743</v>
      </c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  <c r="AB668" s="138"/>
      <c r="AC668" s="138"/>
      <c r="AD668" s="138"/>
      <c r="AE668" s="138"/>
      <c r="AF668" s="138"/>
      <c r="AG668" s="138"/>
      <c r="AH668" s="138"/>
      <c r="AI668" s="138"/>
      <c r="AJ668" s="138"/>
      <c r="AK668" s="138"/>
      <c r="AL668" s="138"/>
      <c r="AM668" s="138"/>
      <c r="AN668" s="138"/>
      <c r="AO668" s="138"/>
      <c r="AP668" s="138"/>
      <c r="AQ668" s="138"/>
      <c r="AR668" s="138"/>
      <c r="AS668" s="138"/>
    </row>
    <row r="669" spans="1:45" ht="15.75" hidden="1" customHeight="1">
      <c r="A669" s="132">
        <v>1</v>
      </c>
      <c r="B669" s="132" t="s">
        <v>50</v>
      </c>
      <c r="C669" s="182" t="s">
        <v>1387</v>
      </c>
      <c r="D669" s="182" t="s">
        <v>1388</v>
      </c>
      <c r="E669" s="182" t="s">
        <v>190</v>
      </c>
      <c r="F669" s="183">
        <v>42565</v>
      </c>
      <c r="G669" s="184" t="s">
        <v>1389</v>
      </c>
      <c r="H669" s="189" t="s">
        <v>1390</v>
      </c>
      <c r="I669" s="185" t="s">
        <v>1257</v>
      </c>
      <c r="J669" s="184" t="s">
        <v>131</v>
      </c>
      <c r="K669" s="184" t="s">
        <v>276</v>
      </c>
      <c r="L669" s="184"/>
      <c r="M669" s="182" t="s">
        <v>36</v>
      </c>
      <c r="N669" s="183">
        <v>44774</v>
      </c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  <c r="AB669" s="138"/>
      <c r="AC669" s="138"/>
      <c r="AD669" s="138"/>
      <c r="AE669" s="138"/>
      <c r="AF669" s="138"/>
      <c r="AG669" s="138"/>
      <c r="AH669" s="138"/>
      <c r="AI669" s="138"/>
      <c r="AJ669" s="138"/>
      <c r="AK669" s="138"/>
      <c r="AL669" s="138"/>
      <c r="AM669" s="138"/>
      <c r="AN669" s="138"/>
      <c r="AO669" s="138"/>
      <c r="AP669" s="138"/>
      <c r="AQ669" s="138"/>
      <c r="AR669" s="138"/>
      <c r="AS669" s="138"/>
    </row>
    <row r="670" spans="1:45" ht="15.75" hidden="1" customHeight="1">
      <c r="A670" s="132">
        <v>2</v>
      </c>
      <c r="B670" s="132" t="s">
        <v>91</v>
      </c>
      <c r="C670" s="182" t="s">
        <v>1387</v>
      </c>
      <c r="D670" s="182" t="s">
        <v>1388</v>
      </c>
      <c r="E670" s="182" t="s">
        <v>190</v>
      </c>
      <c r="F670" s="183">
        <v>42565</v>
      </c>
      <c r="G670" s="184" t="s">
        <v>1389</v>
      </c>
      <c r="H670" s="184" t="s">
        <v>1390</v>
      </c>
      <c r="I670" s="185" t="s">
        <v>1257</v>
      </c>
      <c r="J670" s="184" t="s">
        <v>112</v>
      </c>
      <c r="K670" s="184" t="s">
        <v>276</v>
      </c>
      <c r="L670" s="184"/>
      <c r="M670" s="182" t="s">
        <v>36</v>
      </c>
      <c r="N670" s="183">
        <v>44774</v>
      </c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  <c r="AB670" s="138"/>
      <c r="AC670" s="138"/>
      <c r="AD670" s="138"/>
      <c r="AE670" s="138"/>
      <c r="AF670" s="138"/>
      <c r="AG670" s="138"/>
      <c r="AH670" s="138"/>
      <c r="AI670" s="138"/>
      <c r="AJ670" s="138"/>
      <c r="AK670" s="138"/>
      <c r="AL670" s="138"/>
      <c r="AM670" s="138"/>
      <c r="AN670" s="138"/>
      <c r="AO670" s="138"/>
      <c r="AP670" s="138"/>
      <c r="AQ670" s="138"/>
      <c r="AR670" s="138"/>
      <c r="AS670" s="138"/>
    </row>
    <row r="671" spans="1:45" ht="15.75" hidden="1" customHeight="1">
      <c r="A671" s="132">
        <v>3</v>
      </c>
      <c r="B671" s="132" t="s">
        <v>50</v>
      </c>
      <c r="C671" s="182" t="s">
        <v>1391</v>
      </c>
      <c r="D671" s="182" t="s">
        <v>1392</v>
      </c>
      <c r="E671" s="182">
        <v>5</v>
      </c>
      <c r="F671" s="183">
        <v>40985</v>
      </c>
      <c r="G671" s="184" t="s">
        <v>1393</v>
      </c>
      <c r="H671" s="184" t="s">
        <v>1394</v>
      </c>
      <c r="I671" s="185">
        <v>44722</v>
      </c>
      <c r="J671" s="184" t="s">
        <v>261</v>
      </c>
      <c r="K671" s="184" t="s">
        <v>272</v>
      </c>
      <c r="L671" s="184"/>
      <c r="M671" s="182" t="s">
        <v>36</v>
      </c>
      <c r="N671" s="183">
        <v>44774</v>
      </c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  <c r="AB671" s="138"/>
      <c r="AC671" s="138"/>
      <c r="AD671" s="138"/>
      <c r="AE671" s="138"/>
      <c r="AF671" s="138"/>
      <c r="AG671" s="138"/>
      <c r="AH671" s="138"/>
      <c r="AI671" s="138"/>
      <c r="AJ671" s="138"/>
      <c r="AK671" s="138"/>
      <c r="AL671" s="138"/>
      <c r="AM671" s="138"/>
      <c r="AN671" s="138"/>
      <c r="AO671" s="138"/>
      <c r="AP671" s="138"/>
      <c r="AQ671" s="138"/>
      <c r="AR671" s="138"/>
      <c r="AS671" s="138"/>
    </row>
    <row r="672" spans="1:45" ht="15.75" hidden="1" customHeight="1">
      <c r="A672" s="132">
        <v>4</v>
      </c>
      <c r="B672" s="132" t="s">
        <v>91</v>
      </c>
      <c r="C672" s="182" t="s">
        <v>1391</v>
      </c>
      <c r="D672" s="182" t="s">
        <v>1392</v>
      </c>
      <c r="E672" s="182">
        <v>5</v>
      </c>
      <c r="F672" s="183">
        <v>40985</v>
      </c>
      <c r="G672" s="184" t="s">
        <v>1393</v>
      </c>
      <c r="H672" s="184" t="s">
        <v>1394</v>
      </c>
      <c r="I672" s="185">
        <v>44722</v>
      </c>
      <c r="J672" s="184" t="s">
        <v>121</v>
      </c>
      <c r="K672" s="184" t="s">
        <v>272</v>
      </c>
      <c r="L672" s="184"/>
      <c r="M672" s="182" t="s">
        <v>36</v>
      </c>
      <c r="N672" s="183">
        <v>44774</v>
      </c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  <c r="AB672" s="138"/>
      <c r="AC672" s="138"/>
      <c r="AD672" s="138"/>
      <c r="AE672" s="138"/>
      <c r="AF672" s="138"/>
      <c r="AG672" s="138"/>
      <c r="AH672" s="138"/>
      <c r="AI672" s="138"/>
      <c r="AJ672" s="138"/>
      <c r="AK672" s="138"/>
      <c r="AL672" s="138"/>
      <c r="AM672" s="138"/>
      <c r="AN672" s="138"/>
      <c r="AO672" s="138"/>
      <c r="AP672" s="138"/>
      <c r="AQ672" s="138"/>
      <c r="AR672" s="138"/>
      <c r="AS672" s="138"/>
    </row>
    <row r="673" spans="1:45" ht="15.75" hidden="1" customHeight="1">
      <c r="A673" s="132">
        <v>5</v>
      </c>
      <c r="B673" s="132" t="s">
        <v>50</v>
      </c>
      <c r="C673" s="182" t="s">
        <v>1395</v>
      </c>
      <c r="D673" s="182" t="s">
        <v>1396</v>
      </c>
      <c r="E673" s="182" t="s">
        <v>190</v>
      </c>
      <c r="F673" s="183">
        <v>42521</v>
      </c>
      <c r="G673" s="184" t="s">
        <v>1397</v>
      </c>
      <c r="H673" s="184" t="s">
        <v>1398</v>
      </c>
      <c r="I673" s="185">
        <v>44598</v>
      </c>
      <c r="J673" s="184" t="s">
        <v>134</v>
      </c>
      <c r="K673" s="184" t="s">
        <v>272</v>
      </c>
      <c r="L673" s="184"/>
      <c r="M673" s="182" t="s">
        <v>36</v>
      </c>
      <c r="N673" s="183">
        <v>44774</v>
      </c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  <c r="AB673" s="138"/>
      <c r="AC673" s="138"/>
      <c r="AD673" s="138"/>
      <c r="AE673" s="138"/>
      <c r="AF673" s="138"/>
      <c r="AG673" s="138"/>
      <c r="AH673" s="138"/>
      <c r="AI673" s="138"/>
      <c r="AJ673" s="138"/>
      <c r="AK673" s="138"/>
      <c r="AL673" s="138"/>
      <c r="AM673" s="138"/>
      <c r="AN673" s="138"/>
      <c r="AO673" s="138"/>
      <c r="AP673" s="138"/>
      <c r="AQ673" s="138"/>
      <c r="AR673" s="138"/>
      <c r="AS673" s="138"/>
    </row>
    <row r="674" spans="1:45" ht="15.75" hidden="1" customHeight="1">
      <c r="A674" s="132">
        <v>6</v>
      </c>
      <c r="B674" s="132" t="s">
        <v>91</v>
      </c>
      <c r="C674" s="182" t="s">
        <v>1395</v>
      </c>
      <c r="D674" s="182" t="s">
        <v>1396</v>
      </c>
      <c r="E674" s="182" t="s">
        <v>190</v>
      </c>
      <c r="F674" s="183">
        <v>42521</v>
      </c>
      <c r="G674" s="184" t="s">
        <v>1397</v>
      </c>
      <c r="H674" s="184" t="s">
        <v>1398</v>
      </c>
      <c r="I674" s="185">
        <v>44598</v>
      </c>
      <c r="J674" s="184" t="s">
        <v>351</v>
      </c>
      <c r="K674" s="184" t="s">
        <v>272</v>
      </c>
      <c r="L674" s="184"/>
      <c r="M674" s="182" t="s">
        <v>36</v>
      </c>
      <c r="N674" s="183">
        <v>44774</v>
      </c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  <c r="AB674" s="138"/>
      <c r="AC674" s="138"/>
      <c r="AD674" s="138"/>
      <c r="AE674" s="138"/>
      <c r="AF674" s="138"/>
      <c r="AG674" s="138"/>
      <c r="AH674" s="138"/>
      <c r="AI674" s="138"/>
      <c r="AJ674" s="138"/>
      <c r="AK674" s="138"/>
      <c r="AL674" s="138"/>
      <c r="AM674" s="138"/>
      <c r="AN674" s="138"/>
      <c r="AO674" s="138"/>
      <c r="AP674" s="138"/>
      <c r="AQ674" s="138"/>
      <c r="AR674" s="138"/>
      <c r="AS674" s="138"/>
    </row>
    <row r="675" spans="1:45" ht="15.75" hidden="1" customHeight="1">
      <c r="A675" s="132">
        <v>7</v>
      </c>
      <c r="B675" s="132" t="s">
        <v>50</v>
      </c>
      <c r="C675" s="182" t="s">
        <v>1395</v>
      </c>
      <c r="D675" s="182" t="s">
        <v>1399</v>
      </c>
      <c r="E675" s="182">
        <v>4</v>
      </c>
      <c r="F675" s="183">
        <v>41275</v>
      </c>
      <c r="G675" s="184" t="s">
        <v>1400</v>
      </c>
      <c r="H675" s="184" t="s">
        <v>1401</v>
      </c>
      <c r="I675" s="185">
        <v>44722</v>
      </c>
      <c r="J675" s="184" t="s">
        <v>261</v>
      </c>
      <c r="K675" s="184" t="s">
        <v>276</v>
      </c>
      <c r="L675" s="184"/>
      <c r="M675" s="182" t="s">
        <v>36</v>
      </c>
      <c r="N675" s="183">
        <v>44774</v>
      </c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  <c r="AB675" s="138"/>
      <c r="AC675" s="138"/>
      <c r="AD675" s="138"/>
      <c r="AE675" s="138"/>
      <c r="AF675" s="138"/>
      <c r="AG675" s="138"/>
      <c r="AH675" s="138"/>
      <c r="AI675" s="138"/>
      <c r="AJ675" s="138"/>
      <c r="AK675" s="138"/>
      <c r="AL675" s="138"/>
      <c r="AM675" s="138"/>
      <c r="AN675" s="138"/>
      <c r="AO675" s="138"/>
      <c r="AP675" s="138"/>
      <c r="AQ675" s="138"/>
      <c r="AR675" s="138"/>
      <c r="AS675" s="138"/>
    </row>
    <row r="676" spans="1:45" ht="15.75" hidden="1" customHeight="1">
      <c r="A676" s="132">
        <v>8</v>
      </c>
      <c r="B676" s="132" t="s">
        <v>91</v>
      </c>
      <c r="C676" s="182" t="s">
        <v>1395</v>
      </c>
      <c r="D676" s="182" t="s">
        <v>1399</v>
      </c>
      <c r="E676" s="182">
        <v>4</v>
      </c>
      <c r="F676" s="183">
        <v>41275</v>
      </c>
      <c r="G676" s="184" t="s">
        <v>1400</v>
      </c>
      <c r="H676" s="184" t="s">
        <v>1401</v>
      </c>
      <c r="I676" s="185">
        <v>44722</v>
      </c>
      <c r="J676" s="184" t="s">
        <v>121</v>
      </c>
      <c r="K676" s="184" t="s">
        <v>272</v>
      </c>
      <c r="L676" s="184"/>
      <c r="M676" s="182" t="s">
        <v>36</v>
      </c>
      <c r="N676" s="183">
        <v>44774</v>
      </c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  <c r="AB676" s="138"/>
      <c r="AC676" s="138"/>
      <c r="AD676" s="138"/>
      <c r="AE676" s="138"/>
      <c r="AF676" s="138"/>
      <c r="AG676" s="138"/>
      <c r="AH676" s="138"/>
      <c r="AI676" s="138"/>
      <c r="AJ676" s="138"/>
      <c r="AK676" s="138"/>
      <c r="AL676" s="138"/>
      <c r="AM676" s="138"/>
      <c r="AN676" s="138"/>
      <c r="AO676" s="138"/>
      <c r="AP676" s="138"/>
      <c r="AQ676" s="138"/>
      <c r="AR676" s="138"/>
      <c r="AS676" s="138"/>
    </row>
    <row r="677" spans="1:45" ht="15.75" hidden="1" customHeight="1">
      <c r="A677" s="132">
        <v>9</v>
      </c>
      <c r="B677" s="132" t="s">
        <v>91</v>
      </c>
      <c r="C677" s="182" t="s">
        <v>899</v>
      </c>
      <c r="D677" s="182" t="s">
        <v>1024</v>
      </c>
      <c r="E677" s="182">
        <v>3</v>
      </c>
      <c r="F677" s="183">
        <v>41393</v>
      </c>
      <c r="G677" s="184" t="s">
        <v>1025</v>
      </c>
      <c r="H677" s="184" t="s">
        <v>834</v>
      </c>
      <c r="I677" s="185">
        <v>44621</v>
      </c>
      <c r="J677" s="184" t="s">
        <v>121</v>
      </c>
      <c r="K677" s="184" t="s">
        <v>612</v>
      </c>
      <c r="L677" s="184"/>
      <c r="M677" s="182" t="s">
        <v>36</v>
      </c>
      <c r="N677" s="183">
        <v>44774</v>
      </c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  <c r="AB677" s="138"/>
      <c r="AC677" s="138"/>
      <c r="AD677" s="138"/>
      <c r="AE677" s="138"/>
      <c r="AF677" s="138"/>
      <c r="AG677" s="138"/>
      <c r="AH677" s="138"/>
      <c r="AI677" s="138"/>
      <c r="AJ677" s="138"/>
      <c r="AK677" s="138"/>
      <c r="AL677" s="138"/>
      <c r="AM677" s="138"/>
      <c r="AN677" s="138"/>
      <c r="AO677" s="138"/>
      <c r="AP677" s="138"/>
      <c r="AQ677" s="138"/>
      <c r="AR677" s="138"/>
      <c r="AS677" s="138"/>
    </row>
    <row r="678" spans="1:45" ht="15.75" hidden="1" customHeight="1">
      <c r="A678" s="132">
        <v>10</v>
      </c>
      <c r="B678" s="132" t="s">
        <v>50</v>
      </c>
      <c r="C678" s="182" t="s">
        <v>1402</v>
      </c>
      <c r="D678" s="182" t="s">
        <v>1403</v>
      </c>
      <c r="E678" s="182">
        <v>7</v>
      </c>
      <c r="F678" s="183">
        <v>40205</v>
      </c>
      <c r="G678" s="184" t="s">
        <v>170</v>
      </c>
      <c r="H678" s="184" t="s">
        <v>171</v>
      </c>
      <c r="I678" s="185">
        <v>44729</v>
      </c>
      <c r="J678" s="184" t="s">
        <v>358</v>
      </c>
      <c r="K678" s="184" t="s">
        <v>276</v>
      </c>
      <c r="L678" s="184"/>
      <c r="M678" s="182" t="s">
        <v>36</v>
      </c>
      <c r="N678" s="183">
        <v>44774</v>
      </c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  <c r="AB678" s="138"/>
      <c r="AC678" s="138"/>
      <c r="AD678" s="138"/>
      <c r="AE678" s="138"/>
      <c r="AF678" s="138"/>
      <c r="AG678" s="138"/>
      <c r="AH678" s="138"/>
      <c r="AI678" s="138"/>
      <c r="AJ678" s="138"/>
      <c r="AK678" s="138"/>
      <c r="AL678" s="138"/>
      <c r="AM678" s="138"/>
      <c r="AN678" s="138"/>
      <c r="AO678" s="138"/>
      <c r="AP678" s="138"/>
      <c r="AQ678" s="138"/>
      <c r="AR678" s="138"/>
      <c r="AS678" s="138"/>
    </row>
    <row r="679" spans="1:45" ht="15.75" hidden="1" customHeight="1">
      <c r="A679" s="132">
        <v>11</v>
      </c>
      <c r="B679" s="132" t="s">
        <v>91</v>
      </c>
      <c r="C679" s="182" t="s">
        <v>1402</v>
      </c>
      <c r="D679" s="182" t="s">
        <v>1403</v>
      </c>
      <c r="E679" s="182">
        <v>7</v>
      </c>
      <c r="F679" s="183">
        <v>40205</v>
      </c>
      <c r="G679" s="184" t="s">
        <v>170</v>
      </c>
      <c r="H679" s="184" t="s">
        <v>171</v>
      </c>
      <c r="I679" s="185">
        <v>44729</v>
      </c>
      <c r="J679" s="184" t="s">
        <v>188</v>
      </c>
      <c r="K679" s="184" t="s">
        <v>276</v>
      </c>
      <c r="L679" s="184"/>
      <c r="M679" s="182" t="s">
        <v>36</v>
      </c>
      <c r="N679" s="183">
        <v>44774</v>
      </c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  <c r="AB679" s="138"/>
      <c r="AC679" s="138"/>
      <c r="AD679" s="138"/>
      <c r="AE679" s="138"/>
      <c r="AF679" s="138"/>
      <c r="AG679" s="138"/>
      <c r="AH679" s="138"/>
      <c r="AI679" s="138"/>
      <c r="AJ679" s="138"/>
      <c r="AK679" s="138"/>
      <c r="AL679" s="138"/>
      <c r="AM679" s="138"/>
      <c r="AN679" s="138"/>
      <c r="AO679" s="138"/>
      <c r="AP679" s="138"/>
      <c r="AQ679" s="138"/>
      <c r="AR679" s="138"/>
      <c r="AS679" s="138"/>
    </row>
    <row r="680" spans="1:45" ht="15.75" hidden="1" customHeight="1">
      <c r="A680" s="132">
        <v>12</v>
      </c>
      <c r="B680" s="132" t="s">
        <v>91</v>
      </c>
      <c r="C680" s="182" t="s">
        <v>313</v>
      </c>
      <c r="D680" s="182" t="s">
        <v>314</v>
      </c>
      <c r="E680" s="182">
        <v>4</v>
      </c>
      <c r="F680" s="183">
        <v>41041</v>
      </c>
      <c r="G680" s="184" t="s">
        <v>1404</v>
      </c>
      <c r="H680" s="184" t="s">
        <v>316</v>
      </c>
      <c r="I680" s="185">
        <v>44531</v>
      </c>
      <c r="J680" s="184" t="s">
        <v>188</v>
      </c>
      <c r="K680" s="184" t="s">
        <v>612</v>
      </c>
      <c r="L680" s="184"/>
      <c r="M680" s="182" t="s">
        <v>36</v>
      </c>
      <c r="N680" s="183">
        <v>44774</v>
      </c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  <c r="AB680" s="138"/>
      <c r="AC680" s="138"/>
      <c r="AD680" s="138"/>
      <c r="AE680" s="138"/>
      <c r="AF680" s="138"/>
      <c r="AG680" s="138"/>
      <c r="AH680" s="138"/>
      <c r="AI680" s="138"/>
      <c r="AJ680" s="138"/>
      <c r="AK680" s="138"/>
      <c r="AL680" s="138"/>
      <c r="AM680" s="138"/>
      <c r="AN680" s="138"/>
      <c r="AO680" s="138"/>
      <c r="AP680" s="138"/>
      <c r="AQ680" s="138"/>
      <c r="AR680" s="138"/>
      <c r="AS680" s="138"/>
    </row>
    <row r="681" spans="1:45" ht="15.75" hidden="1" customHeight="1">
      <c r="A681" s="132">
        <v>13</v>
      </c>
      <c r="B681" s="132" t="s">
        <v>91</v>
      </c>
      <c r="C681" s="182" t="s">
        <v>313</v>
      </c>
      <c r="D681" s="182" t="s">
        <v>314</v>
      </c>
      <c r="E681" s="182">
        <v>4</v>
      </c>
      <c r="F681" s="183">
        <v>41041</v>
      </c>
      <c r="G681" s="184" t="s">
        <v>1404</v>
      </c>
      <c r="H681" s="184" t="s">
        <v>316</v>
      </c>
      <c r="I681" s="185">
        <v>44531</v>
      </c>
      <c r="J681" s="184" t="s">
        <v>358</v>
      </c>
      <c r="K681" s="184" t="s">
        <v>612</v>
      </c>
      <c r="L681" s="184"/>
      <c r="M681" s="182" t="s">
        <v>36</v>
      </c>
      <c r="N681" s="183">
        <v>44774</v>
      </c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  <c r="AB681" s="138"/>
      <c r="AC681" s="138"/>
      <c r="AD681" s="138"/>
      <c r="AE681" s="138"/>
      <c r="AF681" s="138"/>
      <c r="AG681" s="138"/>
      <c r="AH681" s="138"/>
      <c r="AI681" s="138"/>
      <c r="AJ681" s="138"/>
      <c r="AK681" s="138"/>
      <c r="AL681" s="138"/>
      <c r="AM681" s="138"/>
      <c r="AN681" s="138"/>
      <c r="AO681" s="138"/>
      <c r="AP681" s="138"/>
      <c r="AQ681" s="138"/>
      <c r="AR681" s="138"/>
      <c r="AS681" s="138"/>
    </row>
    <row r="682" spans="1:45" ht="15.75" hidden="1" customHeight="1">
      <c r="A682" s="132">
        <v>14</v>
      </c>
      <c r="B682" s="132" t="s">
        <v>91</v>
      </c>
      <c r="C682" s="182" t="s">
        <v>328</v>
      </c>
      <c r="D682" s="182" t="s">
        <v>1281</v>
      </c>
      <c r="E682" s="182">
        <v>1</v>
      </c>
      <c r="F682" s="183">
        <v>42178</v>
      </c>
      <c r="G682" s="184" t="s">
        <v>1282</v>
      </c>
      <c r="H682" s="184" t="s">
        <v>1283</v>
      </c>
      <c r="I682" s="185">
        <v>44621</v>
      </c>
      <c r="J682" s="184" t="s">
        <v>194</v>
      </c>
      <c r="K682" s="184" t="s">
        <v>272</v>
      </c>
      <c r="L682" s="184"/>
      <c r="M682" s="182" t="s">
        <v>36</v>
      </c>
      <c r="N682" s="183">
        <v>44774</v>
      </c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  <c r="AB682" s="138"/>
      <c r="AC682" s="138"/>
      <c r="AD682" s="138"/>
      <c r="AE682" s="138"/>
      <c r="AF682" s="138"/>
      <c r="AG682" s="138"/>
      <c r="AH682" s="138"/>
      <c r="AI682" s="138"/>
      <c r="AJ682" s="138"/>
      <c r="AK682" s="138"/>
      <c r="AL682" s="138"/>
      <c r="AM682" s="138"/>
      <c r="AN682" s="138"/>
      <c r="AO682" s="138"/>
      <c r="AP682" s="138"/>
      <c r="AQ682" s="138"/>
      <c r="AR682" s="138"/>
      <c r="AS682" s="138"/>
    </row>
    <row r="683" spans="1:45" ht="15.75" hidden="1" customHeight="1">
      <c r="A683" s="132">
        <v>15</v>
      </c>
      <c r="B683" s="132" t="s">
        <v>50</v>
      </c>
      <c r="C683" s="182" t="s">
        <v>1280</v>
      </c>
      <c r="D683" s="182" t="s">
        <v>1281</v>
      </c>
      <c r="E683" s="182">
        <v>1</v>
      </c>
      <c r="F683" s="183">
        <v>42178</v>
      </c>
      <c r="G683" s="184" t="s">
        <v>1282</v>
      </c>
      <c r="H683" s="184" t="s">
        <v>1283</v>
      </c>
      <c r="I683" s="185">
        <v>44621</v>
      </c>
      <c r="J683" s="184" t="s">
        <v>110</v>
      </c>
      <c r="K683" s="184" t="s">
        <v>1152</v>
      </c>
      <c r="L683" s="184"/>
      <c r="M683" s="182" t="s">
        <v>36</v>
      </c>
      <c r="N683" s="183">
        <v>44774</v>
      </c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  <c r="AB683" s="138"/>
      <c r="AC683" s="138"/>
      <c r="AD683" s="138"/>
      <c r="AE683" s="138"/>
      <c r="AF683" s="138"/>
      <c r="AG683" s="138"/>
      <c r="AH683" s="138"/>
      <c r="AI683" s="138"/>
      <c r="AJ683" s="138"/>
      <c r="AK683" s="138"/>
      <c r="AL683" s="138"/>
      <c r="AM683" s="138"/>
      <c r="AN683" s="138"/>
      <c r="AO683" s="138"/>
      <c r="AP683" s="138"/>
      <c r="AQ683" s="138"/>
      <c r="AR683" s="138"/>
      <c r="AS683" s="138"/>
    </row>
    <row r="684" spans="1:45" ht="15.75" hidden="1" customHeight="1">
      <c r="A684" s="132">
        <v>16</v>
      </c>
      <c r="B684" s="132" t="s">
        <v>50</v>
      </c>
      <c r="C684" s="182" t="s">
        <v>781</v>
      </c>
      <c r="D684" s="182" t="s">
        <v>1405</v>
      </c>
      <c r="E684" s="182">
        <v>4</v>
      </c>
      <c r="F684" s="183">
        <v>41253</v>
      </c>
      <c r="G684" s="184" t="s">
        <v>1406</v>
      </c>
      <c r="H684" s="184" t="s">
        <v>1407</v>
      </c>
      <c r="I684" s="185">
        <v>44732</v>
      </c>
      <c r="J684" s="184" t="s">
        <v>140</v>
      </c>
      <c r="K684" s="184" t="s">
        <v>272</v>
      </c>
      <c r="L684" s="184"/>
      <c r="M684" s="182" t="s">
        <v>36</v>
      </c>
      <c r="N684" s="183">
        <v>44774</v>
      </c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  <c r="AB684" s="138"/>
      <c r="AC684" s="138"/>
      <c r="AD684" s="138"/>
      <c r="AE684" s="138"/>
      <c r="AF684" s="138"/>
      <c r="AG684" s="138"/>
      <c r="AH684" s="138"/>
      <c r="AI684" s="138"/>
      <c r="AJ684" s="138"/>
      <c r="AK684" s="138"/>
      <c r="AL684" s="138"/>
      <c r="AM684" s="138"/>
      <c r="AN684" s="138"/>
      <c r="AO684" s="138"/>
      <c r="AP684" s="138"/>
      <c r="AQ684" s="138"/>
      <c r="AR684" s="138"/>
      <c r="AS684" s="138"/>
    </row>
    <row r="685" spans="1:45" ht="15.75" hidden="1" customHeight="1">
      <c r="A685" s="132">
        <v>17</v>
      </c>
      <c r="B685" s="132" t="s">
        <v>91</v>
      </c>
      <c r="C685" s="182" t="s">
        <v>781</v>
      </c>
      <c r="D685" s="182" t="s">
        <v>1405</v>
      </c>
      <c r="E685" s="182">
        <v>4</v>
      </c>
      <c r="F685" s="183">
        <v>41253</v>
      </c>
      <c r="G685" s="184" t="s">
        <v>1406</v>
      </c>
      <c r="H685" s="184" t="s">
        <v>1407</v>
      </c>
      <c r="I685" s="185">
        <v>44732</v>
      </c>
      <c r="J685" s="184" t="s">
        <v>121</v>
      </c>
      <c r="K685" s="184" t="s">
        <v>272</v>
      </c>
      <c r="L685" s="184"/>
      <c r="M685" s="182" t="s">
        <v>36</v>
      </c>
      <c r="N685" s="183">
        <v>44774</v>
      </c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  <c r="AB685" s="138"/>
      <c r="AC685" s="138"/>
      <c r="AD685" s="138"/>
      <c r="AE685" s="138"/>
      <c r="AF685" s="138"/>
      <c r="AG685" s="138"/>
      <c r="AH685" s="138"/>
      <c r="AI685" s="138"/>
      <c r="AJ685" s="138"/>
      <c r="AK685" s="138"/>
      <c r="AL685" s="138"/>
      <c r="AM685" s="138"/>
      <c r="AN685" s="138"/>
      <c r="AO685" s="138"/>
      <c r="AP685" s="138"/>
      <c r="AQ685" s="138"/>
      <c r="AR685" s="138"/>
      <c r="AS685" s="138"/>
    </row>
    <row r="686" spans="1:45" ht="15.75" hidden="1" customHeight="1">
      <c r="A686" s="132">
        <v>18</v>
      </c>
      <c r="B686" s="132" t="s">
        <v>50</v>
      </c>
      <c r="C686" s="182" t="s">
        <v>781</v>
      </c>
      <c r="D686" s="182" t="s">
        <v>569</v>
      </c>
      <c r="E686" s="182">
        <v>2</v>
      </c>
      <c r="F686" s="183">
        <v>41875</v>
      </c>
      <c r="G686" s="184" t="s">
        <v>1406</v>
      </c>
      <c r="H686" s="184" t="s">
        <v>1407</v>
      </c>
      <c r="I686" s="185">
        <v>44732</v>
      </c>
      <c r="J686" s="184" t="s">
        <v>124</v>
      </c>
      <c r="K686" s="184" t="s">
        <v>272</v>
      </c>
      <c r="L686" s="184"/>
      <c r="M686" s="182" t="s">
        <v>36</v>
      </c>
      <c r="N686" s="183">
        <v>44774</v>
      </c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  <c r="AB686" s="138"/>
      <c r="AC686" s="138"/>
      <c r="AD686" s="138"/>
      <c r="AE686" s="138"/>
      <c r="AF686" s="138"/>
      <c r="AG686" s="138"/>
      <c r="AH686" s="138"/>
      <c r="AI686" s="138"/>
      <c r="AJ686" s="138"/>
      <c r="AK686" s="138"/>
      <c r="AL686" s="138"/>
      <c r="AM686" s="138"/>
      <c r="AN686" s="138"/>
      <c r="AO686" s="138"/>
      <c r="AP686" s="138"/>
      <c r="AQ686" s="138"/>
      <c r="AR686" s="138"/>
      <c r="AS686" s="138"/>
    </row>
    <row r="687" spans="1:45" ht="15.75" hidden="1" customHeight="1">
      <c r="A687" s="132">
        <v>19</v>
      </c>
      <c r="B687" s="132" t="s">
        <v>91</v>
      </c>
      <c r="C687" s="182" t="s">
        <v>781</v>
      </c>
      <c r="D687" s="182" t="s">
        <v>569</v>
      </c>
      <c r="E687" s="182">
        <v>2</v>
      </c>
      <c r="F687" s="183">
        <v>41875</v>
      </c>
      <c r="G687" s="184" t="s">
        <v>1406</v>
      </c>
      <c r="H687" s="184" t="s">
        <v>1407</v>
      </c>
      <c r="I687" s="185">
        <v>44732</v>
      </c>
      <c r="J687" s="184" t="s">
        <v>121</v>
      </c>
      <c r="K687" s="184" t="s">
        <v>276</v>
      </c>
      <c r="L687" s="184"/>
      <c r="M687" s="182" t="s">
        <v>36</v>
      </c>
      <c r="N687" s="183">
        <v>44774</v>
      </c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  <c r="AB687" s="138"/>
      <c r="AC687" s="138"/>
      <c r="AD687" s="138"/>
      <c r="AE687" s="138"/>
      <c r="AF687" s="138"/>
      <c r="AG687" s="138"/>
      <c r="AH687" s="138"/>
      <c r="AI687" s="138"/>
      <c r="AJ687" s="138"/>
      <c r="AK687" s="138"/>
      <c r="AL687" s="138"/>
      <c r="AM687" s="138"/>
      <c r="AN687" s="138"/>
      <c r="AO687" s="138"/>
      <c r="AP687" s="138"/>
      <c r="AQ687" s="138"/>
      <c r="AR687" s="138"/>
      <c r="AS687" s="138"/>
    </row>
    <row r="688" spans="1:45" ht="15.75" hidden="1" customHeight="1">
      <c r="A688" s="132">
        <v>20</v>
      </c>
      <c r="B688" s="132" t="s">
        <v>91</v>
      </c>
      <c r="C688" s="182" t="s">
        <v>1408</v>
      </c>
      <c r="D688" s="182" t="s">
        <v>1409</v>
      </c>
      <c r="E688" s="182">
        <v>9</v>
      </c>
      <c r="F688" s="183" t="s">
        <v>1410</v>
      </c>
      <c r="G688" s="184" t="s">
        <v>1411</v>
      </c>
      <c r="H688" s="184" t="s">
        <v>1412</v>
      </c>
      <c r="I688" s="185">
        <v>44378</v>
      </c>
      <c r="J688" s="184" t="s">
        <v>172</v>
      </c>
      <c r="K688" s="184" t="s">
        <v>276</v>
      </c>
      <c r="L688" s="184"/>
      <c r="M688" s="182" t="s">
        <v>36</v>
      </c>
      <c r="N688" s="183">
        <v>44774</v>
      </c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  <c r="AB688" s="138"/>
      <c r="AC688" s="138"/>
      <c r="AD688" s="138"/>
      <c r="AE688" s="138"/>
      <c r="AF688" s="138"/>
      <c r="AG688" s="138"/>
      <c r="AH688" s="138"/>
      <c r="AI688" s="138"/>
      <c r="AJ688" s="138"/>
      <c r="AK688" s="138"/>
      <c r="AL688" s="138"/>
      <c r="AM688" s="138"/>
      <c r="AN688" s="138"/>
      <c r="AO688" s="138"/>
      <c r="AP688" s="138"/>
      <c r="AQ688" s="138"/>
      <c r="AR688" s="138"/>
      <c r="AS688" s="138"/>
    </row>
    <row r="689" spans="1:45" ht="15.75" hidden="1" customHeight="1">
      <c r="A689" s="132">
        <v>21</v>
      </c>
      <c r="B689" s="132" t="s">
        <v>50</v>
      </c>
      <c r="C689" s="182" t="s">
        <v>1413</v>
      </c>
      <c r="D689" s="182" t="s">
        <v>1414</v>
      </c>
      <c r="E689" s="182">
        <v>6</v>
      </c>
      <c r="F689" s="183">
        <v>40410</v>
      </c>
      <c r="G689" s="184" t="s">
        <v>1415</v>
      </c>
      <c r="H689" s="184" t="s">
        <v>1416</v>
      </c>
      <c r="I689" s="185">
        <v>44440</v>
      </c>
      <c r="J689" s="184" t="s">
        <v>204</v>
      </c>
      <c r="K689" s="184" t="s">
        <v>272</v>
      </c>
      <c r="L689" s="184"/>
      <c r="M689" s="182" t="s">
        <v>36</v>
      </c>
      <c r="N689" s="183">
        <v>44774</v>
      </c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  <c r="AB689" s="138"/>
      <c r="AC689" s="138"/>
      <c r="AD689" s="138"/>
      <c r="AE689" s="138"/>
      <c r="AF689" s="138"/>
      <c r="AG689" s="138"/>
      <c r="AH689" s="138"/>
      <c r="AI689" s="138"/>
      <c r="AJ689" s="138"/>
      <c r="AK689" s="138"/>
      <c r="AL689" s="138"/>
      <c r="AM689" s="138"/>
      <c r="AN689" s="138"/>
      <c r="AO689" s="138"/>
      <c r="AP689" s="138"/>
      <c r="AQ689" s="138"/>
      <c r="AR689" s="138"/>
      <c r="AS689" s="138"/>
    </row>
    <row r="690" spans="1:45" ht="15.75" hidden="1" customHeight="1">
      <c r="A690" s="132">
        <v>22</v>
      </c>
      <c r="B690" s="132" t="s">
        <v>91</v>
      </c>
      <c r="C690" s="182" t="s">
        <v>1413</v>
      </c>
      <c r="D690" s="182" t="s">
        <v>1414</v>
      </c>
      <c r="E690" s="182">
        <v>6</v>
      </c>
      <c r="F690" s="183">
        <v>40410</v>
      </c>
      <c r="G690" s="184" t="s">
        <v>1415</v>
      </c>
      <c r="H690" s="184" t="s">
        <v>1416</v>
      </c>
      <c r="I690" s="185">
        <v>44440</v>
      </c>
      <c r="J690" s="184" t="s">
        <v>221</v>
      </c>
      <c r="K690" s="184" t="s">
        <v>612</v>
      </c>
      <c r="L690" s="184"/>
      <c r="M690" s="182" t="s">
        <v>36</v>
      </c>
      <c r="N690" s="183">
        <v>44774</v>
      </c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  <c r="AB690" s="138"/>
      <c r="AC690" s="138"/>
      <c r="AD690" s="138"/>
      <c r="AE690" s="138"/>
      <c r="AF690" s="138"/>
      <c r="AG690" s="138"/>
      <c r="AH690" s="138"/>
      <c r="AI690" s="138"/>
      <c r="AJ690" s="138"/>
      <c r="AK690" s="138"/>
      <c r="AL690" s="138"/>
      <c r="AM690" s="138"/>
      <c r="AN690" s="138"/>
      <c r="AO690" s="138"/>
      <c r="AP690" s="138"/>
      <c r="AQ690" s="138"/>
      <c r="AR690" s="138"/>
      <c r="AS690" s="138"/>
    </row>
    <row r="691" spans="1:45" ht="15.75" hidden="1" customHeight="1">
      <c r="A691" s="132">
        <v>23</v>
      </c>
      <c r="B691" s="132" t="s">
        <v>91</v>
      </c>
      <c r="C691" s="182" t="s">
        <v>375</v>
      </c>
      <c r="D691" s="182" t="s">
        <v>287</v>
      </c>
      <c r="E691" s="182">
        <v>4</v>
      </c>
      <c r="F691" s="183" t="s">
        <v>954</v>
      </c>
      <c r="G691" s="184" t="s">
        <v>384</v>
      </c>
      <c r="H691" s="184" t="s">
        <v>688</v>
      </c>
      <c r="I691" s="185">
        <v>43466</v>
      </c>
      <c r="J691" s="184" t="s">
        <v>297</v>
      </c>
      <c r="K691" s="184" t="s">
        <v>612</v>
      </c>
      <c r="L691" s="184"/>
      <c r="M691" s="182" t="s">
        <v>36</v>
      </c>
      <c r="N691" s="183">
        <v>44774</v>
      </c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  <c r="AB691" s="138"/>
      <c r="AC691" s="138"/>
      <c r="AD691" s="138"/>
      <c r="AE691" s="138"/>
      <c r="AF691" s="138"/>
      <c r="AG691" s="138"/>
      <c r="AH691" s="138"/>
      <c r="AI691" s="138"/>
      <c r="AJ691" s="138"/>
      <c r="AK691" s="138"/>
      <c r="AL691" s="138"/>
      <c r="AM691" s="138"/>
      <c r="AN691" s="138"/>
      <c r="AO691" s="138"/>
      <c r="AP691" s="138"/>
      <c r="AQ691" s="138"/>
      <c r="AR691" s="138"/>
      <c r="AS691" s="138"/>
    </row>
    <row r="692" spans="1:45" ht="15.75" hidden="1" customHeight="1">
      <c r="A692" s="132">
        <v>24</v>
      </c>
      <c r="B692" s="132" t="s">
        <v>50</v>
      </c>
      <c r="C692" s="182" t="s">
        <v>1355</v>
      </c>
      <c r="D692" s="182" t="s">
        <v>1417</v>
      </c>
      <c r="E692" s="182" t="s">
        <v>145</v>
      </c>
      <c r="F692" s="183">
        <v>41105</v>
      </c>
      <c r="G692" s="184" t="s">
        <v>1418</v>
      </c>
      <c r="H692" s="184" t="s">
        <v>1419</v>
      </c>
      <c r="I692" s="185">
        <v>43345</v>
      </c>
      <c r="J692" s="184" t="s">
        <v>148</v>
      </c>
      <c r="K692" s="184" t="s">
        <v>612</v>
      </c>
      <c r="L692" s="184"/>
      <c r="M692" s="182" t="s">
        <v>36</v>
      </c>
      <c r="N692" s="183">
        <v>44774</v>
      </c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  <c r="AB692" s="138"/>
      <c r="AC692" s="138"/>
      <c r="AD692" s="138"/>
      <c r="AE692" s="138"/>
      <c r="AF692" s="138"/>
      <c r="AG692" s="138"/>
      <c r="AH692" s="138"/>
      <c r="AI692" s="138"/>
      <c r="AJ692" s="138"/>
      <c r="AK692" s="138"/>
      <c r="AL692" s="138"/>
      <c r="AM692" s="138"/>
      <c r="AN692" s="138"/>
      <c r="AO692" s="138"/>
      <c r="AP692" s="138"/>
      <c r="AQ692" s="138"/>
      <c r="AR692" s="138"/>
      <c r="AS692" s="138"/>
    </row>
    <row r="693" spans="1:45" ht="15.75" hidden="1" customHeight="1">
      <c r="A693" s="132">
        <v>25</v>
      </c>
      <c r="B693" s="132" t="s">
        <v>91</v>
      </c>
      <c r="C693" s="182" t="s">
        <v>1355</v>
      </c>
      <c r="D693" s="182" t="s">
        <v>1417</v>
      </c>
      <c r="E693" s="182" t="s">
        <v>145</v>
      </c>
      <c r="F693" s="183">
        <v>41105</v>
      </c>
      <c r="G693" s="184" t="s">
        <v>1418</v>
      </c>
      <c r="H693" s="184" t="s">
        <v>1419</v>
      </c>
      <c r="I693" s="185">
        <v>43345</v>
      </c>
      <c r="J693" s="184" t="s">
        <v>221</v>
      </c>
      <c r="K693" s="184" t="s">
        <v>612</v>
      </c>
      <c r="L693" s="184"/>
      <c r="M693" s="182" t="s">
        <v>36</v>
      </c>
      <c r="N693" s="183">
        <v>44774</v>
      </c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  <c r="AB693" s="138"/>
      <c r="AC693" s="138"/>
      <c r="AD693" s="138"/>
      <c r="AE693" s="138"/>
      <c r="AF693" s="138"/>
      <c r="AG693" s="138"/>
      <c r="AH693" s="138"/>
      <c r="AI693" s="138"/>
      <c r="AJ693" s="138"/>
      <c r="AK693" s="138"/>
      <c r="AL693" s="138"/>
      <c r="AM693" s="138"/>
      <c r="AN693" s="138"/>
      <c r="AO693" s="138"/>
      <c r="AP693" s="138"/>
      <c r="AQ693" s="138"/>
      <c r="AR693" s="138"/>
      <c r="AS693" s="138"/>
    </row>
    <row r="694" spans="1:45" ht="15.75" hidden="1" customHeight="1">
      <c r="A694" s="132">
        <v>26</v>
      </c>
      <c r="B694" s="132" t="s">
        <v>50</v>
      </c>
      <c r="C694" s="182" t="s">
        <v>405</v>
      </c>
      <c r="D694" s="182" t="s">
        <v>406</v>
      </c>
      <c r="E694" s="182">
        <v>3</v>
      </c>
      <c r="F694" s="183">
        <v>41766</v>
      </c>
      <c r="G694" s="184" t="s">
        <v>407</v>
      </c>
      <c r="H694" s="184" t="s">
        <v>408</v>
      </c>
      <c r="I694" s="185">
        <v>44718</v>
      </c>
      <c r="J694" s="184" t="s">
        <v>124</v>
      </c>
      <c r="K694" s="184" t="s">
        <v>272</v>
      </c>
      <c r="L694" s="184"/>
      <c r="M694" s="182" t="s">
        <v>36</v>
      </c>
      <c r="N694" s="183">
        <v>44774</v>
      </c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  <c r="AB694" s="138"/>
      <c r="AC694" s="138"/>
      <c r="AD694" s="138"/>
      <c r="AE694" s="138"/>
      <c r="AF694" s="138"/>
      <c r="AG694" s="138"/>
      <c r="AH694" s="138"/>
      <c r="AI694" s="138"/>
      <c r="AJ694" s="138"/>
      <c r="AK694" s="138"/>
      <c r="AL694" s="138"/>
      <c r="AM694" s="138"/>
      <c r="AN694" s="138"/>
      <c r="AO694" s="138"/>
      <c r="AP694" s="138"/>
      <c r="AQ694" s="138"/>
      <c r="AR694" s="138"/>
      <c r="AS694" s="138"/>
    </row>
    <row r="695" spans="1:45" ht="15.75" hidden="1" customHeight="1">
      <c r="A695" s="132">
        <v>27</v>
      </c>
      <c r="B695" s="132" t="s">
        <v>91</v>
      </c>
      <c r="C695" s="182" t="s">
        <v>405</v>
      </c>
      <c r="D695" s="182" t="s">
        <v>406</v>
      </c>
      <c r="E695" s="182">
        <v>3</v>
      </c>
      <c r="F695" s="183">
        <v>41766</v>
      </c>
      <c r="G695" s="184" t="s">
        <v>407</v>
      </c>
      <c r="H695" s="184" t="s">
        <v>408</v>
      </c>
      <c r="I695" s="185">
        <v>44718</v>
      </c>
      <c r="J695" s="184" t="s">
        <v>156</v>
      </c>
      <c r="K695" s="184" t="s">
        <v>276</v>
      </c>
      <c r="L695" s="184"/>
      <c r="M695" s="182" t="s">
        <v>36</v>
      </c>
      <c r="N695" s="183">
        <v>44774</v>
      </c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  <c r="AB695" s="138"/>
      <c r="AC695" s="138"/>
      <c r="AD695" s="138"/>
      <c r="AE695" s="138"/>
      <c r="AF695" s="138"/>
      <c r="AG695" s="138"/>
      <c r="AH695" s="138"/>
      <c r="AI695" s="138"/>
      <c r="AJ695" s="138"/>
      <c r="AK695" s="138"/>
      <c r="AL695" s="138"/>
      <c r="AM695" s="138"/>
      <c r="AN695" s="138"/>
      <c r="AO695" s="138"/>
      <c r="AP695" s="138"/>
      <c r="AQ695" s="138"/>
      <c r="AR695" s="138"/>
      <c r="AS695" s="138"/>
    </row>
    <row r="696" spans="1:45" ht="15.75" hidden="1" customHeight="1">
      <c r="A696" s="132">
        <v>28</v>
      </c>
      <c r="B696" s="132" t="s">
        <v>50</v>
      </c>
      <c r="C696" s="182" t="s">
        <v>747</v>
      </c>
      <c r="D696" s="182" t="s">
        <v>1420</v>
      </c>
      <c r="E696" s="182">
        <v>2</v>
      </c>
      <c r="F696" s="183">
        <v>41841</v>
      </c>
      <c r="G696" s="184" t="s">
        <v>1421</v>
      </c>
      <c r="H696" s="184" t="s">
        <v>1422</v>
      </c>
      <c r="I696" s="185">
        <v>44426</v>
      </c>
      <c r="J696" s="184" t="s">
        <v>124</v>
      </c>
      <c r="K696" s="184" t="s">
        <v>272</v>
      </c>
      <c r="L696" s="184"/>
      <c r="M696" s="182" t="s">
        <v>36</v>
      </c>
      <c r="N696" s="183">
        <v>44774</v>
      </c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  <c r="AB696" s="138"/>
      <c r="AC696" s="138"/>
      <c r="AD696" s="138"/>
      <c r="AE696" s="138"/>
      <c r="AF696" s="138"/>
      <c r="AG696" s="138"/>
      <c r="AH696" s="138"/>
      <c r="AI696" s="138"/>
      <c r="AJ696" s="138"/>
      <c r="AK696" s="138"/>
      <c r="AL696" s="138"/>
      <c r="AM696" s="138"/>
      <c r="AN696" s="138"/>
      <c r="AO696" s="138"/>
      <c r="AP696" s="138"/>
      <c r="AQ696" s="138"/>
      <c r="AR696" s="138"/>
      <c r="AS696" s="138"/>
    </row>
    <row r="697" spans="1:45" ht="15.75" hidden="1" customHeight="1">
      <c r="A697" s="132">
        <v>29</v>
      </c>
      <c r="B697" s="132" t="s">
        <v>91</v>
      </c>
      <c r="C697" s="182" t="s">
        <v>747</v>
      </c>
      <c r="D697" s="182" t="s">
        <v>1420</v>
      </c>
      <c r="E697" s="182">
        <v>2</v>
      </c>
      <c r="F697" s="183">
        <v>41841</v>
      </c>
      <c r="G697" s="184" t="s">
        <v>1421</v>
      </c>
      <c r="H697" s="184" t="s">
        <v>1422</v>
      </c>
      <c r="I697" s="185">
        <v>44426</v>
      </c>
      <c r="J697" s="184" t="s">
        <v>121</v>
      </c>
      <c r="K697" s="184" t="s">
        <v>1152</v>
      </c>
      <c r="L697" s="184"/>
      <c r="M697" s="182" t="s">
        <v>36</v>
      </c>
      <c r="N697" s="183">
        <v>44774</v>
      </c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  <c r="AB697" s="138"/>
      <c r="AC697" s="138"/>
      <c r="AD697" s="138"/>
      <c r="AE697" s="138"/>
      <c r="AF697" s="138"/>
      <c r="AG697" s="138"/>
      <c r="AH697" s="138"/>
      <c r="AI697" s="138"/>
      <c r="AJ697" s="138"/>
      <c r="AK697" s="138"/>
      <c r="AL697" s="138"/>
      <c r="AM697" s="138"/>
      <c r="AN697" s="138"/>
      <c r="AO697" s="138"/>
      <c r="AP697" s="138"/>
      <c r="AQ697" s="138"/>
      <c r="AR697" s="138"/>
      <c r="AS697" s="138"/>
    </row>
    <row r="698" spans="1:45" ht="15.75" hidden="1" customHeight="1">
      <c r="A698" s="132">
        <v>30</v>
      </c>
      <c r="B698" s="132" t="s">
        <v>50</v>
      </c>
      <c r="C698" s="182" t="s">
        <v>1423</v>
      </c>
      <c r="D698" s="182" t="s">
        <v>1424</v>
      </c>
      <c r="E698" s="182">
        <v>1</v>
      </c>
      <c r="F698" s="183">
        <v>41231</v>
      </c>
      <c r="G698" s="184" t="s">
        <v>1425</v>
      </c>
      <c r="H698" s="184" t="s">
        <v>1426</v>
      </c>
      <c r="I698" s="185">
        <v>43739</v>
      </c>
      <c r="J698" s="184" t="s">
        <v>358</v>
      </c>
      <c r="K698" s="184" t="s">
        <v>612</v>
      </c>
      <c r="L698" s="184"/>
      <c r="M698" s="182" t="s">
        <v>36</v>
      </c>
      <c r="N698" s="183">
        <v>44774</v>
      </c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  <c r="AB698" s="138"/>
      <c r="AC698" s="138"/>
      <c r="AD698" s="138"/>
      <c r="AE698" s="138"/>
      <c r="AF698" s="138"/>
      <c r="AG698" s="138"/>
      <c r="AH698" s="138"/>
      <c r="AI698" s="138"/>
      <c r="AJ698" s="138"/>
      <c r="AK698" s="138"/>
      <c r="AL698" s="138"/>
      <c r="AM698" s="138"/>
      <c r="AN698" s="138"/>
      <c r="AO698" s="138"/>
      <c r="AP698" s="138"/>
      <c r="AQ698" s="138"/>
      <c r="AR698" s="138"/>
      <c r="AS698" s="138"/>
    </row>
    <row r="699" spans="1:45" ht="15.75" hidden="1" customHeight="1">
      <c r="A699" s="132">
        <v>31</v>
      </c>
      <c r="B699" s="132" t="s">
        <v>91</v>
      </c>
      <c r="C699" s="182" t="s">
        <v>1423</v>
      </c>
      <c r="D699" s="182" t="s">
        <v>1424</v>
      </c>
      <c r="E699" s="182">
        <v>1</v>
      </c>
      <c r="F699" s="183">
        <v>41231</v>
      </c>
      <c r="G699" s="184" t="s">
        <v>1425</v>
      </c>
      <c r="H699" s="184" t="s">
        <v>1426</v>
      </c>
      <c r="I699" s="185">
        <v>43739</v>
      </c>
      <c r="J699" s="184" t="s">
        <v>188</v>
      </c>
      <c r="K699" s="184" t="s">
        <v>612</v>
      </c>
      <c r="L699" s="184"/>
      <c r="M699" s="182" t="s">
        <v>36</v>
      </c>
      <c r="N699" s="183">
        <v>44774</v>
      </c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  <c r="AB699" s="138"/>
      <c r="AC699" s="138"/>
      <c r="AD699" s="138"/>
      <c r="AE699" s="138"/>
      <c r="AF699" s="138"/>
      <c r="AG699" s="138"/>
      <c r="AH699" s="138"/>
      <c r="AI699" s="138"/>
      <c r="AJ699" s="138"/>
      <c r="AK699" s="138"/>
      <c r="AL699" s="138"/>
      <c r="AM699" s="138"/>
      <c r="AN699" s="138"/>
      <c r="AO699" s="138"/>
      <c r="AP699" s="138"/>
      <c r="AQ699" s="138"/>
      <c r="AR699" s="138"/>
      <c r="AS699" s="138"/>
    </row>
    <row r="700" spans="1:45" ht="15.75" hidden="1" customHeight="1">
      <c r="A700" s="132">
        <v>32</v>
      </c>
      <c r="B700" s="132" t="s">
        <v>91</v>
      </c>
      <c r="C700" s="182" t="s">
        <v>1293</v>
      </c>
      <c r="D700" s="182" t="s">
        <v>1294</v>
      </c>
      <c r="E700" s="182">
        <v>5</v>
      </c>
      <c r="F700" s="183">
        <v>41089</v>
      </c>
      <c r="G700" s="184" t="s">
        <v>1295</v>
      </c>
      <c r="H700" s="184" t="s">
        <v>1427</v>
      </c>
      <c r="I700" s="185">
        <v>44732</v>
      </c>
      <c r="J700" s="184" t="s">
        <v>188</v>
      </c>
      <c r="K700" s="184" t="s">
        <v>272</v>
      </c>
      <c r="L700" s="184"/>
      <c r="M700" s="182" t="s">
        <v>36</v>
      </c>
      <c r="N700" s="183">
        <v>44774</v>
      </c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  <c r="AB700" s="138"/>
      <c r="AC700" s="138"/>
      <c r="AD700" s="138"/>
      <c r="AE700" s="138"/>
      <c r="AF700" s="138"/>
      <c r="AG700" s="138"/>
      <c r="AH700" s="138"/>
      <c r="AI700" s="138"/>
      <c r="AJ700" s="138"/>
      <c r="AK700" s="138"/>
      <c r="AL700" s="138"/>
      <c r="AM700" s="138"/>
      <c r="AN700" s="138"/>
      <c r="AO700" s="138"/>
      <c r="AP700" s="138"/>
      <c r="AQ700" s="138"/>
      <c r="AR700" s="138"/>
      <c r="AS700" s="138"/>
    </row>
    <row r="701" spans="1:45" ht="15.75" hidden="1" customHeight="1">
      <c r="A701" s="132">
        <v>33</v>
      </c>
      <c r="B701" s="132" t="s">
        <v>91</v>
      </c>
      <c r="C701" s="182" t="s">
        <v>768</v>
      </c>
      <c r="D701" s="182" t="s">
        <v>1428</v>
      </c>
      <c r="E701" s="182">
        <v>5</v>
      </c>
      <c r="F701" s="183">
        <v>40852</v>
      </c>
      <c r="G701" s="184" t="s">
        <v>1429</v>
      </c>
      <c r="H701" s="184" t="s">
        <v>771</v>
      </c>
      <c r="I701" s="185" t="s">
        <v>1257</v>
      </c>
      <c r="J701" s="184" t="s">
        <v>121</v>
      </c>
      <c r="K701" s="184" t="s">
        <v>612</v>
      </c>
      <c r="L701" s="184"/>
      <c r="M701" s="182" t="s">
        <v>36</v>
      </c>
      <c r="N701" s="183">
        <v>44774</v>
      </c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  <c r="AB701" s="138"/>
      <c r="AC701" s="138"/>
      <c r="AD701" s="138"/>
      <c r="AE701" s="138"/>
      <c r="AF701" s="138"/>
      <c r="AG701" s="138"/>
      <c r="AH701" s="138"/>
      <c r="AI701" s="138"/>
      <c r="AJ701" s="138"/>
      <c r="AK701" s="138"/>
      <c r="AL701" s="138"/>
      <c r="AM701" s="138"/>
      <c r="AN701" s="138"/>
      <c r="AO701" s="138"/>
      <c r="AP701" s="138"/>
      <c r="AQ701" s="138"/>
      <c r="AR701" s="138"/>
      <c r="AS701" s="138"/>
    </row>
    <row r="702" spans="1:45" ht="15.75" hidden="1" customHeight="1">
      <c r="A702" s="132">
        <v>34</v>
      </c>
      <c r="B702" s="132" t="s">
        <v>50</v>
      </c>
      <c r="C702" s="182" t="s">
        <v>1430</v>
      </c>
      <c r="D702" s="182" t="s">
        <v>1431</v>
      </c>
      <c r="E702" s="182" t="s">
        <v>145</v>
      </c>
      <c r="F702" s="183">
        <v>42833</v>
      </c>
      <c r="G702" s="184" t="s">
        <v>1432</v>
      </c>
      <c r="H702" s="189" t="s">
        <v>1433</v>
      </c>
      <c r="I702" s="185">
        <v>44722</v>
      </c>
      <c r="J702" s="184" t="s">
        <v>349</v>
      </c>
      <c r="K702" s="184" t="s">
        <v>272</v>
      </c>
      <c r="L702" s="184"/>
      <c r="M702" s="182" t="s">
        <v>36</v>
      </c>
      <c r="N702" s="183">
        <v>44774</v>
      </c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  <c r="AB702" s="138"/>
      <c r="AC702" s="138"/>
      <c r="AD702" s="138"/>
      <c r="AE702" s="138"/>
      <c r="AF702" s="138"/>
      <c r="AG702" s="138"/>
      <c r="AH702" s="138"/>
      <c r="AI702" s="138"/>
      <c r="AJ702" s="138"/>
      <c r="AK702" s="138"/>
      <c r="AL702" s="138"/>
      <c r="AM702" s="138"/>
      <c r="AN702" s="138"/>
      <c r="AO702" s="138"/>
      <c r="AP702" s="138"/>
      <c r="AQ702" s="138"/>
      <c r="AR702" s="138"/>
      <c r="AS702" s="138"/>
    </row>
    <row r="703" spans="1:45" ht="15.75" hidden="1" customHeight="1">
      <c r="A703" s="132">
        <v>35</v>
      </c>
      <c r="B703" s="132" t="s">
        <v>91</v>
      </c>
      <c r="C703" s="182" t="s">
        <v>1430</v>
      </c>
      <c r="D703" s="182" t="s">
        <v>1431</v>
      </c>
      <c r="E703" s="182" t="s">
        <v>145</v>
      </c>
      <c r="F703" s="183">
        <v>42833</v>
      </c>
      <c r="G703" s="184" t="s">
        <v>1432</v>
      </c>
      <c r="H703" s="189" t="s">
        <v>1433</v>
      </c>
      <c r="I703" s="185">
        <v>44722</v>
      </c>
      <c r="J703" s="184" t="s">
        <v>702</v>
      </c>
      <c r="K703" s="184" t="s">
        <v>272</v>
      </c>
      <c r="L703" s="184"/>
      <c r="M703" s="182" t="s">
        <v>36</v>
      </c>
      <c r="N703" s="183">
        <v>44774</v>
      </c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  <c r="AB703" s="138"/>
      <c r="AC703" s="138"/>
      <c r="AD703" s="138"/>
      <c r="AE703" s="138"/>
      <c r="AF703" s="138"/>
      <c r="AG703" s="138"/>
      <c r="AH703" s="138"/>
      <c r="AI703" s="138"/>
      <c r="AJ703" s="138"/>
      <c r="AK703" s="138"/>
      <c r="AL703" s="138"/>
      <c r="AM703" s="138"/>
      <c r="AN703" s="138"/>
      <c r="AO703" s="138"/>
      <c r="AP703" s="138"/>
      <c r="AQ703" s="138"/>
      <c r="AR703" s="138"/>
      <c r="AS703" s="138"/>
    </row>
    <row r="704" spans="1:45" ht="15.75" hidden="1" customHeight="1">
      <c r="A704" s="132">
        <v>36</v>
      </c>
      <c r="B704" s="132" t="s">
        <v>50</v>
      </c>
      <c r="C704" s="182" t="s">
        <v>498</v>
      </c>
      <c r="D704" s="182" t="s">
        <v>578</v>
      </c>
      <c r="E704" s="182">
        <v>6</v>
      </c>
      <c r="F704" s="183">
        <v>40504</v>
      </c>
      <c r="G704" s="184" t="s">
        <v>1434</v>
      </c>
      <c r="H704" s="189" t="s">
        <v>1435</v>
      </c>
      <c r="I704" s="185">
        <v>44728</v>
      </c>
      <c r="J704" s="184" t="s">
        <v>255</v>
      </c>
      <c r="K704" s="184" t="s">
        <v>276</v>
      </c>
      <c r="L704" s="184"/>
      <c r="M704" s="182" t="s">
        <v>36</v>
      </c>
      <c r="N704" s="183">
        <v>44774</v>
      </c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  <c r="AB704" s="138"/>
      <c r="AC704" s="138"/>
      <c r="AD704" s="138"/>
      <c r="AE704" s="138"/>
      <c r="AF704" s="138"/>
      <c r="AG704" s="138"/>
      <c r="AH704" s="138"/>
      <c r="AI704" s="138"/>
      <c r="AJ704" s="138"/>
      <c r="AK704" s="138"/>
      <c r="AL704" s="138"/>
      <c r="AM704" s="138"/>
      <c r="AN704" s="138"/>
      <c r="AO704" s="138"/>
      <c r="AP704" s="138"/>
      <c r="AQ704" s="138"/>
      <c r="AR704" s="138"/>
      <c r="AS704" s="138"/>
    </row>
    <row r="705" spans="1:45" ht="15.75" hidden="1" customHeight="1">
      <c r="A705" s="132">
        <v>37</v>
      </c>
      <c r="B705" s="132" t="s">
        <v>91</v>
      </c>
      <c r="C705" s="182" t="s">
        <v>498</v>
      </c>
      <c r="D705" s="182" t="s">
        <v>578</v>
      </c>
      <c r="E705" s="182">
        <v>6</v>
      </c>
      <c r="F705" s="183">
        <v>40504</v>
      </c>
      <c r="G705" s="184" t="s">
        <v>1434</v>
      </c>
      <c r="H705" s="189" t="s">
        <v>1435</v>
      </c>
      <c r="I705" s="185">
        <v>44728</v>
      </c>
      <c r="J705" s="184" t="s">
        <v>188</v>
      </c>
      <c r="K705" s="184" t="s">
        <v>612</v>
      </c>
      <c r="L705" s="184"/>
      <c r="M705" s="182" t="s">
        <v>36</v>
      </c>
      <c r="N705" s="183">
        <v>44774</v>
      </c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  <c r="AB705" s="138"/>
      <c r="AC705" s="138"/>
      <c r="AD705" s="138"/>
      <c r="AE705" s="138"/>
      <c r="AF705" s="138"/>
      <c r="AG705" s="138"/>
      <c r="AH705" s="138"/>
      <c r="AI705" s="138"/>
      <c r="AJ705" s="138"/>
      <c r="AK705" s="138"/>
      <c r="AL705" s="138"/>
      <c r="AM705" s="138"/>
      <c r="AN705" s="138"/>
      <c r="AO705" s="138"/>
      <c r="AP705" s="138"/>
      <c r="AQ705" s="138"/>
      <c r="AR705" s="138"/>
      <c r="AS705" s="138"/>
    </row>
    <row r="706" spans="1:45" ht="15.75" hidden="1" customHeight="1">
      <c r="A706" s="132">
        <v>38</v>
      </c>
      <c r="B706" s="132" t="s">
        <v>50</v>
      </c>
      <c r="C706" s="182" t="s">
        <v>1436</v>
      </c>
      <c r="D706" s="182" t="s">
        <v>329</v>
      </c>
      <c r="E706" s="182" t="s">
        <v>178</v>
      </c>
      <c r="F706" s="183">
        <v>43146</v>
      </c>
      <c r="G706" s="184" t="s">
        <v>1437</v>
      </c>
      <c r="H706" s="184" t="s">
        <v>1438</v>
      </c>
      <c r="I706" s="185">
        <v>44641</v>
      </c>
      <c r="J706" s="184" t="s">
        <v>192</v>
      </c>
      <c r="K706" s="184" t="s">
        <v>272</v>
      </c>
      <c r="L706" s="184"/>
      <c r="M706" s="182" t="s">
        <v>36</v>
      </c>
      <c r="N706" s="183">
        <v>44774</v>
      </c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  <c r="AB706" s="138"/>
      <c r="AC706" s="138"/>
      <c r="AD706" s="138"/>
      <c r="AE706" s="138"/>
      <c r="AF706" s="138"/>
      <c r="AG706" s="138"/>
      <c r="AH706" s="138"/>
      <c r="AI706" s="138"/>
      <c r="AJ706" s="138"/>
      <c r="AK706" s="138"/>
      <c r="AL706" s="138"/>
      <c r="AM706" s="138"/>
      <c r="AN706" s="138"/>
      <c r="AO706" s="138"/>
      <c r="AP706" s="138"/>
      <c r="AQ706" s="138"/>
      <c r="AR706" s="138"/>
      <c r="AS706" s="138"/>
    </row>
    <row r="707" spans="1:45" ht="15.75" hidden="1" customHeight="1">
      <c r="A707" s="132">
        <v>39</v>
      </c>
      <c r="B707" s="132" t="s">
        <v>50</v>
      </c>
      <c r="C707" s="182" t="s">
        <v>607</v>
      </c>
      <c r="D707" s="182" t="s">
        <v>217</v>
      </c>
      <c r="E707" s="182">
        <v>5</v>
      </c>
      <c r="F707" s="183">
        <v>40605</v>
      </c>
      <c r="G707" s="184" t="s">
        <v>1439</v>
      </c>
      <c r="H707" s="184" t="s">
        <v>1038</v>
      </c>
      <c r="I707" s="185">
        <v>44430</v>
      </c>
      <c r="J707" s="184" t="s">
        <v>1440</v>
      </c>
      <c r="K707" s="184" t="s">
        <v>272</v>
      </c>
      <c r="L707" s="184"/>
      <c r="M707" s="182" t="s">
        <v>36</v>
      </c>
      <c r="N707" s="183">
        <v>44774</v>
      </c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  <c r="AB707" s="138"/>
      <c r="AC707" s="138"/>
      <c r="AD707" s="138"/>
      <c r="AE707" s="138"/>
      <c r="AF707" s="138"/>
      <c r="AG707" s="138"/>
      <c r="AH707" s="138"/>
      <c r="AI707" s="138"/>
      <c r="AJ707" s="138"/>
      <c r="AK707" s="138"/>
      <c r="AL707" s="138"/>
      <c r="AM707" s="138"/>
      <c r="AN707" s="138"/>
      <c r="AO707" s="138"/>
      <c r="AP707" s="138"/>
      <c r="AQ707" s="138"/>
      <c r="AR707" s="138"/>
      <c r="AS707" s="138"/>
    </row>
    <row r="708" spans="1:45" ht="15.75" hidden="1" customHeight="1">
      <c r="A708" s="132">
        <v>40</v>
      </c>
      <c r="B708" s="132" t="s">
        <v>91</v>
      </c>
      <c r="C708" s="182" t="s">
        <v>607</v>
      </c>
      <c r="D708" s="182" t="s">
        <v>217</v>
      </c>
      <c r="E708" s="182">
        <v>5</v>
      </c>
      <c r="F708" s="183">
        <v>40605</v>
      </c>
      <c r="G708" s="184" t="s">
        <v>1439</v>
      </c>
      <c r="H708" s="184" t="s">
        <v>1038</v>
      </c>
      <c r="I708" s="185">
        <v>44430</v>
      </c>
      <c r="J708" s="184" t="s">
        <v>172</v>
      </c>
      <c r="K708" s="184" t="s">
        <v>272</v>
      </c>
      <c r="L708" s="184"/>
      <c r="M708" s="182" t="s">
        <v>36</v>
      </c>
      <c r="N708" s="183">
        <v>44774</v>
      </c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  <c r="AB708" s="138"/>
      <c r="AC708" s="138"/>
      <c r="AD708" s="138"/>
      <c r="AE708" s="138"/>
      <c r="AF708" s="138"/>
      <c r="AG708" s="138"/>
      <c r="AH708" s="138"/>
      <c r="AI708" s="138"/>
      <c r="AJ708" s="138"/>
      <c r="AK708" s="138"/>
      <c r="AL708" s="138"/>
      <c r="AM708" s="138"/>
      <c r="AN708" s="138"/>
      <c r="AO708" s="138"/>
      <c r="AP708" s="138"/>
      <c r="AQ708" s="138"/>
      <c r="AR708" s="138"/>
      <c r="AS708" s="138"/>
    </row>
    <row r="709" spans="1:45" ht="15.75" hidden="1" customHeight="1">
      <c r="A709" s="132">
        <v>41</v>
      </c>
      <c r="B709" s="132" t="s">
        <v>50</v>
      </c>
      <c r="C709" s="182" t="s">
        <v>936</v>
      </c>
      <c r="D709" s="182" t="s">
        <v>920</v>
      </c>
      <c r="E709" s="182">
        <v>4</v>
      </c>
      <c r="F709" s="183">
        <v>41150</v>
      </c>
      <c r="G709" s="184" t="s">
        <v>1441</v>
      </c>
      <c r="H709" s="184" t="s">
        <v>1442</v>
      </c>
      <c r="I709" s="185">
        <v>44571</v>
      </c>
      <c r="J709" s="184" t="s">
        <v>358</v>
      </c>
      <c r="K709" s="184" t="s">
        <v>568</v>
      </c>
      <c r="L709" s="184"/>
      <c r="M709" s="182" t="s">
        <v>36</v>
      </c>
      <c r="N709" s="183">
        <v>44774</v>
      </c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  <c r="AB709" s="138"/>
      <c r="AC709" s="138"/>
      <c r="AD709" s="138"/>
      <c r="AE709" s="138"/>
      <c r="AF709" s="138"/>
      <c r="AG709" s="138"/>
      <c r="AH709" s="138"/>
      <c r="AI709" s="138"/>
      <c r="AJ709" s="138"/>
      <c r="AK709" s="138"/>
      <c r="AL709" s="138"/>
      <c r="AM709" s="138"/>
      <c r="AN709" s="138"/>
      <c r="AO709" s="138"/>
      <c r="AP709" s="138"/>
      <c r="AQ709" s="138"/>
      <c r="AR709" s="138"/>
      <c r="AS709" s="138"/>
    </row>
    <row r="710" spans="1:45" ht="15.75" hidden="1" customHeight="1">
      <c r="A710" s="132">
        <v>42</v>
      </c>
      <c r="B710" s="132" t="s">
        <v>91</v>
      </c>
      <c r="C710" s="182" t="s">
        <v>936</v>
      </c>
      <c r="D710" s="182" t="s">
        <v>920</v>
      </c>
      <c r="E710" s="182">
        <v>4</v>
      </c>
      <c r="F710" s="183">
        <v>41150</v>
      </c>
      <c r="G710" s="184" t="s">
        <v>1441</v>
      </c>
      <c r="H710" s="184" t="s">
        <v>1442</v>
      </c>
      <c r="I710" s="185">
        <v>44571</v>
      </c>
      <c r="J710" s="184" t="s">
        <v>221</v>
      </c>
      <c r="K710" s="184" t="s">
        <v>1152</v>
      </c>
      <c r="L710" s="184"/>
      <c r="M710" s="182" t="s">
        <v>36</v>
      </c>
      <c r="N710" s="183">
        <v>44774</v>
      </c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  <c r="AB710" s="138"/>
      <c r="AC710" s="138"/>
      <c r="AD710" s="138"/>
      <c r="AE710" s="138"/>
      <c r="AF710" s="138"/>
      <c r="AG710" s="138"/>
      <c r="AH710" s="138"/>
      <c r="AI710" s="138"/>
      <c r="AJ710" s="138"/>
      <c r="AK710" s="138"/>
      <c r="AL710" s="138"/>
      <c r="AM710" s="138"/>
      <c r="AN710" s="138"/>
      <c r="AO710" s="138"/>
      <c r="AP710" s="138"/>
      <c r="AQ710" s="138"/>
      <c r="AR710" s="138"/>
      <c r="AS710" s="138"/>
    </row>
    <row r="711" spans="1:45" ht="15.75" hidden="1" customHeight="1">
      <c r="A711" s="132">
        <v>1</v>
      </c>
      <c r="B711" s="132" t="s">
        <v>50</v>
      </c>
      <c r="C711" s="182" t="s">
        <v>519</v>
      </c>
      <c r="D711" s="182" t="s">
        <v>991</v>
      </c>
      <c r="E711" s="182">
        <v>7</v>
      </c>
      <c r="F711" s="183">
        <v>40364</v>
      </c>
      <c r="G711" s="184" t="s">
        <v>814</v>
      </c>
      <c r="H711" s="184" t="s">
        <v>1443</v>
      </c>
      <c r="I711" s="185">
        <v>44736</v>
      </c>
      <c r="J711" s="184" t="s">
        <v>204</v>
      </c>
      <c r="K711" s="184" t="s">
        <v>612</v>
      </c>
      <c r="L711" s="184" t="s">
        <v>1444</v>
      </c>
      <c r="M711" s="182" t="s">
        <v>36</v>
      </c>
      <c r="N711" s="183">
        <v>44805</v>
      </c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  <c r="AB711" s="138"/>
      <c r="AC711" s="138"/>
      <c r="AD711" s="138"/>
      <c r="AE711" s="138"/>
      <c r="AF711" s="138"/>
      <c r="AG711" s="138"/>
      <c r="AH711" s="138"/>
      <c r="AI711" s="138"/>
      <c r="AJ711" s="138"/>
      <c r="AK711" s="138"/>
      <c r="AL711" s="138"/>
      <c r="AM711" s="138"/>
      <c r="AN711" s="138"/>
      <c r="AO711" s="138"/>
      <c r="AP711" s="138"/>
      <c r="AQ711" s="138"/>
      <c r="AR711" s="138"/>
      <c r="AS711" s="138"/>
    </row>
    <row r="712" spans="1:45" ht="15.75" hidden="1" customHeight="1">
      <c r="A712" s="132">
        <v>2</v>
      </c>
      <c r="B712" s="132" t="s">
        <v>50</v>
      </c>
      <c r="C712" s="182" t="s">
        <v>519</v>
      </c>
      <c r="D712" s="182" t="s">
        <v>599</v>
      </c>
      <c r="E712" s="182">
        <v>4</v>
      </c>
      <c r="F712" s="183">
        <v>41302</v>
      </c>
      <c r="G712" s="184" t="s">
        <v>814</v>
      </c>
      <c r="H712" s="184" t="s">
        <v>1443</v>
      </c>
      <c r="I712" s="185">
        <v>44736</v>
      </c>
      <c r="J712" s="184" t="s">
        <v>140</v>
      </c>
      <c r="K712" s="184" t="s">
        <v>272</v>
      </c>
      <c r="L712" s="184" t="s">
        <v>1444</v>
      </c>
      <c r="M712" s="182" t="s">
        <v>36</v>
      </c>
      <c r="N712" s="183">
        <v>44805</v>
      </c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  <c r="AB712" s="138"/>
      <c r="AC712" s="138"/>
      <c r="AD712" s="138"/>
      <c r="AE712" s="138"/>
      <c r="AF712" s="138"/>
      <c r="AG712" s="138"/>
      <c r="AH712" s="138"/>
      <c r="AI712" s="138"/>
      <c r="AJ712" s="138"/>
      <c r="AK712" s="138"/>
      <c r="AL712" s="138"/>
      <c r="AM712" s="138"/>
      <c r="AN712" s="138"/>
      <c r="AO712" s="138"/>
      <c r="AP712" s="138"/>
      <c r="AQ712" s="138"/>
      <c r="AR712" s="138"/>
      <c r="AS712" s="138"/>
    </row>
    <row r="713" spans="1:45" ht="15.75" hidden="1" customHeight="1">
      <c r="A713" s="132">
        <v>3</v>
      </c>
      <c r="B713" s="132" t="s">
        <v>50</v>
      </c>
      <c r="C713" s="182" t="s">
        <v>1445</v>
      </c>
      <c r="D713" s="182" t="s">
        <v>1446</v>
      </c>
      <c r="E713" s="182" t="s">
        <v>178</v>
      </c>
      <c r="F713" s="183">
        <v>43075</v>
      </c>
      <c r="G713" s="184" t="s">
        <v>1447</v>
      </c>
      <c r="H713" s="184" t="s">
        <v>1448</v>
      </c>
      <c r="I713" s="185">
        <v>44778</v>
      </c>
      <c r="J713" s="184" t="s">
        <v>349</v>
      </c>
      <c r="K713" s="184" t="s">
        <v>1449</v>
      </c>
      <c r="L713" s="190" t="s">
        <v>1450</v>
      </c>
      <c r="M713" s="182" t="s">
        <v>36</v>
      </c>
      <c r="N713" s="183">
        <v>44805</v>
      </c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  <c r="AB713" s="138"/>
      <c r="AC713" s="138"/>
      <c r="AD713" s="138"/>
      <c r="AE713" s="138"/>
      <c r="AF713" s="138"/>
      <c r="AG713" s="138"/>
      <c r="AH713" s="138"/>
      <c r="AI713" s="138"/>
      <c r="AJ713" s="138"/>
      <c r="AK713" s="138"/>
      <c r="AL713" s="138"/>
      <c r="AM713" s="138"/>
      <c r="AN713" s="138"/>
      <c r="AO713" s="138"/>
      <c r="AP713" s="138"/>
      <c r="AQ713" s="138"/>
      <c r="AR713" s="138"/>
      <c r="AS713" s="138"/>
    </row>
    <row r="714" spans="1:45" ht="15.75" hidden="1" customHeight="1">
      <c r="A714" s="132">
        <v>1</v>
      </c>
      <c r="B714" s="132" t="s">
        <v>91</v>
      </c>
      <c r="C714" s="182" t="s">
        <v>633</v>
      </c>
      <c r="D714" s="182" t="s">
        <v>1451</v>
      </c>
      <c r="E714" s="182">
        <v>8</v>
      </c>
      <c r="F714" s="183">
        <v>39752</v>
      </c>
      <c r="G714" s="184" t="s">
        <v>1452</v>
      </c>
      <c r="H714" s="184" t="s">
        <v>1453</v>
      </c>
      <c r="I714" s="185">
        <v>44728</v>
      </c>
      <c r="J714" s="184" t="s">
        <v>250</v>
      </c>
      <c r="K714" s="184" t="s">
        <v>612</v>
      </c>
      <c r="L714" s="184" t="s">
        <v>1454</v>
      </c>
      <c r="M714" s="182" t="s">
        <v>36</v>
      </c>
      <c r="N714" s="183">
        <v>44835</v>
      </c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  <c r="AB714" s="138"/>
      <c r="AC714" s="138"/>
      <c r="AD714" s="138"/>
      <c r="AE714" s="138"/>
      <c r="AF714" s="138"/>
      <c r="AG714" s="138"/>
      <c r="AH714" s="138"/>
      <c r="AI714" s="138"/>
      <c r="AJ714" s="138"/>
      <c r="AK714" s="138"/>
      <c r="AL714" s="138"/>
      <c r="AM714" s="138"/>
      <c r="AN714" s="138"/>
      <c r="AO714" s="138"/>
      <c r="AP714" s="138"/>
      <c r="AQ714" s="138"/>
      <c r="AR714" s="138"/>
      <c r="AS714" s="138"/>
    </row>
    <row r="715" spans="1:45" ht="15.75" hidden="1" customHeight="1">
      <c r="A715" s="132">
        <v>2</v>
      </c>
      <c r="B715" s="132" t="s">
        <v>50</v>
      </c>
      <c r="C715" s="182" t="s">
        <v>375</v>
      </c>
      <c r="D715" s="182" t="s">
        <v>1455</v>
      </c>
      <c r="E715" s="182">
        <v>2</v>
      </c>
      <c r="F715" s="183">
        <v>41781</v>
      </c>
      <c r="G715" s="184" t="s">
        <v>1456</v>
      </c>
      <c r="H715" s="184" t="s">
        <v>1457</v>
      </c>
      <c r="I715" s="185">
        <v>44516</v>
      </c>
      <c r="J715" s="184" t="s">
        <v>140</v>
      </c>
      <c r="K715" s="184" t="s">
        <v>272</v>
      </c>
      <c r="L715" s="184"/>
      <c r="M715" s="182" t="s">
        <v>36</v>
      </c>
      <c r="N715" s="183">
        <v>44835</v>
      </c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  <c r="AB715" s="138"/>
      <c r="AC715" s="138"/>
      <c r="AD715" s="138"/>
      <c r="AE715" s="138"/>
      <c r="AF715" s="138"/>
      <c r="AG715" s="138"/>
      <c r="AH715" s="138"/>
      <c r="AI715" s="138"/>
      <c r="AJ715" s="138"/>
      <c r="AK715" s="138"/>
      <c r="AL715" s="138"/>
      <c r="AM715" s="138"/>
      <c r="AN715" s="138"/>
      <c r="AO715" s="138"/>
      <c r="AP715" s="138"/>
      <c r="AQ715" s="138"/>
      <c r="AR715" s="138"/>
      <c r="AS715" s="138"/>
    </row>
    <row r="716" spans="1:45" ht="15.75" hidden="1" customHeight="1">
      <c r="A716" s="132">
        <v>3</v>
      </c>
      <c r="B716" s="132" t="s">
        <v>91</v>
      </c>
      <c r="C716" s="182" t="s">
        <v>375</v>
      </c>
      <c r="D716" s="182" t="s">
        <v>1458</v>
      </c>
      <c r="E716" s="182">
        <v>2</v>
      </c>
      <c r="F716" s="183">
        <v>41781</v>
      </c>
      <c r="G716" s="184" t="s">
        <v>1456</v>
      </c>
      <c r="H716" s="184" t="s">
        <v>1457</v>
      </c>
      <c r="I716" s="185">
        <v>44516</v>
      </c>
      <c r="J716" s="184" t="s">
        <v>121</v>
      </c>
      <c r="K716" s="184" t="s">
        <v>272</v>
      </c>
      <c r="L716" s="184"/>
      <c r="M716" s="182" t="s">
        <v>36</v>
      </c>
      <c r="N716" s="183">
        <v>44835</v>
      </c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  <c r="AB716" s="138"/>
      <c r="AC716" s="138"/>
      <c r="AD716" s="138"/>
      <c r="AE716" s="138"/>
      <c r="AF716" s="138"/>
      <c r="AG716" s="138"/>
      <c r="AH716" s="138"/>
      <c r="AI716" s="138"/>
      <c r="AJ716" s="138"/>
      <c r="AK716" s="138"/>
      <c r="AL716" s="138"/>
      <c r="AM716" s="138"/>
      <c r="AN716" s="138"/>
      <c r="AO716" s="138"/>
      <c r="AP716" s="138"/>
      <c r="AQ716" s="138"/>
      <c r="AR716" s="138"/>
      <c r="AS716" s="138"/>
    </row>
    <row r="717" spans="1:45" ht="15.75" hidden="1" customHeight="1">
      <c r="A717" s="132">
        <v>4</v>
      </c>
      <c r="B717" s="132" t="s">
        <v>50</v>
      </c>
      <c r="C717" s="182" t="s">
        <v>1459</v>
      </c>
      <c r="D717" s="182" t="s">
        <v>414</v>
      </c>
      <c r="E717" s="182" t="s">
        <v>190</v>
      </c>
      <c r="F717" s="183">
        <v>42797</v>
      </c>
      <c r="G717" s="184" t="s">
        <v>1460</v>
      </c>
      <c r="H717" s="189" t="s">
        <v>1461</v>
      </c>
      <c r="I717" s="185">
        <v>44823</v>
      </c>
      <c r="J717" s="184" t="s">
        <v>349</v>
      </c>
      <c r="K717" s="184" t="s">
        <v>276</v>
      </c>
      <c r="L717" s="184" t="s">
        <v>1462</v>
      </c>
      <c r="M717" s="182" t="s">
        <v>36</v>
      </c>
      <c r="N717" s="183">
        <v>44835</v>
      </c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  <c r="AB717" s="138"/>
      <c r="AC717" s="138"/>
      <c r="AD717" s="138"/>
      <c r="AE717" s="138"/>
      <c r="AF717" s="138"/>
      <c r="AG717" s="138"/>
      <c r="AH717" s="138"/>
      <c r="AI717" s="138"/>
      <c r="AJ717" s="138"/>
      <c r="AK717" s="138"/>
      <c r="AL717" s="138"/>
      <c r="AM717" s="138"/>
      <c r="AN717" s="138"/>
      <c r="AO717" s="138"/>
      <c r="AP717" s="138"/>
      <c r="AQ717" s="138"/>
      <c r="AR717" s="138"/>
      <c r="AS717" s="138"/>
    </row>
    <row r="718" spans="1:45" ht="15.75" hidden="1" customHeight="1">
      <c r="A718" s="132">
        <v>1</v>
      </c>
      <c r="B718" s="132" t="s">
        <v>50</v>
      </c>
      <c r="C718" s="182" t="s">
        <v>298</v>
      </c>
      <c r="D718" s="182" t="s">
        <v>1277</v>
      </c>
      <c r="E718" s="182">
        <v>3</v>
      </c>
      <c r="F718" s="183">
        <v>41947</v>
      </c>
      <c r="G718" s="184" t="s">
        <v>1278</v>
      </c>
      <c r="H718" s="184" t="s">
        <v>1279</v>
      </c>
      <c r="I718" s="185">
        <v>44799</v>
      </c>
      <c r="J718" s="184" t="s">
        <v>1198</v>
      </c>
      <c r="K718" s="184" t="s">
        <v>612</v>
      </c>
      <c r="L718" s="184" t="s">
        <v>1463</v>
      </c>
      <c r="M718" s="182" t="s">
        <v>36</v>
      </c>
      <c r="N718" s="183">
        <v>44866</v>
      </c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  <c r="AB718" s="138"/>
      <c r="AC718" s="138"/>
      <c r="AD718" s="138"/>
      <c r="AE718" s="138"/>
      <c r="AF718" s="138"/>
      <c r="AG718" s="138"/>
      <c r="AH718" s="138"/>
      <c r="AI718" s="138"/>
      <c r="AJ718" s="138"/>
      <c r="AK718" s="138"/>
      <c r="AL718" s="138"/>
      <c r="AM718" s="138"/>
      <c r="AN718" s="138"/>
      <c r="AO718" s="138"/>
      <c r="AP718" s="138"/>
      <c r="AQ718" s="138"/>
      <c r="AR718" s="138"/>
      <c r="AS718" s="138"/>
    </row>
    <row r="719" spans="1:45" ht="15.75" hidden="1" customHeight="1">
      <c r="A719" s="132">
        <v>2</v>
      </c>
      <c r="B719" s="132" t="s">
        <v>91</v>
      </c>
      <c r="C719" s="182" t="s">
        <v>298</v>
      </c>
      <c r="D719" s="182" t="s">
        <v>1277</v>
      </c>
      <c r="E719" s="182">
        <v>3</v>
      </c>
      <c r="F719" s="183">
        <v>41947</v>
      </c>
      <c r="G719" s="184" t="s">
        <v>1278</v>
      </c>
      <c r="H719" s="184" t="s">
        <v>1279</v>
      </c>
      <c r="I719" s="185">
        <v>44799</v>
      </c>
      <c r="J719" s="184" t="s">
        <v>121</v>
      </c>
      <c r="K719" s="184" t="s">
        <v>272</v>
      </c>
      <c r="L719" s="184" t="s">
        <v>1463</v>
      </c>
      <c r="M719" s="182" t="s">
        <v>36</v>
      </c>
      <c r="N719" s="183">
        <v>44866</v>
      </c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  <c r="AB719" s="138"/>
      <c r="AC719" s="138"/>
      <c r="AD719" s="138"/>
      <c r="AE719" s="138"/>
      <c r="AF719" s="138"/>
      <c r="AG719" s="138"/>
      <c r="AH719" s="138"/>
      <c r="AI719" s="138"/>
      <c r="AJ719" s="138"/>
      <c r="AK719" s="138"/>
      <c r="AL719" s="138"/>
      <c r="AM719" s="138"/>
      <c r="AN719" s="138"/>
      <c r="AO719" s="138"/>
      <c r="AP719" s="138"/>
      <c r="AQ719" s="138"/>
      <c r="AR719" s="138"/>
      <c r="AS719" s="138"/>
    </row>
    <row r="720" spans="1:45" ht="15.75" hidden="1" customHeight="1">
      <c r="A720" s="132">
        <v>3</v>
      </c>
      <c r="B720" s="132" t="s">
        <v>91</v>
      </c>
      <c r="C720" s="182" t="s">
        <v>1464</v>
      </c>
      <c r="D720" s="182" t="s">
        <v>1465</v>
      </c>
      <c r="E720" s="182">
        <v>5</v>
      </c>
      <c r="F720" s="183">
        <v>40257</v>
      </c>
      <c r="G720" s="184" t="s">
        <v>1466</v>
      </c>
      <c r="H720" s="184" t="s">
        <v>1467</v>
      </c>
      <c r="I720" s="185">
        <v>44287</v>
      </c>
      <c r="J720" s="184" t="s">
        <v>244</v>
      </c>
      <c r="K720" s="184" t="s">
        <v>612</v>
      </c>
      <c r="L720" s="184"/>
      <c r="M720" s="182" t="s">
        <v>36</v>
      </c>
      <c r="N720" s="183">
        <v>44866</v>
      </c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  <c r="AB720" s="138"/>
      <c r="AC720" s="138"/>
      <c r="AD720" s="138"/>
      <c r="AE720" s="138"/>
      <c r="AF720" s="138"/>
      <c r="AG720" s="138"/>
      <c r="AH720" s="138"/>
      <c r="AI720" s="138"/>
      <c r="AJ720" s="138"/>
      <c r="AK720" s="138"/>
      <c r="AL720" s="138"/>
      <c r="AM720" s="138"/>
      <c r="AN720" s="138"/>
      <c r="AO720" s="138"/>
      <c r="AP720" s="138"/>
      <c r="AQ720" s="138"/>
      <c r="AR720" s="138"/>
      <c r="AS720" s="138"/>
    </row>
    <row r="721" spans="1:45" ht="15.75" hidden="1" customHeight="1">
      <c r="A721" s="132">
        <v>4</v>
      </c>
      <c r="B721" s="132" t="s">
        <v>50</v>
      </c>
      <c r="C721" s="182" t="s">
        <v>1468</v>
      </c>
      <c r="D721" s="182" t="s">
        <v>1469</v>
      </c>
      <c r="E721" s="182">
        <v>2</v>
      </c>
      <c r="F721" s="183">
        <v>42264</v>
      </c>
      <c r="G721" s="184" t="s">
        <v>1470</v>
      </c>
      <c r="H721" s="184" t="s">
        <v>1471</v>
      </c>
      <c r="I721" s="185">
        <v>44826</v>
      </c>
      <c r="J721" s="184" t="s">
        <v>349</v>
      </c>
      <c r="K721" s="184" t="s">
        <v>568</v>
      </c>
      <c r="L721" s="184"/>
      <c r="M721" s="182" t="s">
        <v>36</v>
      </c>
      <c r="N721" s="183">
        <v>44866</v>
      </c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  <c r="AB721" s="138"/>
      <c r="AC721" s="138"/>
      <c r="AD721" s="138"/>
      <c r="AE721" s="138"/>
      <c r="AF721" s="138"/>
      <c r="AG721" s="138"/>
      <c r="AH721" s="138"/>
      <c r="AI721" s="138"/>
      <c r="AJ721" s="138"/>
      <c r="AK721" s="138"/>
      <c r="AL721" s="138"/>
      <c r="AM721" s="138"/>
      <c r="AN721" s="138"/>
      <c r="AO721" s="138"/>
      <c r="AP721" s="138"/>
      <c r="AQ721" s="138"/>
      <c r="AR721" s="138"/>
      <c r="AS721" s="138"/>
    </row>
    <row r="722" spans="1:45" ht="15.75" hidden="1" customHeight="1">
      <c r="A722" s="132">
        <v>5</v>
      </c>
      <c r="B722" s="132" t="s">
        <v>91</v>
      </c>
      <c r="C722" s="182" t="s">
        <v>1468</v>
      </c>
      <c r="D722" s="182" t="s">
        <v>1469</v>
      </c>
      <c r="E722" s="182">
        <v>2</v>
      </c>
      <c r="F722" s="183">
        <v>42264</v>
      </c>
      <c r="G722" s="184" t="s">
        <v>1470</v>
      </c>
      <c r="H722" s="184" t="s">
        <v>1471</v>
      </c>
      <c r="I722" s="185">
        <v>44826</v>
      </c>
      <c r="J722" s="184" t="s">
        <v>654</v>
      </c>
      <c r="K722" s="184" t="s">
        <v>272</v>
      </c>
      <c r="L722" s="184"/>
      <c r="M722" s="182" t="s">
        <v>36</v>
      </c>
      <c r="N722" s="183">
        <v>44866</v>
      </c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  <c r="AB722" s="138"/>
      <c r="AC722" s="138"/>
      <c r="AD722" s="138"/>
      <c r="AE722" s="138"/>
      <c r="AF722" s="138"/>
      <c r="AG722" s="138"/>
      <c r="AH722" s="138"/>
      <c r="AI722" s="138"/>
      <c r="AJ722" s="138"/>
      <c r="AK722" s="138"/>
      <c r="AL722" s="138"/>
      <c r="AM722" s="138"/>
      <c r="AN722" s="138"/>
      <c r="AO722" s="138"/>
      <c r="AP722" s="138"/>
      <c r="AQ722" s="138"/>
      <c r="AR722" s="138"/>
      <c r="AS722" s="138"/>
    </row>
    <row r="723" spans="1:45" ht="15.75" hidden="1" customHeight="1">
      <c r="A723" s="132">
        <v>6</v>
      </c>
      <c r="B723" s="132" t="s">
        <v>50</v>
      </c>
      <c r="C723" s="182" t="s">
        <v>455</v>
      </c>
      <c r="D723" s="182" t="s">
        <v>1472</v>
      </c>
      <c r="E723" s="182">
        <v>6</v>
      </c>
      <c r="F723" s="183">
        <v>40566</v>
      </c>
      <c r="G723" s="184" t="s">
        <v>1473</v>
      </c>
      <c r="H723" s="184" t="s">
        <v>458</v>
      </c>
      <c r="I723" s="185">
        <v>44732</v>
      </c>
      <c r="J723" s="184" t="s">
        <v>204</v>
      </c>
      <c r="K723" s="184" t="s">
        <v>272</v>
      </c>
      <c r="L723" s="184"/>
      <c r="M723" s="182" t="s">
        <v>36</v>
      </c>
      <c r="N723" s="183">
        <v>44866</v>
      </c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  <c r="AB723" s="138"/>
      <c r="AC723" s="138"/>
      <c r="AD723" s="138"/>
      <c r="AE723" s="138"/>
      <c r="AF723" s="138"/>
      <c r="AG723" s="138"/>
      <c r="AH723" s="138"/>
      <c r="AI723" s="138"/>
      <c r="AJ723" s="138"/>
      <c r="AK723" s="138"/>
      <c r="AL723" s="138"/>
      <c r="AM723" s="138"/>
      <c r="AN723" s="138"/>
      <c r="AO723" s="138"/>
      <c r="AP723" s="138"/>
      <c r="AQ723" s="138"/>
      <c r="AR723" s="138"/>
      <c r="AS723" s="138"/>
    </row>
    <row r="724" spans="1:45" ht="15.75" hidden="1" customHeight="1">
      <c r="A724" s="132">
        <v>7</v>
      </c>
      <c r="B724" s="132" t="s">
        <v>91</v>
      </c>
      <c r="C724" s="182" t="s">
        <v>455</v>
      </c>
      <c r="D724" s="182" t="s">
        <v>1472</v>
      </c>
      <c r="E724" s="182">
        <v>6</v>
      </c>
      <c r="F724" s="183">
        <v>40566</v>
      </c>
      <c r="G724" s="184" t="s">
        <v>1473</v>
      </c>
      <c r="H724" s="184" t="s">
        <v>458</v>
      </c>
      <c r="I724" s="185">
        <v>44732</v>
      </c>
      <c r="J724" s="184" t="s">
        <v>188</v>
      </c>
      <c r="K724" s="184" t="s">
        <v>272</v>
      </c>
      <c r="L724" s="184"/>
      <c r="M724" s="182" t="s">
        <v>36</v>
      </c>
      <c r="N724" s="183">
        <v>44866</v>
      </c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  <c r="AB724" s="138"/>
      <c r="AC724" s="138"/>
      <c r="AD724" s="138"/>
      <c r="AE724" s="138"/>
      <c r="AF724" s="138"/>
      <c r="AG724" s="138"/>
      <c r="AH724" s="138"/>
      <c r="AI724" s="138"/>
      <c r="AJ724" s="138"/>
      <c r="AK724" s="138"/>
      <c r="AL724" s="138"/>
      <c r="AM724" s="138"/>
      <c r="AN724" s="138"/>
      <c r="AO724" s="138"/>
      <c r="AP724" s="138"/>
      <c r="AQ724" s="138"/>
      <c r="AR724" s="138"/>
      <c r="AS724" s="138"/>
    </row>
    <row r="725" spans="1:45" ht="15.75" hidden="1" customHeight="1">
      <c r="A725" s="132">
        <v>1</v>
      </c>
      <c r="B725" s="132" t="s">
        <v>50</v>
      </c>
      <c r="C725" s="182" t="s">
        <v>298</v>
      </c>
      <c r="D725" s="182" t="s">
        <v>1474</v>
      </c>
      <c r="E725" s="182">
        <v>3</v>
      </c>
      <c r="F725" s="183">
        <v>41328</v>
      </c>
      <c r="G725" s="184" t="s">
        <v>300</v>
      </c>
      <c r="H725" s="184" t="s">
        <v>301</v>
      </c>
      <c r="I725" s="185">
        <v>44519</v>
      </c>
      <c r="J725" s="184" t="s">
        <v>204</v>
      </c>
      <c r="K725" s="184" t="s">
        <v>272</v>
      </c>
      <c r="L725" s="184" t="s">
        <v>1475</v>
      </c>
      <c r="M725" s="182" t="s">
        <v>36</v>
      </c>
      <c r="N725" s="183">
        <v>44896</v>
      </c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  <c r="AB725" s="138"/>
      <c r="AC725" s="138"/>
      <c r="AD725" s="138"/>
      <c r="AE725" s="138"/>
      <c r="AF725" s="138"/>
      <c r="AG725" s="138"/>
      <c r="AH725" s="138"/>
      <c r="AI725" s="138"/>
      <c r="AJ725" s="138"/>
      <c r="AK725" s="138"/>
      <c r="AL725" s="138"/>
      <c r="AM725" s="138"/>
      <c r="AN725" s="138"/>
      <c r="AO725" s="138"/>
      <c r="AP725" s="138"/>
      <c r="AQ725" s="138"/>
      <c r="AR725" s="138"/>
      <c r="AS725" s="138"/>
    </row>
    <row r="726" spans="1:45" ht="15.75" hidden="1" customHeight="1">
      <c r="A726" s="132">
        <v>2</v>
      </c>
      <c r="B726" s="132" t="s">
        <v>91</v>
      </c>
      <c r="C726" s="182" t="s">
        <v>298</v>
      </c>
      <c r="D726" s="182" t="s">
        <v>1474</v>
      </c>
      <c r="E726" s="182">
        <v>3</v>
      </c>
      <c r="F726" s="183">
        <v>41328</v>
      </c>
      <c r="G726" s="184" t="s">
        <v>300</v>
      </c>
      <c r="H726" s="184" t="s">
        <v>301</v>
      </c>
      <c r="I726" s="185">
        <v>44519</v>
      </c>
      <c r="J726" s="184" t="s">
        <v>221</v>
      </c>
      <c r="K726" s="184" t="s">
        <v>272</v>
      </c>
      <c r="L726" s="184" t="s">
        <v>1475</v>
      </c>
      <c r="M726" s="182" t="s">
        <v>36</v>
      </c>
      <c r="N726" s="183">
        <v>44896</v>
      </c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  <c r="AB726" s="138"/>
      <c r="AC726" s="138"/>
      <c r="AD726" s="138"/>
      <c r="AE726" s="138"/>
      <c r="AF726" s="138"/>
      <c r="AG726" s="138"/>
      <c r="AH726" s="138"/>
      <c r="AI726" s="138"/>
      <c r="AJ726" s="138"/>
      <c r="AK726" s="138"/>
      <c r="AL726" s="138"/>
      <c r="AM726" s="138"/>
      <c r="AN726" s="138"/>
      <c r="AO726" s="138"/>
      <c r="AP726" s="138"/>
      <c r="AQ726" s="138"/>
      <c r="AR726" s="138"/>
      <c r="AS726" s="138"/>
    </row>
    <row r="727" spans="1:45" ht="15.75" hidden="1" customHeight="1">
      <c r="A727" s="132">
        <v>3</v>
      </c>
      <c r="B727" s="132" t="s">
        <v>50</v>
      </c>
      <c r="C727" s="182" t="s">
        <v>1476</v>
      </c>
      <c r="D727" s="182" t="s">
        <v>1477</v>
      </c>
      <c r="E727" s="182">
        <v>5</v>
      </c>
      <c r="F727" s="183">
        <v>40821</v>
      </c>
      <c r="G727" s="184" t="s">
        <v>1478</v>
      </c>
      <c r="H727" s="184" t="s">
        <v>1479</v>
      </c>
      <c r="I727" s="185">
        <v>44790</v>
      </c>
      <c r="J727" s="184" t="s">
        <v>261</v>
      </c>
      <c r="K727" s="184" t="s">
        <v>272</v>
      </c>
      <c r="L727" s="184" t="s">
        <v>1480</v>
      </c>
      <c r="M727" s="182" t="s">
        <v>36</v>
      </c>
      <c r="N727" s="183">
        <v>44896</v>
      </c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  <c r="AB727" s="138"/>
      <c r="AC727" s="138"/>
      <c r="AD727" s="138"/>
      <c r="AE727" s="138"/>
      <c r="AF727" s="138"/>
      <c r="AG727" s="138"/>
      <c r="AH727" s="138"/>
      <c r="AI727" s="138"/>
      <c r="AJ727" s="138"/>
      <c r="AK727" s="138"/>
      <c r="AL727" s="138"/>
      <c r="AM727" s="138"/>
      <c r="AN727" s="138"/>
      <c r="AO727" s="138"/>
      <c r="AP727" s="138"/>
      <c r="AQ727" s="138"/>
      <c r="AR727" s="138"/>
      <c r="AS727" s="138"/>
    </row>
    <row r="728" spans="1:45" ht="15.75" hidden="1" customHeight="1">
      <c r="A728" s="132">
        <v>4</v>
      </c>
      <c r="B728" s="132" t="s">
        <v>91</v>
      </c>
      <c r="C728" s="182" t="s">
        <v>1476</v>
      </c>
      <c r="D728" s="182" t="s">
        <v>1477</v>
      </c>
      <c r="E728" s="182">
        <v>5</v>
      </c>
      <c r="F728" s="183">
        <v>40821</v>
      </c>
      <c r="G728" s="184" t="s">
        <v>1478</v>
      </c>
      <c r="H728" s="184" t="s">
        <v>1479</v>
      </c>
      <c r="I728" s="185">
        <v>44790</v>
      </c>
      <c r="J728" s="184" t="s">
        <v>156</v>
      </c>
      <c r="K728" s="184" t="s">
        <v>272</v>
      </c>
      <c r="L728" s="184" t="s">
        <v>1480</v>
      </c>
      <c r="M728" s="182" t="s">
        <v>36</v>
      </c>
      <c r="N728" s="183">
        <v>44896</v>
      </c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  <c r="AB728" s="138"/>
      <c r="AC728" s="138"/>
      <c r="AD728" s="138"/>
      <c r="AE728" s="138"/>
      <c r="AF728" s="138"/>
      <c r="AG728" s="138"/>
      <c r="AH728" s="138"/>
      <c r="AI728" s="138"/>
      <c r="AJ728" s="138"/>
      <c r="AK728" s="138"/>
      <c r="AL728" s="138"/>
      <c r="AM728" s="138"/>
      <c r="AN728" s="138"/>
      <c r="AO728" s="138"/>
      <c r="AP728" s="138"/>
      <c r="AQ728" s="138"/>
      <c r="AR728" s="138"/>
      <c r="AS728" s="138"/>
    </row>
    <row r="729" spans="1:45" ht="15.75" hidden="1" customHeight="1">
      <c r="A729" s="132">
        <v>5</v>
      </c>
      <c r="B729" s="132" t="s">
        <v>50</v>
      </c>
      <c r="C729" s="182" t="s">
        <v>1481</v>
      </c>
      <c r="D729" s="182" t="s">
        <v>571</v>
      </c>
      <c r="E729" s="182" t="s">
        <v>178</v>
      </c>
      <c r="F729" s="183">
        <v>43019</v>
      </c>
      <c r="G729" s="184" t="s">
        <v>1482</v>
      </c>
      <c r="H729" s="184" t="s">
        <v>1483</v>
      </c>
      <c r="I729" s="185">
        <v>44821</v>
      </c>
      <c r="J729" s="184" t="s">
        <v>349</v>
      </c>
      <c r="K729" s="184" t="s">
        <v>568</v>
      </c>
      <c r="L729" s="184" t="s">
        <v>1484</v>
      </c>
      <c r="M729" s="182" t="s">
        <v>36</v>
      </c>
      <c r="N729" s="183">
        <v>44896</v>
      </c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  <c r="AB729" s="138"/>
      <c r="AC729" s="138"/>
      <c r="AD729" s="138"/>
      <c r="AE729" s="138"/>
      <c r="AF729" s="138"/>
      <c r="AG729" s="138"/>
      <c r="AH729" s="138"/>
      <c r="AI729" s="138"/>
      <c r="AJ729" s="138"/>
      <c r="AK729" s="138"/>
      <c r="AL729" s="138"/>
      <c r="AM729" s="138"/>
      <c r="AN729" s="138"/>
      <c r="AO729" s="138"/>
      <c r="AP729" s="138"/>
      <c r="AQ729" s="138"/>
      <c r="AR729" s="138"/>
      <c r="AS729" s="138"/>
    </row>
    <row r="730" spans="1:45" ht="15.75" hidden="1" customHeight="1">
      <c r="A730" s="132">
        <v>6</v>
      </c>
      <c r="B730" s="132" t="s">
        <v>50</v>
      </c>
      <c r="C730" s="182" t="s">
        <v>257</v>
      </c>
      <c r="D730" s="182" t="s">
        <v>1485</v>
      </c>
      <c r="E730" s="182" t="s">
        <v>178</v>
      </c>
      <c r="F730" s="183">
        <v>42771</v>
      </c>
      <c r="G730" s="184" t="s">
        <v>1486</v>
      </c>
      <c r="H730" s="184" t="s">
        <v>1487</v>
      </c>
      <c r="I730" s="185">
        <v>44476</v>
      </c>
      <c r="J730" s="184" t="s">
        <v>124</v>
      </c>
      <c r="K730" s="184" t="s">
        <v>272</v>
      </c>
      <c r="L730" s="184" t="s">
        <v>1488</v>
      </c>
      <c r="M730" s="182" t="s">
        <v>36</v>
      </c>
      <c r="N730" s="183">
        <v>44896</v>
      </c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  <c r="AB730" s="138"/>
      <c r="AC730" s="138"/>
      <c r="AD730" s="138"/>
      <c r="AE730" s="138"/>
      <c r="AF730" s="138"/>
      <c r="AG730" s="138"/>
      <c r="AH730" s="138"/>
      <c r="AI730" s="138"/>
      <c r="AJ730" s="138"/>
      <c r="AK730" s="138"/>
      <c r="AL730" s="138"/>
      <c r="AM730" s="138"/>
      <c r="AN730" s="138"/>
      <c r="AO730" s="138"/>
      <c r="AP730" s="138"/>
      <c r="AQ730" s="138"/>
      <c r="AR730" s="138"/>
      <c r="AS730" s="138"/>
    </row>
    <row r="731" spans="1:45" ht="15.75" hidden="1" customHeight="1">
      <c r="A731" s="132">
        <v>7</v>
      </c>
      <c r="B731" s="132" t="s">
        <v>91</v>
      </c>
      <c r="C731" s="182" t="s">
        <v>519</v>
      </c>
      <c r="D731" s="182" t="s">
        <v>599</v>
      </c>
      <c r="E731" s="182">
        <v>4</v>
      </c>
      <c r="F731" s="183">
        <v>41302</v>
      </c>
      <c r="G731" s="184" t="s">
        <v>814</v>
      </c>
      <c r="H731" s="184" t="s">
        <v>1443</v>
      </c>
      <c r="I731" s="185">
        <v>44720</v>
      </c>
      <c r="J731" s="184" t="s">
        <v>150</v>
      </c>
      <c r="K731" s="184">
        <v>100</v>
      </c>
      <c r="L731" s="184" t="s">
        <v>1489</v>
      </c>
      <c r="M731" s="182" t="s">
        <v>36</v>
      </c>
      <c r="N731" s="183">
        <v>44896</v>
      </c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  <c r="AB731" s="138"/>
      <c r="AC731" s="138"/>
      <c r="AD731" s="138"/>
      <c r="AE731" s="138"/>
      <c r="AF731" s="138"/>
      <c r="AG731" s="138"/>
      <c r="AH731" s="138"/>
      <c r="AI731" s="138"/>
      <c r="AJ731" s="138"/>
      <c r="AK731" s="138"/>
      <c r="AL731" s="138"/>
      <c r="AM731" s="138"/>
      <c r="AN731" s="138"/>
      <c r="AO731" s="138"/>
      <c r="AP731" s="138"/>
      <c r="AQ731" s="138"/>
      <c r="AR731" s="138"/>
      <c r="AS731" s="138"/>
    </row>
    <row r="732" spans="1:45" ht="15.75" hidden="1" customHeight="1">
      <c r="A732" s="132">
        <v>8</v>
      </c>
      <c r="B732" s="132" t="s">
        <v>50</v>
      </c>
      <c r="C732" s="182" t="s">
        <v>298</v>
      </c>
      <c r="D732" s="182" t="s">
        <v>1490</v>
      </c>
      <c r="E732" s="182">
        <v>3</v>
      </c>
      <c r="F732" s="183">
        <v>41516</v>
      </c>
      <c r="G732" s="184" t="s">
        <v>310</v>
      </c>
      <c r="H732" s="184" t="s">
        <v>311</v>
      </c>
      <c r="I732" s="185">
        <v>44519</v>
      </c>
      <c r="J732" s="184" t="s">
        <v>204</v>
      </c>
      <c r="K732" s="184" t="s">
        <v>276</v>
      </c>
      <c r="L732" s="184" t="s">
        <v>1475</v>
      </c>
      <c r="M732" s="182" t="s">
        <v>36</v>
      </c>
      <c r="N732" s="183">
        <v>44896</v>
      </c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  <c r="AB732" s="138"/>
      <c r="AC732" s="138"/>
      <c r="AD732" s="138"/>
      <c r="AE732" s="138"/>
      <c r="AF732" s="138"/>
      <c r="AG732" s="138"/>
      <c r="AH732" s="138"/>
      <c r="AI732" s="138"/>
      <c r="AJ732" s="138"/>
      <c r="AK732" s="138"/>
      <c r="AL732" s="138"/>
      <c r="AM732" s="138"/>
      <c r="AN732" s="138"/>
      <c r="AO732" s="138"/>
      <c r="AP732" s="138"/>
      <c r="AQ732" s="138"/>
      <c r="AR732" s="138"/>
      <c r="AS732" s="138"/>
    </row>
    <row r="733" spans="1:45" ht="15.75" hidden="1" customHeight="1">
      <c r="A733" s="132">
        <v>9</v>
      </c>
      <c r="B733" s="132" t="s">
        <v>91</v>
      </c>
      <c r="C733" s="182" t="s">
        <v>298</v>
      </c>
      <c r="D733" s="182" t="s">
        <v>1490</v>
      </c>
      <c r="E733" s="182">
        <v>3</v>
      </c>
      <c r="F733" s="183">
        <v>41516</v>
      </c>
      <c r="G733" s="184" t="s">
        <v>310</v>
      </c>
      <c r="H733" s="184" t="s">
        <v>311</v>
      </c>
      <c r="I733" s="185">
        <v>44519</v>
      </c>
      <c r="J733" s="184" t="s">
        <v>221</v>
      </c>
      <c r="K733" s="184" t="s">
        <v>272</v>
      </c>
      <c r="L733" s="184" t="s">
        <v>1475</v>
      </c>
      <c r="M733" s="182" t="s">
        <v>36</v>
      </c>
      <c r="N733" s="183">
        <v>44896</v>
      </c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  <c r="AB733" s="138"/>
      <c r="AC733" s="138"/>
      <c r="AD733" s="138"/>
      <c r="AE733" s="138"/>
      <c r="AF733" s="138"/>
      <c r="AG733" s="138"/>
      <c r="AH733" s="138"/>
      <c r="AI733" s="138"/>
      <c r="AJ733" s="138"/>
      <c r="AK733" s="138"/>
      <c r="AL733" s="138"/>
      <c r="AM733" s="138"/>
      <c r="AN733" s="138"/>
      <c r="AO733" s="138"/>
      <c r="AP733" s="138"/>
      <c r="AQ733" s="138"/>
      <c r="AR733" s="138"/>
      <c r="AS733" s="138"/>
    </row>
    <row r="734" spans="1:45" ht="15.75" hidden="1" customHeight="1">
      <c r="A734" s="132">
        <v>10</v>
      </c>
      <c r="B734" s="132" t="s">
        <v>50</v>
      </c>
      <c r="C734" s="182" t="s">
        <v>1476</v>
      </c>
      <c r="D734" s="182" t="s">
        <v>1491</v>
      </c>
      <c r="E734" s="182">
        <v>5</v>
      </c>
      <c r="F734" s="183">
        <v>40854</v>
      </c>
      <c r="G734" s="184" t="s">
        <v>1478</v>
      </c>
      <c r="H734" s="184" t="s">
        <v>1479</v>
      </c>
      <c r="I734" s="185">
        <v>44790</v>
      </c>
      <c r="J734" s="184" t="s">
        <v>261</v>
      </c>
      <c r="K734" s="184" t="s">
        <v>272</v>
      </c>
      <c r="L734" s="184" t="s">
        <v>1480</v>
      </c>
      <c r="M734" s="182" t="s">
        <v>36</v>
      </c>
      <c r="N734" s="183">
        <v>44896</v>
      </c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  <c r="AB734" s="138"/>
      <c r="AC734" s="138"/>
      <c r="AD734" s="138"/>
      <c r="AE734" s="138"/>
      <c r="AF734" s="138"/>
      <c r="AG734" s="138"/>
      <c r="AH734" s="138"/>
      <c r="AI734" s="138"/>
      <c r="AJ734" s="138"/>
      <c r="AK734" s="138"/>
      <c r="AL734" s="138"/>
      <c r="AM734" s="138"/>
      <c r="AN734" s="138"/>
      <c r="AO734" s="138"/>
      <c r="AP734" s="138"/>
      <c r="AQ734" s="138"/>
      <c r="AR734" s="138"/>
      <c r="AS734" s="138"/>
    </row>
    <row r="735" spans="1:45" ht="15.75" hidden="1" customHeight="1">
      <c r="A735" s="132">
        <v>11</v>
      </c>
      <c r="B735" s="132" t="s">
        <v>91</v>
      </c>
      <c r="C735" s="182" t="s">
        <v>1476</v>
      </c>
      <c r="D735" s="182" t="s">
        <v>1491</v>
      </c>
      <c r="E735" s="182">
        <v>5</v>
      </c>
      <c r="F735" s="183">
        <v>40854</v>
      </c>
      <c r="G735" s="184" t="s">
        <v>1478</v>
      </c>
      <c r="H735" s="184" t="s">
        <v>1479</v>
      </c>
      <c r="I735" s="185">
        <v>44790</v>
      </c>
      <c r="J735" s="184" t="s">
        <v>156</v>
      </c>
      <c r="K735" s="184" t="s">
        <v>272</v>
      </c>
      <c r="L735" s="184" t="s">
        <v>1480</v>
      </c>
      <c r="M735" s="182" t="s">
        <v>36</v>
      </c>
      <c r="N735" s="183">
        <v>44896</v>
      </c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  <c r="AG735" s="138"/>
      <c r="AH735" s="138"/>
      <c r="AI735" s="138"/>
      <c r="AJ735" s="138"/>
      <c r="AK735" s="138"/>
      <c r="AL735" s="138"/>
      <c r="AM735" s="138"/>
      <c r="AN735" s="138"/>
      <c r="AO735" s="138"/>
      <c r="AP735" s="138"/>
      <c r="AQ735" s="138"/>
      <c r="AR735" s="138"/>
      <c r="AS735" s="138"/>
    </row>
    <row r="736" spans="1:45" ht="15.75" hidden="1" customHeight="1">
      <c r="A736" s="132">
        <v>12</v>
      </c>
      <c r="B736" s="132" t="s">
        <v>50</v>
      </c>
      <c r="C736" s="182" t="s">
        <v>1476</v>
      </c>
      <c r="D736" s="182" t="s">
        <v>1492</v>
      </c>
      <c r="E736" s="182">
        <v>5</v>
      </c>
      <c r="F736" s="183">
        <v>40821</v>
      </c>
      <c r="G736" s="184" t="s">
        <v>1478</v>
      </c>
      <c r="H736" s="184" t="s">
        <v>1479</v>
      </c>
      <c r="I736" s="185">
        <v>44790</v>
      </c>
      <c r="J736" s="184" t="s">
        <v>261</v>
      </c>
      <c r="K736" s="184" t="s">
        <v>272</v>
      </c>
      <c r="L736" s="184" t="s">
        <v>1480</v>
      </c>
      <c r="M736" s="182" t="s">
        <v>36</v>
      </c>
      <c r="N736" s="183">
        <v>44896</v>
      </c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  <c r="AB736" s="138"/>
      <c r="AC736" s="138"/>
      <c r="AD736" s="138"/>
      <c r="AE736" s="138"/>
      <c r="AF736" s="138"/>
      <c r="AG736" s="138"/>
      <c r="AH736" s="138"/>
      <c r="AI736" s="138"/>
      <c r="AJ736" s="138"/>
      <c r="AK736" s="138"/>
      <c r="AL736" s="138"/>
      <c r="AM736" s="138"/>
      <c r="AN736" s="138"/>
      <c r="AO736" s="138"/>
      <c r="AP736" s="138"/>
      <c r="AQ736" s="138"/>
      <c r="AR736" s="138"/>
      <c r="AS736" s="138"/>
    </row>
    <row r="737" spans="1:45" ht="15.75" hidden="1" customHeight="1">
      <c r="A737" s="132">
        <v>13</v>
      </c>
      <c r="B737" s="132" t="s">
        <v>91</v>
      </c>
      <c r="C737" s="182" t="s">
        <v>1476</v>
      </c>
      <c r="D737" s="182" t="s">
        <v>1492</v>
      </c>
      <c r="E737" s="182">
        <v>5</v>
      </c>
      <c r="F737" s="183">
        <v>40821</v>
      </c>
      <c r="G737" s="184" t="s">
        <v>1478</v>
      </c>
      <c r="H737" s="184" t="s">
        <v>1479</v>
      </c>
      <c r="I737" s="185">
        <v>44790</v>
      </c>
      <c r="J737" s="184" t="s">
        <v>156</v>
      </c>
      <c r="K737" s="184" t="s">
        <v>272</v>
      </c>
      <c r="L737" s="184" t="s">
        <v>1480</v>
      </c>
      <c r="M737" s="182" t="s">
        <v>36</v>
      </c>
      <c r="N737" s="183">
        <v>44896</v>
      </c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  <c r="AB737" s="138"/>
      <c r="AC737" s="138"/>
      <c r="AD737" s="138"/>
      <c r="AE737" s="138"/>
      <c r="AF737" s="138"/>
      <c r="AG737" s="138"/>
      <c r="AH737" s="138"/>
      <c r="AI737" s="138"/>
      <c r="AJ737" s="138"/>
      <c r="AK737" s="138"/>
      <c r="AL737" s="138"/>
      <c r="AM737" s="138"/>
      <c r="AN737" s="138"/>
      <c r="AO737" s="138"/>
      <c r="AP737" s="138"/>
      <c r="AQ737" s="138"/>
      <c r="AR737" s="138"/>
      <c r="AS737" s="138"/>
    </row>
    <row r="738" spans="1:45" ht="15.75" hidden="1" customHeight="1">
      <c r="A738" s="132">
        <v>14</v>
      </c>
      <c r="B738" s="132" t="s">
        <v>50</v>
      </c>
      <c r="C738" s="182" t="s">
        <v>967</v>
      </c>
      <c r="D738" s="182" t="s">
        <v>763</v>
      </c>
      <c r="E738" s="182">
        <v>3</v>
      </c>
      <c r="F738" s="183">
        <v>40644</v>
      </c>
      <c r="G738" s="184" t="s">
        <v>968</v>
      </c>
      <c r="H738" s="184" t="s">
        <v>969</v>
      </c>
      <c r="I738" s="185">
        <v>43836</v>
      </c>
      <c r="J738" s="184" t="s">
        <v>243</v>
      </c>
      <c r="K738" s="184" t="s">
        <v>612</v>
      </c>
      <c r="L738" s="184" t="s">
        <v>1493</v>
      </c>
      <c r="M738" s="182" t="s">
        <v>36</v>
      </c>
      <c r="N738" s="183">
        <v>44896</v>
      </c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  <c r="AB738" s="138"/>
      <c r="AC738" s="138"/>
      <c r="AD738" s="138"/>
      <c r="AE738" s="138"/>
      <c r="AF738" s="138"/>
      <c r="AG738" s="138"/>
      <c r="AH738" s="138"/>
      <c r="AI738" s="138"/>
      <c r="AJ738" s="138"/>
      <c r="AK738" s="138"/>
      <c r="AL738" s="138"/>
      <c r="AM738" s="138"/>
      <c r="AN738" s="138"/>
      <c r="AO738" s="138"/>
      <c r="AP738" s="138"/>
      <c r="AQ738" s="138"/>
      <c r="AR738" s="138"/>
      <c r="AS738" s="138"/>
    </row>
    <row r="739" spans="1:45" ht="15.75" hidden="1" customHeight="1">
      <c r="A739" s="132">
        <v>15</v>
      </c>
      <c r="B739" s="132" t="s">
        <v>50</v>
      </c>
      <c r="C739" s="182" t="s">
        <v>397</v>
      </c>
      <c r="D739" s="182" t="s">
        <v>398</v>
      </c>
      <c r="E739" s="182">
        <v>4</v>
      </c>
      <c r="F739" s="183">
        <v>41123</v>
      </c>
      <c r="G739" s="184" t="s">
        <v>399</v>
      </c>
      <c r="H739" s="184" t="s">
        <v>400</v>
      </c>
      <c r="I739" s="185">
        <v>44424</v>
      </c>
      <c r="J739" s="184" t="s">
        <v>148</v>
      </c>
      <c r="K739" s="184" t="s">
        <v>612</v>
      </c>
      <c r="L739" s="184" t="s">
        <v>1475</v>
      </c>
      <c r="M739" s="182" t="s">
        <v>36</v>
      </c>
      <c r="N739" s="183">
        <v>44896</v>
      </c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  <c r="AB739" s="138"/>
      <c r="AC739" s="138"/>
      <c r="AD739" s="138"/>
      <c r="AE739" s="138"/>
      <c r="AF739" s="138"/>
      <c r="AG739" s="138"/>
      <c r="AH739" s="138"/>
      <c r="AI739" s="138"/>
      <c r="AJ739" s="138"/>
      <c r="AK739" s="138"/>
      <c r="AL739" s="138"/>
      <c r="AM739" s="138"/>
      <c r="AN739" s="138"/>
      <c r="AO739" s="138"/>
      <c r="AP739" s="138"/>
      <c r="AQ739" s="138"/>
      <c r="AR739" s="138"/>
      <c r="AS739" s="138"/>
    </row>
    <row r="740" spans="1:45" ht="15.75" hidden="1" customHeight="1">
      <c r="A740" s="132">
        <v>16</v>
      </c>
      <c r="B740" s="132" t="s">
        <v>91</v>
      </c>
      <c r="C740" s="182" t="s">
        <v>397</v>
      </c>
      <c r="D740" s="182" t="s">
        <v>398</v>
      </c>
      <c r="E740" s="182">
        <v>4</v>
      </c>
      <c r="F740" s="183">
        <v>41123</v>
      </c>
      <c r="G740" s="184" t="s">
        <v>399</v>
      </c>
      <c r="H740" s="184" t="s">
        <v>400</v>
      </c>
      <c r="I740" s="185">
        <v>44424</v>
      </c>
      <c r="J740" s="184" t="s">
        <v>238</v>
      </c>
      <c r="K740" s="184" t="s">
        <v>1104</v>
      </c>
      <c r="L740" s="184" t="s">
        <v>1475</v>
      </c>
      <c r="M740" s="182" t="s">
        <v>36</v>
      </c>
      <c r="N740" s="183">
        <v>44896</v>
      </c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  <c r="AB740" s="138"/>
      <c r="AC740" s="138"/>
      <c r="AD740" s="138"/>
      <c r="AE740" s="138"/>
      <c r="AF740" s="138"/>
      <c r="AG740" s="138"/>
      <c r="AH740" s="138"/>
      <c r="AI740" s="138"/>
      <c r="AJ740" s="138"/>
      <c r="AK740" s="138"/>
      <c r="AL740" s="138"/>
      <c r="AM740" s="138"/>
      <c r="AN740" s="138"/>
      <c r="AO740" s="138"/>
      <c r="AP740" s="138"/>
      <c r="AQ740" s="138"/>
      <c r="AR740" s="138"/>
      <c r="AS740" s="138"/>
    </row>
    <row r="741" spans="1:45" ht="15.75" hidden="1" customHeight="1">
      <c r="A741" s="132">
        <v>1</v>
      </c>
      <c r="B741" s="132" t="s">
        <v>50</v>
      </c>
      <c r="C741" s="182" t="s">
        <v>1494</v>
      </c>
      <c r="D741" s="182" t="s">
        <v>1495</v>
      </c>
      <c r="E741" s="182">
        <v>6</v>
      </c>
      <c r="F741" s="183">
        <v>40646</v>
      </c>
      <c r="G741" s="184" t="s">
        <v>1496</v>
      </c>
      <c r="H741" s="184" t="s">
        <v>1497</v>
      </c>
      <c r="I741" s="185">
        <v>44839</v>
      </c>
      <c r="J741" s="184" t="s">
        <v>131</v>
      </c>
      <c r="K741" s="184" t="s">
        <v>272</v>
      </c>
      <c r="L741" s="184" t="s">
        <v>1498</v>
      </c>
      <c r="M741" s="182" t="s">
        <v>36</v>
      </c>
      <c r="N741" s="183">
        <v>44927</v>
      </c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  <c r="AB741" s="138"/>
      <c r="AC741" s="138"/>
      <c r="AD741" s="138"/>
      <c r="AE741" s="138"/>
      <c r="AF741" s="138"/>
      <c r="AG741" s="138"/>
      <c r="AH741" s="138"/>
      <c r="AI741" s="138"/>
      <c r="AJ741" s="138"/>
      <c r="AK741" s="138"/>
      <c r="AL741" s="138"/>
      <c r="AM741" s="138"/>
      <c r="AN741" s="138"/>
      <c r="AO741" s="138"/>
      <c r="AP741" s="138"/>
      <c r="AQ741" s="138"/>
      <c r="AR741" s="138"/>
      <c r="AS741" s="138"/>
    </row>
    <row r="742" spans="1:45" ht="15.75" hidden="1" customHeight="1">
      <c r="A742" s="132">
        <v>2</v>
      </c>
      <c r="B742" s="132" t="s">
        <v>50</v>
      </c>
      <c r="C742" s="182" t="s">
        <v>1494</v>
      </c>
      <c r="D742" s="182" t="s">
        <v>1499</v>
      </c>
      <c r="E742" s="182" t="s">
        <v>190</v>
      </c>
      <c r="F742" s="183">
        <v>40646</v>
      </c>
      <c r="G742" s="184" t="s">
        <v>1496</v>
      </c>
      <c r="H742" s="184" t="s">
        <v>1497</v>
      </c>
      <c r="I742" s="185">
        <v>44839</v>
      </c>
      <c r="J742" s="184" t="s">
        <v>131</v>
      </c>
      <c r="K742" s="184" t="s">
        <v>612</v>
      </c>
      <c r="L742" s="184" t="s">
        <v>1498</v>
      </c>
      <c r="M742" s="182" t="s">
        <v>36</v>
      </c>
      <c r="N742" s="183">
        <v>44927</v>
      </c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  <c r="AB742" s="138"/>
      <c r="AC742" s="138"/>
      <c r="AD742" s="138"/>
      <c r="AE742" s="138"/>
      <c r="AF742" s="138"/>
      <c r="AG742" s="138"/>
      <c r="AH742" s="138"/>
      <c r="AI742" s="138"/>
      <c r="AJ742" s="138"/>
      <c r="AK742" s="138"/>
      <c r="AL742" s="138"/>
      <c r="AM742" s="138"/>
      <c r="AN742" s="138"/>
      <c r="AO742" s="138"/>
      <c r="AP742" s="138"/>
      <c r="AQ742" s="138"/>
      <c r="AR742" s="138"/>
      <c r="AS742" s="138"/>
    </row>
    <row r="743" spans="1:45" ht="15.75" hidden="1" customHeight="1">
      <c r="A743" s="132">
        <v>3</v>
      </c>
      <c r="B743" s="132" t="s">
        <v>50</v>
      </c>
      <c r="C743" s="182" t="s">
        <v>1500</v>
      </c>
      <c r="D743" s="182" t="s">
        <v>1501</v>
      </c>
      <c r="E743" s="182" t="s">
        <v>190</v>
      </c>
      <c r="F743" s="183">
        <v>42861</v>
      </c>
      <c r="G743" s="184" t="s">
        <v>1502</v>
      </c>
      <c r="H743" s="184" t="s">
        <v>1503</v>
      </c>
      <c r="I743" s="185">
        <v>44866</v>
      </c>
      <c r="J743" s="184" t="s">
        <v>349</v>
      </c>
      <c r="K743" s="184" t="s">
        <v>212</v>
      </c>
      <c r="L743" s="184"/>
      <c r="M743" s="182" t="s">
        <v>36</v>
      </c>
      <c r="N743" s="183">
        <v>44927</v>
      </c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  <c r="AB743" s="138"/>
      <c r="AC743" s="138"/>
      <c r="AD743" s="138"/>
      <c r="AE743" s="138"/>
      <c r="AF743" s="138"/>
      <c r="AG743" s="138"/>
      <c r="AH743" s="138"/>
      <c r="AI743" s="138"/>
      <c r="AJ743" s="138"/>
      <c r="AK743" s="138"/>
      <c r="AL743" s="138"/>
      <c r="AM743" s="138"/>
      <c r="AN743" s="138"/>
      <c r="AO743" s="138"/>
      <c r="AP743" s="138"/>
      <c r="AQ743" s="138"/>
      <c r="AR743" s="138"/>
      <c r="AS743" s="138"/>
    </row>
    <row r="744" spans="1:45" ht="15.75" hidden="1" customHeight="1">
      <c r="A744" s="132">
        <v>4</v>
      </c>
      <c r="B744" s="132" t="s">
        <v>50</v>
      </c>
      <c r="C744" s="182" t="s">
        <v>371</v>
      </c>
      <c r="D744" s="182" t="s">
        <v>904</v>
      </c>
      <c r="E744" s="182">
        <v>8</v>
      </c>
      <c r="F744" s="183">
        <v>40030</v>
      </c>
      <c r="G744" s="184" t="s">
        <v>1504</v>
      </c>
      <c r="H744" s="184" t="s">
        <v>1505</v>
      </c>
      <c r="I744" s="185">
        <v>44805</v>
      </c>
      <c r="J744" s="184" t="s">
        <v>186</v>
      </c>
      <c r="K744" s="184" t="s">
        <v>212</v>
      </c>
      <c r="L744" s="184" t="s">
        <v>1506</v>
      </c>
      <c r="M744" s="182" t="s">
        <v>36</v>
      </c>
      <c r="N744" s="183">
        <v>44927</v>
      </c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  <c r="AB744" s="138"/>
      <c r="AC744" s="138"/>
      <c r="AD744" s="138"/>
      <c r="AE744" s="138"/>
      <c r="AF744" s="138"/>
      <c r="AG744" s="138"/>
      <c r="AH744" s="138"/>
      <c r="AI744" s="138"/>
      <c r="AJ744" s="138"/>
      <c r="AK744" s="138"/>
      <c r="AL744" s="138"/>
      <c r="AM744" s="138"/>
      <c r="AN744" s="138"/>
      <c r="AO744" s="138"/>
      <c r="AP744" s="138"/>
      <c r="AQ744" s="138"/>
      <c r="AR744" s="138"/>
      <c r="AS744" s="138"/>
    </row>
    <row r="745" spans="1:45" ht="15.75" hidden="1" customHeight="1">
      <c r="A745" s="132">
        <v>5</v>
      </c>
      <c r="B745" s="132" t="s">
        <v>91</v>
      </c>
      <c r="C745" s="182" t="s">
        <v>371</v>
      </c>
      <c r="D745" s="182" t="s">
        <v>904</v>
      </c>
      <c r="E745" s="182">
        <v>8</v>
      </c>
      <c r="F745" s="183">
        <v>40030</v>
      </c>
      <c r="G745" s="184" t="s">
        <v>1504</v>
      </c>
      <c r="H745" s="184" t="s">
        <v>1505</v>
      </c>
      <c r="I745" s="185">
        <v>44805</v>
      </c>
      <c r="J745" s="184" t="s">
        <v>188</v>
      </c>
      <c r="K745" s="184" t="s">
        <v>344</v>
      </c>
      <c r="L745" s="184" t="s">
        <v>1506</v>
      </c>
      <c r="M745" s="182" t="s">
        <v>36</v>
      </c>
      <c r="N745" s="183">
        <v>44927</v>
      </c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  <c r="AB745" s="138"/>
      <c r="AC745" s="138"/>
      <c r="AD745" s="138"/>
      <c r="AE745" s="138"/>
      <c r="AF745" s="138"/>
      <c r="AG745" s="138"/>
      <c r="AH745" s="138"/>
      <c r="AI745" s="138"/>
      <c r="AJ745" s="138"/>
      <c r="AK745" s="138"/>
      <c r="AL745" s="138"/>
      <c r="AM745" s="138"/>
      <c r="AN745" s="138"/>
      <c r="AO745" s="138"/>
      <c r="AP745" s="138"/>
      <c r="AQ745" s="138"/>
      <c r="AR745" s="138"/>
      <c r="AS745" s="138"/>
    </row>
    <row r="746" spans="1:45" ht="15.75" hidden="1" customHeight="1">
      <c r="A746" s="132">
        <v>6</v>
      </c>
      <c r="B746" s="132" t="s">
        <v>50</v>
      </c>
      <c r="C746" s="182" t="s">
        <v>421</v>
      </c>
      <c r="D746" s="182" t="s">
        <v>1507</v>
      </c>
      <c r="E746" s="182" t="s">
        <v>190</v>
      </c>
      <c r="F746" s="183">
        <v>42867</v>
      </c>
      <c r="G746" s="184" t="s">
        <v>1508</v>
      </c>
      <c r="H746" s="184" t="s">
        <v>1509</v>
      </c>
      <c r="I746" s="185">
        <v>44896</v>
      </c>
      <c r="J746" s="184" t="s">
        <v>349</v>
      </c>
      <c r="K746" s="184" t="s">
        <v>276</v>
      </c>
      <c r="L746" s="184" t="s">
        <v>1510</v>
      </c>
      <c r="M746" s="182" t="s">
        <v>36</v>
      </c>
      <c r="N746" s="183">
        <v>44927</v>
      </c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  <c r="AB746" s="138"/>
      <c r="AC746" s="138"/>
      <c r="AD746" s="138"/>
      <c r="AE746" s="138"/>
      <c r="AF746" s="138"/>
      <c r="AG746" s="138"/>
      <c r="AH746" s="138"/>
      <c r="AI746" s="138"/>
      <c r="AJ746" s="138"/>
      <c r="AK746" s="138"/>
      <c r="AL746" s="138"/>
      <c r="AM746" s="138"/>
      <c r="AN746" s="138"/>
      <c r="AO746" s="138"/>
      <c r="AP746" s="138"/>
      <c r="AQ746" s="138"/>
      <c r="AR746" s="138"/>
      <c r="AS746" s="138"/>
    </row>
    <row r="747" spans="1:45" ht="15.75" hidden="1" customHeight="1">
      <c r="A747" s="132">
        <v>7</v>
      </c>
      <c r="B747" s="132" t="s">
        <v>50</v>
      </c>
      <c r="C747" s="182" t="s">
        <v>1511</v>
      </c>
      <c r="D747" s="182" t="s">
        <v>1512</v>
      </c>
      <c r="E747" s="182">
        <v>3</v>
      </c>
      <c r="F747" s="183">
        <v>41616</v>
      </c>
      <c r="G747" s="184" t="s">
        <v>1513</v>
      </c>
      <c r="H747" s="184" t="s">
        <v>1514</v>
      </c>
      <c r="I747" s="185">
        <v>44851</v>
      </c>
      <c r="J747" s="184" t="s">
        <v>110</v>
      </c>
      <c r="K747" s="184" t="s">
        <v>612</v>
      </c>
      <c r="L747" s="184" t="s">
        <v>1506</v>
      </c>
      <c r="M747" s="182" t="s">
        <v>36</v>
      </c>
      <c r="N747" s="183">
        <v>44927</v>
      </c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  <c r="AB747" s="138"/>
      <c r="AC747" s="138"/>
      <c r="AD747" s="138"/>
      <c r="AE747" s="138"/>
      <c r="AF747" s="138"/>
      <c r="AG747" s="138"/>
      <c r="AH747" s="138"/>
      <c r="AI747" s="138"/>
      <c r="AJ747" s="138"/>
      <c r="AK747" s="138"/>
      <c r="AL747" s="138"/>
      <c r="AM747" s="138"/>
      <c r="AN747" s="138"/>
      <c r="AO747" s="138"/>
      <c r="AP747" s="138"/>
      <c r="AQ747" s="138"/>
      <c r="AR747" s="138"/>
      <c r="AS747" s="138"/>
    </row>
    <row r="748" spans="1:45" ht="15.75" hidden="1" customHeight="1">
      <c r="A748" s="132">
        <v>8</v>
      </c>
      <c r="B748" s="132" t="s">
        <v>91</v>
      </c>
      <c r="C748" s="182" t="s">
        <v>1511</v>
      </c>
      <c r="D748" s="182" t="s">
        <v>1512</v>
      </c>
      <c r="E748" s="182">
        <v>3</v>
      </c>
      <c r="F748" s="183">
        <v>41616</v>
      </c>
      <c r="G748" s="184" t="s">
        <v>1513</v>
      </c>
      <c r="H748" s="184" t="s">
        <v>1514</v>
      </c>
      <c r="I748" s="185">
        <v>44851</v>
      </c>
      <c r="J748" s="184" t="s">
        <v>156</v>
      </c>
      <c r="K748" s="184" t="s">
        <v>612</v>
      </c>
      <c r="L748" s="184" t="s">
        <v>1506</v>
      </c>
      <c r="M748" s="182" t="s">
        <v>36</v>
      </c>
      <c r="N748" s="183">
        <v>44927</v>
      </c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  <c r="AB748" s="138"/>
      <c r="AC748" s="138"/>
      <c r="AD748" s="138"/>
      <c r="AE748" s="138"/>
      <c r="AF748" s="138"/>
      <c r="AG748" s="138"/>
      <c r="AH748" s="138"/>
      <c r="AI748" s="138"/>
      <c r="AJ748" s="138"/>
      <c r="AK748" s="138"/>
      <c r="AL748" s="138"/>
      <c r="AM748" s="138"/>
      <c r="AN748" s="138"/>
      <c r="AO748" s="138"/>
      <c r="AP748" s="138"/>
      <c r="AQ748" s="138"/>
      <c r="AR748" s="138"/>
      <c r="AS748" s="138"/>
    </row>
    <row r="749" spans="1:45" ht="15.75" hidden="1" customHeight="1">
      <c r="A749" s="132">
        <v>1</v>
      </c>
      <c r="B749" s="132" t="s">
        <v>50</v>
      </c>
      <c r="C749" s="182" t="s">
        <v>375</v>
      </c>
      <c r="D749" s="182" t="s">
        <v>376</v>
      </c>
      <c r="E749" s="182">
        <v>4</v>
      </c>
      <c r="F749" s="183">
        <v>40886</v>
      </c>
      <c r="G749" s="184" t="s">
        <v>377</v>
      </c>
      <c r="H749" s="184" t="s">
        <v>378</v>
      </c>
      <c r="I749" s="185">
        <v>44621</v>
      </c>
      <c r="J749" s="184" t="s">
        <v>255</v>
      </c>
      <c r="K749" s="184" t="s">
        <v>166</v>
      </c>
      <c r="L749" s="184" t="s">
        <v>1515</v>
      </c>
      <c r="M749" s="182" t="s">
        <v>36</v>
      </c>
      <c r="N749" s="183">
        <v>44958</v>
      </c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  <c r="AB749" s="138"/>
      <c r="AC749" s="138"/>
      <c r="AD749" s="138"/>
      <c r="AE749" s="138"/>
      <c r="AF749" s="138"/>
      <c r="AG749" s="138"/>
      <c r="AH749" s="138"/>
      <c r="AI749" s="138"/>
      <c r="AJ749" s="138"/>
      <c r="AK749" s="138"/>
      <c r="AL749" s="138"/>
      <c r="AM749" s="138"/>
      <c r="AN749" s="138"/>
      <c r="AO749" s="138"/>
      <c r="AP749" s="138"/>
      <c r="AQ749" s="138"/>
      <c r="AR749" s="138"/>
      <c r="AS749" s="138"/>
    </row>
    <row r="750" spans="1:45" ht="15.75" hidden="1" customHeight="1">
      <c r="A750" s="132">
        <v>2</v>
      </c>
      <c r="B750" s="132" t="s">
        <v>50</v>
      </c>
      <c r="C750" s="182" t="s">
        <v>1213</v>
      </c>
      <c r="D750" s="182" t="s">
        <v>1516</v>
      </c>
      <c r="E750" s="182">
        <v>5</v>
      </c>
      <c r="F750" s="183">
        <v>40855</v>
      </c>
      <c r="G750" s="184" t="s">
        <v>1517</v>
      </c>
      <c r="H750" s="184" t="s">
        <v>1518</v>
      </c>
      <c r="I750" s="185">
        <v>44789</v>
      </c>
      <c r="J750" s="184" t="s">
        <v>186</v>
      </c>
      <c r="K750" s="184" t="s">
        <v>848</v>
      </c>
      <c r="L750" s="184" t="s">
        <v>1519</v>
      </c>
      <c r="M750" s="182" t="s">
        <v>36</v>
      </c>
      <c r="N750" s="183">
        <v>44958</v>
      </c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  <c r="AB750" s="138"/>
      <c r="AC750" s="138"/>
      <c r="AD750" s="138"/>
      <c r="AE750" s="138"/>
      <c r="AF750" s="138"/>
      <c r="AG750" s="138"/>
      <c r="AH750" s="138"/>
      <c r="AI750" s="138"/>
      <c r="AJ750" s="138"/>
      <c r="AK750" s="138"/>
      <c r="AL750" s="138"/>
      <c r="AM750" s="138"/>
      <c r="AN750" s="138"/>
      <c r="AO750" s="138"/>
      <c r="AP750" s="138"/>
      <c r="AQ750" s="138"/>
      <c r="AR750" s="138"/>
      <c r="AS750" s="138"/>
    </row>
    <row r="751" spans="1:45" ht="15.75" hidden="1" customHeight="1">
      <c r="A751" s="132">
        <v>3</v>
      </c>
      <c r="B751" s="132" t="s">
        <v>91</v>
      </c>
      <c r="C751" s="182" t="s">
        <v>1213</v>
      </c>
      <c r="D751" s="182" t="s">
        <v>1516</v>
      </c>
      <c r="E751" s="182">
        <v>5</v>
      </c>
      <c r="F751" s="183">
        <v>40855</v>
      </c>
      <c r="G751" s="184" t="s">
        <v>1517</v>
      </c>
      <c r="H751" s="184" t="s">
        <v>1518</v>
      </c>
      <c r="I751" s="185">
        <v>44789</v>
      </c>
      <c r="J751" s="184" t="s">
        <v>121</v>
      </c>
      <c r="K751" s="184" t="s">
        <v>113</v>
      </c>
      <c r="L751" s="184" t="s">
        <v>1519</v>
      </c>
      <c r="M751" s="182" t="s">
        <v>36</v>
      </c>
      <c r="N751" s="183">
        <v>44958</v>
      </c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  <c r="AB751" s="138"/>
      <c r="AC751" s="138"/>
      <c r="AD751" s="138"/>
      <c r="AE751" s="138"/>
      <c r="AF751" s="138"/>
      <c r="AG751" s="138"/>
      <c r="AH751" s="138"/>
      <c r="AI751" s="138"/>
      <c r="AJ751" s="138"/>
      <c r="AK751" s="138"/>
      <c r="AL751" s="138"/>
      <c r="AM751" s="138"/>
      <c r="AN751" s="138"/>
      <c r="AO751" s="138"/>
      <c r="AP751" s="138"/>
      <c r="AQ751" s="138"/>
      <c r="AR751" s="138"/>
      <c r="AS751" s="138"/>
    </row>
    <row r="752" spans="1:45" ht="15.75" hidden="1" customHeight="1">
      <c r="A752" s="132">
        <v>4</v>
      </c>
      <c r="B752" s="132" t="s">
        <v>50</v>
      </c>
      <c r="C752" s="182" t="s">
        <v>781</v>
      </c>
      <c r="D752" s="182" t="s">
        <v>1254</v>
      </c>
      <c r="E752" s="182">
        <v>5</v>
      </c>
      <c r="F752" s="183">
        <v>40809</v>
      </c>
      <c r="G752" s="184" t="s">
        <v>1255</v>
      </c>
      <c r="H752" s="184" t="s">
        <v>1256</v>
      </c>
      <c r="I752" s="185">
        <v>44795</v>
      </c>
      <c r="J752" s="184" t="s">
        <v>165</v>
      </c>
      <c r="K752" s="184" t="s">
        <v>592</v>
      </c>
      <c r="L752" s="184" t="s">
        <v>1520</v>
      </c>
      <c r="M752" s="182" t="s">
        <v>36</v>
      </c>
      <c r="N752" s="183">
        <v>44958</v>
      </c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  <c r="AB752" s="138"/>
      <c r="AC752" s="138"/>
      <c r="AD752" s="138"/>
      <c r="AE752" s="138"/>
      <c r="AF752" s="138"/>
      <c r="AG752" s="138"/>
      <c r="AH752" s="138"/>
      <c r="AI752" s="138"/>
      <c r="AJ752" s="138"/>
      <c r="AK752" s="138"/>
      <c r="AL752" s="138"/>
      <c r="AM752" s="138"/>
      <c r="AN752" s="138"/>
      <c r="AO752" s="138"/>
      <c r="AP752" s="138"/>
      <c r="AQ752" s="138"/>
      <c r="AR752" s="138"/>
      <c r="AS752" s="138"/>
    </row>
    <row r="753" spans="1:45" ht="15.75" hidden="1" customHeight="1">
      <c r="A753" s="132">
        <v>5</v>
      </c>
      <c r="B753" s="132" t="s">
        <v>91</v>
      </c>
      <c r="C753" s="182" t="s">
        <v>781</v>
      </c>
      <c r="D753" s="182" t="s">
        <v>1254</v>
      </c>
      <c r="E753" s="182">
        <v>5</v>
      </c>
      <c r="F753" s="183">
        <v>40809</v>
      </c>
      <c r="G753" s="184" t="s">
        <v>1255</v>
      </c>
      <c r="H753" s="184" t="s">
        <v>1256</v>
      </c>
      <c r="I753" s="185">
        <v>44795</v>
      </c>
      <c r="J753" s="184" t="s">
        <v>238</v>
      </c>
      <c r="K753" s="184" t="s">
        <v>199</v>
      </c>
      <c r="L753" s="184" t="s">
        <v>1520</v>
      </c>
      <c r="M753" s="182" t="s">
        <v>36</v>
      </c>
      <c r="N753" s="183">
        <v>44958</v>
      </c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  <c r="AB753" s="138"/>
      <c r="AC753" s="138"/>
      <c r="AD753" s="138"/>
      <c r="AE753" s="138"/>
      <c r="AF753" s="138"/>
      <c r="AG753" s="138"/>
      <c r="AH753" s="138"/>
      <c r="AI753" s="138"/>
      <c r="AJ753" s="138"/>
      <c r="AK753" s="138"/>
      <c r="AL753" s="138"/>
      <c r="AM753" s="138"/>
      <c r="AN753" s="138"/>
      <c r="AO753" s="138"/>
      <c r="AP753" s="138"/>
      <c r="AQ753" s="138"/>
      <c r="AR753" s="138"/>
      <c r="AS753" s="138"/>
    </row>
    <row r="754" spans="1:45" ht="15.75" hidden="1" customHeight="1">
      <c r="A754" s="132">
        <v>6</v>
      </c>
      <c r="B754" s="132" t="s">
        <v>50</v>
      </c>
      <c r="C754" s="182" t="s">
        <v>1115</v>
      </c>
      <c r="D754" s="182" t="s">
        <v>1521</v>
      </c>
      <c r="E754" s="182" t="s">
        <v>190</v>
      </c>
      <c r="F754" s="183">
        <v>42778</v>
      </c>
      <c r="G754" s="184" t="s">
        <v>1522</v>
      </c>
      <c r="H754" s="184" t="s">
        <v>1523</v>
      </c>
      <c r="I754" s="185">
        <v>44851</v>
      </c>
      <c r="J754" s="184" t="s">
        <v>192</v>
      </c>
      <c r="K754" s="184" t="s">
        <v>175</v>
      </c>
      <c r="L754" s="184" t="s">
        <v>1519</v>
      </c>
      <c r="M754" s="182" t="s">
        <v>36</v>
      </c>
      <c r="N754" s="183">
        <v>44958</v>
      </c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  <c r="AB754" s="138"/>
      <c r="AC754" s="138"/>
      <c r="AD754" s="138"/>
      <c r="AE754" s="138"/>
      <c r="AF754" s="138"/>
      <c r="AG754" s="138"/>
      <c r="AH754" s="138"/>
      <c r="AI754" s="138"/>
      <c r="AJ754" s="138"/>
      <c r="AK754" s="138"/>
      <c r="AL754" s="138"/>
      <c r="AM754" s="138"/>
      <c r="AN754" s="138"/>
      <c r="AO754" s="138"/>
      <c r="AP754" s="138"/>
      <c r="AQ754" s="138"/>
      <c r="AR754" s="138"/>
      <c r="AS754" s="138"/>
    </row>
    <row r="755" spans="1:45" ht="15.75" hidden="1" customHeight="1">
      <c r="A755" s="132">
        <v>7</v>
      </c>
      <c r="B755" s="132" t="s">
        <v>91</v>
      </c>
      <c r="C755" s="182" t="s">
        <v>1115</v>
      </c>
      <c r="D755" s="182" t="s">
        <v>1521</v>
      </c>
      <c r="E755" s="182" t="s">
        <v>190</v>
      </c>
      <c r="F755" s="183">
        <v>42778</v>
      </c>
      <c r="G755" s="184" t="s">
        <v>1522</v>
      </c>
      <c r="H755" s="184" t="s">
        <v>1523</v>
      </c>
      <c r="I755" s="185">
        <v>44851</v>
      </c>
      <c r="J755" s="184" t="s">
        <v>654</v>
      </c>
      <c r="K755" s="184" t="s">
        <v>992</v>
      </c>
      <c r="L755" s="184" t="s">
        <v>1519</v>
      </c>
      <c r="M755" s="182" t="s">
        <v>36</v>
      </c>
      <c r="N755" s="183">
        <v>44958</v>
      </c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  <c r="AB755" s="138"/>
      <c r="AC755" s="138"/>
      <c r="AD755" s="138"/>
      <c r="AE755" s="138"/>
      <c r="AF755" s="138"/>
      <c r="AG755" s="138"/>
      <c r="AH755" s="138"/>
      <c r="AI755" s="138"/>
      <c r="AJ755" s="138"/>
      <c r="AK755" s="138"/>
      <c r="AL755" s="138"/>
      <c r="AM755" s="138"/>
      <c r="AN755" s="138"/>
      <c r="AO755" s="138"/>
      <c r="AP755" s="138"/>
      <c r="AQ755" s="138"/>
      <c r="AR755" s="138"/>
      <c r="AS755" s="138"/>
    </row>
    <row r="756" spans="1:45" ht="15.75" hidden="1" customHeight="1">
      <c r="A756" s="132">
        <v>8</v>
      </c>
      <c r="B756" s="132" t="s">
        <v>50</v>
      </c>
      <c r="C756" s="182" t="s">
        <v>375</v>
      </c>
      <c r="D756" s="182" t="s">
        <v>387</v>
      </c>
      <c r="E756" s="182">
        <v>6</v>
      </c>
      <c r="F756" s="183">
        <v>40070</v>
      </c>
      <c r="G756" s="184" t="s">
        <v>377</v>
      </c>
      <c r="H756" s="184" t="s">
        <v>378</v>
      </c>
      <c r="I756" s="185">
        <v>44621</v>
      </c>
      <c r="J756" s="184" t="s">
        <v>148</v>
      </c>
      <c r="K756" s="184" t="s">
        <v>212</v>
      </c>
      <c r="L756" s="184" t="s">
        <v>1515</v>
      </c>
      <c r="M756" s="182" t="s">
        <v>36</v>
      </c>
      <c r="N756" s="183">
        <v>44958</v>
      </c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  <c r="AB756" s="138"/>
      <c r="AC756" s="138"/>
      <c r="AD756" s="138"/>
      <c r="AE756" s="138"/>
      <c r="AF756" s="138"/>
      <c r="AG756" s="138"/>
      <c r="AH756" s="138"/>
      <c r="AI756" s="138"/>
      <c r="AJ756" s="138"/>
      <c r="AK756" s="138"/>
      <c r="AL756" s="138"/>
      <c r="AM756" s="138"/>
      <c r="AN756" s="138"/>
      <c r="AO756" s="138"/>
      <c r="AP756" s="138"/>
      <c r="AQ756" s="138"/>
      <c r="AR756" s="138"/>
      <c r="AS756" s="138"/>
    </row>
    <row r="757" spans="1:45" ht="15.75" hidden="1" customHeight="1">
      <c r="A757" s="132">
        <v>9</v>
      </c>
      <c r="B757" s="132" t="s">
        <v>50</v>
      </c>
      <c r="C757" s="182" t="s">
        <v>781</v>
      </c>
      <c r="D757" s="182" t="s">
        <v>389</v>
      </c>
      <c r="E757" s="182">
        <v>5</v>
      </c>
      <c r="F757" s="183">
        <v>40809</v>
      </c>
      <c r="G757" s="184" t="s">
        <v>1255</v>
      </c>
      <c r="H757" s="184" t="s">
        <v>1256</v>
      </c>
      <c r="I757" s="185">
        <v>44795</v>
      </c>
      <c r="J757" s="184" t="s">
        <v>204</v>
      </c>
      <c r="K757" s="184" t="s">
        <v>126</v>
      </c>
      <c r="L757" s="184" t="s">
        <v>1520</v>
      </c>
      <c r="M757" s="182" t="s">
        <v>36</v>
      </c>
      <c r="N757" s="183">
        <v>44958</v>
      </c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  <c r="AB757" s="138"/>
      <c r="AC757" s="138"/>
      <c r="AD757" s="138"/>
      <c r="AE757" s="138"/>
      <c r="AF757" s="138"/>
      <c r="AG757" s="138"/>
      <c r="AH757" s="138"/>
      <c r="AI757" s="138"/>
      <c r="AJ757" s="138"/>
      <c r="AK757" s="138"/>
      <c r="AL757" s="138"/>
      <c r="AM757" s="138"/>
      <c r="AN757" s="138"/>
      <c r="AO757" s="138"/>
      <c r="AP757" s="138"/>
      <c r="AQ757" s="138"/>
      <c r="AR757" s="138"/>
      <c r="AS757" s="138"/>
    </row>
    <row r="758" spans="1:45" ht="15.75" hidden="1" customHeight="1">
      <c r="A758" s="132">
        <v>10</v>
      </c>
      <c r="B758" s="132" t="s">
        <v>91</v>
      </c>
      <c r="C758" s="182" t="s">
        <v>781</v>
      </c>
      <c r="D758" s="182" t="s">
        <v>389</v>
      </c>
      <c r="E758" s="182">
        <v>5</v>
      </c>
      <c r="F758" s="183">
        <v>40809</v>
      </c>
      <c r="G758" s="184" t="s">
        <v>1255</v>
      </c>
      <c r="H758" s="184" t="s">
        <v>1256</v>
      </c>
      <c r="I758" s="185">
        <v>44795</v>
      </c>
      <c r="J758" s="184" t="s">
        <v>150</v>
      </c>
      <c r="K758" s="184" t="s">
        <v>181</v>
      </c>
      <c r="L758" s="184" t="s">
        <v>1520</v>
      </c>
      <c r="M758" s="182" t="s">
        <v>36</v>
      </c>
      <c r="N758" s="183">
        <v>44958</v>
      </c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  <c r="AB758" s="138"/>
      <c r="AC758" s="138"/>
      <c r="AD758" s="138"/>
      <c r="AE758" s="138"/>
      <c r="AF758" s="138"/>
      <c r="AG758" s="138"/>
      <c r="AH758" s="138"/>
      <c r="AI758" s="138"/>
      <c r="AJ758" s="138"/>
      <c r="AK758" s="138"/>
      <c r="AL758" s="138"/>
      <c r="AM758" s="138"/>
      <c r="AN758" s="138"/>
      <c r="AO758" s="138"/>
      <c r="AP758" s="138"/>
      <c r="AQ758" s="138"/>
      <c r="AR758" s="138"/>
      <c r="AS758" s="138"/>
    </row>
    <row r="759" spans="1:45" ht="15.75" hidden="1" customHeight="1">
      <c r="A759" s="132">
        <v>11</v>
      </c>
      <c r="B759" s="132" t="s">
        <v>50</v>
      </c>
      <c r="C759" s="182" t="s">
        <v>375</v>
      </c>
      <c r="D759" s="182" t="s">
        <v>389</v>
      </c>
      <c r="E759" s="182">
        <v>1</v>
      </c>
      <c r="F759" s="183">
        <v>42231</v>
      </c>
      <c r="G759" s="184" t="s">
        <v>377</v>
      </c>
      <c r="H759" s="184" t="s">
        <v>378</v>
      </c>
      <c r="I759" s="185">
        <v>44621</v>
      </c>
      <c r="J759" s="184" t="s">
        <v>231</v>
      </c>
      <c r="K759" s="184" t="s">
        <v>142</v>
      </c>
      <c r="L759" s="184" t="s">
        <v>1515</v>
      </c>
      <c r="M759" s="182" t="s">
        <v>36</v>
      </c>
      <c r="N759" s="183">
        <v>44958</v>
      </c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  <c r="AB759" s="138"/>
      <c r="AC759" s="138"/>
      <c r="AD759" s="138"/>
      <c r="AE759" s="138"/>
      <c r="AF759" s="138"/>
      <c r="AG759" s="138"/>
      <c r="AH759" s="138"/>
      <c r="AI759" s="138"/>
      <c r="AJ759" s="138"/>
      <c r="AK759" s="138"/>
      <c r="AL759" s="138"/>
      <c r="AM759" s="138"/>
      <c r="AN759" s="138"/>
      <c r="AO759" s="138"/>
      <c r="AP759" s="138"/>
      <c r="AQ759" s="138"/>
      <c r="AR759" s="138"/>
      <c r="AS759" s="138"/>
    </row>
    <row r="760" spans="1:45" ht="15.75" hidden="1" customHeight="1">
      <c r="A760" s="132">
        <v>1</v>
      </c>
      <c r="B760" s="132" t="s">
        <v>50</v>
      </c>
      <c r="C760" s="182" t="s">
        <v>1524</v>
      </c>
      <c r="D760" s="182" t="s">
        <v>1525</v>
      </c>
      <c r="E760" s="182">
        <v>1</v>
      </c>
      <c r="F760" s="183">
        <v>42475</v>
      </c>
      <c r="G760" s="184" t="s">
        <v>1526</v>
      </c>
      <c r="H760" s="184" t="s">
        <v>1527</v>
      </c>
      <c r="I760" s="185">
        <v>44810</v>
      </c>
      <c r="J760" s="184" t="s">
        <v>134</v>
      </c>
      <c r="K760" s="184" t="s">
        <v>840</v>
      </c>
      <c r="L760" s="184" t="s">
        <v>1528</v>
      </c>
      <c r="M760" s="182" t="s">
        <v>36</v>
      </c>
      <c r="N760" s="183">
        <v>44986</v>
      </c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  <c r="AB760" s="138"/>
      <c r="AC760" s="138"/>
      <c r="AD760" s="138"/>
      <c r="AE760" s="138"/>
      <c r="AF760" s="138"/>
      <c r="AG760" s="138"/>
      <c r="AH760" s="138"/>
      <c r="AI760" s="138"/>
      <c r="AJ760" s="138"/>
      <c r="AK760" s="138"/>
      <c r="AL760" s="138"/>
      <c r="AM760" s="138"/>
      <c r="AN760" s="138"/>
      <c r="AO760" s="138"/>
      <c r="AP760" s="138"/>
      <c r="AQ760" s="138"/>
      <c r="AR760" s="138"/>
      <c r="AS760" s="138"/>
    </row>
    <row r="761" spans="1:45" ht="15.75" hidden="1" customHeight="1">
      <c r="A761" s="132">
        <v>2</v>
      </c>
      <c r="B761" s="132" t="s">
        <v>50</v>
      </c>
      <c r="C761" s="182" t="s">
        <v>704</v>
      </c>
      <c r="D761" s="182" t="s">
        <v>1529</v>
      </c>
      <c r="E761" s="182">
        <v>9</v>
      </c>
      <c r="F761" s="183">
        <v>39295</v>
      </c>
      <c r="G761" s="184" t="s">
        <v>1530</v>
      </c>
      <c r="H761" s="184" t="s">
        <v>1531</v>
      </c>
      <c r="I761" s="185">
        <v>44136</v>
      </c>
      <c r="J761" s="184" t="s">
        <v>290</v>
      </c>
      <c r="K761" s="184" t="s">
        <v>612</v>
      </c>
      <c r="L761" s="184" t="s">
        <v>1532</v>
      </c>
      <c r="M761" s="182" t="s">
        <v>36</v>
      </c>
      <c r="N761" s="183">
        <v>44986</v>
      </c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  <c r="AB761" s="138"/>
      <c r="AC761" s="138"/>
      <c r="AD761" s="138"/>
      <c r="AE761" s="138"/>
      <c r="AF761" s="138"/>
      <c r="AG761" s="138"/>
      <c r="AH761" s="138"/>
      <c r="AI761" s="138"/>
      <c r="AJ761" s="138"/>
      <c r="AK761" s="138"/>
      <c r="AL761" s="138"/>
      <c r="AM761" s="138"/>
      <c r="AN761" s="138"/>
      <c r="AO761" s="138"/>
      <c r="AP761" s="138"/>
      <c r="AQ761" s="138"/>
      <c r="AR761" s="138"/>
      <c r="AS761" s="138"/>
    </row>
    <row r="762" spans="1:45" ht="15.75" hidden="1" customHeight="1">
      <c r="A762" s="132">
        <v>3</v>
      </c>
      <c r="B762" s="132" t="s">
        <v>91</v>
      </c>
      <c r="C762" s="182" t="s">
        <v>1413</v>
      </c>
      <c r="D762" s="182" t="s">
        <v>1414</v>
      </c>
      <c r="E762" s="182">
        <v>6</v>
      </c>
      <c r="F762" s="183">
        <v>40410</v>
      </c>
      <c r="G762" s="184" t="s">
        <v>1415</v>
      </c>
      <c r="H762" s="184" t="s">
        <v>1416</v>
      </c>
      <c r="I762" s="185">
        <v>44896</v>
      </c>
      <c r="J762" s="184" t="s">
        <v>238</v>
      </c>
      <c r="K762" s="184" t="s">
        <v>811</v>
      </c>
      <c r="L762" s="184"/>
      <c r="M762" s="182" t="s">
        <v>36</v>
      </c>
      <c r="N762" s="183">
        <v>44986</v>
      </c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  <c r="AB762" s="138"/>
      <c r="AC762" s="138"/>
      <c r="AD762" s="138"/>
      <c r="AE762" s="138"/>
      <c r="AF762" s="138"/>
      <c r="AG762" s="138"/>
      <c r="AH762" s="138"/>
      <c r="AI762" s="138"/>
      <c r="AJ762" s="138"/>
      <c r="AK762" s="138"/>
      <c r="AL762" s="138"/>
      <c r="AM762" s="138"/>
      <c r="AN762" s="138"/>
      <c r="AO762" s="138"/>
      <c r="AP762" s="138"/>
      <c r="AQ762" s="138"/>
      <c r="AR762" s="138"/>
      <c r="AS762" s="138"/>
    </row>
    <row r="763" spans="1:45" ht="15.75" hidden="1" customHeight="1">
      <c r="A763" s="132">
        <v>1</v>
      </c>
      <c r="B763" s="132" t="s">
        <v>91</v>
      </c>
      <c r="C763" s="182" t="s">
        <v>182</v>
      </c>
      <c r="D763" s="182" t="s">
        <v>475</v>
      </c>
      <c r="E763" s="182">
        <v>4</v>
      </c>
      <c r="F763" s="183">
        <v>41071</v>
      </c>
      <c r="G763" s="184" t="s">
        <v>1533</v>
      </c>
      <c r="H763" s="184" t="s">
        <v>1534</v>
      </c>
      <c r="I763" s="191">
        <v>44426</v>
      </c>
      <c r="J763" s="184" t="s">
        <v>244</v>
      </c>
      <c r="K763" s="184" t="s">
        <v>840</v>
      </c>
      <c r="L763" s="192"/>
      <c r="M763" s="182" t="s">
        <v>36</v>
      </c>
      <c r="N763" s="183">
        <v>45017</v>
      </c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  <c r="AB763" s="138"/>
      <c r="AC763" s="138"/>
      <c r="AD763" s="138"/>
      <c r="AE763" s="138"/>
      <c r="AF763" s="138"/>
      <c r="AG763" s="138"/>
      <c r="AH763" s="138"/>
      <c r="AI763" s="138"/>
      <c r="AJ763" s="138"/>
      <c r="AK763" s="138"/>
      <c r="AL763" s="138"/>
      <c r="AM763" s="138"/>
      <c r="AN763" s="138"/>
      <c r="AO763" s="138"/>
      <c r="AP763" s="138"/>
      <c r="AQ763" s="138"/>
      <c r="AR763" s="138"/>
      <c r="AS763" s="138"/>
    </row>
    <row r="764" spans="1:45" ht="15.75" hidden="1" customHeight="1">
      <c r="A764" s="132">
        <v>2</v>
      </c>
      <c r="B764" s="132" t="s">
        <v>91</v>
      </c>
      <c r="C764" s="182" t="s">
        <v>633</v>
      </c>
      <c r="D764" s="182" t="s">
        <v>1535</v>
      </c>
      <c r="E764" s="182">
        <v>6</v>
      </c>
      <c r="F764" s="183">
        <v>40143</v>
      </c>
      <c r="G764" s="184" t="s">
        <v>1536</v>
      </c>
      <c r="H764" s="184" t="s">
        <v>1537</v>
      </c>
      <c r="I764" s="191">
        <v>44643</v>
      </c>
      <c r="J764" s="184" t="s">
        <v>250</v>
      </c>
      <c r="K764" s="184" t="s">
        <v>175</v>
      </c>
      <c r="L764" s="192"/>
      <c r="M764" s="182" t="s">
        <v>36</v>
      </c>
      <c r="N764" s="183">
        <v>45017</v>
      </c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  <c r="AB764" s="138"/>
      <c r="AC764" s="138"/>
      <c r="AD764" s="138"/>
      <c r="AE764" s="138"/>
      <c r="AF764" s="138"/>
      <c r="AG764" s="138"/>
      <c r="AH764" s="138"/>
      <c r="AI764" s="138"/>
      <c r="AJ764" s="138"/>
      <c r="AK764" s="138"/>
      <c r="AL764" s="138"/>
      <c r="AM764" s="138"/>
      <c r="AN764" s="138"/>
      <c r="AO764" s="138"/>
      <c r="AP764" s="138"/>
      <c r="AQ764" s="138"/>
      <c r="AR764" s="138"/>
      <c r="AS764" s="138"/>
    </row>
    <row r="765" spans="1:45" ht="15.75" hidden="1" customHeight="1">
      <c r="A765" s="132">
        <v>3</v>
      </c>
      <c r="B765" s="132" t="s">
        <v>91</v>
      </c>
      <c r="C765" s="182" t="s">
        <v>633</v>
      </c>
      <c r="D765" s="182" t="s">
        <v>1538</v>
      </c>
      <c r="E765" s="182">
        <v>9</v>
      </c>
      <c r="F765" s="183">
        <v>39315</v>
      </c>
      <c r="G765" s="184" t="s">
        <v>1536</v>
      </c>
      <c r="H765" s="184" t="s">
        <v>1537</v>
      </c>
      <c r="I765" s="191">
        <v>44440</v>
      </c>
      <c r="J765" s="184" t="s">
        <v>297</v>
      </c>
      <c r="K765" s="184" t="s">
        <v>1539</v>
      </c>
      <c r="L765" s="192"/>
      <c r="M765" s="182" t="s">
        <v>36</v>
      </c>
      <c r="N765" s="183">
        <v>45017</v>
      </c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  <c r="AB765" s="138"/>
      <c r="AC765" s="138"/>
      <c r="AD765" s="138"/>
      <c r="AE765" s="138"/>
      <c r="AF765" s="138"/>
      <c r="AG765" s="138"/>
      <c r="AH765" s="138"/>
      <c r="AI765" s="138"/>
      <c r="AJ765" s="138"/>
      <c r="AK765" s="138"/>
      <c r="AL765" s="138"/>
      <c r="AM765" s="138"/>
      <c r="AN765" s="138"/>
      <c r="AO765" s="138"/>
      <c r="AP765" s="138"/>
      <c r="AQ765" s="138"/>
      <c r="AR765" s="138"/>
      <c r="AS765" s="138"/>
    </row>
    <row r="766" spans="1:45" ht="15.75" hidden="1" customHeight="1">
      <c r="A766" s="132">
        <v>4</v>
      </c>
      <c r="B766" s="132" t="s">
        <v>91</v>
      </c>
      <c r="C766" s="182" t="s">
        <v>519</v>
      </c>
      <c r="D766" s="182" t="s">
        <v>991</v>
      </c>
      <c r="E766" s="182">
        <v>7</v>
      </c>
      <c r="F766" s="183">
        <v>40364</v>
      </c>
      <c r="G766" s="184" t="s">
        <v>814</v>
      </c>
      <c r="H766" s="184" t="s">
        <v>1443</v>
      </c>
      <c r="I766" s="191">
        <v>44720</v>
      </c>
      <c r="J766" s="184" t="s">
        <v>244</v>
      </c>
      <c r="K766" s="184" t="s">
        <v>142</v>
      </c>
      <c r="L766" s="192"/>
      <c r="M766" s="182" t="s">
        <v>36</v>
      </c>
      <c r="N766" s="183">
        <v>45017</v>
      </c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  <c r="AB766" s="138"/>
      <c r="AC766" s="138"/>
      <c r="AD766" s="138"/>
      <c r="AE766" s="138"/>
      <c r="AF766" s="138"/>
      <c r="AG766" s="138"/>
      <c r="AH766" s="138"/>
      <c r="AI766" s="138"/>
      <c r="AJ766" s="138"/>
      <c r="AK766" s="138"/>
      <c r="AL766" s="138"/>
      <c r="AM766" s="138"/>
      <c r="AN766" s="138"/>
      <c r="AO766" s="138"/>
      <c r="AP766" s="138"/>
      <c r="AQ766" s="138"/>
      <c r="AR766" s="138"/>
      <c r="AS766" s="138"/>
    </row>
    <row r="767" spans="1:45" ht="15.75" hidden="1" customHeight="1">
      <c r="A767" s="132">
        <v>5</v>
      </c>
      <c r="B767" s="132" t="s">
        <v>50</v>
      </c>
      <c r="C767" s="182" t="s">
        <v>519</v>
      </c>
      <c r="D767" s="182" t="s">
        <v>599</v>
      </c>
      <c r="E767" s="182">
        <v>4</v>
      </c>
      <c r="F767" s="183">
        <v>41302</v>
      </c>
      <c r="G767" s="184" t="s">
        <v>814</v>
      </c>
      <c r="H767" s="184" t="s">
        <v>1443</v>
      </c>
      <c r="I767" s="191">
        <v>44896</v>
      </c>
      <c r="J767" s="184" t="s">
        <v>165</v>
      </c>
      <c r="K767" s="184" t="s">
        <v>304</v>
      </c>
      <c r="L767" s="192" t="s">
        <v>1540</v>
      </c>
      <c r="M767" s="182" t="s">
        <v>36</v>
      </c>
      <c r="N767" s="183">
        <v>45017</v>
      </c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  <c r="AB767" s="138"/>
      <c r="AC767" s="138"/>
      <c r="AD767" s="138"/>
      <c r="AE767" s="138"/>
      <c r="AF767" s="138"/>
      <c r="AG767" s="138"/>
      <c r="AH767" s="138"/>
      <c r="AI767" s="138"/>
      <c r="AJ767" s="138"/>
      <c r="AK767" s="138"/>
      <c r="AL767" s="138"/>
      <c r="AM767" s="138"/>
      <c r="AN767" s="138"/>
      <c r="AO767" s="138"/>
      <c r="AP767" s="138"/>
      <c r="AQ767" s="138"/>
      <c r="AR767" s="138"/>
      <c r="AS767" s="138"/>
    </row>
    <row r="768" spans="1:45" ht="15.75" hidden="1" customHeight="1">
      <c r="A768" s="182">
        <v>1</v>
      </c>
      <c r="B768" s="182" t="s">
        <v>50</v>
      </c>
      <c r="C768" s="182" t="s">
        <v>768</v>
      </c>
      <c r="D768" s="182" t="s">
        <v>1184</v>
      </c>
      <c r="E768" s="182">
        <v>4</v>
      </c>
      <c r="F768" s="183">
        <v>40820</v>
      </c>
      <c r="G768" s="184" t="s">
        <v>1541</v>
      </c>
      <c r="H768" s="184" t="s">
        <v>1542</v>
      </c>
      <c r="I768" s="185">
        <v>44531</v>
      </c>
      <c r="J768" s="184" t="s">
        <v>255</v>
      </c>
      <c r="K768" s="184" t="s">
        <v>575</v>
      </c>
      <c r="L768" s="184" t="s">
        <v>1543</v>
      </c>
      <c r="M768" s="182" t="s">
        <v>36</v>
      </c>
      <c r="N768" s="183">
        <v>45078</v>
      </c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  <c r="AB768" s="138"/>
      <c r="AC768" s="138"/>
      <c r="AD768" s="138"/>
      <c r="AE768" s="138"/>
      <c r="AF768" s="138"/>
      <c r="AG768" s="138"/>
      <c r="AH768" s="138"/>
      <c r="AI768" s="138"/>
      <c r="AJ768" s="138"/>
      <c r="AK768" s="138"/>
      <c r="AL768" s="138"/>
      <c r="AM768" s="138"/>
      <c r="AN768" s="138"/>
      <c r="AO768" s="138"/>
      <c r="AP768" s="138"/>
      <c r="AQ768" s="138"/>
      <c r="AR768" s="138"/>
      <c r="AS768" s="138"/>
    </row>
    <row r="769" spans="1:45" ht="15.75" hidden="1" customHeight="1">
      <c r="A769" s="182">
        <v>2</v>
      </c>
      <c r="B769" s="182" t="s">
        <v>91</v>
      </c>
      <c r="C769" s="182" t="s">
        <v>768</v>
      </c>
      <c r="D769" s="182" t="s">
        <v>1184</v>
      </c>
      <c r="E769" s="182">
        <v>4</v>
      </c>
      <c r="F769" s="183">
        <v>40820</v>
      </c>
      <c r="G769" s="184" t="s">
        <v>1541</v>
      </c>
      <c r="H769" s="184" t="s">
        <v>1542</v>
      </c>
      <c r="I769" s="185">
        <v>44531</v>
      </c>
      <c r="J769" s="184" t="s">
        <v>188</v>
      </c>
      <c r="K769" s="184" t="s">
        <v>388</v>
      </c>
      <c r="L769" s="184" t="s">
        <v>1543</v>
      </c>
      <c r="M769" s="182" t="s">
        <v>36</v>
      </c>
      <c r="N769" s="183">
        <v>45078</v>
      </c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  <c r="AB769" s="138"/>
      <c r="AC769" s="138"/>
      <c r="AD769" s="138"/>
      <c r="AE769" s="138"/>
      <c r="AF769" s="138"/>
      <c r="AG769" s="138"/>
      <c r="AH769" s="138"/>
      <c r="AI769" s="138"/>
      <c r="AJ769" s="138"/>
      <c r="AK769" s="138"/>
      <c r="AL769" s="138"/>
      <c r="AM769" s="138"/>
      <c r="AN769" s="138"/>
      <c r="AO769" s="138"/>
      <c r="AP769" s="138"/>
      <c r="AQ769" s="138"/>
      <c r="AR769" s="138"/>
      <c r="AS769" s="138"/>
    </row>
    <row r="770" spans="1:45" ht="15.75" hidden="1" customHeight="1">
      <c r="A770" s="182">
        <v>3</v>
      </c>
      <c r="B770" s="182" t="s">
        <v>50</v>
      </c>
      <c r="C770" s="182" t="s">
        <v>1395</v>
      </c>
      <c r="D770" s="182" t="s">
        <v>1396</v>
      </c>
      <c r="E770" s="182">
        <v>1</v>
      </c>
      <c r="F770" s="183">
        <v>42521</v>
      </c>
      <c r="G770" s="184" t="s">
        <v>1397</v>
      </c>
      <c r="H770" s="184" t="s">
        <v>1398</v>
      </c>
      <c r="I770" s="185">
        <v>44942</v>
      </c>
      <c r="J770" s="184" t="s">
        <v>192</v>
      </c>
      <c r="K770" s="184" t="s">
        <v>206</v>
      </c>
      <c r="L770" s="184"/>
      <c r="M770" s="182" t="s">
        <v>36</v>
      </c>
      <c r="N770" s="183">
        <v>45078</v>
      </c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  <c r="AB770" s="138"/>
      <c r="AC770" s="138"/>
      <c r="AD770" s="138"/>
      <c r="AE770" s="138"/>
      <c r="AF770" s="138"/>
      <c r="AG770" s="138"/>
      <c r="AH770" s="138"/>
      <c r="AI770" s="138"/>
      <c r="AJ770" s="138"/>
      <c r="AK770" s="138"/>
      <c r="AL770" s="138"/>
      <c r="AM770" s="138"/>
      <c r="AN770" s="138"/>
      <c r="AO770" s="138"/>
      <c r="AP770" s="138"/>
      <c r="AQ770" s="138"/>
      <c r="AR770" s="138"/>
      <c r="AS770" s="138"/>
    </row>
    <row r="771" spans="1:45" ht="15.75" hidden="1" customHeight="1">
      <c r="A771" s="182">
        <v>4</v>
      </c>
      <c r="B771" s="182" t="s">
        <v>91</v>
      </c>
      <c r="C771" s="182" t="s">
        <v>1395</v>
      </c>
      <c r="D771" s="182" t="s">
        <v>1396</v>
      </c>
      <c r="E771" s="182">
        <v>1</v>
      </c>
      <c r="F771" s="183">
        <v>42521</v>
      </c>
      <c r="G771" s="184" t="s">
        <v>1397</v>
      </c>
      <c r="H771" s="184" t="s">
        <v>1398</v>
      </c>
      <c r="I771" s="185">
        <v>44942</v>
      </c>
      <c r="J771" s="184" t="s">
        <v>752</v>
      </c>
      <c r="K771" s="184" t="s">
        <v>917</v>
      </c>
      <c r="L771" s="184"/>
      <c r="M771" s="182" t="s">
        <v>36</v>
      </c>
      <c r="N771" s="183">
        <v>45078</v>
      </c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  <c r="AB771" s="138"/>
      <c r="AC771" s="138"/>
      <c r="AD771" s="138"/>
      <c r="AE771" s="138"/>
      <c r="AF771" s="138"/>
      <c r="AG771" s="138"/>
      <c r="AH771" s="138"/>
      <c r="AI771" s="138"/>
      <c r="AJ771" s="138"/>
      <c r="AK771" s="138"/>
      <c r="AL771" s="138"/>
      <c r="AM771" s="138"/>
      <c r="AN771" s="138"/>
      <c r="AO771" s="138"/>
      <c r="AP771" s="138"/>
      <c r="AQ771" s="138"/>
      <c r="AR771" s="138"/>
      <c r="AS771" s="138"/>
    </row>
    <row r="772" spans="1:45" ht="15.75" hidden="1" customHeight="1">
      <c r="A772" s="182">
        <v>5</v>
      </c>
      <c r="B772" s="182" t="s">
        <v>50</v>
      </c>
      <c r="C772" s="182" t="s">
        <v>463</v>
      </c>
      <c r="D772" s="182" t="s">
        <v>1209</v>
      </c>
      <c r="E772" s="182">
        <v>5</v>
      </c>
      <c r="F772" s="183">
        <v>40920</v>
      </c>
      <c r="G772" s="184" t="s">
        <v>468</v>
      </c>
      <c r="H772" s="184" t="s">
        <v>469</v>
      </c>
      <c r="I772" s="185">
        <v>44896</v>
      </c>
      <c r="J772" s="184" t="s">
        <v>358</v>
      </c>
      <c r="K772" s="184" t="s">
        <v>175</v>
      </c>
      <c r="L772" s="184" t="s">
        <v>1544</v>
      </c>
      <c r="M772" s="182" t="s">
        <v>36</v>
      </c>
      <c r="N772" s="183">
        <v>45078</v>
      </c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  <c r="AB772" s="138"/>
      <c r="AC772" s="138"/>
      <c r="AD772" s="138"/>
      <c r="AE772" s="138"/>
      <c r="AF772" s="138"/>
      <c r="AG772" s="138"/>
      <c r="AH772" s="138"/>
      <c r="AI772" s="138"/>
      <c r="AJ772" s="138"/>
      <c r="AK772" s="138"/>
      <c r="AL772" s="138"/>
      <c r="AM772" s="138"/>
      <c r="AN772" s="138"/>
      <c r="AO772" s="138"/>
      <c r="AP772" s="138"/>
      <c r="AQ772" s="138"/>
      <c r="AR772" s="138"/>
      <c r="AS772" s="138"/>
    </row>
    <row r="773" spans="1:45" ht="15.75" hidden="1" customHeight="1">
      <c r="A773" s="182">
        <v>6</v>
      </c>
      <c r="B773" s="182" t="s">
        <v>50</v>
      </c>
      <c r="C773" s="182" t="s">
        <v>182</v>
      </c>
      <c r="D773" s="182" t="s">
        <v>475</v>
      </c>
      <c r="E773" s="182">
        <v>4</v>
      </c>
      <c r="F773" s="183">
        <v>41071</v>
      </c>
      <c r="G773" s="184" t="s">
        <v>1533</v>
      </c>
      <c r="H773" s="184" t="s">
        <v>1534</v>
      </c>
      <c r="I773" s="185">
        <v>44426</v>
      </c>
      <c r="J773" s="184" t="s">
        <v>243</v>
      </c>
      <c r="K773" s="184" t="s">
        <v>132</v>
      </c>
      <c r="L773" s="184" t="s">
        <v>1545</v>
      </c>
      <c r="M773" s="182" t="s">
        <v>36</v>
      </c>
      <c r="N773" s="183">
        <v>45078</v>
      </c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  <c r="AB773" s="138"/>
      <c r="AC773" s="138"/>
      <c r="AD773" s="138"/>
      <c r="AE773" s="138"/>
      <c r="AF773" s="138"/>
      <c r="AG773" s="138"/>
      <c r="AH773" s="138"/>
      <c r="AI773" s="138"/>
      <c r="AJ773" s="138"/>
      <c r="AK773" s="138"/>
      <c r="AL773" s="138"/>
      <c r="AM773" s="138"/>
      <c r="AN773" s="138"/>
      <c r="AO773" s="138"/>
      <c r="AP773" s="138"/>
      <c r="AQ773" s="138"/>
      <c r="AR773" s="138"/>
      <c r="AS773" s="138"/>
    </row>
    <row r="774" spans="1:45" ht="15.75" hidden="1" customHeight="1">
      <c r="A774" s="182">
        <v>7</v>
      </c>
      <c r="B774" s="182" t="s">
        <v>50</v>
      </c>
      <c r="C774" s="182" t="s">
        <v>1546</v>
      </c>
      <c r="D774" s="182" t="s">
        <v>1547</v>
      </c>
      <c r="E774" s="182">
        <v>1</v>
      </c>
      <c r="F774" s="183">
        <v>42402</v>
      </c>
      <c r="G774" s="184" t="s">
        <v>1548</v>
      </c>
      <c r="H774" s="184" t="s">
        <v>1549</v>
      </c>
      <c r="I774" s="185">
        <v>44805</v>
      </c>
      <c r="J774" s="184" t="s">
        <v>131</v>
      </c>
      <c r="K774" s="184" t="s">
        <v>276</v>
      </c>
      <c r="L774" s="184"/>
      <c r="M774" s="182" t="s">
        <v>36</v>
      </c>
      <c r="N774" s="183">
        <v>45078</v>
      </c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  <c r="AB774" s="138"/>
      <c r="AC774" s="138"/>
      <c r="AD774" s="138"/>
      <c r="AE774" s="138"/>
      <c r="AF774" s="138"/>
      <c r="AG774" s="138"/>
      <c r="AH774" s="138"/>
      <c r="AI774" s="138"/>
      <c r="AJ774" s="138"/>
      <c r="AK774" s="138"/>
      <c r="AL774" s="138"/>
      <c r="AM774" s="138"/>
      <c r="AN774" s="138"/>
      <c r="AO774" s="138"/>
      <c r="AP774" s="138"/>
      <c r="AQ774" s="138"/>
      <c r="AR774" s="138"/>
      <c r="AS774" s="138"/>
    </row>
    <row r="775" spans="1:45" ht="15.75" hidden="1" customHeight="1">
      <c r="A775" s="182">
        <v>1</v>
      </c>
      <c r="B775" s="182" t="s">
        <v>50</v>
      </c>
      <c r="C775" s="182" t="s">
        <v>1550</v>
      </c>
      <c r="D775" s="182" t="s">
        <v>1551</v>
      </c>
      <c r="E775" s="182">
        <v>4</v>
      </c>
      <c r="F775" s="183">
        <v>41337</v>
      </c>
      <c r="G775" s="184" t="s">
        <v>1552</v>
      </c>
      <c r="H775" s="184" t="s">
        <v>1553</v>
      </c>
      <c r="I775" s="185">
        <v>44844</v>
      </c>
      <c r="J775" s="184" t="s">
        <v>255</v>
      </c>
      <c r="K775" s="184" t="s">
        <v>751</v>
      </c>
      <c r="L775" s="184" t="s">
        <v>1554</v>
      </c>
      <c r="M775" s="182" t="s">
        <v>85</v>
      </c>
      <c r="N775" s="183">
        <v>45078</v>
      </c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  <c r="AB775" s="138"/>
      <c r="AC775" s="138"/>
      <c r="AD775" s="138"/>
      <c r="AE775" s="138"/>
      <c r="AF775" s="138"/>
      <c r="AG775" s="138"/>
      <c r="AH775" s="138"/>
      <c r="AI775" s="138"/>
      <c r="AJ775" s="138"/>
      <c r="AK775" s="138"/>
      <c r="AL775" s="138"/>
      <c r="AM775" s="138"/>
      <c r="AN775" s="138"/>
      <c r="AO775" s="138"/>
      <c r="AP775" s="138"/>
      <c r="AQ775" s="138"/>
      <c r="AR775" s="138"/>
      <c r="AS775" s="138"/>
    </row>
    <row r="776" spans="1:45" ht="15.75" hidden="1" customHeight="1">
      <c r="A776" s="182">
        <v>2</v>
      </c>
      <c r="B776" s="182" t="s">
        <v>50</v>
      </c>
      <c r="C776" s="182" t="s">
        <v>1315</v>
      </c>
      <c r="D776" s="182" t="s">
        <v>1316</v>
      </c>
      <c r="E776" s="182">
        <v>1</v>
      </c>
      <c r="F776" s="183">
        <v>41922</v>
      </c>
      <c r="G776" s="184" t="s">
        <v>1317</v>
      </c>
      <c r="H776" s="184" t="s">
        <v>1318</v>
      </c>
      <c r="I776" s="185">
        <v>44795</v>
      </c>
      <c r="J776" s="184" t="s">
        <v>261</v>
      </c>
      <c r="K776" s="184" t="s">
        <v>1555</v>
      </c>
      <c r="L776" s="184" t="s">
        <v>1554</v>
      </c>
      <c r="M776" s="182" t="s">
        <v>85</v>
      </c>
      <c r="N776" s="183">
        <v>45078</v>
      </c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  <c r="AB776" s="138"/>
      <c r="AC776" s="138"/>
      <c r="AD776" s="138"/>
      <c r="AE776" s="138"/>
      <c r="AF776" s="138"/>
      <c r="AG776" s="138"/>
      <c r="AH776" s="138"/>
      <c r="AI776" s="138"/>
      <c r="AJ776" s="138"/>
      <c r="AK776" s="138"/>
      <c r="AL776" s="138"/>
      <c r="AM776" s="138"/>
      <c r="AN776" s="138"/>
      <c r="AO776" s="138"/>
      <c r="AP776" s="138"/>
      <c r="AQ776" s="138"/>
      <c r="AR776" s="138"/>
      <c r="AS776" s="138"/>
    </row>
    <row r="777" spans="1:45" ht="15.75" hidden="1" customHeight="1">
      <c r="A777" s="182">
        <v>3</v>
      </c>
      <c r="B777" s="182" t="s">
        <v>91</v>
      </c>
      <c r="C777" s="182" t="s">
        <v>1315</v>
      </c>
      <c r="D777" s="182" t="s">
        <v>1316</v>
      </c>
      <c r="E777" s="182">
        <v>1</v>
      </c>
      <c r="F777" s="183">
        <v>41922</v>
      </c>
      <c r="G777" s="184" t="s">
        <v>1317</v>
      </c>
      <c r="H777" s="184" t="s">
        <v>1318</v>
      </c>
      <c r="I777" s="185">
        <v>44795</v>
      </c>
      <c r="J777" s="184" t="s">
        <v>141</v>
      </c>
      <c r="K777" s="184" t="s">
        <v>1556</v>
      </c>
      <c r="L777" s="184" t="s">
        <v>1554</v>
      </c>
      <c r="M777" s="182" t="s">
        <v>85</v>
      </c>
      <c r="N777" s="183">
        <v>45078</v>
      </c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  <c r="AB777" s="138"/>
      <c r="AC777" s="138"/>
      <c r="AD777" s="138"/>
      <c r="AE777" s="138"/>
      <c r="AF777" s="138"/>
      <c r="AG777" s="138"/>
      <c r="AH777" s="138"/>
      <c r="AI777" s="138"/>
      <c r="AJ777" s="138"/>
      <c r="AK777" s="138"/>
      <c r="AL777" s="138"/>
      <c r="AM777" s="138"/>
      <c r="AN777" s="138"/>
      <c r="AO777" s="138"/>
      <c r="AP777" s="138"/>
      <c r="AQ777" s="138"/>
      <c r="AR777" s="138"/>
      <c r="AS777" s="138"/>
    </row>
    <row r="778" spans="1:45" ht="15.75" hidden="1" customHeight="1">
      <c r="A778" s="182">
        <v>4</v>
      </c>
      <c r="B778" s="182" t="s">
        <v>50</v>
      </c>
      <c r="C778" s="182" t="s">
        <v>986</v>
      </c>
      <c r="D778" s="182" t="s">
        <v>989</v>
      </c>
      <c r="E778" s="182">
        <v>3</v>
      </c>
      <c r="F778" s="183">
        <v>41059</v>
      </c>
      <c r="G778" s="184" t="s">
        <v>1106</v>
      </c>
      <c r="H778" s="184" t="s">
        <v>1107</v>
      </c>
      <c r="I778" s="185">
        <v>44928</v>
      </c>
      <c r="J778" s="184" t="s">
        <v>172</v>
      </c>
      <c r="K778" s="184" t="s">
        <v>187</v>
      </c>
      <c r="L778" s="184" t="s">
        <v>1175</v>
      </c>
      <c r="M778" s="182" t="s">
        <v>36</v>
      </c>
      <c r="N778" s="183">
        <v>45078</v>
      </c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  <c r="AB778" s="138"/>
      <c r="AC778" s="138"/>
      <c r="AD778" s="138"/>
      <c r="AE778" s="138"/>
      <c r="AF778" s="138"/>
      <c r="AG778" s="138"/>
      <c r="AH778" s="138"/>
      <c r="AI778" s="138"/>
      <c r="AJ778" s="138"/>
      <c r="AK778" s="138"/>
      <c r="AL778" s="138"/>
      <c r="AM778" s="138"/>
      <c r="AN778" s="138"/>
      <c r="AO778" s="138"/>
      <c r="AP778" s="138"/>
      <c r="AQ778" s="138"/>
      <c r="AR778" s="138"/>
      <c r="AS778" s="138"/>
    </row>
    <row r="779" spans="1:45" ht="15.75" hidden="1" customHeight="1">
      <c r="A779" s="182">
        <v>5</v>
      </c>
      <c r="B779" s="182" t="s">
        <v>91</v>
      </c>
      <c r="C779" s="182" t="s">
        <v>986</v>
      </c>
      <c r="D779" s="182" t="s">
        <v>989</v>
      </c>
      <c r="E779" s="182">
        <v>3</v>
      </c>
      <c r="F779" s="183">
        <v>41059</v>
      </c>
      <c r="G779" s="184" t="s">
        <v>1106</v>
      </c>
      <c r="H779" s="184" t="s">
        <v>1107</v>
      </c>
      <c r="I779" s="185">
        <v>44795</v>
      </c>
      <c r="J779" s="184" t="s">
        <v>165</v>
      </c>
      <c r="K779" s="184" t="s">
        <v>187</v>
      </c>
      <c r="L779" s="184" t="s">
        <v>1175</v>
      </c>
      <c r="M779" s="182" t="s">
        <v>36</v>
      </c>
      <c r="N779" s="183">
        <v>45078</v>
      </c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  <c r="AB779" s="138"/>
      <c r="AC779" s="138"/>
      <c r="AD779" s="138"/>
      <c r="AE779" s="138"/>
      <c r="AF779" s="138"/>
      <c r="AG779" s="138"/>
      <c r="AH779" s="138"/>
      <c r="AI779" s="138"/>
      <c r="AJ779" s="138"/>
      <c r="AK779" s="138"/>
      <c r="AL779" s="138"/>
      <c r="AM779" s="138"/>
      <c r="AN779" s="138"/>
      <c r="AO779" s="138"/>
      <c r="AP779" s="138"/>
      <c r="AQ779" s="138"/>
      <c r="AR779" s="138"/>
      <c r="AS779" s="138"/>
    </row>
    <row r="780" spans="1:45" ht="15.75" hidden="1" customHeight="1">
      <c r="A780" s="182">
        <v>6</v>
      </c>
      <c r="B780" s="182" t="s">
        <v>50</v>
      </c>
      <c r="C780" s="182" t="s">
        <v>1557</v>
      </c>
      <c r="D780" s="182" t="s">
        <v>1558</v>
      </c>
      <c r="E780" s="182">
        <v>3</v>
      </c>
      <c r="F780" s="183">
        <v>41821</v>
      </c>
      <c r="G780" s="184" t="s">
        <v>1559</v>
      </c>
      <c r="H780" s="184" t="s">
        <v>1560</v>
      </c>
      <c r="I780" s="185">
        <v>45002</v>
      </c>
      <c r="J780" s="184" t="s">
        <v>124</v>
      </c>
      <c r="K780" s="184" t="s">
        <v>125</v>
      </c>
      <c r="L780" s="184"/>
      <c r="M780" s="182" t="s">
        <v>36</v>
      </c>
      <c r="N780" s="183">
        <v>45078</v>
      </c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  <c r="AA780" s="180"/>
      <c r="AB780" s="180"/>
      <c r="AC780" s="180"/>
      <c r="AD780" s="180"/>
      <c r="AE780" s="180"/>
      <c r="AF780" s="180"/>
      <c r="AG780" s="180"/>
      <c r="AH780" s="180"/>
      <c r="AI780" s="180"/>
      <c r="AJ780" s="180"/>
      <c r="AK780" s="180"/>
      <c r="AL780" s="180"/>
      <c r="AM780" s="180"/>
      <c r="AN780" s="180"/>
      <c r="AO780" s="180"/>
      <c r="AP780" s="180"/>
      <c r="AQ780" s="180"/>
      <c r="AR780" s="180"/>
      <c r="AS780" s="180"/>
    </row>
    <row r="781" spans="1:45" ht="15.75" hidden="1" customHeight="1">
      <c r="A781" s="182">
        <v>7</v>
      </c>
      <c r="B781" s="182" t="s">
        <v>50</v>
      </c>
      <c r="C781" s="182" t="s">
        <v>1557</v>
      </c>
      <c r="D781" s="182" t="s">
        <v>1561</v>
      </c>
      <c r="E781" s="182">
        <v>7</v>
      </c>
      <c r="F781" s="183">
        <v>40348</v>
      </c>
      <c r="G781" s="184" t="s">
        <v>1559</v>
      </c>
      <c r="H781" s="189" t="s">
        <v>1560</v>
      </c>
      <c r="I781" s="185">
        <v>45002</v>
      </c>
      <c r="J781" s="184" t="s">
        <v>255</v>
      </c>
      <c r="K781" s="184" t="s">
        <v>132</v>
      </c>
      <c r="L781" s="184"/>
      <c r="M781" s="182" t="s">
        <v>36</v>
      </c>
      <c r="N781" s="183">
        <v>45078</v>
      </c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  <c r="AA781" s="180"/>
      <c r="AB781" s="180"/>
      <c r="AC781" s="180"/>
      <c r="AD781" s="180"/>
      <c r="AE781" s="180"/>
      <c r="AF781" s="180"/>
      <c r="AG781" s="180"/>
      <c r="AH781" s="180"/>
      <c r="AI781" s="180"/>
      <c r="AJ781" s="180"/>
      <c r="AK781" s="180"/>
      <c r="AL781" s="180"/>
      <c r="AM781" s="180"/>
      <c r="AN781" s="180"/>
      <c r="AO781" s="180"/>
      <c r="AP781" s="180"/>
      <c r="AQ781" s="180"/>
      <c r="AR781" s="180"/>
      <c r="AS781" s="180"/>
    </row>
    <row r="782" spans="1:45" ht="13.5" hidden="1" customHeight="1">
      <c r="A782" s="182">
        <v>8</v>
      </c>
      <c r="B782" s="182" t="s">
        <v>50</v>
      </c>
      <c r="C782" s="182" t="s">
        <v>182</v>
      </c>
      <c r="D782" s="182" t="s">
        <v>1562</v>
      </c>
      <c r="E782" s="182" t="s">
        <v>145</v>
      </c>
      <c r="F782" s="183">
        <v>42277</v>
      </c>
      <c r="G782" s="184" t="s">
        <v>184</v>
      </c>
      <c r="H782" s="184" t="s">
        <v>185</v>
      </c>
      <c r="I782" s="185">
        <v>44424</v>
      </c>
      <c r="J782" s="184" t="s">
        <v>124</v>
      </c>
      <c r="K782" s="184" t="s">
        <v>583</v>
      </c>
      <c r="L782" s="184" t="s">
        <v>1563</v>
      </c>
      <c r="M782" s="182" t="s">
        <v>36</v>
      </c>
      <c r="N782" s="183">
        <v>45078</v>
      </c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  <c r="AA782" s="180"/>
      <c r="AB782" s="180"/>
      <c r="AC782" s="180"/>
      <c r="AD782" s="180"/>
      <c r="AE782" s="180"/>
      <c r="AF782" s="180"/>
      <c r="AG782" s="180"/>
      <c r="AH782" s="180"/>
      <c r="AI782" s="180"/>
      <c r="AJ782" s="180"/>
      <c r="AK782" s="180"/>
      <c r="AL782" s="180"/>
      <c r="AM782" s="180"/>
      <c r="AN782" s="180"/>
      <c r="AO782" s="180"/>
      <c r="AP782" s="180"/>
      <c r="AQ782" s="180"/>
      <c r="AR782" s="180"/>
      <c r="AS782" s="180"/>
    </row>
    <row r="783" spans="1:45" ht="15.75" hidden="1" customHeight="1">
      <c r="A783" s="182">
        <v>9</v>
      </c>
      <c r="B783" s="182" t="s">
        <v>91</v>
      </c>
      <c r="C783" s="182" t="s">
        <v>182</v>
      </c>
      <c r="D783" s="182" t="s">
        <v>1562</v>
      </c>
      <c r="E783" s="184" t="s">
        <v>145</v>
      </c>
      <c r="F783" s="184">
        <v>42277</v>
      </c>
      <c r="G783" s="184" t="s">
        <v>184</v>
      </c>
      <c r="H783" s="184" t="s">
        <v>185</v>
      </c>
      <c r="I783" s="184">
        <v>44424</v>
      </c>
      <c r="J783" s="184" t="s">
        <v>156</v>
      </c>
      <c r="K783" s="184" t="s">
        <v>163</v>
      </c>
      <c r="L783" s="184" t="s">
        <v>1563</v>
      </c>
      <c r="M783" s="182" t="s">
        <v>36</v>
      </c>
      <c r="N783" s="183">
        <v>45078</v>
      </c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  <c r="AA783" s="180"/>
      <c r="AB783" s="180"/>
      <c r="AC783" s="180"/>
      <c r="AD783" s="180"/>
      <c r="AE783" s="180"/>
      <c r="AF783" s="180"/>
      <c r="AG783" s="180"/>
      <c r="AH783" s="180"/>
      <c r="AI783" s="180"/>
      <c r="AJ783" s="180"/>
      <c r="AK783" s="180"/>
      <c r="AL783" s="180"/>
      <c r="AM783" s="180"/>
      <c r="AN783" s="180"/>
      <c r="AO783" s="180"/>
      <c r="AP783" s="180"/>
      <c r="AQ783" s="180"/>
      <c r="AR783" s="180"/>
      <c r="AS783" s="180"/>
    </row>
    <row r="784" spans="1:45" ht="15.75" hidden="1" customHeight="1">
      <c r="A784" s="182">
        <v>10</v>
      </c>
      <c r="B784" s="182" t="s">
        <v>91</v>
      </c>
      <c r="C784" s="182" t="s">
        <v>1564</v>
      </c>
      <c r="D784" s="182" t="s">
        <v>1565</v>
      </c>
      <c r="E784" s="184">
        <v>9</v>
      </c>
      <c r="F784" s="184">
        <v>39666</v>
      </c>
      <c r="G784" s="184" t="s">
        <v>1566</v>
      </c>
      <c r="H784" s="184" t="s">
        <v>1567</v>
      </c>
      <c r="I784" s="184">
        <v>45008</v>
      </c>
      <c r="J784" s="184" t="s">
        <v>172</v>
      </c>
      <c r="K784" s="184" t="s">
        <v>1152</v>
      </c>
      <c r="L784" s="184" t="s">
        <v>1568</v>
      </c>
      <c r="M784" s="182" t="s">
        <v>36</v>
      </c>
      <c r="N784" s="183">
        <v>45078</v>
      </c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  <c r="AA784" s="180"/>
      <c r="AB784" s="180"/>
      <c r="AC784" s="180"/>
      <c r="AD784" s="180"/>
      <c r="AE784" s="180"/>
      <c r="AF784" s="180"/>
      <c r="AG784" s="180"/>
      <c r="AH784" s="180"/>
      <c r="AI784" s="180"/>
      <c r="AJ784" s="180"/>
      <c r="AK784" s="180"/>
      <c r="AL784" s="180"/>
      <c r="AM784" s="180"/>
      <c r="AN784" s="180"/>
      <c r="AO784" s="180"/>
      <c r="AP784" s="180"/>
      <c r="AQ784" s="180"/>
      <c r="AR784" s="180"/>
      <c r="AS784" s="180"/>
    </row>
    <row r="785" spans="1:45" ht="15.75" hidden="1" customHeight="1">
      <c r="A785" s="182">
        <v>11</v>
      </c>
      <c r="B785" s="182" t="s">
        <v>50</v>
      </c>
      <c r="C785" s="182" t="s">
        <v>200</v>
      </c>
      <c r="D785" s="182" t="s">
        <v>201</v>
      </c>
      <c r="E785" s="184">
        <v>4</v>
      </c>
      <c r="F785" s="184">
        <v>41164</v>
      </c>
      <c r="G785" s="184" t="s">
        <v>202</v>
      </c>
      <c r="H785" s="184" t="s">
        <v>203</v>
      </c>
      <c r="I785" s="184">
        <v>44790</v>
      </c>
      <c r="J785" s="184" t="s">
        <v>186</v>
      </c>
      <c r="K785" s="184" t="s">
        <v>135</v>
      </c>
      <c r="L785" s="184" t="s">
        <v>1141</v>
      </c>
      <c r="M785" s="182" t="s">
        <v>36</v>
      </c>
      <c r="N785" s="183">
        <v>45078</v>
      </c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  <c r="AB785" s="138"/>
      <c r="AC785" s="138"/>
      <c r="AD785" s="138"/>
      <c r="AE785" s="138"/>
      <c r="AF785" s="138"/>
      <c r="AG785" s="138"/>
      <c r="AH785" s="138"/>
      <c r="AI785" s="138"/>
      <c r="AJ785" s="138"/>
      <c r="AK785" s="138"/>
      <c r="AL785" s="138"/>
      <c r="AM785" s="138"/>
      <c r="AN785" s="138"/>
      <c r="AO785" s="138"/>
      <c r="AP785" s="138"/>
      <c r="AQ785" s="138"/>
      <c r="AR785" s="138"/>
      <c r="AS785" s="138"/>
    </row>
    <row r="786" spans="1:45" ht="15.75" hidden="1" customHeight="1">
      <c r="A786" s="182">
        <v>12</v>
      </c>
      <c r="B786" s="182" t="s">
        <v>91</v>
      </c>
      <c r="C786" s="182" t="s">
        <v>200</v>
      </c>
      <c r="D786" s="182" t="s">
        <v>201</v>
      </c>
      <c r="E786" s="184">
        <v>4</v>
      </c>
      <c r="F786" s="184">
        <v>41164</v>
      </c>
      <c r="G786" s="184" t="s">
        <v>202</v>
      </c>
      <c r="H786" s="184" t="s">
        <v>203</v>
      </c>
      <c r="I786" s="184">
        <v>44790</v>
      </c>
      <c r="J786" s="184" t="s">
        <v>188</v>
      </c>
      <c r="K786" s="184" t="s">
        <v>727</v>
      </c>
      <c r="L786" s="184" t="s">
        <v>1141</v>
      </c>
      <c r="M786" s="182" t="s">
        <v>36</v>
      </c>
      <c r="N786" s="183">
        <v>45078</v>
      </c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  <c r="AB786" s="138"/>
      <c r="AC786" s="138"/>
      <c r="AD786" s="138"/>
      <c r="AE786" s="138"/>
      <c r="AF786" s="138"/>
      <c r="AG786" s="138"/>
      <c r="AH786" s="138"/>
      <c r="AI786" s="138"/>
      <c r="AJ786" s="138"/>
      <c r="AK786" s="138"/>
      <c r="AL786" s="138"/>
      <c r="AM786" s="138"/>
      <c r="AN786" s="138"/>
      <c r="AO786" s="138"/>
      <c r="AP786" s="138"/>
      <c r="AQ786" s="138"/>
      <c r="AR786" s="138"/>
      <c r="AS786" s="138"/>
    </row>
    <row r="787" spans="1:45" ht="15.75" hidden="1" customHeight="1">
      <c r="A787" s="182">
        <v>13</v>
      </c>
      <c r="B787" s="182" t="s">
        <v>50</v>
      </c>
      <c r="C787" s="182" t="s">
        <v>1569</v>
      </c>
      <c r="D787" s="182" t="s">
        <v>228</v>
      </c>
      <c r="E787" s="184" t="s">
        <v>190</v>
      </c>
      <c r="F787" s="184">
        <v>42964</v>
      </c>
      <c r="G787" s="184" t="s">
        <v>1570</v>
      </c>
      <c r="H787" s="184" t="s">
        <v>230</v>
      </c>
      <c r="I787" s="184">
        <v>44911</v>
      </c>
      <c r="J787" s="184" t="s">
        <v>134</v>
      </c>
      <c r="K787" s="184" t="s">
        <v>1571</v>
      </c>
      <c r="L787" s="184"/>
      <c r="M787" s="182" t="s">
        <v>36</v>
      </c>
      <c r="N787" s="183">
        <v>45078</v>
      </c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  <c r="AB787" s="138"/>
      <c r="AC787" s="138"/>
      <c r="AD787" s="138"/>
      <c r="AE787" s="138"/>
      <c r="AF787" s="138"/>
      <c r="AG787" s="138"/>
      <c r="AH787" s="138"/>
      <c r="AI787" s="138"/>
      <c r="AJ787" s="138"/>
      <c r="AK787" s="138"/>
      <c r="AL787" s="138"/>
      <c r="AM787" s="138"/>
      <c r="AN787" s="138"/>
      <c r="AO787" s="138"/>
      <c r="AP787" s="138"/>
      <c r="AQ787" s="138"/>
      <c r="AR787" s="138"/>
      <c r="AS787" s="138"/>
    </row>
    <row r="788" spans="1:45" ht="15.75" hidden="1" customHeight="1">
      <c r="A788" s="182">
        <v>14</v>
      </c>
      <c r="B788" s="182" t="s">
        <v>91</v>
      </c>
      <c r="C788" s="182" t="s">
        <v>1569</v>
      </c>
      <c r="D788" s="182" t="s">
        <v>228</v>
      </c>
      <c r="E788" s="182" t="s">
        <v>190</v>
      </c>
      <c r="F788" s="183">
        <v>42964</v>
      </c>
      <c r="G788" s="184" t="s">
        <v>1570</v>
      </c>
      <c r="H788" s="184" t="s">
        <v>230</v>
      </c>
      <c r="I788" s="185">
        <v>44911</v>
      </c>
      <c r="J788" s="184" t="s">
        <v>194</v>
      </c>
      <c r="K788" s="184" t="s">
        <v>175</v>
      </c>
      <c r="L788" s="184" t="s">
        <v>1572</v>
      </c>
      <c r="M788" s="182" t="s">
        <v>36</v>
      </c>
      <c r="N788" s="183">
        <v>45078</v>
      </c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  <c r="AB788" s="138"/>
      <c r="AC788" s="138"/>
      <c r="AD788" s="138"/>
      <c r="AE788" s="138"/>
      <c r="AF788" s="138"/>
      <c r="AG788" s="138"/>
      <c r="AH788" s="138"/>
      <c r="AI788" s="138"/>
      <c r="AJ788" s="138"/>
      <c r="AK788" s="138"/>
      <c r="AL788" s="138"/>
      <c r="AM788" s="138"/>
      <c r="AN788" s="138"/>
      <c r="AO788" s="138"/>
      <c r="AP788" s="138"/>
      <c r="AQ788" s="138"/>
      <c r="AR788" s="138"/>
      <c r="AS788" s="138"/>
    </row>
    <row r="789" spans="1:45" ht="15.75" hidden="1" customHeight="1">
      <c r="A789" s="182">
        <v>15</v>
      </c>
      <c r="B789" s="182" t="s">
        <v>50</v>
      </c>
      <c r="C789" s="182" t="s">
        <v>234</v>
      </c>
      <c r="D789" s="182" t="s">
        <v>235</v>
      </c>
      <c r="E789" s="182">
        <v>1</v>
      </c>
      <c r="F789" s="183">
        <v>42196</v>
      </c>
      <c r="G789" s="184" t="s">
        <v>236</v>
      </c>
      <c r="H789" s="184" t="s">
        <v>237</v>
      </c>
      <c r="I789" s="185">
        <v>44564</v>
      </c>
      <c r="J789" s="184" t="s">
        <v>186</v>
      </c>
      <c r="K789" s="184">
        <v>61</v>
      </c>
      <c r="L789" s="184"/>
      <c r="M789" s="182" t="s">
        <v>36</v>
      </c>
      <c r="N789" s="183">
        <v>45078</v>
      </c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  <c r="AB789" s="138"/>
      <c r="AC789" s="138"/>
      <c r="AD789" s="138"/>
      <c r="AE789" s="138"/>
      <c r="AF789" s="138"/>
      <c r="AG789" s="138"/>
      <c r="AH789" s="138"/>
      <c r="AI789" s="138"/>
      <c r="AJ789" s="138"/>
      <c r="AK789" s="138"/>
      <c r="AL789" s="138"/>
      <c r="AM789" s="138"/>
      <c r="AN789" s="138"/>
      <c r="AO789" s="138"/>
      <c r="AP789" s="138"/>
      <c r="AQ789" s="138"/>
      <c r="AR789" s="138"/>
      <c r="AS789" s="138"/>
    </row>
    <row r="790" spans="1:45" ht="15.75" hidden="1" customHeight="1">
      <c r="A790" s="182">
        <v>16</v>
      </c>
      <c r="B790" s="182" t="s">
        <v>91</v>
      </c>
      <c r="C790" s="182" t="s">
        <v>234</v>
      </c>
      <c r="D790" s="182" t="s">
        <v>235</v>
      </c>
      <c r="E790" s="182">
        <v>1</v>
      </c>
      <c r="F790" s="183">
        <v>42196</v>
      </c>
      <c r="G790" s="184" t="s">
        <v>236</v>
      </c>
      <c r="H790" s="184" t="s">
        <v>237</v>
      </c>
      <c r="I790" s="185">
        <v>44564</v>
      </c>
      <c r="J790" s="184" t="s">
        <v>188</v>
      </c>
      <c r="K790" s="184">
        <v>66</v>
      </c>
      <c r="L790" s="184"/>
      <c r="M790" s="182" t="s">
        <v>36</v>
      </c>
      <c r="N790" s="183">
        <v>45078</v>
      </c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  <c r="AB790" s="138"/>
      <c r="AC790" s="138"/>
      <c r="AD790" s="138"/>
      <c r="AE790" s="138"/>
      <c r="AF790" s="138"/>
      <c r="AG790" s="138"/>
      <c r="AH790" s="138"/>
      <c r="AI790" s="138"/>
      <c r="AJ790" s="138"/>
      <c r="AK790" s="138"/>
      <c r="AL790" s="138"/>
      <c r="AM790" s="138"/>
      <c r="AN790" s="138"/>
      <c r="AO790" s="138"/>
      <c r="AP790" s="138"/>
      <c r="AQ790" s="138"/>
      <c r="AR790" s="138"/>
      <c r="AS790" s="138"/>
    </row>
    <row r="791" spans="1:45" ht="15.75" hidden="1" customHeight="1">
      <c r="A791" s="182">
        <v>17</v>
      </c>
      <c r="B791" s="182" t="s">
        <v>50</v>
      </c>
      <c r="C791" s="182" t="s">
        <v>832</v>
      </c>
      <c r="D791" s="182" t="s">
        <v>1573</v>
      </c>
      <c r="E791" s="182">
        <v>8</v>
      </c>
      <c r="F791" s="183">
        <v>40124</v>
      </c>
      <c r="G791" s="184" t="s">
        <v>1574</v>
      </c>
      <c r="H791" s="184" t="s">
        <v>1575</v>
      </c>
      <c r="I791" s="185">
        <v>44992</v>
      </c>
      <c r="J791" s="184" t="s">
        <v>358</v>
      </c>
      <c r="K791" s="184">
        <v>91</v>
      </c>
      <c r="L791" s="184"/>
      <c r="M791" s="182" t="s">
        <v>36</v>
      </c>
      <c r="N791" s="183">
        <v>45078</v>
      </c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  <c r="AB791" s="138"/>
      <c r="AC791" s="138"/>
      <c r="AD791" s="138"/>
      <c r="AE791" s="138"/>
      <c r="AF791" s="138"/>
      <c r="AG791" s="138"/>
      <c r="AH791" s="138"/>
      <c r="AI791" s="138"/>
      <c r="AJ791" s="138"/>
      <c r="AK791" s="138"/>
      <c r="AL791" s="138"/>
      <c r="AM791" s="138"/>
      <c r="AN791" s="138"/>
      <c r="AO791" s="138"/>
      <c r="AP791" s="138"/>
      <c r="AQ791" s="138"/>
      <c r="AR791" s="138"/>
      <c r="AS791" s="138"/>
    </row>
    <row r="792" spans="1:45" ht="15.75" hidden="1" customHeight="1">
      <c r="A792" s="182">
        <v>18</v>
      </c>
      <c r="B792" s="182" t="s">
        <v>91</v>
      </c>
      <c r="C792" s="182" t="s">
        <v>1289</v>
      </c>
      <c r="D792" s="182" t="s">
        <v>1290</v>
      </c>
      <c r="E792" s="182">
        <v>9</v>
      </c>
      <c r="F792" s="183">
        <v>38959</v>
      </c>
      <c r="G792" s="184" t="s">
        <v>1291</v>
      </c>
      <c r="H792" s="184" t="s">
        <v>1292</v>
      </c>
      <c r="I792" s="185">
        <v>44136</v>
      </c>
      <c r="J792" s="184" t="s">
        <v>1576</v>
      </c>
      <c r="K792" s="184" t="s">
        <v>917</v>
      </c>
      <c r="L792" s="184"/>
      <c r="M792" s="182" t="s">
        <v>36</v>
      </c>
      <c r="N792" s="183">
        <v>45078</v>
      </c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  <c r="AB792" s="138"/>
      <c r="AC792" s="138"/>
      <c r="AD792" s="138"/>
      <c r="AE792" s="138"/>
      <c r="AF792" s="138"/>
      <c r="AG792" s="138"/>
      <c r="AH792" s="138"/>
      <c r="AI792" s="138"/>
      <c r="AJ792" s="138"/>
      <c r="AK792" s="138"/>
      <c r="AL792" s="138"/>
      <c r="AM792" s="138"/>
      <c r="AN792" s="138"/>
      <c r="AO792" s="138"/>
      <c r="AP792" s="138"/>
      <c r="AQ792" s="138"/>
      <c r="AR792" s="138"/>
      <c r="AS792" s="138"/>
    </row>
    <row r="793" spans="1:45" ht="15.75" hidden="1" customHeight="1">
      <c r="A793" s="182">
        <v>19</v>
      </c>
      <c r="B793" s="182" t="s">
        <v>50</v>
      </c>
      <c r="C793" s="182" t="s">
        <v>1577</v>
      </c>
      <c r="D793" s="182" t="s">
        <v>1578</v>
      </c>
      <c r="E793" s="182">
        <v>2</v>
      </c>
      <c r="F793" s="183">
        <v>42038</v>
      </c>
      <c r="G793" s="184" t="s">
        <v>1579</v>
      </c>
      <c r="H793" s="184" t="s">
        <v>1580</v>
      </c>
      <c r="I793" s="185">
        <v>44851</v>
      </c>
      <c r="J793" s="184" t="s">
        <v>186</v>
      </c>
      <c r="K793" s="184" t="s">
        <v>113</v>
      </c>
      <c r="L793" s="184"/>
      <c r="M793" s="182" t="s">
        <v>36</v>
      </c>
      <c r="N793" s="183">
        <v>45078</v>
      </c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  <c r="AB793" s="138"/>
      <c r="AC793" s="138"/>
      <c r="AD793" s="138"/>
      <c r="AE793" s="138"/>
      <c r="AF793" s="138"/>
      <c r="AG793" s="138"/>
      <c r="AH793" s="138"/>
      <c r="AI793" s="138"/>
      <c r="AJ793" s="138"/>
      <c r="AK793" s="138"/>
      <c r="AL793" s="138"/>
      <c r="AM793" s="138"/>
      <c r="AN793" s="138"/>
      <c r="AO793" s="138"/>
      <c r="AP793" s="138"/>
      <c r="AQ793" s="138"/>
      <c r="AR793" s="138"/>
      <c r="AS793" s="138"/>
    </row>
    <row r="794" spans="1:45" ht="15.75" hidden="1" customHeight="1">
      <c r="A794" s="182">
        <v>20</v>
      </c>
      <c r="B794" s="182" t="s">
        <v>91</v>
      </c>
      <c r="C794" s="182" t="s">
        <v>1577</v>
      </c>
      <c r="D794" s="182" t="s">
        <v>1578</v>
      </c>
      <c r="E794" s="182">
        <v>2</v>
      </c>
      <c r="F794" s="183">
        <v>42038</v>
      </c>
      <c r="G794" s="184" t="s">
        <v>1579</v>
      </c>
      <c r="H794" s="184" t="s">
        <v>1580</v>
      </c>
      <c r="I794" s="185">
        <v>44851</v>
      </c>
      <c r="J794" s="184" t="s">
        <v>141</v>
      </c>
      <c r="K794" s="184" t="s">
        <v>132</v>
      </c>
      <c r="L794" s="184" t="s">
        <v>1581</v>
      </c>
      <c r="M794" s="182" t="s">
        <v>36</v>
      </c>
      <c r="N794" s="183">
        <v>45078</v>
      </c>
      <c r="O794" s="138"/>
      <c r="P794" s="138"/>
      <c r="Q794" s="138"/>
      <c r="R794" s="178" t="s">
        <v>349</v>
      </c>
      <c r="S794" s="178" t="s">
        <v>175</v>
      </c>
      <c r="T794" s="178"/>
      <c r="U794" s="138"/>
      <c r="V794" s="138"/>
      <c r="W794" s="138"/>
      <c r="X794" s="138"/>
      <c r="Y794" s="138"/>
      <c r="Z794" s="138"/>
      <c r="AA794" s="138"/>
      <c r="AB794" s="138"/>
      <c r="AC794" s="138"/>
      <c r="AD794" s="138"/>
      <c r="AE794" s="138"/>
      <c r="AF794" s="138"/>
      <c r="AG794" s="138"/>
      <c r="AH794" s="138"/>
      <c r="AI794" s="138"/>
      <c r="AJ794" s="138"/>
      <c r="AK794" s="138"/>
      <c r="AL794" s="138"/>
      <c r="AM794" s="138"/>
      <c r="AN794" s="138"/>
      <c r="AO794" s="138"/>
      <c r="AP794" s="138"/>
      <c r="AQ794" s="138"/>
      <c r="AR794" s="138"/>
      <c r="AS794" s="138"/>
    </row>
    <row r="795" spans="1:45" ht="15.75" hidden="1" customHeight="1">
      <c r="A795" s="182">
        <v>21</v>
      </c>
      <c r="B795" s="182" t="s">
        <v>50</v>
      </c>
      <c r="C795" s="182" t="s">
        <v>298</v>
      </c>
      <c r="D795" s="182" t="s">
        <v>305</v>
      </c>
      <c r="E795" s="182" t="s">
        <v>178</v>
      </c>
      <c r="F795" s="183">
        <v>43277</v>
      </c>
      <c r="G795" s="184" t="s">
        <v>306</v>
      </c>
      <c r="H795" s="184" t="s">
        <v>307</v>
      </c>
      <c r="I795" s="185">
        <v>44988</v>
      </c>
      <c r="J795" s="184" t="s">
        <v>349</v>
      </c>
      <c r="K795" s="184">
        <v>83</v>
      </c>
      <c r="L795" s="184" t="s">
        <v>1141</v>
      </c>
      <c r="M795" s="182" t="s">
        <v>36</v>
      </c>
      <c r="N795" s="183">
        <v>45078</v>
      </c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  <c r="AB795" s="138"/>
      <c r="AC795" s="138"/>
      <c r="AD795" s="138"/>
      <c r="AE795" s="138"/>
      <c r="AF795" s="138"/>
      <c r="AG795" s="138"/>
      <c r="AH795" s="138"/>
      <c r="AI795" s="138"/>
      <c r="AJ795" s="138"/>
      <c r="AK795" s="138"/>
      <c r="AL795" s="138"/>
      <c r="AM795" s="138"/>
      <c r="AN795" s="138"/>
      <c r="AO795" s="138"/>
      <c r="AP795" s="138"/>
      <c r="AQ795" s="138"/>
      <c r="AR795" s="138"/>
      <c r="AS795" s="138"/>
    </row>
    <row r="796" spans="1:45" ht="15.75" hidden="1" customHeight="1">
      <c r="A796" s="182">
        <v>22</v>
      </c>
      <c r="B796" s="182" t="s">
        <v>91</v>
      </c>
      <c r="C796" s="182" t="s">
        <v>298</v>
      </c>
      <c r="D796" s="182" t="s">
        <v>305</v>
      </c>
      <c r="E796" s="182" t="s">
        <v>178</v>
      </c>
      <c r="F796" s="183">
        <v>43277</v>
      </c>
      <c r="G796" s="184" t="s">
        <v>306</v>
      </c>
      <c r="H796" s="184" t="s">
        <v>307</v>
      </c>
      <c r="I796" s="185">
        <v>44988</v>
      </c>
      <c r="J796" s="184" t="s">
        <v>351</v>
      </c>
      <c r="K796" s="184">
        <v>90</v>
      </c>
      <c r="L796" s="184" t="s">
        <v>1141</v>
      </c>
      <c r="M796" s="182" t="s">
        <v>36</v>
      </c>
      <c r="N796" s="183">
        <v>45078</v>
      </c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  <c r="AB796" s="138"/>
      <c r="AC796" s="138"/>
      <c r="AD796" s="138"/>
      <c r="AE796" s="138"/>
      <c r="AF796" s="138"/>
      <c r="AG796" s="138"/>
      <c r="AH796" s="138"/>
      <c r="AI796" s="138"/>
      <c r="AJ796" s="138"/>
      <c r="AK796" s="138"/>
      <c r="AL796" s="138"/>
      <c r="AM796" s="138"/>
      <c r="AN796" s="138"/>
      <c r="AO796" s="138"/>
      <c r="AP796" s="138"/>
      <c r="AQ796" s="138"/>
      <c r="AR796" s="138"/>
      <c r="AS796" s="138"/>
    </row>
    <row r="797" spans="1:45" ht="15.75" hidden="1" customHeight="1">
      <c r="A797" s="182">
        <v>23</v>
      </c>
      <c r="B797" s="182" t="s">
        <v>50</v>
      </c>
      <c r="C797" s="182" t="s">
        <v>618</v>
      </c>
      <c r="D797" s="182" t="s">
        <v>926</v>
      </c>
      <c r="E797" s="182">
        <v>4</v>
      </c>
      <c r="F797" s="183">
        <v>40736</v>
      </c>
      <c r="G797" s="184" t="s">
        <v>1582</v>
      </c>
      <c r="H797" s="184" t="s">
        <v>928</v>
      </c>
      <c r="I797" s="185">
        <v>44004</v>
      </c>
      <c r="J797" s="184" t="s">
        <v>1583</v>
      </c>
      <c r="K797" s="184" t="s">
        <v>162</v>
      </c>
      <c r="L797" s="184" t="s">
        <v>1554</v>
      </c>
      <c r="M797" s="182" t="s">
        <v>85</v>
      </c>
      <c r="N797" s="183">
        <v>45078</v>
      </c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  <c r="AB797" s="138"/>
      <c r="AC797" s="138"/>
      <c r="AD797" s="138"/>
      <c r="AE797" s="138"/>
      <c r="AF797" s="138"/>
      <c r="AG797" s="138"/>
      <c r="AH797" s="138"/>
      <c r="AI797" s="138"/>
      <c r="AJ797" s="138"/>
      <c r="AK797" s="138"/>
      <c r="AL797" s="138"/>
      <c r="AM797" s="138"/>
      <c r="AN797" s="138"/>
      <c r="AO797" s="138"/>
      <c r="AP797" s="138"/>
      <c r="AQ797" s="138"/>
      <c r="AR797" s="138"/>
      <c r="AS797" s="138"/>
    </row>
    <row r="798" spans="1:45" ht="15.75" hidden="1" customHeight="1">
      <c r="A798" s="182">
        <v>24</v>
      </c>
      <c r="B798" s="182" t="s">
        <v>91</v>
      </c>
      <c r="C798" s="182" t="s">
        <v>618</v>
      </c>
      <c r="D798" s="182" t="s">
        <v>926</v>
      </c>
      <c r="E798" s="182">
        <v>4</v>
      </c>
      <c r="F798" s="183">
        <v>40736</v>
      </c>
      <c r="G798" s="184" t="s">
        <v>1582</v>
      </c>
      <c r="H798" s="184" t="s">
        <v>928</v>
      </c>
      <c r="I798" s="185">
        <v>44004</v>
      </c>
      <c r="J798" s="184" t="s">
        <v>303</v>
      </c>
      <c r="K798" s="184" t="s">
        <v>1584</v>
      </c>
      <c r="L798" s="184" t="s">
        <v>1554</v>
      </c>
      <c r="M798" s="182" t="s">
        <v>85</v>
      </c>
      <c r="N798" s="183">
        <v>45078</v>
      </c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  <c r="AB798" s="138"/>
      <c r="AC798" s="138"/>
      <c r="AD798" s="138"/>
      <c r="AE798" s="138"/>
      <c r="AF798" s="138"/>
      <c r="AG798" s="138"/>
      <c r="AH798" s="138"/>
      <c r="AI798" s="138"/>
      <c r="AJ798" s="138"/>
      <c r="AK798" s="138"/>
      <c r="AL798" s="138"/>
      <c r="AM798" s="138"/>
      <c r="AN798" s="138"/>
      <c r="AO798" s="138"/>
      <c r="AP798" s="138"/>
      <c r="AQ798" s="138"/>
      <c r="AR798" s="138"/>
      <c r="AS798" s="138"/>
    </row>
    <row r="799" spans="1:45" ht="15.75" hidden="1" customHeight="1">
      <c r="A799" s="182">
        <v>25</v>
      </c>
      <c r="B799" s="182" t="s">
        <v>50</v>
      </c>
      <c r="C799" s="182" t="s">
        <v>1183</v>
      </c>
      <c r="D799" s="182" t="s">
        <v>1585</v>
      </c>
      <c r="E799" s="182">
        <v>2</v>
      </c>
      <c r="F799" s="183">
        <v>41816</v>
      </c>
      <c r="G799" s="184" t="s">
        <v>1586</v>
      </c>
      <c r="H799" s="184" t="s">
        <v>1587</v>
      </c>
      <c r="I799" s="185">
        <v>409885</v>
      </c>
      <c r="J799" s="184" t="s">
        <v>140</v>
      </c>
      <c r="K799" s="184" t="s">
        <v>212</v>
      </c>
      <c r="L799" s="184"/>
      <c r="M799" s="182" t="s">
        <v>36</v>
      </c>
      <c r="N799" s="183">
        <v>45078</v>
      </c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  <c r="AB799" s="138"/>
      <c r="AC799" s="138"/>
      <c r="AD799" s="138"/>
      <c r="AE799" s="138"/>
      <c r="AF799" s="138"/>
      <c r="AG799" s="138"/>
      <c r="AH799" s="138"/>
      <c r="AI799" s="138"/>
      <c r="AJ799" s="138"/>
      <c r="AK799" s="138"/>
      <c r="AL799" s="138"/>
      <c r="AM799" s="138"/>
      <c r="AN799" s="138"/>
      <c r="AO799" s="138"/>
      <c r="AP799" s="138"/>
      <c r="AQ799" s="138"/>
      <c r="AR799" s="138"/>
      <c r="AS799" s="138"/>
    </row>
    <row r="800" spans="1:45" ht="15.75" hidden="1" customHeight="1">
      <c r="A800" s="182">
        <v>26</v>
      </c>
      <c r="B800" s="182" t="s">
        <v>91</v>
      </c>
      <c r="C800" s="182" t="s">
        <v>1183</v>
      </c>
      <c r="D800" s="182" t="s">
        <v>1585</v>
      </c>
      <c r="E800" s="182">
        <v>2</v>
      </c>
      <c r="F800" s="183">
        <v>41816</v>
      </c>
      <c r="G800" s="184" t="s">
        <v>1586</v>
      </c>
      <c r="H800" s="184" t="s">
        <v>1587</v>
      </c>
      <c r="I800" s="185">
        <v>409885</v>
      </c>
      <c r="J800" s="184" t="s">
        <v>141</v>
      </c>
      <c r="K800" s="184" t="s">
        <v>119</v>
      </c>
      <c r="L800" s="184"/>
      <c r="M800" s="182" t="s">
        <v>36</v>
      </c>
      <c r="N800" s="183">
        <v>45078</v>
      </c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  <c r="AB800" s="138"/>
      <c r="AC800" s="138"/>
      <c r="AD800" s="138"/>
      <c r="AE800" s="138"/>
      <c r="AF800" s="138"/>
      <c r="AG800" s="138"/>
      <c r="AH800" s="138"/>
      <c r="AI800" s="138"/>
      <c r="AJ800" s="138"/>
      <c r="AK800" s="138"/>
      <c r="AL800" s="138"/>
      <c r="AM800" s="138"/>
      <c r="AN800" s="138"/>
      <c r="AO800" s="138"/>
      <c r="AP800" s="138"/>
      <c r="AQ800" s="138"/>
      <c r="AR800" s="138"/>
      <c r="AS800" s="138"/>
    </row>
    <row r="801" spans="1:45" ht="15.75" hidden="1" customHeight="1">
      <c r="A801" s="182">
        <v>27</v>
      </c>
      <c r="B801" s="193" t="s">
        <v>50</v>
      </c>
      <c r="C801" s="193" t="s">
        <v>1183</v>
      </c>
      <c r="D801" s="193" t="s">
        <v>1588</v>
      </c>
      <c r="E801" s="193" t="s">
        <v>190</v>
      </c>
      <c r="F801" s="194">
        <v>42418</v>
      </c>
      <c r="G801" s="195" t="s">
        <v>1586</v>
      </c>
      <c r="H801" s="195" t="s">
        <v>1587</v>
      </c>
      <c r="I801" s="196">
        <v>409885</v>
      </c>
      <c r="J801" s="195" t="s">
        <v>124</v>
      </c>
      <c r="K801" s="195" t="s">
        <v>142</v>
      </c>
      <c r="L801" s="184"/>
      <c r="M801" s="182" t="s">
        <v>36</v>
      </c>
      <c r="N801" s="183">
        <v>45078</v>
      </c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  <c r="AB801" s="138"/>
      <c r="AC801" s="138"/>
      <c r="AD801" s="138"/>
      <c r="AE801" s="138"/>
      <c r="AF801" s="138"/>
      <c r="AG801" s="138"/>
      <c r="AH801" s="138"/>
      <c r="AI801" s="138"/>
      <c r="AJ801" s="138"/>
      <c r="AK801" s="138"/>
      <c r="AL801" s="138"/>
      <c r="AM801" s="138"/>
      <c r="AN801" s="138"/>
      <c r="AO801" s="138"/>
      <c r="AP801" s="138"/>
      <c r="AQ801" s="138"/>
      <c r="AR801" s="138"/>
      <c r="AS801" s="138"/>
    </row>
    <row r="802" spans="1:45" ht="15.75" hidden="1" customHeight="1">
      <c r="A802" s="182">
        <v>28</v>
      </c>
      <c r="B802" s="182" t="s">
        <v>91</v>
      </c>
      <c r="C802" s="182" t="s">
        <v>1183</v>
      </c>
      <c r="D802" s="182" t="s">
        <v>1588</v>
      </c>
      <c r="E802" s="182" t="s">
        <v>190</v>
      </c>
      <c r="F802" s="183">
        <v>42418</v>
      </c>
      <c r="G802" s="184" t="s">
        <v>1586</v>
      </c>
      <c r="H802" s="184" t="s">
        <v>1587</v>
      </c>
      <c r="I802" s="185">
        <v>409885</v>
      </c>
      <c r="J802" s="184" t="s">
        <v>156</v>
      </c>
      <c r="K802" s="184" t="s">
        <v>132</v>
      </c>
      <c r="L802" s="184"/>
      <c r="M802" s="182" t="s">
        <v>36</v>
      </c>
      <c r="N802" s="183">
        <v>45078</v>
      </c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  <c r="AB802" s="138"/>
      <c r="AC802" s="138"/>
      <c r="AD802" s="138"/>
      <c r="AE802" s="138"/>
      <c r="AF802" s="138"/>
      <c r="AG802" s="138"/>
      <c r="AH802" s="138"/>
      <c r="AI802" s="138"/>
      <c r="AJ802" s="138"/>
      <c r="AK802" s="138"/>
      <c r="AL802" s="138"/>
      <c r="AM802" s="138"/>
      <c r="AN802" s="138"/>
      <c r="AO802" s="138"/>
      <c r="AP802" s="138"/>
      <c r="AQ802" s="138"/>
      <c r="AR802" s="138"/>
      <c r="AS802" s="138"/>
    </row>
    <row r="803" spans="1:45" ht="15.75" hidden="1" customHeight="1">
      <c r="A803" s="182">
        <v>29</v>
      </c>
      <c r="B803" s="182" t="s">
        <v>50</v>
      </c>
      <c r="C803" s="182" t="s">
        <v>704</v>
      </c>
      <c r="D803" s="182" t="s">
        <v>1374</v>
      </c>
      <c r="E803" s="182">
        <v>4</v>
      </c>
      <c r="F803" s="183">
        <v>41883</v>
      </c>
      <c r="G803" s="184" t="s">
        <v>1375</v>
      </c>
      <c r="H803" s="184" t="s">
        <v>1376</v>
      </c>
      <c r="I803" s="185">
        <v>44795</v>
      </c>
      <c r="J803" s="184" t="s">
        <v>358</v>
      </c>
      <c r="K803" s="184" t="s">
        <v>232</v>
      </c>
      <c r="L803" s="184"/>
      <c r="M803" s="182" t="s">
        <v>36</v>
      </c>
      <c r="N803" s="183">
        <v>45078</v>
      </c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  <c r="AB803" s="138"/>
      <c r="AC803" s="138"/>
      <c r="AD803" s="138"/>
      <c r="AE803" s="138"/>
      <c r="AF803" s="138"/>
      <c r="AG803" s="138"/>
      <c r="AH803" s="138"/>
      <c r="AI803" s="138"/>
      <c r="AJ803" s="138"/>
      <c r="AK803" s="138"/>
      <c r="AL803" s="138"/>
      <c r="AM803" s="138"/>
      <c r="AN803" s="138"/>
      <c r="AO803" s="138"/>
      <c r="AP803" s="138"/>
      <c r="AQ803" s="138"/>
      <c r="AR803" s="138"/>
      <c r="AS803" s="138"/>
    </row>
    <row r="804" spans="1:45" ht="15.75" hidden="1" customHeight="1">
      <c r="A804" s="182">
        <v>30</v>
      </c>
      <c r="B804" s="182" t="s">
        <v>91</v>
      </c>
      <c r="C804" s="182" t="s">
        <v>704</v>
      </c>
      <c r="D804" s="182" t="s">
        <v>1374</v>
      </c>
      <c r="E804" s="182">
        <v>4</v>
      </c>
      <c r="F804" s="183">
        <v>41883</v>
      </c>
      <c r="G804" s="184" t="s">
        <v>1375</v>
      </c>
      <c r="H804" s="184" t="s">
        <v>1376</v>
      </c>
      <c r="I804" s="185">
        <v>44795</v>
      </c>
      <c r="J804" s="184" t="s">
        <v>221</v>
      </c>
      <c r="K804" s="184" t="s">
        <v>166</v>
      </c>
      <c r="L804" s="184"/>
      <c r="M804" s="182" t="s">
        <v>36</v>
      </c>
      <c r="N804" s="183">
        <v>45078</v>
      </c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  <c r="AB804" s="138"/>
      <c r="AC804" s="138"/>
      <c r="AD804" s="138"/>
      <c r="AE804" s="138"/>
      <c r="AF804" s="138"/>
      <c r="AG804" s="138"/>
      <c r="AH804" s="138"/>
      <c r="AI804" s="138"/>
      <c r="AJ804" s="138"/>
      <c r="AK804" s="138"/>
      <c r="AL804" s="138"/>
      <c r="AM804" s="138"/>
      <c r="AN804" s="138"/>
      <c r="AO804" s="138"/>
      <c r="AP804" s="138"/>
      <c r="AQ804" s="138"/>
      <c r="AR804" s="138"/>
      <c r="AS804" s="138"/>
    </row>
    <row r="805" spans="1:45" ht="15.75" hidden="1" customHeight="1">
      <c r="A805" s="182">
        <v>31</v>
      </c>
      <c r="B805" s="182" t="s">
        <v>50</v>
      </c>
      <c r="C805" s="182" t="s">
        <v>704</v>
      </c>
      <c r="D805" s="182" t="s">
        <v>904</v>
      </c>
      <c r="E805" s="182">
        <v>5</v>
      </c>
      <c r="F805" s="183">
        <v>41275</v>
      </c>
      <c r="G805" s="184" t="s">
        <v>1375</v>
      </c>
      <c r="H805" s="184" t="s">
        <v>1376</v>
      </c>
      <c r="I805" s="185">
        <v>44795</v>
      </c>
      <c r="J805" s="184" t="s">
        <v>255</v>
      </c>
      <c r="K805" s="184" t="s">
        <v>119</v>
      </c>
      <c r="L805" s="184"/>
      <c r="M805" s="182" t="s">
        <v>36</v>
      </c>
      <c r="N805" s="183">
        <v>45078</v>
      </c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  <c r="AB805" s="138"/>
      <c r="AC805" s="138"/>
      <c r="AD805" s="138"/>
      <c r="AE805" s="138"/>
      <c r="AF805" s="138"/>
      <c r="AG805" s="138"/>
      <c r="AH805" s="138"/>
      <c r="AI805" s="138"/>
      <c r="AJ805" s="138"/>
      <c r="AK805" s="138"/>
      <c r="AL805" s="138"/>
      <c r="AM805" s="138"/>
      <c r="AN805" s="138"/>
      <c r="AO805" s="138"/>
      <c r="AP805" s="138"/>
      <c r="AQ805" s="138"/>
      <c r="AR805" s="138"/>
      <c r="AS805" s="138"/>
    </row>
    <row r="806" spans="1:45" ht="15.75" hidden="1" customHeight="1">
      <c r="A806" s="182">
        <v>32</v>
      </c>
      <c r="B806" s="182" t="s">
        <v>91</v>
      </c>
      <c r="C806" s="182" t="s">
        <v>704</v>
      </c>
      <c r="D806" s="182" t="s">
        <v>904</v>
      </c>
      <c r="E806" s="182">
        <v>5</v>
      </c>
      <c r="F806" s="183">
        <v>41275</v>
      </c>
      <c r="G806" s="184" t="s">
        <v>1375</v>
      </c>
      <c r="H806" s="184" t="s">
        <v>1376</v>
      </c>
      <c r="I806" s="185">
        <v>44795</v>
      </c>
      <c r="J806" s="184" t="s">
        <v>141</v>
      </c>
      <c r="K806" s="184" t="s">
        <v>122</v>
      </c>
      <c r="L806" s="184"/>
      <c r="M806" s="182" t="s">
        <v>36</v>
      </c>
      <c r="N806" s="183">
        <v>45078</v>
      </c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  <c r="AB806" s="138"/>
      <c r="AC806" s="138"/>
      <c r="AD806" s="138"/>
      <c r="AE806" s="138"/>
      <c r="AF806" s="138"/>
      <c r="AG806" s="138"/>
      <c r="AH806" s="138"/>
      <c r="AI806" s="138"/>
      <c r="AJ806" s="138"/>
      <c r="AK806" s="138"/>
      <c r="AL806" s="138"/>
      <c r="AM806" s="138"/>
      <c r="AN806" s="138"/>
      <c r="AO806" s="138"/>
      <c r="AP806" s="138"/>
      <c r="AQ806" s="138"/>
      <c r="AR806" s="138"/>
      <c r="AS806" s="138"/>
    </row>
    <row r="807" spans="1:45" ht="15.75" hidden="1" customHeight="1">
      <c r="A807" s="182">
        <v>33</v>
      </c>
      <c r="B807" s="182" t="s">
        <v>50</v>
      </c>
      <c r="C807" s="182" t="s">
        <v>704</v>
      </c>
      <c r="D807" s="182" t="s">
        <v>1589</v>
      </c>
      <c r="E807" s="182">
        <v>6</v>
      </c>
      <c r="F807" s="183">
        <v>40748</v>
      </c>
      <c r="G807" s="184" t="s">
        <v>1590</v>
      </c>
      <c r="H807" s="184" t="s">
        <v>1591</v>
      </c>
      <c r="I807" s="185">
        <v>44792</v>
      </c>
      <c r="J807" s="184" t="s">
        <v>317</v>
      </c>
      <c r="K807" s="184" t="s">
        <v>125</v>
      </c>
      <c r="L807" s="184"/>
      <c r="M807" s="182" t="s">
        <v>36</v>
      </c>
      <c r="N807" s="183">
        <v>45078</v>
      </c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  <c r="AB807" s="138"/>
      <c r="AC807" s="138"/>
      <c r="AD807" s="138"/>
      <c r="AE807" s="138"/>
      <c r="AF807" s="138"/>
      <c r="AG807" s="138"/>
      <c r="AH807" s="138"/>
      <c r="AI807" s="138"/>
      <c r="AJ807" s="138"/>
      <c r="AK807" s="138"/>
      <c r="AL807" s="138"/>
      <c r="AM807" s="138"/>
      <c r="AN807" s="138"/>
      <c r="AO807" s="138"/>
      <c r="AP807" s="138"/>
      <c r="AQ807" s="138"/>
      <c r="AR807" s="138"/>
      <c r="AS807" s="138"/>
    </row>
    <row r="808" spans="1:45" ht="15.75" hidden="1" customHeight="1">
      <c r="A808" s="182">
        <v>34</v>
      </c>
      <c r="B808" s="182" t="s">
        <v>91</v>
      </c>
      <c r="C808" s="182" t="s">
        <v>704</v>
      </c>
      <c r="D808" s="182" t="s">
        <v>1589</v>
      </c>
      <c r="E808" s="182">
        <v>6</v>
      </c>
      <c r="F808" s="183">
        <v>40748</v>
      </c>
      <c r="G808" s="184" t="s">
        <v>1590</v>
      </c>
      <c r="H808" s="184" t="s">
        <v>1591</v>
      </c>
      <c r="I808" s="185">
        <v>44866</v>
      </c>
      <c r="J808" s="184" t="s">
        <v>303</v>
      </c>
      <c r="K808" s="184" t="s">
        <v>199</v>
      </c>
      <c r="L808" s="184" t="s">
        <v>1592</v>
      </c>
      <c r="M808" s="182" t="s">
        <v>36</v>
      </c>
      <c r="N808" s="183">
        <v>45078</v>
      </c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  <c r="AB808" s="138"/>
      <c r="AC808" s="138"/>
      <c r="AD808" s="138"/>
      <c r="AE808" s="138"/>
      <c r="AF808" s="138"/>
      <c r="AG808" s="138"/>
      <c r="AH808" s="138"/>
      <c r="AI808" s="138"/>
      <c r="AJ808" s="138"/>
      <c r="AK808" s="138"/>
      <c r="AL808" s="138"/>
      <c r="AM808" s="138"/>
      <c r="AN808" s="138"/>
      <c r="AO808" s="138"/>
      <c r="AP808" s="138"/>
      <c r="AQ808" s="138"/>
      <c r="AR808" s="138"/>
      <c r="AS808" s="138"/>
    </row>
    <row r="809" spans="1:45" ht="15.75" hidden="1" customHeight="1">
      <c r="A809" s="182">
        <v>35</v>
      </c>
      <c r="B809" s="182" t="s">
        <v>50</v>
      </c>
      <c r="C809" s="182" t="s">
        <v>704</v>
      </c>
      <c r="D809" s="182" t="s">
        <v>1551</v>
      </c>
      <c r="E809" s="182" t="s">
        <v>190</v>
      </c>
      <c r="F809" s="183">
        <v>42943</v>
      </c>
      <c r="G809" s="184" t="s">
        <v>1593</v>
      </c>
      <c r="H809" s="189" t="s">
        <v>1594</v>
      </c>
      <c r="I809" s="185">
        <v>44728</v>
      </c>
      <c r="J809" s="184" t="s">
        <v>134</v>
      </c>
      <c r="K809" s="184">
        <v>40</v>
      </c>
      <c r="L809" s="184" t="s">
        <v>1554</v>
      </c>
      <c r="M809" s="182" t="s">
        <v>85</v>
      </c>
      <c r="N809" s="183">
        <v>45078</v>
      </c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  <c r="AB809" s="138"/>
      <c r="AC809" s="138"/>
      <c r="AD809" s="138"/>
      <c r="AE809" s="138"/>
      <c r="AF809" s="138"/>
      <c r="AG809" s="138"/>
      <c r="AH809" s="138"/>
      <c r="AI809" s="138"/>
      <c r="AJ809" s="138"/>
      <c r="AK809" s="138"/>
      <c r="AL809" s="138"/>
      <c r="AM809" s="138"/>
      <c r="AN809" s="138"/>
      <c r="AO809" s="138"/>
      <c r="AP809" s="138"/>
      <c r="AQ809" s="138"/>
      <c r="AR809" s="138"/>
      <c r="AS809" s="138"/>
    </row>
    <row r="810" spans="1:45" ht="15.75" hidden="1" customHeight="1">
      <c r="A810" s="182">
        <v>36</v>
      </c>
      <c r="B810" s="182" t="s">
        <v>91</v>
      </c>
      <c r="C810" s="182" t="s">
        <v>704</v>
      </c>
      <c r="D810" s="182" t="s">
        <v>1551</v>
      </c>
      <c r="E810" s="182" t="s">
        <v>190</v>
      </c>
      <c r="F810" s="183">
        <v>42943</v>
      </c>
      <c r="G810" s="184" t="s">
        <v>1593</v>
      </c>
      <c r="H810" s="189" t="s">
        <v>1594</v>
      </c>
      <c r="I810" s="185">
        <v>44728</v>
      </c>
      <c r="J810" s="184" t="s">
        <v>233</v>
      </c>
      <c r="K810" s="184">
        <v>20</v>
      </c>
      <c r="L810" s="184" t="s">
        <v>1554</v>
      </c>
      <c r="M810" s="182" t="s">
        <v>85</v>
      </c>
      <c r="N810" s="183">
        <v>45078</v>
      </c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  <c r="AB810" s="138"/>
      <c r="AC810" s="138"/>
      <c r="AD810" s="138"/>
      <c r="AE810" s="138"/>
      <c r="AF810" s="138"/>
      <c r="AG810" s="138"/>
      <c r="AH810" s="138"/>
      <c r="AI810" s="138"/>
      <c r="AJ810" s="138"/>
      <c r="AK810" s="138"/>
      <c r="AL810" s="138"/>
      <c r="AM810" s="138"/>
      <c r="AN810" s="138"/>
      <c r="AO810" s="138"/>
      <c r="AP810" s="138"/>
      <c r="AQ810" s="138"/>
      <c r="AR810" s="138"/>
      <c r="AS810" s="138"/>
    </row>
    <row r="811" spans="1:45" ht="15.75" hidden="1" customHeight="1">
      <c r="A811" s="182">
        <v>37</v>
      </c>
      <c r="B811" s="182" t="s">
        <v>91</v>
      </c>
      <c r="C811" s="182" t="s">
        <v>1500</v>
      </c>
      <c r="D811" s="197" t="s">
        <v>1595</v>
      </c>
      <c r="E811" s="182">
        <v>6</v>
      </c>
      <c r="F811" s="183">
        <v>40546</v>
      </c>
      <c r="G811" s="184" t="s">
        <v>1502</v>
      </c>
      <c r="H811" s="184" t="s">
        <v>1503</v>
      </c>
      <c r="I811" s="185">
        <v>44866</v>
      </c>
      <c r="J811" s="184" t="s">
        <v>141</v>
      </c>
      <c r="K811" s="184" t="s">
        <v>126</v>
      </c>
      <c r="L811" s="184"/>
      <c r="M811" s="182" t="s">
        <v>36</v>
      </c>
      <c r="N811" s="183">
        <v>45078</v>
      </c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  <c r="AB811" s="138"/>
      <c r="AC811" s="138"/>
      <c r="AD811" s="138"/>
      <c r="AE811" s="138"/>
      <c r="AF811" s="138"/>
      <c r="AG811" s="138"/>
      <c r="AH811" s="138"/>
      <c r="AI811" s="138"/>
      <c r="AJ811" s="138"/>
      <c r="AK811" s="138"/>
      <c r="AL811" s="138"/>
      <c r="AM811" s="138"/>
      <c r="AN811" s="138"/>
      <c r="AO811" s="138"/>
      <c r="AP811" s="138"/>
      <c r="AQ811" s="138"/>
      <c r="AR811" s="138"/>
      <c r="AS811" s="138"/>
    </row>
    <row r="812" spans="1:45" ht="15.75" hidden="1" customHeight="1">
      <c r="A812" s="182">
        <v>38</v>
      </c>
      <c r="B812" s="182" t="s">
        <v>50</v>
      </c>
      <c r="C812" s="182" t="s">
        <v>1500</v>
      </c>
      <c r="D812" s="182" t="s">
        <v>1501</v>
      </c>
      <c r="E812" s="182" t="s">
        <v>190</v>
      </c>
      <c r="F812" s="183">
        <v>42861</v>
      </c>
      <c r="G812" s="184" t="s">
        <v>1502</v>
      </c>
      <c r="H812" s="184" t="s">
        <v>1503</v>
      </c>
      <c r="I812" s="185">
        <v>45002</v>
      </c>
      <c r="J812" s="184" t="s">
        <v>349</v>
      </c>
      <c r="K812" s="184">
        <v>50</v>
      </c>
      <c r="L812" s="184"/>
      <c r="M812" s="182" t="s">
        <v>36</v>
      </c>
      <c r="N812" s="183">
        <v>45078</v>
      </c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  <c r="AB812" s="138"/>
      <c r="AC812" s="138"/>
      <c r="AD812" s="138"/>
      <c r="AE812" s="138"/>
      <c r="AF812" s="138"/>
      <c r="AG812" s="138"/>
      <c r="AH812" s="138"/>
      <c r="AI812" s="138"/>
      <c r="AJ812" s="138"/>
      <c r="AK812" s="138"/>
      <c r="AL812" s="138"/>
      <c r="AM812" s="138"/>
      <c r="AN812" s="138"/>
      <c r="AO812" s="138"/>
      <c r="AP812" s="138"/>
      <c r="AQ812" s="138"/>
      <c r="AR812" s="138"/>
      <c r="AS812" s="138"/>
    </row>
    <row r="813" spans="1:45" ht="15.75" hidden="1" customHeight="1">
      <c r="A813" s="182">
        <v>39</v>
      </c>
      <c r="B813" s="182" t="s">
        <v>50</v>
      </c>
      <c r="C813" s="182" t="s">
        <v>340</v>
      </c>
      <c r="D813" s="182" t="s">
        <v>341</v>
      </c>
      <c r="E813" s="182">
        <v>3</v>
      </c>
      <c r="F813" s="183">
        <v>41250</v>
      </c>
      <c r="G813" s="184" t="s">
        <v>342</v>
      </c>
      <c r="H813" s="184" t="s">
        <v>343</v>
      </c>
      <c r="I813" s="185">
        <v>44795</v>
      </c>
      <c r="J813" s="184" t="s">
        <v>296</v>
      </c>
      <c r="K813" s="184" t="s">
        <v>181</v>
      </c>
      <c r="L813" s="184"/>
      <c r="M813" s="182" t="s">
        <v>36</v>
      </c>
      <c r="N813" s="183">
        <v>45078</v>
      </c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  <c r="AB813" s="138"/>
      <c r="AC813" s="138"/>
      <c r="AD813" s="138"/>
      <c r="AE813" s="138"/>
      <c r="AF813" s="138"/>
      <c r="AG813" s="138"/>
      <c r="AH813" s="138"/>
      <c r="AI813" s="138"/>
      <c r="AJ813" s="138"/>
      <c r="AK813" s="138"/>
      <c r="AL813" s="138"/>
      <c r="AM813" s="138"/>
      <c r="AN813" s="138"/>
      <c r="AO813" s="138"/>
      <c r="AP813" s="138"/>
      <c r="AQ813" s="138"/>
      <c r="AR813" s="138"/>
      <c r="AS813" s="138"/>
    </row>
    <row r="814" spans="1:45" ht="15.75" hidden="1" customHeight="1">
      <c r="A814" s="182">
        <v>40</v>
      </c>
      <c r="B814" s="182" t="s">
        <v>91</v>
      </c>
      <c r="C814" s="182" t="s">
        <v>340</v>
      </c>
      <c r="D814" s="182" t="s">
        <v>341</v>
      </c>
      <c r="E814" s="182">
        <v>3</v>
      </c>
      <c r="F814" s="183">
        <v>41250</v>
      </c>
      <c r="G814" s="184" t="s">
        <v>342</v>
      </c>
      <c r="H814" s="184" t="s">
        <v>343</v>
      </c>
      <c r="I814" s="185">
        <v>44795</v>
      </c>
      <c r="J814" s="184" t="s">
        <v>244</v>
      </c>
      <c r="K814" s="184" t="s">
        <v>162</v>
      </c>
      <c r="L814" s="184"/>
      <c r="M814" s="182" t="s">
        <v>36</v>
      </c>
      <c r="N814" s="183">
        <v>45078</v>
      </c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  <c r="AB814" s="138"/>
      <c r="AC814" s="138"/>
      <c r="AD814" s="138"/>
      <c r="AE814" s="138"/>
      <c r="AF814" s="138"/>
      <c r="AG814" s="138"/>
      <c r="AH814" s="138"/>
      <c r="AI814" s="138"/>
      <c r="AJ814" s="138"/>
      <c r="AK814" s="138"/>
      <c r="AL814" s="138"/>
      <c r="AM814" s="138"/>
      <c r="AN814" s="138"/>
      <c r="AO814" s="138"/>
      <c r="AP814" s="138"/>
      <c r="AQ814" s="138"/>
      <c r="AR814" s="138"/>
      <c r="AS814" s="138"/>
    </row>
    <row r="815" spans="1:45" ht="15.75" hidden="1" customHeight="1">
      <c r="A815" s="182">
        <v>41</v>
      </c>
      <c r="B815" s="182" t="s">
        <v>50</v>
      </c>
      <c r="C815" s="182" t="s">
        <v>367</v>
      </c>
      <c r="D815" s="182" t="s">
        <v>368</v>
      </c>
      <c r="E815" s="182">
        <v>2</v>
      </c>
      <c r="F815" s="183">
        <v>41818</v>
      </c>
      <c r="G815" s="184" t="s">
        <v>369</v>
      </c>
      <c r="H815" s="184" t="s">
        <v>370</v>
      </c>
      <c r="I815" s="185">
        <v>44505</v>
      </c>
      <c r="J815" s="184" t="s">
        <v>358</v>
      </c>
      <c r="K815" s="184" t="s">
        <v>692</v>
      </c>
      <c r="L815" s="184"/>
      <c r="M815" s="182" t="s">
        <v>36</v>
      </c>
      <c r="N815" s="183">
        <v>45078</v>
      </c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  <c r="AB815" s="138"/>
      <c r="AC815" s="138"/>
      <c r="AD815" s="138"/>
      <c r="AE815" s="138"/>
      <c r="AF815" s="138"/>
      <c r="AG815" s="138"/>
      <c r="AH815" s="138"/>
      <c r="AI815" s="138"/>
      <c r="AJ815" s="138"/>
      <c r="AK815" s="138"/>
      <c r="AL815" s="138"/>
      <c r="AM815" s="138"/>
      <c r="AN815" s="138"/>
      <c r="AO815" s="138"/>
      <c r="AP815" s="138"/>
      <c r="AQ815" s="138"/>
      <c r="AR815" s="138"/>
      <c r="AS815" s="138"/>
    </row>
    <row r="816" spans="1:45" ht="15.75" hidden="1" customHeight="1">
      <c r="A816" s="182">
        <v>42</v>
      </c>
      <c r="B816" s="182" t="s">
        <v>91</v>
      </c>
      <c r="C816" s="182" t="s">
        <v>367</v>
      </c>
      <c r="D816" s="182" t="s">
        <v>368</v>
      </c>
      <c r="E816" s="182">
        <v>2</v>
      </c>
      <c r="F816" s="183">
        <v>41818</v>
      </c>
      <c r="G816" s="184" t="s">
        <v>369</v>
      </c>
      <c r="H816" s="184" t="s">
        <v>370</v>
      </c>
      <c r="I816" s="185">
        <v>44713</v>
      </c>
      <c r="J816" s="184" t="s">
        <v>188</v>
      </c>
      <c r="K816" s="184" t="s">
        <v>125</v>
      </c>
      <c r="L816" s="184"/>
      <c r="M816" s="182" t="s">
        <v>36</v>
      </c>
      <c r="N816" s="183">
        <v>45078</v>
      </c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  <c r="AB816" s="138"/>
      <c r="AC816" s="138"/>
      <c r="AD816" s="138"/>
      <c r="AE816" s="138"/>
      <c r="AF816" s="138"/>
      <c r="AG816" s="138"/>
      <c r="AH816" s="138"/>
      <c r="AI816" s="138"/>
      <c r="AJ816" s="138"/>
      <c r="AK816" s="138"/>
      <c r="AL816" s="138"/>
      <c r="AM816" s="138"/>
      <c r="AN816" s="138"/>
      <c r="AO816" s="138"/>
      <c r="AP816" s="138"/>
      <c r="AQ816" s="138"/>
      <c r="AR816" s="138"/>
      <c r="AS816" s="138"/>
    </row>
    <row r="817" spans="1:45" ht="15.75" hidden="1" customHeight="1">
      <c r="A817" s="182">
        <v>43</v>
      </c>
      <c r="B817" s="182" t="s">
        <v>50</v>
      </c>
      <c r="C817" s="182" t="s">
        <v>375</v>
      </c>
      <c r="D817" s="182" t="s">
        <v>613</v>
      </c>
      <c r="E817" s="182">
        <v>1</v>
      </c>
      <c r="F817" s="183">
        <v>41165</v>
      </c>
      <c r="G817" s="184" t="s">
        <v>614</v>
      </c>
      <c r="H817" s="184" t="s">
        <v>615</v>
      </c>
      <c r="I817" s="185">
        <v>44228</v>
      </c>
      <c r="J817" s="184" t="s">
        <v>255</v>
      </c>
      <c r="K817" s="184" t="s">
        <v>122</v>
      </c>
      <c r="L817" s="184"/>
      <c r="M817" s="182" t="s">
        <v>36</v>
      </c>
      <c r="N817" s="183">
        <v>45078</v>
      </c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  <c r="AB817" s="138"/>
      <c r="AC817" s="138"/>
      <c r="AD817" s="138"/>
      <c r="AE817" s="138"/>
      <c r="AF817" s="138"/>
      <c r="AG817" s="138"/>
      <c r="AH817" s="138"/>
      <c r="AI817" s="138"/>
      <c r="AJ817" s="138"/>
      <c r="AK817" s="138"/>
      <c r="AL817" s="138"/>
      <c r="AM817" s="138"/>
      <c r="AN817" s="138"/>
      <c r="AO817" s="138"/>
      <c r="AP817" s="138"/>
      <c r="AQ817" s="138"/>
      <c r="AR817" s="138"/>
      <c r="AS817" s="138"/>
    </row>
    <row r="818" spans="1:45" ht="15.75" hidden="1" customHeight="1">
      <c r="A818" s="182">
        <v>44</v>
      </c>
      <c r="B818" s="182" t="s">
        <v>91</v>
      </c>
      <c r="C818" s="182" t="s">
        <v>375</v>
      </c>
      <c r="D818" s="182" t="s">
        <v>613</v>
      </c>
      <c r="E818" s="182">
        <v>1</v>
      </c>
      <c r="F818" s="183">
        <v>41165</v>
      </c>
      <c r="G818" s="184" t="s">
        <v>614</v>
      </c>
      <c r="H818" s="184" t="s">
        <v>615</v>
      </c>
      <c r="I818" s="185">
        <v>44361</v>
      </c>
      <c r="J818" s="184" t="s">
        <v>221</v>
      </c>
      <c r="K818" s="184" t="s">
        <v>113</v>
      </c>
      <c r="L818" s="184"/>
      <c r="M818" s="182" t="s">
        <v>36</v>
      </c>
      <c r="N818" s="183">
        <v>45078</v>
      </c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  <c r="AB818" s="138"/>
      <c r="AC818" s="138"/>
      <c r="AD818" s="138"/>
      <c r="AE818" s="138"/>
      <c r="AF818" s="138"/>
      <c r="AG818" s="138"/>
      <c r="AH818" s="138"/>
      <c r="AI818" s="138"/>
      <c r="AJ818" s="138"/>
      <c r="AK818" s="138"/>
      <c r="AL818" s="138"/>
      <c r="AM818" s="138"/>
      <c r="AN818" s="138"/>
      <c r="AO818" s="138"/>
      <c r="AP818" s="138"/>
      <c r="AQ818" s="138"/>
      <c r="AR818" s="138"/>
      <c r="AS818" s="138"/>
    </row>
    <row r="819" spans="1:45" ht="15.75" hidden="1" customHeight="1">
      <c r="A819" s="182">
        <v>45</v>
      </c>
      <c r="B819" s="182" t="s">
        <v>50</v>
      </c>
      <c r="C819" s="182" t="s">
        <v>375</v>
      </c>
      <c r="D819" s="182" t="s">
        <v>652</v>
      </c>
      <c r="E819" s="182" t="s">
        <v>190</v>
      </c>
      <c r="F819" s="183">
        <v>41802</v>
      </c>
      <c r="G819" s="184" t="s">
        <v>614</v>
      </c>
      <c r="H819" s="184" t="s">
        <v>615</v>
      </c>
      <c r="I819" s="185">
        <v>44228</v>
      </c>
      <c r="J819" s="184" t="s">
        <v>140</v>
      </c>
      <c r="K819" s="184" t="s">
        <v>126</v>
      </c>
      <c r="L819" s="184"/>
      <c r="M819" s="182" t="s">
        <v>36</v>
      </c>
      <c r="N819" s="183">
        <v>45078</v>
      </c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  <c r="AB819" s="138"/>
      <c r="AC819" s="138"/>
      <c r="AD819" s="138"/>
      <c r="AE819" s="138"/>
      <c r="AF819" s="138"/>
      <c r="AG819" s="138"/>
      <c r="AH819" s="138"/>
      <c r="AI819" s="138"/>
      <c r="AJ819" s="138"/>
      <c r="AK819" s="138"/>
      <c r="AL819" s="138"/>
      <c r="AM819" s="138"/>
      <c r="AN819" s="138"/>
      <c r="AO819" s="138"/>
      <c r="AP819" s="138"/>
      <c r="AQ819" s="138"/>
      <c r="AR819" s="138"/>
      <c r="AS819" s="138"/>
    </row>
    <row r="820" spans="1:45" ht="15.75" hidden="1" customHeight="1">
      <c r="A820" s="182">
        <v>46</v>
      </c>
      <c r="B820" s="182" t="s">
        <v>91</v>
      </c>
      <c r="C820" s="182" t="s">
        <v>375</v>
      </c>
      <c r="D820" s="182" t="s">
        <v>652</v>
      </c>
      <c r="E820" s="182" t="s">
        <v>190</v>
      </c>
      <c r="F820" s="183">
        <v>41802</v>
      </c>
      <c r="G820" s="184" t="s">
        <v>614</v>
      </c>
      <c r="H820" s="184" t="s">
        <v>615</v>
      </c>
      <c r="I820" s="185">
        <v>44361</v>
      </c>
      <c r="J820" s="184" t="s">
        <v>141</v>
      </c>
      <c r="K820" s="184" t="s">
        <v>205</v>
      </c>
      <c r="L820" s="184"/>
      <c r="M820" s="182" t="s">
        <v>36</v>
      </c>
      <c r="N820" s="183">
        <v>45078</v>
      </c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  <c r="AB820" s="138"/>
      <c r="AC820" s="138"/>
      <c r="AD820" s="138"/>
      <c r="AE820" s="138"/>
      <c r="AF820" s="138"/>
      <c r="AG820" s="138"/>
      <c r="AH820" s="138"/>
      <c r="AI820" s="138"/>
      <c r="AJ820" s="138"/>
      <c r="AK820" s="138"/>
      <c r="AL820" s="138"/>
      <c r="AM820" s="138"/>
      <c r="AN820" s="138"/>
      <c r="AO820" s="138"/>
      <c r="AP820" s="138"/>
      <c r="AQ820" s="138"/>
      <c r="AR820" s="138"/>
      <c r="AS820" s="138"/>
    </row>
    <row r="821" spans="1:45" ht="15.75" hidden="1" customHeight="1">
      <c r="A821" s="182">
        <v>47</v>
      </c>
      <c r="B821" s="182" t="s">
        <v>50</v>
      </c>
      <c r="C821" s="182" t="s">
        <v>375</v>
      </c>
      <c r="D821" s="182" t="s">
        <v>382</v>
      </c>
      <c r="E821" s="182" t="s">
        <v>145</v>
      </c>
      <c r="F821" s="183" t="s">
        <v>383</v>
      </c>
      <c r="G821" s="184" t="s">
        <v>384</v>
      </c>
      <c r="H821" s="184" t="s">
        <v>688</v>
      </c>
      <c r="I821" s="185" t="s">
        <v>955</v>
      </c>
      <c r="J821" s="184" t="s">
        <v>1596</v>
      </c>
      <c r="K821" s="184" t="s">
        <v>587</v>
      </c>
      <c r="L821" s="184" t="s">
        <v>1597</v>
      </c>
      <c r="M821" s="182" t="s">
        <v>36</v>
      </c>
      <c r="N821" s="183">
        <v>45078</v>
      </c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  <c r="AB821" s="138"/>
      <c r="AC821" s="138"/>
      <c r="AD821" s="138"/>
      <c r="AE821" s="138"/>
      <c r="AF821" s="138"/>
      <c r="AG821" s="138"/>
      <c r="AH821" s="138"/>
      <c r="AI821" s="138"/>
      <c r="AJ821" s="138"/>
      <c r="AK821" s="138"/>
      <c r="AL821" s="138"/>
      <c r="AM821" s="138"/>
      <c r="AN821" s="138"/>
      <c r="AO821" s="138"/>
      <c r="AP821" s="138"/>
      <c r="AQ821" s="138"/>
      <c r="AR821" s="138"/>
      <c r="AS821" s="138"/>
    </row>
    <row r="822" spans="1:45" ht="15.75" hidden="1" customHeight="1">
      <c r="A822" s="182">
        <v>48</v>
      </c>
      <c r="B822" s="182" t="s">
        <v>91</v>
      </c>
      <c r="C822" s="182" t="s">
        <v>375</v>
      </c>
      <c r="D822" s="182" t="s">
        <v>382</v>
      </c>
      <c r="E822" s="182" t="s">
        <v>145</v>
      </c>
      <c r="F822" s="183" t="s">
        <v>383</v>
      </c>
      <c r="G822" s="184" t="s">
        <v>384</v>
      </c>
      <c r="H822" s="184" t="s">
        <v>385</v>
      </c>
      <c r="I822" s="185">
        <v>43466</v>
      </c>
      <c r="J822" s="184" t="s">
        <v>172</v>
      </c>
      <c r="K822" s="184" t="s">
        <v>142</v>
      </c>
      <c r="L822" s="184" t="s">
        <v>1597</v>
      </c>
      <c r="M822" s="182" t="s">
        <v>36</v>
      </c>
      <c r="N822" s="183">
        <v>45078</v>
      </c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  <c r="AB822" s="138"/>
      <c r="AC822" s="138"/>
      <c r="AD822" s="138"/>
      <c r="AE822" s="138"/>
      <c r="AF822" s="138"/>
      <c r="AG822" s="138"/>
      <c r="AH822" s="138"/>
      <c r="AI822" s="138"/>
      <c r="AJ822" s="138"/>
      <c r="AK822" s="138"/>
      <c r="AL822" s="138"/>
      <c r="AM822" s="138"/>
      <c r="AN822" s="138"/>
      <c r="AO822" s="138"/>
      <c r="AP822" s="138"/>
      <c r="AQ822" s="138"/>
      <c r="AR822" s="138"/>
      <c r="AS822" s="138"/>
    </row>
    <row r="823" spans="1:45" ht="15.75" hidden="1" customHeight="1">
      <c r="A823" s="182">
        <v>49</v>
      </c>
      <c r="B823" s="182" t="s">
        <v>50</v>
      </c>
      <c r="C823" s="182" t="s">
        <v>375</v>
      </c>
      <c r="D823" s="182" t="s">
        <v>1455</v>
      </c>
      <c r="E823" s="182">
        <v>2</v>
      </c>
      <c r="F823" s="183">
        <v>41781</v>
      </c>
      <c r="G823" s="184" t="s">
        <v>1456</v>
      </c>
      <c r="H823" s="184" t="s">
        <v>1457</v>
      </c>
      <c r="I823" s="185">
        <v>44928</v>
      </c>
      <c r="J823" s="184" t="s">
        <v>186</v>
      </c>
      <c r="K823" s="184" t="s">
        <v>142</v>
      </c>
      <c r="L823" s="184" t="s">
        <v>1598</v>
      </c>
      <c r="M823" s="182" t="s">
        <v>36</v>
      </c>
      <c r="N823" s="183">
        <v>45078</v>
      </c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  <c r="AB823" s="138"/>
      <c r="AC823" s="138"/>
      <c r="AD823" s="138"/>
      <c r="AE823" s="138"/>
      <c r="AF823" s="138"/>
      <c r="AG823" s="138"/>
      <c r="AH823" s="138"/>
      <c r="AI823" s="138"/>
      <c r="AJ823" s="138"/>
      <c r="AK823" s="138"/>
      <c r="AL823" s="138"/>
      <c r="AM823" s="138"/>
      <c r="AN823" s="138"/>
      <c r="AO823" s="138"/>
      <c r="AP823" s="138"/>
      <c r="AQ823" s="138"/>
      <c r="AR823" s="138"/>
      <c r="AS823" s="138"/>
    </row>
    <row r="824" spans="1:45" ht="15.75" hidden="1" customHeight="1">
      <c r="A824" s="182">
        <v>50</v>
      </c>
      <c r="B824" s="182" t="s">
        <v>91</v>
      </c>
      <c r="C824" s="182" t="s">
        <v>375</v>
      </c>
      <c r="D824" s="182" t="s">
        <v>1458</v>
      </c>
      <c r="E824" s="182">
        <v>2</v>
      </c>
      <c r="F824" s="183">
        <v>41781</v>
      </c>
      <c r="G824" s="184" t="s">
        <v>1456</v>
      </c>
      <c r="H824" s="184" t="s">
        <v>1457</v>
      </c>
      <c r="I824" s="185">
        <v>44928</v>
      </c>
      <c r="J824" s="184" t="s">
        <v>141</v>
      </c>
      <c r="K824" s="184">
        <v>25</v>
      </c>
      <c r="L824" s="184" t="s">
        <v>1598</v>
      </c>
      <c r="M824" s="182" t="s">
        <v>36</v>
      </c>
      <c r="N824" s="183">
        <v>45078</v>
      </c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  <c r="AB824" s="138"/>
      <c r="AC824" s="138"/>
      <c r="AD824" s="138"/>
      <c r="AE824" s="138"/>
      <c r="AF824" s="138"/>
      <c r="AG824" s="138"/>
      <c r="AH824" s="138"/>
      <c r="AI824" s="138"/>
      <c r="AJ824" s="138"/>
      <c r="AK824" s="138"/>
      <c r="AL824" s="138"/>
      <c r="AM824" s="138"/>
      <c r="AN824" s="138"/>
      <c r="AO824" s="138"/>
      <c r="AP824" s="138"/>
      <c r="AQ824" s="138"/>
      <c r="AR824" s="138"/>
      <c r="AS824" s="138"/>
    </row>
    <row r="825" spans="1:45" ht="15.75" hidden="1" customHeight="1">
      <c r="A825" s="182">
        <v>51</v>
      </c>
      <c r="B825" s="182" t="s">
        <v>50</v>
      </c>
      <c r="C825" s="182" t="s">
        <v>1599</v>
      </c>
      <c r="D825" s="182" t="s">
        <v>251</v>
      </c>
      <c r="E825" s="182">
        <v>4</v>
      </c>
      <c r="F825" s="183">
        <v>41329</v>
      </c>
      <c r="G825" s="184" t="s">
        <v>1600</v>
      </c>
      <c r="H825" s="184" t="s">
        <v>1601</v>
      </c>
      <c r="I825" s="185">
        <v>44718</v>
      </c>
      <c r="J825" s="184" t="s">
        <v>140</v>
      </c>
      <c r="K825" s="184" t="s">
        <v>142</v>
      </c>
      <c r="L825" s="184"/>
      <c r="M825" s="182" t="s">
        <v>36</v>
      </c>
      <c r="N825" s="183">
        <v>45078</v>
      </c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  <c r="AB825" s="138"/>
      <c r="AC825" s="138"/>
      <c r="AD825" s="138"/>
      <c r="AE825" s="138"/>
      <c r="AF825" s="138"/>
      <c r="AG825" s="138"/>
      <c r="AH825" s="138"/>
      <c r="AI825" s="138"/>
      <c r="AJ825" s="138"/>
      <c r="AK825" s="138"/>
      <c r="AL825" s="138"/>
      <c r="AM825" s="138"/>
      <c r="AN825" s="138"/>
      <c r="AO825" s="138"/>
      <c r="AP825" s="138"/>
      <c r="AQ825" s="138"/>
      <c r="AR825" s="138"/>
      <c r="AS825" s="138"/>
    </row>
    <row r="826" spans="1:45" ht="15.75" hidden="1" customHeight="1">
      <c r="A826" s="182">
        <v>52</v>
      </c>
      <c r="B826" s="182" t="s">
        <v>91</v>
      </c>
      <c r="C826" s="182" t="s">
        <v>1599</v>
      </c>
      <c r="D826" s="182" t="s">
        <v>251</v>
      </c>
      <c r="E826" s="182">
        <v>4</v>
      </c>
      <c r="F826" s="183">
        <v>41329</v>
      </c>
      <c r="G826" s="184" t="s">
        <v>1600</v>
      </c>
      <c r="H826" s="184" t="s">
        <v>1601</v>
      </c>
      <c r="I826" s="185">
        <v>44718</v>
      </c>
      <c r="J826" s="184" t="s">
        <v>188</v>
      </c>
      <c r="K826" s="184" t="s">
        <v>142</v>
      </c>
      <c r="L826" s="184"/>
      <c r="M826" s="182" t="s">
        <v>36</v>
      </c>
      <c r="N826" s="183">
        <v>45078</v>
      </c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  <c r="AB826" s="138"/>
      <c r="AC826" s="138"/>
      <c r="AD826" s="138"/>
      <c r="AE826" s="138"/>
      <c r="AF826" s="138"/>
      <c r="AG826" s="138"/>
      <c r="AH826" s="138"/>
      <c r="AI826" s="138"/>
      <c r="AJ826" s="138"/>
      <c r="AK826" s="138"/>
      <c r="AL826" s="138"/>
      <c r="AM826" s="138"/>
      <c r="AN826" s="138"/>
      <c r="AO826" s="138"/>
      <c r="AP826" s="138"/>
      <c r="AQ826" s="138"/>
      <c r="AR826" s="138"/>
      <c r="AS826" s="138"/>
    </row>
    <row r="827" spans="1:45" ht="15.75" hidden="1" customHeight="1">
      <c r="A827" s="182">
        <v>53</v>
      </c>
      <c r="B827" s="182" t="s">
        <v>50</v>
      </c>
      <c r="C827" s="182" t="s">
        <v>421</v>
      </c>
      <c r="D827" s="182" t="s">
        <v>1507</v>
      </c>
      <c r="E827" s="182" t="s">
        <v>190</v>
      </c>
      <c r="F827" s="183">
        <v>42867</v>
      </c>
      <c r="G827" s="184" t="s">
        <v>1602</v>
      </c>
      <c r="H827" s="184" t="s">
        <v>1509</v>
      </c>
      <c r="I827" s="185">
        <v>44835</v>
      </c>
      <c r="J827" s="184" t="s">
        <v>134</v>
      </c>
      <c r="K827" s="184" t="s">
        <v>1571</v>
      </c>
      <c r="L827" s="184" t="s">
        <v>1554</v>
      </c>
      <c r="M827" s="182" t="s">
        <v>85</v>
      </c>
      <c r="N827" s="183">
        <v>45078</v>
      </c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  <c r="AB827" s="138"/>
      <c r="AC827" s="138"/>
      <c r="AD827" s="138"/>
      <c r="AE827" s="138"/>
      <c r="AF827" s="138"/>
      <c r="AG827" s="138"/>
      <c r="AH827" s="138"/>
      <c r="AI827" s="138"/>
      <c r="AJ827" s="138"/>
      <c r="AK827" s="138"/>
      <c r="AL827" s="138"/>
      <c r="AM827" s="138"/>
      <c r="AN827" s="138"/>
      <c r="AO827" s="138"/>
      <c r="AP827" s="138"/>
      <c r="AQ827" s="138"/>
      <c r="AR827" s="138"/>
      <c r="AS827" s="138"/>
    </row>
    <row r="828" spans="1:45" ht="15.75" hidden="1" customHeight="1">
      <c r="A828" s="182">
        <v>54</v>
      </c>
      <c r="B828" s="182" t="s">
        <v>91</v>
      </c>
      <c r="C828" s="182" t="s">
        <v>421</v>
      </c>
      <c r="D828" s="182" t="s">
        <v>1507</v>
      </c>
      <c r="E828" s="182" t="s">
        <v>190</v>
      </c>
      <c r="F828" s="183">
        <v>42867</v>
      </c>
      <c r="G828" s="184" t="s">
        <v>1602</v>
      </c>
      <c r="H828" s="184" t="s">
        <v>1509</v>
      </c>
      <c r="I828" s="185">
        <v>44958</v>
      </c>
      <c r="J828" s="184" t="s">
        <v>194</v>
      </c>
      <c r="K828" s="184" t="s">
        <v>162</v>
      </c>
      <c r="L828" s="184" t="s">
        <v>1554</v>
      </c>
      <c r="M828" s="182" t="s">
        <v>85</v>
      </c>
      <c r="N828" s="183">
        <v>45078</v>
      </c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  <c r="AB828" s="138"/>
      <c r="AC828" s="138"/>
      <c r="AD828" s="138"/>
      <c r="AE828" s="138"/>
      <c r="AF828" s="138"/>
      <c r="AG828" s="138"/>
      <c r="AH828" s="138"/>
      <c r="AI828" s="138"/>
      <c r="AJ828" s="138"/>
      <c r="AK828" s="138"/>
      <c r="AL828" s="138"/>
      <c r="AM828" s="138"/>
      <c r="AN828" s="138"/>
      <c r="AO828" s="138"/>
      <c r="AP828" s="138"/>
      <c r="AQ828" s="138"/>
      <c r="AR828" s="138"/>
      <c r="AS828" s="138"/>
    </row>
    <row r="829" spans="1:45" ht="15.75" hidden="1" customHeight="1">
      <c r="A829" s="182">
        <v>55</v>
      </c>
      <c r="B829" s="182" t="s">
        <v>50</v>
      </c>
      <c r="C829" s="182" t="s">
        <v>425</v>
      </c>
      <c r="D829" s="182" t="s">
        <v>1603</v>
      </c>
      <c r="E829" s="182" t="s">
        <v>190</v>
      </c>
      <c r="F829" s="183">
        <v>42526</v>
      </c>
      <c r="G829" s="184" t="s">
        <v>1604</v>
      </c>
      <c r="H829" s="184" t="s">
        <v>428</v>
      </c>
      <c r="I829" s="185">
        <v>44652</v>
      </c>
      <c r="J829" s="184" t="s">
        <v>308</v>
      </c>
      <c r="K829" s="184" t="s">
        <v>119</v>
      </c>
      <c r="L829" s="184"/>
      <c r="M829" s="182" t="s">
        <v>36</v>
      </c>
      <c r="N829" s="183">
        <v>45078</v>
      </c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  <c r="AB829" s="138"/>
      <c r="AC829" s="138"/>
      <c r="AD829" s="138"/>
      <c r="AE829" s="138"/>
      <c r="AF829" s="138"/>
      <c r="AG829" s="138"/>
      <c r="AH829" s="138"/>
      <c r="AI829" s="138"/>
      <c r="AJ829" s="138"/>
      <c r="AK829" s="138"/>
      <c r="AL829" s="138"/>
      <c r="AM829" s="138"/>
      <c r="AN829" s="138"/>
      <c r="AO829" s="138"/>
      <c r="AP829" s="138"/>
      <c r="AQ829" s="138"/>
      <c r="AR829" s="138"/>
      <c r="AS829" s="138"/>
    </row>
    <row r="830" spans="1:45" ht="15.75" hidden="1" customHeight="1">
      <c r="A830" s="182">
        <v>56</v>
      </c>
      <c r="B830" s="182" t="s">
        <v>91</v>
      </c>
      <c r="C830" s="182" t="s">
        <v>425</v>
      </c>
      <c r="D830" s="182" t="s">
        <v>1603</v>
      </c>
      <c r="E830" s="182" t="s">
        <v>190</v>
      </c>
      <c r="F830" s="183">
        <v>42526</v>
      </c>
      <c r="G830" s="184" t="s">
        <v>1604</v>
      </c>
      <c r="H830" s="184" t="s">
        <v>428</v>
      </c>
      <c r="I830" s="185">
        <v>44652</v>
      </c>
      <c r="J830" s="184" t="s">
        <v>211</v>
      </c>
      <c r="K830" s="184" t="s">
        <v>304</v>
      </c>
      <c r="L830" s="184" t="s">
        <v>1592</v>
      </c>
      <c r="M830" s="182" t="s">
        <v>36</v>
      </c>
      <c r="N830" s="183">
        <v>45078</v>
      </c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  <c r="AB830" s="138"/>
      <c r="AC830" s="138"/>
      <c r="AD830" s="138"/>
      <c r="AE830" s="138"/>
      <c r="AF830" s="138"/>
      <c r="AG830" s="138"/>
      <c r="AH830" s="138"/>
      <c r="AI830" s="138"/>
      <c r="AJ830" s="138"/>
      <c r="AK830" s="138"/>
      <c r="AL830" s="138"/>
      <c r="AM830" s="138"/>
      <c r="AN830" s="138"/>
      <c r="AO830" s="138"/>
      <c r="AP830" s="138"/>
      <c r="AQ830" s="138"/>
      <c r="AR830" s="138"/>
      <c r="AS830" s="138"/>
    </row>
    <row r="831" spans="1:45" ht="15.75" hidden="1" customHeight="1">
      <c r="A831" s="182">
        <v>57</v>
      </c>
      <c r="B831" s="182" t="s">
        <v>50</v>
      </c>
      <c r="C831" s="182" t="s">
        <v>433</v>
      </c>
      <c r="D831" s="197" t="s">
        <v>434</v>
      </c>
      <c r="E831" s="182">
        <v>2</v>
      </c>
      <c r="F831" s="183">
        <v>42185</v>
      </c>
      <c r="G831" s="184" t="s">
        <v>435</v>
      </c>
      <c r="H831" s="184" t="s">
        <v>436</v>
      </c>
      <c r="I831" s="185">
        <v>44873</v>
      </c>
      <c r="J831" s="184" t="s">
        <v>110</v>
      </c>
      <c r="K831" s="184" t="s">
        <v>175</v>
      </c>
      <c r="L831" s="184" t="s">
        <v>1605</v>
      </c>
      <c r="M831" s="182" t="s">
        <v>36</v>
      </c>
      <c r="N831" s="183">
        <v>45078</v>
      </c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  <c r="AB831" s="138"/>
      <c r="AC831" s="138"/>
      <c r="AD831" s="138"/>
      <c r="AE831" s="138"/>
      <c r="AF831" s="138"/>
      <c r="AG831" s="138"/>
      <c r="AH831" s="138"/>
      <c r="AI831" s="138"/>
      <c r="AJ831" s="138"/>
      <c r="AK831" s="138"/>
      <c r="AL831" s="138"/>
      <c r="AM831" s="138"/>
      <c r="AN831" s="138"/>
      <c r="AO831" s="138"/>
      <c r="AP831" s="138"/>
      <c r="AQ831" s="138"/>
      <c r="AR831" s="138"/>
      <c r="AS831" s="138"/>
    </row>
    <row r="832" spans="1:45" ht="15.75" hidden="1" customHeight="1">
      <c r="A832" s="182">
        <v>58</v>
      </c>
      <c r="B832" s="182" t="s">
        <v>91</v>
      </c>
      <c r="C832" s="182" t="s">
        <v>433</v>
      </c>
      <c r="D832" s="197" t="s">
        <v>434</v>
      </c>
      <c r="E832" s="182">
        <v>2</v>
      </c>
      <c r="F832" s="183">
        <v>42185</v>
      </c>
      <c r="G832" s="184" t="s">
        <v>435</v>
      </c>
      <c r="H832" s="184" t="s">
        <v>436</v>
      </c>
      <c r="I832" s="185">
        <v>44873</v>
      </c>
      <c r="J832" s="184" t="s">
        <v>156</v>
      </c>
      <c r="K832" s="184" t="s">
        <v>1606</v>
      </c>
      <c r="L832" s="184" t="s">
        <v>1605</v>
      </c>
      <c r="M832" s="182" t="s">
        <v>36</v>
      </c>
      <c r="N832" s="183">
        <v>45078</v>
      </c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  <c r="AB832" s="138"/>
      <c r="AC832" s="138"/>
      <c r="AD832" s="138"/>
      <c r="AE832" s="138"/>
      <c r="AF832" s="138"/>
      <c r="AG832" s="138"/>
      <c r="AH832" s="138"/>
      <c r="AI832" s="138"/>
      <c r="AJ832" s="138"/>
      <c r="AK832" s="138"/>
      <c r="AL832" s="138"/>
      <c r="AM832" s="138"/>
      <c r="AN832" s="138"/>
      <c r="AO832" s="138"/>
      <c r="AP832" s="138"/>
      <c r="AQ832" s="138"/>
      <c r="AR832" s="138"/>
      <c r="AS832" s="138"/>
    </row>
    <row r="833" spans="1:45" ht="15.75" hidden="1" customHeight="1">
      <c r="A833" s="182">
        <v>59</v>
      </c>
      <c r="B833" s="182" t="s">
        <v>50</v>
      </c>
      <c r="C833" s="182" t="s">
        <v>1293</v>
      </c>
      <c r="D833" s="182" t="s">
        <v>1294</v>
      </c>
      <c r="E833" s="182">
        <v>5</v>
      </c>
      <c r="F833" s="183">
        <v>41089</v>
      </c>
      <c r="G833" s="184" t="s">
        <v>1295</v>
      </c>
      <c r="H833" s="184" t="s">
        <v>1427</v>
      </c>
      <c r="I833" s="185">
        <v>44732</v>
      </c>
      <c r="J833" s="184" t="s">
        <v>165</v>
      </c>
      <c r="K833" s="184" t="s">
        <v>1607</v>
      </c>
      <c r="L833" s="184" t="s">
        <v>1563</v>
      </c>
      <c r="M833" s="182" t="s">
        <v>36</v>
      </c>
      <c r="N833" s="183">
        <v>45078</v>
      </c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  <c r="AB833" s="138"/>
      <c r="AC833" s="138"/>
      <c r="AD833" s="138"/>
      <c r="AE833" s="138"/>
      <c r="AF833" s="138"/>
      <c r="AG833" s="138"/>
      <c r="AH833" s="138"/>
      <c r="AI833" s="138"/>
      <c r="AJ833" s="138"/>
      <c r="AK833" s="138"/>
      <c r="AL833" s="138"/>
      <c r="AM833" s="138"/>
      <c r="AN833" s="138"/>
      <c r="AO833" s="138"/>
      <c r="AP833" s="138"/>
      <c r="AQ833" s="138"/>
      <c r="AR833" s="138"/>
      <c r="AS833" s="138"/>
    </row>
    <row r="834" spans="1:45" ht="15.75" hidden="1" customHeight="1">
      <c r="A834" s="182">
        <v>60</v>
      </c>
      <c r="B834" s="182" t="s">
        <v>91</v>
      </c>
      <c r="C834" s="182" t="s">
        <v>754</v>
      </c>
      <c r="D834" s="182" t="s">
        <v>755</v>
      </c>
      <c r="E834" s="182">
        <v>4</v>
      </c>
      <c r="F834" s="183">
        <v>41036</v>
      </c>
      <c r="G834" s="184" t="s">
        <v>756</v>
      </c>
      <c r="H834" s="184" t="s">
        <v>757</v>
      </c>
      <c r="I834" s="185">
        <v>44928</v>
      </c>
      <c r="J834" s="184" t="s">
        <v>244</v>
      </c>
      <c r="K834" s="184" t="s">
        <v>1608</v>
      </c>
      <c r="L834" s="184" t="s">
        <v>1605</v>
      </c>
      <c r="M834" s="182" t="s">
        <v>36</v>
      </c>
      <c r="N834" s="183">
        <v>45078</v>
      </c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  <c r="AB834" s="138"/>
      <c r="AC834" s="138"/>
      <c r="AD834" s="138"/>
      <c r="AE834" s="138"/>
      <c r="AF834" s="138"/>
      <c r="AG834" s="138"/>
      <c r="AH834" s="138"/>
      <c r="AI834" s="138"/>
      <c r="AJ834" s="138"/>
      <c r="AK834" s="138"/>
      <c r="AL834" s="138"/>
      <c r="AM834" s="138"/>
      <c r="AN834" s="138"/>
      <c r="AO834" s="138"/>
      <c r="AP834" s="138"/>
      <c r="AQ834" s="138"/>
      <c r="AR834" s="138"/>
      <c r="AS834" s="138"/>
    </row>
    <row r="835" spans="1:45" ht="15.75" hidden="1" customHeight="1">
      <c r="A835" s="182">
        <v>61</v>
      </c>
      <c r="B835" s="182" t="s">
        <v>50</v>
      </c>
      <c r="C835" s="182" t="s">
        <v>441</v>
      </c>
      <c r="D835" s="182" t="s">
        <v>904</v>
      </c>
      <c r="E835" s="182" t="s">
        <v>190</v>
      </c>
      <c r="F835" s="183">
        <v>42902</v>
      </c>
      <c r="G835" s="184" t="s">
        <v>1609</v>
      </c>
      <c r="H835" s="184" t="s">
        <v>1610</v>
      </c>
      <c r="I835" s="185">
        <v>44792</v>
      </c>
      <c r="J835" s="184" t="s">
        <v>349</v>
      </c>
      <c r="K835" s="184" t="s">
        <v>1611</v>
      </c>
      <c r="L835" s="184" t="s">
        <v>1612</v>
      </c>
      <c r="M835" s="182" t="s">
        <v>36</v>
      </c>
      <c r="N835" s="183">
        <v>45078</v>
      </c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  <c r="AB835" s="138"/>
      <c r="AC835" s="138"/>
      <c r="AD835" s="138"/>
      <c r="AE835" s="138"/>
      <c r="AF835" s="138"/>
      <c r="AG835" s="138"/>
      <c r="AH835" s="138"/>
      <c r="AI835" s="138"/>
      <c r="AJ835" s="138"/>
      <c r="AK835" s="138"/>
      <c r="AL835" s="138"/>
      <c r="AM835" s="138"/>
      <c r="AN835" s="138"/>
      <c r="AO835" s="138"/>
      <c r="AP835" s="138"/>
      <c r="AQ835" s="138"/>
      <c r="AR835" s="138"/>
      <c r="AS835" s="138"/>
    </row>
    <row r="836" spans="1:45" ht="15.75" hidden="1" customHeight="1">
      <c r="A836" s="182">
        <v>62</v>
      </c>
      <c r="B836" s="182" t="s">
        <v>91</v>
      </c>
      <c r="C836" s="182" t="s">
        <v>441</v>
      </c>
      <c r="D836" s="182" t="s">
        <v>904</v>
      </c>
      <c r="E836" s="182" t="s">
        <v>190</v>
      </c>
      <c r="F836" s="183">
        <v>42902</v>
      </c>
      <c r="G836" s="184" t="s">
        <v>1609</v>
      </c>
      <c r="H836" s="184" t="s">
        <v>1610</v>
      </c>
      <c r="I836" s="185">
        <v>44792</v>
      </c>
      <c r="J836" s="184" t="s">
        <v>194</v>
      </c>
      <c r="K836" s="184" t="s">
        <v>166</v>
      </c>
      <c r="L836" s="184" t="s">
        <v>1612</v>
      </c>
      <c r="M836" s="182" t="s">
        <v>36</v>
      </c>
      <c r="N836" s="183">
        <v>45078</v>
      </c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  <c r="AB836" s="138"/>
      <c r="AC836" s="138"/>
      <c r="AD836" s="138"/>
      <c r="AE836" s="138"/>
      <c r="AF836" s="138"/>
      <c r="AG836" s="138"/>
      <c r="AH836" s="138"/>
      <c r="AI836" s="138"/>
      <c r="AJ836" s="138"/>
      <c r="AK836" s="138"/>
      <c r="AL836" s="138"/>
      <c r="AM836" s="138"/>
      <c r="AN836" s="138"/>
      <c r="AO836" s="138"/>
      <c r="AP836" s="138"/>
      <c r="AQ836" s="138"/>
      <c r="AR836" s="138"/>
      <c r="AS836" s="138"/>
    </row>
    <row r="837" spans="1:45" ht="15.75" hidden="1" customHeight="1">
      <c r="A837" s="182">
        <v>63</v>
      </c>
      <c r="B837" s="182" t="s">
        <v>50</v>
      </c>
      <c r="C837" s="182" t="s">
        <v>441</v>
      </c>
      <c r="D837" s="182" t="s">
        <v>1384</v>
      </c>
      <c r="E837" s="182">
        <v>1</v>
      </c>
      <c r="F837" s="183">
        <v>42086</v>
      </c>
      <c r="G837" s="184" t="s">
        <v>1385</v>
      </c>
      <c r="H837" s="184" t="s">
        <v>1386</v>
      </c>
      <c r="I837" s="185">
        <v>44812</v>
      </c>
      <c r="J837" s="184" t="s">
        <v>140</v>
      </c>
      <c r="K837" s="184" t="s">
        <v>142</v>
      </c>
      <c r="L837" s="184" t="s">
        <v>1554</v>
      </c>
      <c r="M837" s="182" t="s">
        <v>85</v>
      </c>
      <c r="N837" s="183">
        <v>45078</v>
      </c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  <c r="AB837" s="138"/>
      <c r="AC837" s="138"/>
      <c r="AD837" s="138"/>
      <c r="AE837" s="138"/>
      <c r="AF837" s="138"/>
      <c r="AG837" s="138"/>
      <c r="AH837" s="138"/>
      <c r="AI837" s="138"/>
      <c r="AJ837" s="138"/>
      <c r="AK837" s="138"/>
      <c r="AL837" s="138"/>
      <c r="AM837" s="138"/>
      <c r="AN837" s="138"/>
      <c r="AO837" s="138"/>
      <c r="AP837" s="138"/>
      <c r="AQ837" s="138"/>
      <c r="AR837" s="138"/>
      <c r="AS837" s="138"/>
    </row>
    <row r="838" spans="1:45" ht="15.75" hidden="1" customHeight="1">
      <c r="A838" s="182">
        <v>64</v>
      </c>
      <c r="B838" s="182" t="s">
        <v>91</v>
      </c>
      <c r="C838" s="182" t="s">
        <v>441</v>
      </c>
      <c r="D838" s="182" t="s">
        <v>1384</v>
      </c>
      <c r="E838" s="182">
        <v>1</v>
      </c>
      <c r="F838" s="183">
        <v>42086</v>
      </c>
      <c r="G838" s="184" t="s">
        <v>1385</v>
      </c>
      <c r="H838" s="184" t="s">
        <v>1386</v>
      </c>
      <c r="I838" s="185">
        <v>44812</v>
      </c>
      <c r="J838" s="184" t="s">
        <v>141</v>
      </c>
      <c r="K838" s="184" t="s">
        <v>212</v>
      </c>
      <c r="L838" s="184" t="s">
        <v>1554</v>
      </c>
      <c r="M838" s="182" t="s">
        <v>85</v>
      </c>
      <c r="N838" s="183">
        <v>45078</v>
      </c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  <c r="AB838" s="138"/>
      <c r="AC838" s="138"/>
      <c r="AD838" s="138"/>
      <c r="AE838" s="138"/>
      <c r="AF838" s="138"/>
      <c r="AG838" s="138"/>
      <c r="AH838" s="138"/>
      <c r="AI838" s="138"/>
      <c r="AJ838" s="138"/>
      <c r="AK838" s="138"/>
      <c r="AL838" s="138"/>
      <c r="AM838" s="138"/>
      <c r="AN838" s="138"/>
      <c r="AO838" s="138"/>
      <c r="AP838" s="138"/>
      <c r="AQ838" s="138"/>
      <c r="AR838" s="138"/>
      <c r="AS838" s="138"/>
    </row>
    <row r="839" spans="1:45" ht="15.75" hidden="1" customHeight="1">
      <c r="A839" s="182">
        <v>65</v>
      </c>
      <c r="B839" s="182" t="s">
        <v>50</v>
      </c>
      <c r="C839" s="182" t="s">
        <v>463</v>
      </c>
      <c r="D839" s="182" t="s">
        <v>1613</v>
      </c>
      <c r="E839" s="182" t="s">
        <v>190</v>
      </c>
      <c r="F839" s="183">
        <v>42707</v>
      </c>
      <c r="G839" s="184" t="s">
        <v>1614</v>
      </c>
      <c r="H839" s="184" t="s">
        <v>1615</v>
      </c>
      <c r="I839" s="185">
        <v>44805</v>
      </c>
      <c r="J839" s="184" t="s">
        <v>308</v>
      </c>
      <c r="K839" s="184" t="s">
        <v>692</v>
      </c>
      <c r="L839" s="184" t="s">
        <v>1554</v>
      </c>
      <c r="M839" s="182" t="s">
        <v>85</v>
      </c>
      <c r="N839" s="183">
        <v>45078</v>
      </c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  <c r="AB839" s="138"/>
      <c r="AC839" s="138"/>
      <c r="AD839" s="138"/>
      <c r="AE839" s="138"/>
      <c r="AF839" s="138"/>
      <c r="AG839" s="138"/>
      <c r="AH839" s="138"/>
      <c r="AI839" s="138"/>
      <c r="AJ839" s="138"/>
      <c r="AK839" s="138"/>
      <c r="AL839" s="138"/>
      <c r="AM839" s="138"/>
      <c r="AN839" s="138"/>
      <c r="AO839" s="138"/>
      <c r="AP839" s="138"/>
      <c r="AQ839" s="138"/>
      <c r="AR839" s="138"/>
      <c r="AS839" s="138"/>
    </row>
    <row r="840" spans="1:45" ht="15.75" hidden="1" customHeight="1">
      <c r="A840" s="182">
        <v>66</v>
      </c>
      <c r="B840" s="182" t="s">
        <v>91</v>
      </c>
      <c r="C840" s="182" t="s">
        <v>463</v>
      </c>
      <c r="D840" s="182" t="s">
        <v>1613</v>
      </c>
      <c r="E840" s="182" t="s">
        <v>190</v>
      </c>
      <c r="F840" s="183">
        <v>42707</v>
      </c>
      <c r="G840" s="184" t="s">
        <v>1614</v>
      </c>
      <c r="H840" s="184" t="s">
        <v>1615</v>
      </c>
      <c r="I840" s="185">
        <v>44805</v>
      </c>
      <c r="J840" s="184" t="s">
        <v>211</v>
      </c>
      <c r="K840" s="184" t="s">
        <v>122</v>
      </c>
      <c r="L840" s="184" t="s">
        <v>1554</v>
      </c>
      <c r="M840" s="182" t="s">
        <v>85</v>
      </c>
      <c r="N840" s="183">
        <v>45078</v>
      </c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  <c r="AB840" s="138"/>
      <c r="AC840" s="138"/>
      <c r="AD840" s="138"/>
      <c r="AE840" s="138"/>
      <c r="AF840" s="138"/>
      <c r="AG840" s="138"/>
      <c r="AH840" s="138"/>
      <c r="AI840" s="138"/>
      <c r="AJ840" s="138"/>
      <c r="AK840" s="138"/>
      <c r="AL840" s="138"/>
      <c r="AM840" s="138"/>
      <c r="AN840" s="138"/>
      <c r="AO840" s="138"/>
      <c r="AP840" s="138"/>
      <c r="AQ840" s="138"/>
      <c r="AR840" s="138"/>
      <c r="AS840" s="138"/>
    </row>
    <row r="841" spans="1:45" ht="15.75" hidden="1" customHeight="1">
      <c r="A841" s="182">
        <v>67</v>
      </c>
      <c r="B841" s="182" t="s">
        <v>50</v>
      </c>
      <c r="C841" s="182" t="s">
        <v>463</v>
      </c>
      <c r="D841" s="182" t="s">
        <v>763</v>
      </c>
      <c r="E841" s="182" t="s">
        <v>190</v>
      </c>
      <c r="F841" s="183">
        <v>42902</v>
      </c>
      <c r="G841" s="184" t="s">
        <v>1616</v>
      </c>
      <c r="H841" s="184" t="s">
        <v>1617</v>
      </c>
      <c r="I841" s="185">
        <v>44835</v>
      </c>
      <c r="J841" s="184" t="s">
        <v>134</v>
      </c>
      <c r="K841" s="184" t="s">
        <v>125</v>
      </c>
      <c r="L841" s="184" t="s">
        <v>1554</v>
      </c>
      <c r="M841" s="182" t="s">
        <v>85</v>
      </c>
      <c r="N841" s="183">
        <v>45078</v>
      </c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  <c r="AB841" s="138"/>
      <c r="AC841" s="138"/>
      <c r="AD841" s="138"/>
      <c r="AE841" s="138"/>
      <c r="AF841" s="138"/>
      <c r="AG841" s="138"/>
      <c r="AH841" s="138"/>
      <c r="AI841" s="138"/>
      <c r="AJ841" s="138"/>
      <c r="AK841" s="138"/>
      <c r="AL841" s="138"/>
      <c r="AM841" s="138"/>
      <c r="AN841" s="138"/>
      <c r="AO841" s="138"/>
      <c r="AP841" s="138"/>
      <c r="AQ841" s="138"/>
      <c r="AR841" s="138"/>
      <c r="AS841" s="138"/>
    </row>
    <row r="842" spans="1:45" ht="15.75" hidden="1" customHeight="1">
      <c r="A842" s="182">
        <v>68</v>
      </c>
      <c r="B842" s="182" t="s">
        <v>50</v>
      </c>
      <c r="C842" s="182" t="s">
        <v>463</v>
      </c>
      <c r="D842" s="182" t="s">
        <v>569</v>
      </c>
      <c r="E842" s="182" t="s">
        <v>190</v>
      </c>
      <c r="F842" s="183">
        <v>42902</v>
      </c>
      <c r="G842" s="184" t="s">
        <v>1616</v>
      </c>
      <c r="H842" s="184" t="s">
        <v>1617</v>
      </c>
      <c r="I842" s="185">
        <v>44835</v>
      </c>
      <c r="J842" s="184" t="s">
        <v>134</v>
      </c>
      <c r="K842" s="184" t="s">
        <v>125</v>
      </c>
      <c r="L842" s="184" t="s">
        <v>1554</v>
      </c>
      <c r="M842" s="182" t="s">
        <v>85</v>
      </c>
      <c r="N842" s="183">
        <v>45078</v>
      </c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  <c r="AB842" s="138"/>
      <c r="AC842" s="138"/>
      <c r="AD842" s="138"/>
      <c r="AE842" s="138"/>
      <c r="AF842" s="138"/>
      <c r="AG842" s="138"/>
      <c r="AH842" s="138"/>
      <c r="AI842" s="138"/>
      <c r="AJ842" s="138"/>
      <c r="AK842" s="138"/>
      <c r="AL842" s="138"/>
      <c r="AM842" s="138"/>
      <c r="AN842" s="138"/>
      <c r="AO842" s="138"/>
      <c r="AP842" s="138"/>
      <c r="AQ842" s="138"/>
      <c r="AR842" s="138"/>
      <c r="AS842" s="138"/>
    </row>
    <row r="843" spans="1:45" ht="15.75" hidden="1" customHeight="1">
      <c r="A843" s="182">
        <v>69</v>
      </c>
      <c r="B843" s="182" t="s">
        <v>50</v>
      </c>
      <c r="C843" s="182" t="s">
        <v>1178</v>
      </c>
      <c r="D843" s="182" t="s">
        <v>499</v>
      </c>
      <c r="E843" s="182" t="s">
        <v>190</v>
      </c>
      <c r="F843" s="183">
        <v>44927</v>
      </c>
      <c r="G843" s="184" t="s">
        <v>1618</v>
      </c>
      <c r="H843" s="184" t="s">
        <v>1180</v>
      </c>
      <c r="I843" s="185">
        <v>44777</v>
      </c>
      <c r="J843" s="184" t="s">
        <v>308</v>
      </c>
      <c r="K843" s="184" t="s">
        <v>302</v>
      </c>
      <c r="L843" s="184" t="s">
        <v>1612</v>
      </c>
      <c r="M843" s="182" t="s">
        <v>36</v>
      </c>
      <c r="N843" s="183">
        <v>45078</v>
      </c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  <c r="AB843" s="138"/>
      <c r="AC843" s="138"/>
      <c r="AD843" s="138"/>
      <c r="AE843" s="138"/>
      <c r="AF843" s="138"/>
      <c r="AG843" s="138"/>
      <c r="AH843" s="138"/>
      <c r="AI843" s="138"/>
      <c r="AJ843" s="138"/>
      <c r="AK843" s="138"/>
      <c r="AL843" s="138"/>
      <c r="AM843" s="138"/>
      <c r="AN843" s="138"/>
      <c r="AO843" s="138"/>
      <c r="AP843" s="138"/>
      <c r="AQ843" s="138"/>
      <c r="AR843" s="138"/>
      <c r="AS843" s="138"/>
    </row>
    <row r="844" spans="1:45" ht="15.75" hidden="1" customHeight="1">
      <c r="A844" s="182">
        <v>70</v>
      </c>
      <c r="B844" s="182" t="s">
        <v>91</v>
      </c>
      <c r="C844" s="182" t="s">
        <v>1178</v>
      </c>
      <c r="D844" s="182" t="s">
        <v>499</v>
      </c>
      <c r="E844" s="182" t="s">
        <v>190</v>
      </c>
      <c r="F844" s="183">
        <v>44927</v>
      </c>
      <c r="G844" s="184" t="s">
        <v>1618</v>
      </c>
      <c r="H844" s="184" t="s">
        <v>1180</v>
      </c>
      <c r="I844" s="185">
        <v>44777</v>
      </c>
      <c r="J844" s="184" t="s">
        <v>233</v>
      </c>
      <c r="K844" s="184">
        <v>52</v>
      </c>
      <c r="L844" s="184" t="s">
        <v>1612</v>
      </c>
      <c r="M844" s="182" t="s">
        <v>36</v>
      </c>
      <c r="N844" s="183">
        <v>45078</v>
      </c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  <c r="AB844" s="138"/>
      <c r="AC844" s="138"/>
      <c r="AD844" s="138"/>
      <c r="AE844" s="138"/>
      <c r="AF844" s="138"/>
      <c r="AG844" s="138"/>
      <c r="AH844" s="138"/>
      <c r="AI844" s="138"/>
      <c r="AJ844" s="138"/>
      <c r="AK844" s="138"/>
      <c r="AL844" s="138"/>
      <c r="AM844" s="138"/>
      <c r="AN844" s="138"/>
      <c r="AO844" s="138"/>
      <c r="AP844" s="138"/>
      <c r="AQ844" s="138"/>
      <c r="AR844" s="138"/>
      <c r="AS844" s="138"/>
    </row>
    <row r="845" spans="1:45" ht="15.75" hidden="1" customHeight="1">
      <c r="A845" s="182">
        <v>71</v>
      </c>
      <c r="B845" s="182" t="s">
        <v>50</v>
      </c>
      <c r="C845" s="182" t="s">
        <v>1178</v>
      </c>
      <c r="D845" s="182" t="s">
        <v>1179</v>
      </c>
      <c r="E845" s="182">
        <v>4</v>
      </c>
      <c r="F845" s="183">
        <v>41153</v>
      </c>
      <c r="G845" s="184" t="s">
        <v>1619</v>
      </c>
      <c r="H845" s="184" t="s">
        <v>1180</v>
      </c>
      <c r="I845" s="185">
        <v>44426</v>
      </c>
      <c r="J845" s="184" t="s">
        <v>290</v>
      </c>
      <c r="K845" s="184" t="s">
        <v>119</v>
      </c>
      <c r="L845" s="184" t="s">
        <v>1612</v>
      </c>
      <c r="M845" s="182" t="s">
        <v>36</v>
      </c>
      <c r="N845" s="183">
        <v>45078</v>
      </c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  <c r="AB845" s="138"/>
      <c r="AC845" s="138"/>
      <c r="AD845" s="138"/>
      <c r="AE845" s="138"/>
      <c r="AF845" s="138"/>
      <c r="AG845" s="138"/>
      <c r="AH845" s="138"/>
      <c r="AI845" s="138"/>
      <c r="AJ845" s="138"/>
      <c r="AK845" s="138"/>
      <c r="AL845" s="138"/>
      <c r="AM845" s="138"/>
      <c r="AN845" s="138"/>
      <c r="AO845" s="138"/>
      <c r="AP845" s="138"/>
      <c r="AQ845" s="138"/>
      <c r="AR845" s="138"/>
      <c r="AS845" s="138"/>
    </row>
    <row r="846" spans="1:45" ht="15.75" hidden="1" customHeight="1">
      <c r="A846" s="182">
        <v>72</v>
      </c>
      <c r="B846" s="182" t="s">
        <v>91</v>
      </c>
      <c r="C846" s="182" t="s">
        <v>1178</v>
      </c>
      <c r="D846" s="182" t="s">
        <v>1179</v>
      </c>
      <c r="E846" s="182">
        <v>3</v>
      </c>
      <c r="F846" s="183">
        <v>41153</v>
      </c>
      <c r="G846" s="184" t="s">
        <v>1619</v>
      </c>
      <c r="H846" s="184" t="s">
        <v>1180</v>
      </c>
      <c r="I846" s="185">
        <v>44426</v>
      </c>
      <c r="J846" s="184" t="s">
        <v>238</v>
      </c>
      <c r="K846" s="184" t="s">
        <v>181</v>
      </c>
      <c r="L846" s="184" t="s">
        <v>1612</v>
      </c>
      <c r="M846" s="182" t="s">
        <v>36</v>
      </c>
      <c r="N846" s="183">
        <v>45078</v>
      </c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  <c r="AB846" s="138"/>
      <c r="AC846" s="138"/>
      <c r="AD846" s="138"/>
      <c r="AE846" s="138"/>
      <c r="AF846" s="138"/>
      <c r="AG846" s="138"/>
      <c r="AH846" s="138"/>
      <c r="AI846" s="138"/>
      <c r="AJ846" s="138"/>
      <c r="AK846" s="138"/>
      <c r="AL846" s="138"/>
      <c r="AM846" s="138"/>
      <c r="AN846" s="138"/>
      <c r="AO846" s="138"/>
      <c r="AP846" s="138"/>
      <c r="AQ846" s="138"/>
      <c r="AR846" s="138"/>
      <c r="AS846" s="138"/>
    </row>
    <row r="847" spans="1:45" ht="15.75" hidden="1" customHeight="1">
      <c r="A847" s="182">
        <v>73</v>
      </c>
      <c r="B847" s="182" t="s">
        <v>50</v>
      </c>
      <c r="C847" s="182" t="s">
        <v>482</v>
      </c>
      <c r="D847" s="182" t="s">
        <v>1620</v>
      </c>
      <c r="E847" s="182">
        <v>5</v>
      </c>
      <c r="F847" s="183">
        <v>40962</v>
      </c>
      <c r="G847" s="184" t="e">
        <v>#N/A</v>
      </c>
      <c r="H847" s="184" t="e">
        <v>#N/A</v>
      </c>
      <c r="I847" s="185">
        <v>44837</v>
      </c>
      <c r="J847" s="184" t="s">
        <v>148</v>
      </c>
      <c r="K847" s="184" t="s">
        <v>113</v>
      </c>
      <c r="L847" s="184"/>
      <c r="M847" s="182" t="s">
        <v>36</v>
      </c>
      <c r="N847" s="183">
        <v>45078</v>
      </c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  <c r="AB847" s="138"/>
      <c r="AC847" s="138"/>
      <c r="AD847" s="138"/>
      <c r="AE847" s="138"/>
      <c r="AF847" s="138"/>
      <c r="AG847" s="138"/>
      <c r="AH847" s="138"/>
      <c r="AI847" s="138"/>
      <c r="AJ847" s="138"/>
      <c r="AK847" s="138"/>
      <c r="AL847" s="138"/>
      <c r="AM847" s="138"/>
      <c r="AN847" s="138"/>
      <c r="AO847" s="138"/>
      <c r="AP847" s="138"/>
      <c r="AQ847" s="138"/>
      <c r="AR847" s="138"/>
      <c r="AS847" s="138"/>
    </row>
    <row r="848" spans="1:45" ht="15.75" hidden="1" customHeight="1">
      <c r="A848" s="182">
        <v>74</v>
      </c>
      <c r="B848" s="182" t="s">
        <v>91</v>
      </c>
      <c r="C848" s="182" t="s">
        <v>482</v>
      </c>
      <c r="D848" s="182" t="s">
        <v>1620</v>
      </c>
      <c r="E848" s="182">
        <v>5</v>
      </c>
      <c r="F848" s="183">
        <v>40962</v>
      </c>
      <c r="G848" s="184" t="e">
        <v>#N/A</v>
      </c>
      <c r="H848" s="184" t="e">
        <v>#N/A</v>
      </c>
      <c r="I848" s="185">
        <v>44837</v>
      </c>
      <c r="J848" s="184" t="s">
        <v>150</v>
      </c>
      <c r="K848" s="184" t="s">
        <v>175</v>
      </c>
      <c r="L848" s="184" t="s">
        <v>1581</v>
      </c>
      <c r="M848" s="182" t="s">
        <v>36</v>
      </c>
      <c r="N848" s="183">
        <v>45078</v>
      </c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  <c r="AB848" s="138"/>
      <c r="AC848" s="138"/>
      <c r="AD848" s="138"/>
      <c r="AE848" s="138"/>
      <c r="AF848" s="138"/>
      <c r="AG848" s="138"/>
      <c r="AH848" s="138"/>
      <c r="AI848" s="138"/>
      <c r="AJ848" s="138"/>
      <c r="AK848" s="138"/>
      <c r="AL848" s="138"/>
      <c r="AM848" s="138"/>
      <c r="AN848" s="138"/>
      <c r="AO848" s="138"/>
      <c r="AP848" s="138"/>
      <c r="AQ848" s="138"/>
      <c r="AR848" s="138"/>
      <c r="AS848" s="138"/>
    </row>
    <row r="849" spans="1:45" ht="15.75" hidden="1" customHeight="1">
      <c r="A849" s="182">
        <v>75</v>
      </c>
      <c r="B849" s="182" t="s">
        <v>50</v>
      </c>
      <c r="C849" s="182" t="s">
        <v>715</v>
      </c>
      <c r="D849" s="182" t="s">
        <v>835</v>
      </c>
      <c r="E849" s="182">
        <v>4</v>
      </c>
      <c r="F849" s="183" t="s">
        <v>717</v>
      </c>
      <c r="G849" s="184" t="s">
        <v>718</v>
      </c>
      <c r="H849" s="184" t="s">
        <v>493</v>
      </c>
      <c r="I849" s="185">
        <v>44795</v>
      </c>
      <c r="J849" s="184" t="s">
        <v>312</v>
      </c>
      <c r="K849" s="184">
        <v>90</v>
      </c>
      <c r="L849" s="184"/>
      <c r="M849" s="182" t="s">
        <v>36</v>
      </c>
      <c r="N849" s="183">
        <v>45078</v>
      </c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  <c r="AB849" s="138"/>
      <c r="AC849" s="138"/>
      <c r="AD849" s="138"/>
      <c r="AE849" s="138"/>
      <c r="AF849" s="138"/>
      <c r="AG849" s="138"/>
      <c r="AH849" s="138"/>
      <c r="AI849" s="138"/>
      <c r="AJ849" s="138"/>
      <c r="AK849" s="138"/>
      <c r="AL849" s="138"/>
      <c r="AM849" s="138"/>
      <c r="AN849" s="138"/>
      <c r="AO849" s="138"/>
      <c r="AP849" s="138"/>
      <c r="AQ849" s="138"/>
      <c r="AR849" s="138"/>
      <c r="AS849" s="138"/>
    </row>
    <row r="850" spans="1:45" ht="15.75" hidden="1" customHeight="1">
      <c r="A850" s="182">
        <v>76</v>
      </c>
      <c r="B850" s="182" t="s">
        <v>91</v>
      </c>
      <c r="C850" s="182" t="s">
        <v>715</v>
      </c>
      <c r="D850" s="182" t="s">
        <v>835</v>
      </c>
      <c r="E850" s="182">
        <v>4</v>
      </c>
      <c r="F850" s="183" t="s">
        <v>717</v>
      </c>
      <c r="G850" s="184" t="s">
        <v>718</v>
      </c>
      <c r="H850" s="184" t="s">
        <v>493</v>
      </c>
      <c r="I850" s="185">
        <v>44795</v>
      </c>
      <c r="J850" s="184" t="s">
        <v>274</v>
      </c>
      <c r="K850" s="184" t="s">
        <v>1621</v>
      </c>
      <c r="L850" s="184"/>
      <c r="M850" s="182" t="s">
        <v>36</v>
      </c>
      <c r="N850" s="183">
        <v>45078</v>
      </c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  <c r="AB850" s="138"/>
      <c r="AC850" s="138"/>
      <c r="AD850" s="138"/>
      <c r="AE850" s="138"/>
      <c r="AF850" s="138"/>
      <c r="AG850" s="138"/>
      <c r="AH850" s="138"/>
      <c r="AI850" s="138"/>
      <c r="AJ850" s="138"/>
      <c r="AK850" s="138"/>
      <c r="AL850" s="138"/>
      <c r="AM850" s="138"/>
      <c r="AN850" s="138"/>
      <c r="AO850" s="138"/>
      <c r="AP850" s="138"/>
      <c r="AQ850" s="138"/>
      <c r="AR850" s="138"/>
      <c r="AS850" s="138"/>
    </row>
    <row r="851" spans="1:45" ht="15.75" hidden="1" customHeight="1">
      <c r="A851" s="182">
        <v>77</v>
      </c>
      <c r="B851" s="182" t="s">
        <v>50</v>
      </c>
      <c r="C851" s="182" t="s">
        <v>498</v>
      </c>
      <c r="D851" s="182" t="s">
        <v>1058</v>
      </c>
      <c r="E851" s="182">
        <v>2</v>
      </c>
      <c r="F851" s="183">
        <v>41953</v>
      </c>
      <c r="G851" s="184" t="s">
        <v>1288</v>
      </c>
      <c r="H851" s="184" t="s">
        <v>1060</v>
      </c>
      <c r="I851" s="185">
        <v>44790</v>
      </c>
      <c r="J851" s="184" t="s">
        <v>255</v>
      </c>
      <c r="K851" s="184" t="s">
        <v>126</v>
      </c>
      <c r="L851" s="184"/>
      <c r="M851" s="182" t="s">
        <v>36</v>
      </c>
      <c r="N851" s="183">
        <v>45078</v>
      </c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  <c r="AB851" s="138"/>
      <c r="AC851" s="138"/>
      <c r="AD851" s="138"/>
      <c r="AE851" s="138"/>
      <c r="AF851" s="138"/>
      <c r="AG851" s="138"/>
      <c r="AH851" s="138"/>
      <c r="AI851" s="138"/>
      <c r="AJ851" s="138"/>
      <c r="AK851" s="138"/>
      <c r="AL851" s="138"/>
      <c r="AM851" s="138"/>
      <c r="AN851" s="138"/>
      <c r="AO851" s="138"/>
      <c r="AP851" s="138"/>
      <c r="AQ851" s="138"/>
      <c r="AR851" s="138"/>
      <c r="AS851" s="138"/>
    </row>
    <row r="852" spans="1:45" ht="15.75" hidden="1" customHeight="1">
      <c r="A852" s="182">
        <v>78</v>
      </c>
      <c r="B852" s="182" t="s">
        <v>91</v>
      </c>
      <c r="C852" s="182" t="s">
        <v>498</v>
      </c>
      <c r="D852" s="182" t="s">
        <v>1058</v>
      </c>
      <c r="E852" s="182">
        <v>2</v>
      </c>
      <c r="F852" s="183">
        <v>41953</v>
      </c>
      <c r="G852" s="184" t="s">
        <v>1622</v>
      </c>
      <c r="H852" s="184" t="s">
        <v>1623</v>
      </c>
      <c r="I852" s="185">
        <v>44790</v>
      </c>
      <c r="J852" s="184" t="s">
        <v>221</v>
      </c>
      <c r="K852" s="184" t="s">
        <v>304</v>
      </c>
      <c r="L852" s="184"/>
      <c r="M852" s="182" t="s">
        <v>36</v>
      </c>
      <c r="N852" s="183">
        <v>45078</v>
      </c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  <c r="AB852" s="138"/>
      <c r="AC852" s="138"/>
      <c r="AD852" s="138"/>
      <c r="AE852" s="138"/>
      <c r="AF852" s="138"/>
      <c r="AG852" s="138"/>
      <c r="AH852" s="138"/>
      <c r="AI852" s="138"/>
      <c r="AJ852" s="138"/>
      <c r="AK852" s="138"/>
      <c r="AL852" s="138"/>
      <c r="AM852" s="138"/>
      <c r="AN852" s="138"/>
      <c r="AO852" s="138"/>
      <c r="AP852" s="138"/>
      <c r="AQ852" s="138"/>
      <c r="AR852" s="138"/>
      <c r="AS852" s="138"/>
    </row>
    <row r="853" spans="1:45" ht="15.75" hidden="1" customHeight="1">
      <c r="A853" s="182">
        <v>79</v>
      </c>
      <c r="B853" s="182" t="s">
        <v>50</v>
      </c>
      <c r="C853" s="182" t="s">
        <v>1043</v>
      </c>
      <c r="D853" s="182" t="s">
        <v>1092</v>
      </c>
      <c r="E853" s="182">
        <v>1</v>
      </c>
      <c r="F853" s="183">
        <v>41663</v>
      </c>
      <c r="G853" s="184" t="s">
        <v>1093</v>
      </c>
      <c r="H853" s="184" t="s">
        <v>1094</v>
      </c>
      <c r="I853" s="185">
        <v>44004</v>
      </c>
      <c r="J853" s="184" t="s">
        <v>358</v>
      </c>
      <c r="K853" s="184" t="s">
        <v>344</v>
      </c>
      <c r="L853" s="184"/>
      <c r="M853" s="182" t="s">
        <v>36</v>
      </c>
      <c r="N853" s="183">
        <v>45078</v>
      </c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  <c r="AB853" s="138"/>
      <c r="AC853" s="138"/>
      <c r="AD853" s="138"/>
      <c r="AE853" s="138"/>
      <c r="AF853" s="138"/>
      <c r="AG853" s="138"/>
      <c r="AH853" s="138"/>
      <c r="AI853" s="138"/>
      <c r="AJ853" s="138"/>
      <c r="AK853" s="138"/>
      <c r="AL853" s="138"/>
      <c r="AM853" s="138"/>
      <c r="AN853" s="138"/>
      <c r="AO853" s="138"/>
      <c r="AP853" s="138"/>
      <c r="AQ853" s="138"/>
      <c r="AR853" s="138"/>
      <c r="AS853" s="138"/>
    </row>
    <row r="854" spans="1:45" ht="15.75" hidden="1" customHeight="1">
      <c r="A854" s="182">
        <v>80</v>
      </c>
      <c r="B854" s="182" t="s">
        <v>91</v>
      </c>
      <c r="C854" s="182" t="s">
        <v>1043</v>
      </c>
      <c r="D854" s="182" t="s">
        <v>1092</v>
      </c>
      <c r="E854" s="182">
        <v>1</v>
      </c>
      <c r="F854" s="183">
        <v>41663</v>
      </c>
      <c r="G854" s="184" t="s">
        <v>1093</v>
      </c>
      <c r="H854" s="184" t="s">
        <v>1094</v>
      </c>
      <c r="I854" s="185">
        <v>44351</v>
      </c>
      <c r="J854" s="184" t="s">
        <v>188</v>
      </c>
      <c r="K854" s="184" t="s">
        <v>741</v>
      </c>
      <c r="L854" s="184"/>
      <c r="M854" s="182" t="s">
        <v>36</v>
      </c>
      <c r="N854" s="183">
        <v>45078</v>
      </c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  <c r="AB854" s="138"/>
      <c r="AC854" s="138"/>
      <c r="AD854" s="138"/>
      <c r="AE854" s="138"/>
      <c r="AF854" s="138"/>
      <c r="AG854" s="138"/>
      <c r="AH854" s="138"/>
      <c r="AI854" s="138"/>
      <c r="AJ854" s="138"/>
      <c r="AK854" s="138"/>
      <c r="AL854" s="138"/>
      <c r="AM854" s="138"/>
      <c r="AN854" s="138"/>
      <c r="AO854" s="138"/>
      <c r="AP854" s="138"/>
      <c r="AQ854" s="138"/>
      <c r="AR854" s="138"/>
      <c r="AS854" s="138"/>
    </row>
    <row r="855" spans="1:45" ht="15.75" hidden="1" customHeight="1">
      <c r="A855" s="182">
        <v>81</v>
      </c>
      <c r="B855" s="182" t="s">
        <v>50</v>
      </c>
      <c r="C855" s="182" t="s">
        <v>607</v>
      </c>
      <c r="D855" s="182" t="s">
        <v>1624</v>
      </c>
      <c r="E855" s="182">
        <v>5</v>
      </c>
      <c r="F855" s="183">
        <v>41298</v>
      </c>
      <c r="G855" s="184" t="s">
        <v>1625</v>
      </c>
      <c r="H855" s="184" t="s">
        <v>1626</v>
      </c>
      <c r="I855" s="185">
        <v>44958</v>
      </c>
      <c r="J855" s="184" t="s">
        <v>255</v>
      </c>
      <c r="K855" s="184" t="s">
        <v>291</v>
      </c>
      <c r="L855" s="184" t="s">
        <v>1563</v>
      </c>
      <c r="M855" s="182" t="s">
        <v>36</v>
      </c>
      <c r="N855" s="183">
        <v>45078</v>
      </c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  <c r="AB855" s="138"/>
      <c r="AC855" s="138"/>
      <c r="AD855" s="138"/>
      <c r="AE855" s="138"/>
      <c r="AF855" s="138"/>
      <c r="AG855" s="138"/>
      <c r="AH855" s="138"/>
      <c r="AI855" s="138"/>
      <c r="AJ855" s="138"/>
      <c r="AK855" s="138"/>
      <c r="AL855" s="138"/>
      <c r="AM855" s="138"/>
      <c r="AN855" s="138"/>
      <c r="AO855" s="138"/>
      <c r="AP855" s="138"/>
      <c r="AQ855" s="138"/>
      <c r="AR855" s="138"/>
      <c r="AS855" s="138"/>
    </row>
    <row r="856" spans="1:45" ht="15.75" hidden="1" customHeight="1">
      <c r="A856" s="182">
        <v>82</v>
      </c>
      <c r="B856" s="182" t="s">
        <v>91</v>
      </c>
      <c r="C856" s="182" t="s">
        <v>607</v>
      </c>
      <c r="D856" s="182" t="s">
        <v>1624</v>
      </c>
      <c r="E856" s="182">
        <v>5</v>
      </c>
      <c r="F856" s="183">
        <v>41298</v>
      </c>
      <c r="G856" s="184" t="s">
        <v>1625</v>
      </c>
      <c r="H856" s="184" t="s">
        <v>1626</v>
      </c>
      <c r="I856" s="185">
        <v>44958</v>
      </c>
      <c r="J856" s="184" t="s">
        <v>150</v>
      </c>
      <c r="K856" s="184" t="s">
        <v>126</v>
      </c>
      <c r="L856" s="184" t="s">
        <v>1563</v>
      </c>
      <c r="M856" s="182" t="s">
        <v>36</v>
      </c>
      <c r="N856" s="183">
        <v>45078</v>
      </c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  <c r="AB856" s="138"/>
      <c r="AC856" s="138"/>
      <c r="AD856" s="138"/>
      <c r="AE856" s="138"/>
      <c r="AF856" s="138"/>
      <c r="AG856" s="138"/>
      <c r="AH856" s="138"/>
      <c r="AI856" s="138"/>
      <c r="AJ856" s="138"/>
      <c r="AK856" s="138"/>
      <c r="AL856" s="138"/>
      <c r="AM856" s="138"/>
      <c r="AN856" s="138"/>
      <c r="AO856" s="138"/>
      <c r="AP856" s="138"/>
      <c r="AQ856" s="138"/>
      <c r="AR856" s="138"/>
      <c r="AS856" s="138"/>
    </row>
    <row r="857" spans="1:45" ht="15.75" hidden="1" customHeight="1">
      <c r="A857" s="182">
        <v>83</v>
      </c>
      <c r="B857" s="182" t="s">
        <v>50</v>
      </c>
      <c r="C857" s="182" t="s">
        <v>1627</v>
      </c>
      <c r="D857" s="182" t="s">
        <v>329</v>
      </c>
      <c r="E857" s="182" t="s">
        <v>145</v>
      </c>
      <c r="F857" s="183">
        <v>42940</v>
      </c>
      <c r="G857" s="184" t="s">
        <v>1628</v>
      </c>
      <c r="H857" s="184" t="s">
        <v>1629</v>
      </c>
      <c r="I857" s="185">
        <v>44723</v>
      </c>
      <c r="J857" s="184" t="s">
        <v>134</v>
      </c>
      <c r="K857" s="184" t="s">
        <v>1630</v>
      </c>
      <c r="L857" s="184" t="s">
        <v>1554</v>
      </c>
      <c r="M857" s="182" t="s">
        <v>85</v>
      </c>
      <c r="N857" s="183">
        <v>45078</v>
      </c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  <c r="AB857" s="138"/>
      <c r="AC857" s="138"/>
      <c r="AD857" s="138"/>
      <c r="AE857" s="138"/>
      <c r="AF857" s="138"/>
      <c r="AG857" s="138"/>
      <c r="AH857" s="138"/>
      <c r="AI857" s="138"/>
      <c r="AJ857" s="138"/>
      <c r="AK857" s="138"/>
      <c r="AL857" s="138"/>
      <c r="AM857" s="138"/>
      <c r="AN857" s="138"/>
      <c r="AO857" s="138"/>
      <c r="AP857" s="138"/>
      <c r="AQ857" s="138"/>
      <c r="AR857" s="138"/>
      <c r="AS857" s="138"/>
    </row>
    <row r="858" spans="1:45" ht="15.75" hidden="1" customHeight="1">
      <c r="A858" s="182">
        <v>84</v>
      </c>
      <c r="B858" s="182" t="s">
        <v>91</v>
      </c>
      <c r="C858" s="182" t="s">
        <v>1627</v>
      </c>
      <c r="D858" s="182" t="s">
        <v>329</v>
      </c>
      <c r="E858" s="182" t="s">
        <v>145</v>
      </c>
      <c r="F858" s="183">
        <v>42940</v>
      </c>
      <c r="G858" s="184" t="s">
        <v>1628</v>
      </c>
      <c r="H858" s="184" t="s">
        <v>1629</v>
      </c>
      <c r="I858" s="185">
        <v>44723</v>
      </c>
      <c r="J858" s="184" t="s">
        <v>233</v>
      </c>
      <c r="K858" s="184" t="s">
        <v>1571</v>
      </c>
      <c r="L858" s="184" t="s">
        <v>1554</v>
      </c>
      <c r="M858" s="182" t="s">
        <v>85</v>
      </c>
      <c r="N858" s="183">
        <v>45078</v>
      </c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  <c r="AB858" s="138"/>
      <c r="AC858" s="138"/>
      <c r="AD858" s="138"/>
      <c r="AE858" s="138"/>
      <c r="AF858" s="138"/>
      <c r="AG858" s="138"/>
      <c r="AH858" s="138"/>
      <c r="AI858" s="138"/>
      <c r="AJ858" s="138"/>
      <c r="AK858" s="138"/>
      <c r="AL858" s="138"/>
      <c r="AM858" s="138"/>
      <c r="AN858" s="138"/>
      <c r="AO858" s="138"/>
      <c r="AP858" s="138"/>
      <c r="AQ858" s="138"/>
      <c r="AR858" s="138"/>
      <c r="AS858" s="138"/>
    </row>
    <row r="859" spans="1:45" ht="15.75" hidden="1" customHeight="1">
      <c r="A859" s="182">
        <v>85</v>
      </c>
      <c r="B859" s="182" t="s">
        <v>50</v>
      </c>
      <c r="C859" s="182" t="s">
        <v>1627</v>
      </c>
      <c r="D859" s="182" t="s">
        <v>1631</v>
      </c>
      <c r="E859" s="182">
        <v>5</v>
      </c>
      <c r="F859" s="183">
        <v>40745</v>
      </c>
      <c r="G859" s="184" t="s">
        <v>1632</v>
      </c>
      <c r="H859" s="184" t="s">
        <v>1629</v>
      </c>
      <c r="I859" s="185" t="s">
        <v>1257</v>
      </c>
      <c r="J859" s="184" t="s">
        <v>148</v>
      </c>
      <c r="K859" s="184" t="s">
        <v>181</v>
      </c>
      <c r="L859" s="184" t="s">
        <v>1554</v>
      </c>
      <c r="M859" s="182" t="s">
        <v>85</v>
      </c>
      <c r="N859" s="183">
        <v>45078</v>
      </c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  <c r="AB859" s="138"/>
      <c r="AC859" s="138"/>
      <c r="AD859" s="138"/>
      <c r="AE859" s="138"/>
      <c r="AF859" s="138"/>
      <c r="AG859" s="138"/>
      <c r="AH859" s="138"/>
      <c r="AI859" s="138"/>
      <c r="AJ859" s="138"/>
      <c r="AK859" s="138"/>
      <c r="AL859" s="138"/>
      <c r="AM859" s="138"/>
      <c r="AN859" s="138"/>
      <c r="AO859" s="138"/>
      <c r="AP859" s="138"/>
      <c r="AQ859" s="138"/>
      <c r="AR859" s="138"/>
      <c r="AS859" s="138"/>
    </row>
    <row r="860" spans="1:45" ht="15.75" hidden="1" customHeight="1">
      <c r="A860" s="182">
        <v>86</v>
      </c>
      <c r="B860" s="198" t="s">
        <v>91</v>
      </c>
      <c r="C860" s="198" t="s">
        <v>1627</v>
      </c>
      <c r="D860" s="198" t="s">
        <v>1631</v>
      </c>
      <c r="E860" s="198">
        <v>5</v>
      </c>
      <c r="F860" s="199">
        <v>40745</v>
      </c>
      <c r="G860" s="200" t="s">
        <v>1632</v>
      </c>
      <c r="H860" s="200" t="s">
        <v>1629</v>
      </c>
      <c r="I860" s="201" t="s">
        <v>1257</v>
      </c>
      <c r="J860" s="200" t="s">
        <v>244</v>
      </c>
      <c r="K860" s="200" t="s">
        <v>162</v>
      </c>
      <c r="L860" s="200" t="s">
        <v>1554</v>
      </c>
      <c r="M860" s="198" t="s">
        <v>85</v>
      </c>
      <c r="N860" s="199">
        <v>45078</v>
      </c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  <c r="AB860" s="138"/>
      <c r="AC860" s="138"/>
      <c r="AD860" s="138"/>
      <c r="AE860" s="138"/>
      <c r="AF860" s="138"/>
      <c r="AG860" s="138"/>
      <c r="AH860" s="138"/>
      <c r="AI860" s="138"/>
      <c r="AJ860" s="138"/>
      <c r="AK860" s="138"/>
      <c r="AL860" s="138"/>
      <c r="AM860" s="138"/>
      <c r="AN860" s="138"/>
      <c r="AO860" s="138"/>
      <c r="AP860" s="138"/>
      <c r="AQ860" s="138"/>
      <c r="AR860" s="138"/>
      <c r="AS860" s="138"/>
    </row>
    <row r="861" spans="1:45" ht="15.75" hidden="1" customHeight="1">
      <c r="A861" s="202">
        <v>1</v>
      </c>
      <c r="B861" s="133" t="s">
        <v>50</v>
      </c>
      <c r="C861" s="133" t="s">
        <v>463</v>
      </c>
      <c r="D861" s="133" t="s">
        <v>464</v>
      </c>
      <c r="E861" s="133">
        <v>5</v>
      </c>
      <c r="F861" s="134">
        <v>40841</v>
      </c>
      <c r="G861" s="203" t="s">
        <v>465</v>
      </c>
      <c r="H861" s="203" t="s">
        <v>466</v>
      </c>
      <c r="I861" s="204">
        <v>44805</v>
      </c>
      <c r="J861" s="135" t="s">
        <v>290</v>
      </c>
      <c r="K861" s="135" t="s">
        <v>113</v>
      </c>
      <c r="L861" s="135" t="s">
        <v>1633</v>
      </c>
      <c r="M861" s="133" t="s">
        <v>36</v>
      </c>
      <c r="N861" s="183">
        <v>45108</v>
      </c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  <c r="AB861" s="138"/>
      <c r="AC861" s="138"/>
      <c r="AD861" s="138"/>
      <c r="AE861" s="138"/>
      <c r="AF861" s="138"/>
      <c r="AG861" s="138"/>
      <c r="AH861" s="138"/>
      <c r="AI861" s="138"/>
      <c r="AJ861" s="138"/>
      <c r="AK861" s="138"/>
      <c r="AL861" s="138"/>
      <c r="AM861" s="138"/>
      <c r="AN861" s="138"/>
      <c r="AO861" s="138"/>
      <c r="AP861" s="138"/>
      <c r="AQ861" s="138"/>
      <c r="AR861" s="138"/>
      <c r="AS861" s="138"/>
    </row>
    <row r="862" spans="1:45" ht="15.75" hidden="1" customHeight="1">
      <c r="A862" s="205">
        <v>2</v>
      </c>
      <c r="B862" s="133" t="s">
        <v>50</v>
      </c>
      <c r="C862" s="133" t="s">
        <v>313</v>
      </c>
      <c r="D862" s="133" t="s">
        <v>314</v>
      </c>
      <c r="E862" s="133">
        <v>5</v>
      </c>
      <c r="F862" s="134">
        <v>41041</v>
      </c>
      <c r="G862" s="203" t="s">
        <v>1634</v>
      </c>
      <c r="H862" s="203" t="s">
        <v>316</v>
      </c>
      <c r="I862" s="204">
        <v>44851</v>
      </c>
      <c r="J862" s="135" t="s">
        <v>290</v>
      </c>
      <c r="K862" s="135" t="s">
        <v>304</v>
      </c>
      <c r="L862" s="135" t="s">
        <v>1635</v>
      </c>
      <c r="M862" s="133" t="s">
        <v>36</v>
      </c>
      <c r="N862" s="183">
        <v>45108</v>
      </c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  <c r="AB862" s="138"/>
      <c r="AC862" s="138"/>
      <c r="AD862" s="138"/>
      <c r="AE862" s="138"/>
      <c r="AF862" s="138"/>
      <c r="AG862" s="138"/>
      <c r="AH862" s="138"/>
      <c r="AI862" s="138"/>
      <c r="AJ862" s="138"/>
      <c r="AK862" s="138"/>
      <c r="AL862" s="138"/>
      <c r="AM862" s="138"/>
      <c r="AN862" s="138"/>
      <c r="AO862" s="138"/>
      <c r="AP862" s="138"/>
      <c r="AQ862" s="138"/>
      <c r="AR862" s="138"/>
      <c r="AS862" s="138"/>
    </row>
    <row r="863" spans="1:45" ht="15.75" hidden="1" customHeight="1">
      <c r="A863" s="205">
        <v>3</v>
      </c>
      <c r="B863" s="133" t="s">
        <v>91</v>
      </c>
      <c r="C863" s="133" t="s">
        <v>313</v>
      </c>
      <c r="D863" s="133" t="s">
        <v>314</v>
      </c>
      <c r="E863" s="133">
        <v>5</v>
      </c>
      <c r="F863" s="134">
        <v>41041</v>
      </c>
      <c r="G863" s="203" t="s">
        <v>1634</v>
      </c>
      <c r="H863" s="203" t="s">
        <v>316</v>
      </c>
      <c r="I863" s="204">
        <v>44851</v>
      </c>
      <c r="J863" s="135" t="s">
        <v>244</v>
      </c>
      <c r="K863" s="135" t="s">
        <v>122</v>
      </c>
      <c r="L863" s="135" t="s">
        <v>1581</v>
      </c>
      <c r="M863" s="133" t="s">
        <v>36</v>
      </c>
      <c r="N863" s="183">
        <v>45108</v>
      </c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  <c r="AB863" s="138"/>
      <c r="AC863" s="138"/>
      <c r="AD863" s="138"/>
      <c r="AE863" s="138"/>
      <c r="AF863" s="138"/>
      <c r="AG863" s="138"/>
      <c r="AH863" s="138"/>
      <c r="AI863" s="138"/>
      <c r="AJ863" s="138"/>
      <c r="AK863" s="138"/>
      <c r="AL863" s="138"/>
      <c r="AM863" s="138"/>
      <c r="AN863" s="138"/>
      <c r="AO863" s="138"/>
      <c r="AP863" s="138"/>
      <c r="AQ863" s="138"/>
      <c r="AR863" s="138"/>
      <c r="AS863" s="138"/>
    </row>
    <row r="864" spans="1:45" ht="15.75" hidden="1" customHeight="1">
      <c r="A864" s="205">
        <v>4</v>
      </c>
      <c r="B864" s="133" t="s">
        <v>50</v>
      </c>
      <c r="C864" s="133" t="s">
        <v>375</v>
      </c>
      <c r="D864" s="133" t="s">
        <v>1636</v>
      </c>
      <c r="E864" s="133">
        <v>5</v>
      </c>
      <c r="F864" s="134">
        <v>40833</v>
      </c>
      <c r="G864" s="203" t="s">
        <v>1456</v>
      </c>
      <c r="H864" s="203" t="s">
        <v>1457</v>
      </c>
      <c r="I864" s="204">
        <v>44516</v>
      </c>
      <c r="J864" s="135" t="s">
        <v>165</v>
      </c>
      <c r="K864" s="135" t="s">
        <v>205</v>
      </c>
      <c r="L864" s="135" t="s">
        <v>1637</v>
      </c>
      <c r="M864" s="133" t="s">
        <v>36</v>
      </c>
      <c r="N864" s="183">
        <v>45108</v>
      </c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  <c r="AB864" s="138"/>
      <c r="AC864" s="138"/>
      <c r="AD864" s="138"/>
      <c r="AE864" s="138"/>
      <c r="AF864" s="138"/>
      <c r="AG864" s="138"/>
      <c r="AH864" s="138"/>
      <c r="AI864" s="138"/>
      <c r="AJ864" s="138"/>
      <c r="AK864" s="138"/>
      <c r="AL864" s="138"/>
      <c r="AM864" s="138"/>
      <c r="AN864" s="138"/>
      <c r="AO864" s="138"/>
      <c r="AP864" s="138"/>
      <c r="AQ864" s="138"/>
      <c r="AR864" s="138"/>
      <c r="AS864" s="138"/>
    </row>
    <row r="865" spans="1:45" ht="15.75" hidden="1" customHeight="1">
      <c r="A865" s="205">
        <v>5</v>
      </c>
      <c r="B865" s="133" t="s">
        <v>91</v>
      </c>
      <c r="C865" s="133" t="s">
        <v>375</v>
      </c>
      <c r="D865" s="133" t="s">
        <v>1636</v>
      </c>
      <c r="E865" s="133">
        <v>5</v>
      </c>
      <c r="F865" s="134">
        <v>40833</v>
      </c>
      <c r="G865" s="203" t="s">
        <v>1456</v>
      </c>
      <c r="H865" s="203" t="s">
        <v>1457</v>
      </c>
      <c r="I865" s="204">
        <v>44516</v>
      </c>
      <c r="J865" s="135" t="s">
        <v>150</v>
      </c>
      <c r="K865" s="135" t="s">
        <v>111</v>
      </c>
      <c r="L865" s="135" t="s">
        <v>1637</v>
      </c>
      <c r="M865" s="133" t="s">
        <v>36</v>
      </c>
      <c r="N865" s="183">
        <v>45108</v>
      </c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  <c r="AB865" s="138"/>
      <c r="AC865" s="138"/>
      <c r="AD865" s="138"/>
      <c r="AE865" s="138"/>
      <c r="AF865" s="138"/>
      <c r="AG865" s="138"/>
      <c r="AH865" s="138"/>
      <c r="AI865" s="138"/>
      <c r="AJ865" s="138"/>
      <c r="AK865" s="138"/>
      <c r="AL865" s="138"/>
      <c r="AM865" s="138"/>
      <c r="AN865" s="138"/>
      <c r="AO865" s="138"/>
      <c r="AP865" s="138"/>
      <c r="AQ865" s="138"/>
      <c r="AR865" s="138"/>
      <c r="AS865" s="138"/>
    </row>
    <row r="866" spans="1:45" ht="15.75" hidden="1" customHeight="1">
      <c r="A866" s="205">
        <v>6</v>
      </c>
      <c r="B866" s="133" t="s">
        <v>50</v>
      </c>
      <c r="C866" s="133" t="s">
        <v>781</v>
      </c>
      <c r="D866" s="133" t="s">
        <v>1405</v>
      </c>
      <c r="E866" s="133">
        <v>4</v>
      </c>
      <c r="F866" s="134">
        <v>41253</v>
      </c>
      <c r="G866" s="203" t="s">
        <v>1406</v>
      </c>
      <c r="H866" s="203" t="s">
        <v>1407</v>
      </c>
      <c r="I866" s="204">
        <v>44988</v>
      </c>
      <c r="J866" s="135" t="s">
        <v>255</v>
      </c>
      <c r="K866" s="135" t="s">
        <v>132</v>
      </c>
      <c r="L866" s="135" t="s">
        <v>1637</v>
      </c>
      <c r="M866" s="133" t="s">
        <v>36</v>
      </c>
      <c r="N866" s="183">
        <v>45108</v>
      </c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  <c r="AB866" s="138"/>
      <c r="AC866" s="138"/>
      <c r="AD866" s="138"/>
      <c r="AE866" s="138"/>
      <c r="AF866" s="138"/>
      <c r="AG866" s="138"/>
      <c r="AH866" s="138"/>
      <c r="AI866" s="138"/>
      <c r="AJ866" s="138"/>
      <c r="AK866" s="138"/>
      <c r="AL866" s="138"/>
      <c r="AM866" s="138"/>
      <c r="AN866" s="138"/>
      <c r="AO866" s="138"/>
      <c r="AP866" s="138"/>
      <c r="AQ866" s="138"/>
      <c r="AR866" s="138"/>
      <c r="AS866" s="138"/>
    </row>
    <row r="867" spans="1:45" ht="15.75" hidden="1" customHeight="1">
      <c r="A867" s="205">
        <v>7</v>
      </c>
      <c r="B867" s="133" t="s">
        <v>91</v>
      </c>
      <c r="C867" s="133" t="s">
        <v>781</v>
      </c>
      <c r="D867" s="133" t="s">
        <v>1405</v>
      </c>
      <c r="E867" s="133">
        <v>4</v>
      </c>
      <c r="F867" s="134">
        <v>41253</v>
      </c>
      <c r="G867" s="203" t="s">
        <v>1406</v>
      </c>
      <c r="H867" s="203" t="s">
        <v>1407</v>
      </c>
      <c r="I867" s="204">
        <v>44988</v>
      </c>
      <c r="J867" s="135" t="s">
        <v>188</v>
      </c>
      <c r="K867" s="135" t="s">
        <v>181</v>
      </c>
      <c r="L867" s="135" t="s">
        <v>1637</v>
      </c>
      <c r="M867" s="133" t="s">
        <v>36</v>
      </c>
      <c r="N867" s="183">
        <v>45108</v>
      </c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  <c r="AB867" s="138"/>
      <c r="AC867" s="138"/>
      <c r="AD867" s="138"/>
      <c r="AE867" s="138"/>
      <c r="AF867" s="138"/>
      <c r="AG867" s="138"/>
      <c r="AH867" s="138"/>
      <c r="AI867" s="138"/>
      <c r="AJ867" s="138"/>
      <c r="AK867" s="138"/>
      <c r="AL867" s="138"/>
      <c r="AM867" s="138"/>
      <c r="AN867" s="138"/>
      <c r="AO867" s="138"/>
      <c r="AP867" s="138"/>
      <c r="AQ867" s="138"/>
      <c r="AR867" s="138"/>
      <c r="AS867" s="138"/>
    </row>
    <row r="868" spans="1:45" ht="15.75" hidden="1" customHeight="1">
      <c r="A868" s="205">
        <v>8</v>
      </c>
      <c r="B868" s="133" t="s">
        <v>50</v>
      </c>
      <c r="C868" s="133" t="s">
        <v>324</v>
      </c>
      <c r="D868" s="133" t="s">
        <v>325</v>
      </c>
      <c r="E868" s="133" t="s">
        <v>190</v>
      </c>
      <c r="F868" s="134">
        <v>42270</v>
      </c>
      <c r="G868" s="203" t="s">
        <v>326</v>
      </c>
      <c r="H868" s="203" t="s">
        <v>327</v>
      </c>
      <c r="I868" s="204">
        <v>410047</v>
      </c>
      <c r="J868" s="135" t="s">
        <v>358</v>
      </c>
      <c r="K868" s="135" t="s">
        <v>388</v>
      </c>
      <c r="L868" s="135" t="s">
        <v>1638</v>
      </c>
      <c r="M868" s="133" t="s">
        <v>36</v>
      </c>
      <c r="N868" s="183">
        <v>45108</v>
      </c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  <c r="AB868" s="138"/>
      <c r="AC868" s="138"/>
      <c r="AD868" s="138"/>
      <c r="AE868" s="138"/>
      <c r="AF868" s="138"/>
      <c r="AG868" s="138"/>
      <c r="AH868" s="138"/>
      <c r="AI868" s="138"/>
      <c r="AJ868" s="138"/>
      <c r="AK868" s="138"/>
      <c r="AL868" s="138"/>
      <c r="AM868" s="138"/>
      <c r="AN868" s="138"/>
      <c r="AO868" s="138"/>
      <c r="AP868" s="138"/>
      <c r="AQ868" s="138"/>
      <c r="AR868" s="138"/>
      <c r="AS868" s="138"/>
    </row>
    <row r="869" spans="1:45" ht="15.75" hidden="1" customHeight="1">
      <c r="A869" s="202">
        <v>9</v>
      </c>
      <c r="B869" s="133" t="s">
        <v>91</v>
      </c>
      <c r="C869" s="133" t="s">
        <v>324</v>
      </c>
      <c r="D869" s="133" t="s">
        <v>325</v>
      </c>
      <c r="E869" s="133" t="s">
        <v>190</v>
      </c>
      <c r="F869" s="134">
        <v>42270</v>
      </c>
      <c r="G869" s="203" t="s">
        <v>326</v>
      </c>
      <c r="H869" s="203" t="s">
        <v>327</v>
      </c>
      <c r="I869" s="204">
        <v>410047</v>
      </c>
      <c r="J869" s="135" t="s">
        <v>150</v>
      </c>
      <c r="K869" s="135" t="s">
        <v>597</v>
      </c>
      <c r="L869" s="135" t="s">
        <v>1638</v>
      </c>
      <c r="M869" s="133" t="s">
        <v>36</v>
      </c>
      <c r="N869" s="183">
        <v>45108</v>
      </c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  <c r="AB869" s="138"/>
      <c r="AC869" s="138"/>
      <c r="AD869" s="138"/>
      <c r="AE869" s="138"/>
      <c r="AF869" s="138"/>
      <c r="AG869" s="138"/>
      <c r="AH869" s="138"/>
      <c r="AI869" s="138"/>
      <c r="AJ869" s="138"/>
      <c r="AK869" s="138"/>
      <c r="AL869" s="138"/>
      <c r="AM869" s="138"/>
      <c r="AN869" s="138"/>
      <c r="AO869" s="138"/>
      <c r="AP869" s="138"/>
      <c r="AQ869" s="138"/>
      <c r="AR869" s="138"/>
      <c r="AS869" s="138"/>
    </row>
    <row r="870" spans="1:45" ht="15.75" hidden="1" customHeight="1">
      <c r="A870" s="205">
        <v>10</v>
      </c>
      <c r="B870" s="133" t="s">
        <v>50</v>
      </c>
      <c r="C870" s="133" t="s">
        <v>463</v>
      </c>
      <c r="D870" s="133" t="s">
        <v>471</v>
      </c>
      <c r="E870" s="133">
        <v>1</v>
      </c>
      <c r="F870" s="134">
        <v>42608</v>
      </c>
      <c r="G870" s="203" t="s">
        <v>465</v>
      </c>
      <c r="H870" s="203" t="s">
        <v>466</v>
      </c>
      <c r="I870" s="204">
        <v>44805</v>
      </c>
      <c r="J870" s="135" t="s">
        <v>124</v>
      </c>
      <c r="K870" s="135" t="s">
        <v>663</v>
      </c>
      <c r="L870" s="135" t="s">
        <v>1633</v>
      </c>
      <c r="M870" s="133" t="s">
        <v>36</v>
      </c>
      <c r="N870" s="183">
        <v>45108</v>
      </c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  <c r="AB870" s="138"/>
      <c r="AC870" s="138"/>
      <c r="AD870" s="138"/>
      <c r="AE870" s="138"/>
      <c r="AF870" s="138"/>
      <c r="AG870" s="138"/>
      <c r="AH870" s="138"/>
      <c r="AI870" s="138"/>
      <c r="AJ870" s="138"/>
      <c r="AK870" s="138"/>
      <c r="AL870" s="138"/>
      <c r="AM870" s="138"/>
      <c r="AN870" s="138"/>
      <c r="AO870" s="138"/>
      <c r="AP870" s="138"/>
      <c r="AQ870" s="138"/>
      <c r="AR870" s="138"/>
      <c r="AS870" s="138"/>
    </row>
    <row r="871" spans="1:45" ht="15.75" hidden="1" customHeight="1">
      <c r="A871" s="205">
        <v>11</v>
      </c>
      <c r="B871" s="133" t="s">
        <v>50</v>
      </c>
      <c r="C871" s="133" t="s">
        <v>286</v>
      </c>
      <c r="D871" s="133" t="s">
        <v>287</v>
      </c>
      <c r="E871" s="133">
        <v>5</v>
      </c>
      <c r="F871" s="134">
        <v>41060</v>
      </c>
      <c r="G871" s="203" t="s">
        <v>288</v>
      </c>
      <c r="H871" s="203" t="s">
        <v>289</v>
      </c>
      <c r="I871" s="204">
        <v>44977</v>
      </c>
      <c r="J871" s="135" t="s">
        <v>358</v>
      </c>
      <c r="K871" s="135" t="s">
        <v>181</v>
      </c>
      <c r="L871" s="135" t="s">
        <v>1639</v>
      </c>
      <c r="M871" s="133" t="s">
        <v>36</v>
      </c>
      <c r="N871" s="183">
        <v>45108</v>
      </c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  <c r="AB871" s="138"/>
      <c r="AC871" s="138"/>
      <c r="AD871" s="138"/>
      <c r="AE871" s="138"/>
      <c r="AF871" s="138"/>
      <c r="AG871" s="138"/>
      <c r="AH871" s="138"/>
      <c r="AI871" s="138"/>
      <c r="AJ871" s="138"/>
      <c r="AK871" s="138"/>
      <c r="AL871" s="138"/>
      <c r="AM871" s="138"/>
      <c r="AN871" s="138"/>
      <c r="AO871" s="138"/>
      <c r="AP871" s="138"/>
      <c r="AQ871" s="138"/>
      <c r="AR871" s="138"/>
      <c r="AS871" s="138"/>
    </row>
    <row r="872" spans="1:45" ht="15.75" hidden="1" customHeight="1">
      <c r="A872" s="205">
        <v>12</v>
      </c>
      <c r="B872" s="133" t="s">
        <v>50</v>
      </c>
      <c r="C872" s="133" t="s">
        <v>286</v>
      </c>
      <c r="D872" s="133" t="s">
        <v>278</v>
      </c>
      <c r="E872" s="133">
        <v>2</v>
      </c>
      <c r="F872" s="134">
        <v>42102</v>
      </c>
      <c r="G872" s="203" t="s">
        <v>288</v>
      </c>
      <c r="H872" s="203" t="s">
        <v>289</v>
      </c>
      <c r="I872" s="204">
        <v>44977</v>
      </c>
      <c r="J872" s="135" t="s">
        <v>140</v>
      </c>
      <c r="K872" s="135" t="s">
        <v>957</v>
      </c>
      <c r="L872" s="135" t="s">
        <v>1639</v>
      </c>
      <c r="M872" s="133" t="s">
        <v>36</v>
      </c>
      <c r="N872" s="183">
        <v>45108</v>
      </c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  <c r="AB872" s="138"/>
      <c r="AC872" s="138"/>
      <c r="AD872" s="138"/>
      <c r="AE872" s="138"/>
      <c r="AF872" s="138"/>
      <c r="AG872" s="138"/>
      <c r="AH872" s="138"/>
      <c r="AI872" s="138"/>
      <c r="AJ872" s="138"/>
      <c r="AK872" s="138"/>
      <c r="AL872" s="138"/>
      <c r="AM872" s="138"/>
      <c r="AN872" s="138"/>
      <c r="AO872" s="138"/>
      <c r="AP872" s="138"/>
      <c r="AQ872" s="138"/>
      <c r="AR872" s="138"/>
      <c r="AS872" s="138"/>
    </row>
    <row r="873" spans="1:45" ht="15.75" hidden="1" customHeight="1">
      <c r="A873" s="205">
        <v>13</v>
      </c>
      <c r="B873" s="133" t="s">
        <v>50</v>
      </c>
      <c r="C873" s="133" t="s">
        <v>1494</v>
      </c>
      <c r="D873" s="133" t="s">
        <v>1495</v>
      </c>
      <c r="E873" s="133">
        <v>6</v>
      </c>
      <c r="F873" s="134">
        <v>40646</v>
      </c>
      <c r="G873" s="203" t="s">
        <v>1640</v>
      </c>
      <c r="H873" s="203" t="s">
        <v>1497</v>
      </c>
      <c r="I873" s="204">
        <v>44973</v>
      </c>
      <c r="J873" s="135" t="s">
        <v>261</v>
      </c>
      <c r="K873" s="135" t="s">
        <v>162</v>
      </c>
      <c r="L873" s="135"/>
      <c r="M873" s="133" t="s">
        <v>36</v>
      </c>
      <c r="N873" s="183">
        <v>45108</v>
      </c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  <c r="AB873" s="138"/>
      <c r="AC873" s="138"/>
      <c r="AD873" s="138"/>
      <c r="AE873" s="138"/>
      <c r="AF873" s="138"/>
      <c r="AG873" s="138"/>
      <c r="AH873" s="138"/>
      <c r="AI873" s="138"/>
      <c r="AJ873" s="138"/>
      <c r="AK873" s="138"/>
      <c r="AL873" s="138"/>
      <c r="AM873" s="138"/>
      <c r="AN873" s="138"/>
      <c r="AO873" s="138"/>
      <c r="AP873" s="138"/>
      <c r="AQ873" s="138"/>
      <c r="AR873" s="138"/>
      <c r="AS873" s="138"/>
    </row>
    <row r="874" spans="1:45" ht="15.75" hidden="1" customHeight="1">
      <c r="A874" s="205">
        <v>14</v>
      </c>
      <c r="B874" s="133" t="s">
        <v>50</v>
      </c>
      <c r="C874" s="133" t="s">
        <v>1494</v>
      </c>
      <c r="D874" s="133" t="s">
        <v>1499</v>
      </c>
      <c r="E874" s="133" t="s">
        <v>190</v>
      </c>
      <c r="F874" s="134">
        <v>40646</v>
      </c>
      <c r="G874" s="203" t="s">
        <v>1640</v>
      </c>
      <c r="H874" s="203" t="s">
        <v>1497</v>
      </c>
      <c r="I874" s="204">
        <v>44973</v>
      </c>
      <c r="J874" s="135" t="s">
        <v>261</v>
      </c>
      <c r="K874" s="135" t="s">
        <v>291</v>
      </c>
      <c r="L874" s="135"/>
      <c r="M874" s="133" t="s">
        <v>36</v>
      </c>
      <c r="N874" s="183">
        <v>45108</v>
      </c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  <c r="AB874" s="138"/>
      <c r="AC874" s="138"/>
      <c r="AD874" s="138"/>
      <c r="AE874" s="138"/>
      <c r="AF874" s="138"/>
      <c r="AG874" s="138"/>
      <c r="AH874" s="138"/>
      <c r="AI874" s="138"/>
      <c r="AJ874" s="138"/>
      <c r="AK874" s="138"/>
      <c r="AL874" s="138"/>
      <c r="AM874" s="138"/>
      <c r="AN874" s="138"/>
      <c r="AO874" s="138"/>
      <c r="AP874" s="138"/>
      <c r="AQ874" s="138"/>
      <c r="AR874" s="138"/>
      <c r="AS874" s="138"/>
    </row>
    <row r="875" spans="1:45" ht="15.75" hidden="1" customHeight="1">
      <c r="A875" s="205">
        <v>15</v>
      </c>
      <c r="B875" s="133" t="s">
        <v>50</v>
      </c>
      <c r="C875" s="133" t="s">
        <v>182</v>
      </c>
      <c r="D875" s="133" t="s">
        <v>1641</v>
      </c>
      <c r="E875" s="133" t="s">
        <v>190</v>
      </c>
      <c r="F875" s="134">
        <v>42736</v>
      </c>
      <c r="G875" s="203" t="s">
        <v>1533</v>
      </c>
      <c r="H875" s="203" t="s">
        <v>1534</v>
      </c>
      <c r="I875" s="204">
        <v>44882</v>
      </c>
      <c r="J875" s="135" t="s">
        <v>134</v>
      </c>
      <c r="K875" s="135" t="s">
        <v>680</v>
      </c>
      <c r="L875" s="135" t="s">
        <v>1642</v>
      </c>
      <c r="M875" s="133" t="s">
        <v>36</v>
      </c>
      <c r="N875" s="183">
        <v>45108</v>
      </c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  <c r="AB875" s="138"/>
      <c r="AC875" s="138"/>
      <c r="AD875" s="138"/>
      <c r="AE875" s="138"/>
      <c r="AF875" s="138"/>
      <c r="AG875" s="138"/>
      <c r="AH875" s="138"/>
      <c r="AI875" s="138"/>
      <c r="AJ875" s="138"/>
      <c r="AK875" s="138"/>
      <c r="AL875" s="138"/>
      <c r="AM875" s="138"/>
      <c r="AN875" s="138"/>
      <c r="AO875" s="138"/>
      <c r="AP875" s="138"/>
      <c r="AQ875" s="138"/>
      <c r="AR875" s="138"/>
      <c r="AS875" s="138"/>
    </row>
    <row r="876" spans="1:45" ht="15.75" hidden="1" customHeight="1">
      <c r="A876" s="205">
        <v>16</v>
      </c>
      <c r="B876" s="133" t="s">
        <v>50</v>
      </c>
      <c r="C876" s="133" t="s">
        <v>1643</v>
      </c>
      <c r="D876" s="133" t="s">
        <v>1644</v>
      </c>
      <c r="E876" s="133">
        <v>4</v>
      </c>
      <c r="F876" s="134">
        <v>41074</v>
      </c>
      <c r="G876" s="203" t="s">
        <v>1645</v>
      </c>
      <c r="H876" s="203" t="s">
        <v>1646</v>
      </c>
      <c r="I876" s="204">
        <v>44728</v>
      </c>
      <c r="J876" s="135" t="s">
        <v>221</v>
      </c>
      <c r="K876" s="135" t="s">
        <v>566</v>
      </c>
      <c r="L876" s="135" t="s">
        <v>1187</v>
      </c>
      <c r="M876" s="133" t="s">
        <v>36</v>
      </c>
      <c r="N876" s="183">
        <v>45108</v>
      </c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  <c r="AB876" s="138"/>
      <c r="AC876" s="138"/>
      <c r="AD876" s="138"/>
      <c r="AE876" s="138"/>
      <c r="AF876" s="138"/>
      <c r="AG876" s="138"/>
      <c r="AH876" s="138"/>
      <c r="AI876" s="138"/>
      <c r="AJ876" s="138"/>
      <c r="AK876" s="138"/>
      <c r="AL876" s="138"/>
      <c r="AM876" s="138"/>
      <c r="AN876" s="138"/>
      <c r="AO876" s="138"/>
      <c r="AP876" s="138"/>
      <c r="AQ876" s="138"/>
      <c r="AR876" s="138"/>
      <c r="AS876" s="138"/>
    </row>
    <row r="877" spans="1:45" ht="15.75" hidden="1" customHeight="1">
      <c r="A877" s="202">
        <v>17</v>
      </c>
      <c r="B877" s="133" t="s">
        <v>91</v>
      </c>
      <c r="C877" s="133" t="s">
        <v>1643</v>
      </c>
      <c r="D877" s="133" t="s">
        <v>1644</v>
      </c>
      <c r="E877" s="133">
        <v>4</v>
      </c>
      <c r="F877" s="134">
        <v>41074</v>
      </c>
      <c r="G877" s="203" t="s">
        <v>1645</v>
      </c>
      <c r="H877" s="203" t="s">
        <v>1646</v>
      </c>
      <c r="I877" s="204">
        <v>44531</v>
      </c>
      <c r="J877" s="135" t="s">
        <v>255</v>
      </c>
      <c r="K877" s="206">
        <v>110</v>
      </c>
      <c r="L877" s="135" t="s">
        <v>1187</v>
      </c>
      <c r="M877" s="133" t="s">
        <v>36</v>
      </c>
      <c r="N877" s="183">
        <v>45108</v>
      </c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  <c r="AB877" s="138"/>
      <c r="AC877" s="138"/>
      <c r="AD877" s="138"/>
      <c r="AE877" s="138"/>
      <c r="AF877" s="138"/>
      <c r="AG877" s="138"/>
      <c r="AH877" s="138"/>
      <c r="AI877" s="138"/>
      <c r="AJ877" s="138"/>
      <c r="AK877" s="138"/>
      <c r="AL877" s="138"/>
      <c r="AM877" s="138"/>
      <c r="AN877" s="138"/>
      <c r="AO877" s="138"/>
      <c r="AP877" s="138"/>
      <c r="AQ877" s="138"/>
      <c r="AR877" s="138"/>
      <c r="AS877" s="138"/>
    </row>
    <row r="878" spans="1:45" ht="15.75" hidden="1" customHeight="1">
      <c r="A878" s="205">
        <v>18</v>
      </c>
      <c r="B878" s="133" t="s">
        <v>50</v>
      </c>
      <c r="C878" s="133" t="s">
        <v>1647</v>
      </c>
      <c r="D878" s="133" t="s">
        <v>1648</v>
      </c>
      <c r="E878" s="133">
        <v>7</v>
      </c>
      <c r="F878" s="134">
        <v>41733</v>
      </c>
      <c r="G878" s="203" t="s">
        <v>1649</v>
      </c>
      <c r="H878" s="203" t="s">
        <v>1650</v>
      </c>
      <c r="I878" s="204">
        <v>45096</v>
      </c>
      <c r="J878" s="135" t="s">
        <v>261</v>
      </c>
      <c r="K878" s="135" t="s">
        <v>187</v>
      </c>
      <c r="L878" s="135"/>
      <c r="M878" s="133" t="s">
        <v>36</v>
      </c>
      <c r="N878" s="183">
        <v>45108</v>
      </c>
      <c r="O878" s="138"/>
      <c r="P878" s="177">
        <f>771-217+1+189+295</f>
        <v>1039</v>
      </c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  <c r="AB878" s="138"/>
      <c r="AC878" s="138"/>
      <c r="AD878" s="138"/>
      <c r="AE878" s="138"/>
      <c r="AF878" s="138"/>
      <c r="AG878" s="138"/>
      <c r="AH878" s="138"/>
      <c r="AI878" s="138"/>
      <c r="AJ878" s="138"/>
      <c r="AK878" s="138"/>
      <c r="AL878" s="138"/>
      <c r="AM878" s="138"/>
      <c r="AN878" s="138"/>
      <c r="AO878" s="138"/>
      <c r="AP878" s="138"/>
      <c r="AQ878" s="138"/>
      <c r="AR878" s="138"/>
      <c r="AS878" s="138"/>
    </row>
    <row r="879" spans="1:45" ht="15.75" hidden="1" customHeight="1">
      <c r="A879" s="205">
        <v>19</v>
      </c>
      <c r="B879" s="133" t="s">
        <v>91</v>
      </c>
      <c r="C879" s="133" t="s">
        <v>1647</v>
      </c>
      <c r="D879" s="133" t="s">
        <v>1648</v>
      </c>
      <c r="E879" s="133">
        <v>7</v>
      </c>
      <c r="F879" s="134">
        <v>41733</v>
      </c>
      <c r="G879" s="203" t="s">
        <v>1649</v>
      </c>
      <c r="H879" s="203" t="s">
        <v>1650</v>
      </c>
      <c r="I879" s="204">
        <v>45096</v>
      </c>
      <c r="J879" s="135" t="s">
        <v>156</v>
      </c>
      <c r="K879" s="135" t="s">
        <v>126</v>
      </c>
      <c r="L879" s="135"/>
      <c r="M879" s="133" t="s">
        <v>36</v>
      </c>
      <c r="N879" s="183">
        <v>45108</v>
      </c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  <c r="AB879" s="138"/>
      <c r="AC879" s="138"/>
      <c r="AD879" s="138"/>
      <c r="AE879" s="138"/>
      <c r="AF879" s="138"/>
      <c r="AG879" s="138"/>
      <c r="AH879" s="138"/>
      <c r="AI879" s="138"/>
      <c r="AJ879" s="138"/>
      <c r="AK879" s="138"/>
      <c r="AL879" s="138"/>
      <c r="AM879" s="138"/>
      <c r="AN879" s="138"/>
      <c r="AO879" s="138"/>
      <c r="AP879" s="138"/>
      <c r="AQ879" s="138"/>
      <c r="AR879" s="138"/>
      <c r="AS879" s="138"/>
    </row>
    <row r="880" spans="1:45" ht="15.75" hidden="1" customHeight="1">
      <c r="A880" s="205">
        <v>20</v>
      </c>
      <c r="B880" s="133" t="s">
        <v>50</v>
      </c>
      <c r="C880" s="133" t="s">
        <v>1121</v>
      </c>
      <c r="D880" s="133" t="s">
        <v>1122</v>
      </c>
      <c r="E880" s="133">
        <v>6</v>
      </c>
      <c r="F880" s="134">
        <v>41663</v>
      </c>
      <c r="G880" s="203" t="s">
        <v>1651</v>
      </c>
      <c r="H880" s="203" t="s">
        <v>1124</v>
      </c>
      <c r="I880" s="204">
        <v>44795</v>
      </c>
      <c r="J880" s="135" t="s">
        <v>317</v>
      </c>
      <c r="K880" s="135" t="s">
        <v>162</v>
      </c>
      <c r="L880" s="135"/>
      <c r="M880" s="133" t="s">
        <v>36</v>
      </c>
      <c r="N880" s="183">
        <v>45108</v>
      </c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  <c r="AB880" s="138"/>
      <c r="AC880" s="138"/>
      <c r="AD880" s="138"/>
      <c r="AE880" s="138"/>
      <c r="AF880" s="138"/>
      <c r="AG880" s="138"/>
      <c r="AH880" s="138"/>
      <c r="AI880" s="138"/>
      <c r="AJ880" s="138"/>
      <c r="AK880" s="138"/>
      <c r="AL880" s="138"/>
      <c r="AM880" s="138"/>
      <c r="AN880" s="138"/>
      <c r="AO880" s="138"/>
      <c r="AP880" s="138"/>
      <c r="AQ880" s="138"/>
      <c r="AR880" s="138"/>
      <c r="AS880" s="138"/>
    </row>
    <row r="881" spans="1:45" ht="15.75" hidden="1" customHeight="1">
      <c r="A881" s="205">
        <v>21</v>
      </c>
      <c r="B881" s="133" t="s">
        <v>91</v>
      </c>
      <c r="C881" s="133" t="s">
        <v>1121</v>
      </c>
      <c r="D881" s="133" t="s">
        <v>1122</v>
      </c>
      <c r="E881" s="133">
        <v>6</v>
      </c>
      <c r="F881" s="134">
        <v>41663</v>
      </c>
      <c r="G881" s="203" t="s">
        <v>1651</v>
      </c>
      <c r="H881" s="203" t="s">
        <v>1124</v>
      </c>
      <c r="I881" s="204">
        <v>44795</v>
      </c>
      <c r="J881" s="135" t="s">
        <v>244</v>
      </c>
      <c r="K881" s="135" t="s">
        <v>187</v>
      </c>
      <c r="L881" s="135"/>
      <c r="M881" s="133" t="s">
        <v>36</v>
      </c>
      <c r="N881" s="183">
        <v>45108</v>
      </c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  <c r="AB881" s="138"/>
      <c r="AC881" s="138"/>
      <c r="AD881" s="138"/>
      <c r="AE881" s="138"/>
      <c r="AF881" s="138"/>
      <c r="AG881" s="138"/>
      <c r="AH881" s="138"/>
      <c r="AI881" s="138"/>
      <c r="AJ881" s="138"/>
      <c r="AK881" s="138"/>
      <c r="AL881" s="138"/>
      <c r="AM881" s="138"/>
      <c r="AN881" s="138"/>
      <c r="AO881" s="138"/>
      <c r="AP881" s="138"/>
      <c r="AQ881" s="138"/>
      <c r="AR881" s="138"/>
      <c r="AS881" s="138"/>
    </row>
    <row r="882" spans="1:45" ht="15.75" hidden="1" customHeight="1">
      <c r="A882" s="205">
        <v>22</v>
      </c>
      <c r="B882" s="133" t="s">
        <v>50</v>
      </c>
      <c r="C882" s="133" t="s">
        <v>781</v>
      </c>
      <c r="D882" s="133" t="s">
        <v>569</v>
      </c>
      <c r="E882" s="133">
        <v>2</v>
      </c>
      <c r="F882" s="134">
        <v>41875</v>
      </c>
      <c r="G882" s="203" t="s">
        <v>1406</v>
      </c>
      <c r="H882" s="203" t="s">
        <v>1407</v>
      </c>
      <c r="I882" s="204">
        <v>44988</v>
      </c>
      <c r="J882" s="135" t="s">
        <v>261</v>
      </c>
      <c r="K882" s="135" t="s">
        <v>166</v>
      </c>
      <c r="L882" s="135"/>
      <c r="M882" s="133" t="s">
        <v>36</v>
      </c>
      <c r="N882" s="183">
        <v>45108</v>
      </c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  <c r="AB882" s="138"/>
      <c r="AC882" s="138"/>
      <c r="AD882" s="138"/>
      <c r="AE882" s="138"/>
      <c r="AF882" s="138"/>
      <c r="AG882" s="138"/>
      <c r="AH882" s="138"/>
      <c r="AI882" s="138"/>
      <c r="AJ882" s="138"/>
      <c r="AK882" s="138"/>
      <c r="AL882" s="138"/>
      <c r="AM882" s="138"/>
      <c r="AN882" s="138"/>
      <c r="AO882" s="138"/>
      <c r="AP882" s="138"/>
      <c r="AQ882" s="138"/>
      <c r="AR882" s="138"/>
      <c r="AS882" s="138"/>
    </row>
    <row r="883" spans="1:45" ht="15.75" hidden="1" customHeight="1">
      <c r="A883" s="205">
        <v>23</v>
      </c>
      <c r="B883" s="133" t="s">
        <v>91</v>
      </c>
      <c r="C883" s="133" t="s">
        <v>781</v>
      </c>
      <c r="D883" s="133" t="s">
        <v>569</v>
      </c>
      <c r="E883" s="133">
        <v>2</v>
      </c>
      <c r="F883" s="134">
        <v>41875</v>
      </c>
      <c r="G883" s="203" t="s">
        <v>1406</v>
      </c>
      <c r="H883" s="203" t="s">
        <v>1407</v>
      </c>
      <c r="I883" s="204">
        <v>44988</v>
      </c>
      <c r="J883" s="135" t="s">
        <v>141</v>
      </c>
      <c r="K883" s="135" t="s">
        <v>232</v>
      </c>
      <c r="L883" s="135"/>
      <c r="M883" s="133" t="s">
        <v>36</v>
      </c>
      <c r="N883" s="183">
        <v>45108</v>
      </c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  <c r="AB883" s="138"/>
      <c r="AC883" s="138"/>
      <c r="AD883" s="138"/>
      <c r="AE883" s="138"/>
      <c r="AF883" s="138"/>
      <c r="AG883" s="138"/>
      <c r="AH883" s="138"/>
      <c r="AI883" s="138"/>
      <c r="AJ883" s="138"/>
      <c r="AK883" s="138"/>
      <c r="AL883" s="138"/>
      <c r="AM883" s="138"/>
      <c r="AN883" s="138"/>
      <c r="AO883" s="138"/>
      <c r="AP883" s="138"/>
      <c r="AQ883" s="138"/>
      <c r="AR883" s="138"/>
      <c r="AS883" s="138"/>
    </row>
    <row r="884" spans="1:45" ht="15.75" hidden="1" customHeight="1">
      <c r="A884" s="205">
        <v>24</v>
      </c>
      <c r="B884" s="133" t="s">
        <v>50</v>
      </c>
      <c r="C884" s="133" t="s">
        <v>1121</v>
      </c>
      <c r="D884" s="133" t="s">
        <v>1126</v>
      </c>
      <c r="E884" s="133">
        <v>3</v>
      </c>
      <c r="F884" s="134">
        <v>41663</v>
      </c>
      <c r="G884" s="203" t="s">
        <v>1651</v>
      </c>
      <c r="H884" s="203" t="s">
        <v>1124</v>
      </c>
      <c r="I884" s="204">
        <v>44718</v>
      </c>
      <c r="J884" s="135" t="s">
        <v>204</v>
      </c>
      <c r="K884" s="135" t="s">
        <v>111</v>
      </c>
      <c r="L884" s="135"/>
      <c r="M884" s="133" t="s">
        <v>36</v>
      </c>
      <c r="N884" s="183">
        <v>45108</v>
      </c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  <c r="AB884" s="138"/>
      <c r="AC884" s="138"/>
      <c r="AD884" s="138"/>
      <c r="AE884" s="138"/>
      <c r="AF884" s="138"/>
      <c r="AG884" s="138"/>
      <c r="AH884" s="138"/>
      <c r="AI884" s="138"/>
      <c r="AJ884" s="138"/>
      <c r="AK884" s="138"/>
      <c r="AL884" s="138"/>
      <c r="AM884" s="138"/>
      <c r="AN884" s="138"/>
      <c r="AO884" s="138"/>
      <c r="AP884" s="138"/>
      <c r="AQ884" s="138"/>
      <c r="AR884" s="138"/>
      <c r="AS884" s="138"/>
    </row>
    <row r="885" spans="1:45" ht="15.75" hidden="1" customHeight="1">
      <c r="A885" s="202">
        <v>25</v>
      </c>
      <c r="B885" s="133" t="s">
        <v>91</v>
      </c>
      <c r="C885" s="133" t="s">
        <v>1121</v>
      </c>
      <c r="D885" s="133" t="s">
        <v>1126</v>
      </c>
      <c r="E885" s="133">
        <v>3</v>
      </c>
      <c r="F885" s="134">
        <v>41663</v>
      </c>
      <c r="G885" s="203" t="s">
        <v>1651</v>
      </c>
      <c r="H885" s="203" t="s">
        <v>1124</v>
      </c>
      <c r="I885" s="204">
        <v>44718</v>
      </c>
      <c r="J885" s="135" t="s">
        <v>150</v>
      </c>
      <c r="K885" s="135" t="s">
        <v>135</v>
      </c>
      <c r="L885" s="135"/>
      <c r="M885" s="133" t="s">
        <v>36</v>
      </c>
      <c r="N885" s="183">
        <v>45108</v>
      </c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  <c r="AB885" s="138"/>
      <c r="AC885" s="138"/>
      <c r="AD885" s="138"/>
      <c r="AE885" s="138"/>
      <c r="AF885" s="138"/>
      <c r="AG885" s="138"/>
      <c r="AH885" s="138"/>
      <c r="AI885" s="138"/>
      <c r="AJ885" s="138"/>
      <c r="AK885" s="138"/>
      <c r="AL885" s="138"/>
      <c r="AM885" s="138"/>
      <c r="AN885" s="138"/>
      <c r="AO885" s="138"/>
      <c r="AP885" s="138"/>
      <c r="AQ885" s="138"/>
      <c r="AR885" s="138"/>
      <c r="AS885" s="138"/>
    </row>
    <row r="886" spans="1:45" ht="15.75" hidden="1" customHeight="1">
      <c r="A886" s="205">
        <v>26</v>
      </c>
      <c r="B886" s="133" t="s">
        <v>50</v>
      </c>
      <c r="C886" s="133" t="s">
        <v>455</v>
      </c>
      <c r="D886" s="133" t="s">
        <v>456</v>
      </c>
      <c r="E886" s="133" t="s">
        <v>190</v>
      </c>
      <c r="F886" s="134">
        <v>42829</v>
      </c>
      <c r="G886" s="203" t="s">
        <v>1473</v>
      </c>
      <c r="H886" s="203" t="s">
        <v>458</v>
      </c>
      <c r="I886" s="204">
        <v>44732</v>
      </c>
      <c r="J886" s="135" t="s">
        <v>308</v>
      </c>
      <c r="K886" s="135" t="s">
        <v>232</v>
      </c>
      <c r="L886" s="135" t="s">
        <v>1652</v>
      </c>
      <c r="M886" s="133" t="s">
        <v>36</v>
      </c>
      <c r="N886" s="183">
        <v>45108</v>
      </c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  <c r="AB886" s="138"/>
      <c r="AC886" s="138"/>
      <c r="AD886" s="138"/>
      <c r="AE886" s="138"/>
      <c r="AF886" s="138"/>
      <c r="AG886" s="138"/>
      <c r="AH886" s="138"/>
      <c r="AI886" s="138"/>
      <c r="AJ886" s="138"/>
      <c r="AK886" s="138"/>
      <c r="AL886" s="138"/>
      <c r="AM886" s="138"/>
      <c r="AN886" s="138"/>
      <c r="AO886" s="138"/>
      <c r="AP886" s="138"/>
      <c r="AQ886" s="138"/>
      <c r="AR886" s="138"/>
      <c r="AS886" s="138"/>
    </row>
    <row r="887" spans="1:45" ht="15.75" hidden="1" customHeight="1">
      <c r="A887" s="205">
        <v>27</v>
      </c>
      <c r="B887" s="133" t="s">
        <v>91</v>
      </c>
      <c r="C887" s="133" t="s">
        <v>455</v>
      </c>
      <c r="D887" s="133" t="s">
        <v>456</v>
      </c>
      <c r="E887" s="133" t="s">
        <v>190</v>
      </c>
      <c r="F887" s="134">
        <v>42829</v>
      </c>
      <c r="G887" s="203" t="s">
        <v>1473</v>
      </c>
      <c r="H887" s="203" t="s">
        <v>458</v>
      </c>
      <c r="I887" s="204">
        <v>44732</v>
      </c>
      <c r="J887" s="135" t="s">
        <v>194</v>
      </c>
      <c r="K887" s="135" t="s">
        <v>175</v>
      </c>
      <c r="L887" s="135" t="s">
        <v>1652</v>
      </c>
      <c r="M887" s="133" t="s">
        <v>36</v>
      </c>
      <c r="N887" s="183">
        <v>45108</v>
      </c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  <c r="AB887" s="138"/>
      <c r="AC887" s="138"/>
      <c r="AD887" s="138"/>
      <c r="AE887" s="138"/>
      <c r="AF887" s="138"/>
      <c r="AG887" s="138"/>
      <c r="AH887" s="138"/>
      <c r="AI887" s="138"/>
      <c r="AJ887" s="138"/>
      <c r="AK887" s="138"/>
      <c r="AL887" s="138"/>
      <c r="AM887" s="138"/>
      <c r="AN887" s="138"/>
      <c r="AO887" s="138"/>
      <c r="AP887" s="138"/>
      <c r="AQ887" s="138"/>
      <c r="AR887" s="138"/>
      <c r="AS887" s="138"/>
    </row>
    <row r="888" spans="1:45" ht="15.75" hidden="1" customHeight="1">
      <c r="A888" s="205">
        <v>28</v>
      </c>
      <c r="B888" s="133" t="s">
        <v>50</v>
      </c>
      <c r="C888" s="133" t="s">
        <v>1511</v>
      </c>
      <c r="D888" s="133" t="s">
        <v>1512</v>
      </c>
      <c r="E888" s="133">
        <v>4</v>
      </c>
      <c r="F888" s="134">
        <v>41616</v>
      </c>
      <c r="G888" s="203" t="s">
        <v>1653</v>
      </c>
      <c r="H888" s="203" t="s">
        <v>1514</v>
      </c>
      <c r="I888" s="204">
        <v>44985</v>
      </c>
      <c r="J888" s="135" t="s">
        <v>124</v>
      </c>
      <c r="K888" s="135" t="s">
        <v>181</v>
      </c>
      <c r="L888" s="135"/>
      <c r="M888" s="133" t="s">
        <v>36</v>
      </c>
      <c r="N888" s="183">
        <v>45108</v>
      </c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  <c r="AB888" s="138"/>
      <c r="AC888" s="138"/>
      <c r="AD888" s="138"/>
      <c r="AE888" s="138"/>
      <c r="AF888" s="138"/>
      <c r="AG888" s="138"/>
      <c r="AH888" s="138"/>
      <c r="AI888" s="138"/>
      <c r="AJ888" s="138"/>
      <c r="AK888" s="138"/>
      <c r="AL888" s="138"/>
      <c r="AM888" s="138"/>
      <c r="AN888" s="138"/>
      <c r="AO888" s="138"/>
      <c r="AP888" s="138"/>
      <c r="AQ888" s="138"/>
      <c r="AR888" s="138"/>
      <c r="AS888" s="138"/>
    </row>
    <row r="889" spans="1:45" ht="15.75" hidden="1" customHeight="1">
      <c r="A889" s="205">
        <v>29</v>
      </c>
      <c r="B889" s="133" t="s">
        <v>91</v>
      </c>
      <c r="C889" s="133" t="s">
        <v>1511</v>
      </c>
      <c r="D889" s="133" t="s">
        <v>1512</v>
      </c>
      <c r="E889" s="133">
        <v>4</v>
      </c>
      <c r="F889" s="134">
        <v>41616</v>
      </c>
      <c r="G889" s="203" t="s">
        <v>1653</v>
      </c>
      <c r="H889" s="203" t="s">
        <v>1514</v>
      </c>
      <c r="I889" s="204">
        <v>44985</v>
      </c>
      <c r="J889" s="135" t="s">
        <v>156</v>
      </c>
      <c r="K889" s="135" t="s">
        <v>187</v>
      </c>
      <c r="L889" s="135"/>
      <c r="M889" s="133" t="s">
        <v>36</v>
      </c>
      <c r="N889" s="183">
        <v>45108</v>
      </c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  <c r="AB889" s="138"/>
      <c r="AC889" s="138"/>
      <c r="AD889" s="138"/>
      <c r="AE889" s="138"/>
      <c r="AF889" s="138"/>
      <c r="AG889" s="138"/>
      <c r="AH889" s="138"/>
      <c r="AI889" s="138"/>
      <c r="AJ889" s="138"/>
      <c r="AK889" s="138"/>
      <c r="AL889" s="138"/>
      <c r="AM889" s="138"/>
      <c r="AN889" s="138"/>
      <c r="AO889" s="138"/>
      <c r="AP889" s="138"/>
      <c r="AQ889" s="138"/>
      <c r="AR889" s="138"/>
      <c r="AS889" s="138"/>
    </row>
    <row r="890" spans="1:45" ht="15.75" hidden="1" customHeight="1">
      <c r="A890" s="133">
        <v>1</v>
      </c>
      <c r="B890" s="207" t="s">
        <v>50</v>
      </c>
      <c r="C890" s="207" t="s">
        <v>899</v>
      </c>
      <c r="D890" s="207" t="s">
        <v>1024</v>
      </c>
      <c r="E890" s="207">
        <v>5</v>
      </c>
      <c r="F890" s="208">
        <v>41393</v>
      </c>
      <c r="G890" s="209" t="s">
        <v>1654</v>
      </c>
      <c r="H890" s="209" t="s">
        <v>834</v>
      </c>
      <c r="I890" s="210">
        <v>45098</v>
      </c>
      <c r="J890" s="207" t="s">
        <v>186</v>
      </c>
      <c r="K890" s="207" t="s">
        <v>142</v>
      </c>
      <c r="L890" s="207" t="s">
        <v>1655</v>
      </c>
      <c r="M890" s="207" t="s">
        <v>36</v>
      </c>
      <c r="N890" s="211">
        <v>45139</v>
      </c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  <c r="AB890" s="138"/>
      <c r="AC890" s="138"/>
      <c r="AD890" s="138"/>
      <c r="AE890" s="138"/>
      <c r="AF890" s="138"/>
      <c r="AG890" s="138"/>
      <c r="AH890" s="138"/>
      <c r="AI890" s="138"/>
      <c r="AJ890" s="138"/>
      <c r="AK890" s="138"/>
      <c r="AL890" s="138"/>
      <c r="AM890" s="138"/>
      <c r="AN890" s="138"/>
      <c r="AO890" s="138"/>
      <c r="AP890" s="138"/>
      <c r="AQ890" s="138"/>
      <c r="AR890" s="138"/>
      <c r="AS890" s="138"/>
    </row>
    <row r="891" spans="1:45" ht="15.75" hidden="1" customHeight="1">
      <c r="A891" s="133">
        <v>2</v>
      </c>
      <c r="B891" s="133" t="s">
        <v>91</v>
      </c>
      <c r="C891" s="133" t="s">
        <v>899</v>
      </c>
      <c r="D891" s="133" t="s">
        <v>1024</v>
      </c>
      <c r="E891" s="133">
        <v>5</v>
      </c>
      <c r="F891" s="134">
        <v>41393</v>
      </c>
      <c r="G891" s="203" t="s">
        <v>1654</v>
      </c>
      <c r="H891" s="203" t="s">
        <v>834</v>
      </c>
      <c r="I891" s="204">
        <v>45098</v>
      </c>
      <c r="J891" s="133" t="s">
        <v>141</v>
      </c>
      <c r="K891" s="133" t="s">
        <v>125</v>
      </c>
      <c r="L891" s="133" t="s">
        <v>1655</v>
      </c>
      <c r="M891" s="133" t="s">
        <v>36</v>
      </c>
      <c r="N891" s="212">
        <v>45139</v>
      </c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  <c r="AB891" s="138"/>
      <c r="AC891" s="138"/>
      <c r="AD891" s="138"/>
      <c r="AE891" s="138"/>
      <c r="AF891" s="138"/>
      <c r="AG891" s="138"/>
      <c r="AH891" s="138"/>
      <c r="AI891" s="138"/>
      <c r="AJ891" s="138"/>
      <c r="AK891" s="138"/>
      <c r="AL891" s="138"/>
      <c r="AM891" s="138"/>
      <c r="AN891" s="138"/>
      <c r="AO891" s="138"/>
      <c r="AP891" s="138"/>
      <c r="AQ891" s="138"/>
      <c r="AR891" s="138"/>
      <c r="AS891" s="138"/>
    </row>
    <row r="892" spans="1:45" ht="15.75" hidden="1" customHeight="1">
      <c r="A892" s="133">
        <v>3</v>
      </c>
      <c r="B892" s="133" t="s">
        <v>50</v>
      </c>
      <c r="C892" s="133" t="s">
        <v>899</v>
      </c>
      <c r="D892" s="133" t="s">
        <v>1656</v>
      </c>
      <c r="E892" s="133">
        <v>7</v>
      </c>
      <c r="F892" s="134">
        <v>39858</v>
      </c>
      <c r="G892" s="203" t="s">
        <v>1657</v>
      </c>
      <c r="H892" s="203" t="s">
        <v>1658</v>
      </c>
      <c r="I892" s="204">
        <v>44531</v>
      </c>
      <c r="J892" s="133" t="s">
        <v>271</v>
      </c>
      <c r="K892" s="133" t="s">
        <v>175</v>
      </c>
      <c r="L892" s="133" t="s">
        <v>1655</v>
      </c>
      <c r="M892" s="133" t="s">
        <v>36</v>
      </c>
      <c r="N892" s="212">
        <v>45139</v>
      </c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  <c r="AB892" s="138"/>
      <c r="AC892" s="138"/>
      <c r="AD892" s="138"/>
      <c r="AE892" s="138"/>
      <c r="AF892" s="138"/>
      <c r="AG892" s="138"/>
      <c r="AH892" s="138"/>
      <c r="AI892" s="138"/>
      <c r="AJ892" s="138"/>
      <c r="AK892" s="138"/>
      <c r="AL892" s="138"/>
      <c r="AM892" s="138"/>
      <c r="AN892" s="138"/>
      <c r="AO892" s="138"/>
      <c r="AP892" s="138"/>
      <c r="AQ892" s="138"/>
      <c r="AR892" s="138"/>
      <c r="AS892" s="138"/>
    </row>
    <row r="893" spans="1:45" ht="15.75" hidden="1" customHeight="1">
      <c r="A893" s="133">
        <v>4</v>
      </c>
      <c r="B893" s="133" t="s">
        <v>91</v>
      </c>
      <c r="C893" s="133" t="s">
        <v>899</v>
      </c>
      <c r="D893" s="133" t="s">
        <v>1656</v>
      </c>
      <c r="E893" s="133">
        <v>7</v>
      </c>
      <c r="F893" s="134">
        <v>39858</v>
      </c>
      <c r="G893" s="203" t="s">
        <v>1657</v>
      </c>
      <c r="H893" s="203" t="s">
        <v>1658</v>
      </c>
      <c r="I893" s="204">
        <v>44531</v>
      </c>
      <c r="J893" s="133" t="s">
        <v>297</v>
      </c>
      <c r="K893" s="133" t="s">
        <v>181</v>
      </c>
      <c r="L893" s="133" t="s">
        <v>1655</v>
      </c>
      <c r="M893" s="133" t="s">
        <v>36</v>
      </c>
      <c r="N893" s="212">
        <v>45139</v>
      </c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  <c r="AB893" s="138"/>
      <c r="AC893" s="138"/>
      <c r="AD893" s="138"/>
      <c r="AE893" s="138"/>
      <c r="AF893" s="138"/>
      <c r="AG893" s="138"/>
      <c r="AH893" s="138"/>
      <c r="AI893" s="138"/>
      <c r="AJ893" s="138"/>
      <c r="AK893" s="138"/>
      <c r="AL893" s="138"/>
      <c r="AM893" s="138"/>
      <c r="AN893" s="138"/>
      <c r="AO893" s="138"/>
      <c r="AP893" s="138"/>
      <c r="AQ893" s="138"/>
      <c r="AR893" s="138"/>
      <c r="AS893" s="138"/>
    </row>
    <row r="894" spans="1:45" ht="15.75" hidden="1" customHeight="1">
      <c r="A894" s="133">
        <v>5</v>
      </c>
      <c r="B894" s="133" t="s">
        <v>50</v>
      </c>
      <c r="C894" s="133" t="s">
        <v>899</v>
      </c>
      <c r="D894" s="133" t="s">
        <v>1659</v>
      </c>
      <c r="E894" s="133">
        <v>3</v>
      </c>
      <c r="F894" s="134">
        <v>41514</v>
      </c>
      <c r="G894" s="203" t="s">
        <v>1657</v>
      </c>
      <c r="H894" s="203" t="s">
        <v>1658</v>
      </c>
      <c r="I894" s="204">
        <v>44531</v>
      </c>
      <c r="J894" s="133" t="s">
        <v>148</v>
      </c>
      <c r="K894" s="133" t="s">
        <v>205</v>
      </c>
      <c r="L894" s="133" t="s">
        <v>1655</v>
      </c>
      <c r="M894" s="133" t="s">
        <v>36</v>
      </c>
      <c r="N894" s="212">
        <v>45139</v>
      </c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  <c r="AB894" s="138"/>
      <c r="AC894" s="138"/>
      <c r="AD894" s="138"/>
      <c r="AE894" s="138"/>
      <c r="AF894" s="138"/>
      <c r="AG894" s="138"/>
      <c r="AH894" s="138"/>
      <c r="AI894" s="138"/>
      <c r="AJ894" s="138"/>
      <c r="AK894" s="138"/>
      <c r="AL894" s="138"/>
      <c r="AM894" s="138"/>
      <c r="AN894" s="138"/>
      <c r="AO894" s="138"/>
      <c r="AP894" s="138"/>
      <c r="AQ894" s="138"/>
      <c r="AR894" s="138"/>
      <c r="AS894" s="138"/>
    </row>
    <row r="895" spans="1:45" ht="15.75" hidden="1" customHeight="1">
      <c r="A895" s="133">
        <v>6</v>
      </c>
      <c r="B895" s="133" t="s">
        <v>91</v>
      </c>
      <c r="C895" s="133" t="s">
        <v>899</v>
      </c>
      <c r="D895" s="133" t="s">
        <v>1659</v>
      </c>
      <c r="E895" s="133">
        <v>3</v>
      </c>
      <c r="F895" s="134">
        <v>41514</v>
      </c>
      <c r="G895" s="203" t="s">
        <v>1657</v>
      </c>
      <c r="H895" s="203" t="s">
        <v>1658</v>
      </c>
      <c r="I895" s="204">
        <v>44531</v>
      </c>
      <c r="J895" s="133" t="s">
        <v>221</v>
      </c>
      <c r="K895" s="133" t="s">
        <v>119</v>
      </c>
      <c r="L895" s="133" t="s">
        <v>1655</v>
      </c>
      <c r="M895" s="133" t="s">
        <v>36</v>
      </c>
      <c r="N895" s="212">
        <v>45139</v>
      </c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  <c r="AB895" s="138"/>
      <c r="AC895" s="138"/>
      <c r="AD895" s="138"/>
      <c r="AE895" s="138"/>
      <c r="AF895" s="138"/>
      <c r="AG895" s="138"/>
      <c r="AH895" s="138"/>
      <c r="AI895" s="138"/>
      <c r="AJ895" s="138"/>
      <c r="AK895" s="138"/>
      <c r="AL895" s="138"/>
      <c r="AM895" s="138"/>
      <c r="AN895" s="138"/>
      <c r="AO895" s="138"/>
      <c r="AP895" s="138"/>
      <c r="AQ895" s="138"/>
      <c r="AR895" s="138"/>
      <c r="AS895" s="138"/>
    </row>
    <row r="896" spans="1:45" ht="15.75" hidden="1" customHeight="1">
      <c r="A896" s="133">
        <v>7</v>
      </c>
      <c r="B896" s="133" t="s">
        <v>50</v>
      </c>
      <c r="C896" s="133" t="s">
        <v>176</v>
      </c>
      <c r="D896" s="133" t="s">
        <v>177</v>
      </c>
      <c r="E896" s="133">
        <v>7</v>
      </c>
      <c r="F896" s="134">
        <v>42901</v>
      </c>
      <c r="G896" s="203" t="s">
        <v>1660</v>
      </c>
      <c r="H896" s="203" t="s">
        <v>180</v>
      </c>
      <c r="I896" s="204">
        <v>44729</v>
      </c>
      <c r="J896" s="133" t="s">
        <v>308</v>
      </c>
      <c r="K896" s="133" t="s">
        <v>774</v>
      </c>
      <c r="L896" s="133" t="s">
        <v>1661</v>
      </c>
      <c r="M896" s="133" t="s">
        <v>36</v>
      </c>
      <c r="N896" s="212">
        <v>45139</v>
      </c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  <c r="AB896" s="138"/>
      <c r="AC896" s="138"/>
      <c r="AD896" s="138"/>
      <c r="AE896" s="138"/>
      <c r="AF896" s="138"/>
      <c r="AG896" s="138"/>
      <c r="AH896" s="138"/>
      <c r="AI896" s="138"/>
      <c r="AJ896" s="138"/>
      <c r="AK896" s="138"/>
      <c r="AL896" s="138"/>
      <c r="AM896" s="138"/>
      <c r="AN896" s="138"/>
      <c r="AO896" s="138"/>
      <c r="AP896" s="138"/>
      <c r="AQ896" s="138"/>
      <c r="AR896" s="138"/>
      <c r="AS896" s="138"/>
    </row>
    <row r="897" spans="1:45" ht="15.75" hidden="1" customHeight="1">
      <c r="A897" s="133">
        <v>8</v>
      </c>
      <c r="B897" s="133" t="s">
        <v>91</v>
      </c>
      <c r="C897" s="133" t="s">
        <v>176</v>
      </c>
      <c r="D897" s="133" t="s">
        <v>177</v>
      </c>
      <c r="E897" s="133">
        <v>7</v>
      </c>
      <c r="F897" s="134">
        <v>42901</v>
      </c>
      <c r="G897" s="203" t="s">
        <v>1660</v>
      </c>
      <c r="H897" s="203" t="s">
        <v>180</v>
      </c>
      <c r="I897" s="204">
        <v>44866</v>
      </c>
      <c r="J897" s="133" t="s">
        <v>194</v>
      </c>
      <c r="K897" s="133" t="s">
        <v>840</v>
      </c>
      <c r="L897" s="133" t="s">
        <v>1661</v>
      </c>
      <c r="M897" s="133" t="s">
        <v>36</v>
      </c>
      <c r="N897" s="212">
        <v>45139</v>
      </c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  <c r="AB897" s="138"/>
      <c r="AC897" s="138"/>
      <c r="AD897" s="138"/>
      <c r="AE897" s="138"/>
      <c r="AF897" s="138"/>
      <c r="AG897" s="138"/>
      <c r="AH897" s="138"/>
      <c r="AI897" s="138"/>
      <c r="AJ897" s="138"/>
      <c r="AK897" s="138"/>
      <c r="AL897" s="138"/>
      <c r="AM897" s="138"/>
      <c r="AN897" s="138"/>
      <c r="AO897" s="138"/>
      <c r="AP897" s="138"/>
      <c r="AQ897" s="138"/>
      <c r="AR897" s="138"/>
      <c r="AS897" s="138"/>
    </row>
    <row r="898" spans="1:45" ht="15.75" hidden="1" customHeight="1">
      <c r="A898" s="133">
        <v>9</v>
      </c>
      <c r="B898" s="133" t="s">
        <v>91</v>
      </c>
      <c r="C898" s="133" t="s">
        <v>1662</v>
      </c>
      <c r="D898" s="133" t="s">
        <v>1663</v>
      </c>
      <c r="E898" s="133">
        <v>10</v>
      </c>
      <c r="F898" s="134">
        <v>39315</v>
      </c>
      <c r="G898" s="203" t="s">
        <v>1664</v>
      </c>
      <c r="H898" s="203" t="s">
        <v>1665</v>
      </c>
      <c r="I898" s="204">
        <v>45085</v>
      </c>
      <c r="J898" s="133" t="s">
        <v>249</v>
      </c>
      <c r="K898" s="133" t="s">
        <v>132</v>
      </c>
      <c r="L898" s="133"/>
      <c r="M898" s="133" t="s">
        <v>36</v>
      </c>
      <c r="N898" s="212">
        <v>45139</v>
      </c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  <c r="AB898" s="138"/>
      <c r="AC898" s="138"/>
      <c r="AD898" s="138"/>
      <c r="AE898" s="138"/>
      <c r="AF898" s="138"/>
      <c r="AG898" s="138"/>
      <c r="AH898" s="138"/>
      <c r="AI898" s="138"/>
      <c r="AJ898" s="138"/>
      <c r="AK898" s="138"/>
      <c r="AL898" s="138"/>
      <c r="AM898" s="138"/>
      <c r="AN898" s="138"/>
      <c r="AO898" s="138"/>
      <c r="AP898" s="138"/>
      <c r="AQ898" s="138"/>
      <c r="AR898" s="138"/>
      <c r="AS898" s="138"/>
    </row>
    <row r="899" spans="1:45" ht="15.75" hidden="1" customHeight="1">
      <c r="A899" s="133">
        <v>10</v>
      </c>
      <c r="B899" s="133" t="s">
        <v>50</v>
      </c>
      <c r="C899" s="133" t="s">
        <v>1662</v>
      </c>
      <c r="D899" s="133" t="s">
        <v>1663</v>
      </c>
      <c r="E899" s="133">
        <v>10</v>
      </c>
      <c r="F899" s="134">
        <v>39315</v>
      </c>
      <c r="G899" s="203" t="s">
        <v>1664</v>
      </c>
      <c r="H899" s="203" t="s">
        <v>1665</v>
      </c>
      <c r="I899" s="204">
        <v>45096</v>
      </c>
      <c r="J899" s="133" t="s">
        <v>244</v>
      </c>
      <c r="K899" s="133" t="s">
        <v>779</v>
      </c>
      <c r="L899" s="133"/>
      <c r="M899" s="133" t="s">
        <v>36</v>
      </c>
      <c r="N899" s="212">
        <v>45139</v>
      </c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  <c r="AB899" s="138"/>
      <c r="AC899" s="138"/>
      <c r="AD899" s="138"/>
      <c r="AE899" s="138"/>
      <c r="AF899" s="138"/>
      <c r="AG899" s="138"/>
      <c r="AH899" s="138"/>
      <c r="AI899" s="138"/>
      <c r="AJ899" s="138"/>
      <c r="AK899" s="138"/>
      <c r="AL899" s="138"/>
      <c r="AM899" s="138"/>
      <c r="AN899" s="138"/>
      <c r="AO899" s="138"/>
      <c r="AP899" s="138"/>
      <c r="AQ899" s="138"/>
      <c r="AR899" s="138"/>
      <c r="AS899" s="138"/>
    </row>
    <row r="900" spans="1:45" ht="15.75" hidden="1" customHeight="1">
      <c r="A900" s="133">
        <v>11</v>
      </c>
      <c r="B900" s="133" t="s">
        <v>50</v>
      </c>
      <c r="C900" s="133" t="s">
        <v>1662</v>
      </c>
      <c r="D900" s="133" t="s">
        <v>1666</v>
      </c>
      <c r="E900" s="133">
        <v>5</v>
      </c>
      <c r="F900" s="134">
        <v>41468</v>
      </c>
      <c r="G900" s="203" t="s">
        <v>1664</v>
      </c>
      <c r="H900" s="203" t="s">
        <v>1665</v>
      </c>
      <c r="I900" s="204">
        <v>45085</v>
      </c>
      <c r="J900" s="133" t="s">
        <v>140</v>
      </c>
      <c r="K900" s="133" t="s">
        <v>751</v>
      </c>
      <c r="L900" s="133"/>
      <c r="M900" s="133" t="s">
        <v>36</v>
      </c>
      <c r="N900" s="212">
        <v>45139</v>
      </c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  <c r="AB900" s="138"/>
      <c r="AC900" s="138"/>
      <c r="AD900" s="138"/>
      <c r="AE900" s="138"/>
      <c r="AF900" s="138"/>
      <c r="AG900" s="138"/>
      <c r="AH900" s="138"/>
      <c r="AI900" s="138"/>
      <c r="AJ900" s="138"/>
      <c r="AK900" s="138"/>
      <c r="AL900" s="138"/>
      <c r="AM900" s="138"/>
      <c r="AN900" s="138"/>
      <c r="AO900" s="138"/>
      <c r="AP900" s="138"/>
      <c r="AQ900" s="138"/>
      <c r="AR900" s="138"/>
      <c r="AS900" s="138"/>
    </row>
    <row r="901" spans="1:45" ht="15.75" hidden="1" customHeight="1">
      <c r="A901" s="133">
        <v>12</v>
      </c>
      <c r="B901" s="133" t="s">
        <v>91</v>
      </c>
      <c r="C901" s="133" t="s">
        <v>1662</v>
      </c>
      <c r="D901" s="133" t="s">
        <v>1666</v>
      </c>
      <c r="E901" s="133">
        <v>5</v>
      </c>
      <c r="F901" s="134">
        <v>41468</v>
      </c>
      <c r="G901" s="203" t="s">
        <v>1664</v>
      </c>
      <c r="H901" s="203" t="s">
        <v>1665</v>
      </c>
      <c r="I901" s="204">
        <v>45096</v>
      </c>
      <c r="J901" s="133" t="s">
        <v>141</v>
      </c>
      <c r="K901" s="133" t="s">
        <v>149</v>
      </c>
      <c r="L901" s="133"/>
      <c r="M901" s="133" t="s">
        <v>36</v>
      </c>
      <c r="N901" s="212">
        <v>45139</v>
      </c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  <c r="AB901" s="138"/>
      <c r="AC901" s="138"/>
      <c r="AD901" s="138"/>
      <c r="AE901" s="138"/>
      <c r="AF901" s="138"/>
      <c r="AG901" s="138"/>
      <c r="AH901" s="138"/>
      <c r="AI901" s="138"/>
      <c r="AJ901" s="138"/>
      <c r="AK901" s="138"/>
      <c r="AL901" s="138"/>
      <c r="AM901" s="138"/>
      <c r="AN901" s="138"/>
      <c r="AO901" s="138"/>
      <c r="AP901" s="138"/>
      <c r="AQ901" s="138"/>
      <c r="AR901" s="138"/>
      <c r="AS901" s="138"/>
    </row>
    <row r="902" spans="1:45" ht="15.75" hidden="1" customHeight="1">
      <c r="A902" s="133">
        <v>13</v>
      </c>
      <c r="B902" s="133" t="s">
        <v>50</v>
      </c>
      <c r="C902" s="133" t="s">
        <v>1148</v>
      </c>
      <c r="D902" s="133" t="s">
        <v>1044</v>
      </c>
      <c r="E902" s="133" t="s">
        <v>190</v>
      </c>
      <c r="F902" s="134">
        <v>42321</v>
      </c>
      <c r="G902" s="203" t="s">
        <v>1667</v>
      </c>
      <c r="H902" s="203" t="s">
        <v>1668</v>
      </c>
      <c r="I902" s="204">
        <v>44652</v>
      </c>
      <c r="J902" s="133" t="s">
        <v>231</v>
      </c>
      <c r="K902" s="133" t="s">
        <v>1669</v>
      </c>
      <c r="L902" s="133"/>
      <c r="M902" s="133" t="s">
        <v>36</v>
      </c>
      <c r="N902" s="212">
        <v>45139</v>
      </c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  <c r="AB902" s="138"/>
      <c r="AC902" s="138"/>
      <c r="AD902" s="138"/>
      <c r="AE902" s="138"/>
      <c r="AF902" s="138"/>
      <c r="AG902" s="138"/>
      <c r="AH902" s="138"/>
      <c r="AI902" s="138"/>
      <c r="AJ902" s="138"/>
      <c r="AK902" s="138"/>
      <c r="AL902" s="138"/>
      <c r="AM902" s="138"/>
      <c r="AN902" s="138"/>
      <c r="AO902" s="138"/>
      <c r="AP902" s="138"/>
      <c r="AQ902" s="138"/>
      <c r="AR902" s="138"/>
      <c r="AS902" s="138"/>
    </row>
    <row r="903" spans="1:45" ht="15.75" hidden="1" customHeight="1">
      <c r="A903" s="133">
        <v>14</v>
      </c>
      <c r="B903" s="133" t="s">
        <v>91</v>
      </c>
      <c r="C903" s="133" t="s">
        <v>1148</v>
      </c>
      <c r="D903" s="133" t="s">
        <v>1044</v>
      </c>
      <c r="E903" s="133" t="s">
        <v>190</v>
      </c>
      <c r="F903" s="134">
        <v>42321</v>
      </c>
      <c r="G903" s="203" t="s">
        <v>1667</v>
      </c>
      <c r="H903" s="203" t="s">
        <v>1668</v>
      </c>
      <c r="I903" s="204">
        <v>44713</v>
      </c>
      <c r="J903" s="133" t="s">
        <v>156</v>
      </c>
      <c r="K903" s="133" t="s">
        <v>162</v>
      </c>
      <c r="L903" s="133"/>
      <c r="M903" s="133" t="s">
        <v>36</v>
      </c>
      <c r="N903" s="212">
        <v>45139</v>
      </c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  <c r="AB903" s="138"/>
      <c r="AC903" s="138"/>
      <c r="AD903" s="138"/>
      <c r="AE903" s="138"/>
      <c r="AF903" s="138"/>
      <c r="AG903" s="138"/>
      <c r="AH903" s="138"/>
      <c r="AI903" s="138"/>
      <c r="AJ903" s="138"/>
      <c r="AK903" s="138"/>
      <c r="AL903" s="138"/>
      <c r="AM903" s="138"/>
      <c r="AN903" s="138"/>
      <c r="AO903" s="138"/>
      <c r="AP903" s="138"/>
      <c r="AQ903" s="138"/>
      <c r="AR903" s="138"/>
      <c r="AS903" s="138"/>
    </row>
    <row r="904" spans="1:45" ht="15.75" hidden="1" customHeight="1">
      <c r="A904" s="133">
        <v>15</v>
      </c>
      <c r="B904" s="133" t="s">
        <v>50</v>
      </c>
      <c r="C904" s="133" t="s">
        <v>618</v>
      </c>
      <c r="D904" s="133" t="s">
        <v>1670</v>
      </c>
      <c r="E904" s="133">
        <v>3</v>
      </c>
      <c r="F904" s="134">
        <v>41570</v>
      </c>
      <c r="G904" s="203" t="s">
        <v>1671</v>
      </c>
      <c r="H904" s="203" t="s">
        <v>1672</v>
      </c>
      <c r="I904" s="204">
        <v>45082</v>
      </c>
      <c r="J904" s="133" t="s">
        <v>131</v>
      </c>
      <c r="K904" s="133" t="s">
        <v>256</v>
      </c>
      <c r="L904" s="133"/>
      <c r="M904" s="133" t="s">
        <v>36</v>
      </c>
      <c r="N904" s="212">
        <v>45139</v>
      </c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  <c r="AB904" s="138"/>
      <c r="AC904" s="138"/>
      <c r="AD904" s="138"/>
      <c r="AE904" s="138"/>
      <c r="AF904" s="138"/>
      <c r="AG904" s="138"/>
      <c r="AH904" s="138"/>
      <c r="AI904" s="138"/>
      <c r="AJ904" s="138"/>
      <c r="AK904" s="138"/>
      <c r="AL904" s="138"/>
      <c r="AM904" s="138"/>
      <c r="AN904" s="138"/>
      <c r="AO904" s="138"/>
      <c r="AP904" s="138"/>
      <c r="AQ904" s="138"/>
      <c r="AR904" s="138"/>
      <c r="AS904" s="138"/>
    </row>
    <row r="905" spans="1:45" ht="15.75" hidden="1" customHeight="1">
      <c r="A905" s="133">
        <v>16</v>
      </c>
      <c r="B905" s="133" t="s">
        <v>50</v>
      </c>
      <c r="C905" s="133" t="s">
        <v>1219</v>
      </c>
      <c r="D905" s="133" t="s">
        <v>1673</v>
      </c>
      <c r="E905" s="133">
        <v>1</v>
      </c>
      <c r="F905" s="134">
        <v>42622</v>
      </c>
      <c r="G905" s="203" t="s">
        <v>1674</v>
      </c>
      <c r="H905" s="203" t="s">
        <v>1675</v>
      </c>
      <c r="I905" s="204">
        <v>45103</v>
      </c>
      <c r="J905" s="133" t="s">
        <v>349</v>
      </c>
      <c r="K905" s="133" t="s">
        <v>655</v>
      </c>
      <c r="L905" s="133" t="s">
        <v>1676</v>
      </c>
      <c r="M905" s="133" t="s">
        <v>36</v>
      </c>
      <c r="N905" s="212">
        <v>45139</v>
      </c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  <c r="AB905" s="138"/>
      <c r="AC905" s="138"/>
      <c r="AD905" s="138"/>
      <c r="AE905" s="138"/>
      <c r="AF905" s="138"/>
      <c r="AG905" s="138"/>
      <c r="AH905" s="138"/>
      <c r="AI905" s="138"/>
      <c r="AJ905" s="138"/>
      <c r="AK905" s="138"/>
      <c r="AL905" s="138"/>
      <c r="AM905" s="138"/>
      <c r="AN905" s="138"/>
      <c r="AO905" s="138"/>
      <c r="AP905" s="138"/>
      <c r="AQ905" s="138"/>
      <c r="AR905" s="138"/>
      <c r="AS905" s="138"/>
    </row>
    <row r="906" spans="1:45" ht="15.75" hidden="1" customHeight="1">
      <c r="A906" s="133">
        <v>17</v>
      </c>
      <c r="B906" s="133" t="s">
        <v>50</v>
      </c>
      <c r="C906" s="133" t="s">
        <v>375</v>
      </c>
      <c r="D906" s="133" t="s">
        <v>763</v>
      </c>
      <c r="E906" s="133">
        <v>5</v>
      </c>
      <c r="F906" s="134">
        <v>41283</v>
      </c>
      <c r="G906" s="203" t="s">
        <v>1677</v>
      </c>
      <c r="H906" s="203" t="s">
        <v>1678</v>
      </c>
      <c r="I906" s="204">
        <v>45096</v>
      </c>
      <c r="J906" s="133" t="s">
        <v>358</v>
      </c>
      <c r="K906" s="133" t="s">
        <v>187</v>
      </c>
      <c r="L906" s="133"/>
      <c r="M906" s="133" t="s">
        <v>36</v>
      </c>
      <c r="N906" s="212">
        <v>45139</v>
      </c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  <c r="AB906" s="138"/>
      <c r="AC906" s="138"/>
      <c r="AD906" s="138"/>
      <c r="AE906" s="138"/>
      <c r="AF906" s="138"/>
      <c r="AG906" s="138"/>
      <c r="AH906" s="138"/>
      <c r="AI906" s="138"/>
      <c r="AJ906" s="138"/>
      <c r="AK906" s="138"/>
      <c r="AL906" s="138"/>
      <c r="AM906" s="138"/>
      <c r="AN906" s="138"/>
      <c r="AO906" s="138"/>
      <c r="AP906" s="138"/>
      <c r="AQ906" s="138"/>
      <c r="AR906" s="138"/>
      <c r="AS906" s="138"/>
    </row>
    <row r="907" spans="1:45" ht="15.75" hidden="1" customHeight="1">
      <c r="A907" s="133">
        <v>18</v>
      </c>
      <c r="B907" s="133" t="s">
        <v>91</v>
      </c>
      <c r="C907" s="133" t="s">
        <v>375</v>
      </c>
      <c r="D907" s="133" t="s">
        <v>763</v>
      </c>
      <c r="E907" s="133">
        <v>5</v>
      </c>
      <c r="F907" s="134">
        <v>41283</v>
      </c>
      <c r="G907" s="203" t="s">
        <v>1677</v>
      </c>
      <c r="H907" s="203" t="s">
        <v>1678</v>
      </c>
      <c r="I907" s="204">
        <v>45096</v>
      </c>
      <c r="J907" s="133" t="s">
        <v>188</v>
      </c>
      <c r="K907" s="133" t="s">
        <v>291</v>
      </c>
      <c r="L907" s="133"/>
      <c r="M907" s="133" t="s">
        <v>36</v>
      </c>
      <c r="N907" s="212">
        <v>45139</v>
      </c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  <c r="AB907" s="138"/>
      <c r="AC907" s="138"/>
      <c r="AD907" s="138"/>
      <c r="AE907" s="138"/>
      <c r="AF907" s="138"/>
      <c r="AG907" s="138"/>
      <c r="AH907" s="138"/>
      <c r="AI907" s="138"/>
      <c r="AJ907" s="138"/>
      <c r="AK907" s="138"/>
      <c r="AL907" s="138"/>
      <c r="AM907" s="138"/>
      <c r="AN907" s="138"/>
      <c r="AO907" s="138"/>
      <c r="AP907" s="138"/>
      <c r="AQ907" s="138"/>
      <c r="AR907" s="138"/>
      <c r="AS907" s="138"/>
    </row>
    <row r="908" spans="1:45" ht="15.75" hidden="1" customHeight="1">
      <c r="A908" s="133">
        <v>19</v>
      </c>
      <c r="B908" s="133" t="s">
        <v>50</v>
      </c>
      <c r="C908" s="133" t="s">
        <v>375</v>
      </c>
      <c r="D908" s="133" t="s">
        <v>1088</v>
      </c>
      <c r="E908" s="133">
        <v>7</v>
      </c>
      <c r="F908" s="134">
        <v>44361</v>
      </c>
      <c r="G908" s="203" t="s">
        <v>1677</v>
      </c>
      <c r="H908" s="203" t="s">
        <v>1678</v>
      </c>
      <c r="I908" s="204">
        <v>45096</v>
      </c>
      <c r="J908" s="133" t="s">
        <v>204</v>
      </c>
      <c r="K908" s="133" t="s">
        <v>111</v>
      </c>
      <c r="L908" s="133"/>
      <c r="M908" s="133" t="s">
        <v>36</v>
      </c>
      <c r="N908" s="212">
        <v>45139</v>
      </c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  <c r="AB908" s="138"/>
      <c r="AC908" s="138"/>
      <c r="AD908" s="138"/>
      <c r="AE908" s="138"/>
      <c r="AF908" s="138"/>
      <c r="AG908" s="138"/>
      <c r="AH908" s="138"/>
      <c r="AI908" s="138"/>
      <c r="AJ908" s="138"/>
      <c r="AK908" s="138"/>
      <c r="AL908" s="138"/>
      <c r="AM908" s="138"/>
      <c r="AN908" s="138"/>
      <c r="AO908" s="138"/>
      <c r="AP908" s="138"/>
      <c r="AQ908" s="138"/>
      <c r="AR908" s="138"/>
      <c r="AS908" s="138"/>
    </row>
    <row r="909" spans="1:45" ht="15.75" hidden="1" customHeight="1">
      <c r="A909" s="133">
        <v>20</v>
      </c>
      <c r="B909" s="133" t="s">
        <v>91</v>
      </c>
      <c r="C909" s="133" t="s">
        <v>375</v>
      </c>
      <c r="D909" s="133" t="s">
        <v>1088</v>
      </c>
      <c r="E909" s="133">
        <v>7</v>
      </c>
      <c r="F909" s="134">
        <v>44361</v>
      </c>
      <c r="G909" s="203" t="s">
        <v>1677</v>
      </c>
      <c r="H909" s="203" t="s">
        <v>1678</v>
      </c>
      <c r="I909" s="204">
        <v>45096</v>
      </c>
      <c r="J909" s="133" t="s">
        <v>221</v>
      </c>
      <c r="K909" s="133" t="s">
        <v>126</v>
      </c>
      <c r="L909" s="133"/>
      <c r="M909" s="133" t="s">
        <v>36</v>
      </c>
      <c r="N909" s="212">
        <v>45139</v>
      </c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  <c r="AB909" s="138"/>
      <c r="AC909" s="138"/>
      <c r="AD909" s="138"/>
      <c r="AE909" s="138"/>
      <c r="AF909" s="138"/>
      <c r="AG909" s="138"/>
      <c r="AH909" s="138"/>
      <c r="AI909" s="138"/>
      <c r="AJ909" s="138"/>
      <c r="AK909" s="138"/>
      <c r="AL909" s="138"/>
      <c r="AM909" s="138"/>
      <c r="AN909" s="138"/>
      <c r="AO909" s="138"/>
      <c r="AP909" s="138"/>
      <c r="AQ909" s="138"/>
      <c r="AR909" s="138"/>
      <c r="AS909" s="138"/>
    </row>
    <row r="910" spans="1:45" ht="15.75" hidden="1" customHeight="1">
      <c r="A910" s="133">
        <v>21</v>
      </c>
      <c r="B910" s="133" t="s">
        <v>50</v>
      </c>
      <c r="C910" s="133" t="s">
        <v>375</v>
      </c>
      <c r="D910" s="133" t="s">
        <v>1679</v>
      </c>
      <c r="E910" s="213">
        <v>3</v>
      </c>
      <c r="F910" s="214">
        <v>41649</v>
      </c>
      <c r="G910" s="215" t="s">
        <v>1680</v>
      </c>
      <c r="H910" s="215" t="s">
        <v>1681</v>
      </c>
      <c r="I910" s="216">
        <v>45110</v>
      </c>
      <c r="J910" s="213" t="s">
        <v>255</v>
      </c>
      <c r="K910" s="213" t="s">
        <v>132</v>
      </c>
      <c r="L910" s="133" t="s">
        <v>1247</v>
      </c>
      <c r="M910" s="133" t="s">
        <v>36</v>
      </c>
      <c r="N910" s="212">
        <v>45139</v>
      </c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  <c r="AB910" s="138"/>
      <c r="AC910" s="138"/>
      <c r="AD910" s="138"/>
      <c r="AE910" s="138"/>
      <c r="AF910" s="138"/>
      <c r="AG910" s="138"/>
      <c r="AH910" s="138"/>
      <c r="AI910" s="138"/>
      <c r="AJ910" s="138"/>
      <c r="AK910" s="138"/>
      <c r="AL910" s="138"/>
      <c r="AM910" s="138"/>
      <c r="AN910" s="138"/>
      <c r="AO910" s="138"/>
      <c r="AP910" s="138"/>
      <c r="AQ910" s="138"/>
      <c r="AR910" s="138"/>
      <c r="AS910" s="138"/>
    </row>
    <row r="911" spans="1:45" ht="15.75" hidden="1" customHeight="1">
      <c r="A911" s="133">
        <v>22</v>
      </c>
      <c r="B911" s="133" t="s">
        <v>91</v>
      </c>
      <c r="C911" s="133" t="s">
        <v>375</v>
      </c>
      <c r="D911" s="133" t="s">
        <v>1679</v>
      </c>
      <c r="E911" s="213">
        <v>3</v>
      </c>
      <c r="F911" s="214">
        <v>41649</v>
      </c>
      <c r="G911" s="215" t="s">
        <v>1680</v>
      </c>
      <c r="H911" s="215" t="s">
        <v>1681</v>
      </c>
      <c r="I911" s="216">
        <v>45110</v>
      </c>
      <c r="J911" s="213" t="s">
        <v>188</v>
      </c>
      <c r="K911" s="213" t="s">
        <v>1682</v>
      </c>
      <c r="L911" s="133" t="s">
        <v>1247</v>
      </c>
      <c r="M911" s="133" t="s">
        <v>36</v>
      </c>
      <c r="N911" s="212">
        <v>45139</v>
      </c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  <c r="AG911" s="138"/>
      <c r="AH911" s="138"/>
      <c r="AI911" s="138"/>
      <c r="AJ911" s="138"/>
      <c r="AK911" s="138"/>
      <c r="AL911" s="138"/>
      <c r="AM911" s="138"/>
      <c r="AN911" s="138"/>
      <c r="AO911" s="138"/>
      <c r="AP911" s="138"/>
      <c r="AQ911" s="138"/>
      <c r="AR911" s="138"/>
      <c r="AS911" s="138"/>
    </row>
    <row r="912" spans="1:45" ht="15.75" hidden="1" customHeight="1">
      <c r="A912" s="133">
        <v>23</v>
      </c>
      <c r="B912" s="133" t="s">
        <v>50</v>
      </c>
      <c r="C912" s="133" t="s">
        <v>1683</v>
      </c>
      <c r="D912" s="133" t="s">
        <v>1184</v>
      </c>
      <c r="E912" s="133">
        <v>5</v>
      </c>
      <c r="F912" s="134">
        <v>40627</v>
      </c>
      <c r="G912" s="203" t="s">
        <v>1684</v>
      </c>
      <c r="H912" s="203"/>
      <c r="I912" s="204">
        <v>44652</v>
      </c>
      <c r="J912" s="133" t="s">
        <v>165</v>
      </c>
      <c r="K912" s="133" t="s">
        <v>957</v>
      </c>
      <c r="L912" s="133"/>
      <c r="M912" s="133" t="s">
        <v>36</v>
      </c>
      <c r="N912" s="212">
        <v>45139</v>
      </c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  <c r="AB912" s="138"/>
      <c r="AC912" s="138"/>
      <c r="AD912" s="138"/>
      <c r="AE912" s="138"/>
      <c r="AF912" s="138"/>
      <c r="AG912" s="138"/>
      <c r="AH912" s="138"/>
      <c r="AI912" s="138"/>
      <c r="AJ912" s="138"/>
      <c r="AK912" s="138"/>
      <c r="AL912" s="138"/>
      <c r="AM912" s="138"/>
      <c r="AN912" s="138"/>
      <c r="AO912" s="138"/>
      <c r="AP912" s="138"/>
      <c r="AQ912" s="138"/>
      <c r="AR912" s="138"/>
      <c r="AS912" s="138"/>
    </row>
    <row r="913" spans="1:45" ht="15.75" hidden="1" customHeight="1">
      <c r="A913" s="133">
        <v>24</v>
      </c>
      <c r="B913" s="133" t="s">
        <v>50</v>
      </c>
      <c r="C913" s="133" t="s">
        <v>1685</v>
      </c>
      <c r="D913" s="133" t="s">
        <v>1686</v>
      </c>
      <c r="E913" s="133">
        <v>5</v>
      </c>
      <c r="F913" s="134">
        <v>41289</v>
      </c>
      <c r="G913" s="203" t="s">
        <v>1687</v>
      </c>
      <c r="H913" s="203" t="s">
        <v>1688</v>
      </c>
      <c r="I913" s="204">
        <v>45082</v>
      </c>
      <c r="J913" s="133" t="s">
        <v>358</v>
      </c>
      <c r="K913" s="133" t="s">
        <v>125</v>
      </c>
      <c r="L913" s="133"/>
      <c r="M913" s="133" t="s">
        <v>36</v>
      </c>
      <c r="N913" s="212">
        <v>45139</v>
      </c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  <c r="AB913" s="138"/>
      <c r="AC913" s="138"/>
      <c r="AD913" s="138"/>
      <c r="AE913" s="138"/>
      <c r="AF913" s="138"/>
      <c r="AG913" s="138"/>
      <c r="AH913" s="138"/>
      <c r="AI913" s="138"/>
      <c r="AJ913" s="138"/>
      <c r="AK913" s="138"/>
      <c r="AL913" s="138"/>
      <c r="AM913" s="138"/>
      <c r="AN913" s="138"/>
      <c r="AO913" s="138"/>
      <c r="AP913" s="138"/>
      <c r="AQ913" s="138"/>
      <c r="AR913" s="138"/>
      <c r="AS913" s="138"/>
    </row>
    <row r="914" spans="1:45" ht="15.75" hidden="1" customHeight="1">
      <c r="A914" s="133">
        <v>25</v>
      </c>
      <c r="B914" s="133" t="s">
        <v>91</v>
      </c>
      <c r="C914" s="133" t="s">
        <v>1685</v>
      </c>
      <c r="D914" s="133" t="s">
        <v>1686</v>
      </c>
      <c r="E914" s="133">
        <v>5</v>
      </c>
      <c r="F914" s="134">
        <v>41289</v>
      </c>
      <c r="G914" s="203" t="s">
        <v>1687</v>
      </c>
      <c r="H914" s="203" t="s">
        <v>1688</v>
      </c>
      <c r="I914" s="204">
        <v>45082</v>
      </c>
      <c r="J914" s="133" t="s">
        <v>188</v>
      </c>
      <c r="K914" s="133" t="s">
        <v>232</v>
      </c>
      <c r="L914" s="133"/>
      <c r="M914" s="133" t="s">
        <v>36</v>
      </c>
      <c r="N914" s="212">
        <v>45139</v>
      </c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  <c r="AB914" s="138"/>
      <c r="AC914" s="138"/>
      <c r="AD914" s="138"/>
      <c r="AE914" s="138"/>
      <c r="AF914" s="138"/>
      <c r="AG914" s="138"/>
      <c r="AH914" s="138"/>
      <c r="AI914" s="138"/>
      <c r="AJ914" s="138"/>
      <c r="AK914" s="138"/>
      <c r="AL914" s="138"/>
      <c r="AM914" s="138"/>
      <c r="AN914" s="138"/>
      <c r="AO914" s="138"/>
      <c r="AP914" s="138"/>
      <c r="AQ914" s="138"/>
      <c r="AR914" s="138"/>
      <c r="AS914" s="138"/>
    </row>
    <row r="915" spans="1:45" ht="15.75" hidden="1" customHeight="1">
      <c r="A915" s="133">
        <v>26</v>
      </c>
      <c r="B915" s="133" t="s">
        <v>50</v>
      </c>
      <c r="C915" s="133" t="s">
        <v>1685</v>
      </c>
      <c r="D915" s="133" t="s">
        <v>1512</v>
      </c>
      <c r="E915" s="133">
        <v>2</v>
      </c>
      <c r="F915" s="134">
        <v>42576</v>
      </c>
      <c r="G915" s="203" t="s">
        <v>1687</v>
      </c>
      <c r="H915" s="203" t="s">
        <v>1688</v>
      </c>
      <c r="I915" s="204">
        <v>45082</v>
      </c>
      <c r="J915" s="133" t="s">
        <v>118</v>
      </c>
      <c r="K915" s="133" t="s">
        <v>205</v>
      </c>
      <c r="L915" s="133"/>
      <c r="M915" s="133" t="s">
        <v>36</v>
      </c>
      <c r="N915" s="212">
        <v>45139</v>
      </c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  <c r="AB915" s="138"/>
      <c r="AC915" s="138"/>
      <c r="AD915" s="138"/>
      <c r="AE915" s="138"/>
      <c r="AF915" s="138"/>
      <c r="AG915" s="138"/>
      <c r="AH915" s="138"/>
      <c r="AI915" s="138"/>
      <c r="AJ915" s="138"/>
      <c r="AK915" s="138"/>
      <c r="AL915" s="138"/>
      <c r="AM915" s="138"/>
      <c r="AN915" s="138"/>
      <c r="AO915" s="138"/>
      <c r="AP915" s="138"/>
      <c r="AQ915" s="138"/>
      <c r="AR915" s="138"/>
      <c r="AS915" s="138"/>
    </row>
    <row r="916" spans="1:45" ht="15.75" hidden="1" customHeight="1">
      <c r="A916" s="133">
        <v>27</v>
      </c>
      <c r="B916" s="133" t="s">
        <v>91</v>
      </c>
      <c r="C916" s="133" t="s">
        <v>1685</v>
      </c>
      <c r="D916" s="133" t="s">
        <v>1512</v>
      </c>
      <c r="E916" s="133">
        <v>2</v>
      </c>
      <c r="F916" s="134">
        <v>42576</v>
      </c>
      <c r="G916" s="203" t="s">
        <v>1687</v>
      </c>
      <c r="H916" s="203" t="s">
        <v>1688</v>
      </c>
      <c r="I916" s="204">
        <v>45082</v>
      </c>
      <c r="J916" s="133" t="s">
        <v>156</v>
      </c>
      <c r="K916" s="133" t="s">
        <v>232</v>
      </c>
      <c r="L916" s="133"/>
      <c r="M916" s="133" t="s">
        <v>36</v>
      </c>
      <c r="N916" s="212">
        <v>45139</v>
      </c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  <c r="AB916" s="138"/>
      <c r="AC916" s="138"/>
      <c r="AD916" s="138"/>
      <c r="AE916" s="138"/>
      <c r="AF916" s="138"/>
      <c r="AG916" s="138"/>
      <c r="AH916" s="138"/>
      <c r="AI916" s="138"/>
      <c r="AJ916" s="138"/>
      <c r="AK916" s="138"/>
      <c r="AL916" s="138"/>
      <c r="AM916" s="138"/>
      <c r="AN916" s="138"/>
      <c r="AO916" s="138"/>
      <c r="AP916" s="138"/>
      <c r="AQ916" s="138"/>
      <c r="AR916" s="138"/>
      <c r="AS916" s="138"/>
    </row>
    <row r="917" spans="1:45" ht="15.75" hidden="1" customHeight="1">
      <c r="A917" s="133">
        <v>28</v>
      </c>
      <c r="B917" s="133" t="s">
        <v>50</v>
      </c>
      <c r="C917" s="133" t="s">
        <v>907</v>
      </c>
      <c r="D917" s="133" t="s">
        <v>115</v>
      </c>
      <c r="E917" s="133" t="s">
        <v>190</v>
      </c>
      <c r="F917" s="134">
        <v>43347</v>
      </c>
      <c r="G917" s="203" t="s">
        <v>1689</v>
      </c>
      <c r="H917" s="203" t="s">
        <v>1690</v>
      </c>
      <c r="I917" s="204">
        <v>45098</v>
      </c>
      <c r="J917" s="133" t="s">
        <v>192</v>
      </c>
      <c r="K917" s="133" t="s">
        <v>142</v>
      </c>
      <c r="L917" s="133"/>
      <c r="M917" s="133" t="s">
        <v>36</v>
      </c>
      <c r="N917" s="212">
        <v>45139</v>
      </c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  <c r="AB917" s="138"/>
      <c r="AC917" s="138"/>
      <c r="AD917" s="138"/>
      <c r="AE917" s="138"/>
      <c r="AF917" s="138"/>
      <c r="AG917" s="138"/>
      <c r="AH917" s="138"/>
      <c r="AI917" s="138"/>
      <c r="AJ917" s="138"/>
      <c r="AK917" s="138"/>
      <c r="AL917" s="138"/>
      <c r="AM917" s="138"/>
      <c r="AN917" s="138"/>
      <c r="AO917" s="138"/>
      <c r="AP917" s="138"/>
      <c r="AQ917" s="138"/>
      <c r="AR917" s="138"/>
      <c r="AS917" s="138"/>
    </row>
    <row r="918" spans="1:45" ht="15.75" hidden="1" customHeight="1">
      <c r="A918" s="133">
        <v>29</v>
      </c>
      <c r="B918" s="133" t="s">
        <v>91</v>
      </c>
      <c r="C918" s="133" t="s">
        <v>907</v>
      </c>
      <c r="D918" s="133" t="s">
        <v>115</v>
      </c>
      <c r="E918" s="133" t="s">
        <v>190</v>
      </c>
      <c r="F918" s="134">
        <v>43347</v>
      </c>
      <c r="G918" s="203" t="s">
        <v>1689</v>
      </c>
      <c r="H918" s="203" t="s">
        <v>1690</v>
      </c>
      <c r="I918" s="204">
        <v>45098</v>
      </c>
      <c r="J918" s="133" t="s">
        <v>351</v>
      </c>
      <c r="K918" s="133" t="s">
        <v>205</v>
      </c>
      <c r="L918" s="133"/>
      <c r="M918" s="133" t="s">
        <v>36</v>
      </c>
      <c r="N918" s="212">
        <v>45139</v>
      </c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  <c r="AB918" s="138"/>
      <c r="AC918" s="138"/>
      <c r="AD918" s="138"/>
      <c r="AE918" s="138"/>
      <c r="AF918" s="138"/>
      <c r="AG918" s="138"/>
      <c r="AH918" s="138"/>
      <c r="AI918" s="138"/>
      <c r="AJ918" s="138"/>
      <c r="AK918" s="138"/>
      <c r="AL918" s="138"/>
      <c r="AM918" s="138"/>
      <c r="AN918" s="138"/>
      <c r="AO918" s="138"/>
      <c r="AP918" s="138"/>
      <c r="AQ918" s="138"/>
      <c r="AR918" s="138"/>
      <c r="AS918" s="138"/>
    </row>
    <row r="919" spans="1:45" ht="15.75" hidden="1" customHeight="1">
      <c r="A919" s="133">
        <v>30</v>
      </c>
      <c r="B919" s="133" t="s">
        <v>50</v>
      </c>
      <c r="C919" s="133" t="s">
        <v>1691</v>
      </c>
      <c r="D919" s="133" t="s">
        <v>1692</v>
      </c>
      <c r="E919" s="133">
        <v>3</v>
      </c>
      <c r="F919" s="134">
        <v>41899</v>
      </c>
      <c r="G919" s="203" t="s">
        <v>1693</v>
      </c>
      <c r="H919" s="203" t="s">
        <v>1694</v>
      </c>
      <c r="I919" s="204">
        <v>45047</v>
      </c>
      <c r="J919" s="133" t="s">
        <v>121</v>
      </c>
      <c r="K919" s="133" t="s">
        <v>1695</v>
      </c>
      <c r="L919" s="133"/>
      <c r="M919" s="133" t="s">
        <v>36</v>
      </c>
      <c r="N919" s="212">
        <v>45139</v>
      </c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  <c r="AB919" s="138"/>
      <c r="AC919" s="138"/>
      <c r="AD919" s="138"/>
      <c r="AE919" s="138"/>
      <c r="AF919" s="138"/>
      <c r="AG919" s="138"/>
      <c r="AH919" s="138"/>
      <c r="AI919" s="138"/>
      <c r="AJ919" s="138"/>
      <c r="AK919" s="138"/>
      <c r="AL919" s="138"/>
      <c r="AM919" s="138"/>
      <c r="AN919" s="138"/>
      <c r="AO919" s="138"/>
      <c r="AP919" s="138"/>
      <c r="AQ919" s="138"/>
      <c r="AR919" s="138"/>
      <c r="AS919" s="138"/>
    </row>
    <row r="920" spans="1:45" ht="15.75" hidden="1" customHeight="1">
      <c r="A920" s="133">
        <v>31</v>
      </c>
      <c r="B920" s="133" t="s">
        <v>50</v>
      </c>
      <c r="C920" s="133" t="s">
        <v>463</v>
      </c>
      <c r="D920" s="133" t="s">
        <v>904</v>
      </c>
      <c r="E920" s="133">
        <v>1</v>
      </c>
      <c r="F920" s="134">
        <v>42122</v>
      </c>
      <c r="G920" s="203" t="s">
        <v>1336</v>
      </c>
      <c r="H920" s="203" t="s">
        <v>1337</v>
      </c>
      <c r="I920" s="204">
        <v>44914</v>
      </c>
      <c r="J920" s="133" t="s">
        <v>140</v>
      </c>
      <c r="K920" s="133" t="s">
        <v>181</v>
      </c>
      <c r="L920" s="133" t="s">
        <v>1696</v>
      </c>
      <c r="M920" s="133" t="s">
        <v>36</v>
      </c>
      <c r="N920" s="212">
        <v>45139</v>
      </c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  <c r="AB920" s="138"/>
      <c r="AC920" s="138"/>
      <c r="AD920" s="138"/>
      <c r="AE920" s="138"/>
      <c r="AF920" s="138"/>
      <c r="AG920" s="138"/>
      <c r="AH920" s="138"/>
      <c r="AI920" s="138"/>
      <c r="AJ920" s="138"/>
      <c r="AK920" s="138"/>
      <c r="AL920" s="138"/>
      <c r="AM920" s="138"/>
      <c r="AN920" s="138"/>
      <c r="AO920" s="138"/>
      <c r="AP920" s="138"/>
      <c r="AQ920" s="138"/>
      <c r="AR920" s="138"/>
      <c r="AS920" s="138"/>
    </row>
    <row r="921" spans="1:45" ht="15.75" hidden="1" customHeight="1">
      <c r="A921" s="133">
        <v>32</v>
      </c>
      <c r="B921" s="133" t="s">
        <v>91</v>
      </c>
      <c r="C921" s="133" t="s">
        <v>463</v>
      </c>
      <c r="D921" s="133" t="s">
        <v>904</v>
      </c>
      <c r="E921" s="133">
        <v>1</v>
      </c>
      <c r="F921" s="134">
        <v>42122</v>
      </c>
      <c r="G921" s="203" t="s">
        <v>1336</v>
      </c>
      <c r="H921" s="203" t="s">
        <v>1337</v>
      </c>
      <c r="I921" s="204">
        <v>44914</v>
      </c>
      <c r="J921" s="133" t="s">
        <v>156</v>
      </c>
      <c r="K921" s="133" t="s">
        <v>187</v>
      </c>
      <c r="L921" s="133" t="s">
        <v>1696</v>
      </c>
      <c r="M921" s="133" t="s">
        <v>36</v>
      </c>
      <c r="N921" s="212">
        <v>45139</v>
      </c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  <c r="AB921" s="138"/>
      <c r="AC921" s="138"/>
      <c r="AD921" s="138"/>
      <c r="AE921" s="138"/>
      <c r="AF921" s="138"/>
      <c r="AG921" s="138"/>
      <c r="AH921" s="138"/>
      <c r="AI921" s="138"/>
      <c r="AJ921" s="138"/>
      <c r="AK921" s="138"/>
      <c r="AL921" s="138"/>
      <c r="AM921" s="138"/>
      <c r="AN921" s="138"/>
      <c r="AO921" s="138"/>
      <c r="AP921" s="138"/>
      <c r="AQ921" s="138"/>
      <c r="AR921" s="138"/>
      <c r="AS921" s="138"/>
    </row>
    <row r="922" spans="1:45" ht="15.75" hidden="1" customHeight="1">
      <c r="A922" s="133">
        <v>33</v>
      </c>
      <c r="B922" s="133" t="s">
        <v>50</v>
      </c>
      <c r="C922" s="133" t="s">
        <v>463</v>
      </c>
      <c r="D922" s="133" t="s">
        <v>1697</v>
      </c>
      <c r="E922" s="133" t="s">
        <v>190</v>
      </c>
      <c r="F922" s="134">
        <v>42556</v>
      </c>
      <c r="G922" s="203" t="s">
        <v>1698</v>
      </c>
      <c r="H922" s="203" t="s">
        <v>1699</v>
      </c>
      <c r="I922" s="204">
        <v>45082</v>
      </c>
      <c r="J922" s="133" t="s">
        <v>131</v>
      </c>
      <c r="K922" s="133" t="s">
        <v>126</v>
      </c>
      <c r="L922" s="133"/>
      <c r="M922" s="133" t="s">
        <v>36</v>
      </c>
      <c r="N922" s="212">
        <v>45139</v>
      </c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  <c r="AB922" s="138"/>
      <c r="AC922" s="138"/>
      <c r="AD922" s="138"/>
      <c r="AE922" s="138"/>
      <c r="AF922" s="138"/>
      <c r="AG922" s="138"/>
      <c r="AH922" s="138"/>
      <c r="AI922" s="138"/>
      <c r="AJ922" s="138"/>
      <c r="AK922" s="138"/>
      <c r="AL922" s="138"/>
      <c r="AM922" s="138"/>
      <c r="AN922" s="138"/>
      <c r="AO922" s="138"/>
      <c r="AP922" s="138"/>
      <c r="AQ922" s="138"/>
      <c r="AR922" s="138"/>
      <c r="AS922" s="138"/>
    </row>
    <row r="923" spans="1:45" ht="15.75" hidden="1" customHeight="1">
      <c r="A923" s="133">
        <v>34</v>
      </c>
      <c r="B923" s="133" t="s">
        <v>50</v>
      </c>
      <c r="C923" s="133" t="s">
        <v>512</v>
      </c>
      <c r="D923" s="133" t="s">
        <v>1010</v>
      </c>
      <c r="E923" s="133">
        <v>1</v>
      </c>
      <c r="F923" s="134">
        <v>42730</v>
      </c>
      <c r="G923" s="203" t="s">
        <v>1700</v>
      </c>
      <c r="H923" s="203" t="s">
        <v>1701</v>
      </c>
      <c r="I923" s="204">
        <v>45096</v>
      </c>
      <c r="J923" s="133" t="s">
        <v>192</v>
      </c>
      <c r="K923" s="133" t="s">
        <v>163</v>
      </c>
      <c r="L923" s="133"/>
      <c r="M923" s="133" t="s">
        <v>36</v>
      </c>
      <c r="N923" s="212">
        <v>45139</v>
      </c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  <c r="AB923" s="138"/>
      <c r="AC923" s="138"/>
      <c r="AD923" s="138"/>
      <c r="AE923" s="138"/>
      <c r="AF923" s="138"/>
      <c r="AG923" s="138"/>
      <c r="AH923" s="138"/>
      <c r="AI923" s="138"/>
      <c r="AJ923" s="138"/>
      <c r="AK923" s="138"/>
      <c r="AL923" s="138"/>
      <c r="AM923" s="138"/>
      <c r="AN923" s="138"/>
      <c r="AO923" s="138"/>
      <c r="AP923" s="138"/>
      <c r="AQ923" s="138"/>
      <c r="AR923" s="138"/>
      <c r="AS923" s="138"/>
    </row>
    <row r="924" spans="1:45" ht="15.75" hidden="1" customHeight="1">
      <c r="A924" s="133">
        <v>35</v>
      </c>
      <c r="B924" s="133" t="s">
        <v>91</v>
      </c>
      <c r="C924" s="133" t="s">
        <v>512</v>
      </c>
      <c r="D924" s="133" t="s">
        <v>1010</v>
      </c>
      <c r="E924" s="133">
        <v>1</v>
      </c>
      <c r="F924" s="134">
        <v>42730</v>
      </c>
      <c r="G924" s="203" t="s">
        <v>1700</v>
      </c>
      <c r="H924" s="203" t="s">
        <v>1701</v>
      </c>
      <c r="I924" s="204">
        <v>45096</v>
      </c>
      <c r="J924" s="133" t="s">
        <v>351</v>
      </c>
      <c r="K924" s="133" t="s">
        <v>992</v>
      </c>
      <c r="L924" s="133"/>
      <c r="M924" s="133" t="s">
        <v>36</v>
      </c>
      <c r="N924" s="212">
        <v>45139</v>
      </c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  <c r="AB924" s="138"/>
      <c r="AC924" s="138"/>
      <c r="AD924" s="138"/>
      <c r="AE924" s="138"/>
      <c r="AF924" s="138"/>
      <c r="AG924" s="138"/>
      <c r="AH924" s="138"/>
      <c r="AI924" s="138"/>
      <c r="AJ924" s="138"/>
      <c r="AK924" s="138"/>
      <c r="AL924" s="138"/>
      <c r="AM924" s="138"/>
      <c r="AN924" s="138"/>
      <c r="AO924" s="138"/>
      <c r="AP924" s="138"/>
      <c r="AQ924" s="138"/>
      <c r="AR924" s="138"/>
      <c r="AS924" s="138"/>
    </row>
    <row r="925" spans="1:45" ht="16.5" hidden="1" customHeight="1">
      <c r="A925" s="133">
        <v>1</v>
      </c>
      <c r="B925" s="133" t="s">
        <v>91</v>
      </c>
      <c r="C925" s="133" t="s">
        <v>375</v>
      </c>
      <c r="D925" s="133" t="s">
        <v>376</v>
      </c>
      <c r="E925" s="133">
        <v>4</v>
      </c>
      <c r="F925" s="134">
        <v>40886</v>
      </c>
      <c r="G925" s="203" t="s">
        <v>377</v>
      </c>
      <c r="H925" s="203" t="s">
        <v>378</v>
      </c>
      <c r="I925" s="204">
        <v>44682</v>
      </c>
      <c r="J925" s="133" t="s">
        <v>221</v>
      </c>
      <c r="K925" s="133" t="s">
        <v>267</v>
      </c>
      <c r="L925" s="133"/>
      <c r="M925" s="133" t="s">
        <v>36</v>
      </c>
      <c r="N925" s="212">
        <v>45170</v>
      </c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  <c r="AB925" s="138"/>
      <c r="AC925" s="138"/>
      <c r="AD925" s="138"/>
      <c r="AE925" s="138"/>
      <c r="AF925" s="138"/>
      <c r="AG925" s="138"/>
      <c r="AH925" s="138"/>
      <c r="AI925" s="138"/>
      <c r="AJ925" s="138"/>
      <c r="AK925" s="138"/>
      <c r="AL925" s="138"/>
      <c r="AM925" s="138"/>
      <c r="AN925" s="138"/>
      <c r="AO925" s="138"/>
      <c r="AP925" s="138"/>
      <c r="AQ925" s="138"/>
      <c r="AR925" s="138"/>
      <c r="AS925" s="138"/>
    </row>
    <row r="926" spans="1:45" ht="16.5" hidden="1" customHeight="1">
      <c r="A926" s="133">
        <v>2</v>
      </c>
      <c r="B926" s="133" t="s">
        <v>50</v>
      </c>
      <c r="C926" s="133" t="s">
        <v>433</v>
      </c>
      <c r="D926" s="217" t="s">
        <v>434</v>
      </c>
      <c r="E926" s="133">
        <v>2</v>
      </c>
      <c r="F926" s="134">
        <v>42185</v>
      </c>
      <c r="G926" s="203" t="s">
        <v>435</v>
      </c>
      <c r="H926" s="203" t="s">
        <v>436</v>
      </c>
      <c r="I926" s="204">
        <v>45154</v>
      </c>
      <c r="J926" s="133" t="s">
        <v>124</v>
      </c>
      <c r="K926" s="133" t="s">
        <v>597</v>
      </c>
      <c r="L926" s="133" t="s">
        <v>1702</v>
      </c>
      <c r="M926" s="133" t="s">
        <v>36</v>
      </c>
      <c r="N926" s="212">
        <v>45170</v>
      </c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  <c r="AB926" s="138"/>
      <c r="AC926" s="138"/>
      <c r="AD926" s="138"/>
      <c r="AE926" s="138"/>
      <c r="AF926" s="138"/>
      <c r="AG926" s="138"/>
      <c r="AH926" s="138"/>
      <c r="AI926" s="138"/>
      <c r="AJ926" s="138"/>
      <c r="AK926" s="138"/>
      <c r="AL926" s="138"/>
      <c r="AM926" s="138"/>
      <c r="AN926" s="138"/>
      <c r="AO926" s="138"/>
      <c r="AP926" s="138"/>
      <c r="AQ926" s="138"/>
      <c r="AR926" s="138"/>
      <c r="AS926" s="138"/>
    </row>
    <row r="927" spans="1:45" ht="16.5" hidden="1" customHeight="1">
      <c r="A927" s="133">
        <v>3</v>
      </c>
      <c r="B927" s="133" t="s">
        <v>91</v>
      </c>
      <c r="C927" s="133" t="s">
        <v>433</v>
      </c>
      <c r="D927" s="217" t="s">
        <v>434</v>
      </c>
      <c r="E927" s="133">
        <v>2</v>
      </c>
      <c r="F927" s="134">
        <v>42185</v>
      </c>
      <c r="G927" s="203" t="s">
        <v>435</v>
      </c>
      <c r="H927" s="203" t="s">
        <v>436</v>
      </c>
      <c r="I927" s="204">
        <v>45154</v>
      </c>
      <c r="J927" s="133" t="s">
        <v>121</v>
      </c>
      <c r="K927" s="133" t="s">
        <v>267</v>
      </c>
      <c r="L927" s="133" t="s">
        <v>1702</v>
      </c>
      <c r="M927" s="133" t="s">
        <v>36</v>
      </c>
      <c r="N927" s="212">
        <v>45170</v>
      </c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  <c r="AB927" s="138"/>
      <c r="AC927" s="138"/>
      <c r="AD927" s="138"/>
      <c r="AE927" s="138"/>
      <c r="AF927" s="138"/>
      <c r="AG927" s="138"/>
      <c r="AH927" s="138"/>
      <c r="AI927" s="138"/>
      <c r="AJ927" s="138"/>
      <c r="AK927" s="138"/>
      <c r="AL927" s="138"/>
      <c r="AM927" s="138"/>
      <c r="AN927" s="138"/>
      <c r="AO927" s="138"/>
      <c r="AP927" s="138"/>
      <c r="AQ927" s="138"/>
      <c r="AR927" s="138"/>
      <c r="AS927" s="138"/>
    </row>
    <row r="928" spans="1:45" ht="16.5" hidden="1" customHeight="1">
      <c r="A928" s="133">
        <v>4</v>
      </c>
      <c r="B928" s="133" t="s">
        <v>50</v>
      </c>
      <c r="C928" s="133" t="s">
        <v>463</v>
      </c>
      <c r="D928" s="133" t="s">
        <v>475</v>
      </c>
      <c r="E928" s="133">
        <v>1</v>
      </c>
      <c r="F928" s="134">
        <v>43153</v>
      </c>
      <c r="G928" s="203" t="s">
        <v>1703</v>
      </c>
      <c r="H928" s="218" t="s">
        <v>477</v>
      </c>
      <c r="I928" s="204">
        <v>45124</v>
      </c>
      <c r="J928" s="133" t="s">
        <v>349</v>
      </c>
      <c r="K928" s="133" t="s">
        <v>187</v>
      </c>
      <c r="L928" s="133" t="s">
        <v>1704</v>
      </c>
      <c r="M928" s="133" t="s">
        <v>36</v>
      </c>
      <c r="N928" s="212">
        <v>45170</v>
      </c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  <c r="AB928" s="138"/>
      <c r="AC928" s="138"/>
      <c r="AD928" s="138"/>
      <c r="AE928" s="138"/>
      <c r="AF928" s="138"/>
      <c r="AG928" s="138"/>
      <c r="AH928" s="138"/>
      <c r="AI928" s="138"/>
      <c r="AJ928" s="138"/>
      <c r="AK928" s="138"/>
      <c r="AL928" s="138"/>
      <c r="AM928" s="138"/>
      <c r="AN928" s="138"/>
      <c r="AO928" s="138"/>
      <c r="AP928" s="138"/>
      <c r="AQ928" s="138"/>
      <c r="AR928" s="138"/>
      <c r="AS928" s="138"/>
    </row>
    <row r="929" spans="1:45" ht="16.5" hidden="1" customHeight="1">
      <c r="A929" s="133">
        <v>5</v>
      </c>
      <c r="B929" s="133" t="s">
        <v>50</v>
      </c>
      <c r="C929" s="133" t="s">
        <v>1705</v>
      </c>
      <c r="D929" s="133" t="s">
        <v>217</v>
      </c>
      <c r="E929" s="133">
        <v>1</v>
      </c>
      <c r="F929" s="134">
        <v>42388</v>
      </c>
      <c r="G929" s="203" t="s">
        <v>1706</v>
      </c>
      <c r="H929" s="203" t="s">
        <v>1707</v>
      </c>
      <c r="I929" s="204">
        <v>45033</v>
      </c>
      <c r="J929" s="133" t="s">
        <v>308</v>
      </c>
      <c r="K929" s="133" t="s">
        <v>162</v>
      </c>
      <c r="L929" s="133" t="s">
        <v>1704</v>
      </c>
      <c r="M929" s="133" t="s">
        <v>36</v>
      </c>
      <c r="N929" s="212">
        <v>45170</v>
      </c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  <c r="AB929" s="138"/>
      <c r="AC929" s="138"/>
      <c r="AD929" s="138"/>
      <c r="AE929" s="138"/>
      <c r="AF929" s="138"/>
      <c r="AG929" s="138"/>
      <c r="AH929" s="138"/>
      <c r="AI929" s="138"/>
      <c r="AJ929" s="138"/>
      <c r="AK929" s="138"/>
      <c r="AL929" s="138"/>
      <c r="AM929" s="138"/>
      <c r="AN929" s="138"/>
      <c r="AO929" s="138"/>
      <c r="AP929" s="138"/>
      <c r="AQ929" s="138"/>
      <c r="AR929" s="138"/>
      <c r="AS929" s="138"/>
    </row>
    <row r="930" spans="1:45" ht="16.5" hidden="1" customHeight="1">
      <c r="A930" s="133">
        <v>6</v>
      </c>
      <c r="B930" s="133" t="s">
        <v>50</v>
      </c>
      <c r="C930" s="133" t="s">
        <v>1708</v>
      </c>
      <c r="D930" s="133" t="s">
        <v>1709</v>
      </c>
      <c r="E930" s="133">
        <v>2</v>
      </c>
      <c r="F930" s="134">
        <v>42318</v>
      </c>
      <c r="G930" s="203" t="s">
        <v>1710</v>
      </c>
      <c r="H930" s="203" t="s">
        <v>1711</v>
      </c>
      <c r="I930" s="204">
        <v>45108</v>
      </c>
      <c r="J930" s="133" t="s">
        <v>118</v>
      </c>
      <c r="K930" s="133" t="s">
        <v>212</v>
      </c>
      <c r="L930" s="133"/>
      <c r="M930" s="133" t="s">
        <v>36</v>
      </c>
      <c r="N930" s="212">
        <v>45170</v>
      </c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  <c r="AB930" s="138"/>
      <c r="AC930" s="138"/>
      <c r="AD930" s="138"/>
      <c r="AE930" s="138"/>
      <c r="AF930" s="138"/>
      <c r="AG930" s="138"/>
      <c r="AH930" s="138"/>
      <c r="AI930" s="138"/>
      <c r="AJ930" s="138"/>
      <c r="AK930" s="138"/>
      <c r="AL930" s="138"/>
      <c r="AM930" s="138"/>
      <c r="AN930" s="138"/>
      <c r="AO930" s="138"/>
      <c r="AP930" s="138"/>
      <c r="AQ930" s="138"/>
      <c r="AR930" s="138"/>
      <c r="AS930" s="138"/>
    </row>
    <row r="931" spans="1:45" ht="16.5" hidden="1" customHeight="1">
      <c r="A931" s="133">
        <v>7</v>
      </c>
      <c r="B931" s="133" t="s">
        <v>50</v>
      </c>
      <c r="C931" s="133" t="s">
        <v>463</v>
      </c>
      <c r="D931" s="133" t="s">
        <v>478</v>
      </c>
      <c r="E931" s="133" t="s">
        <v>190</v>
      </c>
      <c r="F931" s="134">
        <v>43153</v>
      </c>
      <c r="G931" s="203" t="s">
        <v>1703</v>
      </c>
      <c r="H931" s="218" t="s">
        <v>477</v>
      </c>
      <c r="I931" s="204">
        <v>45017</v>
      </c>
      <c r="J931" s="133" t="s">
        <v>192</v>
      </c>
      <c r="K931" s="133" t="s">
        <v>1712</v>
      </c>
      <c r="L931" s="133" t="s">
        <v>1704</v>
      </c>
      <c r="M931" s="133" t="s">
        <v>36</v>
      </c>
      <c r="N931" s="212">
        <v>45170</v>
      </c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  <c r="AB931" s="138"/>
      <c r="AC931" s="138"/>
      <c r="AD931" s="138"/>
      <c r="AE931" s="138"/>
      <c r="AF931" s="138"/>
      <c r="AG931" s="138"/>
      <c r="AH931" s="138"/>
      <c r="AI931" s="138"/>
      <c r="AJ931" s="138"/>
      <c r="AK931" s="138"/>
      <c r="AL931" s="138"/>
      <c r="AM931" s="138"/>
      <c r="AN931" s="138"/>
      <c r="AO931" s="138"/>
      <c r="AP931" s="138"/>
      <c r="AQ931" s="138"/>
      <c r="AR931" s="138"/>
      <c r="AS931" s="138"/>
    </row>
    <row r="932" spans="1:45" ht="16.5" hidden="1" customHeight="1">
      <c r="A932" s="133">
        <v>8</v>
      </c>
      <c r="B932" s="133" t="s">
        <v>50</v>
      </c>
      <c r="C932" s="133" t="s">
        <v>967</v>
      </c>
      <c r="D932" s="133" t="s">
        <v>1298</v>
      </c>
      <c r="E932" s="133">
        <v>1</v>
      </c>
      <c r="F932" s="134">
        <v>42342</v>
      </c>
      <c r="G932" s="203" t="s">
        <v>968</v>
      </c>
      <c r="H932" s="203" t="s">
        <v>969</v>
      </c>
      <c r="I932" s="204">
        <v>44790</v>
      </c>
      <c r="J932" s="133" t="s">
        <v>124</v>
      </c>
      <c r="K932" s="133" t="s">
        <v>122</v>
      </c>
      <c r="L932" s="133" t="s">
        <v>1713</v>
      </c>
      <c r="M932" s="133" t="s">
        <v>36</v>
      </c>
      <c r="N932" s="212">
        <v>45170</v>
      </c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  <c r="AB932" s="138"/>
      <c r="AC932" s="138"/>
      <c r="AD932" s="138"/>
      <c r="AE932" s="138"/>
      <c r="AF932" s="138"/>
      <c r="AG932" s="138"/>
      <c r="AH932" s="138"/>
      <c r="AI932" s="138"/>
      <c r="AJ932" s="138"/>
      <c r="AK932" s="138"/>
      <c r="AL932" s="138"/>
      <c r="AM932" s="138"/>
      <c r="AN932" s="138"/>
      <c r="AO932" s="138"/>
      <c r="AP932" s="138"/>
      <c r="AQ932" s="138"/>
      <c r="AR932" s="138"/>
      <c r="AS932" s="138"/>
    </row>
    <row r="933" spans="1:45" ht="16.5" hidden="1" customHeight="1">
      <c r="A933" s="133">
        <v>9</v>
      </c>
      <c r="B933" s="133" t="s">
        <v>91</v>
      </c>
      <c r="C933" s="133" t="s">
        <v>967</v>
      </c>
      <c r="D933" s="133" t="s">
        <v>1298</v>
      </c>
      <c r="E933" s="133">
        <v>1</v>
      </c>
      <c r="F933" s="134">
        <v>42342</v>
      </c>
      <c r="G933" s="203" t="s">
        <v>968</v>
      </c>
      <c r="H933" s="203" t="s">
        <v>969</v>
      </c>
      <c r="I933" s="204">
        <v>44790</v>
      </c>
      <c r="J933" s="133" t="s">
        <v>121</v>
      </c>
      <c r="K933" s="133" t="s">
        <v>1714</v>
      </c>
      <c r="L933" s="133" t="s">
        <v>1713</v>
      </c>
      <c r="M933" s="133" t="s">
        <v>36</v>
      </c>
      <c r="N933" s="212">
        <v>45170</v>
      </c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  <c r="AB933" s="138"/>
      <c r="AC933" s="138"/>
      <c r="AD933" s="138"/>
      <c r="AE933" s="138"/>
      <c r="AF933" s="138"/>
      <c r="AG933" s="138"/>
      <c r="AH933" s="138"/>
      <c r="AI933" s="138"/>
      <c r="AJ933" s="138"/>
      <c r="AK933" s="138"/>
      <c r="AL933" s="138"/>
      <c r="AM933" s="138"/>
      <c r="AN933" s="138"/>
      <c r="AO933" s="138"/>
      <c r="AP933" s="138"/>
      <c r="AQ933" s="138"/>
      <c r="AR933" s="138"/>
      <c r="AS933" s="138"/>
    </row>
    <row r="934" spans="1:45" ht="16.5" hidden="1" customHeight="1">
      <c r="A934" s="133">
        <v>10</v>
      </c>
      <c r="B934" s="133" t="s">
        <v>91</v>
      </c>
      <c r="C934" s="133" t="s">
        <v>1705</v>
      </c>
      <c r="D934" s="133" t="s">
        <v>1715</v>
      </c>
      <c r="E934" s="133">
        <v>5</v>
      </c>
      <c r="F934" s="134">
        <v>40961</v>
      </c>
      <c r="G934" s="203" t="s">
        <v>1716</v>
      </c>
      <c r="H934" s="203" t="s">
        <v>1707</v>
      </c>
      <c r="I934" s="204">
        <v>44791</v>
      </c>
      <c r="J934" s="133" t="s">
        <v>172</v>
      </c>
      <c r="K934" s="133" t="s">
        <v>126</v>
      </c>
      <c r="L934" s="133" t="s">
        <v>1704</v>
      </c>
      <c r="M934" s="133" t="s">
        <v>36</v>
      </c>
      <c r="N934" s="212">
        <v>45170</v>
      </c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  <c r="AB934" s="138"/>
      <c r="AC934" s="138"/>
      <c r="AD934" s="138"/>
      <c r="AE934" s="138"/>
      <c r="AF934" s="138"/>
      <c r="AG934" s="138"/>
      <c r="AH934" s="138"/>
      <c r="AI934" s="138"/>
      <c r="AJ934" s="138"/>
      <c r="AK934" s="138"/>
      <c r="AL934" s="138"/>
      <c r="AM934" s="138"/>
      <c r="AN934" s="138"/>
      <c r="AO934" s="138"/>
      <c r="AP934" s="138"/>
      <c r="AQ934" s="138"/>
      <c r="AR934" s="138"/>
      <c r="AS934" s="138"/>
    </row>
    <row r="935" spans="1:45" ht="16.5" hidden="1" customHeight="1">
      <c r="A935" s="133">
        <v>1</v>
      </c>
      <c r="B935" s="133" t="s">
        <v>50</v>
      </c>
      <c r="C935" s="133" t="s">
        <v>1717</v>
      </c>
      <c r="D935" s="133" t="s">
        <v>1184</v>
      </c>
      <c r="E935" s="133">
        <v>7</v>
      </c>
      <c r="F935" s="134">
        <v>40533</v>
      </c>
      <c r="G935" s="203" t="s">
        <v>1718</v>
      </c>
      <c r="H935" s="203" t="s">
        <v>1719</v>
      </c>
      <c r="I935" s="204">
        <v>45161</v>
      </c>
      <c r="J935" s="133" t="s">
        <v>358</v>
      </c>
      <c r="K935" s="133" t="s">
        <v>1720</v>
      </c>
      <c r="L935" s="133" t="s">
        <v>1721</v>
      </c>
      <c r="M935" s="133" t="s">
        <v>36</v>
      </c>
      <c r="N935" s="212">
        <v>45200</v>
      </c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  <c r="AB935" s="138"/>
      <c r="AC935" s="138"/>
      <c r="AD935" s="138"/>
      <c r="AE935" s="138"/>
      <c r="AF935" s="138"/>
      <c r="AG935" s="138"/>
      <c r="AH935" s="138"/>
      <c r="AI935" s="138"/>
      <c r="AJ935" s="138"/>
      <c r="AK935" s="138"/>
      <c r="AL935" s="138"/>
      <c r="AM935" s="138"/>
      <c r="AN935" s="138"/>
      <c r="AO935" s="138"/>
      <c r="AP935" s="138"/>
      <c r="AQ935" s="138"/>
      <c r="AR935" s="138"/>
      <c r="AS935" s="138"/>
    </row>
    <row r="936" spans="1:45" ht="16.5" hidden="1" customHeight="1">
      <c r="A936" s="133">
        <v>2</v>
      </c>
      <c r="B936" s="133" t="s">
        <v>50</v>
      </c>
      <c r="C936" s="133" t="s">
        <v>1717</v>
      </c>
      <c r="D936" s="133" t="s">
        <v>389</v>
      </c>
      <c r="E936" s="133">
        <v>6</v>
      </c>
      <c r="F936" s="134">
        <v>41075</v>
      </c>
      <c r="G936" s="203" t="s">
        <v>1718</v>
      </c>
      <c r="H936" s="203" t="s">
        <v>1719</v>
      </c>
      <c r="I936" s="204">
        <v>45161</v>
      </c>
      <c r="J936" s="133" t="s">
        <v>140</v>
      </c>
      <c r="K936" s="133" t="s">
        <v>212</v>
      </c>
      <c r="L936" s="133" t="s">
        <v>1721</v>
      </c>
      <c r="M936" s="133" t="s">
        <v>36</v>
      </c>
      <c r="N936" s="212">
        <v>45200</v>
      </c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  <c r="AB936" s="138"/>
      <c r="AC936" s="138"/>
      <c r="AD936" s="138"/>
      <c r="AE936" s="138"/>
      <c r="AF936" s="138"/>
      <c r="AG936" s="138"/>
      <c r="AH936" s="138"/>
      <c r="AI936" s="138"/>
      <c r="AJ936" s="138"/>
      <c r="AK936" s="138"/>
      <c r="AL936" s="138"/>
      <c r="AM936" s="138"/>
      <c r="AN936" s="138"/>
      <c r="AO936" s="138"/>
      <c r="AP936" s="138"/>
      <c r="AQ936" s="138"/>
      <c r="AR936" s="138"/>
      <c r="AS936" s="138"/>
    </row>
    <row r="937" spans="1:45" ht="16.5" hidden="1" customHeight="1">
      <c r="A937" s="133">
        <v>3</v>
      </c>
      <c r="B937" s="133" t="s">
        <v>50</v>
      </c>
      <c r="C937" s="133" t="s">
        <v>1219</v>
      </c>
      <c r="D937" s="133" t="s">
        <v>1722</v>
      </c>
      <c r="E937" s="133">
        <v>3</v>
      </c>
      <c r="F937" s="134">
        <v>41427</v>
      </c>
      <c r="G937" s="203" t="s">
        <v>1723</v>
      </c>
      <c r="H937" s="203" t="s">
        <v>1724</v>
      </c>
      <c r="I937" s="204">
        <v>44571</v>
      </c>
      <c r="J937" s="133" t="s">
        <v>296</v>
      </c>
      <c r="K937" s="133" t="s">
        <v>142</v>
      </c>
      <c r="L937" s="133" t="s">
        <v>1725</v>
      </c>
      <c r="M937" s="133" t="s">
        <v>36</v>
      </c>
      <c r="N937" s="212">
        <v>45200</v>
      </c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  <c r="AB937" s="138"/>
      <c r="AC937" s="138"/>
      <c r="AD937" s="138"/>
      <c r="AE937" s="138"/>
      <c r="AF937" s="138"/>
      <c r="AG937" s="138"/>
      <c r="AH937" s="138"/>
      <c r="AI937" s="138"/>
      <c r="AJ937" s="138"/>
      <c r="AK937" s="138"/>
      <c r="AL937" s="138"/>
      <c r="AM937" s="138"/>
      <c r="AN937" s="138"/>
      <c r="AO937" s="138"/>
      <c r="AP937" s="138"/>
      <c r="AQ937" s="138"/>
      <c r="AR937" s="138"/>
      <c r="AS937" s="138"/>
    </row>
    <row r="938" spans="1:45" ht="16.5" hidden="1" customHeight="1">
      <c r="A938" s="133">
        <v>4</v>
      </c>
      <c r="B938" s="133" t="s">
        <v>91</v>
      </c>
      <c r="C938" s="133" t="s">
        <v>1219</v>
      </c>
      <c r="D938" s="133" t="s">
        <v>1722</v>
      </c>
      <c r="E938" s="133">
        <v>3</v>
      </c>
      <c r="F938" s="134">
        <v>41427</v>
      </c>
      <c r="G938" s="203" t="s">
        <v>1723</v>
      </c>
      <c r="H938" s="203" t="s">
        <v>1724</v>
      </c>
      <c r="I938" s="204">
        <v>44571</v>
      </c>
      <c r="J938" s="133" t="s">
        <v>297</v>
      </c>
      <c r="K938" s="133" t="s">
        <v>291</v>
      </c>
      <c r="L938" s="133" t="s">
        <v>1725</v>
      </c>
      <c r="M938" s="133" t="s">
        <v>36</v>
      </c>
      <c r="N938" s="212">
        <v>45200</v>
      </c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  <c r="AB938" s="138"/>
      <c r="AC938" s="138"/>
      <c r="AD938" s="138"/>
      <c r="AE938" s="138"/>
      <c r="AF938" s="138"/>
      <c r="AG938" s="138"/>
      <c r="AH938" s="138"/>
      <c r="AI938" s="138"/>
      <c r="AJ938" s="138"/>
      <c r="AK938" s="138"/>
      <c r="AL938" s="138"/>
      <c r="AM938" s="138"/>
      <c r="AN938" s="138"/>
      <c r="AO938" s="138"/>
      <c r="AP938" s="138"/>
      <c r="AQ938" s="138"/>
      <c r="AR938" s="138"/>
      <c r="AS938" s="138"/>
    </row>
    <row r="939" spans="1:45" ht="16.5" hidden="1" customHeight="1">
      <c r="A939" s="133">
        <v>5</v>
      </c>
      <c r="B939" s="133" t="s">
        <v>50</v>
      </c>
      <c r="C939" s="133" t="s">
        <v>375</v>
      </c>
      <c r="D939" s="133" t="s">
        <v>1636</v>
      </c>
      <c r="E939" s="133">
        <v>7</v>
      </c>
      <c r="F939" s="134">
        <v>40565</v>
      </c>
      <c r="G939" s="203" t="s">
        <v>1726</v>
      </c>
      <c r="H939" s="203" t="s">
        <v>1727</v>
      </c>
      <c r="I939" s="204">
        <v>45078</v>
      </c>
      <c r="J939" s="133" t="s">
        <v>249</v>
      </c>
      <c r="K939" s="133" t="s">
        <v>232</v>
      </c>
      <c r="L939" s="133" t="s">
        <v>1728</v>
      </c>
      <c r="M939" s="133" t="s">
        <v>36</v>
      </c>
      <c r="N939" s="212">
        <v>45200</v>
      </c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  <c r="AB939" s="138"/>
      <c r="AC939" s="138"/>
      <c r="AD939" s="138"/>
      <c r="AE939" s="138"/>
      <c r="AF939" s="138"/>
      <c r="AG939" s="138"/>
      <c r="AH939" s="138"/>
      <c r="AI939" s="138"/>
      <c r="AJ939" s="138"/>
      <c r="AK939" s="138"/>
      <c r="AL939" s="138"/>
      <c r="AM939" s="138"/>
      <c r="AN939" s="138"/>
      <c r="AO939" s="138"/>
      <c r="AP939" s="138"/>
      <c r="AQ939" s="138"/>
      <c r="AR939" s="138"/>
      <c r="AS939" s="138"/>
    </row>
    <row r="940" spans="1:45" ht="16.5" hidden="1" customHeight="1">
      <c r="A940" s="133">
        <v>6</v>
      </c>
      <c r="B940" s="133" t="s">
        <v>91</v>
      </c>
      <c r="C940" s="133" t="s">
        <v>375</v>
      </c>
      <c r="D940" s="133" t="s">
        <v>1636</v>
      </c>
      <c r="E940" s="133">
        <v>7</v>
      </c>
      <c r="F940" s="134">
        <v>40565</v>
      </c>
      <c r="G940" s="203" t="s">
        <v>1726</v>
      </c>
      <c r="H940" s="203" t="s">
        <v>1727</v>
      </c>
      <c r="I940" s="204">
        <v>45078</v>
      </c>
      <c r="J940" s="133" t="s">
        <v>150</v>
      </c>
      <c r="K940" s="133" t="s">
        <v>199</v>
      </c>
      <c r="L940" s="133" t="s">
        <v>1728</v>
      </c>
      <c r="M940" s="133" t="s">
        <v>36</v>
      </c>
      <c r="N940" s="212">
        <v>45200</v>
      </c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  <c r="AB940" s="138"/>
      <c r="AC940" s="138"/>
      <c r="AD940" s="138"/>
      <c r="AE940" s="138"/>
      <c r="AF940" s="138"/>
      <c r="AG940" s="138"/>
      <c r="AH940" s="138"/>
      <c r="AI940" s="138"/>
      <c r="AJ940" s="138"/>
      <c r="AK940" s="138"/>
      <c r="AL940" s="138"/>
      <c r="AM940" s="138"/>
      <c r="AN940" s="138"/>
      <c r="AO940" s="138"/>
      <c r="AP940" s="138"/>
      <c r="AQ940" s="138"/>
      <c r="AR940" s="138"/>
      <c r="AS940" s="138"/>
    </row>
    <row r="941" spans="1:45" ht="16.5" hidden="1" customHeight="1">
      <c r="A941" s="133">
        <v>7</v>
      </c>
      <c r="B941" s="133" t="s">
        <v>50</v>
      </c>
      <c r="C941" s="133" t="s">
        <v>375</v>
      </c>
      <c r="D941" s="133" t="s">
        <v>1455</v>
      </c>
      <c r="E941" s="133">
        <v>4</v>
      </c>
      <c r="F941" s="134">
        <v>41781</v>
      </c>
      <c r="G941" s="203" t="s">
        <v>1456</v>
      </c>
      <c r="H941" s="203" t="s">
        <v>1457</v>
      </c>
      <c r="I941" s="204">
        <v>45154</v>
      </c>
      <c r="J941" s="133" t="s">
        <v>358</v>
      </c>
      <c r="K941" s="133" t="s">
        <v>111</v>
      </c>
      <c r="L941" s="133" t="s">
        <v>1728</v>
      </c>
      <c r="M941" s="133" t="s">
        <v>36</v>
      </c>
      <c r="N941" s="212">
        <v>45200</v>
      </c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  <c r="AB941" s="138"/>
      <c r="AC941" s="138"/>
      <c r="AD941" s="138"/>
      <c r="AE941" s="138"/>
      <c r="AF941" s="138"/>
      <c r="AG941" s="138"/>
      <c r="AH941" s="138"/>
      <c r="AI941" s="138"/>
      <c r="AJ941" s="138"/>
      <c r="AK941" s="138"/>
      <c r="AL941" s="138"/>
      <c r="AM941" s="138"/>
      <c r="AN941" s="138"/>
      <c r="AO941" s="138"/>
      <c r="AP941" s="138"/>
      <c r="AQ941" s="138"/>
      <c r="AR941" s="138"/>
      <c r="AS941" s="138"/>
    </row>
    <row r="942" spans="1:45" ht="16.5" hidden="1" customHeight="1">
      <c r="A942" s="133">
        <v>8</v>
      </c>
      <c r="B942" s="133" t="s">
        <v>91</v>
      </c>
      <c r="C942" s="133" t="s">
        <v>375</v>
      </c>
      <c r="D942" s="133" t="s">
        <v>1458</v>
      </c>
      <c r="E942" s="133">
        <v>4</v>
      </c>
      <c r="F942" s="134">
        <v>41781</v>
      </c>
      <c r="G942" s="203" t="s">
        <v>1456</v>
      </c>
      <c r="H942" s="203" t="s">
        <v>1457</v>
      </c>
      <c r="I942" s="204">
        <v>45154</v>
      </c>
      <c r="J942" s="133" t="s">
        <v>141</v>
      </c>
      <c r="K942" s="133" t="s">
        <v>113</v>
      </c>
      <c r="L942" s="133" t="s">
        <v>1728</v>
      </c>
      <c r="M942" s="133" t="s">
        <v>36</v>
      </c>
      <c r="N942" s="212">
        <v>45200</v>
      </c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  <c r="AB942" s="138"/>
      <c r="AC942" s="138"/>
      <c r="AD942" s="138"/>
      <c r="AE942" s="138"/>
      <c r="AF942" s="138"/>
      <c r="AG942" s="138"/>
      <c r="AH942" s="138"/>
      <c r="AI942" s="138"/>
      <c r="AJ942" s="138"/>
      <c r="AK942" s="138"/>
      <c r="AL942" s="138"/>
      <c r="AM942" s="138"/>
      <c r="AN942" s="138"/>
      <c r="AO942" s="138"/>
      <c r="AP942" s="138"/>
      <c r="AQ942" s="138"/>
      <c r="AR942" s="138"/>
      <c r="AS942" s="138"/>
    </row>
    <row r="943" spans="1:45" ht="16.5" hidden="1" customHeight="1">
      <c r="A943" s="133">
        <v>9</v>
      </c>
      <c r="B943" s="133" t="s">
        <v>50</v>
      </c>
      <c r="C943" s="133" t="s">
        <v>1691</v>
      </c>
      <c r="D943" s="133" t="s">
        <v>1692</v>
      </c>
      <c r="E943" s="133">
        <v>3</v>
      </c>
      <c r="F943" s="134">
        <v>41899</v>
      </c>
      <c r="G943" s="203" t="s">
        <v>1693</v>
      </c>
      <c r="H943" s="203" t="s">
        <v>1694</v>
      </c>
      <c r="I943" s="204">
        <v>44844</v>
      </c>
      <c r="J943" s="133" t="s">
        <v>118</v>
      </c>
      <c r="K943" s="133" t="s">
        <v>187</v>
      </c>
      <c r="L943" s="133"/>
      <c r="M943" s="133" t="s">
        <v>36</v>
      </c>
      <c r="N943" s="212">
        <v>45200</v>
      </c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  <c r="AB943" s="138"/>
      <c r="AC943" s="138"/>
      <c r="AD943" s="138"/>
      <c r="AE943" s="138"/>
      <c r="AF943" s="138"/>
      <c r="AG943" s="138"/>
      <c r="AH943" s="138"/>
      <c r="AI943" s="138"/>
      <c r="AJ943" s="138"/>
      <c r="AK943" s="138"/>
      <c r="AL943" s="138"/>
      <c r="AM943" s="138"/>
      <c r="AN943" s="138"/>
      <c r="AO943" s="138"/>
      <c r="AP943" s="138"/>
      <c r="AQ943" s="138"/>
      <c r="AR943" s="138"/>
      <c r="AS943" s="138"/>
    </row>
    <row r="944" spans="1:45" ht="16.5" hidden="1" customHeight="1">
      <c r="A944" s="113">
        <v>1</v>
      </c>
      <c r="B944" s="219" t="s">
        <v>91</v>
      </c>
      <c r="C944" s="117" t="s">
        <v>359</v>
      </c>
      <c r="D944" s="117" t="s">
        <v>1729</v>
      </c>
      <c r="E944" s="117" t="s">
        <v>190</v>
      </c>
      <c r="F944" s="114">
        <v>43050</v>
      </c>
      <c r="G944" s="220" t="s">
        <v>361</v>
      </c>
      <c r="H944" s="220" t="s">
        <v>362</v>
      </c>
      <c r="I944" s="116">
        <v>45170</v>
      </c>
      <c r="J944" s="117" t="s">
        <v>654</v>
      </c>
      <c r="K944" s="117" t="s">
        <v>175</v>
      </c>
      <c r="L944" s="117"/>
      <c r="M944" s="113" t="s">
        <v>36</v>
      </c>
      <c r="N944" s="221">
        <v>45231</v>
      </c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  <c r="AA944" s="118"/>
      <c r="AB944" s="118"/>
      <c r="AC944" s="118"/>
      <c r="AD944" s="118"/>
      <c r="AE944" s="118"/>
      <c r="AF944" s="118"/>
      <c r="AG944" s="118"/>
      <c r="AH944" s="118"/>
      <c r="AI944" s="118"/>
      <c r="AJ944" s="118"/>
      <c r="AK944" s="118"/>
      <c r="AL944" s="118"/>
      <c r="AM944" s="118"/>
      <c r="AN944" s="118"/>
      <c r="AO944" s="118"/>
      <c r="AP944" s="118"/>
      <c r="AQ944" s="118"/>
      <c r="AR944" s="118"/>
      <c r="AS944" s="118"/>
    </row>
    <row r="945" spans="1:45" ht="16.5" hidden="1" customHeight="1">
      <c r="A945" s="113">
        <v>2</v>
      </c>
      <c r="B945" s="219" t="s">
        <v>50</v>
      </c>
      <c r="C945" s="117" t="s">
        <v>359</v>
      </c>
      <c r="D945" s="117" t="s">
        <v>1729</v>
      </c>
      <c r="E945" s="117" t="s">
        <v>190</v>
      </c>
      <c r="F945" s="114">
        <v>43050</v>
      </c>
      <c r="G945" s="220" t="s">
        <v>361</v>
      </c>
      <c r="H945" s="220" t="s">
        <v>362</v>
      </c>
      <c r="I945" s="116">
        <v>45170</v>
      </c>
      <c r="J945" s="117" t="s">
        <v>349</v>
      </c>
      <c r="K945" s="117" t="s">
        <v>122</v>
      </c>
      <c r="L945" s="117"/>
      <c r="M945" s="113" t="s">
        <v>36</v>
      </c>
      <c r="N945" s="221">
        <v>45231</v>
      </c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  <c r="AA945" s="118"/>
      <c r="AB945" s="118"/>
      <c r="AC945" s="118"/>
      <c r="AD945" s="118"/>
      <c r="AE945" s="118"/>
      <c r="AF945" s="118"/>
      <c r="AG945" s="118"/>
      <c r="AH945" s="118"/>
      <c r="AI945" s="118"/>
      <c r="AJ945" s="118"/>
      <c r="AK945" s="118"/>
      <c r="AL945" s="118"/>
      <c r="AM945" s="118"/>
      <c r="AN945" s="118"/>
      <c r="AO945" s="118"/>
      <c r="AP945" s="118"/>
      <c r="AQ945" s="118"/>
      <c r="AR945" s="118"/>
      <c r="AS945" s="118"/>
    </row>
    <row r="946" spans="1:45" ht="16.5" hidden="1" customHeight="1">
      <c r="A946" s="113">
        <v>3</v>
      </c>
      <c r="B946" s="219" t="s">
        <v>50</v>
      </c>
      <c r="C946" s="113" t="s">
        <v>1730</v>
      </c>
      <c r="D946" s="113" t="s">
        <v>1731</v>
      </c>
      <c r="E946" s="113">
        <v>2</v>
      </c>
      <c r="F946" s="114">
        <v>42536</v>
      </c>
      <c r="G946" s="115" t="s">
        <v>1732</v>
      </c>
      <c r="H946" s="115" t="s">
        <v>1733</v>
      </c>
      <c r="I946" s="116">
        <v>45210</v>
      </c>
      <c r="J946" s="113" t="s">
        <v>134</v>
      </c>
      <c r="K946" s="113" t="s">
        <v>821</v>
      </c>
      <c r="L946" s="113"/>
      <c r="M946" s="113" t="s">
        <v>36</v>
      </c>
      <c r="N946" s="221">
        <v>45231</v>
      </c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  <c r="AA946" s="118"/>
      <c r="AB946" s="118"/>
      <c r="AC946" s="118"/>
      <c r="AD946" s="118"/>
      <c r="AE946" s="118"/>
      <c r="AF946" s="118"/>
      <c r="AG946" s="118"/>
      <c r="AH946" s="118"/>
      <c r="AI946" s="118"/>
      <c r="AJ946" s="118"/>
      <c r="AK946" s="118"/>
      <c r="AL946" s="118"/>
      <c r="AM946" s="118"/>
      <c r="AN946" s="118"/>
      <c r="AO946" s="118"/>
      <c r="AP946" s="118"/>
      <c r="AQ946" s="118"/>
      <c r="AR946" s="118"/>
      <c r="AS946" s="118"/>
    </row>
    <row r="947" spans="1:45" ht="16.5" hidden="1" customHeight="1">
      <c r="A947" s="113">
        <v>4</v>
      </c>
      <c r="B947" s="219" t="s">
        <v>91</v>
      </c>
      <c r="C947" s="113" t="s">
        <v>1730</v>
      </c>
      <c r="D947" s="113" t="s">
        <v>1731</v>
      </c>
      <c r="E947" s="113">
        <v>2</v>
      </c>
      <c r="F947" s="114">
        <v>42536</v>
      </c>
      <c r="G947" s="115" t="s">
        <v>1732</v>
      </c>
      <c r="H947" s="115" t="s">
        <v>1733</v>
      </c>
      <c r="I947" s="116">
        <v>45210</v>
      </c>
      <c r="J947" s="113" t="s">
        <v>194</v>
      </c>
      <c r="K947" s="113" t="s">
        <v>276</v>
      </c>
      <c r="L947" s="113" t="s">
        <v>1592</v>
      </c>
      <c r="M947" s="113" t="s">
        <v>36</v>
      </c>
      <c r="N947" s="221">
        <v>45231</v>
      </c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  <c r="AA947" s="118"/>
      <c r="AB947" s="118"/>
      <c r="AC947" s="118"/>
      <c r="AD947" s="118"/>
      <c r="AE947" s="118"/>
      <c r="AF947" s="118"/>
      <c r="AG947" s="118"/>
      <c r="AH947" s="118"/>
      <c r="AI947" s="118"/>
      <c r="AJ947" s="118"/>
      <c r="AK947" s="118"/>
      <c r="AL947" s="118"/>
      <c r="AM947" s="118"/>
      <c r="AN947" s="118"/>
      <c r="AO947" s="118"/>
      <c r="AP947" s="118"/>
      <c r="AQ947" s="118"/>
      <c r="AR947" s="118"/>
      <c r="AS947" s="118"/>
    </row>
    <row r="948" spans="1:45" ht="16.5" hidden="1" customHeight="1">
      <c r="A948" s="113">
        <v>5</v>
      </c>
      <c r="B948" s="219" t="s">
        <v>50</v>
      </c>
      <c r="C948" s="117" t="s">
        <v>298</v>
      </c>
      <c r="D948" s="117" t="s">
        <v>1734</v>
      </c>
      <c r="E948" s="117">
        <v>9</v>
      </c>
      <c r="F948" s="114">
        <v>39905</v>
      </c>
      <c r="G948" s="220" t="s">
        <v>1735</v>
      </c>
      <c r="H948" s="220" t="s">
        <v>1736</v>
      </c>
      <c r="I948" s="116">
        <v>45196</v>
      </c>
      <c r="J948" s="117" t="s">
        <v>255</v>
      </c>
      <c r="K948" s="117" t="s">
        <v>181</v>
      </c>
      <c r="L948" s="117" t="s">
        <v>1737</v>
      </c>
      <c r="M948" s="113" t="s">
        <v>36</v>
      </c>
      <c r="N948" s="221">
        <v>45231</v>
      </c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  <c r="AA948" s="118"/>
      <c r="AB948" s="118"/>
      <c r="AC948" s="118"/>
      <c r="AD948" s="118"/>
      <c r="AE948" s="118"/>
      <c r="AF948" s="118"/>
      <c r="AG948" s="118"/>
      <c r="AH948" s="118"/>
      <c r="AI948" s="118"/>
      <c r="AJ948" s="118"/>
      <c r="AK948" s="118"/>
      <c r="AL948" s="118"/>
      <c r="AM948" s="118"/>
      <c r="AN948" s="118"/>
      <c r="AO948" s="118"/>
      <c r="AP948" s="118"/>
      <c r="AQ948" s="118"/>
      <c r="AR948" s="118"/>
      <c r="AS948" s="118"/>
    </row>
    <row r="949" spans="1:45" ht="16.5" hidden="1" customHeight="1">
      <c r="A949" s="113">
        <v>6</v>
      </c>
      <c r="B949" s="219" t="s">
        <v>91</v>
      </c>
      <c r="C949" s="117" t="s">
        <v>298</v>
      </c>
      <c r="D949" s="117" t="s">
        <v>1734</v>
      </c>
      <c r="E949" s="117">
        <v>9</v>
      </c>
      <c r="F949" s="114">
        <v>39905</v>
      </c>
      <c r="G949" s="220" t="s">
        <v>1735</v>
      </c>
      <c r="H949" s="220" t="s">
        <v>1736</v>
      </c>
      <c r="I949" s="116">
        <v>45196</v>
      </c>
      <c r="J949" s="117" t="s">
        <v>141</v>
      </c>
      <c r="K949" s="117" t="s">
        <v>135</v>
      </c>
      <c r="L949" s="117" t="s">
        <v>1737</v>
      </c>
      <c r="M949" s="113" t="s">
        <v>36</v>
      </c>
      <c r="N949" s="221">
        <v>45231</v>
      </c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  <c r="AA949" s="118"/>
      <c r="AB949" s="118"/>
      <c r="AC949" s="118"/>
      <c r="AD949" s="118"/>
      <c r="AE949" s="118"/>
      <c r="AF949" s="118"/>
      <c r="AG949" s="118"/>
      <c r="AH949" s="118"/>
      <c r="AI949" s="118"/>
      <c r="AJ949" s="118"/>
      <c r="AK949" s="118"/>
      <c r="AL949" s="118"/>
      <c r="AM949" s="118"/>
      <c r="AN949" s="118"/>
      <c r="AO949" s="118"/>
      <c r="AP949" s="118"/>
      <c r="AQ949" s="118"/>
      <c r="AR949" s="118"/>
      <c r="AS949" s="118"/>
    </row>
    <row r="950" spans="1:45" ht="16.5" hidden="1" customHeight="1">
      <c r="A950" s="113">
        <v>7</v>
      </c>
      <c r="B950" s="219" t="s">
        <v>50</v>
      </c>
      <c r="C950" s="117" t="s">
        <v>298</v>
      </c>
      <c r="D950" s="117" t="s">
        <v>1738</v>
      </c>
      <c r="E950" s="117">
        <v>10</v>
      </c>
      <c r="F950" s="114">
        <v>39488</v>
      </c>
      <c r="G950" s="220" t="s">
        <v>1735</v>
      </c>
      <c r="H950" s="220" t="s">
        <v>1736</v>
      </c>
      <c r="I950" s="116">
        <v>45196</v>
      </c>
      <c r="J950" s="117" t="s">
        <v>290</v>
      </c>
      <c r="K950" s="117" t="s">
        <v>175</v>
      </c>
      <c r="L950" s="117" t="s">
        <v>1737</v>
      </c>
      <c r="M950" s="113" t="s">
        <v>36</v>
      </c>
      <c r="N950" s="221">
        <v>45231</v>
      </c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  <c r="AA950" s="118"/>
      <c r="AB950" s="118"/>
      <c r="AC950" s="118"/>
      <c r="AD950" s="118"/>
      <c r="AE950" s="118"/>
      <c r="AF950" s="118"/>
      <c r="AG950" s="118"/>
      <c r="AH950" s="118"/>
      <c r="AI950" s="118"/>
      <c r="AJ950" s="118"/>
      <c r="AK950" s="118"/>
      <c r="AL950" s="118"/>
      <c r="AM950" s="118"/>
      <c r="AN950" s="118"/>
      <c r="AO950" s="118"/>
      <c r="AP950" s="118"/>
      <c r="AQ950" s="118"/>
      <c r="AR950" s="118"/>
      <c r="AS950" s="118"/>
    </row>
    <row r="951" spans="1:45" ht="16.5" hidden="1" customHeight="1">
      <c r="A951" s="113">
        <v>8</v>
      </c>
      <c r="B951" s="219" t="s">
        <v>91</v>
      </c>
      <c r="C951" s="117" t="s">
        <v>298</v>
      </c>
      <c r="D951" s="117" t="s">
        <v>1738</v>
      </c>
      <c r="E951" s="117">
        <v>10</v>
      </c>
      <c r="F951" s="114">
        <v>39488</v>
      </c>
      <c r="G951" s="220" t="s">
        <v>1735</v>
      </c>
      <c r="H951" s="220" t="s">
        <v>1736</v>
      </c>
      <c r="I951" s="116">
        <v>45196</v>
      </c>
      <c r="J951" s="117" t="s">
        <v>244</v>
      </c>
      <c r="K951" s="117" t="s">
        <v>175</v>
      </c>
      <c r="L951" s="117" t="s">
        <v>1737</v>
      </c>
      <c r="M951" s="113" t="s">
        <v>36</v>
      </c>
      <c r="N951" s="221">
        <v>45231</v>
      </c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  <c r="AA951" s="118"/>
      <c r="AB951" s="118"/>
      <c r="AC951" s="118"/>
      <c r="AD951" s="118"/>
      <c r="AE951" s="118"/>
      <c r="AF951" s="118"/>
      <c r="AG951" s="118"/>
      <c r="AH951" s="118"/>
      <c r="AI951" s="118"/>
      <c r="AJ951" s="118"/>
      <c r="AK951" s="118"/>
      <c r="AL951" s="118"/>
      <c r="AM951" s="118"/>
      <c r="AN951" s="118"/>
      <c r="AO951" s="118"/>
      <c r="AP951" s="118"/>
      <c r="AQ951" s="118"/>
      <c r="AR951" s="118"/>
      <c r="AS951" s="118"/>
    </row>
    <row r="952" spans="1:45" ht="16.5" hidden="1" customHeight="1">
      <c r="A952" s="113">
        <v>1</v>
      </c>
      <c r="B952" s="113" t="s">
        <v>50</v>
      </c>
      <c r="C952" s="113" t="s">
        <v>298</v>
      </c>
      <c r="D952" s="113" t="s">
        <v>299</v>
      </c>
      <c r="E952" s="113">
        <v>3</v>
      </c>
      <c r="F952" s="114">
        <v>41328</v>
      </c>
      <c r="G952" s="115" t="s">
        <v>300</v>
      </c>
      <c r="H952" s="115" t="s">
        <v>301</v>
      </c>
      <c r="I952" s="116">
        <v>44928</v>
      </c>
      <c r="J952" s="113" t="s">
        <v>249</v>
      </c>
      <c r="K952" s="113" t="s">
        <v>1739</v>
      </c>
      <c r="L952" s="113" t="s">
        <v>1740</v>
      </c>
      <c r="M952" s="113" t="s">
        <v>36</v>
      </c>
      <c r="N952" s="160">
        <v>45261</v>
      </c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  <c r="AA952" s="118"/>
      <c r="AB952" s="118"/>
      <c r="AC952" s="118"/>
      <c r="AD952" s="118"/>
      <c r="AE952" s="118"/>
      <c r="AF952" s="118"/>
      <c r="AG952" s="118"/>
      <c r="AH952" s="118"/>
      <c r="AI952" s="118"/>
      <c r="AJ952" s="118"/>
      <c r="AK952" s="118"/>
      <c r="AL952" s="118"/>
      <c r="AM952" s="118"/>
      <c r="AN952" s="118"/>
      <c r="AO952" s="118"/>
      <c r="AP952" s="118"/>
      <c r="AQ952" s="118"/>
      <c r="AR952" s="118"/>
      <c r="AS952" s="118"/>
    </row>
    <row r="953" spans="1:45" ht="16.5" hidden="1" customHeight="1">
      <c r="A953" s="113">
        <v>2</v>
      </c>
      <c r="B953" s="113" t="s">
        <v>91</v>
      </c>
      <c r="C953" s="113" t="s">
        <v>298</v>
      </c>
      <c r="D953" s="113" t="s">
        <v>299</v>
      </c>
      <c r="E953" s="113">
        <v>3</v>
      </c>
      <c r="F953" s="114">
        <v>41328</v>
      </c>
      <c r="G953" s="115" t="s">
        <v>300</v>
      </c>
      <c r="H953" s="115" t="s">
        <v>301</v>
      </c>
      <c r="I953" s="116">
        <v>44928</v>
      </c>
      <c r="J953" s="113" t="s">
        <v>244</v>
      </c>
      <c r="K953" s="113" t="s">
        <v>212</v>
      </c>
      <c r="L953" s="113" t="s">
        <v>1740</v>
      </c>
      <c r="M953" s="113" t="s">
        <v>36</v>
      </c>
      <c r="N953" s="160">
        <v>45261</v>
      </c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  <c r="AA953" s="118"/>
      <c r="AB953" s="118"/>
      <c r="AC953" s="118"/>
      <c r="AD953" s="118"/>
      <c r="AE953" s="118"/>
      <c r="AF953" s="118"/>
      <c r="AG953" s="118"/>
      <c r="AH953" s="118"/>
      <c r="AI953" s="118"/>
      <c r="AJ953" s="118"/>
      <c r="AK953" s="118"/>
      <c r="AL953" s="118"/>
      <c r="AM953" s="118"/>
      <c r="AN953" s="118"/>
      <c r="AO953" s="118"/>
      <c r="AP953" s="118"/>
      <c r="AQ953" s="118"/>
      <c r="AR953" s="118"/>
      <c r="AS953" s="118"/>
    </row>
    <row r="954" spans="1:45" ht="16.5" hidden="1" customHeight="1">
      <c r="A954" s="113">
        <v>3</v>
      </c>
      <c r="B954" s="113" t="s">
        <v>50</v>
      </c>
      <c r="C954" s="113" t="s">
        <v>114</v>
      </c>
      <c r="D954" s="113" t="s">
        <v>115</v>
      </c>
      <c r="E954" s="113">
        <v>3</v>
      </c>
      <c r="F954" s="114">
        <v>42218</v>
      </c>
      <c r="G954" s="115" t="s">
        <v>116</v>
      </c>
      <c r="H954" s="115" t="s">
        <v>117</v>
      </c>
      <c r="I954" s="116">
        <v>45154</v>
      </c>
      <c r="J954" s="113" t="s">
        <v>110</v>
      </c>
      <c r="K954" s="113" t="s">
        <v>119</v>
      </c>
      <c r="L954" s="113" t="s">
        <v>1741</v>
      </c>
      <c r="M954" s="113" t="s">
        <v>36</v>
      </c>
      <c r="N954" s="160">
        <v>45261</v>
      </c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  <c r="AA954" s="118"/>
      <c r="AB954" s="118"/>
      <c r="AC954" s="118"/>
      <c r="AD954" s="118"/>
      <c r="AE954" s="118"/>
      <c r="AF954" s="118"/>
      <c r="AG954" s="118"/>
      <c r="AH954" s="118"/>
      <c r="AI954" s="118"/>
      <c r="AJ954" s="118"/>
      <c r="AK954" s="118"/>
      <c r="AL954" s="118"/>
      <c r="AM954" s="118"/>
      <c r="AN954" s="118"/>
      <c r="AO954" s="118"/>
      <c r="AP954" s="118"/>
      <c r="AQ954" s="118"/>
      <c r="AR954" s="118"/>
      <c r="AS954" s="118"/>
    </row>
    <row r="955" spans="1:45" ht="16.5" hidden="1" customHeight="1">
      <c r="A955" s="113">
        <v>4</v>
      </c>
      <c r="B955" s="113" t="s">
        <v>91</v>
      </c>
      <c r="C955" s="113" t="s">
        <v>114</v>
      </c>
      <c r="D955" s="113" t="s">
        <v>115</v>
      </c>
      <c r="E955" s="113">
        <v>3</v>
      </c>
      <c r="F955" s="114">
        <v>42218</v>
      </c>
      <c r="G955" s="115" t="s">
        <v>116</v>
      </c>
      <c r="H955" s="115" t="s">
        <v>117</v>
      </c>
      <c r="I955" s="116">
        <v>45154</v>
      </c>
      <c r="J955" s="113" t="s">
        <v>121</v>
      </c>
      <c r="K955" s="113" t="s">
        <v>132</v>
      </c>
      <c r="L955" s="113" t="s">
        <v>1741</v>
      </c>
      <c r="M955" s="113" t="s">
        <v>36</v>
      </c>
      <c r="N955" s="160">
        <v>45261</v>
      </c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  <c r="AA955" s="118"/>
      <c r="AB955" s="118"/>
      <c r="AC955" s="118"/>
      <c r="AD955" s="118"/>
      <c r="AE955" s="118"/>
      <c r="AF955" s="118"/>
      <c r="AG955" s="118"/>
      <c r="AH955" s="118"/>
      <c r="AI955" s="118"/>
      <c r="AJ955" s="118"/>
      <c r="AK955" s="118"/>
      <c r="AL955" s="118"/>
      <c r="AM955" s="118"/>
      <c r="AN955" s="118"/>
      <c r="AO955" s="118"/>
      <c r="AP955" s="118"/>
      <c r="AQ955" s="118"/>
      <c r="AR955" s="118"/>
      <c r="AS955" s="118"/>
    </row>
    <row r="956" spans="1:45" ht="16.5" hidden="1" customHeight="1">
      <c r="A956" s="113">
        <v>5</v>
      </c>
      <c r="B956" s="113" t="s">
        <v>50</v>
      </c>
      <c r="C956" s="113" t="s">
        <v>482</v>
      </c>
      <c r="D956" s="113" t="s">
        <v>725</v>
      </c>
      <c r="E956" s="113">
        <v>9</v>
      </c>
      <c r="F956" s="114">
        <v>39272</v>
      </c>
      <c r="G956" s="115" t="s">
        <v>1742</v>
      </c>
      <c r="H956" s="115" t="s">
        <v>485</v>
      </c>
      <c r="I956" s="116">
        <v>44610</v>
      </c>
      <c r="J956" s="113" t="s">
        <v>271</v>
      </c>
      <c r="K956" s="113" t="s">
        <v>655</v>
      </c>
      <c r="L956" s="113" t="s">
        <v>1743</v>
      </c>
      <c r="M956" s="113" t="s">
        <v>36</v>
      </c>
      <c r="N956" s="160">
        <v>45261</v>
      </c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  <c r="AA956" s="118"/>
      <c r="AB956" s="118"/>
      <c r="AC956" s="118"/>
      <c r="AD956" s="118"/>
      <c r="AE956" s="118"/>
      <c r="AF956" s="118"/>
      <c r="AG956" s="118"/>
      <c r="AH956" s="118"/>
      <c r="AI956" s="118"/>
      <c r="AJ956" s="118"/>
      <c r="AK956" s="118"/>
      <c r="AL956" s="118"/>
      <c r="AM956" s="118"/>
      <c r="AN956" s="118"/>
      <c r="AO956" s="118"/>
      <c r="AP956" s="118"/>
      <c r="AQ956" s="118"/>
      <c r="AR956" s="118"/>
      <c r="AS956" s="118"/>
    </row>
    <row r="957" spans="1:45" ht="16.5" hidden="1" customHeight="1">
      <c r="A957" s="113">
        <v>6</v>
      </c>
      <c r="B957" s="113" t="s">
        <v>91</v>
      </c>
      <c r="C957" s="113" t="s">
        <v>482</v>
      </c>
      <c r="D957" s="113" t="s">
        <v>725</v>
      </c>
      <c r="E957" s="113">
        <v>9</v>
      </c>
      <c r="F957" s="114">
        <v>39272</v>
      </c>
      <c r="G957" s="115" t="s">
        <v>1742</v>
      </c>
      <c r="H957" s="115" t="s">
        <v>485</v>
      </c>
      <c r="I957" s="116">
        <v>44621</v>
      </c>
      <c r="J957" s="113" t="s">
        <v>1320</v>
      </c>
      <c r="K957" s="113" t="s">
        <v>162</v>
      </c>
      <c r="L957" s="113" t="s">
        <v>1743</v>
      </c>
      <c r="M957" s="113" t="s">
        <v>36</v>
      </c>
      <c r="N957" s="160">
        <v>45261</v>
      </c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  <c r="AA957" s="118"/>
      <c r="AB957" s="118"/>
      <c r="AC957" s="118"/>
      <c r="AD957" s="118"/>
      <c r="AE957" s="118"/>
      <c r="AF957" s="118"/>
      <c r="AG957" s="118"/>
      <c r="AH957" s="118"/>
      <c r="AI957" s="118"/>
      <c r="AJ957" s="118"/>
      <c r="AK957" s="118"/>
      <c r="AL957" s="118"/>
      <c r="AM957" s="118"/>
      <c r="AN957" s="118"/>
      <c r="AO957" s="118"/>
      <c r="AP957" s="118"/>
      <c r="AQ957" s="118"/>
      <c r="AR957" s="118"/>
      <c r="AS957" s="118"/>
    </row>
    <row r="958" spans="1:45" ht="16.5" hidden="1" customHeight="1">
      <c r="A958" s="113">
        <v>7</v>
      </c>
      <c r="B958" s="113" t="s">
        <v>50</v>
      </c>
      <c r="C958" s="113" t="s">
        <v>482</v>
      </c>
      <c r="D958" s="113" t="s">
        <v>483</v>
      </c>
      <c r="E958" s="113">
        <v>9</v>
      </c>
      <c r="F958" s="114">
        <v>39083</v>
      </c>
      <c r="G958" s="115" t="s">
        <v>484</v>
      </c>
      <c r="H958" s="222" t="s">
        <v>485</v>
      </c>
      <c r="I958" s="116">
        <v>44728</v>
      </c>
      <c r="J958" s="113" t="s">
        <v>358</v>
      </c>
      <c r="K958" s="113" t="s">
        <v>205</v>
      </c>
      <c r="L958" s="113" t="s">
        <v>1743</v>
      </c>
      <c r="M958" s="113" t="s">
        <v>36</v>
      </c>
      <c r="N958" s="160">
        <v>45261</v>
      </c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  <c r="AA958" s="118"/>
      <c r="AB958" s="118"/>
      <c r="AC958" s="118"/>
      <c r="AD958" s="118"/>
      <c r="AE958" s="118"/>
      <c r="AF958" s="118"/>
      <c r="AG958" s="118"/>
      <c r="AH958" s="118"/>
      <c r="AI958" s="118"/>
      <c r="AJ958" s="118"/>
      <c r="AK958" s="118"/>
      <c r="AL958" s="118"/>
      <c r="AM958" s="118"/>
      <c r="AN958" s="118"/>
      <c r="AO958" s="118"/>
      <c r="AP958" s="118"/>
      <c r="AQ958" s="118"/>
      <c r="AR958" s="118"/>
      <c r="AS958" s="118"/>
    </row>
    <row r="959" spans="1:45" ht="16.5" hidden="1" customHeight="1">
      <c r="A959" s="113">
        <v>8</v>
      </c>
      <c r="B959" s="113" t="s">
        <v>91</v>
      </c>
      <c r="C959" s="113" t="s">
        <v>482</v>
      </c>
      <c r="D959" s="113" t="s">
        <v>483</v>
      </c>
      <c r="E959" s="113">
        <v>9</v>
      </c>
      <c r="F959" s="114">
        <v>39083</v>
      </c>
      <c r="G959" s="115" t="s">
        <v>484</v>
      </c>
      <c r="H959" s="222" t="s">
        <v>485</v>
      </c>
      <c r="I959" s="116">
        <v>44728</v>
      </c>
      <c r="J959" s="113" t="s">
        <v>141</v>
      </c>
      <c r="K959" s="113" t="s">
        <v>132</v>
      </c>
      <c r="L959" s="113" t="s">
        <v>1743</v>
      </c>
      <c r="M959" s="113" t="s">
        <v>36</v>
      </c>
      <c r="N959" s="160">
        <v>45261</v>
      </c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  <c r="AA959" s="118"/>
      <c r="AB959" s="118"/>
      <c r="AC959" s="118"/>
      <c r="AD959" s="118"/>
      <c r="AE959" s="118"/>
      <c r="AF959" s="118"/>
      <c r="AG959" s="118"/>
      <c r="AH959" s="118"/>
      <c r="AI959" s="118"/>
      <c r="AJ959" s="118"/>
      <c r="AK959" s="118"/>
      <c r="AL959" s="118"/>
      <c r="AM959" s="118"/>
      <c r="AN959" s="118"/>
      <c r="AO959" s="118"/>
      <c r="AP959" s="118"/>
      <c r="AQ959" s="118"/>
      <c r="AR959" s="118"/>
      <c r="AS959" s="118"/>
    </row>
    <row r="960" spans="1:45" ht="16.5" hidden="1" customHeight="1">
      <c r="A960" s="113">
        <v>9</v>
      </c>
      <c r="B960" s="113" t="s">
        <v>50</v>
      </c>
      <c r="C960" s="113" t="s">
        <v>441</v>
      </c>
      <c r="D960" s="113" t="s">
        <v>442</v>
      </c>
      <c r="E960" s="113">
        <v>8</v>
      </c>
      <c r="F960" s="114">
        <v>40097</v>
      </c>
      <c r="G960" s="115" t="s">
        <v>443</v>
      </c>
      <c r="H960" s="115" t="s">
        <v>444</v>
      </c>
      <c r="I960" s="116">
        <v>45157</v>
      </c>
      <c r="J960" s="113" t="s">
        <v>186</v>
      </c>
      <c r="K960" s="113" t="s">
        <v>132</v>
      </c>
      <c r="L960" s="113" t="s">
        <v>1744</v>
      </c>
      <c r="M960" s="113" t="s">
        <v>36</v>
      </c>
      <c r="N960" s="160">
        <v>45261</v>
      </c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  <c r="AA960" s="118"/>
      <c r="AB960" s="118"/>
      <c r="AC960" s="118"/>
      <c r="AD960" s="118"/>
      <c r="AE960" s="118"/>
      <c r="AF960" s="118"/>
      <c r="AG960" s="118"/>
      <c r="AH960" s="118"/>
      <c r="AI960" s="118"/>
      <c r="AJ960" s="118"/>
      <c r="AK960" s="118"/>
      <c r="AL960" s="118"/>
      <c r="AM960" s="118"/>
      <c r="AN960" s="118"/>
      <c r="AO960" s="118"/>
      <c r="AP960" s="118"/>
      <c r="AQ960" s="118"/>
      <c r="AR960" s="118"/>
      <c r="AS960" s="118"/>
    </row>
    <row r="961" spans="1:45" ht="16.5" hidden="1" customHeight="1">
      <c r="A961" s="113">
        <v>10</v>
      </c>
      <c r="B961" s="113" t="s">
        <v>50</v>
      </c>
      <c r="C961" s="113" t="s">
        <v>1745</v>
      </c>
      <c r="D961" s="113" t="s">
        <v>1746</v>
      </c>
      <c r="E961" s="113">
        <v>2</v>
      </c>
      <c r="F961" s="114">
        <v>42444</v>
      </c>
      <c r="G961" s="115" t="s">
        <v>1747</v>
      </c>
      <c r="H961" s="115" t="s">
        <v>1748</v>
      </c>
      <c r="I961" s="116">
        <v>44974</v>
      </c>
      <c r="J961" s="113" t="s">
        <v>192</v>
      </c>
      <c r="K961" s="113" t="s">
        <v>113</v>
      </c>
      <c r="L961" s="113" t="s">
        <v>1749</v>
      </c>
      <c r="M961" s="113" t="s">
        <v>36</v>
      </c>
      <c r="N961" s="160">
        <v>45261</v>
      </c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  <c r="AA961" s="118"/>
      <c r="AB961" s="118"/>
      <c r="AC961" s="118"/>
      <c r="AD961" s="118"/>
      <c r="AE961" s="118"/>
      <c r="AF961" s="118"/>
      <c r="AG961" s="118"/>
      <c r="AH961" s="118"/>
      <c r="AI961" s="118"/>
      <c r="AJ961" s="118"/>
      <c r="AK961" s="118"/>
      <c r="AL961" s="118"/>
      <c r="AM961" s="118"/>
      <c r="AN961" s="118"/>
      <c r="AO961" s="118"/>
      <c r="AP961" s="118"/>
      <c r="AQ961" s="118"/>
      <c r="AR961" s="118"/>
      <c r="AS961" s="118"/>
    </row>
    <row r="962" spans="1:45" ht="16.5" hidden="1" customHeight="1">
      <c r="A962" s="113">
        <v>11</v>
      </c>
      <c r="B962" s="113" t="s">
        <v>91</v>
      </c>
      <c r="C962" s="113" t="s">
        <v>1745</v>
      </c>
      <c r="D962" s="113" t="s">
        <v>1746</v>
      </c>
      <c r="E962" s="113">
        <v>2</v>
      </c>
      <c r="F962" s="114">
        <v>42444</v>
      </c>
      <c r="G962" s="115" t="s">
        <v>1747</v>
      </c>
      <c r="H962" s="115" t="s">
        <v>1748</v>
      </c>
      <c r="I962" s="116">
        <v>44974</v>
      </c>
      <c r="J962" s="113" t="s">
        <v>233</v>
      </c>
      <c r="K962" s="113" t="s">
        <v>126</v>
      </c>
      <c r="L962" s="113" t="s">
        <v>1749</v>
      </c>
      <c r="M962" s="113" t="s">
        <v>36</v>
      </c>
      <c r="N962" s="160">
        <v>45261</v>
      </c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  <c r="AA962" s="118"/>
      <c r="AB962" s="118"/>
      <c r="AC962" s="118"/>
      <c r="AD962" s="118"/>
      <c r="AE962" s="118"/>
      <c r="AF962" s="118"/>
      <c r="AG962" s="118"/>
      <c r="AH962" s="118"/>
      <c r="AI962" s="118"/>
      <c r="AJ962" s="118"/>
      <c r="AK962" s="118"/>
      <c r="AL962" s="118"/>
      <c r="AM962" s="118"/>
      <c r="AN962" s="118"/>
      <c r="AO962" s="118"/>
      <c r="AP962" s="118"/>
      <c r="AQ962" s="118"/>
      <c r="AR962" s="118"/>
      <c r="AS962" s="118"/>
    </row>
    <row r="963" spans="1:45" ht="16.5" hidden="1" customHeight="1">
      <c r="A963" s="113">
        <v>12</v>
      </c>
      <c r="B963" s="219" t="s">
        <v>50</v>
      </c>
      <c r="C963" s="113" t="s">
        <v>1750</v>
      </c>
      <c r="D963" s="113" t="s">
        <v>1751</v>
      </c>
      <c r="E963" s="113">
        <v>5</v>
      </c>
      <c r="F963" s="114">
        <v>41332</v>
      </c>
      <c r="G963" s="115" t="s">
        <v>1732</v>
      </c>
      <c r="H963" s="115" t="s">
        <v>1733</v>
      </c>
      <c r="I963" s="116">
        <v>45210</v>
      </c>
      <c r="J963" s="113" t="s">
        <v>261</v>
      </c>
      <c r="K963" s="113" t="s">
        <v>751</v>
      </c>
      <c r="L963" s="113"/>
      <c r="M963" s="113" t="s">
        <v>36</v>
      </c>
      <c r="N963" s="160">
        <v>45261</v>
      </c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  <c r="AA963" s="118"/>
      <c r="AB963" s="118"/>
      <c r="AC963" s="118"/>
      <c r="AD963" s="118"/>
      <c r="AE963" s="118"/>
      <c r="AF963" s="118"/>
      <c r="AG963" s="118"/>
      <c r="AH963" s="118"/>
      <c r="AI963" s="118"/>
      <c r="AJ963" s="118"/>
      <c r="AK963" s="118"/>
      <c r="AL963" s="118"/>
      <c r="AM963" s="118"/>
      <c r="AN963" s="118"/>
      <c r="AO963" s="118"/>
      <c r="AP963" s="118"/>
      <c r="AQ963" s="118"/>
      <c r="AR963" s="118"/>
      <c r="AS963" s="118"/>
    </row>
    <row r="964" spans="1:45" ht="16.5" hidden="1" customHeight="1">
      <c r="A964" s="113">
        <v>13</v>
      </c>
      <c r="B964" s="219" t="s">
        <v>91</v>
      </c>
      <c r="C964" s="113" t="s">
        <v>1750</v>
      </c>
      <c r="D964" s="113" t="s">
        <v>1751</v>
      </c>
      <c r="E964" s="113">
        <v>5</v>
      </c>
      <c r="F964" s="114">
        <v>41332</v>
      </c>
      <c r="G964" s="115" t="s">
        <v>1732</v>
      </c>
      <c r="H964" s="115" t="s">
        <v>1733</v>
      </c>
      <c r="I964" s="116">
        <v>45210</v>
      </c>
      <c r="J964" s="113" t="s">
        <v>121</v>
      </c>
      <c r="K964" s="113" t="s">
        <v>779</v>
      </c>
      <c r="L964" s="113" t="s">
        <v>1592</v>
      </c>
      <c r="M964" s="113" t="s">
        <v>36</v>
      </c>
      <c r="N964" s="160">
        <v>45261</v>
      </c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  <c r="AA964" s="118"/>
      <c r="AB964" s="118"/>
      <c r="AC964" s="118"/>
      <c r="AD964" s="118"/>
      <c r="AE964" s="118"/>
      <c r="AF964" s="118"/>
      <c r="AG964" s="118"/>
      <c r="AH964" s="118"/>
      <c r="AI964" s="118"/>
      <c r="AJ964" s="118"/>
      <c r="AK964" s="118"/>
      <c r="AL964" s="118"/>
      <c r="AM964" s="118"/>
      <c r="AN964" s="118"/>
      <c r="AO964" s="118"/>
      <c r="AP964" s="118"/>
      <c r="AQ964" s="118"/>
      <c r="AR964" s="118"/>
      <c r="AS964" s="118"/>
    </row>
    <row r="965" spans="1:45" ht="16.5" hidden="1" customHeight="1">
      <c r="A965" s="113">
        <v>14</v>
      </c>
      <c r="B965" s="219" t="s">
        <v>50</v>
      </c>
      <c r="C965" s="117" t="s">
        <v>1627</v>
      </c>
      <c r="D965" s="117" t="s">
        <v>472</v>
      </c>
      <c r="E965" s="117" t="s">
        <v>190</v>
      </c>
      <c r="F965" s="114">
        <v>43126</v>
      </c>
      <c r="G965" s="220" t="s">
        <v>1752</v>
      </c>
      <c r="H965" s="220" t="s">
        <v>1753</v>
      </c>
      <c r="I965" s="116">
        <v>45186</v>
      </c>
      <c r="J965" s="117" t="s">
        <v>349</v>
      </c>
      <c r="K965" s="117" t="s">
        <v>119</v>
      </c>
      <c r="L965" s="117" t="s">
        <v>1754</v>
      </c>
      <c r="M965" s="113" t="s">
        <v>36</v>
      </c>
      <c r="N965" s="160">
        <v>45261</v>
      </c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  <c r="AA965" s="118"/>
      <c r="AB965" s="118"/>
      <c r="AC965" s="118"/>
      <c r="AD965" s="118"/>
      <c r="AE965" s="118"/>
      <c r="AF965" s="118"/>
      <c r="AG965" s="118"/>
      <c r="AH965" s="118"/>
      <c r="AI965" s="118"/>
      <c r="AJ965" s="118"/>
      <c r="AK965" s="118"/>
      <c r="AL965" s="118"/>
      <c r="AM965" s="118"/>
      <c r="AN965" s="118"/>
      <c r="AO965" s="118"/>
      <c r="AP965" s="118"/>
      <c r="AQ965" s="118"/>
      <c r="AR965" s="118"/>
      <c r="AS965" s="118"/>
    </row>
    <row r="966" spans="1:45" ht="16.5" hidden="1" customHeight="1">
      <c r="A966" s="113">
        <v>15</v>
      </c>
      <c r="B966" s="113" t="s">
        <v>50</v>
      </c>
      <c r="C966" s="113" t="s">
        <v>1162</v>
      </c>
      <c r="D966" s="113" t="s">
        <v>1163</v>
      </c>
      <c r="E966" s="113">
        <v>2</v>
      </c>
      <c r="F966" s="114">
        <v>41791</v>
      </c>
      <c r="G966" s="115" t="s">
        <v>1164</v>
      </c>
      <c r="H966" s="115" t="s">
        <v>1165</v>
      </c>
      <c r="I966" s="116">
        <v>44621</v>
      </c>
      <c r="J966" s="113" t="s">
        <v>255</v>
      </c>
      <c r="K966" s="113" t="s">
        <v>166</v>
      </c>
      <c r="L966" s="113" t="s">
        <v>1755</v>
      </c>
      <c r="M966" s="113" t="s">
        <v>36</v>
      </c>
      <c r="N966" s="160">
        <v>45261</v>
      </c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  <c r="AA966" s="118"/>
      <c r="AB966" s="118"/>
      <c r="AC966" s="118"/>
      <c r="AD966" s="118"/>
      <c r="AE966" s="118"/>
      <c r="AF966" s="118"/>
      <c r="AG966" s="118"/>
      <c r="AH966" s="118"/>
      <c r="AI966" s="118"/>
      <c r="AJ966" s="118"/>
      <c r="AK966" s="118"/>
      <c r="AL966" s="118"/>
      <c r="AM966" s="118"/>
      <c r="AN966" s="118"/>
      <c r="AO966" s="118"/>
      <c r="AP966" s="118"/>
      <c r="AQ966" s="118"/>
      <c r="AR966" s="118"/>
      <c r="AS966" s="118"/>
    </row>
    <row r="967" spans="1:45" ht="16.5" hidden="1" customHeight="1">
      <c r="A967" s="113">
        <v>16</v>
      </c>
      <c r="B967" s="113" t="s">
        <v>91</v>
      </c>
      <c r="C967" s="113" t="s">
        <v>1162</v>
      </c>
      <c r="D967" s="113" t="s">
        <v>1163</v>
      </c>
      <c r="E967" s="113">
        <v>2</v>
      </c>
      <c r="F967" s="114">
        <v>41791</v>
      </c>
      <c r="G967" s="115" t="s">
        <v>1164</v>
      </c>
      <c r="H967" s="115" t="s">
        <v>1165</v>
      </c>
      <c r="I967" s="116">
        <v>44621</v>
      </c>
      <c r="J967" s="113" t="s">
        <v>221</v>
      </c>
      <c r="K967" s="113" t="s">
        <v>587</v>
      </c>
      <c r="L967" s="113" t="s">
        <v>1755</v>
      </c>
      <c r="M967" s="113" t="s">
        <v>36</v>
      </c>
      <c r="N967" s="160">
        <v>45261</v>
      </c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  <c r="AA967" s="118"/>
      <c r="AB967" s="118"/>
      <c r="AC967" s="118"/>
      <c r="AD967" s="118"/>
      <c r="AE967" s="118"/>
      <c r="AF967" s="118"/>
      <c r="AG967" s="118"/>
      <c r="AH967" s="118"/>
      <c r="AI967" s="118"/>
      <c r="AJ967" s="118"/>
      <c r="AK967" s="118"/>
      <c r="AL967" s="118"/>
      <c r="AM967" s="118"/>
      <c r="AN967" s="118"/>
      <c r="AO967" s="118"/>
      <c r="AP967" s="118"/>
      <c r="AQ967" s="118"/>
      <c r="AR967" s="118"/>
      <c r="AS967" s="118"/>
    </row>
    <row r="968" spans="1:45" ht="16.5" hidden="1" customHeight="1">
      <c r="A968" s="113">
        <v>17</v>
      </c>
      <c r="B968" s="113" t="s">
        <v>50</v>
      </c>
      <c r="C968" s="113" t="s">
        <v>298</v>
      </c>
      <c r="D968" s="113" t="s">
        <v>309</v>
      </c>
      <c r="E968" s="113">
        <v>3</v>
      </c>
      <c r="F968" s="114">
        <v>41516</v>
      </c>
      <c r="G968" s="115" t="s">
        <v>310</v>
      </c>
      <c r="H968" s="115" t="s">
        <v>311</v>
      </c>
      <c r="I968" s="116">
        <v>44928</v>
      </c>
      <c r="J968" s="113" t="s">
        <v>317</v>
      </c>
      <c r="K968" s="113" t="s">
        <v>125</v>
      </c>
      <c r="L968" s="113" t="s">
        <v>1740</v>
      </c>
      <c r="M968" s="113" t="s">
        <v>36</v>
      </c>
      <c r="N968" s="160">
        <v>45261</v>
      </c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  <c r="AA968" s="118"/>
      <c r="AB968" s="118"/>
      <c r="AC968" s="118"/>
      <c r="AD968" s="118"/>
      <c r="AE968" s="118"/>
      <c r="AF968" s="118"/>
      <c r="AG968" s="118"/>
      <c r="AH968" s="118"/>
      <c r="AI968" s="118"/>
      <c r="AJ968" s="118"/>
      <c r="AK968" s="118"/>
      <c r="AL968" s="118"/>
      <c r="AM968" s="118"/>
      <c r="AN968" s="118"/>
      <c r="AO968" s="118"/>
      <c r="AP968" s="118"/>
      <c r="AQ968" s="118"/>
      <c r="AR968" s="118"/>
      <c r="AS968" s="118"/>
    </row>
    <row r="969" spans="1:45" ht="16.5" hidden="1" customHeight="1">
      <c r="A969" s="113">
        <v>18</v>
      </c>
      <c r="B969" s="113" t="s">
        <v>91</v>
      </c>
      <c r="C969" s="113" t="s">
        <v>298</v>
      </c>
      <c r="D969" s="113" t="s">
        <v>309</v>
      </c>
      <c r="E969" s="113">
        <v>3</v>
      </c>
      <c r="F969" s="114">
        <v>41516</v>
      </c>
      <c r="G969" s="115" t="s">
        <v>310</v>
      </c>
      <c r="H969" s="115" t="s">
        <v>311</v>
      </c>
      <c r="I969" s="116">
        <v>44928</v>
      </c>
      <c r="J969" s="113" t="s">
        <v>172</v>
      </c>
      <c r="K969" s="113" t="s">
        <v>1756</v>
      </c>
      <c r="L969" s="113" t="s">
        <v>1740</v>
      </c>
      <c r="M969" s="113" t="s">
        <v>36</v>
      </c>
      <c r="N969" s="160">
        <v>45261</v>
      </c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  <c r="AA969" s="118"/>
      <c r="AB969" s="118"/>
      <c r="AC969" s="118"/>
      <c r="AD969" s="118"/>
      <c r="AE969" s="118"/>
      <c r="AF969" s="118"/>
      <c r="AG969" s="118"/>
      <c r="AH969" s="118"/>
      <c r="AI969" s="118"/>
      <c r="AJ969" s="118"/>
      <c r="AK969" s="118"/>
      <c r="AL969" s="118"/>
      <c r="AM969" s="118"/>
      <c r="AN969" s="118"/>
      <c r="AO969" s="118"/>
      <c r="AP969" s="118"/>
      <c r="AQ969" s="118"/>
      <c r="AR969" s="118"/>
      <c r="AS969" s="118"/>
    </row>
    <row r="970" spans="1:45" ht="16.5" hidden="1" customHeight="1">
      <c r="A970" s="113">
        <v>19</v>
      </c>
      <c r="B970" s="113" t="s">
        <v>91</v>
      </c>
      <c r="C970" s="113" t="s">
        <v>781</v>
      </c>
      <c r="D970" s="113" t="s">
        <v>628</v>
      </c>
      <c r="E970" s="113">
        <v>8</v>
      </c>
      <c r="F970" s="114">
        <v>39775</v>
      </c>
      <c r="G970" s="115" t="s">
        <v>1757</v>
      </c>
      <c r="H970" s="115" t="s">
        <v>1758</v>
      </c>
      <c r="I970" s="116">
        <v>44838</v>
      </c>
      <c r="J970" s="113" t="s">
        <v>274</v>
      </c>
      <c r="K970" s="113" t="s">
        <v>132</v>
      </c>
      <c r="L970" s="113" t="s">
        <v>1759</v>
      </c>
      <c r="M970" s="113" t="s">
        <v>36</v>
      </c>
      <c r="N970" s="160">
        <v>45261</v>
      </c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  <c r="AA970" s="118"/>
      <c r="AB970" s="118"/>
      <c r="AC970" s="118"/>
      <c r="AD970" s="118"/>
      <c r="AE970" s="118"/>
      <c r="AF970" s="118"/>
      <c r="AG970" s="118"/>
      <c r="AH970" s="118"/>
      <c r="AI970" s="118"/>
      <c r="AJ970" s="118"/>
      <c r="AK970" s="118"/>
      <c r="AL970" s="118"/>
      <c r="AM970" s="118"/>
      <c r="AN970" s="118"/>
      <c r="AO970" s="118"/>
      <c r="AP970" s="118"/>
      <c r="AQ970" s="118"/>
      <c r="AR970" s="118"/>
      <c r="AS970" s="118"/>
    </row>
    <row r="971" spans="1:45" ht="16.5" hidden="1" customHeight="1">
      <c r="A971" s="113">
        <v>20</v>
      </c>
      <c r="B971" s="113" t="s">
        <v>50</v>
      </c>
      <c r="C971" s="113" t="s">
        <v>114</v>
      </c>
      <c r="D971" s="113" t="s">
        <v>123</v>
      </c>
      <c r="E971" s="113">
        <v>2</v>
      </c>
      <c r="F971" s="114">
        <v>42606</v>
      </c>
      <c r="G971" s="115" t="s">
        <v>116</v>
      </c>
      <c r="H971" s="115" t="s">
        <v>117</v>
      </c>
      <c r="I971" s="116">
        <v>45154</v>
      </c>
      <c r="J971" s="113" t="s">
        <v>134</v>
      </c>
      <c r="K971" s="113" t="s">
        <v>135</v>
      </c>
      <c r="L971" s="113" t="s">
        <v>1741</v>
      </c>
      <c r="M971" s="113" t="s">
        <v>36</v>
      </c>
      <c r="N971" s="160">
        <v>45261</v>
      </c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  <c r="AA971" s="118"/>
      <c r="AB971" s="118"/>
      <c r="AC971" s="118"/>
      <c r="AD971" s="118"/>
      <c r="AE971" s="118"/>
      <c r="AF971" s="118"/>
      <c r="AG971" s="118"/>
      <c r="AH971" s="118"/>
      <c r="AI971" s="118"/>
      <c r="AJ971" s="118"/>
      <c r="AK971" s="118"/>
      <c r="AL971" s="118"/>
      <c r="AM971" s="118"/>
      <c r="AN971" s="118"/>
      <c r="AO971" s="118"/>
      <c r="AP971" s="118"/>
      <c r="AQ971" s="118"/>
      <c r="AR971" s="118"/>
      <c r="AS971" s="118"/>
    </row>
    <row r="972" spans="1:45" ht="16.5" hidden="1" customHeight="1">
      <c r="A972" s="113">
        <v>21</v>
      </c>
      <c r="B972" s="113" t="s">
        <v>91</v>
      </c>
      <c r="C972" s="113" t="s">
        <v>114</v>
      </c>
      <c r="D972" s="113" t="s">
        <v>123</v>
      </c>
      <c r="E972" s="113">
        <v>2</v>
      </c>
      <c r="F972" s="114">
        <v>42606</v>
      </c>
      <c r="G972" s="115" t="s">
        <v>116</v>
      </c>
      <c r="H972" s="115" t="s">
        <v>117</v>
      </c>
      <c r="I972" s="116">
        <v>45154</v>
      </c>
      <c r="J972" s="113" t="s">
        <v>233</v>
      </c>
      <c r="K972" s="113" t="s">
        <v>157</v>
      </c>
      <c r="L972" s="113" t="s">
        <v>1741</v>
      </c>
      <c r="M972" s="113" t="s">
        <v>36</v>
      </c>
      <c r="N972" s="160">
        <v>45261</v>
      </c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  <c r="AA972" s="118"/>
      <c r="AB972" s="118"/>
      <c r="AC972" s="118"/>
      <c r="AD972" s="118"/>
      <c r="AE972" s="118"/>
      <c r="AF972" s="118"/>
      <c r="AG972" s="118"/>
      <c r="AH972" s="118"/>
      <c r="AI972" s="118"/>
      <c r="AJ972" s="118"/>
      <c r="AK972" s="118"/>
      <c r="AL972" s="118"/>
      <c r="AM972" s="118"/>
      <c r="AN972" s="118"/>
      <c r="AO972" s="118"/>
      <c r="AP972" s="118"/>
      <c r="AQ972" s="118"/>
      <c r="AR972" s="118"/>
      <c r="AS972" s="118"/>
    </row>
    <row r="973" spans="1:45" ht="16.5" hidden="1" customHeight="1">
      <c r="A973" s="113">
        <v>22</v>
      </c>
      <c r="B973" s="113" t="s">
        <v>50</v>
      </c>
      <c r="C973" s="113" t="s">
        <v>413</v>
      </c>
      <c r="D973" s="113" t="s">
        <v>1760</v>
      </c>
      <c r="E973" s="113">
        <v>2</v>
      </c>
      <c r="F973" s="114">
        <v>41026</v>
      </c>
      <c r="G973" s="115" t="s">
        <v>1761</v>
      </c>
      <c r="H973" s="115" t="s">
        <v>1161</v>
      </c>
      <c r="I973" s="116">
        <v>43633</v>
      </c>
      <c r="J973" s="113" t="s">
        <v>317</v>
      </c>
      <c r="K973" s="113" t="s">
        <v>126</v>
      </c>
      <c r="L973" s="113" t="s">
        <v>1762</v>
      </c>
      <c r="M973" s="113" t="s">
        <v>36</v>
      </c>
      <c r="N973" s="160">
        <v>45261</v>
      </c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  <c r="AA973" s="118"/>
      <c r="AB973" s="118"/>
      <c r="AC973" s="118"/>
      <c r="AD973" s="118"/>
      <c r="AE973" s="118"/>
      <c r="AF973" s="118"/>
      <c r="AG973" s="118"/>
      <c r="AH973" s="118"/>
      <c r="AI973" s="118"/>
      <c r="AJ973" s="118"/>
      <c r="AK973" s="118"/>
      <c r="AL973" s="118"/>
      <c r="AM973" s="118"/>
      <c r="AN973" s="118"/>
      <c r="AO973" s="118"/>
      <c r="AP973" s="118"/>
      <c r="AQ973" s="118"/>
      <c r="AR973" s="118"/>
      <c r="AS973" s="118"/>
    </row>
    <row r="974" spans="1:45" ht="16.5" hidden="1" customHeight="1">
      <c r="A974" s="113">
        <v>23</v>
      </c>
      <c r="B974" s="113" t="s">
        <v>50</v>
      </c>
      <c r="C974" s="113" t="s">
        <v>413</v>
      </c>
      <c r="D974" s="113" t="s">
        <v>414</v>
      </c>
      <c r="E974" s="113" t="s">
        <v>190</v>
      </c>
      <c r="F974" s="114">
        <v>44562</v>
      </c>
      <c r="G974" s="115" t="s">
        <v>415</v>
      </c>
      <c r="H974" s="115" t="s">
        <v>416</v>
      </c>
      <c r="I974" s="116">
        <v>44440</v>
      </c>
      <c r="J974" s="113" t="s">
        <v>358</v>
      </c>
      <c r="K974" s="113" t="s">
        <v>132</v>
      </c>
      <c r="L974" s="113" t="s">
        <v>1762</v>
      </c>
      <c r="M974" s="113" t="s">
        <v>36</v>
      </c>
      <c r="N974" s="160">
        <v>45261</v>
      </c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8"/>
      <c r="AN974" s="118"/>
      <c r="AO974" s="118"/>
      <c r="AP974" s="118"/>
      <c r="AQ974" s="118"/>
      <c r="AR974" s="118"/>
      <c r="AS974" s="118"/>
    </row>
    <row r="975" spans="1:45" ht="16.5" hidden="1" customHeight="1">
      <c r="A975" s="113">
        <v>24</v>
      </c>
      <c r="B975" s="219" t="s">
        <v>50</v>
      </c>
      <c r="C975" s="117" t="s">
        <v>239</v>
      </c>
      <c r="D975" s="117" t="s">
        <v>1763</v>
      </c>
      <c r="E975" s="117" t="s">
        <v>190</v>
      </c>
      <c r="F975" s="114">
        <v>39554</v>
      </c>
      <c r="G975" s="220" t="s">
        <v>241</v>
      </c>
      <c r="H975" s="220" t="s">
        <v>242</v>
      </c>
      <c r="I975" s="116">
        <v>45197</v>
      </c>
      <c r="J975" s="117" t="s">
        <v>249</v>
      </c>
      <c r="K975" s="117" t="s">
        <v>122</v>
      </c>
      <c r="L975" s="117"/>
      <c r="M975" s="113" t="s">
        <v>36</v>
      </c>
      <c r="N975" s="160">
        <v>45261</v>
      </c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  <c r="AA975" s="118"/>
      <c r="AB975" s="118"/>
      <c r="AC975" s="118"/>
      <c r="AD975" s="118"/>
      <c r="AE975" s="118"/>
      <c r="AF975" s="118"/>
      <c r="AG975" s="118"/>
      <c r="AH975" s="118"/>
      <c r="AI975" s="118"/>
      <c r="AJ975" s="118"/>
      <c r="AK975" s="118"/>
      <c r="AL975" s="118"/>
      <c r="AM975" s="118"/>
      <c r="AN975" s="118"/>
      <c r="AO975" s="118"/>
      <c r="AP975" s="118"/>
      <c r="AQ975" s="118"/>
      <c r="AR975" s="118"/>
      <c r="AS975" s="118"/>
    </row>
    <row r="976" spans="1:45" ht="16.5" hidden="1" customHeight="1">
      <c r="A976" s="113">
        <v>25</v>
      </c>
      <c r="B976" s="219" t="s">
        <v>91</v>
      </c>
      <c r="C976" s="117" t="s">
        <v>239</v>
      </c>
      <c r="D976" s="117" t="s">
        <v>1763</v>
      </c>
      <c r="E976" s="117" t="s">
        <v>190</v>
      </c>
      <c r="F976" s="114">
        <v>39554</v>
      </c>
      <c r="G976" s="220" t="s">
        <v>241</v>
      </c>
      <c r="H976" s="220" t="s">
        <v>242</v>
      </c>
      <c r="I976" s="116">
        <v>45197</v>
      </c>
      <c r="J976" s="117" t="s">
        <v>172</v>
      </c>
      <c r="K976" s="117" t="s">
        <v>122</v>
      </c>
      <c r="L976" s="117"/>
      <c r="M976" s="113" t="s">
        <v>36</v>
      </c>
      <c r="N976" s="160">
        <v>45261</v>
      </c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  <c r="AA976" s="118"/>
      <c r="AB976" s="118"/>
      <c r="AC976" s="118"/>
      <c r="AD976" s="118"/>
      <c r="AE976" s="118"/>
      <c r="AF976" s="118"/>
      <c r="AG976" s="118"/>
      <c r="AH976" s="118"/>
      <c r="AI976" s="118"/>
      <c r="AJ976" s="118"/>
      <c r="AK976" s="118"/>
      <c r="AL976" s="118"/>
      <c r="AM976" s="118"/>
      <c r="AN976" s="118"/>
      <c r="AO976" s="118"/>
      <c r="AP976" s="118"/>
      <c r="AQ976" s="118"/>
      <c r="AR976" s="118"/>
      <c r="AS976" s="118"/>
    </row>
    <row r="977" spans="1:45" ht="16.5" hidden="1" customHeight="1">
      <c r="A977" s="113">
        <v>1</v>
      </c>
      <c r="B977" s="113" t="s">
        <v>50</v>
      </c>
      <c r="C977" s="113" t="s">
        <v>1764</v>
      </c>
      <c r="D977" s="113" t="s">
        <v>1765</v>
      </c>
      <c r="E977" s="113">
        <v>4</v>
      </c>
      <c r="F977" s="114">
        <v>41883</v>
      </c>
      <c r="G977" s="115" t="s">
        <v>1766</v>
      </c>
      <c r="H977" s="115" t="s">
        <v>1767</v>
      </c>
      <c r="I977" s="116">
        <v>45154</v>
      </c>
      <c r="J977" s="113" t="s">
        <v>186</v>
      </c>
      <c r="K977" s="113" t="s">
        <v>774</v>
      </c>
      <c r="L977" s="113"/>
      <c r="M977" s="113" t="s">
        <v>36</v>
      </c>
      <c r="N977" s="223">
        <v>45323</v>
      </c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  <c r="AA977" s="118"/>
      <c r="AB977" s="118"/>
      <c r="AC977" s="118"/>
      <c r="AD977" s="118"/>
      <c r="AE977" s="118"/>
      <c r="AF977" s="118"/>
      <c r="AG977" s="118"/>
      <c r="AH977" s="118"/>
      <c r="AI977" s="118"/>
      <c r="AJ977" s="118"/>
      <c r="AK977" s="118"/>
      <c r="AL977" s="118"/>
      <c r="AM977" s="118"/>
      <c r="AN977" s="118"/>
      <c r="AO977" s="118"/>
      <c r="AP977" s="118"/>
      <c r="AQ977" s="118"/>
      <c r="AR977" s="118"/>
      <c r="AS977" s="118"/>
    </row>
    <row r="978" spans="1:45" ht="16.5" hidden="1" customHeight="1">
      <c r="A978" s="113">
        <v>2</v>
      </c>
      <c r="B978" s="113" t="s">
        <v>91</v>
      </c>
      <c r="C978" s="113" t="s">
        <v>1768</v>
      </c>
      <c r="D978" s="113" t="s">
        <v>1765</v>
      </c>
      <c r="E978" s="113">
        <v>4</v>
      </c>
      <c r="F978" s="114">
        <v>41883</v>
      </c>
      <c r="G978" s="115" t="s">
        <v>1766</v>
      </c>
      <c r="H978" s="115" t="s">
        <v>1767</v>
      </c>
      <c r="I978" s="116">
        <v>45154</v>
      </c>
      <c r="J978" s="113" t="s">
        <v>188</v>
      </c>
      <c r="K978" s="113" t="s">
        <v>1769</v>
      </c>
      <c r="L978" s="113"/>
      <c r="M978" s="113" t="s">
        <v>36</v>
      </c>
      <c r="N978" s="223">
        <v>45323</v>
      </c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  <c r="AA978" s="118"/>
      <c r="AB978" s="118"/>
      <c r="AC978" s="118"/>
      <c r="AD978" s="118"/>
      <c r="AE978" s="118"/>
      <c r="AF978" s="118"/>
      <c r="AG978" s="118"/>
      <c r="AH978" s="118"/>
      <c r="AI978" s="118"/>
      <c r="AJ978" s="118"/>
      <c r="AK978" s="118"/>
      <c r="AL978" s="118"/>
      <c r="AM978" s="118"/>
      <c r="AN978" s="118"/>
      <c r="AO978" s="118"/>
      <c r="AP978" s="118"/>
      <c r="AQ978" s="118"/>
      <c r="AR978" s="118"/>
      <c r="AS978" s="118"/>
    </row>
    <row r="979" spans="1:45" ht="16.5" hidden="1" customHeight="1">
      <c r="A979" s="113">
        <v>3</v>
      </c>
      <c r="B979" s="113" t="s">
        <v>50</v>
      </c>
      <c r="C979" s="113" t="s">
        <v>1770</v>
      </c>
      <c r="D979" s="113" t="s">
        <v>1771</v>
      </c>
      <c r="E979" s="113">
        <v>4</v>
      </c>
      <c r="F979" s="114">
        <v>41674</v>
      </c>
      <c r="G979" s="115" t="s">
        <v>1772</v>
      </c>
      <c r="H979" s="115" t="s">
        <v>1773</v>
      </c>
      <c r="I979" s="116">
        <v>45160</v>
      </c>
      <c r="J979" s="113" t="s">
        <v>186</v>
      </c>
      <c r="K979" s="113" t="s">
        <v>175</v>
      </c>
      <c r="L979" s="113" t="s">
        <v>1774</v>
      </c>
      <c r="M979" s="113" t="s">
        <v>36</v>
      </c>
      <c r="N979" s="223">
        <v>45323</v>
      </c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  <c r="AA979" s="118"/>
      <c r="AB979" s="118"/>
      <c r="AC979" s="118"/>
      <c r="AD979" s="118"/>
      <c r="AE979" s="118"/>
      <c r="AF979" s="118"/>
      <c r="AG979" s="118"/>
      <c r="AH979" s="118"/>
      <c r="AI979" s="118"/>
      <c r="AJ979" s="118"/>
      <c r="AK979" s="118"/>
      <c r="AL979" s="118"/>
      <c r="AM979" s="118"/>
      <c r="AN979" s="118"/>
      <c r="AO979" s="118"/>
      <c r="AP979" s="118"/>
      <c r="AQ979" s="118"/>
      <c r="AR979" s="118"/>
      <c r="AS979" s="118"/>
    </row>
    <row r="980" spans="1:45" ht="16.5" hidden="1" customHeight="1">
      <c r="A980" s="113">
        <v>4</v>
      </c>
      <c r="B980" s="113" t="s">
        <v>91</v>
      </c>
      <c r="C980" s="113" t="s">
        <v>1770</v>
      </c>
      <c r="D980" s="113" t="s">
        <v>1771</v>
      </c>
      <c r="E980" s="113">
        <v>4</v>
      </c>
      <c r="F980" s="114">
        <v>41674</v>
      </c>
      <c r="G980" s="115" t="s">
        <v>1772</v>
      </c>
      <c r="H980" s="115" t="s">
        <v>1773</v>
      </c>
      <c r="I980" s="116">
        <v>45160</v>
      </c>
      <c r="J980" s="113" t="s">
        <v>141</v>
      </c>
      <c r="K980" s="113" t="s">
        <v>181</v>
      </c>
      <c r="L980" s="113" t="s">
        <v>1774</v>
      </c>
      <c r="M980" s="113" t="s">
        <v>36</v>
      </c>
      <c r="N980" s="223">
        <v>45323</v>
      </c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  <c r="AA980" s="118"/>
      <c r="AB980" s="118"/>
      <c r="AC980" s="118"/>
      <c r="AD980" s="118"/>
      <c r="AE980" s="118"/>
      <c r="AF980" s="118"/>
      <c r="AG980" s="118"/>
      <c r="AH980" s="118"/>
      <c r="AI980" s="118"/>
      <c r="AJ980" s="118"/>
      <c r="AK980" s="118"/>
      <c r="AL980" s="118"/>
      <c r="AM980" s="118"/>
      <c r="AN980" s="118"/>
      <c r="AO980" s="118"/>
      <c r="AP980" s="118"/>
      <c r="AQ980" s="118"/>
      <c r="AR980" s="118"/>
      <c r="AS980" s="118"/>
    </row>
    <row r="981" spans="1:45" ht="16.5" hidden="1" customHeight="1">
      <c r="A981" s="113">
        <v>5</v>
      </c>
      <c r="B981" s="113" t="s">
        <v>50</v>
      </c>
      <c r="C981" s="113" t="s">
        <v>1770</v>
      </c>
      <c r="D981" s="113" t="s">
        <v>1775</v>
      </c>
      <c r="E981" s="113">
        <v>7</v>
      </c>
      <c r="F981" s="114">
        <v>40912</v>
      </c>
      <c r="G981" s="115" t="s">
        <v>1772</v>
      </c>
      <c r="H981" s="115" t="s">
        <v>1773</v>
      </c>
      <c r="I981" s="116">
        <v>45160</v>
      </c>
      <c r="J981" s="113" t="s">
        <v>148</v>
      </c>
      <c r="K981" s="113" t="s">
        <v>135</v>
      </c>
      <c r="L981" s="113" t="s">
        <v>1774</v>
      </c>
      <c r="M981" s="113" t="s">
        <v>36</v>
      </c>
      <c r="N981" s="223">
        <v>45323</v>
      </c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  <c r="AA981" s="118"/>
      <c r="AB981" s="118"/>
      <c r="AC981" s="118"/>
      <c r="AD981" s="118"/>
      <c r="AE981" s="118"/>
      <c r="AF981" s="118"/>
      <c r="AG981" s="118"/>
      <c r="AH981" s="118"/>
      <c r="AI981" s="118"/>
      <c r="AJ981" s="118"/>
      <c r="AK981" s="118"/>
      <c r="AL981" s="118"/>
      <c r="AM981" s="118"/>
      <c r="AN981" s="118"/>
      <c r="AO981" s="118"/>
      <c r="AP981" s="118"/>
      <c r="AQ981" s="118"/>
      <c r="AR981" s="118"/>
      <c r="AS981" s="118"/>
    </row>
    <row r="982" spans="1:45" ht="16.5" hidden="1" customHeight="1">
      <c r="A982" s="113">
        <v>6</v>
      </c>
      <c r="B982" s="113" t="s">
        <v>91</v>
      </c>
      <c r="C982" s="113" t="s">
        <v>1770</v>
      </c>
      <c r="D982" s="113" t="s">
        <v>1776</v>
      </c>
      <c r="E982" s="113">
        <v>7</v>
      </c>
      <c r="F982" s="114">
        <v>40912</v>
      </c>
      <c r="G982" s="115" t="s">
        <v>1772</v>
      </c>
      <c r="H982" s="115" t="s">
        <v>1773</v>
      </c>
      <c r="I982" s="116">
        <v>45160</v>
      </c>
      <c r="J982" s="113" t="s">
        <v>221</v>
      </c>
      <c r="K982" s="113" t="s">
        <v>199</v>
      </c>
      <c r="L982" s="113" t="s">
        <v>1774</v>
      </c>
      <c r="M982" s="113" t="s">
        <v>36</v>
      </c>
      <c r="N982" s="223">
        <v>45323</v>
      </c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  <c r="AA982" s="118"/>
      <c r="AB982" s="118"/>
      <c r="AC982" s="118"/>
      <c r="AD982" s="118"/>
      <c r="AE982" s="118"/>
      <c r="AF982" s="118"/>
      <c r="AG982" s="118"/>
      <c r="AH982" s="118"/>
      <c r="AI982" s="118"/>
      <c r="AJ982" s="118"/>
      <c r="AK982" s="118"/>
      <c r="AL982" s="118"/>
      <c r="AM982" s="118"/>
      <c r="AN982" s="118"/>
      <c r="AO982" s="118"/>
      <c r="AP982" s="118"/>
      <c r="AQ982" s="118"/>
      <c r="AR982" s="118"/>
      <c r="AS982" s="118"/>
    </row>
    <row r="983" spans="1:45" ht="16.5" hidden="1" customHeight="1">
      <c r="A983" s="113">
        <v>7</v>
      </c>
      <c r="B983" s="113" t="s">
        <v>50</v>
      </c>
      <c r="C983" s="113" t="s">
        <v>1777</v>
      </c>
      <c r="D983" s="113" t="s">
        <v>1778</v>
      </c>
      <c r="E983" s="113">
        <v>2</v>
      </c>
      <c r="F983" s="114">
        <v>42627</v>
      </c>
      <c r="G983" s="115" t="s">
        <v>1772</v>
      </c>
      <c r="H983" s="115" t="s">
        <v>1773</v>
      </c>
      <c r="I983" s="116">
        <v>45160</v>
      </c>
      <c r="J983" s="113" t="s">
        <v>134</v>
      </c>
      <c r="K983" s="113" t="s">
        <v>232</v>
      </c>
      <c r="L983" s="113" t="s">
        <v>1774</v>
      </c>
      <c r="M983" s="113" t="s">
        <v>36</v>
      </c>
      <c r="N983" s="223">
        <v>45323</v>
      </c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  <c r="AA983" s="118"/>
      <c r="AB983" s="118"/>
      <c r="AC983" s="118"/>
      <c r="AD983" s="118"/>
      <c r="AE983" s="118"/>
      <c r="AF983" s="118"/>
      <c r="AG983" s="118"/>
      <c r="AH983" s="118"/>
      <c r="AI983" s="118"/>
      <c r="AJ983" s="118"/>
      <c r="AK983" s="118"/>
      <c r="AL983" s="118"/>
      <c r="AM983" s="118"/>
      <c r="AN983" s="118"/>
      <c r="AO983" s="118"/>
      <c r="AP983" s="118"/>
      <c r="AQ983" s="118"/>
      <c r="AR983" s="118"/>
      <c r="AS983" s="118"/>
    </row>
    <row r="984" spans="1:45" ht="16.5" hidden="1" customHeight="1">
      <c r="A984" s="113">
        <v>8</v>
      </c>
      <c r="B984" s="113" t="s">
        <v>91</v>
      </c>
      <c r="C984" s="113" t="s">
        <v>1777</v>
      </c>
      <c r="D984" s="113" t="s">
        <v>1778</v>
      </c>
      <c r="E984" s="113">
        <v>2</v>
      </c>
      <c r="F984" s="114">
        <v>42627</v>
      </c>
      <c r="G984" s="115" t="s">
        <v>1772</v>
      </c>
      <c r="H984" s="115" t="s">
        <v>1773</v>
      </c>
      <c r="I984" s="116">
        <v>45160</v>
      </c>
      <c r="J984" s="113" t="s">
        <v>233</v>
      </c>
      <c r="K984" s="113" t="s">
        <v>199</v>
      </c>
      <c r="L984" s="113" t="s">
        <v>1774</v>
      </c>
      <c r="M984" s="113" t="s">
        <v>36</v>
      </c>
      <c r="N984" s="223">
        <v>45323</v>
      </c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  <c r="AA984" s="118"/>
      <c r="AB984" s="118"/>
      <c r="AC984" s="118"/>
      <c r="AD984" s="118"/>
      <c r="AE984" s="118"/>
      <c r="AF984" s="118"/>
      <c r="AG984" s="118"/>
      <c r="AH984" s="118"/>
      <c r="AI984" s="118"/>
      <c r="AJ984" s="118"/>
      <c r="AK984" s="118"/>
      <c r="AL984" s="118"/>
      <c r="AM984" s="118"/>
      <c r="AN984" s="118"/>
      <c r="AO984" s="118"/>
      <c r="AP984" s="118"/>
      <c r="AQ984" s="118"/>
      <c r="AR984" s="118"/>
      <c r="AS984" s="118"/>
    </row>
    <row r="985" spans="1:45" ht="16.5" hidden="1" customHeight="1">
      <c r="A985" s="113">
        <v>9</v>
      </c>
      <c r="B985" s="113" t="s">
        <v>50</v>
      </c>
      <c r="C985" s="113" t="s">
        <v>1777</v>
      </c>
      <c r="D985" s="113" t="s">
        <v>1779</v>
      </c>
      <c r="E985" s="113">
        <v>2</v>
      </c>
      <c r="F985" s="114">
        <v>42627</v>
      </c>
      <c r="G985" s="115" t="s">
        <v>1772</v>
      </c>
      <c r="H985" s="115" t="s">
        <v>1773</v>
      </c>
      <c r="I985" s="116">
        <v>45160</v>
      </c>
      <c r="J985" s="113" t="s">
        <v>134</v>
      </c>
      <c r="K985" s="113" t="s">
        <v>232</v>
      </c>
      <c r="L985" s="113" t="s">
        <v>1774</v>
      </c>
      <c r="M985" s="113" t="s">
        <v>36</v>
      </c>
      <c r="N985" s="223">
        <v>45323</v>
      </c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  <c r="AA985" s="118"/>
      <c r="AB985" s="118"/>
      <c r="AC985" s="118"/>
      <c r="AD985" s="118"/>
      <c r="AE985" s="118"/>
      <c r="AF985" s="118"/>
      <c r="AG985" s="118"/>
      <c r="AH985" s="118"/>
      <c r="AI985" s="118"/>
      <c r="AJ985" s="118"/>
      <c r="AK985" s="118"/>
      <c r="AL985" s="118"/>
      <c r="AM985" s="118"/>
      <c r="AN985" s="118"/>
      <c r="AO985" s="118"/>
      <c r="AP985" s="118"/>
      <c r="AQ985" s="118"/>
      <c r="AR985" s="118"/>
      <c r="AS985" s="118"/>
    </row>
    <row r="986" spans="1:45" ht="16.5" hidden="1" customHeight="1">
      <c r="A986" s="113">
        <v>10</v>
      </c>
      <c r="B986" s="113" t="s">
        <v>91</v>
      </c>
      <c r="C986" s="113" t="s">
        <v>1777</v>
      </c>
      <c r="D986" s="113" t="s">
        <v>1779</v>
      </c>
      <c r="E986" s="113">
        <v>2</v>
      </c>
      <c r="F986" s="114">
        <v>42627</v>
      </c>
      <c r="G986" s="115" t="s">
        <v>1772</v>
      </c>
      <c r="H986" s="115" t="s">
        <v>1773</v>
      </c>
      <c r="I986" s="116">
        <v>45160</v>
      </c>
      <c r="J986" s="113" t="s">
        <v>233</v>
      </c>
      <c r="K986" s="113" t="s">
        <v>199</v>
      </c>
      <c r="L986" s="113" t="s">
        <v>1774</v>
      </c>
      <c r="M986" s="113" t="s">
        <v>36</v>
      </c>
      <c r="N986" s="223">
        <v>45323</v>
      </c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  <c r="AA986" s="118"/>
      <c r="AB986" s="118"/>
      <c r="AC986" s="118"/>
      <c r="AD986" s="118"/>
      <c r="AE986" s="118"/>
      <c r="AF986" s="118"/>
      <c r="AG986" s="118"/>
      <c r="AH986" s="118"/>
      <c r="AI986" s="118"/>
      <c r="AJ986" s="118"/>
      <c r="AK986" s="118"/>
      <c r="AL986" s="118"/>
      <c r="AM986" s="118"/>
      <c r="AN986" s="118"/>
      <c r="AO986" s="118"/>
      <c r="AP986" s="118"/>
      <c r="AQ986" s="118"/>
      <c r="AR986" s="118"/>
      <c r="AS986" s="118"/>
    </row>
    <row r="987" spans="1:45" ht="16.5" hidden="1" customHeight="1">
      <c r="A987" s="113">
        <v>11</v>
      </c>
      <c r="B987" s="219" t="s">
        <v>50</v>
      </c>
      <c r="C987" s="113" t="s">
        <v>1148</v>
      </c>
      <c r="D987" s="113" t="s">
        <v>1780</v>
      </c>
      <c r="E987" s="113">
        <v>1</v>
      </c>
      <c r="F987" s="114">
        <v>43101</v>
      </c>
      <c r="G987" s="115" t="s">
        <v>1781</v>
      </c>
      <c r="H987" s="115" t="s">
        <v>1668</v>
      </c>
      <c r="I987" s="116">
        <v>45265</v>
      </c>
      <c r="J987" s="113" t="s">
        <v>349</v>
      </c>
      <c r="K987" s="113" t="s">
        <v>199</v>
      </c>
      <c r="L987" s="113"/>
      <c r="M987" s="113" t="s">
        <v>36</v>
      </c>
      <c r="N987" s="223">
        <v>45323</v>
      </c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  <c r="AA987" s="118"/>
      <c r="AB987" s="118"/>
      <c r="AC987" s="118"/>
      <c r="AD987" s="118"/>
      <c r="AE987" s="118"/>
      <c r="AF987" s="118"/>
      <c r="AG987" s="118"/>
      <c r="AH987" s="118"/>
      <c r="AI987" s="118"/>
      <c r="AJ987" s="118"/>
      <c r="AK987" s="118"/>
      <c r="AL987" s="118"/>
      <c r="AM987" s="118"/>
      <c r="AN987" s="118"/>
      <c r="AO987" s="118"/>
      <c r="AP987" s="118"/>
      <c r="AQ987" s="118"/>
      <c r="AR987" s="118"/>
      <c r="AS987" s="118"/>
    </row>
    <row r="988" spans="1:45" ht="16.5" hidden="1" customHeight="1">
      <c r="A988" s="113">
        <v>12</v>
      </c>
      <c r="B988" s="219" t="s">
        <v>91</v>
      </c>
      <c r="C988" s="113" t="s">
        <v>1148</v>
      </c>
      <c r="D988" s="113" t="s">
        <v>1780</v>
      </c>
      <c r="E988" s="113">
        <v>1</v>
      </c>
      <c r="F988" s="114">
        <v>43101</v>
      </c>
      <c r="G988" s="115" t="s">
        <v>1781</v>
      </c>
      <c r="H988" s="115" t="s">
        <v>1668</v>
      </c>
      <c r="I988" s="116">
        <v>45265</v>
      </c>
      <c r="J988" s="113" t="s">
        <v>752</v>
      </c>
      <c r="K988" s="113" t="s">
        <v>181</v>
      </c>
      <c r="L988" s="113"/>
      <c r="M988" s="113" t="s">
        <v>36</v>
      </c>
      <c r="N988" s="223">
        <v>45323</v>
      </c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  <c r="AA988" s="118"/>
      <c r="AB988" s="118"/>
      <c r="AC988" s="118"/>
      <c r="AD988" s="118"/>
      <c r="AE988" s="118"/>
      <c r="AF988" s="118"/>
      <c r="AG988" s="118"/>
      <c r="AH988" s="118"/>
      <c r="AI988" s="118"/>
      <c r="AJ988" s="118"/>
      <c r="AK988" s="118"/>
      <c r="AL988" s="118"/>
      <c r="AM988" s="118"/>
      <c r="AN988" s="118"/>
      <c r="AO988" s="118"/>
      <c r="AP988" s="118"/>
      <c r="AQ988" s="118"/>
      <c r="AR988" s="118"/>
      <c r="AS988" s="118"/>
    </row>
    <row r="989" spans="1:45" ht="16.5" customHeight="1">
      <c r="A989" s="224">
        <v>1</v>
      </c>
      <c r="B989" s="225" t="s">
        <v>50</v>
      </c>
      <c r="C989" s="224" t="s">
        <v>1782</v>
      </c>
      <c r="D989" s="224" t="s">
        <v>1783</v>
      </c>
      <c r="E989" s="224">
        <v>3</v>
      </c>
      <c r="F989" s="226">
        <v>42128</v>
      </c>
      <c r="G989" s="227" t="s">
        <v>1784</v>
      </c>
      <c r="H989" s="227" t="s">
        <v>1785</v>
      </c>
      <c r="I989" s="228">
        <v>45208</v>
      </c>
      <c r="J989" s="224" t="s">
        <v>221</v>
      </c>
      <c r="K989" s="224" t="s">
        <v>132</v>
      </c>
      <c r="L989" s="224" t="s">
        <v>445</v>
      </c>
      <c r="M989" s="224" t="s">
        <v>36</v>
      </c>
      <c r="N989" s="229">
        <v>45352</v>
      </c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</row>
    <row r="990" spans="1:45" ht="16.5" customHeight="1">
      <c r="A990" s="224">
        <v>2</v>
      </c>
      <c r="B990" s="224" t="s">
        <v>50</v>
      </c>
      <c r="C990" s="224" t="s">
        <v>633</v>
      </c>
      <c r="D990" s="224" t="s">
        <v>1786</v>
      </c>
      <c r="E990" s="224">
        <v>4</v>
      </c>
      <c r="F990" s="226">
        <v>41501</v>
      </c>
      <c r="G990" s="227" t="s">
        <v>1787</v>
      </c>
      <c r="H990" s="227" t="s">
        <v>1788</v>
      </c>
      <c r="I990" s="228">
        <v>44959</v>
      </c>
      <c r="J990" s="224" t="s">
        <v>165</v>
      </c>
      <c r="K990" s="224" t="s">
        <v>125</v>
      </c>
      <c r="L990" s="224" t="s">
        <v>1789</v>
      </c>
      <c r="M990" s="224" t="s">
        <v>36</v>
      </c>
      <c r="N990" s="229">
        <v>45352</v>
      </c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</row>
    <row r="991" spans="1:45" ht="16.5" customHeight="1">
      <c r="A991" s="224">
        <v>3</v>
      </c>
      <c r="B991" s="224" t="s">
        <v>91</v>
      </c>
      <c r="C991" s="224" t="s">
        <v>633</v>
      </c>
      <c r="D991" s="224" t="s">
        <v>1786</v>
      </c>
      <c r="E991" s="224">
        <v>4</v>
      </c>
      <c r="F991" s="226">
        <v>41501</v>
      </c>
      <c r="G991" s="227" t="s">
        <v>1787</v>
      </c>
      <c r="H991" s="227" t="s">
        <v>1788</v>
      </c>
      <c r="I991" s="228">
        <v>44959</v>
      </c>
      <c r="J991" s="224" t="s">
        <v>150</v>
      </c>
      <c r="K991" s="224" t="s">
        <v>291</v>
      </c>
      <c r="L991" s="224" t="s">
        <v>1789</v>
      </c>
      <c r="M991" s="224" t="s">
        <v>36</v>
      </c>
      <c r="N991" s="229">
        <v>45352</v>
      </c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</row>
    <row r="992" spans="1:45" ht="16.5" customHeight="1">
      <c r="A992" s="224">
        <v>4</v>
      </c>
      <c r="B992" s="224" t="s">
        <v>50</v>
      </c>
      <c r="C992" s="224" t="s">
        <v>633</v>
      </c>
      <c r="D992" s="224" t="s">
        <v>275</v>
      </c>
      <c r="E992" s="224">
        <v>6</v>
      </c>
      <c r="F992" s="226">
        <v>40940</v>
      </c>
      <c r="G992" s="227" t="s">
        <v>1787</v>
      </c>
      <c r="H992" s="227" t="s">
        <v>1788</v>
      </c>
      <c r="I992" s="228">
        <v>44988</v>
      </c>
      <c r="J992" s="224" t="s">
        <v>165</v>
      </c>
      <c r="K992" s="224" t="s">
        <v>162</v>
      </c>
      <c r="L992" s="224" t="s">
        <v>1789</v>
      </c>
      <c r="M992" s="224" t="s">
        <v>36</v>
      </c>
      <c r="N992" s="229">
        <v>45352</v>
      </c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</row>
    <row r="993" spans="1:45" ht="16.5" customHeight="1">
      <c r="A993" s="224">
        <v>5</v>
      </c>
      <c r="B993" s="224" t="s">
        <v>91</v>
      </c>
      <c r="C993" s="224" t="s">
        <v>633</v>
      </c>
      <c r="D993" s="224" t="s">
        <v>275</v>
      </c>
      <c r="E993" s="224">
        <v>6</v>
      </c>
      <c r="F993" s="226">
        <v>40940</v>
      </c>
      <c r="G993" s="227" t="s">
        <v>1787</v>
      </c>
      <c r="H993" s="227" t="s">
        <v>1788</v>
      </c>
      <c r="I993" s="228">
        <v>44988</v>
      </c>
      <c r="J993" s="224" t="s">
        <v>150</v>
      </c>
      <c r="K993" s="224" t="s">
        <v>304</v>
      </c>
      <c r="L993" s="224" t="s">
        <v>1789</v>
      </c>
      <c r="M993" s="224" t="s">
        <v>36</v>
      </c>
      <c r="N993" s="229">
        <v>45352</v>
      </c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</row>
    <row r="994" spans="1:45" ht="16.5" customHeight="1">
      <c r="A994" s="224">
        <v>6</v>
      </c>
      <c r="B994" s="224" t="s">
        <v>50</v>
      </c>
      <c r="C994" s="224" t="s">
        <v>482</v>
      </c>
      <c r="D994" s="224" t="s">
        <v>725</v>
      </c>
      <c r="E994" s="224">
        <v>9</v>
      </c>
      <c r="F994" s="226">
        <v>39272</v>
      </c>
      <c r="G994" s="227" t="s">
        <v>1742</v>
      </c>
      <c r="H994" s="227" t="s">
        <v>485</v>
      </c>
      <c r="I994" s="228">
        <v>45323</v>
      </c>
      <c r="J994" s="224" t="s">
        <v>271</v>
      </c>
      <c r="K994" s="224" t="s">
        <v>175</v>
      </c>
      <c r="L994" s="224" t="s">
        <v>1790</v>
      </c>
      <c r="M994" s="224" t="s">
        <v>36</v>
      </c>
      <c r="N994" s="229">
        <v>45352</v>
      </c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</row>
    <row r="995" spans="1:45" ht="16.5" customHeight="1">
      <c r="A995" s="224">
        <v>7</v>
      </c>
      <c r="B995" s="224" t="s">
        <v>91</v>
      </c>
      <c r="C995" s="224" t="s">
        <v>482</v>
      </c>
      <c r="D995" s="224" t="s">
        <v>725</v>
      </c>
      <c r="E995" s="224">
        <v>9</v>
      </c>
      <c r="F995" s="226">
        <v>39272</v>
      </c>
      <c r="G995" s="227" t="s">
        <v>1742</v>
      </c>
      <c r="H995" s="227" t="s">
        <v>485</v>
      </c>
      <c r="I995" s="228">
        <v>45324</v>
      </c>
      <c r="J995" s="224" t="s">
        <v>1320</v>
      </c>
      <c r="K995" s="224" t="s">
        <v>162</v>
      </c>
      <c r="L995" s="224" t="s">
        <v>1790</v>
      </c>
      <c r="M995" s="224" t="s">
        <v>36</v>
      </c>
      <c r="N995" s="229">
        <v>45352</v>
      </c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</row>
    <row r="996" spans="1:45" ht="16.5" customHeight="1">
      <c r="A996" s="230">
        <v>1</v>
      </c>
      <c r="B996" s="230" t="s">
        <v>50</v>
      </c>
      <c r="C996" s="230" t="s">
        <v>899</v>
      </c>
      <c r="D996" s="230" t="s">
        <v>1024</v>
      </c>
      <c r="E996" s="230">
        <v>5</v>
      </c>
      <c r="F996" s="231">
        <v>41393</v>
      </c>
      <c r="G996" s="232" t="s">
        <v>1654</v>
      </c>
      <c r="H996" s="232" t="s">
        <v>834</v>
      </c>
      <c r="I996" s="233">
        <v>45174</v>
      </c>
      <c r="J996" s="230" t="s">
        <v>255</v>
      </c>
      <c r="K996" s="230" t="s">
        <v>256</v>
      </c>
      <c r="L996" s="230" t="s">
        <v>1790</v>
      </c>
      <c r="M996" s="230" t="s">
        <v>36</v>
      </c>
      <c r="N996" s="234">
        <v>45383</v>
      </c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</row>
    <row r="997" spans="1:45" ht="16.5" customHeight="1">
      <c r="A997" s="230">
        <v>2</v>
      </c>
      <c r="B997" s="230" t="s">
        <v>91</v>
      </c>
      <c r="C997" s="230" t="s">
        <v>899</v>
      </c>
      <c r="D997" s="230" t="s">
        <v>1024</v>
      </c>
      <c r="E997" s="230">
        <v>5</v>
      </c>
      <c r="F997" s="231">
        <v>41393</v>
      </c>
      <c r="G997" s="232" t="s">
        <v>1654</v>
      </c>
      <c r="H997" s="232" t="s">
        <v>834</v>
      </c>
      <c r="I997" s="233">
        <v>45174</v>
      </c>
      <c r="J997" s="230" t="s">
        <v>188</v>
      </c>
      <c r="K997" s="230" t="s">
        <v>126</v>
      </c>
      <c r="L997" s="230" t="s">
        <v>1790</v>
      </c>
      <c r="M997" s="230" t="s">
        <v>36</v>
      </c>
      <c r="N997" s="234">
        <v>45383</v>
      </c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</row>
    <row r="998" spans="1:45" ht="16.5" customHeight="1">
      <c r="A998" s="230">
        <v>3</v>
      </c>
      <c r="B998" s="230" t="s">
        <v>91</v>
      </c>
      <c r="C998" s="230" t="s">
        <v>413</v>
      </c>
      <c r="D998" s="230" t="s">
        <v>1760</v>
      </c>
      <c r="E998" s="230">
        <v>2</v>
      </c>
      <c r="F998" s="231">
        <v>41026</v>
      </c>
      <c r="G998" s="232" t="s">
        <v>1761</v>
      </c>
      <c r="H998" s="232" t="s">
        <v>1161</v>
      </c>
      <c r="I998" s="233">
        <v>43633</v>
      </c>
      <c r="J998" s="230" t="s">
        <v>172</v>
      </c>
      <c r="K998" s="230" t="s">
        <v>163</v>
      </c>
      <c r="L998" s="230" t="s">
        <v>445</v>
      </c>
      <c r="M998" s="230" t="s">
        <v>36</v>
      </c>
      <c r="N998" s="234">
        <v>45383</v>
      </c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</row>
    <row r="999" spans="1:45" ht="16.5" customHeight="1">
      <c r="A999" s="235"/>
      <c r="B999" s="235"/>
      <c r="C999" s="235"/>
      <c r="D999" s="235"/>
      <c r="E999" s="235"/>
      <c r="F999" s="236"/>
      <c r="G999" s="237"/>
      <c r="H999" s="237"/>
      <c r="I999" s="238"/>
      <c r="J999" s="235"/>
      <c r="K999" s="235"/>
      <c r="L999" s="235"/>
      <c r="M999" s="235"/>
      <c r="N999" s="239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</row>
    <row r="1000" spans="1:45" ht="16.5" customHeight="1">
      <c r="A1000" s="235"/>
      <c r="B1000" s="235"/>
      <c r="C1000" s="235"/>
      <c r="D1000" s="235"/>
      <c r="E1000" s="235"/>
      <c r="F1000" s="236"/>
      <c r="G1000" s="237"/>
      <c r="H1000" s="237"/>
      <c r="I1000" s="238"/>
      <c r="J1000" s="235"/>
      <c r="K1000" s="235"/>
      <c r="L1000" s="235"/>
      <c r="M1000" s="235"/>
      <c r="N1000" s="239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</row>
    <row r="1001" spans="1:45" ht="16.5" customHeight="1">
      <c r="A1001" s="235"/>
      <c r="B1001" s="235"/>
      <c r="C1001" s="235"/>
      <c r="D1001" s="235"/>
      <c r="E1001" s="235"/>
      <c r="F1001" s="236"/>
      <c r="G1001" s="237"/>
      <c r="H1001" s="237"/>
      <c r="I1001" s="238"/>
      <c r="J1001" s="235"/>
      <c r="K1001" s="235"/>
      <c r="L1001" s="235"/>
      <c r="M1001" s="235"/>
      <c r="N1001" s="239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</row>
    <row r="1002" spans="1:45" ht="16.5" customHeight="1">
      <c r="A1002" s="235"/>
      <c r="B1002" s="235"/>
      <c r="C1002" s="235"/>
      <c r="D1002" s="235"/>
      <c r="E1002" s="235"/>
      <c r="F1002" s="236"/>
      <c r="G1002" s="237"/>
      <c r="H1002" s="237"/>
      <c r="I1002" s="238"/>
      <c r="J1002" s="235"/>
      <c r="K1002" s="235"/>
      <c r="L1002" s="235"/>
      <c r="M1002" s="235"/>
      <c r="N1002" s="239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</row>
    <row r="1003" spans="1:45" ht="16.5" customHeight="1">
      <c r="A1003" s="235"/>
      <c r="B1003" s="235"/>
      <c r="C1003" s="235"/>
      <c r="D1003" s="235"/>
      <c r="E1003" s="235"/>
      <c r="F1003" s="236"/>
      <c r="G1003" s="237"/>
      <c r="H1003" s="237"/>
      <c r="I1003" s="238"/>
      <c r="J1003" s="235"/>
      <c r="K1003" s="235"/>
      <c r="L1003" s="235"/>
      <c r="M1003" s="235"/>
      <c r="N1003" s="239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</row>
    <row r="1004" spans="1:45" ht="16.5" customHeight="1">
      <c r="A1004" s="235"/>
      <c r="B1004" s="235"/>
      <c r="C1004" s="235"/>
      <c r="D1004" s="235"/>
      <c r="E1004" s="235"/>
      <c r="F1004" s="236"/>
      <c r="G1004" s="237"/>
      <c r="H1004" s="237"/>
      <c r="I1004" s="238"/>
      <c r="J1004" s="235"/>
      <c r="K1004" s="235"/>
      <c r="L1004" s="235"/>
      <c r="M1004" s="235"/>
      <c r="N1004" s="239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</row>
    <row r="1005" spans="1:45" ht="16.5" customHeight="1">
      <c r="A1005" s="235"/>
      <c r="B1005" s="235"/>
      <c r="C1005" s="235"/>
      <c r="D1005" s="235"/>
      <c r="E1005" s="235"/>
      <c r="F1005" s="236"/>
      <c r="G1005" s="237"/>
      <c r="H1005" s="237"/>
      <c r="I1005" s="238"/>
      <c r="J1005" s="235"/>
      <c r="K1005" s="235"/>
      <c r="L1005" s="235"/>
      <c r="M1005" s="235"/>
      <c r="N1005" s="239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</row>
    <row r="1006" spans="1:45" ht="16.5" customHeight="1">
      <c r="A1006" s="235"/>
      <c r="B1006" s="235"/>
      <c r="C1006" s="235"/>
      <c r="D1006" s="235"/>
      <c r="E1006" s="235"/>
      <c r="F1006" s="236"/>
      <c r="G1006" s="237"/>
      <c r="H1006" s="237"/>
      <c r="I1006" s="238"/>
      <c r="J1006" s="235"/>
      <c r="K1006" s="235"/>
      <c r="L1006" s="235"/>
      <c r="M1006" s="235"/>
      <c r="N1006" s="239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</row>
    <row r="1007" spans="1:45" ht="16.5" customHeight="1">
      <c r="A1007" s="235"/>
      <c r="B1007" s="235"/>
      <c r="C1007" s="235"/>
      <c r="D1007" s="235"/>
      <c r="E1007" s="235"/>
      <c r="F1007" s="236"/>
      <c r="G1007" s="237"/>
      <c r="H1007" s="237"/>
      <c r="I1007" s="238"/>
      <c r="J1007" s="235"/>
      <c r="K1007" s="235"/>
      <c r="L1007" s="235"/>
      <c r="M1007" s="235"/>
      <c r="N1007" s="239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</row>
    <row r="1008" spans="1:45" ht="16.5" customHeight="1">
      <c r="A1008" s="235"/>
      <c r="B1008" s="235"/>
      <c r="C1008" s="235"/>
      <c r="D1008" s="235"/>
      <c r="E1008" s="235"/>
      <c r="F1008" s="236"/>
      <c r="G1008" s="237"/>
      <c r="H1008" s="237"/>
      <c r="I1008" s="238"/>
      <c r="J1008" s="235"/>
      <c r="K1008" s="235"/>
      <c r="L1008" s="235"/>
      <c r="M1008" s="235"/>
      <c r="N1008" s="239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</row>
    <row r="1009" spans="1:45" ht="16.5" customHeight="1">
      <c r="A1009" s="235"/>
      <c r="B1009" s="235"/>
      <c r="C1009" s="235"/>
      <c r="D1009" s="235"/>
      <c r="E1009" s="235"/>
      <c r="F1009" s="236"/>
      <c r="G1009" s="237"/>
      <c r="H1009" s="237"/>
      <c r="I1009" s="238"/>
      <c r="J1009" s="235"/>
      <c r="K1009" s="235"/>
      <c r="L1009" s="235"/>
      <c r="M1009" s="235"/>
      <c r="N1009" s="239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</row>
    <row r="1010" spans="1:45" ht="16.5" customHeight="1">
      <c r="A1010" s="235"/>
      <c r="B1010" s="235"/>
      <c r="C1010" s="235"/>
      <c r="D1010" s="235"/>
      <c r="E1010" s="235"/>
      <c r="F1010" s="236"/>
      <c r="G1010" s="237"/>
      <c r="H1010" s="237"/>
      <c r="I1010" s="238"/>
      <c r="J1010" s="235"/>
      <c r="K1010" s="235"/>
      <c r="L1010" s="235"/>
      <c r="M1010" s="235"/>
      <c r="N1010" s="239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</row>
    <row r="1011" spans="1:45" ht="16.5" customHeight="1">
      <c r="A1011" s="235"/>
      <c r="B1011" s="235"/>
      <c r="C1011" s="235"/>
      <c r="D1011" s="235"/>
      <c r="E1011" s="235"/>
      <c r="F1011" s="236"/>
      <c r="G1011" s="237"/>
      <c r="H1011" s="237"/>
      <c r="I1011" s="238"/>
      <c r="J1011" s="235"/>
      <c r="K1011" s="235"/>
      <c r="L1011" s="235"/>
      <c r="M1011" s="235"/>
      <c r="N1011" s="239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</row>
    <row r="1012" spans="1:45" ht="16.5" customHeight="1">
      <c r="A1012" s="235"/>
      <c r="B1012" s="235"/>
      <c r="C1012" s="235"/>
      <c r="D1012" s="235"/>
      <c r="E1012" s="235"/>
      <c r="F1012" s="236"/>
      <c r="G1012" s="237"/>
      <c r="H1012" s="237"/>
      <c r="I1012" s="238"/>
      <c r="J1012" s="235"/>
      <c r="K1012" s="235"/>
      <c r="L1012" s="235"/>
      <c r="M1012" s="235"/>
      <c r="N1012" s="239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</row>
    <row r="1013" spans="1:45" ht="16.5" customHeight="1">
      <c r="A1013" s="235"/>
      <c r="B1013" s="235"/>
      <c r="C1013" s="235"/>
      <c r="D1013" s="235"/>
      <c r="E1013" s="235"/>
      <c r="F1013" s="236"/>
      <c r="G1013" s="237"/>
      <c r="H1013" s="237"/>
      <c r="I1013" s="238"/>
      <c r="J1013" s="235"/>
      <c r="K1013" s="235"/>
      <c r="L1013" s="235"/>
      <c r="M1013" s="235"/>
      <c r="N1013" s="239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</row>
    <row r="1014" spans="1:45" ht="16.5" customHeight="1">
      <c r="A1014" s="235"/>
      <c r="B1014" s="235"/>
      <c r="C1014" s="235"/>
      <c r="D1014" s="235"/>
      <c r="E1014" s="235"/>
      <c r="F1014" s="236"/>
      <c r="G1014" s="237"/>
      <c r="H1014" s="237"/>
      <c r="I1014" s="238"/>
      <c r="J1014" s="235"/>
      <c r="K1014" s="235"/>
      <c r="L1014" s="235"/>
      <c r="M1014" s="235"/>
      <c r="N1014" s="239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</row>
    <row r="1015" spans="1:45" ht="16.5" customHeight="1">
      <c r="A1015" s="235"/>
      <c r="B1015" s="235"/>
      <c r="C1015" s="235"/>
      <c r="D1015" s="235"/>
      <c r="E1015" s="235"/>
      <c r="F1015" s="236"/>
      <c r="G1015" s="237"/>
      <c r="H1015" s="237"/>
      <c r="I1015" s="238"/>
      <c r="J1015" s="235"/>
      <c r="K1015" s="235"/>
      <c r="L1015" s="235"/>
      <c r="M1015" s="235"/>
      <c r="N1015" s="239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</row>
    <row r="1016" spans="1:45" ht="16.5" customHeight="1">
      <c r="A1016" s="235"/>
      <c r="B1016" s="235"/>
      <c r="C1016" s="235"/>
      <c r="D1016" s="235"/>
      <c r="E1016" s="235"/>
      <c r="F1016" s="236"/>
      <c r="G1016" s="237"/>
      <c r="H1016" s="237"/>
      <c r="I1016" s="238"/>
      <c r="J1016" s="235"/>
      <c r="K1016" s="235"/>
      <c r="L1016" s="235"/>
      <c r="M1016" s="235"/>
      <c r="N1016" s="239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</row>
    <row r="1017" spans="1:45" ht="16.5" customHeight="1">
      <c r="A1017" s="235"/>
      <c r="B1017" s="235"/>
      <c r="C1017" s="235"/>
      <c r="D1017" s="235"/>
      <c r="E1017" s="235"/>
      <c r="F1017" s="236"/>
      <c r="G1017" s="237"/>
      <c r="H1017" s="237"/>
      <c r="I1017" s="238"/>
      <c r="J1017" s="235"/>
      <c r="K1017" s="235"/>
      <c r="L1017" s="235"/>
      <c r="M1017" s="235"/>
      <c r="N1017" s="239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</row>
    <row r="1018" spans="1:45" ht="16.5" customHeight="1">
      <c r="A1018" s="235"/>
      <c r="B1018" s="235"/>
      <c r="C1018" s="235"/>
      <c r="D1018" s="235"/>
      <c r="E1018" s="235"/>
      <c r="F1018" s="236"/>
      <c r="G1018" s="237"/>
      <c r="H1018" s="237"/>
      <c r="I1018" s="238"/>
      <c r="J1018" s="235"/>
      <c r="K1018" s="235"/>
      <c r="L1018" s="235"/>
      <c r="M1018" s="235"/>
      <c r="N1018" s="239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</row>
    <row r="1019" spans="1:45" ht="16.5" customHeight="1">
      <c r="A1019" s="235"/>
      <c r="B1019" s="235"/>
      <c r="C1019" s="235"/>
      <c r="D1019" s="235"/>
      <c r="E1019" s="235"/>
      <c r="F1019" s="236"/>
      <c r="G1019" s="237"/>
      <c r="H1019" s="237"/>
      <c r="I1019" s="238"/>
      <c r="J1019" s="235"/>
      <c r="K1019" s="235"/>
      <c r="L1019" s="235"/>
      <c r="M1019" s="235"/>
      <c r="N1019" s="239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</row>
    <row r="1020" spans="1:45" ht="16.5" customHeight="1">
      <c r="A1020" s="235"/>
      <c r="B1020" s="235"/>
      <c r="C1020" s="235"/>
      <c r="D1020" s="235"/>
      <c r="E1020" s="235"/>
      <c r="F1020" s="236"/>
      <c r="G1020" s="237"/>
      <c r="H1020" s="237"/>
      <c r="I1020" s="238"/>
      <c r="J1020" s="235"/>
      <c r="K1020" s="235"/>
      <c r="L1020" s="235"/>
      <c r="M1020" s="235"/>
      <c r="N1020" s="239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</row>
    <row r="1021" spans="1:45" ht="16.5" customHeight="1">
      <c r="A1021" s="235"/>
      <c r="B1021" s="235"/>
      <c r="C1021" s="235"/>
      <c r="D1021" s="235"/>
      <c r="E1021" s="235"/>
      <c r="F1021" s="236"/>
      <c r="G1021" s="237"/>
      <c r="H1021" s="237"/>
      <c r="I1021" s="238"/>
      <c r="J1021" s="235"/>
      <c r="K1021" s="235"/>
      <c r="L1021" s="235"/>
      <c r="M1021" s="235"/>
      <c r="N1021" s="239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</row>
    <row r="1022" spans="1:45" ht="16.5" customHeight="1">
      <c r="A1022" s="235"/>
      <c r="B1022" s="235"/>
      <c r="C1022" s="235"/>
      <c r="D1022" s="235"/>
      <c r="E1022" s="235"/>
      <c r="F1022" s="236"/>
      <c r="G1022" s="237"/>
      <c r="H1022" s="237"/>
      <c r="I1022" s="238"/>
      <c r="J1022" s="235"/>
      <c r="K1022" s="235"/>
      <c r="L1022" s="235"/>
      <c r="M1022" s="235"/>
      <c r="N1022" s="239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</row>
    <row r="1023" spans="1:45" ht="16.5" customHeight="1">
      <c r="A1023" s="235"/>
      <c r="B1023" s="235"/>
      <c r="C1023" s="235"/>
      <c r="D1023" s="235"/>
      <c r="E1023" s="235"/>
      <c r="F1023" s="236"/>
      <c r="G1023" s="237"/>
      <c r="H1023" s="237"/>
      <c r="I1023" s="238"/>
      <c r="J1023" s="235"/>
      <c r="K1023" s="235"/>
      <c r="L1023" s="235"/>
      <c r="M1023" s="235"/>
      <c r="N1023" s="239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</row>
    <row r="1024" spans="1:45" ht="16.5" customHeight="1">
      <c r="A1024" s="235"/>
      <c r="B1024" s="235"/>
      <c r="C1024" s="235"/>
      <c r="D1024" s="235"/>
      <c r="E1024" s="235"/>
      <c r="F1024" s="236"/>
      <c r="G1024" s="237"/>
      <c r="H1024" s="237"/>
      <c r="I1024" s="238"/>
      <c r="J1024" s="235"/>
      <c r="K1024" s="235"/>
      <c r="L1024" s="235"/>
      <c r="M1024" s="235"/>
      <c r="N1024" s="239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</row>
    <row r="1025" spans="1:45" ht="16.5" customHeight="1">
      <c r="A1025" s="235"/>
      <c r="B1025" s="235"/>
      <c r="C1025" s="235"/>
      <c r="D1025" s="235"/>
      <c r="E1025" s="235"/>
      <c r="F1025" s="236"/>
      <c r="G1025" s="237"/>
      <c r="H1025" s="237"/>
      <c r="I1025" s="238"/>
      <c r="J1025" s="235"/>
      <c r="K1025" s="235"/>
      <c r="L1025" s="235"/>
      <c r="M1025" s="235"/>
      <c r="N1025" s="239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</row>
    <row r="1026" spans="1:45" ht="16.5" customHeight="1">
      <c r="A1026" s="235"/>
      <c r="B1026" s="235"/>
      <c r="C1026" s="235"/>
      <c r="D1026" s="235"/>
      <c r="E1026" s="235"/>
      <c r="F1026" s="236"/>
      <c r="G1026" s="237"/>
      <c r="H1026" s="237"/>
      <c r="I1026" s="238"/>
      <c r="J1026" s="235"/>
      <c r="K1026" s="235"/>
      <c r="L1026" s="235"/>
      <c r="M1026" s="235"/>
      <c r="N1026" s="239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</row>
    <row r="1027" spans="1:45" ht="16.5" customHeight="1">
      <c r="A1027" s="235"/>
      <c r="B1027" s="235"/>
      <c r="C1027" s="235"/>
      <c r="D1027" s="235"/>
      <c r="E1027" s="235"/>
      <c r="F1027" s="236"/>
      <c r="G1027" s="237"/>
      <c r="H1027" s="237"/>
      <c r="I1027" s="238"/>
      <c r="J1027" s="235"/>
      <c r="K1027" s="235"/>
      <c r="L1027" s="235"/>
      <c r="M1027" s="235"/>
      <c r="N1027" s="239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</row>
    <row r="1028" spans="1:45" ht="16.5" customHeight="1">
      <c r="A1028" s="235"/>
      <c r="B1028" s="235"/>
      <c r="C1028" s="235"/>
      <c r="D1028" s="235"/>
      <c r="E1028" s="235"/>
      <c r="F1028" s="236"/>
      <c r="G1028" s="237"/>
      <c r="H1028" s="237"/>
      <c r="I1028" s="238"/>
      <c r="J1028" s="235"/>
      <c r="K1028" s="235"/>
      <c r="L1028" s="235"/>
      <c r="M1028" s="235"/>
      <c r="N1028" s="239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</row>
    <row r="1029" spans="1:45" ht="16.5" customHeight="1">
      <c r="A1029" s="235"/>
      <c r="B1029" s="235"/>
      <c r="C1029" s="235"/>
      <c r="D1029" s="235"/>
      <c r="E1029" s="235"/>
      <c r="F1029" s="236"/>
      <c r="G1029" s="237"/>
      <c r="H1029" s="237"/>
      <c r="I1029" s="238"/>
      <c r="J1029" s="235"/>
      <c r="K1029" s="235"/>
      <c r="L1029" s="235"/>
      <c r="M1029" s="235"/>
      <c r="N1029" s="239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</row>
    <row r="1030" spans="1:45" ht="16.5" customHeight="1">
      <c r="A1030" s="235"/>
      <c r="B1030" s="235"/>
      <c r="C1030" s="235"/>
      <c r="D1030" s="235"/>
      <c r="E1030" s="235"/>
      <c r="F1030" s="236"/>
      <c r="G1030" s="237"/>
      <c r="H1030" s="237"/>
      <c r="I1030" s="238"/>
      <c r="J1030" s="235"/>
      <c r="K1030" s="235"/>
      <c r="L1030" s="235"/>
      <c r="M1030" s="235"/>
      <c r="N1030" s="239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</row>
    <row r="1031" spans="1:45" ht="16.5" customHeight="1">
      <c r="A1031" s="235"/>
      <c r="B1031" s="235"/>
      <c r="C1031" s="235"/>
      <c r="D1031" s="235"/>
      <c r="E1031" s="235"/>
      <c r="F1031" s="236"/>
      <c r="G1031" s="237"/>
      <c r="H1031" s="237"/>
      <c r="I1031" s="238"/>
      <c r="J1031" s="235"/>
      <c r="K1031" s="235"/>
      <c r="L1031" s="235"/>
      <c r="M1031" s="235"/>
      <c r="N1031" s="239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</row>
    <row r="1032" spans="1:45" ht="16.5" customHeight="1">
      <c r="A1032" s="235"/>
      <c r="B1032" s="235"/>
      <c r="C1032" s="235"/>
      <c r="D1032" s="235"/>
      <c r="E1032" s="235"/>
      <c r="F1032" s="236"/>
      <c r="G1032" s="237"/>
      <c r="H1032" s="237"/>
      <c r="I1032" s="238"/>
      <c r="J1032" s="235"/>
      <c r="K1032" s="235"/>
      <c r="L1032" s="235"/>
      <c r="M1032" s="235"/>
      <c r="N1032" s="239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</row>
    <row r="1033" spans="1:45" ht="16.5" customHeight="1">
      <c r="A1033" s="235"/>
      <c r="B1033" s="235"/>
      <c r="C1033" s="235"/>
      <c r="D1033" s="235"/>
      <c r="E1033" s="235"/>
      <c r="F1033" s="236"/>
      <c r="G1033" s="237"/>
      <c r="H1033" s="237"/>
      <c r="I1033" s="238"/>
      <c r="J1033" s="235"/>
      <c r="K1033" s="235"/>
      <c r="L1033" s="235"/>
      <c r="M1033" s="235"/>
      <c r="N1033" s="239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</row>
    <row r="1034" spans="1:45" ht="16.5" customHeight="1">
      <c r="A1034" s="235"/>
      <c r="B1034" s="235"/>
      <c r="C1034" s="235"/>
      <c r="D1034" s="235"/>
      <c r="E1034" s="235"/>
      <c r="F1034" s="236"/>
      <c r="G1034" s="237"/>
      <c r="H1034" s="237"/>
      <c r="I1034" s="238"/>
      <c r="J1034" s="235"/>
      <c r="K1034" s="235"/>
      <c r="L1034" s="235"/>
      <c r="M1034" s="235"/>
      <c r="N1034" s="239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</row>
    <row r="1035" spans="1:45" ht="16.5" customHeight="1">
      <c r="A1035" s="235"/>
      <c r="B1035" s="235"/>
      <c r="C1035" s="235"/>
      <c r="D1035" s="235"/>
      <c r="E1035" s="235"/>
      <c r="F1035" s="236"/>
      <c r="G1035" s="237"/>
      <c r="H1035" s="237"/>
      <c r="I1035" s="238"/>
      <c r="J1035" s="235"/>
      <c r="K1035" s="235"/>
      <c r="L1035" s="235"/>
      <c r="M1035" s="235"/>
      <c r="N1035" s="239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</row>
    <row r="1036" spans="1:45" ht="16.5" customHeight="1">
      <c r="A1036" s="235"/>
      <c r="B1036" s="235"/>
      <c r="C1036" s="235"/>
      <c r="D1036" s="235"/>
      <c r="E1036" s="235"/>
      <c r="F1036" s="236"/>
      <c r="G1036" s="237"/>
      <c r="H1036" s="237"/>
      <c r="I1036" s="238"/>
      <c r="J1036" s="235"/>
      <c r="K1036" s="235"/>
      <c r="L1036" s="235"/>
      <c r="M1036" s="235"/>
      <c r="N1036" s="239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</row>
    <row r="1037" spans="1:45" ht="16.5" customHeight="1">
      <c r="A1037" s="235"/>
      <c r="B1037" s="235"/>
      <c r="C1037" s="235"/>
      <c r="D1037" s="235"/>
      <c r="E1037" s="235"/>
      <c r="F1037" s="236"/>
      <c r="G1037" s="237"/>
      <c r="H1037" s="237"/>
      <c r="I1037" s="238"/>
      <c r="J1037" s="235"/>
      <c r="K1037" s="235"/>
      <c r="L1037" s="235"/>
      <c r="M1037" s="235"/>
      <c r="N1037" s="239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</row>
    <row r="1038" spans="1:45" ht="16.5" customHeight="1">
      <c r="A1038" s="235"/>
      <c r="B1038" s="235"/>
      <c r="C1038" s="235"/>
      <c r="D1038" s="235"/>
      <c r="E1038" s="235"/>
      <c r="F1038" s="236"/>
      <c r="G1038" s="237"/>
      <c r="H1038" s="237"/>
      <c r="I1038" s="238"/>
      <c r="J1038" s="235"/>
      <c r="K1038" s="235"/>
      <c r="L1038" s="235"/>
      <c r="M1038" s="235"/>
      <c r="N1038" s="239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</row>
    <row r="1039" spans="1:45" ht="16.5" customHeight="1">
      <c r="A1039" s="235"/>
      <c r="B1039" s="235"/>
      <c r="C1039" s="235"/>
      <c r="D1039" s="235"/>
      <c r="E1039" s="235"/>
      <c r="F1039" s="236"/>
      <c r="G1039" s="237"/>
      <c r="H1039" s="237"/>
      <c r="I1039" s="238"/>
      <c r="J1039" s="235"/>
      <c r="K1039" s="235"/>
      <c r="L1039" s="235"/>
      <c r="M1039" s="235"/>
      <c r="N1039" s="239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</row>
    <row r="1040" spans="1:45" ht="16.5" customHeight="1">
      <c r="A1040" s="235"/>
      <c r="B1040" s="235"/>
      <c r="C1040" s="235"/>
      <c r="D1040" s="235"/>
      <c r="E1040" s="235"/>
      <c r="F1040" s="236"/>
      <c r="G1040" s="237"/>
      <c r="H1040" s="237"/>
      <c r="I1040" s="238"/>
      <c r="J1040" s="235"/>
      <c r="K1040" s="235"/>
      <c r="L1040" s="235"/>
      <c r="M1040" s="235"/>
      <c r="N1040" s="239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</row>
    <row r="1041" spans="1:45" ht="16.5" customHeight="1">
      <c r="A1041" s="235"/>
      <c r="B1041" s="235"/>
      <c r="C1041" s="235"/>
      <c r="D1041" s="235"/>
      <c r="E1041" s="235"/>
      <c r="F1041" s="236"/>
      <c r="G1041" s="237"/>
      <c r="H1041" s="237"/>
      <c r="I1041" s="238"/>
      <c r="J1041" s="235"/>
      <c r="K1041" s="235"/>
      <c r="L1041" s="235"/>
      <c r="M1041" s="235"/>
      <c r="N1041" s="239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</row>
    <row r="1042" spans="1:45" ht="16.5" customHeight="1">
      <c r="A1042" s="235"/>
      <c r="B1042" s="235"/>
      <c r="C1042" s="235"/>
      <c r="D1042" s="235"/>
      <c r="E1042" s="235"/>
      <c r="F1042" s="236"/>
      <c r="G1042" s="237"/>
      <c r="H1042" s="237"/>
      <c r="I1042" s="238"/>
      <c r="J1042" s="235"/>
      <c r="K1042" s="235"/>
      <c r="L1042" s="235"/>
      <c r="M1042" s="235"/>
      <c r="N1042" s="239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</row>
    <row r="1043" spans="1:45" ht="16.5" customHeight="1">
      <c r="A1043" s="235"/>
      <c r="B1043" s="235"/>
      <c r="C1043" s="235"/>
      <c r="D1043" s="235"/>
      <c r="E1043" s="235"/>
      <c r="F1043" s="236"/>
      <c r="G1043" s="237"/>
      <c r="H1043" s="237"/>
      <c r="I1043" s="238"/>
      <c r="J1043" s="235"/>
      <c r="K1043" s="235"/>
      <c r="L1043" s="235"/>
      <c r="M1043" s="235"/>
      <c r="N1043" s="239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</row>
    <row r="1044" spans="1:45" ht="16.5" customHeight="1">
      <c r="A1044" s="235"/>
      <c r="B1044" s="235"/>
      <c r="C1044" s="235"/>
      <c r="D1044" s="235"/>
      <c r="E1044" s="235"/>
      <c r="F1044" s="236"/>
      <c r="G1044" s="237"/>
      <c r="H1044" s="237"/>
      <c r="I1044" s="238"/>
      <c r="J1044" s="235"/>
      <c r="K1044" s="235"/>
      <c r="L1044" s="235"/>
      <c r="M1044" s="235"/>
      <c r="N1044" s="239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</row>
    <row r="1045" spans="1:45" ht="16.5" customHeight="1">
      <c r="A1045" s="235"/>
      <c r="B1045" s="235"/>
      <c r="C1045" s="235"/>
      <c r="D1045" s="235"/>
      <c r="E1045" s="235"/>
      <c r="F1045" s="236"/>
      <c r="G1045" s="237"/>
      <c r="H1045" s="237"/>
      <c r="I1045" s="238"/>
      <c r="J1045" s="235"/>
      <c r="K1045" s="235"/>
      <c r="L1045" s="235"/>
      <c r="M1045" s="235"/>
      <c r="N1045" s="239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</row>
    <row r="1046" spans="1:45" ht="16.5" customHeight="1">
      <c r="A1046" s="235"/>
      <c r="B1046" s="235"/>
      <c r="C1046" s="235"/>
      <c r="D1046" s="235"/>
      <c r="E1046" s="235"/>
      <c r="F1046" s="236"/>
      <c r="G1046" s="237"/>
      <c r="H1046" s="237"/>
      <c r="I1046" s="238"/>
      <c r="J1046" s="235"/>
      <c r="K1046" s="235"/>
      <c r="L1046" s="235"/>
      <c r="M1046" s="235"/>
      <c r="N1046" s="239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</row>
    <row r="1047" spans="1:45" ht="16.5" customHeight="1">
      <c r="A1047" s="235"/>
      <c r="B1047" s="235"/>
      <c r="C1047" s="235"/>
      <c r="D1047" s="235"/>
      <c r="E1047" s="235"/>
      <c r="F1047" s="236"/>
      <c r="G1047" s="237"/>
      <c r="H1047" s="237"/>
      <c r="I1047" s="238"/>
      <c r="J1047" s="235"/>
      <c r="K1047" s="235"/>
      <c r="L1047" s="235"/>
      <c r="M1047" s="235"/>
      <c r="N1047" s="239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</row>
    <row r="1048" spans="1:45" ht="16.5" customHeight="1">
      <c r="A1048" s="235"/>
      <c r="B1048" s="235"/>
      <c r="C1048" s="235"/>
      <c r="D1048" s="235"/>
      <c r="E1048" s="235"/>
      <c r="F1048" s="236"/>
      <c r="G1048" s="237"/>
      <c r="H1048" s="237"/>
      <c r="I1048" s="238"/>
      <c r="J1048" s="235"/>
      <c r="K1048" s="235"/>
      <c r="L1048" s="235"/>
      <c r="M1048" s="235"/>
      <c r="N1048" s="239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</row>
    <row r="1049" spans="1:45" ht="16.5" customHeight="1">
      <c r="A1049" s="235"/>
      <c r="B1049" s="235"/>
      <c r="C1049" s="235"/>
      <c r="D1049" s="235"/>
      <c r="E1049" s="235"/>
      <c r="F1049" s="236"/>
      <c r="G1049" s="237"/>
      <c r="H1049" s="237"/>
      <c r="I1049" s="238"/>
      <c r="J1049" s="235"/>
      <c r="K1049" s="235"/>
      <c r="L1049" s="235"/>
      <c r="M1049" s="235"/>
      <c r="N1049" s="239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</row>
    <row r="1050" spans="1:45" ht="16.5" customHeight="1">
      <c r="A1050" s="235"/>
      <c r="B1050" s="235"/>
      <c r="C1050" s="235"/>
      <c r="D1050" s="235"/>
      <c r="E1050" s="235"/>
      <c r="F1050" s="236"/>
      <c r="G1050" s="237"/>
      <c r="H1050" s="237"/>
      <c r="I1050" s="238"/>
      <c r="J1050" s="235"/>
      <c r="K1050" s="235"/>
      <c r="L1050" s="235"/>
      <c r="M1050" s="235"/>
      <c r="N1050" s="239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</row>
    <row r="1051" spans="1:45" ht="16.5" customHeight="1">
      <c r="A1051" s="235"/>
      <c r="B1051" s="235"/>
      <c r="C1051" s="235"/>
      <c r="D1051" s="235"/>
      <c r="E1051" s="235"/>
      <c r="F1051" s="236"/>
      <c r="G1051" s="237"/>
      <c r="H1051" s="237"/>
      <c r="I1051" s="238"/>
      <c r="J1051" s="235"/>
      <c r="K1051" s="235"/>
      <c r="L1051" s="235"/>
      <c r="M1051" s="235"/>
      <c r="N1051" s="239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</row>
    <row r="1052" spans="1:45" ht="16.5" customHeight="1">
      <c r="A1052" s="235"/>
      <c r="B1052" s="235"/>
      <c r="C1052" s="235"/>
      <c r="D1052" s="235"/>
      <c r="E1052" s="235"/>
      <c r="F1052" s="236"/>
      <c r="G1052" s="237"/>
      <c r="H1052" s="237"/>
      <c r="I1052" s="238"/>
      <c r="J1052" s="235"/>
      <c r="K1052" s="235"/>
      <c r="L1052" s="235"/>
      <c r="M1052" s="235"/>
      <c r="N1052" s="239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</row>
    <row r="1053" spans="1:45" ht="16.5" customHeight="1">
      <c r="A1053" s="235"/>
      <c r="B1053" s="235"/>
      <c r="C1053" s="235"/>
      <c r="D1053" s="235"/>
      <c r="E1053" s="235"/>
      <c r="F1053" s="236"/>
      <c r="G1053" s="237"/>
      <c r="H1053" s="237"/>
      <c r="I1053" s="238"/>
      <c r="J1053" s="235"/>
      <c r="K1053" s="235"/>
      <c r="L1053" s="235"/>
      <c r="M1053" s="235"/>
      <c r="N1053" s="239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</row>
    <row r="1054" spans="1:45" ht="16.5" customHeight="1">
      <c r="A1054" s="235"/>
      <c r="B1054" s="235"/>
      <c r="C1054" s="235"/>
      <c r="D1054" s="235"/>
      <c r="E1054" s="235"/>
      <c r="F1054" s="236"/>
      <c r="G1054" s="237"/>
      <c r="H1054" s="237"/>
      <c r="I1054" s="238"/>
      <c r="J1054" s="235"/>
      <c r="K1054" s="235"/>
      <c r="L1054" s="235"/>
      <c r="M1054" s="235"/>
      <c r="N1054" s="239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</row>
    <row r="1055" spans="1:45" ht="16.5" customHeight="1">
      <c r="A1055" s="235"/>
      <c r="B1055" s="235"/>
      <c r="C1055" s="235"/>
      <c r="D1055" s="235"/>
      <c r="E1055" s="235"/>
      <c r="F1055" s="236"/>
      <c r="G1055" s="237"/>
      <c r="H1055" s="237"/>
      <c r="I1055" s="238"/>
      <c r="J1055" s="235"/>
      <c r="K1055" s="235"/>
      <c r="L1055" s="235"/>
      <c r="M1055" s="235"/>
      <c r="N1055" s="239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</row>
    <row r="1056" spans="1:45" ht="16.5" customHeight="1">
      <c r="A1056" s="235"/>
      <c r="B1056" s="235"/>
      <c r="C1056" s="235"/>
      <c r="D1056" s="235"/>
      <c r="E1056" s="235"/>
      <c r="F1056" s="236"/>
      <c r="G1056" s="237"/>
      <c r="H1056" s="237"/>
      <c r="I1056" s="238"/>
      <c r="J1056" s="235"/>
      <c r="K1056" s="235"/>
      <c r="L1056" s="235"/>
      <c r="M1056" s="235"/>
      <c r="N1056" s="239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</row>
    <row r="1057" spans="1:45" ht="16.5" customHeight="1">
      <c r="A1057" s="235"/>
      <c r="B1057" s="235"/>
      <c r="C1057" s="235"/>
      <c r="D1057" s="235"/>
      <c r="E1057" s="235"/>
      <c r="F1057" s="236"/>
      <c r="G1057" s="237"/>
      <c r="H1057" s="237"/>
      <c r="I1057" s="238"/>
      <c r="J1057" s="235"/>
      <c r="K1057" s="235"/>
      <c r="L1057" s="235"/>
      <c r="M1057" s="235"/>
      <c r="N1057" s="239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</row>
    <row r="1058" spans="1:45" ht="16.5" customHeight="1">
      <c r="A1058" s="235"/>
      <c r="B1058" s="235"/>
      <c r="C1058" s="235"/>
      <c r="D1058" s="235"/>
      <c r="E1058" s="235"/>
      <c r="F1058" s="236"/>
      <c r="G1058" s="237"/>
      <c r="H1058" s="237"/>
      <c r="I1058" s="238"/>
      <c r="J1058" s="235"/>
      <c r="K1058" s="235"/>
      <c r="L1058" s="235"/>
      <c r="M1058" s="235"/>
      <c r="N1058" s="239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</row>
    <row r="1059" spans="1:45" ht="16.5" customHeight="1">
      <c r="A1059" s="235"/>
      <c r="B1059" s="235"/>
      <c r="C1059" s="235"/>
      <c r="D1059" s="235"/>
      <c r="E1059" s="235"/>
      <c r="F1059" s="236"/>
      <c r="G1059" s="237"/>
      <c r="H1059" s="237"/>
      <c r="I1059" s="238"/>
      <c r="J1059" s="235"/>
      <c r="K1059" s="235"/>
      <c r="L1059" s="235"/>
      <c r="M1059" s="235"/>
      <c r="N1059" s="239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</row>
    <row r="1060" spans="1:45" ht="16.5" customHeight="1">
      <c r="A1060" s="235"/>
      <c r="B1060" s="235"/>
      <c r="C1060" s="235"/>
      <c r="D1060" s="235"/>
      <c r="E1060" s="235"/>
      <c r="F1060" s="236"/>
      <c r="G1060" s="237"/>
      <c r="H1060" s="237"/>
      <c r="I1060" s="238"/>
      <c r="J1060" s="235"/>
      <c r="K1060" s="235"/>
      <c r="L1060" s="235"/>
      <c r="M1060" s="235"/>
      <c r="N1060" s="239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</row>
    <row r="1061" spans="1:45" ht="16.5" customHeight="1">
      <c r="A1061" s="235"/>
      <c r="B1061" s="235"/>
      <c r="C1061" s="235"/>
      <c r="D1061" s="235"/>
      <c r="E1061" s="235"/>
      <c r="F1061" s="236"/>
      <c r="G1061" s="237"/>
      <c r="H1061" s="237"/>
      <c r="I1061" s="238"/>
      <c r="J1061" s="235"/>
      <c r="K1061" s="235"/>
      <c r="L1061" s="235"/>
      <c r="M1061" s="235"/>
      <c r="N1061" s="239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</row>
    <row r="1062" spans="1:45" ht="16.5" customHeight="1">
      <c r="A1062" s="235"/>
      <c r="B1062" s="235"/>
      <c r="C1062" s="235"/>
      <c r="D1062" s="235"/>
      <c r="E1062" s="235"/>
      <c r="F1062" s="236"/>
      <c r="G1062" s="237"/>
      <c r="H1062" s="237"/>
      <c r="I1062" s="238"/>
      <c r="J1062" s="235"/>
      <c r="K1062" s="235"/>
      <c r="L1062" s="235"/>
      <c r="M1062" s="235"/>
      <c r="N1062" s="239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</row>
    <row r="1063" spans="1:45" ht="16.5" customHeight="1">
      <c r="A1063" s="235"/>
      <c r="B1063" s="235"/>
      <c r="C1063" s="235"/>
      <c r="D1063" s="235"/>
      <c r="E1063" s="235"/>
      <c r="F1063" s="236"/>
      <c r="G1063" s="237"/>
      <c r="H1063" s="237"/>
      <c r="I1063" s="238"/>
      <c r="J1063" s="235"/>
      <c r="K1063" s="235"/>
      <c r="L1063" s="235"/>
      <c r="M1063" s="235"/>
      <c r="N1063" s="239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</row>
    <row r="1064" spans="1:45" ht="16.5" customHeight="1">
      <c r="A1064" s="235"/>
      <c r="B1064" s="235"/>
      <c r="C1064" s="235"/>
      <c r="D1064" s="235"/>
      <c r="E1064" s="235"/>
      <c r="F1064" s="236"/>
      <c r="G1064" s="237"/>
      <c r="H1064" s="237"/>
      <c r="I1064" s="238"/>
      <c r="J1064" s="235"/>
      <c r="K1064" s="235"/>
      <c r="L1064" s="235"/>
      <c r="M1064" s="235"/>
      <c r="N1064" s="239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</row>
    <row r="1065" spans="1:45" ht="16.5" customHeight="1">
      <c r="A1065" s="235"/>
      <c r="B1065" s="235"/>
      <c r="C1065" s="235"/>
      <c r="D1065" s="235"/>
      <c r="E1065" s="235"/>
      <c r="F1065" s="236"/>
      <c r="G1065" s="237"/>
      <c r="H1065" s="237"/>
      <c r="I1065" s="238"/>
      <c r="J1065" s="235"/>
      <c r="K1065" s="235"/>
      <c r="L1065" s="235"/>
      <c r="M1065" s="235"/>
      <c r="N1065" s="239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</row>
    <row r="1066" spans="1:45" ht="16.5" customHeight="1">
      <c r="A1066" s="235"/>
      <c r="B1066" s="235"/>
      <c r="C1066" s="235"/>
      <c r="D1066" s="235"/>
      <c r="E1066" s="235"/>
      <c r="F1066" s="236"/>
      <c r="G1066" s="237"/>
      <c r="H1066" s="237"/>
      <c r="I1066" s="238"/>
      <c r="J1066" s="235"/>
      <c r="K1066" s="235"/>
      <c r="L1066" s="235"/>
      <c r="M1066" s="235"/>
      <c r="N1066" s="239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</row>
    <row r="1067" spans="1:45" ht="16.5" customHeight="1">
      <c r="A1067" s="235"/>
      <c r="B1067" s="235"/>
      <c r="C1067" s="235"/>
      <c r="D1067" s="235"/>
      <c r="E1067" s="235"/>
      <c r="F1067" s="236"/>
      <c r="G1067" s="237"/>
      <c r="H1067" s="237"/>
      <c r="I1067" s="238"/>
      <c r="J1067" s="235"/>
      <c r="K1067" s="235"/>
      <c r="L1067" s="235"/>
      <c r="M1067" s="235"/>
      <c r="N1067" s="239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</row>
    <row r="1068" spans="1:45" ht="16.5" customHeight="1">
      <c r="A1068" s="235"/>
      <c r="B1068" s="235"/>
      <c r="C1068" s="235"/>
      <c r="D1068" s="235"/>
      <c r="E1068" s="235"/>
      <c r="F1068" s="236"/>
      <c r="G1068" s="237"/>
      <c r="H1068" s="237"/>
      <c r="I1068" s="238"/>
      <c r="J1068" s="235"/>
      <c r="K1068" s="235"/>
      <c r="L1068" s="235"/>
      <c r="M1068" s="235"/>
      <c r="N1068" s="239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</row>
    <row r="1069" spans="1:45" ht="16.5" customHeight="1">
      <c r="A1069" s="235"/>
      <c r="B1069" s="235"/>
      <c r="C1069" s="235"/>
      <c r="D1069" s="235"/>
      <c r="E1069" s="235"/>
      <c r="F1069" s="236"/>
      <c r="G1069" s="237"/>
      <c r="H1069" s="237"/>
      <c r="I1069" s="238"/>
      <c r="J1069" s="235"/>
      <c r="K1069" s="235"/>
      <c r="L1069" s="235"/>
      <c r="M1069" s="235"/>
      <c r="N1069" s="239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</row>
    <row r="1070" spans="1:45" ht="16.5" customHeight="1">
      <c r="A1070" s="235"/>
      <c r="B1070" s="235"/>
      <c r="C1070" s="235"/>
      <c r="D1070" s="235"/>
      <c r="E1070" s="235"/>
      <c r="F1070" s="236"/>
      <c r="G1070" s="237"/>
      <c r="H1070" s="237"/>
      <c r="I1070" s="238"/>
      <c r="J1070" s="235"/>
      <c r="K1070" s="235"/>
      <c r="L1070" s="235"/>
      <c r="M1070" s="235"/>
      <c r="N1070" s="239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</row>
    <row r="1071" spans="1:45" ht="16.5" customHeight="1">
      <c r="A1071" s="235"/>
      <c r="B1071" s="235"/>
      <c r="C1071" s="235"/>
      <c r="D1071" s="235"/>
      <c r="E1071" s="235"/>
      <c r="F1071" s="236"/>
      <c r="G1071" s="237"/>
      <c r="H1071" s="237"/>
      <c r="I1071" s="238"/>
      <c r="J1071" s="235"/>
      <c r="K1071" s="235"/>
      <c r="L1071" s="235"/>
      <c r="M1071" s="235"/>
      <c r="N1071" s="239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</row>
    <row r="1072" spans="1:45" ht="16.5" customHeight="1">
      <c r="A1072" s="235"/>
      <c r="B1072" s="235"/>
      <c r="C1072" s="235"/>
      <c r="D1072" s="235"/>
      <c r="E1072" s="235"/>
      <c r="F1072" s="236"/>
      <c r="G1072" s="237"/>
      <c r="H1072" s="237"/>
      <c r="I1072" s="238"/>
      <c r="J1072" s="235"/>
      <c r="K1072" s="235"/>
      <c r="L1072" s="235"/>
      <c r="M1072" s="235"/>
      <c r="N1072" s="239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</row>
    <row r="1073" spans="1:45" ht="16.5" customHeight="1">
      <c r="A1073" s="235"/>
      <c r="B1073" s="235"/>
      <c r="C1073" s="235"/>
      <c r="D1073" s="235"/>
      <c r="E1073" s="235"/>
      <c r="F1073" s="236"/>
      <c r="G1073" s="237"/>
      <c r="H1073" s="237"/>
      <c r="I1073" s="238"/>
      <c r="J1073" s="235"/>
      <c r="K1073" s="235"/>
      <c r="L1073" s="235"/>
      <c r="M1073" s="235"/>
      <c r="N1073" s="239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</row>
    <row r="1074" spans="1:45" ht="16.5" customHeight="1">
      <c r="A1074" s="235"/>
      <c r="B1074" s="235"/>
      <c r="C1074" s="235"/>
      <c r="D1074" s="235"/>
      <c r="E1074" s="235"/>
      <c r="F1074" s="236"/>
      <c r="G1074" s="237"/>
      <c r="H1074" s="237"/>
      <c r="I1074" s="238"/>
      <c r="J1074" s="235"/>
      <c r="K1074" s="235"/>
      <c r="L1074" s="235"/>
      <c r="M1074" s="235"/>
      <c r="N1074" s="239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</row>
    <row r="1075" spans="1:45" ht="16.5" customHeight="1">
      <c r="A1075" s="235"/>
      <c r="B1075" s="235"/>
      <c r="C1075" s="235"/>
      <c r="D1075" s="235"/>
      <c r="E1075" s="235"/>
      <c r="F1075" s="236"/>
      <c r="G1075" s="237"/>
      <c r="H1075" s="237"/>
      <c r="I1075" s="238"/>
      <c r="J1075" s="235"/>
      <c r="K1075" s="235"/>
      <c r="L1075" s="235"/>
      <c r="M1075" s="235"/>
      <c r="N1075" s="239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</row>
    <row r="1076" spans="1:45" ht="16.5" customHeight="1">
      <c r="A1076" s="235"/>
      <c r="B1076" s="235"/>
      <c r="C1076" s="235"/>
      <c r="D1076" s="235"/>
      <c r="E1076" s="235"/>
      <c r="F1076" s="236"/>
      <c r="G1076" s="237"/>
      <c r="H1076" s="237"/>
      <c r="I1076" s="238"/>
      <c r="J1076" s="235"/>
      <c r="K1076" s="235"/>
      <c r="L1076" s="235"/>
      <c r="M1076" s="235"/>
      <c r="N1076" s="239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</row>
    <row r="1077" spans="1:45" ht="16.5" customHeight="1">
      <c r="A1077" s="235"/>
      <c r="B1077" s="235"/>
      <c r="C1077" s="235"/>
      <c r="D1077" s="235"/>
      <c r="E1077" s="235"/>
      <c r="F1077" s="236"/>
      <c r="G1077" s="237"/>
      <c r="H1077" s="237"/>
      <c r="I1077" s="238"/>
      <c r="J1077" s="235"/>
      <c r="K1077" s="235"/>
      <c r="L1077" s="235"/>
      <c r="M1077" s="235"/>
      <c r="N1077" s="239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</row>
    <row r="1078" spans="1:45" ht="16.5" customHeight="1">
      <c r="A1078" s="235"/>
      <c r="B1078" s="235"/>
      <c r="C1078" s="235"/>
      <c r="D1078" s="235"/>
      <c r="E1078" s="235"/>
      <c r="F1078" s="236"/>
      <c r="G1078" s="237"/>
      <c r="H1078" s="237"/>
      <c r="I1078" s="238"/>
      <c r="J1078" s="235"/>
      <c r="K1078" s="235"/>
      <c r="L1078" s="235"/>
      <c r="M1078" s="235"/>
      <c r="N1078" s="239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</row>
    <row r="1079" spans="1:45" ht="16.5" customHeight="1">
      <c r="A1079" s="235"/>
      <c r="B1079" s="235"/>
      <c r="C1079" s="235"/>
      <c r="D1079" s="235"/>
      <c r="E1079" s="235"/>
      <c r="F1079" s="236"/>
      <c r="G1079" s="237"/>
      <c r="H1079" s="237"/>
      <c r="I1079" s="238"/>
      <c r="J1079" s="235"/>
      <c r="K1079" s="235"/>
      <c r="L1079" s="235"/>
      <c r="M1079" s="235"/>
      <c r="N1079" s="239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</row>
    <row r="1080" spans="1:45" ht="16.5" customHeight="1">
      <c r="A1080" s="235"/>
      <c r="B1080" s="235"/>
      <c r="C1080" s="235"/>
      <c r="D1080" s="235"/>
      <c r="E1080" s="235"/>
      <c r="F1080" s="236"/>
      <c r="G1080" s="237"/>
      <c r="H1080" s="237"/>
      <c r="I1080" s="238"/>
      <c r="J1080" s="235"/>
      <c r="K1080" s="235"/>
      <c r="L1080" s="235"/>
      <c r="M1080" s="235"/>
      <c r="N1080" s="239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</row>
    <row r="1081" spans="1:45" ht="16.5" customHeight="1">
      <c r="A1081" s="235"/>
      <c r="B1081" s="235"/>
      <c r="C1081" s="235"/>
      <c r="D1081" s="235"/>
      <c r="E1081" s="235"/>
      <c r="F1081" s="236"/>
      <c r="G1081" s="237"/>
      <c r="H1081" s="237"/>
      <c r="I1081" s="238"/>
      <c r="J1081" s="235"/>
      <c r="K1081" s="235"/>
      <c r="L1081" s="235"/>
      <c r="M1081" s="235"/>
      <c r="N1081" s="239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</row>
    <row r="1082" spans="1:45" ht="16.5" customHeight="1">
      <c r="A1082" s="235"/>
      <c r="B1082" s="235"/>
      <c r="C1082" s="235"/>
      <c r="D1082" s="235"/>
      <c r="E1082" s="235"/>
      <c r="F1082" s="236"/>
      <c r="G1082" s="237"/>
      <c r="H1082" s="237"/>
      <c r="I1082" s="238"/>
      <c r="J1082" s="235"/>
      <c r="K1082" s="235"/>
      <c r="L1082" s="235"/>
      <c r="M1082" s="235"/>
      <c r="N1082" s="239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</row>
    <row r="1083" spans="1:45" ht="16.5" customHeight="1">
      <c r="A1083" s="235"/>
      <c r="B1083" s="235"/>
      <c r="C1083" s="235"/>
      <c r="D1083" s="235"/>
      <c r="E1083" s="235"/>
      <c r="F1083" s="236"/>
      <c r="G1083" s="237"/>
      <c r="H1083" s="237"/>
      <c r="I1083" s="238"/>
      <c r="J1083" s="235"/>
      <c r="K1083" s="235"/>
      <c r="L1083" s="235"/>
      <c r="M1083" s="235"/>
      <c r="N1083" s="239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</row>
    <row r="1084" spans="1:45" ht="16.5" customHeight="1">
      <c r="A1084" s="235"/>
      <c r="B1084" s="235"/>
      <c r="C1084" s="235"/>
      <c r="D1084" s="235"/>
      <c r="E1084" s="235"/>
      <c r="F1084" s="236"/>
      <c r="G1084" s="237"/>
      <c r="H1084" s="237"/>
      <c r="I1084" s="238"/>
      <c r="J1084" s="235"/>
      <c r="K1084" s="235"/>
      <c r="L1084" s="235"/>
      <c r="M1084" s="235"/>
      <c r="N1084" s="239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</row>
    <row r="1085" spans="1:45" ht="16.5" customHeight="1">
      <c r="A1085" s="235"/>
      <c r="B1085" s="235"/>
      <c r="C1085" s="235"/>
      <c r="D1085" s="235"/>
      <c r="E1085" s="235"/>
      <c r="F1085" s="236"/>
      <c r="G1085" s="237"/>
      <c r="H1085" s="237"/>
      <c r="I1085" s="238"/>
      <c r="J1085" s="235"/>
      <c r="K1085" s="235"/>
      <c r="L1085" s="235"/>
      <c r="M1085" s="235"/>
      <c r="N1085" s="239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</row>
    <row r="1086" spans="1:45" ht="16.5" customHeight="1">
      <c r="A1086" s="235"/>
      <c r="B1086" s="235"/>
      <c r="C1086" s="235"/>
      <c r="D1086" s="235"/>
      <c r="E1086" s="235"/>
      <c r="F1086" s="236"/>
      <c r="G1086" s="237"/>
      <c r="H1086" s="237"/>
      <c r="I1086" s="238"/>
      <c r="J1086" s="235"/>
      <c r="K1086" s="235"/>
      <c r="L1086" s="235"/>
      <c r="M1086" s="235"/>
      <c r="N1086" s="239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</row>
    <row r="1087" spans="1:45" ht="16.5" customHeight="1">
      <c r="A1087" s="235"/>
      <c r="B1087" s="235"/>
      <c r="C1087" s="235"/>
      <c r="D1087" s="235"/>
      <c r="E1087" s="235"/>
      <c r="F1087" s="236"/>
      <c r="G1087" s="237"/>
      <c r="H1087" s="237"/>
      <c r="I1087" s="238"/>
      <c r="J1087" s="235"/>
      <c r="K1087" s="235"/>
      <c r="L1087" s="235"/>
      <c r="M1087" s="235"/>
      <c r="N1087" s="239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</row>
    <row r="1088" spans="1:45" ht="16.5" customHeight="1">
      <c r="A1088" s="235"/>
      <c r="B1088" s="235"/>
      <c r="C1088" s="235"/>
      <c r="D1088" s="235"/>
      <c r="E1088" s="235"/>
      <c r="F1088" s="236"/>
      <c r="G1088" s="237"/>
      <c r="H1088" s="237"/>
      <c r="I1088" s="238"/>
      <c r="J1088" s="235"/>
      <c r="K1088" s="235"/>
      <c r="L1088" s="235"/>
      <c r="M1088" s="235"/>
      <c r="N1088" s="239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</row>
    <row r="1089" spans="1:45" ht="16.5" customHeight="1">
      <c r="A1089" s="235"/>
      <c r="B1089" s="235"/>
      <c r="C1089" s="235"/>
      <c r="D1089" s="235"/>
      <c r="E1089" s="235"/>
      <c r="F1089" s="236"/>
      <c r="G1089" s="237"/>
      <c r="H1089" s="237"/>
      <c r="I1089" s="238"/>
      <c r="J1089" s="235"/>
      <c r="K1089" s="235"/>
      <c r="L1089" s="235"/>
      <c r="M1089" s="235"/>
      <c r="N1089" s="239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</row>
    <row r="1090" spans="1:45" ht="16.5" customHeight="1">
      <c r="A1090" s="235"/>
      <c r="B1090" s="235"/>
      <c r="C1090" s="235"/>
      <c r="D1090" s="235"/>
      <c r="E1090" s="235"/>
      <c r="F1090" s="236"/>
      <c r="G1090" s="237"/>
      <c r="H1090" s="237"/>
      <c r="I1090" s="238"/>
      <c r="J1090" s="235"/>
      <c r="K1090" s="235"/>
      <c r="L1090" s="235"/>
      <c r="M1090" s="235"/>
      <c r="N1090" s="239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</row>
    <row r="1091" spans="1:45" ht="16.5" customHeight="1">
      <c r="A1091" s="235"/>
      <c r="B1091" s="235"/>
      <c r="C1091" s="235"/>
      <c r="D1091" s="235"/>
      <c r="E1091" s="235"/>
      <c r="F1091" s="236"/>
      <c r="G1091" s="237"/>
      <c r="H1091" s="237"/>
      <c r="I1091" s="238"/>
      <c r="J1091" s="235"/>
      <c r="K1091" s="235"/>
      <c r="L1091" s="235"/>
      <c r="M1091" s="235"/>
      <c r="N1091" s="239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</row>
    <row r="1092" spans="1:45" ht="16.5" customHeight="1">
      <c r="A1092" s="235"/>
      <c r="B1092" s="235"/>
      <c r="C1092" s="235"/>
      <c r="D1092" s="235"/>
      <c r="E1092" s="235"/>
      <c r="F1092" s="236"/>
      <c r="G1092" s="237"/>
      <c r="H1092" s="237"/>
      <c r="I1092" s="238"/>
      <c r="J1092" s="235"/>
      <c r="K1092" s="235"/>
      <c r="L1092" s="235"/>
      <c r="M1092" s="235"/>
      <c r="N1092" s="239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</row>
    <row r="1093" spans="1:45" ht="16.5" customHeight="1">
      <c r="A1093" s="235"/>
      <c r="B1093" s="235"/>
      <c r="C1093" s="235"/>
      <c r="D1093" s="235"/>
      <c r="E1093" s="235"/>
      <c r="F1093" s="236"/>
      <c r="G1093" s="237"/>
      <c r="H1093" s="237"/>
      <c r="I1093" s="238"/>
      <c r="J1093" s="235"/>
      <c r="K1093" s="235"/>
      <c r="L1093" s="235"/>
      <c r="M1093" s="235"/>
      <c r="N1093" s="239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</row>
    <row r="1094" spans="1:45" ht="16.5" customHeight="1">
      <c r="A1094" s="235"/>
      <c r="B1094" s="235"/>
      <c r="C1094" s="235"/>
      <c r="D1094" s="235"/>
      <c r="E1094" s="235"/>
      <c r="F1094" s="236"/>
      <c r="G1094" s="237"/>
      <c r="H1094" s="237"/>
      <c r="I1094" s="238"/>
      <c r="J1094" s="235"/>
      <c r="K1094" s="235"/>
      <c r="L1094" s="235"/>
      <c r="M1094" s="235"/>
      <c r="N1094" s="239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</row>
    <row r="1095" spans="1:45" ht="16.5" customHeight="1">
      <c r="A1095" s="235"/>
      <c r="B1095" s="235"/>
      <c r="C1095" s="235"/>
      <c r="D1095" s="235"/>
      <c r="E1095" s="235"/>
      <c r="F1095" s="236"/>
      <c r="G1095" s="237"/>
      <c r="H1095" s="237"/>
      <c r="I1095" s="238"/>
      <c r="J1095" s="235"/>
      <c r="K1095" s="235"/>
      <c r="L1095" s="235"/>
      <c r="M1095" s="235"/>
      <c r="N1095" s="239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</row>
    <row r="1096" spans="1:45" ht="16.5" customHeight="1">
      <c r="A1096" s="235"/>
      <c r="B1096" s="235"/>
      <c r="C1096" s="235"/>
      <c r="D1096" s="235"/>
      <c r="E1096" s="235"/>
      <c r="F1096" s="236"/>
      <c r="G1096" s="237"/>
      <c r="H1096" s="237"/>
      <c r="I1096" s="238"/>
      <c r="J1096" s="235"/>
      <c r="K1096" s="235"/>
      <c r="L1096" s="235"/>
      <c r="M1096" s="235"/>
      <c r="N1096" s="239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</row>
    <row r="1097" spans="1:45" ht="16.5" customHeight="1">
      <c r="A1097" s="235"/>
      <c r="B1097" s="235"/>
      <c r="C1097" s="235"/>
      <c r="D1097" s="235"/>
      <c r="E1097" s="235"/>
      <c r="F1097" s="236"/>
      <c r="G1097" s="237"/>
      <c r="H1097" s="237"/>
      <c r="I1097" s="238"/>
      <c r="J1097" s="235"/>
      <c r="K1097" s="235"/>
      <c r="L1097" s="235"/>
      <c r="M1097" s="235"/>
      <c r="N1097" s="239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</row>
    <row r="1098" spans="1:45" ht="16.5" customHeight="1">
      <c r="A1098" s="235"/>
      <c r="B1098" s="235"/>
      <c r="C1098" s="235"/>
      <c r="D1098" s="235"/>
      <c r="E1098" s="235"/>
      <c r="F1098" s="236"/>
      <c r="G1098" s="237"/>
      <c r="H1098" s="237"/>
      <c r="I1098" s="238"/>
      <c r="J1098" s="235"/>
      <c r="K1098" s="235"/>
      <c r="L1098" s="235"/>
      <c r="M1098" s="235"/>
      <c r="N1098" s="239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</row>
    <row r="1099" spans="1:45" ht="16.5" customHeight="1">
      <c r="A1099" s="235"/>
      <c r="B1099" s="235"/>
      <c r="C1099" s="235"/>
      <c r="D1099" s="235"/>
      <c r="E1099" s="235"/>
      <c r="F1099" s="236"/>
      <c r="G1099" s="237"/>
      <c r="H1099" s="237"/>
      <c r="I1099" s="238"/>
      <c r="J1099" s="235"/>
      <c r="K1099" s="235"/>
      <c r="L1099" s="235"/>
      <c r="M1099" s="235"/>
      <c r="N1099" s="239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</row>
    <row r="1100" spans="1:45" ht="16.5" customHeight="1">
      <c r="A1100" s="235"/>
      <c r="B1100" s="235"/>
      <c r="C1100" s="235"/>
      <c r="D1100" s="235"/>
      <c r="E1100" s="235"/>
      <c r="F1100" s="236"/>
      <c r="G1100" s="237"/>
      <c r="H1100" s="237"/>
      <c r="I1100" s="238"/>
      <c r="J1100" s="235"/>
      <c r="K1100" s="235"/>
      <c r="L1100" s="235"/>
      <c r="M1100" s="235"/>
      <c r="N1100" s="239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</row>
    <row r="1101" spans="1:45" ht="16.5" customHeight="1">
      <c r="A1101" s="235"/>
      <c r="B1101" s="235"/>
      <c r="C1101" s="235"/>
      <c r="D1101" s="235"/>
      <c r="E1101" s="235"/>
      <c r="F1101" s="236"/>
      <c r="G1101" s="237"/>
      <c r="H1101" s="237"/>
      <c r="I1101" s="238"/>
      <c r="J1101" s="235"/>
      <c r="K1101" s="235"/>
      <c r="L1101" s="235"/>
      <c r="M1101" s="235"/>
      <c r="N1101" s="239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</row>
    <row r="1102" spans="1:45" ht="16.5" customHeight="1">
      <c r="A1102" s="235"/>
      <c r="B1102" s="235"/>
      <c r="C1102" s="235"/>
      <c r="D1102" s="235"/>
      <c r="E1102" s="235"/>
      <c r="F1102" s="236"/>
      <c r="G1102" s="237"/>
      <c r="H1102" s="237"/>
      <c r="I1102" s="238"/>
      <c r="J1102" s="235"/>
      <c r="K1102" s="235"/>
      <c r="L1102" s="235"/>
      <c r="M1102" s="235"/>
      <c r="N1102" s="239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</row>
    <row r="1103" spans="1:45" ht="16.5" customHeight="1">
      <c r="A1103" s="235"/>
      <c r="B1103" s="235"/>
      <c r="C1103" s="235"/>
      <c r="D1103" s="235"/>
      <c r="E1103" s="235"/>
      <c r="F1103" s="236"/>
      <c r="G1103" s="237"/>
      <c r="H1103" s="237"/>
      <c r="I1103" s="238"/>
      <c r="J1103" s="235"/>
      <c r="K1103" s="235"/>
      <c r="L1103" s="235"/>
      <c r="M1103" s="235"/>
      <c r="N1103" s="239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</row>
    <row r="1104" spans="1:45" ht="16.5" customHeight="1">
      <c r="A1104" s="235"/>
      <c r="B1104" s="235"/>
      <c r="C1104" s="235"/>
      <c r="D1104" s="235"/>
      <c r="E1104" s="235"/>
      <c r="F1104" s="236"/>
      <c r="G1104" s="237"/>
      <c r="H1104" s="237"/>
      <c r="I1104" s="238"/>
      <c r="J1104" s="235"/>
      <c r="K1104" s="235"/>
      <c r="L1104" s="235"/>
      <c r="M1104" s="235"/>
      <c r="N1104" s="239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</row>
    <row r="1105" spans="1:45" ht="16.5" customHeight="1">
      <c r="A1105" s="235"/>
      <c r="B1105" s="235"/>
      <c r="C1105" s="235"/>
      <c r="D1105" s="235"/>
      <c r="E1105" s="235"/>
      <c r="F1105" s="236"/>
      <c r="G1105" s="237"/>
      <c r="H1105" s="237"/>
      <c r="I1105" s="238"/>
      <c r="J1105" s="235"/>
      <c r="K1105" s="235"/>
      <c r="L1105" s="235"/>
      <c r="M1105" s="235"/>
      <c r="N1105" s="239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</row>
    <row r="1106" spans="1:45" ht="16.5" customHeight="1">
      <c r="A1106" s="235"/>
      <c r="B1106" s="235"/>
      <c r="C1106" s="235"/>
      <c r="D1106" s="235"/>
      <c r="E1106" s="235"/>
      <c r="F1106" s="236"/>
      <c r="G1106" s="237"/>
      <c r="H1106" s="237"/>
      <c r="I1106" s="238"/>
      <c r="J1106" s="235"/>
      <c r="K1106" s="235"/>
      <c r="L1106" s="235"/>
      <c r="M1106" s="235"/>
      <c r="N1106" s="239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</row>
    <row r="1107" spans="1:45" ht="16.5" customHeight="1">
      <c r="A1107" s="235"/>
      <c r="B1107" s="235"/>
      <c r="C1107" s="235"/>
      <c r="D1107" s="235"/>
      <c r="E1107" s="235"/>
      <c r="F1107" s="236"/>
      <c r="G1107" s="237"/>
      <c r="H1107" s="237"/>
      <c r="I1107" s="238"/>
      <c r="J1107" s="235"/>
      <c r="K1107" s="235"/>
      <c r="L1107" s="235"/>
      <c r="M1107" s="235"/>
      <c r="N1107" s="239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</row>
    <row r="1108" spans="1:45" ht="16.5" customHeight="1">
      <c r="A1108" s="235"/>
      <c r="B1108" s="235"/>
      <c r="C1108" s="235"/>
      <c r="D1108" s="235"/>
      <c r="E1108" s="235"/>
      <c r="F1108" s="236"/>
      <c r="G1108" s="237"/>
      <c r="H1108" s="237"/>
      <c r="I1108" s="238"/>
      <c r="J1108" s="235"/>
      <c r="K1108" s="235"/>
      <c r="L1108" s="235"/>
      <c r="M1108" s="235"/>
      <c r="N1108" s="239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</row>
    <row r="1109" spans="1:45" ht="16.5" customHeight="1">
      <c r="A1109" s="235"/>
      <c r="B1109" s="235"/>
      <c r="C1109" s="235"/>
      <c r="D1109" s="235"/>
      <c r="E1109" s="235"/>
      <c r="F1109" s="236"/>
      <c r="G1109" s="237"/>
      <c r="H1109" s="237"/>
      <c r="I1109" s="238"/>
      <c r="J1109" s="235"/>
      <c r="K1109" s="235"/>
      <c r="L1109" s="235"/>
      <c r="M1109" s="235"/>
      <c r="N1109" s="239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</row>
    <row r="1110" spans="1:45" ht="16.5" customHeight="1">
      <c r="A1110" s="235"/>
      <c r="B1110" s="235"/>
      <c r="C1110" s="235"/>
      <c r="D1110" s="235"/>
      <c r="E1110" s="235"/>
      <c r="F1110" s="236"/>
      <c r="G1110" s="237"/>
      <c r="H1110" s="237"/>
      <c r="I1110" s="238"/>
      <c r="J1110" s="235"/>
      <c r="K1110" s="235"/>
      <c r="L1110" s="235"/>
      <c r="M1110" s="235"/>
      <c r="N1110" s="239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</row>
    <row r="1111" spans="1:45" ht="16.5" customHeight="1">
      <c r="A1111" s="235"/>
      <c r="B1111" s="235"/>
      <c r="C1111" s="235"/>
      <c r="D1111" s="235"/>
      <c r="E1111" s="235"/>
      <c r="F1111" s="236"/>
      <c r="G1111" s="237"/>
      <c r="H1111" s="237"/>
      <c r="I1111" s="238"/>
      <c r="J1111" s="235"/>
      <c r="K1111" s="235"/>
      <c r="L1111" s="235"/>
      <c r="M1111" s="235"/>
      <c r="N1111" s="239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</row>
    <row r="1112" spans="1:45" ht="16.5" customHeight="1">
      <c r="A1112" s="235"/>
      <c r="B1112" s="235"/>
      <c r="C1112" s="235"/>
      <c r="D1112" s="235"/>
      <c r="E1112" s="235"/>
      <c r="F1112" s="236"/>
      <c r="G1112" s="237"/>
      <c r="H1112" s="237"/>
      <c r="I1112" s="238"/>
      <c r="J1112" s="235"/>
      <c r="K1112" s="235"/>
      <c r="L1112" s="235"/>
      <c r="M1112" s="235"/>
      <c r="N1112" s="239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</row>
    <row r="1113" spans="1:45" ht="16.5" customHeight="1">
      <c r="A1113" s="235"/>
      <c r="B1113" s="235"/>
      <c r="C1113" s="235"/>
      <c r="D1113" s="235"/>
      <c r="E1113" s="235"/>
      <c r="F1113" s="236"/>
      <c r="G1113" s="237"/>
      <c r="H1113" s="237"/>
      <c r="I1113" s="238"/>
      <c r="J1113" s="235"/>
      <c r="K1113" s="235"/>
      <c r="L1113" s="235"/>
      <c r="M1113" s="235"/>
      <c r="N1113" s="239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</row>
    <row r="1114" spans="1:45" ht="16.5" customHeight="1">
      <c r="A1114" s="235"/>
      <c r="B1114" s="235"/>
      <c r="C1114" s="235"/>
      <c r="D1114" s="235"/>
      <c r="E1114" s="235"/>
      <c r="F1114" s="236"/>
      <c r="G1114" s="237"/>
      <c r="H1114" s="237"/>
      <c r="I1114" s="238"/>
      <c r="J1114" s="235"/>
      <c r="K1114" s="235"/>
      <c r="L1114" s="235"/>
      <c r="M1114" s="235"/>
      <c r="N1114" s="239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</row>
    <row r="1115" spans="1:45" ht="16.5" customHeight="1">
      <c r="A1115" s="235"/>
      <c r="B1115" s="235"/>
      <c r="C1115" s="235"/>
      <c r="D1115" s="235"/>
      <c r="E1115" s="235"/>
      <c r="F1115" s="236"/>
      <c r="G1115" s="237"/>
      <c r="H1115" s="237"/>
      <c r="I1115" s="238"/>
      <c r="J1115" s="235"/>
      <c r="K1115" s="235"/>
      <c r="L1115" s="235"/>
      <c r="M1115" s="235"/>
      <c r="N1115" s="239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</row>
    <row r="1116" spans="1:45" ht="16.5" customHeight="1">
      <c r="A1116" s="235"/>
      <c r="B1116" s="235"/>
      <c r="C1116" s="235"/>
      <c r="D1116" s="235"/>
      <c r="E1116" s="235"/>
      <c r="F1116" s="236"/>
      <c r="G1116" s="237"/>
      <c r="H1116" s="237"/>
      <c r="I1116" s="238"/>
      <c r="J1116" s="235"/>
      <c r="K1116" s="235"/>
      <c r="L1116" s="235"/>
      <c r="M1116" s="235"/>
      <c r="N1116" s="239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</row>
    <row r="1117" spans="1:45" ht="16.5" customHeight="1">
      <c r="A1117" s="235"/>
      <c r="B1117" s="235"/>
      <c r="C1117" s="235"/>
      <c r="D1117" s="235"/>
      <c r="E1117" s="235"/>
      <c r="F1117" s="236"/>
      <c r="G1117" s="237"/>
      <c r="H1117" s="237"/>
      <c r="I1117" s="238"/>
      <c r="J1117" s="235"/>
      <c r="K1117" s="235"/>
      <c r="L1117" s="235"/>
      <c r="M1117" s="235"/>
      <c r="N1117" s="239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</row>
    <row r="1118" spans="1:45" ht="16.5" customHeight="1">
      <c r="A1118" s="235"/>
      <c r="B1118" s="235"/>
      <c r="C1118" s="235"/>
      <c r="D1118" s="235"/>
      <c r="E1118" s="235"/>
      <c r="F1118" s="236"/>
      <c r="G1118" s="237"/>
      <c r="H1118" s="237"/>
      <c r="I1118" s="238"/>
      <c r="J1118" s="235"/>
      <c r="K1118" s="235"/>
      <c r="L1118" s="235"/>
      <c r="M1118" s="235"/>
      <c r="N1118" s="239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</row>
    <row r="1119" spans="1:45" ht="16.5" customHeight="1">
      <c r="A1119" s="235"/>
      <c r="B1119" s="235"/>
      <c r="C1119" s="235"/>
      <c r="D1119" s="235"/>
      <c r="E1119" s="235"/>
      <c r="F1119" s="236"/>
      <c r="G1119" s="237"/>
      <c r="H1119" s="237"/>
      <c r="I1119" s="238"/>
      <c r="J1119" s="235"/>
      <c r="K1119" s="235"/>
      <c r="L1119" s="235"/>
      <c r="M1119" s="235"/>
      <c r="N1119" s="239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</row>
    <row r="1120" spans="1:45" ht="16.5" customHeight="1">
      <c r="A1120" s="235"/>
      <c r="B1120" s="235"/>
      <c r="C1120" s="235"/>
      <c r="D1120" s="235"/>
      <c r="E1120" s="235"/>
      <c r="F1120" s="236"/>
      <c r="G1120" s="237"/>
      <c r="H1120" s="237"/>
      <c r="I1120" s="238"/>
      <c r="J1120" s="235"/>
      <c r="K1120" s="235"/>
      <c r="L1120" s="235"/>
      <c r="M1120" s="235"/>
      <c r="N1120" s="239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</row>
    <row r="1121" spans="1:45" ht="16.5" customHeight="1">
      <c r="A1121" s="235"/>
      <c r="B1121" s="235"/>
      <c r="C1121" s="235"/>
      <c r="D1121" s="235"/>
      <c r="E1121" s="235"/>
      <c r="F1121" s="236"/>
      <c r="G1121" s="237"/>
      <c r="H1121" s="237"/>
      <c r="I1121" s="238"/>
      <c r="J1121" s="235"/>
      <c r="K1121" s="235"/>
      <c r="L1121" s="235"/>
      <c r="M1121" s="235"/>
      <c r="N1121" s="239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</row>
    <row r="1122" spans="1:45" ht="16.5" customHeight="1">
      <c r="A1122" s="235"/>
      <c r="B1122" s="235"/>
      <c r="C1122" s="235"/>
      <c r="D1122" s="235"/>
      <c r="E1122" s="235"/>
      <c r="F1122" s="236"/>
      <c r="G1122" s="237"/>
      <c r="H1122" s="237"/>
      <c r="I1122" s="238"/>
      <c r="J1122" s="235"/>
      <c r="K1122" s="235"/>
      <c r="L1122" s="235"/>
      <c r="M1122" s="235"/>
      <c r="N1122" s="239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</row>
    <row r="1123" spans="1:45" ht="16.5" customHeight="1">
      <c r="A1123" s="235"/>
      <c r="B1123" s="235"/>
      <c r="C1123" s="235"/>
      <c r="D1123" s="235"/>
      <c r="E1123" s="235"/>
      <c r="F1123" s="236"/>
      <c r="G1123" s="237"/>
      <c r="H1123" s="237"/>
      <c r="I1123" s="238"/>
      <c r="J1123" s="235"/>
      <c r="K1123" s="235"/>
      <c r="L1123" s="235"/>
      <c r="M1123" s="235"/>
      <c r="N1123" s="239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</row>
    <row r="1124" spans="1:45" ht="16.5" customHeight="1">
      <c r="A1124" s="235"/>
      <c r="B1124" s="235"/>
      <c r="C1124" s="235"/>
      <c r="D1124" s="235"/>
      <c r="E1124" s="235"/>
      <c r="F1124" s="236"/>
      <c r="G1124" s="237"/>
      <c r="H1124" s="237"/>
      <c r="I1124" s="238"/>
      <c r="J1124" s="235"/>
      <c r="K1124" s="235"/>
      <c r="L1124" s="235"/>
      <c r="M1124" s="235"/>
      <c r="N1124" s="239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</row>
    <row r="1125" spans="1:45" ht="16.5" customHeight="1">
      <c r="A1125" s="235"/>
      <c r="B1125" s="235"/>
      <c r="C1125" s="235"/>
      <c r="D1125" s="235"/>
      <c r="E1125" s="235"/>
      <c r="F1125" s="236"/>
      <c r="G1125" s="237"/>
      <c r="H1125" s="237"/>
      <c r="I1125" s="238"/>
      <c r="J1125" s="235"/>
      <c r="K1125" s="235"/>
      <c r="L1125" s="235"/>
      <c r="M1125" s="235"/>
      <c r="N1125" s="239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</row>
    <row r="1126" spans="1:45" ht="16.5" customHeight="1">
      <c r="A1126" s="235"/>
      <c r="B1126" s="235"/>
      <c r="C1126" s="235"/>
      <c r="D1126" s="235"/>
      <c r="E1126" s="235"/>
      <c r="F1126" s="236"/>
      <c r="G1126" s="237"/>
      <c r="H1126" s="237"/>
      <c r="I1126" s="238"/>
      <c r="J1126" s="235"/>
      <c r="K1126" s="235"/>
      <c r="L1126" s="235"/>
      <c r="M1126" s="235"/>
      <c r="N1126" s="239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</row>
    <row r="1127" spans="1:45" ht="16.5" customHeight="1">
      <c r="A1127" s="235"/>
      <c r="B1127" s="235"/>
      <c r="C1127" s="235"/>
      <c r="D1127" s="235"/>
      <c r="E1127" s="235"/>
      <c r="F1127" s="236"/>
      <c r="G1127" s="237"/>
      <c r="H1127" s="237"/>
      <c r="I1127" s="238"/>
      <c r="J1127" s="235"/>
      <c r="K1127" s="235"/>
      <c r="L1127" s="235"/>
      <c r="M1127" s="235"/>
      <c r="N1127" s="239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</row>
    <row r="1128" spans="1:45" ht="16.5" customHeight="1">
      <c r="A1128" s="235"/>
      <c r="B1128" s="235"/>
      <c r="C1128" s="235"/>
      <c r="D1128" s="235"/>
      <c r="E1128" s="235"/>
      <c r="F1128" s="236"/>
      <c r="G1128" s="237"/>
      <c r="H1128" s="237"/>
      <c r="I1128" s="238"/>
      <c r="J1128" s="235"/>
      <c r="K1128" s="235"/>
      <c r="L1128" s="235"/>
      <c r="M1128" s="235"/>
      <c r="N1128" s="239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</row>
    <row r="1129" spans="1:45" ht="16.5" customHeight="1">
      <c r="A1129" s="235"/>
      <c r="B1129" s="235"/>
      <c r="C1129" s="235"/>
      <c r="D1129" s="235"/>
      <c r="E1129" s="235"/>
      <c r="F1129" s="236"/>
      <c r="G1129" s="237"/>
      <c r="H1129" s="237"/>
      <c r="I1129" s="238"/>
      <c r="J1129" s="235"/>
      <c r="K1129" s="235"/>
      <c r="L1129" s="235"/>
      <c r="M1129" s="235"/>
      <c r="N1129" s="239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</row>
    <row r="1130" spans="1:45" ht="16.5" customHeight="1">
      <c r="A1130" s="235"/>
      <c r="B1130" s="235"/>
      <c r="C1130" s="235"/>
      <c r="D1130" s="235"/>
      <c r="E1130" s="235"/>
      <c r="F1130" s="236"/>
      <c r="G1130" s="237"/>
      <c r="H1130" s="237"/>
      <c r="I1130" s="238"/>
      <c r="J1130" s="235"/>
      <c r="K1130" s="235"/>
      <c r="L1130" s="235"/>
      <c r="M1130" s="235"/>
      <c r="N1130" s="239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</row>
    <row r="1131" spans="1:45" ht="16.5" customHeight="1">
      <c r="A1131" s="235"/>
      <c r="B1131" s="235"/>
      <c r="C1131" s="235"/>
      <c r="D1131" s="235"/>
      <c r="E1131" s="235"/>
      <c r="F1131" s="236"/>
      <c r="G1131" s="237"/>
      <c r="H1131" s="237"/>
      <c r="I1131" s="238"/>
      <c r="J1131" s="235"/>
      <c r="K1131" s="235"/>
      <c r="L1131" s="235"/>
      <c r="M1131" s="235"/>
      <c r="N1131" s="239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</row>
    <row r="1132" spans="1:45" ht="16.5" customHeight="1">
      <c r="A1132" s="235"/>
      <c r="B1132" s="235"/>
      <c r="C1132" s="235"/>
      <c r="D1132" s="235"/>
      <c r="E1132" s="235"/>
      <c r="F1132" s="236"/>
      <c r="G1132" s="237"/>
      <c r="H1132" s="237"/>
      <c r="I1132" s="238"/>
      <c r="J1132" s="235"/>
      <c r="K1132" s="235"/>
      <c r="L1132" s="235"/>
      <c r="M1132" s="235"/>
      <c r="N1132" s="239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</row>
    <row r="1133" spans="1:45" ht="16.5" customHeight="1">
      <c r="A1133" s="235"/>
      <c r="B1133" s="235"/>
      <c r="C1133" s="235"/>
      <c r="D1133" s="235"/>
      <c r="E1133" s="235"/>
      <c r="F1133" s="236"/>
      <c r="G1133" s="237"/>
      <c r="H1133" s="237"/>
      <c r="I1133" s="238"/>
      <c r="J1133" s="235"/>
      <c r="K1133" s="235"/>
      <c r="L1133" s="235"/>
      <c r="M1133" s="235"/>
      <c r="N1133" s="239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</row>
    <row r="1134" spans="1:45" ht="16.5" customHeight="1">
      <c r="A1134" s="235"/>
      <c r="B1134" s="235"/>
      <c r="C1134" s="235"/>
      <c r="D1134" s="235"/>
      <c r="E1134" s="235"/>
      <c r="F1134" s="236"/>
      <c r="G1134" s="237"/>
      <c r="H1134" s="237"/>
      <c r="I1134" s="238"/>
      <c r="J1134" s="235"/>
      <c r="K1134" s="235"/>
      <c r="L1134" s="235"/>
      <c r="M1134" s="235"/>
      <c r="N1134" s="239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</row>
    <row r="1135" spans="1:45" ht="16.5" customHeight="1">
      <c r="A1135" s="235"/>
      <c r="B1135" s="235"/>
      <c r="C1135" s="235"/>
      <c r="D1135" s="235"/>
      <c r="E1135" s="235"/>
      <c r="F1135" s="236"/>
      <c r="G1135" s="237"/>
      <c r="H1135" s="237"/>
      <c r="I1135" s="238"/>
      <c r="J1135" s="235"/>
      <c r="K1135" s="235"/>
      <c r="L1135" s="235"/>
      <c r="M1135" s="235"/>
      <c r="N1135" s="239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</row>
    <row r="1136" spans="1:45" ht="16.5" customHeight="1">
      <c r="A1136" s="235"/>
      <c r="B1136" s="235"/>
      <c r="C1136" s="235"/>
      <c r="D1136" s="235"/>
      <c r="E1136" s="235"/>
      <c r="F1136" s="236"/>
      <c r="G1136" s="237"/>
      <c r="H1136" s="237"/>
      <c r="I1136" s="238"/>
      <c r="J1136" s="235"/>
      <c r="K1136" s="235"/>
      <c r="L1136" s="235"/>
      <c r="M1136" s="235"/>
      <c r="N1136" s="239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</row>
    <row r="1137" spans="1:45" ht="16.5" customHeight="1">
      <c r="A1137" s="235"/>
      <c r="B1137" s="235"/>
      <c r="C1137" s="235"/>
      <c r="D1137" s="235"/>
      <c r="E1137" s="235"/>
      <c r="F1137" s="236"/>
      <c r="G1137" s="237"/>
      <c r="H1137" s="237"/>
      <c r="I1137" s="238"/>
      <c r="J1137" s="235"/>
      <c r="K1137" s="235"/>
      <c r="L1137" s="235"/>
      <c r="M1137" s="235"/>
      <c r="N1137" s="239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</row>
    <row r="1138" spans="1:45" ht="16.5" customHeight="1">
      <c r="A1138" s="235"/>
      <c r="B1138" s="235"/>
      <c r="C1138" s="235"/>
      <c r="D1138" s="235"/>
      <c r="E1138" s="235"/>
      <c r="F1138" s="236"/>
      <c r="G1138" s="237"/>
      <c r="H1138" s="237"/>
      <c r="I1138" s="238"/>
      <c r="J1138" s="235"/>
      <c r="K1138" s="235"/>
      <c r="L1138" s="235"/>
      <c r="M1138" s="235"/>
      <c r="N1138" s="239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</row>
    <row r="1139" spans="1:45" ht="16.5" customHeight="1">
      <c r="A1139" s="235"/>
      <c r="B1139" s="235"/>
      <c r="C1139" s="235"/>
      <c r="D1139" s="235"/>
      <c r="E1139" s="235"/>
      <c r="F1139" s="236"/>
      <c r="G1139" s="237"/>
      <c r="H1139" s="237"/>
      <c r="I1139" s="238"/>
      <c r="J1139" s="235"/>
      <c r="K1139" s="235"/>
      <c r="L1139" s="235"/>
      <c r="M1139" s="235"/>
      <c r="N1139" s="239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</row>
    <row r="1140" spans="1:45" ht="16.5" customHeight="1">
      <c r="A1140" s="235"/>
      <c r="B1140" s="235"/>
      <c r="C1140" s="235"/>
      <c r="D1140" s="235"/>
      <c r="E1140" s="235"/>
      <c r="F1140" s="236"/>
      <c r="G1140" s="237"/>
      <c r="H1140" s="237"/>
      <c r="I1140" s="238"/>
      <c r="J1140" s="235"/>
      <c r="K1140" s="235"/>
      <c r="L1140" s="235"/>
      <c r="M1140" s="235"/>
      <c r="N1140" s="239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</row>
    <row r="1141" spans="1:45" ht="16.5" customHeight="1">
      <c r="A1141" s="235"/>
      <c r="B1141" s="235"/>
      <c r="C1141" s="235"/>
      <c r="D1141" s="235"/>
      <c r="E1141" s="235"/>
      <c r="F1141" s="236"/>
      <c r="G1141" s="237"/>
      <c r="H1141" s="237"/>
      <c r="I1141" s="238"/>
      <c r="J1141" s="235"/>
      <c r="K1141" s="235"/>
      <c r="L1141" s="235"/>
      <c r="M1141" s="235"/>
      <c r="N1141" s="239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</row>
    <row r="1142" spans="1:45" ht="16.5" customHeight="1">
      <c r="A1142" s="235"/>
      <c r="B1142" s="235"/>
      <c r="C1142" s="235"/>
      <c r="D1142" s="235"/>
      <c r="E1142" s="235"/>
      <c r="F1142" s="236"/>
      <c r="G1142" s="237"/>
      <c r="H1142" s="237"/>
      <c r="I1142" s="238"/>
      <c r="J1142" s="235"/>
      <c r="K1142" s="235"/>
      <c r="L1142" s="235"/>
      <c r="M1142" s="235"/>
      <c r="N1142" s="239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</row>
    <row r="1143" spans="1:45" ht="16.5" customHeight="1">
      <c r="A1143" s="235"/>
      <c r="B1143" s="235"/>
      <c r="C1143" s="235"/>
      <c r="D1143" s="235"/>
      <c r="E1143" s="235"/>
      <c r="F1143" s="236"/>
      <c r="G1143" s="237"/>
      <c r="H1143" s="237"/>
      <c r="I1143" s="238"/>
      <c r="J1143" s="235"/>
      <c r="K1143" s="235"/>
      <c r="L1143" s="235"/>
      <c r="M1143" s="235"/>
      <c r="N1143" s="239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</row>
    <row r="1144" spans="1:45" ht="16.5" customHeight="1">
      <c r="A1144" s="235"/>
      <c r="B1144" s="235"/>
      <c r="C1144" s="235"/>
      <c r="D1144" s="235"/>
      <c r="E1144" s="235"/>
      <c r="F1144" s="236"/>
      <c r="G1144" s="237"/>
      <c r="H1144" s="237"/>
      <c r="I1144" s="238"/>
      <c r="J1144" s="235"/>
      <c r="K1144" s="235"/>
      <c r="L1144" s="235"/>
      <c r="M1144" s="235"/>
      <c r="N1144" s="239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</row>
    <row r="1145" spans="1:45" ht="16.5" customHeight="1">
      <c r="A1145" s="235"/>
      <c r="B1145" s="235"/>
      <c r="C1145" s="235"/>
      <c r="D1145" s="235"/>
      <c r="E1145" s="235"/>
      <c r="F1145" s="236"/>
      <c r="G1145" s="237"/>
      <c r="H1145" s="237"/>
      <c r="I1145" s="238"/>
      <c r="J1145" s="235"/>
      <c r="K1145" s="235"/>
      <c r="L1145" s="235"/>
      <c r="M1145" s="235"/>
      <c r="N1145" s="239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</row>
    <row r="1146" spans="1:45" ht="16.5" customHeight="1">
      <c r="A1146" s="235"/>
      <c r="B1146" s="235"/>
      <c r="C1146" s="235"/>
      <c r="D1146" s="235"/>
      <c r="E1146" s="235"/>
      <c r="F1146" s="236"/>
      <c r="G1146" s="237"/>
      <c r="H1146" s="237"/>
      <c r="I1146" s="238"/>
      <c r="J1146" s="235"/>
      <c r="K1146" s="235"/>
      <c r="L1146" s="235"/>
      <c r="M1146" s="235"/>
      <c r="N1146" s="239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</row>
    <row r="1147" spans="1:45" ht="16.5" customHeight="1">
      <c r="A1147" s="235"/>
      <c r="B1147" s="235"/>
      <c r="C1147" s="235"/>
      <c r="D1147" s="235"/>
      <c r="E1147" s="235"/>
      <c r="F1147" s="236"/>
      <c r="G1147" s="237"/>
      <c r="H1147" s="237"/>
      <c r="I1147" s="238"/>
      <c r="J1147" s="235"/>
      <c r="K1147" s="235"/>
      <c r="L1147" s="235"/>
      <c r="M1147" s="235"/>
      <c r="N1147" s="239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</row>
    <row r="1148" spans="1:45" ht="16.5" customHeight="1">
      <c r="A1148" s="235"/>
      <c r="B1148" s="235"/>
      <c r="C1148" s="235"/>
      <c r="D1148" s="235"/>
      <c r="E1148" s="235"/>
      <c r="F1148" s="236"/>
      <c r="G1148" s="237"/>
      <c r="H1148" s="237"/>
      <c r="I1148" s="238"/>
      <c r="J1148" s="235"/>
      <c r="K1148" s="235"/>
      <c r="L1148" s="235"/>
      <c r="M1148" s="235"/>
      <c r="N1148" s="239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</row>
    <row r="1149" spans="1:45" ht="16.5" customHeight="1">
      <c r="A1149" s="235"/>
      <c r="B1149" s="235"/>
      <c r="C1149" s="235"/>
      <c r="D1149" s="235"/>
      <c r="E1149" s="235"/>
      <c r="F1149" s="236"/>
      <c r="G1149" s="237"/>
      <c r="H1149" s="237"/>
      <c r="I1149" s="238"/>
      <c r="J1149" s="235"/>
      <c r="K1149" s="235"/>
      <c r="L1149" s="235"/>
      <c r="M1149" s="235"/>
      <c r="N1149" s="239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</row>
    <row r="1150" spans="1:45" ht="16.5" customHeight="1">
      <c r="A1150" s="235"/>
      <c r="B1150" s="235"/>
      <c r="C1150" s="235"/>
      <c r="D1150" s="235"/>
      <c r="E1150" s="235"/>
      <c r="F1150" s="236"/>
      <c r="G1150" s="237"/>
      <c r="H1150" s="237"/>
      <c r="I1150" s="238"/>
      <c r="J1150" s="235"/>
      <c r="K1150" s="235"/>
      <c r="L1150" s="235"/>
      <c r="M1150" s="235"/>
      <c r="N1150" s="239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</row>
    <row r="1151" spans="1:45" ht="16.5" customHeight="1">
      <c r="A1151" s="235"/>
      <c r="B1151" s="235"/>
      <c r="C1151" s="235"/>
      <c r="D1151" s="235"/>
      <c r="E1151" s="235"/>
      <c r="F1151" s="236"/>
      <c r="G1151" s="237"/>
      <c r="H1151" s="237"/>
      <c r="I1151" s="238"/>
      <c r="J1151" s="235"/>
      <c r="K1151" s="235"/>
      <c r="L1151" s="235"/>
      <c r="M1151" s="235"/>
      <c r="N1151" s="239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</row>
    <row r="1152" spans="1:45" ht="16.5" customHeight="1">
      <c r="A1152" s="235"/>
      <c r="B1152" s="235"/>
      <c r="C1152" s="235"/>
      <c r="D1152" s="235"/>
      <c r="E1152" s="235"/>
      <c r="F1152" s="236"/>
      <c r="G1152" s="237"/>
      <c r="H1152" s="237"/>
      <c r="I1152" s="238"/>
      <c r="J1152" s="235"/>
      <c r="K1152" s="235"/>
      <c r="L1152" s="235"/>
      <c r="M1152" s="235"/>
      <c r="N1152" s="239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</row>
    <row r="1153" spans="1:45" ht="16.5" customHeight="1">
      <c r="A1153" s="235"/>
      <c r="B1153" s="235"/>
      <c r="C1153" s="235"/>
      <c r="D1153" s="235"/>
      <c r="E1153" s="235"/>
      <c r="F1153" s="236"/>
      <c r="G1153" s="237"/>
      <c r="H1153" s="237"/>
      <c r="I1153" s="238"/>
      <c r="J1153" s="235"/>
      <c r="K1153" s="235"/>
      <c r="L1153" s="235"/>
      <c r="M1153" s="235"/>
      <c r="N1153" s="239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</row>
    <row r="1154" spans="1:45" ht="16.5" customHeight="1">
      <c r="A1154" s="235"/>
      <c r="B1154" s="235"/>
      <c r="C1154" s="235"/>
      <c r="D1154" s="235"/>
      <c r="E1154" s="235"/>
      <c r="F1154" s="236"/>
      <c r="G1154" s="237"/>
      <c r="H1154" s="237"/>
      <c r="I1154" s="238"/>
      <c r="J1154" s="235"/>
      <c r="K1154" s="235"/>
      <c r="L1154" s="235"/>
      <c r="M1154" s="235"/>
      <c r="N1154" s="239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</row>
    <row r="1155" spans="1:45" ht="16.5" customHeight="1">
      <c r="A1155" s="235"/>
      <c r="B1155" s="235"/>
      <c r="C1155" s="235"/>
      <c r="D1155" s="235"/>
      <c r="E1155" s="235"/>
      <c r="F1155" s="236"/>
      <c r="G1155" s="237"/>
      <c r="H1155" s="237"/>
      <c r="I1155" s="238"/>
      <c r="J1155" s="235"/>
      <c r="K1155" s="235"/>
      <c r="L1155" s="235"/>
      <c r="M1155" s="235"/>
      <c r="N1155" s="239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</row>
    <row r="1156" spans="1:45" ht="16.5" customHeight="1">
      <c r="A1156" s="235"/>
      <c r="B1156" s="235"/>
      <c r="C1156" s="235"/>
      <c r="D1156" s="235"/>
      <c r="E1156" s="235"/>
      <c r="F1156" s="236"/>
      <c r="G1156" s="237"/>
      <c r="H1156" s="237"/>
      <c r="I1156" s="238"/>
      <c r="J1156" s="235"/>
      <c r="K1156" s="235"/>
      <c r="L1156" s="235"/>
      <c r="M1156" s="235"/>
      <c r="N1156" s="239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</row>
    <row r="1157" spans="1:45" ht="16.5" customHeight="1">
      <c r="A1157" s="235"/>
      <c r="B1157" s="235"/>
      <c r="C1157" s="235"/>
      <c r="D1157" s="235"/>
      <c r="E1157" s="235"/>
      <c r="F1157" s="236"/>
      <c r="G1157" s="237"/>
      <c r="H1157" s="237"/>
      <c r="I1157" s="238"/>
      <c r="J1157" s="235"/>
      <c r="K1157" s="235"/>
      <c r="L1157" s="235"/>
      <c r="M1157" s="235"/>
      <c r="N1157" s="239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</row>
    <row r="1158" spans="1:45" ht="16.5" customHeight="1">
      <c r="A1158" s="235"/>
      <c r="B1158" s="235"/>
      <c r="C1158" s="235"/>
      <c r="D1158" s="235"/>
      <c r="E1158" s="235"/>
      <c r="F1158" s="236"/>
      <c r="G1158" s="237"/>
      <c r="H1158" s="237"/>
      <c r="I1158" s="238"/>
      <c r="J1158" s="235"/>
      <c r="K1158" s="235"/>
      <c r="L1158" s="235"/>
      <c r="M1158" s="235"/>
      <c r="N1158" s="239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</row>
    <row r="1159" spans="1:45" ht="16.5" customHeight="1">
      <c r="A1159" s="235"/>
      <c r="B1159" s="235"/>
      <c r="C1159" s="235"/>
      <c r="D1159" s="235"/>
      <c r="E1159" s="235"/>
      <c r="F1159" s="236"/>
      <c r="G1159" s="237"/>
      <c r="H1159" s="237"/>
      <c r="I1159" s="238"/>
      <c r="J1159" s="235"/>
      <c r="K1159" s="235"/>
      <c r="L1159" s="235"/>
      <c r="M1159" s="235"/>
      <c r="N1159" s="239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</row>
    <row r="1160" spans="1:45" ht="16.5" customHeight="1">
      <c r="A1160" s="235"/>
      <c r="B1160" s="235"/>
      <c r="C1160" s="235"/>
      <c r="D1160" s="235"/>
      <c r="E1160" s="235"/>
      <c r="F1160" s="236"/>
      <c r="G1160" s="237"/>
      <c r="H1160" s="237"/>
      <c r="I1160" s="238"/>
      <c r="J1160" s="235"/>
      <c r="K1160" s="235"/>
      <c r="L1160" s="235"/>
      <c r="M1160" s="235"/>
      <c r="N1160" s="239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</row>
    <row r="1161" spans="1:45" ht="16.5" customHeight="1">
      <c r="A1161" s="235"/>
      <c r="B1161" s="235"/>
      <c r="C1161" s="235"/>
      <c r="D1161" s="235"/>
      <c r="E1161" s="235"/>
      <c r="F1161" s="236"/>
      <c r="G1161" s="237"/>
      <c r="H1161" s="237"/>
      <c r="I1161" s="238"/>
      <c r="J1161" s="235"/>
      <c r="K1161" s="235"/>
      <c r="L1161" s="235"/>
      <c r="M1161" s="235"/>
      <c r="N1161" s="239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</row>
    <row r="1162" spans="1:45" ht="16.5" customHeight="1">
      <c r="A1162" s="235"/>
      <c r="B1162" s="235"/>
      <c r="C1162" s="235"/>
      <c r="D1162" s="235"/>
      <c r="E1162" s="235"/>
      <c r="F1162" s="236"/>
      <c r="G1162" s="237"/>
      <c r="H1162" s="237"/>
      <c r="I1162" s="238"/>
      <c r="J1162" s="235"/>
      <c r="K1162" s="235"/>
      <c r="L1162" s="235"/>
      <c r="M1162" s="235"/>
      <c r="N1162" s="239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</row>
    <row r="1163" spans="1:45" ht="16.5" customHeight="1">
      <c r="A1163" s="235"/>
      <c r="B1163" s="235"/>
      <c r="C1163" s="235"/>
      <c r="D1163" s="235"/>
      <c r="E1163" s="235"/>
      <c r="F1163" s="236"/>
      <c r="G1163" s="237"/>
      <c r="H1163" s="237"/>
      <c r="I1163" s="238"/>
      <c r="J1163" s="235"/>
      <c r="K1163" s="235"/>
      <c r="L1163" s="235"/>
      <c r="M1163" s="235"/>
      <c r="N1163" s="239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</row>
    <row r="1164" spans="1:45" ht="16.5" customHeight="1">
      <c r="A1164" s="235"/>
      <c r="B1164" s="235"/>
      <c r="C1164" s="235"/>
      <c r="D1164" s="235"/>
      <c r="E1164" s="235"/>
      <c r="F1164" s="236"/>
      <c r="G1164" s="237"/>
      <c r="H1164" s="237"/>
      <c r="I1164" s="238"/>
      <c r="J1164" s="235"/>
      <c r="K1164" s="235"/>
      <c r="L1164" s="235"/>
      <c r="M1164" s="235"/>
      <c r="N1164" s="239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</row>
    <row r="1165" spans="1:45" ht="16.5" customHeight="1">
      <c r="A1165" s="235"/>
      <c r="B1165" s="235"/>
      <c r="C1165" s="235"/>
      <c r="D1165" s="235"/>
      <c r="E1165" s="235"/>
      <c r="F1165" s="236"/>
      <c r="G1165" s="237"/>
      <c r="H1165" s="237"/>
      <c r="I1165" s="238"/>
      <c r="J1165" s="235"/>
      <c r="K1165" s="235"/>
      <c r="L1165" s="235"/>
      <c r="M1165" s="235"/>
      <c r="N1165" s="239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</row>
    <row r="1166" spans="1:45" ht="16.5" customHeight="1">
      <c r="A1166" s="235"/>
      <c r="B1166" s="235"/>
      <c r="C1166" s="235"/>
      <c r="D1166" s="235"/>
      <c r="E1166" s="235"/>
      <c r="F1166" s="236"/>
      <c r="G1166" s="237"/>
      <c r="H1166" s="237"/>
      <c r="I1166" s="238"/>
      <c r="J1166" s="235"/>
      <c r="K1166" s="235"/>
      <c r="L1166" s="235"/>
      <c r="M1166" s="235"/>
      <c r="N1166" s="239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</row>
    <row r="1167" spans="1:45" ht="16.5" customHeight="1">
      <c r="A1167" s="235"/>
      <c r="B1167" s="235"/>
      <c r="C1167" s="235"/>
      <c r="D1167" s="235"/>
      <c r="E1167" s="235"/>
      <c r="F1167" s="236"/>
      <c r="G1167" s="237"/>
      <c r="H1167" s="237"/>
      <c r="I1167" s="238"/>
      <c r="J1167" s="235"/>
      <c r="K1167" s="235"/>
      <c r="L1167" s="235"/>
      <c r="M1167" s="235"/>
      <c r="N1167" s="239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</row>
    <row r="1168" spans="1:45" ht="16.5" customHeight="1">
      <c r="A1168" s="235"/>
      <c r="B1168" s="235"/>
      <c r="C1168" s="235"/>
      <c r="D1168" s="235"/>
      <c r="E1168" s="235"/>
      <c r="F1168" s="236"/>
      <c r="G1168" s="237"/>
      <c r="H1168" s="237"/>
      <c r="I1168" s="238"/>
      <c r="J1168" s="235"/>
      <c r="K1168" s="235"/>
      <c r="L1168" s="235"/>
      <c r="M1168" s="235"/>
      <c r="N1168" s="239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</row>
    <row r="1169" spans="1:45" ht="16.5" customHeight="1">
      <c r="A1169" s="235"/>
      <c r="B1169" s="235"/>
      <c r="C1169" s="235"/>
      <c r="D1169" s="235"/>
      <c r="E1169" s="235"/>
      <c r="F1169" s="236"/>
      <c r="G1169" s="237"/>
      <c r="H1169" s="237"/>
      <c r="I1169" s="238"/>
      <c r="J1169" s="235"/>
      <c r="K1169" s="235"/>
      <c r="L1169" s="235"/>
      <c r="M1169" s="235"/>
      <c r="N1169" s="239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</row>
    <row r="1170" spans="1:45" ht="16.5" customHeight="1">
      <c r="A1170" s="235"/>
      <c r="B1170" s="235"/>
      <c r="C1170" s="235"/>
      <c r="D1170" s="235"/>
      <c r="E1170" s="235"/>
      <c r="F1170" s="236"/>
      <c r="G1170" s="237"/>
      <c r="H1170" s="237"/>
      <c r="I1170" s="238"/>
      <c r="J1170" s="235"/>
      <c r="K1170" s="235"/>
      <c r="L1170" s="235"/>
      <c r="M1170" s="235"/>
      <c r="N1170" s="239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</row>
    <row r="1171" spans="1:45" ht="16.5" customHeight="1">
      <c r="A1171" s="235"/>
      <c r="B1171" s="235"/>
      <c r="C1171" s="235"/>
      <c r="D1171" s="235"/>
      <c r="E1171" s="235"/>
      <c r="F1171" s="236"/>
      <c r="G1171" s="237"/>
      <c r="H1171" s="237"/>
      <c r="I1171" s="238"/>
      <c r="J1171" s="235"/>
      <c r="K1171" s="235"/>
      <c r="L1171" s="235"/>
      <c r="M1171" s="235"/>
      <c r="N1171" s="239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</row>
    <row r="1172" spans="1:45" ht="16.5" customHeight="1">
      <c r="A1172" s="235"/>
      <c r="B1172" s="235"/>
      <c r="C1172" s="235"/>
      <c r="D1172" s="235"/>
      <c r="E1172" s="235"/>
      <c r="F1172" s="236"/>
      <c r="G1172" s="237"/>
      <c r="H1172" s="237"/>
      <c r="I1172" s="238"/>
      <c r="J1172" s="235"/>
      <c r="K1172" s="235"/>
      <c r="L1172" s="235"/>
      <c r="M1172" s="235"/>
      <c r="N1172" s="239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</row>
    <row r="1173" spans="1:45" ht="16.5" customHeight="1">
      <c r="A1173" s="235"/>
      <c r="B1173" s="235"/>
      <c r="C1173" s="235"/>
      <c r="D1173" s="235"/>
      <c r="E1173" s="235"/>
      <c r="F1173" s="236"/>
      <c r="G1173" s="237"/>
      <c r="H1173" s="237"/>
      <c r="I1173" s="238"/>
      <c r="J1173" s="235"/>
      <c r="K1173" s="235"/>
      <c r="L1173" s="235"/>
      <c r="M1173" s="235"/>
      <c r="N1173" s="239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</row>
    <row r="1174" spans="1:45" ht="16.5" customHeight="1">
      <c r="A1174" s="235"/>
      <c r="B1174" s="235"/>
      <c r="C1174" s="235"/>
      <c r="D1174" s="235"/>
      <c r="E1174" s="235"/>
      <c r="F1174" s="236"/>
      <c r="G1174" s="237"/>
      <c r="H1174" s="237"/>
      <c r="I1174" s="238"/>
      <c r="J1174" s="235"/>
      <c r="K1174" s="235"/>
      <c r="L1174" s="235"/>
      <c r="M1174" s="235"/>
      <c r="N1174" s="239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</row>
    <row r="1175" spans="1:45" ht="16.5" customHeight="1">
      <c r="A1175" s="235"/>
      <c r="B1175" s="235"/>
      <c r="C1175" s="235"/>
      <c r="D1175" s="235"/>
      <c r="E1175" s="235"/>
      <c r="F1175" s="236"/>
      <c r="G1175" s="237"/>
      <c r="H1175" s="237"/>
      <c r="I1175" s="238"/>
      <c r="J1175" s="235"/>
      <c r="K1175" s="235"/>
      <c r="L1175" s="235"/>
      <c r="M1175" s="235"/>
      <c r="N1175" s="239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</row>
    <row r="1176" spans="1:45" ht="16.5" customHeight="1">
      <c r="A1176" s="235"/>
      <c r="B1176" s="235"/>
      <c r="C1176" s="235"/>
      <c r="D1176" s="235"/>
      <c r="E1176" s="235"/>
      <c r="F1176" s="236"/>
      <c r="G1176" s="237"/>
      <c r="H1176" s="237"/>
      <c r="I1176" s="238"/>
      <c r="J1176" s="235"/>
      <c r="K1176" s="235"/>
      <c r="L1176" s="235"/>
      <c r="M1176" s="235"/>
      <c r="N1176" s="239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</row>
    <row r="1177" spans="1:45" ht="16.5" customHeight="1">
      <c r="A1177" s="235"/>
      <c r="B1177" s="235"/>
      <c r="C1177" s="235"/>
      <c r="D1177" s="235"/>
      <c r="E1177" s="235"/>
      <c r="F1177" s="236"/>
      <c r="G1177" s="237"/>
      <c r="H1177" s="237"/>
      <c r="I1177" s="238"/>
      <c r="J1177" s="235"/>
      <c r="K1177" s="235"/>
      <c r="L1177" s="235"/>
      <c r="M1177" s="235"/>
      <c r="N1177" s="239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</row>
    <row r="1178" spans="1:45" ht="16.5" customHeight="1">
      <c r="A1178" s="235"/>
      <c r="B1178" s="235"/>
      <c r="C1178" s="235"/>
      <c r="D1178" s="235"/>
      <c r="E1178" s="235"/>
      <c r="F1178" s="236"/>
      <c r="G1178" s="237"/>
      <c r="H1178" s="237"/>
      <c r="I1178" s="238"/>
      <c r="J1178" s="235"/>
      <c r="K1178" s="235"/>
      <c r="L1178" s="235"/>
      <c r="M1178" s="235"/>
      <c r="N1178" s="239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</row>
    <row r="1179" spans="1:45" ht="16.5" customHeight="1">
      <c r="A1179" s="235"/>
      <c r="B1179" s="235"/>
      <c r="C1179" s="235"/>
      <c r="D1179" s="235"/>
      <c r="E1179" s="235"/>
      <c r="F1179" s="236"/>
      <c r="G1179" s="237"/>
      <c r="H1179" s="237"/>
      <c r="I1179" s="238"/>
      <c r="J1179" s="235"/>
      <c r="K1179" s="235"/>
      <c r="L1179" s="235"/>
      <c r="M1179" s="235"/>
      <c r="N1179" s="239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</row>
    <row r="1180" spans="1:45" ht="16.5" customHeight="1">
      <c r="A1180" s="235"/>
      <c r="B1180" s="235"/>
      <c r="C1180" s="235"/>
      <c r="D1180" s="235"/>
      <c r="E1180" s="235"/>
      <c r="F1180" s="236"/>
      <c r="G1180" s="237"/>
      <c r="H1180" s="237"/>
      <c r="I1180" s="238"/>
      <c r="J1180" s="235"/>
      <c r="K1180" s="235"/>
      <c r="L1180" s="235"/>
      <c r="M1180" s="235"/>
      <c r="N1180" s="239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</row>
    <row r="1181" spans="1:45" ht="16.5" customHeight="1">
      <c r="A1181" s="235"/>
      <c r="B1181" s="235"/>
      <c r="C1181" s="235"/>
      <c r="D1181" s="235"/>
      <c r="E1181" s="235"/>
      <c r="F1181" s="236"/>
      <c r="G1181" s="237"/>
      <c r="H1181" s="237"/>
      <c r="I1181" s="238"/>
      <c r="J1181" s="235"/>
      <c r="K1181" s="235"/>
      <c r="L1181" s="235"/>
      <c r="M1181" s="235"/>
      <c r="N1181" s="239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</row>
    <row r="1182" spans="1:45" ht="16.5" customHeight="1">
      <c r="A1182" s="235"/>
      <c r="B1182" s="235"/>
      <c r="C1182" s="235"/>
      <c r="D1182" s="235"/>
      <c r="E1182" s="235"/>
      <c r="F1182" s="236"/>
      <c r="G1182" s="237"/>
      <c r="H1182" s="237"/>
      <c r="I1182" s="238"/>
      <c r="J1182" s="235"/>
      <c r="K1182" s="235"/>
      <c r="L1182" s="235"/>
      <c r="M1182" s="235"/>
      <c r="N1182" s="239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</row>
    <row r="1183" spans="1:45" ht="16.5" customHeight="1">
      <c r="A1183" s="235"/>
      <c r="B1183" s="235"/>
      <c r="C1183" s="235"/>
      <c r="D1183" s="235"/>
      <c r="E1183" s="235"/>
      <c r="F1183" s="236"/>
      <c r="G1183" s="237"/>
      <c r="H1183" s="237"/>
      <c r="I1183" s="238"/>
      <c r="J1183" s="235"/>
      <c r="K1183" s="235"/>
      <c r="L1183" s="235"/>
      <c r="M1183" s="235"/>
      <c r="N1183" s="239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</row>
    <row r="1184" spans="1:45" ht="16.5" customHeight="1">
      <c r="A1184" s="235"/>
      <c r="B1184" s="235"/>
      <c r="C1184" s="235"/>
      <c r="D1184" s="235"/>
      <c r="E1184" s="235"/>
      <c r="F1184" s="236"/>
      <c r="G1184" s="237"/>
      <c r="H1184" s="237"/>
      <c r="I1184" s="238"/>
      <c r="J1184" s="235"/>
      <c r="K1184" s="235"/>
      <c r="L1184" s="235"/>
      <c r="M1184" s="235"/>
      <c r="N1184" s="239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</row>
    <row r="1185" spans="1:45" ht="16.5" customHeight="1">
      <c r="A1185" s="235"/>
      <c r="B1185" s="235"/>
      <c r="C1185" s="235"/>
      <c r="D1185" s="235"/>
      <c r="E1185" s="235"/>
      <c r="F1185" s="236"/>
      <c r="G1185" s="237"/>
      <c r="H1185" s="237"/>
      <c r="I1185" s="238"/>
      <c r="J1185" s="235"/>
      <c r="K1185" s="235"/>
      <c r="L1185" s="235"/>
      <c r="M1185" s="235"/>
      <c r="N1185" s="239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</row>
    <row r="1186" spans="1:45" ht="16.5" customHeight="1">
      <c r="A1186" s="235"/>
      <c r="B1186" s="235"/>
      <c r="C1186" s="235"/>
      <c r="D1186" s="235"/>
      <c r="E1186" s="235"/>
      <c r="F1186" s="236"/>
      <c r="G1186" s="237"/>
      <c r="H1186" s="237"/>
      <c r="I1186" s="238"/>
      <c r="J1186" s="235"/>
      <c r="K1186" s="235"/>
      <c r="L1186" s="235"/>
      <c r="M1186" s="235"/>
      <c r="N1186" s="239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</row>
    <row r="1187" spans="1:45" ht="16.5" customHeight="1">
      <c r="A1187" s="235"/>
      <c r="B1187" s="235"/>
      <c r="C1187" s="235"/>
      <c r="D1187" s="235"/>
      <c r="E1187" s="235"/>
      <c r="F1187" s="236"/>
      <c r="G1187" s="237"/>
      <c r="H1187" s="237"/>
      <c r="I1187" s="238"/>
      <c r="J1187" s="235"/>
      <c r="K1187" s="235"/>
      <c r="L1187" s="235"/>
      <c r="M1187" s="235"/>
      <c r="N1187" s="239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</row>
    <row r="1188" spans="1:45" ht="16.5" customHeight="1">
      <c r="A1188" s="235"/>
      <c r="B1188" s="235"/>
      <c r="C1188" s="235"/>
      <c r="D1188" s="235"/>
      <c r="E1188" s="235"/>
      <c r="F1188" s="236"/>
      <c r="G1188" s="237"/>
      <c r="H1188" s="237"/>
      <c r="I1188" s="238"/>
      <c r="J1188" s="235"/>
      <c r="K1188" s="235"/>
      <c r="L1188" s="235"/>
      <c r="M1188" s="235"/>
      <c r="N1188" s="239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</row>
    <row r="1189" spans="1:45" ht="16.5" customHeight="1">
      <c r="A1189" s="235"/>
      <c r="B1189" s="235"/>
      <c r="C1189" s="235"/>
      <c r="D1189" s="235"/>
      <c r="E1189" s="235"/>
      <c r="F1189" s="236"/>
      <c r="G1189" s="237"/>
      <c r="H1189" s="237"/>
      <c r="I1189" s="238"/>
      <c r="J1189" s="235"/>
      <c r="K1189" s="235"/>
      <c r="L1189" s="235"/>
      <c r="M1189" s="235"/>
      <c r="N1189" s="239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</row>
    <row r="1190" spans="1:45" ht="16.5" customHeight="1">
      <c r="A1190" s="235"/>
      <c r="B1190" s="235"/>
      <c r="C1190" s="235"/>
      <c r="D1190" s="235"/>
      <c r="E1190" s="235"/>
      <c r="F1190" s="236"/>
      <c r="G1190" s="237"/>
      <c r="H1190" s="237"/>
      <c r="I1190" s="238"/>
      <c r="J1190" s="235"/>
      <c r="K1190" s="235"/>
      <c r="L1190" s="235"/>
      <c r="M1190" s="235"/>
      <c r="N1190" s="239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</row>
    <row r="1191" spans="1:45" ht="16.5" customHeight="1">
      <c r="A1191" s="235"/>
      <c r="B1191" s="235"/>
      <c r="C1191" s="235"/>
      <c r="D1191" s="235"/>
      <c r="E1191" s="235"/>
      <c r="F1191" s="236"/>
      <c r="G1191" s="237"/>
      <c r="H1191" s="237"/>
      <c r="I1191" s="238"/>
      <c r="J1191" s="235"/>
      <c r="K1191" s="235"/>
      <c r="L1191" s="235"/>
      <c r="M1191" s="235"/>
      <c r="N1191" s="239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</row>
    <row r="1192" spans="1:45" ht="16.5" customHeight="1">
      <c r="A1192" s="235"/>
      <c r="B1192" s="235"/>
      <c r="C1192" s="235"/>
      <c r="D1192" s="235"/>
      <c r="E1192" s="235"/>
      <c r="F1192" s="236"/>
      <c r="G1192" s="237"/>
      <c r="H1192" s="237"/>
      <c r="I1192" s="238"/>
      <c r="J1192" s="235"/>
      <c r="K1192" s="235"/>
      <c r="L1192" s="235"/>
      <c r="M1192" s="235"/>
      <c r="N1192" s="239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</row>
    <row r="1193" spans="1:45" ht="16.5" customHeight="1">
      <c r="A1193" s="235"/>
      <c r="B1193" s="235"/>
      <c r="C1193" s="235"/>
      <c r="D1193" s="235"/>
      <c r="E1193" s="235"/>
      <c r="F1193" s="236"/>
      <c r="G1193" s="237"/>
      <c r="H1193" s="237"/>
      <c r="I1193" s="238"/>
      <c r="J1193" s="235"/>
      <c r="K1193" s="235"/>
      <c r="L1193" s="235"/>
      <c r="M1193" s="235"/>
      <c r="N1193" s="239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</row>
    <row r="1194" spans="1:45" ht="16.5" customHeight="1">
      <c r="A1194" s="235"/>
      <c r="B1194" s="235"/>
      <c r="C1194" s="235"/>
      <c r="D1194" s="235"/>
      <c r="E1194" s="235"/>
      <c r="F1194" s="236"/>
      <c r="G1194" s="237"/>
      <c r="H1194" s="237"/>
      <c r="I1194" s="238"/>
      <c r="J1194" s="235"/>
      <c r="K1194" s="235"/>
      <c r="L1194" s="235"/>
      <c r="M1194" s="235"/>
      <c r="N1194" s="239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</row>
    <row r="1195" spans="1:45" ht="16.5" customHeight="1">
      <c r="A1195" s="235"/>
      <c r="B1195" s="235"/>
      <c r="C1195" s="235"/>
      <c r="D1195" s="235"/>
      <c r="E1195" s="235"/>
      <c r="F1195" s="236"/>
      <c r="G1195" s="237"/>
      <c r="H1195" s="237"/>
      <c r="I1195" s="238"/>
      <c r="J1195" s="235"/>
      <c r="K1195" s="235"/>
      <c r="L1195" s="235"/>
      <c r="M1195" s="235"/>
      <c r="N1195" s="239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</row>
    <row r="1196" spans="1:45" ht="16.5" customHeight="1">
      <c r="A1196" s="235"/>
      <c r="B1196" s="235"/>
      <c r="C1196" s="235"/>
      <c r="D1196" s="235"/>
      <c r="E1196" s="235"/>
      <c r="F1196" s="236"/>
      <c r="G1196" s="237"/>
      <c r="H1196" s="237"/>
      <c r="I1196" s="238"/>
      <c r="J1196" s="235"/>
      <c r="K1196" s="235"/>
      <c r="L1196" s="235"/>
      <c r="M1196" s="235"/>
      <c r="N1196" s="239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</row>
    <row r="1197" spans="1:45" ht="16.5" customHeight="1">
      <c r="A1197" s="235"/>
      <c r="B1197" s="235"/>
      <c r="C1197" s="235"/>
      <c r="D1197" s="235"/>
      <c r="E1197" s="235"/>
      <c r="F1197" s="236"/>
      <c r="G1197" s="237"/>
      <c r="H1197" s="237"/>
      <c r="I1197" s="238"/>
      <c r="J1197" s="235"/>
      <c r="K1197" s="235"/>
      <c r="L1197" s="235"/>
      <c r="M1197" s="235"/>
      <c r="N1197" s="239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</row>
    <row r="1198" spans="1:45" ht="16.5" customHeight="1">
      <c r="A1198" s="235"/>
      <c r="B1198" s="235"/>
      <c r="C1198" s="235"/>
      <c r="D1198" s="235"/>
      <c r="E1198" s="235"/>
      <c r="F1198" s="236"/>
      <c r="G1198" s="237"/>
      <c r="H1198" s="237"/>
      <c r="I1198" s="238"/>
      <c r="J1198" s="235"/>
      <c r="K1198" s="235"/>
      <c r="L1198" s="235"/>
      <c r="M1198" s="235"/>
      <c r="N1198" s="239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</row>
    <row r="1199" spans="1:45" ht="16.5" customHeight="1">
      <c r="A1199" s="235"/>
      <c r="B1199" s="235"/>
      <c r="C1199" s="235"/>
      <c r="D1199" s="235"/>
      <c r="E1199" s="235"/>
      <c r="F1199" s="236"/>
      <c r="G1199" s="237"/>
      <c r="H1199" s="237"/>
      <c r="I1199" s="238"/>
      <c r="J1199" s="235"/>
      <c r="K1199" s="235"/>
      <c r="L1199" s="235"/>
      <c r="M1199" s="235"/>
      <c r="N1199" s="239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</row>
    <row r="1200" spans="1:45" ht="16.5" customHeight="1">
      <c r="A1200" s="235"/>
      <c r="B1200" s="235"/>
      <c r="C1200" s="235"/>
      <c r="D1200" s="235"/>
      <c r="E1200" s="235"/>
      <c r="F1200" s="236"/>
      <c r="G1200" s="237"/>
      <c r="H1200" s="237"/>
      <c r="I1200" s="238"/>
      <c r="J1200" s="235"/>
      <c r="K1200" s="235"/>
      <c r="L1200" s="235"/>
      <c r="M1200" s="235"/>
      <c r="N1200" s="239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</row>
    <row r="1201" spans="1:45" ht="16.5" customHeight="1">
      <c r="A1201" s="235"/>
      <c r="B1201" s="235"/>
      <c r="C1201" s="235"/>
      <c r="D1201" s="235"/>
      <c r="E1201" s="235"/>
      <c r="F1201" s="236"/>
      <c r="G1201" s="237"/>
      <c r="H1201" s="237"/>
      <c r="I1201" s="238"/>
      <c r="J1201" s="235"/>
      <c r="K1201" s="235"/>
      <c r="L1201" s="235"/>
      <c r="M1201" s="235"/>
      <c r="N1201" s="239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</row>
    <row r="1202" spans="1:45" ht="16.5" customHeight="1">
      <c r="A1202" s="235"/>
      <c r="B1202" s="235"/>
      <c r="C1202" s="235"/>
      <c r="D1202" s="235"/>
      <c r="E1202" s="235"/>
      <c r="F1202" s="236"/>
      <c r="G1202" s="237"/>
      <c r="H1202" s="237"/>
      <c r="I1202" s="238"/>
      <c r="J1202" s="235"/>
      <c r="K1202" s="235"/>
      <c r="L1202" s="235"/>
      <c r="M1202" s="235"/>
      <c r="N1202" s="239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</row>
    <row r="1203" spans="1:45" ht="16.5" customHeight="1">
      <c r="A1203" s="235"/>
      <c r="B1203" s="235"/>
      <c r="C1203" s="235"/>
      <c r="D1203" s="235"/>
      <c r="E1203" s="235"/>
      <c r="F1203" s="236"/>
      <c r="G1203" s="237"/>
      <c r="H1203" s="237"/>
      <c r="I1203" s="238"/>
      <c r="J1203" s="235"/>
      <c r="K1203" s="235"/>
      <c r="L1203" s="235"/>
      <c r="M1203" s="235"/>
      <c r="N1203" s="239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</row>
    <row r="1204" spans="1:45" ht="16.5" customHeight="1">
      <c r="A1204" s="235"/>
      <c r="B1204" s="235"/>
      <c r="C1204" s="235"/>
      <c r="D1204" s="235"/>
      <c r="E1204" s="235"/>
      <c r="F1204" s="236"/>
      <c r="G1204" s="237"/>
      <c r="H1204" s="237"/>
      <c r="I1204" s="238"/>
      <c r="J1204" s="235"/>
      <c r="K1204" s="235"/>
      <c r="L1204" s="235"/>
      <c r="M1204" s="235"/>
      <c r="N1204" s="239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</row>
    <row r="1205" spans="1:45" ht="16.5" customHeight="1">
      <c r="A1205" s="235"/>
      <c r="B1205" s="235"/>
      <c r="C1205" s="235"/>
      <c r="D1205" s="235"/>
      <c r="E1205" s="235"/>
      <c r="F1205" s="236"/>
      <c r="G1205" s="237"/>
      <c r="H1205" s="237"/>
      <c r="I1205" s="238"/>
      <c r="J1205" s="235"/>
      <c r="K1205" s="235"/>
      <c r="L1205" s="235"/>
      <c r="M1205" s="235"/>
      <c r="N1205" s="239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</row>
    <row r="1206" spans="1:45" ht="16.5" customHeight="1">
      <c r="A1206" s="235"/>
      <c r="B1206" s="235"/>
      <c r="C1206" s="235"/>
      <c r="D1206" s="235"/>
      <c r="E1206" s="235"/>
      <c r="F1206" s="236"/>
      <c r="G1206" s="237"/>
      <c r="H1206" s="237"/>
      <c r="I1206" s="238"/>
      <c r="J1206" s="235"/>
      <c r="K1206" s="235"/>
      <c r="L1206" s="235"/>
      <c r="M1206" s="235"/>
      <c r="N1206" s="239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</row>
    <row r="1207" spans="1:45" ht="16.5" customHeight="1">
      <c r="A1207" s="235"/>
      <c r="B1207" s="235"/>
      <c r="C1207" s="235"/>
      <c r="D1207" s="235"/>
      <c r="E1207" s="235"/>
      <c r="F1207" s="236"/>
      <c r="G1207" s="237"/>
      <c r="H1207" s="237"/>
      <c r="I1207" s="238"/>
      <c r="J1207" s="235"/>
      <c r="K1207" s="235"/>
      <c r="L1207" s="235"/>
      <c r="M1207" s="235"/>
      <c r="N1207" s="239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</row>
    <row r="1208" spans="1:45" ht="16.5" customHeight="1">
      <c r="A1208" s="235"/>
      <c r="B1208" s="235"/>
      <c r="C1208" s="235"/>
      <c r="D1208" s="235"/>
      <c r="E1208" s="235"/>
      <c r="F1208" s="236"/>
      <c r="G1208" s="237"/>
      <c r="H1208" s="237"/>
      <c r="I1208" s="238"/>
      <c r="J1208" s="235"/>
      <c r="K1208" s="235"/>
      <c r="L1208" s="235"/>
      <c r="M1208" s="235"/>
      <c r="N1208" s="239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</row>
    <row r="1209" spans="1:45" ht="16.5" customHeight="1">
      <c r="A1209" s="235"/>
      <c r="B1209" s="235"/>
      <c r="C1209" s="235"/>
      <c r="D1209" s="235"/>
      <c r="E1209" s="235"/>
      <c r="F1209" s="236"/>
      <c r="G1209" s="237"/>
      <c r="H1209" s="237"/>
      <c r="I1209" s="238"/>
      <c r="J1209" s="235"/>
      <c r="K1209" s="235"/>
      <c r="L1209" s="235"/>
      <c r="M1209" s="235"/>
      <c r="N1209" s="239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</row>
    <row r="1210" spans="1:45" ht="16.5" customHeight="1">
      <c r="A1210" s="235"/>
      <c r="B1210" s="235"/>
      <c r="C1210" s="235"/>
      <c r="D1210" s="235"/>
      <c r="E1210" s="235"/>
      <c r="F1210" s="236"/>
      <c r="G1210" s="237"/>
      <c r="H1210" s="237"/>
      <c r="I1210" s="238"/>
      <c r="J1210" s="235"/>
      <c r="K1210" s="235"/>
      <c r="L1210" s="235"/>
      <c r="M1210" s="235"/>
      <c r="N1210" s="239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</row>
    <row r="1211" spans="1:45" ht="16.5" customHeight="1">
      <c r="A1211" s="235"/>
      <c r="B1211" s="235"/>
      <c r="C1211" s="235"/>
      <c r="D1211" s="235"/>
      <c r="E1211" s="235"/>
      <c r="F1211" s="236"/>
      <c r="G1211" s="237"/>
      <c r="H1211" s="237"/>
      <c r="I1211" s="238"/>
      <c r="J1211" s="235"/>
      <c r="K1211" s="235"/>
      <c r="L1211" s="235"/>
      <c r="M1211" s="235"/>
      <c r="N1211" s="239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</row>
    <row r="1212" spans="1:45" ht="16.5" customHeight="1">
      <c r="A1212" s="235"/>
      <c r="B1212" s="235"/>
      <c r="C1212" s="235"/>
      <c r="D1212" s="235"/>
      <c r="E1212" s="235"/>
      <c r="F1212" s="236"/>
      <c r="G1212" s="237"/>
      <c r="H1212" s="237"/>
      <c r="I1212" s="238"/>
      <c r="J1212" s="235"/>
      <c r="K1212" s="235"/>
      <c r="L1212" s="235"/>
      <c r="M1212" s="235"/>
      <c r="N1212" s="239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</row>
    <row r="1213" spans="1:45" ht="16.5" customHeight="1">
      <c r="A1213" s="235"/>
      <c r="B1213" s="235"/>
      <c r="C1213" s="235"/>
      <c r="D1213" s="235"/>
      <c r="E1213" s="235"/>
      <c r="F1213" s="236"/>
      <c r="G1213" s="237"/>
      <c r="H1213" s="237"/>
      <c r="I1213" s="238"/>
      <c r="J1213" s="235"/>
      <c r="K1213" s="235"/>
      <c r="L1213" s="235"/>
      <c r="M1213" s="235"/>
      <c r="N1213" s="239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</row>
    <row r="1214" spans="1:45" ht="16.5" customHeight="1">
      <c r="A1214" s="235"/>
      <c r="B1214" s="235"/>
      <c r="C1214" s="235"/>
      <c r="D1214" s="235"/>
      <c r="E1214" s="235"/>
      <c r="F1214" s="236"/>
      <c r="G1214" s="237"/>
      <c r="H1214" s="237"/>
      <c r="I1214" s="238"/>
      <c r="J1214" s="235"/>
      <c r="K1214" s="235"/>
      <c r="L1214" s="235"/>
      <c r="M1214" s="235"/>
      <c r="N1214" s="239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</row>
    <row r="1215" spans="1:45" ht="16.5" customHeight="1">
      <c r="A1215" s="235"/>
      <c r="B1215" s="235"/>
      <c r="C1215" s="235"/>
      <c r="D1215" s="235"/>
      <c r="E1215" s="235"/>
      <c r="F1215" s="236"/>
      <c r="G1215" s="237"/>
      <c r="H1215" s="237"/>
      <c r="I1215" s="238"/>
      <c r="J1215" s="235"/>
      <c r="K1215" s="235"/>
      <c r="L1215" s="235"/>
      <c r="M1215" s="235"/>
      <c r="N1215" s="239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</row>
    <row r="1216" spans="1:45" ht="16.5" customHeight="1">
      <c r="A1216" s="235"/>
      <c r="B1216" s="235"/>
      <c r="C1216" s="235"/>
      <c r="D1216" s="235"/>
      <c r="E1216" s="235"/>
      <c r="F1216" s="236"/>
      <c r="G1216" s="237"/>
      <c r="H1216" s="237"/>
      <c r="I1216" s="238"/>
      <c r="J1216" s="235"/>
      <c r="K1216" s="235"/>
      <c r="L1216" s="235"/>
      <c r="M1216" s="235"/>
      <c r="N1216" s="239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</row>
    <row r="1217" spans="1:45" ht="16.5" customHeight="1">
      <c r="A1217" s="235"/>
      <c r="B1217" s="235"/>
      <c r="C1217" s="235"/>
      <c r="D1217" s="235"/>
      <c r="E1217" s="235"/>
      <c r="F1217" s="236"/>
      <c r="G1217" s="237"/>
      <c r="H1217" s="237"/>
      <c r="I1217" s="238"/>
      <c r="J1217" s="235"/>
      <c r="K1217" s="235"/>
      <c r="L1217" s="235"/>
      <c r="M1217" s="235"/>
      <c r="N1217" s="239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</row>
    <row r="1218" spans="1:45" ht="16.5" customHeight="1">
      <c r="A1218" s="235"/>
      <c r="B1218" s="235"/>
      <c r="C1218" s="235"/>
      <c r="D1218" s="235"/>
      <c r="E1218" s="235"/>
      <c r="F1218" s="236"/>
      <c r="G1218" s="237"/>
      <c r="H1218" s="237"/>
      <c r="I1218" s="238"/>
      <c r="J1218" s="235"/>
      <c r="K1218" s="235"/>
      <c r="L1218" s="235"/>
      <c r="M1218" s="235"/>
      <c r="N1218" s="239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</row>
    <row r="1219" spans="1:45" ht="16.5" customHeight="1">
      <c r="A1219" s="235"/>
      <c r="B1219" s="235"/>
      <c r="C1219" s="235"/>
      <c r="D1219" s="235"/>
      <c r="E1219" s="235"/>
      <c r="F1219" s="236"/>
      <c r="G1219" s="237"/>
      <c r="H1219" s="237"/>
      <c r="I1219" s="238"/>
      <c r="J1219" s="235"/>
      <c r="K1219" s="235"/>
      <c r="L1219" s="235"/>
      <c r="M1219" s="235"/>
      <c r="N1219" s="239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</row>
    <row r="1220" spans="1:45" ht="16.5" customHeight="1">
      <c r="A1220" s="235"/>
      <c r="B1220" s="235"/>
      <c r="C1220" s="235"/>
      <c r="D1220" s="235"/>
      <c r="E1220" s="235"/>
      <c r="F1220" s="236"/>
      <c r="G1220" s="237"/>
      <c r="H1220" s="237"/>
      <c r="I1220" s="238"/>
      <c r="J1220" s="235"/>
      <c r="K1220" s="235"/>
      <c r="L1220" s="235"/>
      <c r="M1220" s="235"/>
      <c r="N1220" s="239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</row>
    <row r="1221" spans="1:45" ht="16.5" customHeight="1">
      <c r="A1221" s="235"/>
      <c r="B1221" s="235"/>
      <c r="C1221" s="235"/>
      <c r="D1221" s="235"/>
      <c r="E1221" s="235"/>
      <c r="F1221" s="236"/>
      <c r="G1221" s="237"/>
      <c r="H1221" s="237"/>
      <c r="I1221" s="238"/>
      <c r="J1221" s="235"/>
      <c r="K1221" s="235"/>
      <c r="L1221" s="235"/>
      <c r="M1221" s="235"/>
      <c r="N1221" s="239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</row>
    <row r="1222" spans="1:45" ht="16.5" customHeight="1">
      <c r="A1222" s="235"/>
      <c r="B1222" s="235"/>
      <c r="C1222" s="235"/>
      <c r="D1222" s="235"/>
      <c r="E1222" s="235"/>
      <c r="F1222" s="236"/>
      <c r="G1222" s="237"/>
      <c r="H1222" s="237"/>
      <c r="I1222" s="238"/>
      <c r="J1222" s="235"/>
      <c r="K1222" s="235"/>
      <c r="L1222" s="235"/>
      <c r="M1222" s="235"/>
      <c r="N1222" s="239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</row>
    <row r="1223" spans="1:45" ht="16.5" customHeight="1">
      <c r="A1223" s="235"/>
      <c r="B1223" s="235"/>
      <c r="C1223" s="235"/>
      <c r="D1223" s="235"/>
      <c r="E1223" s="235"/>
      <c r="F1223" s="236"/>
      <c r="G1223" s="237"/>
      <c r="H1223" s="237"/>
      <c r="I1223" s="238"/>
      <c r="J1223" s="235"/>
      <c r="K1223" s="235"/>
      <c r="L1223" s="235"/>
      <c r="M1223" s="235"/>
      <c r="N1223" s="239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</row>
    <row r="1224" spans="1:45" ht="16.5" customHeight="1">
      <c r="A1224" s="235"/>
      <c r="B1224" s="235"/>
      <c r="C1224" s="235"/>
      <c r="D1224" s="235"/>
      <c r="E1224" s="235"/>
      <c r="F1224" s="236"/>
      <c r="G1224" s="237"/>
      <c r="H1224" s="237"/>
      <c r="I1224" s="238"/>
      <c r="J1224" s="235"/>
      <c r="K1224" s="235"/>
      <c r="L1224" s="235"/>
      <c r="M1224" s="235"/>
      <c r="N1224" s="239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</row>
    <row r="1225" spans="1:45" ht="16.5" customHeight="1">
      <c r="A1225" s="235"/>
      <c r="B1225" s="235"/>
      <c r="C1225" s="235"/>
      <c r="D1225" s="235"/>
      <c r="E1225" s="235"/>
      <c r="F1225" s="236"/>
      <c r="G1225" s="237"/>
      <c r="H1225" s="237"/>
      <c r="I1225" s="238"/>
      <c r="J1225" s="235"/>
      <c r="K1225" s="235"/>
      <c r="L1225" s="235"/>
      <c r="M1225" s="235"/>
      <c r="N1225" s="239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</row>
    <row r="1226" spans="1:45" ht="16.5" customHeight="1">
      <c r="A1226" s="235"/>
      <c r="B1226" s="235"/>
      <c r="C1226" s="235"/>
      <c r="D1226" s="235"/>
      <c r="E1226" s="235"/>
      <c r="F1226" s="236"/>
      <c r="G1226" s="237"/>
      <c r="H1226" s="237"/>
      <c r="I1226" s="238"/>
      <c r="J1226" s="235"/>
      <c r="K1226" s="235"/>
      <c r="L1226" s="235"/>
      <c r="M1226" s="235"/>
      <c r="N1226" s="239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</row>
    <row r="1227" spans="1:45" ht="16.5" customHeight="1">
      <c r="A1227" s="235"/>
      <c r="B1227" s="235"/>
      <c r="C1227" s="235"/>
      <c r="D1227" s="235"/>
      <c r="E1227" s="235"/>
      <c r="F1227" s="236"/>
      <c r="G1227" s="237"/>
      <c r="H1227" s="237"/>
      <c r="I1227" s="238"/>
      <c r="J1227" s="235"/>
      <c r="K1227" s="235"/>
      <c r="L1227" s="235"/>
      <c r="M1227" s="235"/>
      <c r="N1227" s="239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</row>
    <row r="1228" spans="1:45" ht="16.5" customHeight="1">
      <c r="A1228" s="235"/>
      <c r="B1228" s="235"/>
      <c r="C1228" s="235"/>
      <c r="D1228" s="235"/>
      <c r="E1228" s="235"/>
      <c r="F1228" s="236"/>
      <c r="G1228" s="237"/>
      <c r="H1228" s="237"/>
      <c r="I1228" s="238"/>
      <c r="J1228" s="235"/>
      <c r="K1228" s="235"/>
      <c r="L1228" s="235"/>
      <c r="M1228" s="235"/>
      <c r="N1228" s="239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</row>
    <row r="1229" spans="1:45" ht="16.5" customHeight="1">
      <c r="A1229" s="235"/>
      <c r="B1229" s="235"/>
      <c r="C1229" s="235"/>
      <c r="D1229" s="235"/>
      <c r="E1229" s="235"/>
      <c r="F1229" s="236"/>
      <c r="G1229" s="237"/>
      <c r="H1229" s="237"/>
      <c r="I1229" s="238"/>
      <c r="J1229" s="235"/>
      <c r="K1229" s="235"/>
      <c r="L1229" s="235"/>
      <c r="M1229" s="235"/>
      <c r="N1229" s="239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</row>
    <row r="1230" spans="1:45" ht="16.5" customHeight="1">
      <c r="A1230" s="235"/>
      <c r="B1230" s="235"/>
      <c r="C1230" s="235"/>
      <c r="D1230" s="235"/>
      <c r="E1230" s="235"/>
      <c r="F1230" s="236"/>
      <c r="G1230" s="237"/>
      <c r="H1230" s="237"/>
      <c r="I1230" s="238"/>
      <c r="J1230" s="235"/>
      <c r="K1230" s="235"/>
      <c r="L1230" s="235"/>
      <c r="M1230" s="235"/>
      <c r="N1230" s="239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</row>
    <row r="1231" spans="1:45" ht="16.5" customHeight="1">
      <c r="A1231" s="235"/>
      <c r="B1231" s="235"/>
      <c r="C1231" s="235"/>
      <c r="D1231" s="235"/>
      <c r="E1231" s="235"/>
      <c r="F1231" s="236"/>
      <c r="G1231" s="237"/>
      <c r="H1231" s="237"/>
      <c r="I1231" s="238"/>
      <c r="J1231" s="235"/>
      <c r="K1231" s="235"/>
      <c r="L1231" s="235"/>
      <c r="M1231" s="235"/>
      <c r="N1231" s="239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</row>
    <row r="1232" spans="1:45" ht="16.5" customHeight="1">
      <c r="A1232" s="235"/>
      <c r="B1232" s="235"/>
      <c r="C1232" s="235"/>
      <c r="D1232" s="235"/>
      <c r="E1232" s="235"/>
      <c r="F1232" s="236"/>
      <c r="G1232" s="237"/>
      <c r="H1232" s="237"/>
      <c r="I1232" s="238"/>
      <c r="J1232" s="235"/>
      <c r="K1232" s="235"/>
      <c r="L1232" s="235"/>
      <c r="M1232" s="235"/>
      <c r="N1232" s="239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</row>
    <row r="1233" spans="1:45" ht="16.5" customHeight="1">
      <c r="A1233" s="235"/>
      <c r="B1233" s="235"/>
      <c r="C1233" s="235"/>
      <c r="D1233" s="235"/>
      <c r="E1233" s="235"/>
      <c r="F1233" s="236"/>
      <c r="G1233" s="237"/>
      <c r="H1233" s="237"/>
      <c r="I1233" s="238"/>
      <c r="J1233" s="235"/>
      <c r="K1233" s="235"/>
      <c r="L1233" s="235"/>
      <c r="M1233" s="235"/>
      <c r="N1233" s="239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</row>
    <row r="1234" spans="1:45" ht="16.5" customHeight="1">
      <c r="A1234" s="235"/>
      <c r="B1234" s="235"/>
      <c r="C1234" s="235"/>
      <c r="D1234" s="235"/>
      <c r="E1234" s="235"/>
      <c r="F1234" s="236"/>
      <c r="G1234" s="237"/>
      <c r="H1234" s="237"/>
      <c r="I1234" s="238"/>
      <c r="J1234" s="235"/>
      <c r="K1234" s="235"/>
      <c r="L1234" s="235"/>
      <c r="M1234" s="235"/>
      <c r="N1234" s="239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</row>
    <row r="1235" spans="1:45" ht="16.5" customHeight="1">
      <c r="A1235" s="235"/>
      <c r="B1235" s="235"/>
      <c r="C1235" s="235"/>
      <c r="D1235" s="235"/>
      <c r="E1235" s="235"/>
      <c r="F1235" s="236"/>
      <c r="G1235" s="237"/>
      <c r="H1235" s="237"/>
      <c r="I1235" s="238"/>
      <c r="J1235" s="235"/>
      <c r="K1235" s="235"/>
      <c r="L1235" s="235"/>
      <c r="M1235" s="235"/>
      <c r="N1235" s="239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</row>
    <row r="1236" spans="1:45" ht="16.5" customHeight="1">
      <c r="A1236" s="235"/>
      <c r="B1236" s="235"/>
      <c r="C1236" s="235"/>
      <c r="D1236" s="235"/>
      <c r="E1236" s="235"/>
      <c r="F1236" s="236"/>
      <c r="G1236" s="237"/>
      <c r="H1236" s="237"/>
      <c r="I1236" s="238"/>
      <c r="J1236" s="235"/>
      <c r="K1236" s="235"/>
      <c r="L1236" s="235"/>
      <c r="M1236" s="235"/>
      <c r="N1236" s="239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</row>
    <row r="1237" spans="1:45" ht="16.5" customHeight="1">
      <c r="A1237" s="235"/>
      <c r="B1237" s="235"/>
      <c r="C1237" s="235"/>
      <c r="D1237" s="235"/>
      <c r="E1237" s="235"/>
      <c r="F1237" s="236"/>
      <c r="G1237" s="237"/>
      <c r="H1237" s="237"/>
      <c r="I1237" s="238"/>
      <c r="J1237" s="235"/>
      <c r="K1237" s="235"/>
      <c r="L1237" s="235"/>
      <c r="M1237" s="235"/>
      <c r="N1237" s="239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</row>
    <row r="1238" spans="1:45" ht="16.5" customHeight="1">
      <c r="A1238" s="235"/>
      <c r="B1238" s="235"/>
      <c r="C1238" s="235"/>
      <c r="D1238" s="235"/>
      <c r="E1238" s="235"/>
      <c r="F1238" s="236"/>
      <c r="G1238" s="237"/>
      <c r="H1238" s="237"/>
      <c r="I1238" s="238"/>
      <c r="J1238" s="235"/>
      <c r="K1238" s="235"/>
      <c r="L1238" s="235"/>
      <c r="M1238" s="235"/>
      <c r="N1238" s="239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</row>
    <row r="1239" spans="1:45" ht="16.5" customHeight="1">
      <c r="A1239" s="235"/>
      <c r="B1239" s="235"/>
      <c r="C1239" s="235"/>
      <c r="D1239" s="235"/>
      <c r="E1239" s="235"/>
      <c r="F1239" s="236"/>
      <c r="G1239" s="237"/>
      <c r="H1239" s="237"/>
      <c r="I1239" s="238"/>
      <c r="J1239" s="235"/>
      <c r="K1239" s="235"/>
      <c r="L1239" s="235"/>
      <c r="M1239" s="235"/>
      <c r="N1239" s="239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</row>
    <row r="1240" spans="1:45" ht="16.5" customHeight="1">
      <c r="A1240" s="235"/>
      <c r="B1240" s="235"/>
      <c r="C1240" s="235"/>
      <c r="D1240" s="235"/>
      <c r="E1240" s="235"/>
      <c r="F1240" s="236"/>
      <c r="G1240" s="237"/>
      <c r="H1240" s="237"/>
      <c r="I1240" s="238"/>
      <c r="J1240" s="235"/>
      <c r="K1240" s="235"/>
      <c r="L1240" s="235"/>
      <c r="M1240" s="235"/>
      <c r="N1240" s="239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</row>
    <row r="1241" spans="1:45" ht="16.5" customHeight="1">
      <c r="A1241" s="235"/>
      <c r="B1241" s="235"/>
      <c r="C1241" s="235"/>
      <c r="D1241" s="235"/>
      <c r="E1241" s="235"/>
      <c r="F1241" s="236"/>
      <c r="G1241" s="237"/>
      <c r="H1241" s="237"/>
      <c r="I1241" s="238"/>
      <c r="J1241" s="235"/>
      <c r="K1241" s="235"/>
      <c r="L1241" s="235"/>
      <c r="M1241" s="235"/>
      <c r="N1241" s="239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</row>
    <row r="1242" spans="1:45" ht="16.5" customHeight="1">
      <c r="A1242" s="235"/>
      <c r="B1242" s="235"/>
      <c r="C1242" s="235"/>
      <c r="D1242" s="235"/>
      <c r="E1242" s="235"/>
      <c r="F1242" s="236"/>
      <c r="G1242" s="237"/>
      <c r="H1242" s="237"/>
      <c r="I1242" s="238"/>
      <c r="J1242" s="235"/>
      <c r="K1242" s="235"/>
      <c r="L1242" s="235"/>
      <c r="M1242" s="235"/>
      <c r="N1242" s="239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</row>
    <row r="1243" spans="1:45" ht="16.5" customHeight="1">
      <c r="A1243" s="235"/>
      <c r="B1243" s="235"/>
      <c r="C1243" s="235"/>
      <c r="D1243" s="235"/>
      <c r="E1243" s="235"/>
      <c r="F1243" s="236"/>
      <c r="G1243" s="237"/>
      <c r="H1243" s="237"/>
      <c r="I1243" s="238"/>
      <c r="J1243" s="235"/>
      <c r="K1243" s="235"/>
      <c r="L1243" s="235"/>
      <c r="M1243" s="235"/>
      <c r="N1243" s="239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</row>
    <row r="1244" spans="1:45" ht="16.5" customHeight="1">
      <c r="A1244" s="235"/>
      <c r="B1244" s="235"/>
      <c r="C1244" s="235"/>
      <c r="D1244" s="235"/>
      <c r="E1244" s="235"/>
      <c r="F1244" s="236"/>
      <c r="G1244" s="237"/>
      <c r="H1244" s="237"/>
      <c r="I1244" s="238"/>
      <c r="J1244" s="235"/>
      <c r="K1244" s="235"/>
      <c r="L1244" s="235"/>
      <c r="M1244" s="235"/>
      <c r="N1244" s="239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</row>
    <row r="1245" spans="1:45" ht="16.5" customHeight="1">
      <c r="A1245" s="235"/>
      <c r="B1245" s="235"/>
      <c r="C1245" s="235"/>
      <c r="D1245" s="235"/>
      <c r="E1245" s="235"/>
      <c r="F1245" s="236"/>
      <c r="G1245" s="237"/>
      <c r="H1245" s="237"/>
      <c r="I1245" s="238"/>
      <c r="J1245" s="235"/>
      <c r="K1245" s="235"/>
      <c r="L1245" s="235"/>
      <c r="M1245" s="235"/>
      <c r="N1245" s="239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</row>
    <row r="1246" spans="1:45" ht="16.5" customHeight="1">
      <c r="A1246" s="235"/>
      <c r="B1246" s="235"/>
      <c r="C1246" s="235"/>
      <c r="D1246" s="235"/>
      <c r="E1246" s="235"/>
      <c r="F1246" s="236"/>
      <c r="G1246" s="237"/>
      <c r="H1246" s="237"/>
      <c r="I1246" s="238"/>
      <c r="J1246" s="235"/>
      <c r="K1246" s="235"/>
      <c r="L1246" s="235"/>
      <c r="M1246" s="235"/>
      <c r="N1246" s="239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</row>
    <row r="1247" spans="1:45" ht="16.5" customHeight="1">
      <c r="A1247" s="235"/>
      <c r="B1247" s="235"/>
      <c r="C1247" s="235"/>
      <c r="D1247" s="235"/>
      <c r="E1247" s="235"/>
      <c r="F1247" s="236"/>
      <c r="G1247" s="237"/>
      <c r="H1247" s="237"/>
      <c r="I1247" s="238"/>
      <c r="J1247" s="235"/>
      <c r="K1247" s="235"/>
      <c r="L1247" s="235"/>
      <c r="M1247" s="235"/>
      <c r="N1247" s="239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</row>
    <row r="1248" spans="1:45" ht="16.5" customHeight="1">
      <c r="A1248" s="235"/>
      <c r="B1248" s="235"/>
      <c r="C1248" s="235"/>
      <c r="D1248" s="235"/>
      <c r="E1248" s="235"/>
      <c r="F1248" s="236"/>
      <c r="G1248" s="237"/>
      <c r="H1248" s="237"/>
      <c r="I1248" s="238"/>
      <c r="J1248" s="235"/>
      <c r="K1248" s="235"/>
      <c r="L1248" s="235"/>
      <c r="M1248" s="235"/>
      <c r="N1248" s="239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</row>
    <row r="1249" spans="1:45" ht="16.5" customHeight="1">
      <c r="A1249" s="235"/>
      <c r="B1249" s="235"/>
      <c r="C1249" s="235"/>
      <c r="D1249" s="235"/>
      <c r="E1249" s="235"/>
      <c r="F1249" s="236"/>
      <c r="G1249" s="237"/>
      <c r="H1249" s="237"/>
      <c r="I1249" s="238"/>
      <c r="J1249" s="235"/>
      <c r="K1249" s="235"/>
      <c r="L1249" s="235"/>
      <c r="M1249" s="235"/>
      <c r="N1249" s="239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</row>
    <row r="1250" spans="1:45" ht="16.5" customHeight="1">
      <c r="A1250" s="235"/>
      <c r="B1250" s="235"/>
      <c r="C1250" s="235"/>
      <c r="D1250" s="235"/>
      <c r="E1250" s="235"/>
      <c r="F1250" s="236"/>
      <c r="G1250" s="237"/>
      <c r="H1250" s="237"/>
      <c r="I1250" s="238"/>
      <c r="J1250" s="235"/>
      <c r="K1250" s="235"/>
      <c r="L1250" s="235"/>
      <c r="M1250" s="235"/>
      <c r="N1250" s="239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</row>
    <row r="1251" spans="1:45" ht="16.5" customHeight="1">
      <c r="A1251" s="235"/>
      <c r="B1251" s="235"/>
      <c r="C1251" s="235"/>
      <c r="D1251" s="235"/>
      <c r="E1251" s="235"/>
      <c r="F1251" s="236"/>
      <c r="G1251" s="237"/>
      <c r="H1251" s="237"/>
      <c r="I1251" s="238"/>
      <c r="J1251" s="235"/>
      <c r="K1251" s="235"/>
      <c r="L1251" s="235"/>
      <c r="M1251" s="235"/>
      <c r="N1251" s="239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</row>
    <row r="1252" spans="1:45" ht="16.5" customHeight="1">
      <c r="A1252" s="235"/>
      <c r="B1252" s="235"/>
      <c r="C1252" s="235"/>
      <c r="D1252" s="235"/>
      <c r="E1252" s="235"/>
      <c r="F1252" s="236"/>
      <c r="G1252" s="237"/>
      <c r="H1252" s="237"/>
      <c r="I1252" s="238"/>
      <c r="J1252" s="235"/>
      <c r="K1252" s="235"/>
      <c r="L1252" s="235"/>
      <c r="M1252" s="235"/>
      <c r="N1252" s="239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</row>
    <row r="1253" spans="1:45" ht="16.5" customHeight="1">
      <c r="A1253" s="235"/>
      <c r="B1253" s="235"/>
      <c r="C1253" s="235"/>
      <c r="D1253" s="235"/>
      <c r="E1253" s="235"/>
      <c r="F1253" s="236"/>
      <c r="G1253" s="237"/>
      <c r="H1253" s="237"/>
      <c r="I1253" s="238"/>
      <c r="J1253" s="235"/>
      <c r="K1253" s="235"/>
      <c r="L1253" s="235"/>
      <c r="M1253" s="235"/>
      <c r="N1253" s="239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</row>
    <row r="1254" spans="1:45" ht="16.5" customHeight="1">
      <c r="A1254" s="235"/>
      <c r="B1254" s="235"/>
      <c r="C1254" s="235"/>
      <c r="D1254" s="235"/>
      <c r="E1254" s="235"/>
      <c r="F1254" s="236"/>
      <c r="G1254" s="237"/>
      <c r="H1254" s="237"/>
      <c r="I1254" s="238"/>
      <c r="J1254" s="235"/>
      <c r="K1254" s="235"/>
      <c r="L1254" s="235"/>
      <c r="M1254" s="235"/>
      <c r="N1254" s="239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</row>
    <row r="1255" spans="1:45" ht="16.5" customHeight="1">
      <c r="A1255" s="235"/>
      <c r="B1255" s="235"/>
      <c r="C1255" s="235"/>
      <c r="D1255" s="235"/>
      <c r="E1255" s="235"/>
      <c r="F1255" s="236"/>
      <c r="G1255" s="237"/>
      <c r="H1255" s="237"/>
      <c r="I1255" s="238"/>
      <c r="J1255" s="235"/>
      <c r="K1255" s="235"/>
      <c r="L1255" s="235"/>
      <c r="M1255" s="235"/>
      <c r="N1255" s="239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</row>
    <row r="1256" spans="1:45" ht="16.5" customHeight="1">
      <c r="A1256" s="235"/>
      <c r="B1256" s="235"/>
      <c r="C1256" s="235"/>
      <c r="D1256" s="235"/>
      <c r="E1256" s="235"/>
      <c r="F1256" s="236"/>
      <c r="G1256" s="237"/>
      <c r="H1256" s="237"/>
      <c r="I1256" s="238"/>
      <c r="J1256" s="235"/>
      <c r="K1256" s="235"/>
      <c r="L1256" s="235"/>
      <c r="M1256" s="235"/>
      <c r="N1256" s="239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</row>
    <row r="1257" spans="1:45" ht="16.5" customHeight="1">
      <c r="A1257" s="235"/>
      <c r="B1257" s="235"/>
      <c r="C1257" s="235"/>
      <c r="D1257" s="235"/>
      <c r="E1257" s="235"/>
      <c r="F1257" s="236"/>
      <c r="G1257" s="237"/>
      <c r="H1257" s="237"/>
      <c r="I1257" s="238"/>
      <c r="J1257" s="235"/>
      <c r="K1257" s="235"/>
      <c r="L1257" s="235"/>
      <c r="M1257" s="235"/>
      <c r="N1257" s="239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</row>
    <row r="1258" spans="1:45" ht="16.5" customHeight="1">
      <c r="A1258" s="235"/>
      <c r="B1258" s="235"/>
      <c r="C1258" s="235"/>
      <c r="D1258" s="235"/>
      <c r="E1258" s="235"/>
      <c r="F1258" s="236"/>
      <c r="G1258" s="237"/>
      <c r="H1258" s="237"/>
      <c r="I1258" s="238"/>
      <c r="J1258" s="235"/>
      <c r="K1258" s="235"/>
      <c r="L1258" s="235"/>
      <c r="M1258" s="235"/>
      <c r="N1258" s="239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</row>
    <row r="1259" spans="1:45" ht="16.5" customHeight="1">
      <c r="A1259" s="235"/>
      <c r="B1259" s="235"/>
      <c r="C1259" s="235"/>
      <c r="D1259" s="235"/>
      <c r="E1259" s="235"/>
      <c r="F1259" s="236"/>
      <c r="G1259" s="237"/>
      <c r="H1259" s="237"/>
      <c r="I1259" s="238"/>
      <c r="J1259" s="235"/>
      <c r="K1259" s="235"/>
      <c r="L1259" s="235"/>
      <c r="M1259" s="235"/>
      <c r="N1259" s="239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</row>
    <row r="1260" spans="1:45" ht="16.5" customHeight="1">
      <c r="A1260" s="235"/>
      <c r="B1260" s="235"/>
      <c r="C1260" s="235"/>
      <c r="D1260" s="235"/>
      <c r="E1260" s="235"/>
      <c r="F1260" s="236"/>
      <c r="G1260" s="237"/>
      <c r="H1260" s="237"/>
      <c r="I1260" s="238"/>
      <c r="J1260" s="235"/>
      <c r="K1260" s="235"/>
      <c r="L1260" s="235"/>
      <c r="M1260" s="235"/>
      <c r="N1260" s="239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</row>
    <row r="1261" spans="1:45" ht="16.5" customHeight="1">
      <c r="A1261" s="235"/>
      <c r="B1261" s="235"/>
      <c r="C1261" s="235"/>
      <c r="D1261" s="235"/>
      <c r="E1261" s="235"/>
      <c r="F1261" s="236"/>
      <c r="G1261" s="237"/>
      <c r="H1261" s="237"/>
      <c r="I1261" s="238"/>
      <c r="J1261" s="235"/>
      <c r="K1261" s="235"/>
      <c r="L1261" s="235"/>
      <c r="M1261" s="235"/>
      <c r="N1261" s="239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</row>
    <row r="1262" spans="1:45" ht="16.5" customHeight="1">
      <c r="A1262" s="235"/>
      <c r="B1262" s="235"/>
      <c r="C1262" s="235"/>
      <c r="D1262" s="235"/>
      <c r="E1262" s="235"/>
      <c r="F1262" s="236"/>
      <c r="G1262" s="237"/>
      <c r="H1262" s="237"/>
      <c r="I1262" s="238"/>
      <c r="J1262" s="235"/>
      <c r="K1262" s="235"/>
      <c r="L1262" s="235"/>
      <c r="M1262" s="235"/>
      <c r="N1262" s="239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</row>
    <row r="1263" spans="1:45" ht="16.5" customHeight="1">
      <c r="A1263" s="235"/>
      <c r="B1263" s="235"/>
      <c r="C1263" s="235"/>
      <c r="D1263" s="235"/>
      <c r="E1263" s="235"/>
      <c r="F1263" s="236"/>
      <c r="G1263" s="237"/>
      <c r="H1263" s="237"/>
      <c r="I1263" s="238"/>
      <c r="J1263" s="235"/>
      <c r="K1263" s="235"/>
      <c r="L1263" s="235"/>
      <c r="M1263" s="235"/>
      <c r="N1263" s="239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</row>
    <row r="1264" spans="1:45" ht="16.5" customHeight="1">
      <c r="A1264" s="235"/>
      <c r="B1264" s="235"/>
      <c r="C1264" s="235"/>
      <c r="D1264" s="235"/>
      <c r="E1264" s="235"/>
      <c r="F1264" s="236"/>
      <c r="G1264" s="237"/>
      <c r="H1264" s="237"/>
      <c r="I1264" s="238"/>
      <c r="J1264" s="235"/>
      <c r="K1264" s="235"/>
      <c r="L1264" s="235"/>
      <c r="M1264" s="235"/>
      <c r="N1264" s="239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</row>
    <row r="1265" spans="1:45" ht="16.5" customHeight="1">
      <c r="A1265" s="235"/>
      <c r="B1265" s="235"/>
      <c r="C1265" s="235"/>
      <c r="D1265" s="235"/>
      <c r="E1265" s="235"/>
      <c r="F1265" s="236"/>
      <c r="G1265" s="237"/>
      <c r="H1265" s="237"/>
      <c r="I1265" s="238"/>
      <c r="J1265" s="235"/>
      <c r="K1265" s="235"/>
      <c r="L1265" s="235"/>
      <c r="M1265" s="235"/>
      <c r="N1265" s="239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</row>
    <row r="1266" spans="1:45" ht="16.5" customHeight="1">
      <c r="A1266" s="235"/>
      <c r="B1266" s="235"/>
      <c r="C1266" s="235"/>
      <c r="D1266" s="235"/>
      <c r="E1266" s="235"/>
      <c r="F1266" s="236"/>
      <c r="G1266" s="237"/>
      <c r="H1266" s="237"/>
      <c r="I1266" s="238"/>
      <c r="J1266" s="235"/>
      <c r="K1266" s="235"/>
      <c r="L1266" s="235"/>
      <c r="M1266" s="235"/>
      <c r="N1266" s="239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</row>
    <row r="1267" spans="1:45" ht="16.5" customHeight="1">
      <c r="A1267" s="235"/>
      <c r="B1267" s="235"/>
      <c r="C1267" s="235"/>
      <c r="D1267" s="235"/>
      <c r="E1267" s="235"/>
      <c r="F1267" s="236"/>
      <c r="G1267" s="237"/>
      <c r="H1267" s="237"/>
      <c r="I1267" s="238"/>
      <c r="J1267" s="235"/>
      <c r="K1267" s="235"/>
      <c r="L1267" s="235"/>
      <c r="M1267" s="235"/>
      <c r="N1267" s="239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</row>
    <row r="1268" spans="1:45" ht="16.5" customHeight="1">
      <c r="A1268" s="235"/>
      <c r="B1268" s="235"/>
      <c r="C1268" s="235"/>
      <c r="D1268" s="235"/>
      <c r="E1268" s="235"/>
      <c r="F1268" s="236"/>
      <c r="G1268" s="237"/>
      <c r="H1268" s="237"/>
      <c r="I1268" s="238"/>
      <c r="J1268" s="235"/>
      <c r="K1268" s="235"/>
      <c r="L1268" s="235"/>
      <c r="M1268" s="235"/>
      <c r="N1268" s="239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</row>
    <row r="1269" spans="1:45" ht="16.5" customHeight="1">
      <c r="A1269" s="235"/>
      <c r="B1269" s="235"/>
      <c r="C1269" s="235"/>
      <c r="D1269" s="235"/>
      <c r="E1269" s="235"/>
      <c r="F1269" s="236"/>
      <c r="G1269" s="237"/>
      <c r="H1269" s="237"/>
      <c r="I1269" s="238"/>
      <c r="J1269" s="235"/>
      <c r="K1269" s="235"/>
      <c r="L1269" s="235"/>
      <c r="M1269" s="235"/>
      <c r="N1269" s="239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</row>
    <row r="1270" spans="1:45" ht="16.5" customHeight="1">
      <c r="A1270" s="235"/>
      <c r="B1270" s="235"/>
      <c r="C1270" s="235"/>
      <c r="D1270" s="235"/>
      <c r="E1270" s="235"/>
      <c r="F1270" s="236"/>
      <c r="G1270" s="237"/>
      <c r="H1270" s="237"/>
      <c r="I1270" s="238"/>
      <c r="J1270" s="235"/>
      <c r="K1270" s="235"/>
      <c r="L1270" s="235"/>
      <c r="M1270" s="235"/>
      <c r="N1270" s="239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</row>
    <row r="1271" spans="1:45" ht="16.5" customHeight="1">
      <c r="A1271" s="235"/>
      <c r="B1271" s="235"/>
      <c r="C1271" s="235"/>
      <c r="D1271" s="235"/>
      <c r="E1271" s="235"/>
      <c r="F1271" s="236"/>
      <c r="G1271" s="237"/>
      <c r="H1271" s="237"/>
      <c r="I1271" s="238"/>
      <c r="J1271" s="235"/>
      <c r="K1271" s="235"/>
      <c r="L1271" s="235"/>
      <c r="M1271" s="235"/>
      <c r="N1271" s="239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</row>
    <row r="1272" spans="1:45" ht="16.5" customHeight="1">
      <c r="A1272" s="235"/>
      <c r="B1272" s="235"/>
      <c r="C1272" s="235"/>
      <c r="D1272" s="235"/>
      <c r="E1272" s="235"/>
      <c r="F1272" s="236"/>
      <c r="G1272" s="237"/>
      <c r="H1272" s="237"/>
      <c r="I1272" s="238"/>
      <c r="J1272" s="235"/>
      <c r="K1272" s="235"/>
      <c r="L1272" s="235"/>
      <c r="M1272" s="235"/>
      <c r="N1272" s="239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</row>
    <row r="1273" spans="1:45" ht="16.5" customHeight="1">
      <c r="A1273" s="235"/>
      <c r="B1273" s="235"/>
      <c r="C1273" s="235"/>
      <c r="D1273" s="235"/>
      <c r="E1273" s="235"/>
      <c r="F1273" s="236"/>
      <c r="G1273" s="237"/>
      <c r="H1273" s="237"/>
      <c r="I1273" s="238"/>
      <c r="J1273" s="235"/>
      <c r="K1273" s="235"/>
      <c r="L1273" s="235"/>
      <c r="M1273" s="235"/>
      <c r="N1273" s="239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</row>
    <row r="1274" spans="1:45" ht="16.5" customHeight="1">
      <c r="A1274" s="235"/>
      <c r="B1274" s="235"/>
      <c r="C1274" s="235"/>
      <c r="D1274" s="235"/>
      <c r="E1274" s="235"/>
      <c r="F1274" s="236"/>
      <c r="G1274" s="237"/>
      <c r="H1274" s="237"/>
      <c r="I1274" s="238"/>
      <c r="J1274" s="235"/>
      <c r="K1274" s="235"/>
      <c r="L1274" s="235"/>
      <c r="M1274" s="235"/>
      <c r="N1274" s="239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</row>
    <row r="1275" spans="1:45" ht="16.5" customHeight="1">
      <c r="A1275" s="235"/>
      <c r="B1275" s="235"/>
      <c r="C1275" s="235"/>
      <c r="D1275" s="235"/>
      <c r="E1275" s="235"/>
      <c r="F1275" s="236"/>
      <c r="G1275" s="237"/>
      <c r="H1275" s="237"/>
      <c r="I1275" s="238"/>
      <c r="J1275" s="235"/>
      <c r="K1275" s="235"/>
      <c r="L1275" s="235"/>
      <c r="M1275" s="235"/>
      <c r="N1275" s="239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</row>
    <row r="1276" spans="1:45" ht="16.5" customHeight="1">
      <c r="A1276" s="235"/>
      <c r="B1276" s="235"/>
      <c r="C1276" s="235"/>
      <c r="D1276" s="235"/>
      <c r="E1276" s="235"/>
      <c r="F1276" s="236"/>
      <c r="G1276" s="237"/>
      <c r="H1276" s="237"/>
      <c r="I1276" s="238"/>
      <c r="J1276" s="235"/>
      <c r="K1276" s="235"/>
      <c r="L1276" s="235"/>
      <c r="M1276" s="235"/>
      <c r="N1276" s="239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</row>
    <row r="1277" spans="1:45" ht="16.5" customHeight="1">
      <c r="A1277" s="235"/>
      <c r="B1277" s="235"/>
      <c r="C1277" s="235"/>
      <c r="D1277" s="235"/>
      <c r="E1277" s="235"/>
      <c r="F1277" s="236"/>
      <c r="G1277" s="237"/>
      <c r="H1277" s="237"/>
      <c r="I1277" s="238"/>
      <c r="J1277" s="235"/>
      <c r="K1277" s="235"/>
      <c r="L1277" s="235"/>
      <c r="M1277" s="235"/>
      <c r="N1277" s="239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</row>
    <row r="1278" spans="1:45" ht="16.5" customHeight="1">
      <c r="A1278" s="235"/>
      <c r="B1278" s="235"/>
      <c r="C1278" s="235"/>
      <c r="D1278" s="235"/>
      <c r="E1278" s="235"/>
      <c r="F1278" s="236"/>
      <c r="G1278" s="237"/>
      <c r="H1278" s="237"/>
      <c r="I1278" s="238"/>
      <c r="J1278" s="235"/>
      <c r="K1278" s="235"/>
      <c r="L1278" s="235"/>
      <c r="M1278" s="235"/>
      <c r="N1278" s="239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</row>
    <row r="1279" spans="1:45" ht="16.5" customHeight="1">
      <c r="A1279" s="235"/>
      <c r="B1279" s="235"/>
      <c r="C1279" s="235"/>
      <c r="D1279" s="235"/>
      <c r="E1279" s="235"/>
      <c r="F1279" s="236"/>
      <c r="G1279" s="237"/>
      <c r="H1279" s="237"/>
      <c r="I1279" s="238"/>
      <c r="J1279" s="235"/>
      <c r="K1279" s="235"/>
      <c r="L1279" s="235"/>
      <c r="M1279" s="235"/>
      <c r="N1279" s="239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</row>
    <row r="1280" spans="1:45" ht="16.5" customHeight="1">
      <c r="A1280" s="235"/>
      <c r="B1280" s="235"/>
      <c r="C1280" s="235"/>
      <c r="D1280" s="235"/>
      <c r="E1280" s="235"/>
      <c r="F1280" s="236"/>
      <c r="G1280" s="237"/>
      <c r="H1280" s="237"/>
      <c r="I1280" s="238"/>
      <c r="J1280" s="235"/>
      <c r="K1280" s="235"/>
      <c r="L1280" s="235"/>
      <c r="M1280" s="235"/>
      <c r="N1280" s="239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</row>
    <row r="1281" spans="1:45" ht="16.5" customHeight="1">
      <c r="A1281" s="235"/>
      <c r="B1281" s="235"/>
      <c r="C1281" s="235"/>
      <c r="D1281" s="235"/>
      <c r="E1281" s="235"/>
      <c r="F1281" s="236"/>
      <c r="G1281" s="237"/>
      <c r="H1281" s="237"/>
      <c r="I1281" s="238"/>
      <c r="J1281" s="235"/>
      <c r="K1281" s="235"/>
      <c r="L1281" s="235"/>
      <c r="M1281" s="235"/>
      <c r="N1281" s="239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</row>
    <row r="1282" spans="1:45" ht="16.5" customHeight="1">
      <c r="A1282" s="235"/>
      <c r="B1282" s="235"/>
      <c r="C1282" s="235"/>
      <c r="D1282" s="235"/>
      <c r="E1282" s="235"/>
      <c r="F1282" s="236"/>
      <c r="G1282" s="237"/>
      <c r="H1282" s="237"/>
      <c r="I1282" s="238"/>
      <c r="J1282" s="235"/>
      <c r="K1282" s="235"/>
      <c r="L1282" s="235"/>
      <c r="M1282" s="235"/>
      <c r="N1282" s="239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</row>
    <row r="1283" spans="1:45" ht="16.5" customHeight="1">
      <c r="A1283" s="235"/>
      <c r="B1283" s="235"/>
      <c r="C1283" s="235"/>
      <c r="D1283" s="235"/>
      <c r="E1283" s="235"/>
      <c r="F1283" s="236"/>
      <c r="G1283" s="237"/>
      <c r="H1283" s="237"/>
      <c r="I1283" s="238"/>
      <c r="J1283" s="235"/>
      <c r="K1283" s="235"/>
      <c r="L1283" s="235"/>
      <c r="M1283" s="235"/>
      <c r="N1283" s="239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</row>
    <row r="1284" spans="1:45" ht="16.5" customHeight="1">
      <c r="A1284" s="235"/>
      <c r="B1284" s="235"/>
      <c r="C1284" s="235"/>
      <c r="D1284" s="235"/>
      <c r="E1284" s="235"/>
      <c r="F1284" s="236"/>
      <c r="G1284" s="237"/>
      <c r="H1284" s="237"/>
      <c r="I1284" s="238"/>
      <c r="J1284" s="235"/>
      <c r="K1284" s="235"/>
      <c r="L1284" s="235"/>
      <c r="M1284" s="235"/>
      <c r="N1284" s="239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</row>
    <row r="1285" spans="1:45" ht="16.5" customHeight="1">
      <c r="A1285" s="235"/>
      <c r="B1285" s="235"/>
      <c r="C1285" s="235"/>
      <c r="D1285" s="235"/>
      <c r="E1285" s="235"/>
      <c r="F1285" s="236"/>
      <c r="G1285" s="237"/>
      <c r="H1285" s="237"/>
      <c r="I1285" s="238"/>
      <c r="J1285" s="235"/>
      <c r="K1285" s="235"/>
      <c r="L1285" s="235"/>
      <c r="M1285" s="235"/>
      <c r="N1285" s="239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</row>
    <row r="1286" spans="1:45" ht="16.5" customHeight="1">
      <c r="A1286" s="235"/>
      <c r="B1286" s="235"/>
      <c r="C1286" s="235"/>
      <c r="D1286" s="235"/>
      <c r="E1286" s="235"/>
      <c r="F1286" s="236"/>
      <c r="G1286" s="237"/>
      <c r="H1286" s="237"/>
      <c r="I1286" s="238"/>
      <c r="J1286" s="235"/>
      <c r="K1286" s="235"/>
      <c r="L1286" s="235"/>
      <c r="M1286" s="235"/>
      <c r="N1286" s="239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</row>
    <row r="1287" spans="1:45" ht="16.5" customHeight="1">
      <c r="A1287" s="235"/>
      <c r="B1287" s="235"/>
      <c r="C1287" s="235"/>
      <c r="D1287" s="235"/>
      <c r="E1287" s="235"/>
      <c r="F1287" s="236"/>
      <c r="G1287" s="237"/>
      <c r="H1287" s="237"/>
      <c r="I1287" s="238"/>
      <c r="J1287" s="235"/>
      <c r="K1287" s="235"/>
      <c r="L1287" s="235"/>
      <c r="M1287" s="235"/>
      <c r="N1287" s="239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</row>
    <row r="1288" spans="1:45" ht="16.5" customHeight="1">
      <c r="A1288" s="235"/>
      <c r="B1288" s="235"/>
      <c r="C1288" s="235"/>
      <c r="D1288" s="235"/>
      <c r="E1288" s="235"/>
      <c r="F1288" s="236"/>
      <c r="G1288" s="237"/>
      <c r="H1288" s="237"/>
      <c r="I1288" s="238"/>
      <c r="J1288" s="235"/>
      <c r="K1288" s="235"/>
      <c r="L1288" s="235"/>
      <c r="M1288" s="235"/>
      <c r="N1288" s="239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</row>
    <row r="1289" spans="1:45" ht="16.5" customHeight="1">
      <c r="A1289" s="235"/>
      <c r="B1289" s="235"/>
      <c r="C1289" s="235"/>
      <c r="D1289" s="235"/>
      <c r="E1289" s="235"/>
      <c r="F1289" s="236"/>
      <c r="G1289" s="237"/>
      <c r="H1289" s="237"/>
      <c r="I1289" s="238"/>
      <c r="J1289" s="235"/>
      <c r="K1289" s="235"/>
      <c r="L1289" s="235"/>
      <c r="M1289" s="235"/>
      <c r="N1289" s="239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</row>
    <row r="1290" spans="1:45" ht="16.5" customHeight="1">
      <c r="A1290" s="235"/>
      <c r="B1290" s="235"/>
      <c r="C1290" s="235"/>
      <c r="D1290" s="235"/>
      <c r="E1290" s="235"/>
      <c r="F1290" s="236"/>
      <c r="G1290" s="237"/>
      <c r="H1290" s="237"/>
      <c r="I1290" s="238"/>
      <c r="J1290" s="235"/>
      <c r="K1290" s="235"/>
      <c r="L1290" s="235"/>
      <c r="M1290" s="235"/>
      <c r="N1290" s="239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</row>
    <row r="1291" spans="1:45" ht="16.5" customHeight="1">
      <c r="A1291" s="235"/>
      <c r="B1291" s="235"/>
      <c r="C1291" s="235"/>
      <c r="D1291" s="235"/>
      <c r="E1291" s="235"/>
      <c r="F1291" s="236"/>
      <c r="G1291" s="237"/>
      <c r="H1291" s="237"/>
      <c r="I1291" s="238"/>
      <c r="J1291" s="235"/>
      <c r="K1291" s="235"/>
      <c r="L1291" s="235"/>
      <c r="M1291" s="235"/>
      <c r="N1291" s="239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</row>
    <row r="1292" spans="1:45" ht="16.5" customHeight="1">
      <c r="A1292" s="235"/>
      <c r="B1292" s="235"/>
      <c r="C1292" s="235"/>
      <c r="D1292" s="235"/>
      <c r="E1292" s="235"/>
      <c r="F1292" s="236"/>
      <c r="G1292" s="237"/>
      <c r="H1292" s="237"/>
      <c r="I1292" s="238"/>
      <c r="J1292" s="235"/>
      <c r="K1292" s="235"/>
      <c r="L1292" s="235"/>
      <c r="M1292" s="235"/>
      <c r="N1292" s="239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</row>
    <row r="1293" spans="1:45" ht="16.5" customHeight="1">
      <c r="A1293" s="235"/>
      <c r="B1293" s="235"/>
      <c r="C1293" s="235"/>
      <c r="D1293" s="235"/>
      <c r="E1293" s="235"/>
      <c r="F1293" s="236"/>
      <c r="G1293" s="237"/>
      <c r="H1293" s="237"/>
      <c r="I1293" s="238"/>
      <c r="J1293" s="235"/>
      <c r="K1293" s="235"/>
      <c r="L1293" s="235"/>
      <c r="M1293" s="235"/>
      <c r="N1293" s="239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</row>
    <row r="1294" spans="1:45" ht="16.5" customHeight="1">
      <c r="A1294" s="235"/>
      <c r="B1294" s="235"/>
      <c r="C1294" s="235"/>
      <c r="D1294" s="235"/>
      <c r="E1294" s="235"/>
      <c r="F1294" s="236"/>
      <c r="G1294" s="237"/>
      <c r="H1294" s="237"/>
      <c r="I1294" s="238"/>
      <c r="J1294" s="235"/>
      <c r="K1294" s="235"/>
      <c r="L1294" s="235"/>
      <c r="M1294" s="235"/>
      <c r="N1294" s="239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</row>
    <row r="1295" spans="1:45" ht="16.5" customHeight="1">
      <c r="A1295" s="235"/>
      <c r="B1295" s="235"/>
      <c r="C1295" s="235"/>
      <c r="D1295" s="235"/>
      <c r="E1295" s="235"/>
      <c r="F1295" s="236"/>
      <c r="G1295" s="237"/>
      <c r="H1295" s="237"/>
      <c r="I1295" s="238"/>
      <c r="J1295" s="235"/>
      <c r="K1295" s="235"/>
      <c r="L1295" s="235"/>
      <c r="M1295" s="235"/>
      <c r="N1295" s="239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</row>
    <row r="1296" spans="1:45" ht="16.5" customHeight="1">
      <c r="A1296" s="235"/>
      <c r="B1296" s="235"/>
      <c r="C1296" s="235"/>
      <c r="D1296" s="235"/>
      <c r="E1296" s="235"/>
      <c r="F1296" s="236"/>
      <c r="G1296" s="237"/>
      <c r="H1296" s="237"/>
      <c r="I1296" s="238"/>
      <c r="J1296" s="235"/>
      <c r="K1296" s="235"/>
      <c r="L1296" s="235"/>
      <c r="M1296" s="235"/>
      <c r="N1296" s="239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</row>
    <row r="1297" spans="1:45" ht="16.5" customHeight="1">
      <c r="A1297" s="235"/>
      <c r="B1297" s="235"/>
      <c r="C1297" s="235"/>
      <c r="D1297" s="235"/>
      <c r="E1297" s="235"/>
      <c r="F1297" s="236"/>
      <c r="G1297" s="237"/>
      <c r="H1297" s="237"/>
      <c r="I1297" s="238"/>
      <c r="J1297" s="235"/>
      <c r="K1297" s="235"/>
      <c r="L1297" s="235"/>
      <c r="M1297" s="235"/>
      <c r="N1297" s="239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</row>
    <row r="1298" spans="1:45" ht="16.5" customHeight="1">
      <c r="A1298" s="235"/>
      <c r="B1298" s="235"/>
      <c r="C1298" s="235"/>
      <c r="D1298" s="235"/>
      <c r="E1298" s="235"/>
      <c r="F1298" s="236"/>
      <c r="G1298" s="237"/>
      <c r="H1298" s="237"/>
      <c r="I1298" s="238"/>
      <c r="J1298" s="235"/>
      <c r="K1298" s="235"/>
      <c r="L1298" s="235"/>
      <c r="M1298" s="235"/>
      <c r="N1298" s="239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</row>
    <row r="1299" spans="1:45" ht="16.5" customHeight="1">
      <c r="A1299" s="235"/>
      <c r="B1299" s="235"/>
      <c r="C1299" s="235"/>
      <c r="D1299" s="235"/>
      <c r="E1299" s="235"/>
      <c r="F1299" s="236"/>
      <c r="G1299" s="237"/>
      <c r="H1299" s="237"/>
      <c r="I1299" s="238"/>
      <c r="J1299" s="235"/>
      <c r="K1299" s="235"/>
      <c r="L1299" s="235"/>
      <c r="M1299" s="235"/>
      <c r="N1299" s="239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</row>
    <row r="1300" spans="1:45" ht="16.5" customHeight="1">
      <c r="A1300" s="235"/>
      <c r="B1300" s="235"/>
      <c r="C1300" s="235"/>
      <c r="D1300" s="235"/>
      <c r="E1300" s="235"/>
      <c r="F1300" s="236"/>
      <c r="G1300" s="237"/>
      <c r="H1300" s="237"/>
      <c r="I1300" s="238"/>
      <c r="J1300" s="235"/>
      <c r="K1300" s="235"/>
      <c r="L1300" s="235"/>
      <c r="M1300" s="235"/>
      <c r="N1300" s="239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</row>
    <row r="1301" spans="1:45" ht="16.5" customHeight="1">
      <c r="A1301" s="235"/>
      <c r="B1301" s="235"/>
      <c r="C1301" s="235"/>
      <c r="D1301" s="235"/>
      <c r="E1301" s="235"/>
      <c r="F1301" s="236"/>
      <c r="G1301" s="237"/>
      <c r="H1301" s="237"/>
      <c r="I1301" s="238"/>
      <c r="J1301" s="235"/>
      <c r="K1301" s="235"/>
      <c r="L1301" s="235"/>
      <c r="M1301" s="235"/>
      <c r="N1301" s="239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</row>
    <row r="1302" spans="1:45" ht="16.5" customHeight="1">
      <c r="A1302" s="235"/>
      <c r="B1302" s="235"/>
      <c r="C1302" s="235"/>
      <c r="D1302" s="235"/>
      <c r="E1302" s="235"/>
      <c r="F1302" s="236"/>
      <c r="G1302" s="237"/>
      <c r="H1302" s="237"/>
      <c r="I1302" s="238"/>
      <c r="J1302" s="235"/>
      <c r="K1302" s="235"/>
      <c r="L1302" s="235"/>
      <c r="M1302" s="235"/>
      <c r="N1302" s="239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</row>
    <row r="1303" spans="1:45" ht="16.5" customHeight="1">
      <c r="A1303" s="235"/>
      <c r="B1303" s="235"/>
      <c r="C1303" s="235"/>
      <c r="D1303" s="235"/>
      <c r="E1303" s="235"/>
      <c r="F1303" s="236"/>
      <c r="G1303" s="237"/>
      <c r="H1303" s="237"/>
      <c r="I1303" s="238"/>
      <c r="J1303" s="235"/>
      <c r="K1303" s="235"/>
      <c r="L1303" s="235"/>
      <c r="M1303" s="235"/>
      <c r="N1303" s="239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</row>
    <row r="1304" spans="1:45" ht="16.5" customHeight="1">
      <c r="A1304" s="235"/>
      <c r="B1304" s="235"/>
      <c r="C1304" s="235"/>
      <c r="D1304" s="235"/>
      <c r="E1304" s="235"/>
      <c r="F1304" s="236"/>
      <c r="G1304" s="237"/>
      <c r="H1304" s="237"/>
      <c r="I1304" s="238"/>
      <c r="J1304" s="235"/>
      <c r="K1304" s="235"/>
      <c r="L1304" s="235"/>
      <c r="M1304" s="235"/>
      <c r="N1304" s="239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</row>
    <row r="1305" spans="1:45" ht="16.5" customHeight="1">
      <c r="A1305" s="235"/>
      <c r="B1305" s="235"/>
      <c r="C1305" s="235"/>
      <c r="D1305" s="235"/>
      <c r="E1305" s="235"/>
      <c r="F1305" s="236"/>
      <c r="G1305" s="237"/>
      <c r="H1305" s="237"/>
      <c r="I1305" s="238"/>
      <c r="J1305" s="235"/>
      <c r="K1305" s="235"/>
      <c r="L1305" s="235"/>
      <c r="M1305" s="235"/>
      <c r="N1305" s="239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</row>
    <row r="1306" spans="1:45" ht="16.5" customHeight="1">
      <c r="A1306" s="235"/>
      <c r="B1306" s="235"/>
      <c r="C1306" s="235"/>
      <c r="D1306" s="235"/>
      <c r="E1306" s="235"/>
      <c r="F1306" s="236"/>
      <c r="G1306" s="237"/>
      <c r="H1306" s="237"/>
      <c r="I1306" s="238"/>
      <c r="J1306" s="235"/>
      <c r="K1306" s="235"/>
      <c r="L1306" s="235"/>
      <c r="M1306" s="235"/>
      <c r="N1306" s="239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</row>
    <row r="1307" spans="1:45" ht="16.5" customHeight="1">
      <c r="A1307" s="235"/>
      <c r="B1307" s="235"/>
      <c r="C1307" s="235"/>
      <c r="D1307" s="235"/>
      <c r="E1307" s="235"/>
      <c r="F1307" s="236"/>
      <c r="G1307" s="237"/>
      <c r="H1307" s="237"/>
      <c r="I1307" s="238"/>
      <c r="J1307" s="235"/>
      <c r="K1307" s="235"/>
      <c r="L1307" s="235"/>
      <c r="M1307" s="235"/>
      <c r="N1307" s="239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</row>
    <row r="1308" spans="1:45" ht="16.5" customHeight="1">
      <c r="A1308" s="235"/>
      <c r="B1308" s="235"/>
      <c r="C1308" s="235"/>
      <c r="D1308" s="235"/>
      <c r="E1308" s="235"/>
      <c r="F1308" s="236"/>
      <c r="G1308" s="237"/>
      <c r="H1308" s="237"/>
      <c r="I1308" s="238"/>
      <c r="J1308" s="235"/>
      <c r="K1308" s="235"/>
      <c r="L1308" s="235"/>
      <c r="M1308" s="235"/>
      <c r="N1308" s="239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</row>
    <row r="1309" spans="1:45" ht="16.5" customHeight="1">
      <c r="A1309" s="235"/>
      <c r="B1309" s="235"/>
      <c r="C1309" s="235"/>
      <c r="D1309" s="235"/>
      <c r="E1309" s="235"/>
      <c r="F1309" s="236"/>
      <c r="G1309" s="237"/>
      <c r="H1309" s="237"/>
      <c r="I1309" s="238"/>
      <c r="J1309" s="235"/>
      <c r="K1309" s="235"/>
      <c r="L1309" s="235"/>
      <c r="M1309" s="235"/>
      <c r="N1309" s="239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</row>
    <row r="1310" spans="1:45" ht="16.5" customHeight="1">
      <c r="A1310" s="235"/>
      <c r="B1310" s="235"/>
      <c r="C1310" s="235"/>
      <c r="D1310" s="235"/>
      <c r="E1310" s="235"/>
      <c r="F1310" s="236"/>
      <c r="G1310" s="237"/>
      <c r="H1310" s="237"/>
      <c r="I1310" s="238"/>
      <c r="J1310" s="235"/>
      <c r="K1310" s="235"/>
      <c r="L1310" s="235"/>
      <c r="M1310" s="235"/>
      <c r="N1310" s="239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</row>
    <row r="1311" spans="1:45" ht="16.5" customHeight="1">
      <c r="A1311" s="235"/>
      <c r="B1311" s="235"/>
      <c r="C1311" s="235"/>
      <c r="D1311" s="235"/>
      <c r="E1311" s="235"/>
      <c r="F1311" s="236"/>
      <c r="G1311" s="237"/>
      <c r="H1311" s="237"/>
      <c r="I1311" s="238"/>
      <c r="J1311" s="235"/>
      <c r="K1311" s="235"/>
      <c r="L1311" s="235"/>
      <c r="M1311" s="235"/>
      <c r="N1311" s="239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</row>
    <row r="1312" spans="1:45" ht="16.5" customHeight="1">
      <c r="A1312" s="235"/>
      <c r="B1312" s="235"/>
      <c r="C1312" s="235"/>
      <c r="D1312" s="235"/>
      <c r="E1312" s="235"/>
      <c r="F1312" s="236"/>
      <c r="G1312" s="237"/>
      <c r="H1312" s="237"/>
      <c r="I1312" s="238"/>
      <c r="J1312" s="235"/>
      <c r="K1312" s="235"/>
      <c r="L1312" s="235"/>
      <c r="M1312" s="235"/>
      <c r="N1312" s="239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</row>
    <row r="1313" spans="1:45" ht="16.5" customHeight="1">
      <c r="A1313" s="235"/>
      <c r="B1313" s="235"/>
      <c r="C1313" s="235"/>
      <c r="D1313" s="235"/>
      <c r="E1313" s="235"/>
      <c r="F1313" s="236"/>
      <c r="G1313" s="237"/>
      <c r="H1313" s="237"/>
      <c r="I1313" s="238"/>
      <c r="J1313" s="235"/>
      <c r="K1313" s="235"/>
      <c r="L1313" s="235"/>
      <c r="M1313" s="235"/>
      <c r="N1313" s="239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</row>
    <row r="1314" spans="1:45" ht="16.5" customHeight="1">
      <c r="A1314" s="235"/>
      <c r="B1314" s="235"/>
      <c r="C1314" s="235"/>
      <c r="D1314" s="235"/>
      <c r="E1314" s="235"/>
      <c r="F1314" s="236"/>
      <c r="G1314" s="237"/>
      <c r="H1314" s="237"/>
      <c r="I1314" s="238"/>
      <c r="J1314" s="235"/>
      <c r="K1314" s="235"/>
      <c r="L1314" s="235"/>
      <c r="M1314" s="235"/>
      <c r="N1314" s="239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</row>
    <row r="1315" spans="1:45" ht="16.5" customHeight="1">
      <c r="A1315" s="235"/>
      <c r="B1315" s="235"/>
      <c r="C1315" s="235"/>
      <c r="D1315" s="235"/>
      <c r="E1315" s="235"/>
      <c r="F1315" s="236"/>
      <c r="G1315" s="237"/>
      <c r="H1315" s="237"/>
      <c r="I1315" s="238"/>
      <c r="J1315" s="235"/>
      <c r="K1315" s="235"/>
      <c r="L1315" s="235"/>
      <c r="M1315" s="235"/>
      <c r="N1315" s="239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</row>
    <row r="1316" spans="1:45" ht="16.5" customHeight="1">
      <c r="A1316" s="235"/>
      <c r="B1316" s="235"/>
      <c r="C1316" s="235"/>
      <c r="D1316" s="235"/>
      <c r="E1316" s="235"/>
      <c r="F1316" s="236"/>
      <c r="G1316" s="237"/>
      <c r="H1316" s="237"/>
      <c r="I1316" s="238"/>
      <c r="J1316" s="235"/>
      <c r="K1316" s="235"/>
      <c r="L1316" s="235"/>
      <c r="M1316" s="235"/>
      <c r="N1316" s="239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</row>
    <row r="1317" spans="1:45" ht="16.5" customHeight="1">
      <c r="A1317" s="235"/>
      <c r="B1317" s="235"/>
      <c r="C1317" s="235"/>
      <c r="D1317" s="235"/>
      <c r="E1317" s="235"/>
      <c r="F1317" s="236"/>
      <c r="G1317" s="237"/>
      <c r="H1317" s="237"/>
      <c r="I1317" s="238"/>
      <c r="J1317" s="235"/>
      <c r="K1317" s="235"/>
      <c r="L1317" s="235"/>
      <c r="M1317" s="235"/>
      <c r="N1317" s="239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</row>
    <row r="1318" spans="1:45" ht="16.5" customHeight="1">
      <c r="A1318" s="235"/>
      <c r="B1318" s="235"/>
      <c r="C1318" s="235"/>
      <c r="D1318" s="235"/>
      <c r="E1318" s="235"/>
      <c r="F1318" s="236"/>
      <c r="G1318" s="237"/>
      <c r="H1318" s="237"/>
      <c r="I1318" s="238"/>
      <c r="J1318" s="235"/>
      <c r="K1318" s="235"/>
      <c r="L1318" s="235"/>
      <c r="M1318" s="235"/>
      <c r="N1318" s="239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</row>
    <row r="1319" spans="1:45" ht="16.5" customHeight="1">
      <c r="A1319" s="235"/>
      <c r="B1319" s="235"/>
      <c r="C1319" s="235"/>
      <c r="D1319" s="235"/>
      <c r="E1319" s="235"/>
      <c r="F1319" s="236"/>
      <c r="G1319" s="237"/>
      <c r="H1319" s="237"/>
      <c r="I1319" s="238"/>
      <c r="J1319" s="235"/>
      <c r="K1319" s="235"/>
      <c r="L1319" s="235"/>
      <c r="M1319" s="235"/>
      <c r="N1319" s="239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</row>
    <row r="1320" spans="1:45" ht="16.5" customHeight="1">
      <c r="A1320" s="235"/>
      <c r="B1320" s="235"/>
      <c r="C1320" s="235"/>
      <c r="D1320" s="235"/>
      <c r="E1320" s="235"/>
      <c r="F1320" s="236"/>
      <c r="G1320" s="237"/>
      <c r="H1320" s="237"/>
      <c r="I1320" s="238"/>
      <c r="J1320" s="235"/>
      <c r="K1320" s="235"/>
      <c r="L1320" s="235"/>
      <c r="M1320" s="235"/>
      <c r="N1320" s="239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</row>
    <row r="1321" spans="1:45" ht="16.5" customHeight="1">
      <c r="A1321" s="235"/>
      <c r="B1321" s="235"/>
      <c r="C1321" s="235"/>
      <c r="D1321" s="235"/>
      <c r="E1321" s="235"/>
      <c r="F1321" s="236"/>
      <c r="G1321" s="237"/>
      <c r="H1321" s="237"/>
      <c r="I1321" s="238"/>
      <c r="J1321" s="235"/>
      <c r="K1321" s="235"/>
      <c r="L1321" s="235"/>
      <c r="M1321" s="235"/>
      <c r="N1321" s="239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</row>
    <row r="1322" spans="1:45" ht="16.5" customHeight="1">
      <c r="A1322" s="235"/>
      <c r="B1322" s="235"/>
      <c r="C1322" s="235"/>
      <c r="D1322" s="235"/>
      <c r="E1322" s="235"/>
      <c r="F1322" s="236"/>
      <c r="G1322" s="237"/>
      <c r="H1322" s="237"/>
      <c r="I1322" s="238"/>
      <c r="J1322" s="235"/>
      <c r="K1322" s="235"/>
      <c r="L1322" s="235"/>
      <c r="M1322" s="235"/>
      <c r="N1322" s="239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  <c r="AS1322" s="6"/>
    </row>
    <row r="1323" spans="1:45" ht="16.5" customHeight="1">
      <c r="A1323" s="235"/>
      <c r="B1323" s="235"/>
      <c r="C1323" s="235"/>
      <c r="D1323" s="235"/>
      <c r="E1323" s="235"/>
      <c r="F1323" s="236"/>
      <c r="G1323" s="237"/>
      <c r="H1323" s="237"/>
      <c r="I1323" s="238"/>
      <c r="J1323" s="235"/>
      <c r="K1323" s="235"/>
      <c r="L1323" s="235"/>
      <c r="M1323" s="235"/>
      <c r="N1323" s="239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</row>
    <row r="1324" spans="1:45" ht="16.5" customHeight="1">
      <c r="A1324" s="235"/>
      <c r="B1324" s="235"/>
      <c r="C1324" s="235"/>
      <c r="D1324" s="235"/>
      <c r="E1324" s="235"/>
      <c r="F1324" s="236"/>
      <c r="G1324" s="237"/>
      <c r="H1324" s="237"/>
      <c r="I1324" s="238"/>
      <c r="J1324" s="235"/>
      <c r="K1324" s="235"/>
      <c r="L1324" s="235"/>
      <c r="M1324" s="235"/>
      <c r="N1324" s="239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</row>
    <row r="1325" spans="1:45" ht="16.5" customHeight="1">
      <c r="A1325" s="235"/>
      <c r="B1325" s="235"/>
      <c r="C1325" s="235"/>
      <c r="D1325" s="235"/>
      <c r="E1325" s="235"/>
      <c r="F1325" s="236"/>
      <c r="G1325" s="237"/>
      <c r="H1325" s="237"/>
      <c r="I1325" s="238"/>
      <c r="J1325" s="235"/>
      <c r="K1325" s="235"/>
      <c r="L1325" s="235"/>
      <c r="M1325" s="235"/>
      <c r="N1325" s="239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</row>
    <row r="1326" spans="1:45" ht="16.5" customHeight="1">
      <c r="A1326" s="235"/>
      <c r="B1326" s="235"/>
      <c r="C1326" s="235"/>
      <c r="D1326" s="235"/>
      <c r="E1326" s="235"/>
      <c r="F1326" s="236"/>
      <c r="G1326" s="237"/>
      <c r="H1326" s="237"/>
      <c r="I1326" s="238"/>
      <c r="J1326" s="235"/>
      <c r="K1326" s="235"/>
      <c r="L1326" s="235"/>
      <c r="M1326" s="235"/>
      <c r="N1326" s="239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</row>
    <row r="1327" spans="1:45" ht="16.5" customHeight="1">
      <c r="A1327" s="235"/>
      <c r="B1327" s="235"/>
      <c r="C1327" s="235"/>
      <c r="D1327" s="235"/>
      <c r="E1327" s="235"/>
      <c r="F1327" s="236"/>
      <c r="G1327" s="237"/>
      <c r="H1327" s="237"/>
      <c r="I1327" s="238"/>
      <c r="J1327" s="235"/>
      <c r="K1327" s="235"/>
      <c r="L1327" s="235"/>
      <c r="M1327" s="235"/>
      <c r="N1327" s="239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</row>
    <row r="1328" spans="1:45" ht="16.5" customHeight="1">
      <c r="A1328" s="235"/>
      <c r="B1328" s="235"/>
      <c r="C1328" s="235"/>
      <c r="D1328" s="235"/>
      <c r="E1328" s="235"/>
      <c r="F1328" s="236"/>
      <c r="G1328" s="237"/>
      <c r="H1328" s="237"/>
      <c r="I1328" s="238"/>
      <c r="J1328" s="235"/>
      <c r="K1328" s="235"/>
      <c r="L1328" s="235"/>
      <c r="M1328" s="235"/>
      <c r="N1328" s="239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</row>
    <row r="1329" spans="1:45" ht="16.5" customHeight="1">
      <c r="A1329" s="235"/>
      <c r="B1329" s="235"/>
      <c r="C1329" s="235"/>
      <c r="D1329" s="235"/>
      <c r="E1329" s="235"/>
      <c r="F1329" s="236"/>
      <c r="G1329" s="237"/>
      <c r="H1329" s="237"/>
      <c r="I1329" s="238"/>
      <c r="J1329" s="235"/>
      <c r="K1329" s="235"/>
      <c r="L1329" s="235"/>
      <c r="M1329" s="235"/>
      <c r="N1329" s="239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</row>
    <row r="1330" spans="1:45" ht="16.5" customHeight="1">
      <c r="A1330" s="235"/>
      <c r="B1330" s="235"/>
      <c r="C1330" s="235"/>
      <c r="D1330" s="235"/>
      <c r="E1330" s="235"/>
      <c r="F1330" s="236"/>
      <c r="G1330" s="237"/>
      <c r="H1330" s="237"/>
      <c r="I1330" s="238"/>
      <c r="J1330" s="235"/>
      <c r="K1330" s="235"/>
      <c r="L1330" s="235"/>
      <c r="M1330" s="235"/>
      <c r="N1330" s="239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</row>
    <row r="1331" spans="1:45" ht="16.5" customHeight="1">
      <c r="A1331" s="235"/>
      <c r="B1331" s="235"/>
      <c r="C1331" s="235"/>
      <c r="D1331" s="235"/>
      <c r="E1331" s="235"/>
      <c r="F1331" s="236"/>
      <c r="G1331" s="237"/>
      <c r="H1331" s="237"/>
      <c r="I1331" s="238"/>
      <c r="J1331" s="235"/>
      <c r="K1331" s="235"/>
      <c r="L1331" s="235"/>
      <c r="M1331" s="235"/>
      <c r="N1331" s="239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</row>
    <row r="1332" spans="1:45" ht="16.5" customHeight="1">
      <c r="A1332" s="235"/>
      <c r="B1332" s="235"/>
      <c r="C1332" s="235"/>
      <c r="D1332" s="235"/>
      <c r="E1332" s="235"/>
      <c r="F1332" s="236"/>
      <c r="G1332" s="237"/>
      <c r="H1332" s="237"/>
      <c r="I1332" s="238"/>
      <c r="J1332" s="235"/>
      <c r="K1332" s="235"/>
      <c r="L1332" s="235"/>
      <c r="M1332" s="235"/>
      <c r="N1332" s="239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</row>
    <row r="1333" spans="1:45" ht="16.5" customHeight="1">
      <c r="A1333" s="235"/>
      <c r="B1333" s="235"/>
      <c r="C1333" s="235"/>
      <c r="D1333" s="235"/>
      <c r="E1333" s="235"/>
      <c r="F1333" s="236"/>
      <c r="G1333" s="237"/>
      <c r="H1333" s="237"/>
      <c r="I1333" s="238"/>
      <c r="J1333" s="235"/>
      <c r="K1333" s="235"/>
      <c r="L1333" s="235"/>
      <c r="M1333" s="235"/>
      <c r="N1333" s="239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</row>
    <row r="1334" spans="1:45" ht="16.5" customHeight="1">
      <c r="A1334" s="235"/>
      <c r="B1334" s="235"/>
      <c r="C1334" s="235"/>
      <c r="D1334" s="235"/>
      <c r="E1334" s="235"/>
      <c r="F1334" s="236"/>
      <c r="G1334" s="237"/>
      <c r="H1334" s="237"/>
      <c r="I1334" s="238"/>
      <c r="J1334" s="235"/>
      <c r="K1334" s="235"/>
      <c r="L1334" s="235"/>
      <c r="M1334" s="235"/>
      <c r="N1334" s="239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</row>
    <row r="1335" spans="1:45" ht="16.5" customHeight="1">
      <c r="A1335" s="235"/>
      <c r="B1335" s="235"/>
      <c r="C1335" s="235"/>
      <c r="D1335" s="235"/>
      <c r="E1335" s="235"/>
      <c r="F1335" s="236"/>
      <c r="G1335" s="237"/>
      <c r="H1335" s="237"/>
      <c r="I1335" s="238"/>
      <c r="J1335" s="235"/>
      <c r="K1335" s="235"/>
      <c r="L1335" s="235"/>
      <c r="M1335" s="235"/>
      <c r="N1335" s="239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</row>
    <row r="1336" spans="1:45" ht="16.5" customHeight="1">
      <c r="A1336" s="235"/>
      <c r="B1336" s="235"/>
      <c r="C1336" s="235"/>
      <c r="D1336" s="235"/>
      <c r="E1336" s="235"/>
      <c r="F1336" s="236"/>
      <c r="G1336" s="237"/>
      <c r="H1336" s="237"/>
      <c r="I1336" s="238"/>
      <c r="J1336" s="235"/>
      <c r="K1336" s="235"/>
      <c r="L1336" s="235"/>
      <c r="M1336" s="235"/>
      <c r="N1336" s="239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</row>
    <row r="1337" spans="1:45" ht="16.5" customHeight="1">
      <c r="A1337" s="235"/>
      <c r="B1337" s="235"/>
      <c r="C1337" s="235"/>
      <c r="D1337" s="235"/>
      <c r="E1337" s="235"/>
      <c r="F1337" s="236"/>
      <c r="G1337" s="237"/>
      <c r="H1337" s="237"/>
      <c r="I1337" s="238"/>
      <c r="J1337" s="235"/>
      <c r="K1337" s="235"/>
      <c r="L1337" s="235"/>
      <c r="M1337" s="235"/>
      <c r="N1337" s="239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</row>
    <row r="1338" spans="1:45" ht="16.5" customHeight="1">
      <c r="A1338" s="235"/>
      <c r="B1338" s="235"/>
      <c r="C1338" s="235"/>
      <c r="D1338" s="235"/>
      <c r="E1338" s="235"/>
      <c r="F1338" s="236"/>
      <c r="G1338" s="237"/>
      <c r="H1338" s="237"/>
      <c r="I1338" s="238"/>
      <c r="J1338" s="235"/>
      <c r="K1338" s="235"/>
      <c r="L1338" s="235"/>
      <c r="M1338" s="235"/>
      <c r="N1338" s="239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</row>
    <row r="1339" spans="1:45" ht="16.5" customHeight="1">
      <c r="A1339" s="235"/>
      <c r="B1339" s="235"/>
      <c r="C1339" s="235"/>
      <c r="D1339" s="235"/>
      <c r="E1339" s="235"/>
      <c r="F1339" s="236"/>
      <c r="G1339" s="237"/>
      <c r="H1339" s="237"/>
      <c r="I1339" s="238"/>
      <c r="J1339" s="235"/>
      <c r="K1339" s="235"/>
      <c r="L1339" s="235"/>
      <c r="M1339" s="235"/>
      <c r="N1339" s="239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</row>
    <row r="1340" spans="1:45" ht="16.5" customHeight="1">
      <c r="A1340" s="235"/>
      <c r="B1340" s="235"/>
      <c r="C1340" s="235"/>
      <c r="D1340" s="235"/>
      <c r="E1340" s="235"/>
      <c r="F1340" s="236"/>
      <c r="G1340" s="237"/>
      <c r="H1340" s="237"/>
      <c r="I1340" s="238"/>
      <c r="J1340" s="235"/>
      <c r="K1340" s="235"/>
      <c r="L1340" s="235"/>
      <c r="M1340" s="235"/>
      <c r="N1340" s="239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</row>
    <row r="1341" spans="1:45" ht="16.5" customHeight="1">
      <c r="A1341" s="235"/>
      <c r="B1341" s="235"/>
      <c r="C1341" s="235"/>
      <c r="D1341" s="235"/>
      <c r="E1341" s="235"/>
      <c r="F1341" s="236"/>
      <c r="G1341" s="237"/>
      <c r="H1341" s="237"/>
      <c r="I1341" s="238"/>
      <c r="J1341" s="235"/>
      <c r="K1341" s="235"/>
      <c r="L1341" s="235"/>
      <c r="M1341" s="235"/>
      <c r="N1341" s="239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</row>
    <row r="1342" spans="1:45" ht="16.5" customHeight="1">
      <c r="A1342" s="235"/>
      <c r="B1342" s="235"/>
      <c r="C1342" s="235"/>
      <c r="D1342" s="235"/>
      <c r="E1342" s="235"/>
      <c r="F1342" s="236"/>
      <c r="G1342" s="237"/>
      <c r="H1342" s="237"/>
      <c r="I1342" s="238"/>
      <c r="J1342" s="235"/>
      <c r="K1342" s="235"/>
      <c r="L1342" s="235"/>
      <c r="M1342" s="235"/>
      <c r="N1342" s="239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</row>
    <row r="1343" spans="1:45" ht="16.5" customHeight="1">
      <c r="A1343" s="235"/>
      <c r="B1343" s="235"/>
      <c r="C1343" s="235"/>
      <c r="D1343" s="235"/>
      <c r="E1343" s="235"/>
      <c r="F1343" s="236"/>
      <c r="G1343" s="237"/>
      <c r="H1343" s="237"/>
      <c r="I1343" s="238"/>
      <c r="J1343" s="235"/>
      <c r="K1343" s="235"/>
      <c r="L1343" s="235"/>
      <c r="M1343" s="235"/>
      <c r="N1343" s="239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</row>
    <row r="1344" spans="1:45" ht="16.5" customHeight="1">
      <c r="A1344" s="235"/>
      <c r="B1344" s="235"/>
      <c r="C1344" s="235"/>
      <c r="D1344" s="235"/>
      <c r="E1344" s="235"/>
      <c r="F1344" s="236"/>
      <c r="G1344" s="237"/>
      <c r="H1344" s="237"/>
      <c r="I1344" s="238"/>
      <c r="J1344" s="235"/>
      <c r="K1344" s="235"/>
      <c r="L1344" s="235"/>
      <c r="M1344" s="235"/>
      <c r="N1344" s="239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</row>
    <row r="1345" spans="1:45" ht="16.5" customHeight="1">
      <c r="A1345" s="235"/>
      <c r="B1345" s="235"/>
      <c r="C1345" s="235"/>
      <c r="D1345" s="235"/>
      <c r="E1345" s="235"/>
      <c r="F1345" s="236"/>
      <c r="G1345" s="237"/>
      <c r="H1345" s="237"/>
      <c r="I1345" s="238"/>
      <c r="J1345" s="235"/>
      <c r="K1345" s="235"/>
      <c r="L1345" s="235"/>
      <c r="M1345" s="235"/>
      <c r="N1345" s="239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</row>
    <row r="1346" spans="1:45" ht="16.5" customHeight="1">
      <c r="A1346" s="235"/>
      <c r="B1346" s="235"/>
      <c r="C1346" s="235"/>
      <c r="D1346" s="235"/>
      <c r="E1346" s="235"/>
      <c r="F1346" s="236"/>
      <c r="G1346" s="237"/>
      <c r="H1346" s="237"/>
      <c r="I1346" s="238"/>
      <c r="J1346" s="235"/>
      <c r="K1346" s="235"/>
      <c r="L1346" s="235"/>
      <c r="M1346" s="235"/>
      <c r="N1346" s="239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</row>
    <row r="1347" spans="1:45" ht="16.5" customHeight="1">
      <c r="A1347" s="235"/>
      <c r="B1347" s="235"/>
      <c r="C1347" s="235"/>
      <c r="D1347" s="235"/>
      <c r="E1347" s="235"/>
      <c r="F1347" s="236"/>
      <c r="G1347" s="237"/>
      <c r="H1347" s="237"/>
      <c r="I1347" s="238"/>
      <c r="J1347" s="235"/>
      <c r="K1347" s="235"/>
      <c r="L1347" s="235"/>
      <c r="M1347" s="235"/>
      <c r="N1347" s="239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</row>
    <row r="1348" spans="1:45" ht="16.5" customHeight="1">
      <c r="A1348" s="235"/>
      <c r="B1348" s="235"/>
      <c r="C1348" s="235"/>
      <c r="D1348" s="235"/>
      <c r="E1348" s="235"/>
      <c r="F1348" s="236"/>
      <c r="G1348" s="237"/>
      <c r="H1348" s="237"/>
      <c r="I1348" s="238"/>
      <c r="J1348" s="235"/>
      <c r="K1348" s="235"/>
      <c r="L1348" s="235"/>
      <c r="M1348" s="235"/>
      <c r="N1348" s="239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</row>
    <row r="1349" spans="1:45" ht="16.5" customHeight="1">
      <c r="A1349" s="235"/>
      <c r="B1349" s="235"/>
      <c r="C1349" s="235"/>
      <c r="D1349" s="235"/>
      <c r="E1349" s="235"/>
      <c r="F1349" s="236"/>
      <c r="G1349" s="237"/>
      <c r="H1349" s="237"/>
      <c r="I1349" s="238"/>
      <c r="J1349" s="235"/>
      <c r="K1349" s="235"/>
      <c r="L1349" s="235"/>
      <c r="M1349" s="235"/>
      <c r="N1349" s="239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</row>
    <row r="1350" spans="1:45" ht="16.5" customHeight="1">
      <c r="A1350" s="235"/>
      <c r="B1350" s="235"/>
      <c r="C1350" s="235"/>
      <c r="D1350" s="235"/>
      <c r="E1350" s="235"/>
      <c r="F1350" s="236"/>
      <c r="G1350" s="237"/>
      <c r="H1350" s="237"/>
      <c r="I1350" s="238"/>
      <c r="J1350" s="235"/>
      <c r="K1350" s="235"/>
      <c r="L1350" s="235"/>
      <c r="M1350" s="235"/>
      <c r="N1350" s="239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</row>
    <row r="1351" spans="1:45" ht="16.5" customHeight="1">
      <c r="A1351" s="235"/>
      <c r="B1351" s="235"/>
      <c r="C1351" s="235"/>
      <c r="D1351" s="235"/>
      <c r="E1351" s="235"/>
      <c r="F1351" s="236"/>
      <c r="G1351" s="237"/>
      <c r="H1351" s="237"/>
      <c r="I1351" s="238"/>
      <c r="J1351" s="235"/>
      <c r="K1351" s="235"/>
      <c r="L1351" s="235"/>
      <c r="M1351" s="235"/>
      <c r="N1351" s="239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</row>
    <row r="1352" spans="1:45" ht="16.5" customHeight="1">
      <c r="A1352" s="235"/>
      <c r="B1352" s="235"/>
      <c r="C1352" s="235"/>
      <c r="D1352" s="235"/>
      <c r="E1352" s="235"/>
      <c r="F1352" s="236"/>
      <c r="G1352" s="237"/>
      <c r="H1352" s="237"/>
      <c r="I1352" s="238"/>
      <c r="J1352" s="235"/>
      <c r="K1352" s="235"/>
      <c r="L1352" s="235"/>
      <c r="M1352" s="235"/>
      <c r="N1352" s="239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</row>
    <row r="1353" spans="1:45" ht="16.5" customHeight="1">
      <c r="A1353" s="235"/>
      <c r="B1353" s="235"/>
      <c r="C1353" s="235"/>
      <c r="D1353" s="235"/>
      <c r="E1353" s="235"/>
      <c r="F1353" s="236"/>
      <c r="G1353" s="237"/>
      <c r="H1353" s="237"/>
      <c r="I1353" s="238"/>
      <c r="J1353" s="235"/>
      <c r="K1353" s="235"/>
      <c r="L1353" s="235"/>
      <c r="M1353" s="235"/>
      <c r="N1353" s="239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</row>
    <row r="1354" spans="1:45" ht="16.5" customHeight="1">
      <c r="A1354" s="235"/>
      <c r="B1354" s="235"/>
      <c r="C1354" s="235"/>
      <c r="D1354" s="235"/>
      <c r="E1354" s="235"/>
      <c r="F1354" s="236"/>
      <c r="G1354" s="237"/>
      <c r="H1354" s="237"/>
      <c r="I1354" s="238"/>
      <c r="J1354" s="235"/>
      <c r="K1354" s="235"/>
      <c r="L1354" s="235"/>
      <c r="M1354" s="235"/>
      <c r="N1354" s="239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</row>
    <row r="1355" spans="1:45" ht="16.5" customHeight="1">
      <c r="A1355" s="235"/>
      <c r="B1355" s="235"/>
      <c r="C1355" s="235"/>
      <c r="D1355" s="235"/>
      <c r="E1355" s="235"/>
      <c r="F1355" s="236"/>
      <c r="G1355" s="237"/>
      <c r="H1355" s="237"/>
      <c r="I1355" s="238"/>
      <c r="J1355" s="235"/>
      <c r="K1355" s="235"/>
      <c r="L1355" s="235"/>
      <c r="M1355" s="235"/>
      <c r="N1355" s="239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</row>
    <row r="1356" spans="1:45" ht="16.5" customHeight="1">
      <c r="A1356" s="235"/>
      <c r="B1356" s="235"/>
      <c r="C1356" s="235"/>
      <c r="D1356" s="235"/>
      <c r="E1356" s="235"/>
      <c r="F1356" s="236"/>
      <c r="G1356" s="237"/>
      <c r="H1356" s="237"/>
      <c r="I1356" s="238"/>
      <c r="J1356" s="235"/>
      <c r="K1356" s="235"/>
      <c r="L1356" s="235"/>
      <c r="M1356" s="235"/>
      <c r="N1356" s="239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</row>
    <row r="1357" spans="1:45" ht="16.5" customHeight="1">
      <c r="A1357" s="235"/>
      <c r="B1357" s="235"/>
      <c r="C1357" s="235"/>
      <c r="D1357" s="235"/>
      <c r="E1357" s="235"/>
      <c r="F1357" s="236"/>
      <c r="G1357" s="237"/>
      <c r="H1357" s="237"/>
      <c r="I1357" s="238"/>
      <c r="J1357" s="235"/>
      <c r="K1357" s="235"/>
      <c r="L1357" s="235"/>
      <c r="M1357" s="235"/>
      <c r="N1357" s="239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</row>
    <row r="1358" spans="1:45" ht="16.5" customHeight="1">
      <c r="A1358" s="235"/>
      <c r="B1358" s="235"/>
      <c r="C1358" s="235"/>
      <c r="D1358" s="235"/>
      <c r="E1358" s="235"/>
      <c r="F1358" s="236"/>
      <c r="G1358" s="237"/>
      <c r="H1358" s="237"/>
      <c r="I1358" s="238"/>
      <c r="J1358" s="235"/>
      <c r="K1358" s="235"/>
      <c r="L1358" s="235"/>
      <c r="M1358" s="235"/>
      <c r="N1358" s="239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</row>
    <row r="1359" spans="1:45" ht="16.5" customHeight="1">
      <c r="A1359" s="235"/>
      <c r="B1359" s="235"/>
      <c r="C1359" s="235"/>
      <c r="D1359" s="235"/>
      <c r="E1359" s="235"/>
      <c r="F1359" s="236"/>
      <c r="G1359" s="237"/>
      <c r="H1359" s="237"/>
      <c r="I1359" s="238"/>
      <c r="J1359" s="235"/>
      <c r="K1359" s="235"/>
      <c r="L1359" s="235"/>
      <c r="M1359" s="235"/>
      <c r="N1359" s="239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</row>
    <row r="1360" spans="1:45" ht="16.5" customHeight="1">
      <c r="A1360" s="235"/>
      <c r="B1360" s="235"/>
      <c r="C1360" s="235"/>
      <c r="D1360" s="235"/>
      <c r="E1360" s="235"/>
      <c r="F1360" s="236"/>
      <c r="G1360" s="237"/>
      <c r="H1360" s="237"/>
      <c r="I1360" s="238"/>
      <c r="J1360" s="235"/>
      <c r="K1360" s="235"/>
      <c r="L1360" s="235"/>
      <c r="M1360" s="235"/>
      <c r="N1360" s="239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</row>
    <row r="1361" spans="1:45" ht="16.5" customHeight="1">
      <c r="A1361" s="235"/>
      <c r="B1361" s="235"/>
      <c r="C1361" s="235"/>
      <c r="D1361" s="235"/>
      <c r="E1361" s="235"/>
      <c r="F1361" s="236"/>
      <c r="G1361" s="237"/>
      <c r="H1361" s="237"/>
      <c r="I1361" s="238"/>
      <c r="J1361" s="235"/>
      <c r="K1361" s="235"/>
      <c r="L1361" s="235"/>
      <c r="M1361" s="235"/>
      <c r="N1361" s="239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</row>
    <row r="1362" spans="1:45" ht="16.5" customHeight="1">
      <c r="A1362" s="235"/>
      <c r="B1362" s="235"/>
      <c r="C1362" s="235"/>
      <c r="D1362" s="235"/>
      <c r="E1362" s="235"/>
      <c r="F1362" s="236"/>
      <c r="G1362" s="237"/>
      <c r="H1362" s="237"/>
      <c r="I1362" s="238"/>
      <c r="J1362" s="235"/>
      <c r="K1362" s="235"/>
      <c r="L1362" s="235"/>
      <c r="M1362" s="235"/>
      <c r="N1362" s="239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</row>
    <row r="1363" spans="1:45" ht="16.5" customHeight="1">
      <c r="A1363" s="235"/>
      <c r="B1363" s="235"/>
      <c r="C1363" s="235"/>
      <c r="D1363" s="235"/>
      <c r="E1363" s="235"/>
      <c r="F1363" s="236"/>
      <c r="G1363" s="237"/>
      <c r="H1363" s="237"/>
      <c r="I1363" s="238"/>
      <c r="J1363" s="235"/>
      <c r="K1363" s="235"/>
      <c r="L1363" s="235"/>
      <c r="M1363" s="235"/>
      <c r="N1363" s="239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</row>
    <row r="1364" spans="1:45" ht="16.5" customHeight="1">
      <c r="A1364" s="235"/>
      <c r="B1364" s="235"/>
      <c r="C1364" s="235"/>
      <c r="D1364" s="235"/>
      <c r="E1364" s="235"/>
      <c r="F1364" s="236"/>
      <c r="G1364" s="237"/>
      <c r="H1364" s="237"/>
      <c r="I1364" s="238"/>
      <c r="J1364" s="235"/>
      <c r="K1364" s="235"/>
      <c r="L1364" s="235"/>
      <c r="M1364" s="235"/>
      <c r="N1364" s="239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</row>
    <row r="1365" spans="1:45" ht="16.5" customHeight="1">
      <c r="A1365" s="235"/>
      <c r="B1365" s="235"/>
      <c r="C1365" s="235"/>
      <c r="D1365" s="235"/>
      <c r="E1365" s="235"/>
      <c r="F1365" s="236"/>
      <c r="G1365" s="237"/>
      <c r="H1365" s="237"/>
      <c r="I1365" s="238"/>
      <c r="J1365" s="235"/>
      <c r="K1365" s="235"/>
      <c r="L1365" s="235"/>
      <c r="M1365" s="235"/>
      <c r="N1365" s="239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</row>
    <row r="1366" spans="1:45" ht="16.5" customHeight="1">
      <c r="A1366" s="235"/>
      <c r="B1366" s="235"/>
      <c r="C1366" s="235"/>
      <c r="D1366" s="235"/>
      <c r="E1366" s="235"/>
      <c r="F1366" s="236"/>
      <c r="G1366" s="237"/>
      <c r="H1366" s="237"/>
      <c r="I1366" s="238"/>
      <c r="J1366" s="235"/>
      <c r="K1366" s="235"/>
      <c r="L1366" s="235"/>
      <c r="M1366" s="235"/>
      <c r="N1366" s="239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</row>
    <row r="1367" spans="1:45" ht="16.5" customHeight="1">
      <c r="A1367" s="235"/>
      <c r="B1367" s="235"/>
      <c r="C1367" s="235"/>
      <c r="D1367" s="235"/>
      <c r="E1367" s="235"/>
      <c r="F1367" s="236"/>
      <c r="G1367" s="237"/>
      <c r="H1367" s="237"/>
      <c r="I1367" s="238"/>
      <c r="J1367" s="235"/>
      <c r="K1367" s="235"/>
      <c r="L1367" s="235"/>
      <c r="M1367" s="235"/>
      <c r="N1367" s="239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</row>
    <row r="1368" spans="1:45" ht="16.5" customHeight="1">
      <c r="A1368" s="235"/>
      <c r="B1368" s="235"/>
      <c r="C1368" s="235"/>
      <c r="D1368" s="235"/>
      <c r="E1368" s="235"/>
      <c r="F1368" s="236"/>
      <c r="G1368" s="237"/>
      <c r="H1368" s="237"/>
      <c r="I1368" s="238"/>
      <c r="J1368" s="235"/>
      <c r="K1368" s="235"/>
      <c r="L1368" s="235"/>
      <c r="M1368" s="235"/>
      <c r="N1368" s="239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</row>
    <row r="1369" spans="1:45" ht="16.5" customHeight="1">
      <c r="A1369" s="235"/>
      <c r="B1369" s="235"/>
      <c r="C1369" s="235"/>
      <c r="D1369" s="235"/>
      <c r="E1369" s="235"/>
      <c r="F1369" s="236"/>
      <c r="G1369" s="237"/>
      <c r="H1369" s="237"/>
      <c r="I1369" s="238"/>
      <c r="J1369" s="235"/>
      <c r="K1369" s="235"/>
      <c r="L1369" s="235"/>
      <c r="M1369" s="235"/>
      <c r="N1369" s="239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</row>
    <row r="1370" spans="1:45" ht="16.5" customHeight="1">
      <c r="A1370" s="235"/>
      <c r="B1370" s="235"/>
      <c r="C1370" s="235"/>
      <c r="D1370" s="235"/>
      <c r="E1370" s="235"/>
      <c r="F1370" s="236"/>
      <c r="G1370" s="237"/>
      <c r="H1370" s="237"/>
      <c r="I1370" s="238"/>
      <c r="J1370" s="235"/>
      <c r="K1370" s="235"/>
      <c r="L1370" s="235"/>
      <c r="M1370" s="235"/>
      <c r="N1370" s="239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</row>
    <row r="1371" spans="1:45" ht="16.5" customHeight="1">
      <c r="A1371" s="235"/>
      <c r="B1371" s="235"/>
      <c r="C1371" s="235"/>
      <c r="D1371" s="235"/>
      <c r="E1371" s="235"/>
      <c r="F1371" s="236"/>
      <c r="G1371" s="237"/>
      <c r="H1371" s="237"/>
      <c r="I1371" s="238"/>
      <c r="J1371" s="235"/>
      <c r="K1371" s="235"/>
      <c r="L1371" s="235"/>
      <c r="M1371" s="235"/>
      <c r="N1371" s="239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</row>
    <row r="1372" spans="1:45" ht="16.5" customHeight="1">
      <c r="A1372" s="235"/>
      <c r="B1372" s="235"/>
      <c r="C1372" s="235"/>
      <c r="D1372" s="235"/>
      <c r="E1372" s="235"/>
      <c r="F1372" s="236"/>
      <c r="G1372" s="237"/>
      <c r="H1372" s="237"/>
      <c r="I1372" s="238"/>
      <c r="J1372" s="235"/>
      <c r="K1372" s="235"/>
      <c r="L1372" s="235"/>
      <c r="M1372" s="235"/>
      <c r="N1372" s="239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</row>
    <row r="1373" spans="1:45" ht="16.5" customHeight="1">
      <c r="A1373" s="235"/>
      <c r="B1373" s="235"/>
      <c r="C1373" s="235"/>
      <c r="D1373" s="235"/>
      <c r="E1373" s="235"/>
      <c r="F1373" s="236"/>
      <c r="G1373" s="237"/>
      <c r="H1373" s="237"/>
      <c r="I1373" s="238"/>
      <c r="J1373" s="235"/>
      <c r="K1373" s="235"/>
      <c r="L1373" s="235"/>
      <c r="M1373" s="235"/>
      <c r="N1373" s="239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</row>
    <row r="1374" spans="1:45" ht="16.5" customHeight="1">
      <c r="A1374" s="235"/>
      <c r="B1374" s="235"/>
      <c r="C1374" s="235"/>
      <c r="D1374" s="235"/>
      <c r="E1374" s="235"/>
      <c r="F1374" s="236"/>
      <c r="G1374" s="237"/>
      <c r="H1374" s="237"/>
      <c r="I1374" s="238"/>
      <c r="J1374" s="235"/>
      <c r="K1374" s="235"/>
      <c r="L1374" s="235"/>
      <c r="M1374" s="235"/>
      <c r="N1374" s="239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</row>
    <row r="1375" spans="1:45" ht="16.5" customHeight="1">
      <c r="A1375" s="235"/>
      <c r="B1375" s="235"/>
      <c r="C1375" s="235"/>
      <c r="D1375" s="235"/>
      <c r="E1375" s="235"/>
      <c r="F1375" s="236"/>
      <c r="G1375" s="237"/>
      <c r="H1375" s="237"/>
      <c r="I1375" s="238"/>
      <c r="J1375" s="235"/>
      <c r="K1375" s="235"/>
      <c r="L1375" s="235"/>
      <c r="M1375" s="235"/>
      <c r="N1375" s="239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</row>
    <row r="1376" spans="1:45" ht="16.5" customHeight="1">
      <c r="A1376" s="235"/>
      <c r="B1376" s="235"/>
      <c r="C1376" s="235"/>
      <c r="D1376" s="235"/>
      <c r="E1376" s="235"/>
      <c r="F1376" s="236"/>
      <c r="G1376" s="237"/>
      <c r="H1376" s="237"/>
      <c r="I1376" s="238"/>
      <c r="J1376" s="235"/>
      <c r="K1376" s="235"/>
      <c r="L1376" s="235"/>
      <c r="M1376" s="235"/>
      <c r="N1376" s="239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</row>
    <row r="1377" spans="1:45" ht="16.5" customHeight="1">
      <c r="A1377" s="235"/>
      <c r="B1377" s="235"/>
      <c r="C1377" s="235"/>
      <c r="D1377" s="235"/>
      <c r="E1377" s="235"/>
      <c r="F1377" s="236"/>
      <c r="G1377" s="237"/>
      <c r="H1377" s="237"/>
      <c r="I1377" s="238"/>
      <c r="J1377" s="235"/>
      <c r="K1377" s="235"/>
      <c r="L1377" s="235"/>
      <c r="M1377" s="235"/>
      <c r="N1377" s="239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</row>
    <row r="1378" spans="1:45" ht="16.5" customHeight="1">
      <c r="A1378" s="235"/>
      <c r="B1378" s="235"/>
      <c r="C1378" s="235"/>
      <c r="D1378" s="235"/>
      <c r="E1378" s="235"/>
      <c r="F1378" s="236"/>
      <c r="G1378" s="237"/>
      <c r="H1378" s="237"/>
      <c r="I1378" s="238"/>
      <c r="J1378" s="235"/>
      <c r="K1378" s="235"/>
      <c r="L1378" s="235"/>
      <c r="M1378" s="235"/>
      <c r="N1378" s="239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</row>
    <row r="1379" spans="1:45" ht="16.5" customHeight="1">
      <c r="A1379" s="235"/>
      <c r="B1379" s="235"/>
      <c r="C1379" s="235"/>
      <c r="D1379" s="235"/>
      <c r="E1379" s="235"/>
      <c r="F1379" s="236"/>
      <c r="G1379" s="237"/>
      <c r="H1379" s="237"/>
      <c r="I1379" s="238"/>
      <c r="J1379" s="235"/>
      <c r="K1379" s="235"/>
      <c r="L1379" s="235"/>
      <c r="M1379" s="235"/>
      <c r="N1379" s="239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</row>
    <row r="1380" spans="1:45" ht="16.5" customHeight="1">
      <c r="A1380" s="235"/>
      <c r="B1380" s="235"/>
      <c r="C1380" s="235"/>
      <c r="D1380" s="235"/>
      <c r="E1380" s="235"/>
      <c r="F1380" s="236"/>
      <c r="G1380" s="237"/>
      <c r="H1380" s="237"/>
      <c r="I1380" s="238"/>
      <c r="J1380" s="235"/>
      <c r="K1380" s="235"/>
      <c r="L1380" s="235"/>
      <c r="M1380" s="235"/>
      <c r="N1380" s="239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</row>
    <row r="1381" spans="1:45" ht="16.5" customHeight="1">
      <c r="A1381" s="235"/>
      <c r="B1381" s="235"/>
      <c r="C1381" s="235"/>
      <c r="D1381" s="235"/>
      <c r="E1381" s="235"/>
      <c r="F1381" s="236"/>
      <c r="G1381" s="237"/>
      <c r="H1381" s="237"/>
      <c r="I1381" s="238"/>
      <c r="J1381" s="235"/>
      <c r="K1381" s="235"/>
      <c r="L1381" s="235"/>
      <c r="M1381" s="235"/>
      <c r="N1381" s="239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</row>
    <row r="1382" spans="1:45" ht="16.5" customHeight="1">
      <c r="A1382" s="235"/>
      <c r="B1382" s="235"/>
      <c r="C1382" s="235"/>
      <c r="D1382" s="235"/>
      <c r="E1382" s="235"/>
      <c r="F1382" s="236"/>
      <c r="G1382" s="237"/>
      <c r="H1382" s="237"/>
      <c r="I1382" s="238"/>
      <c r="J1382" s="235"/>
      <c r="K1382" s="235"/>
      <c r="L1382" s="235"/>
      <c r="M1382" s="235"/>
      <c r="N1382" s="239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</row>
    <row r="1383" spans="1:45" ht="16.5" customHeight="1">
      <c r="A1383" s="235"/>
      <c r="B1383" s="235"/>
      <c r="C1383" s="235"/>
      <c r="D1383" s="235"/>
      <c r="E1383" s="235"/>
      <c r="F1383" s="236"/>
      <c r="G1383" s="237"/>
      <c r="H1383" s="237"/>
      <c r="I1383" s="238"/>
      <c r="J1383" s="235"/>
      <c r="K1383" s="235"/>
      <c r="L1383" s="235"/>
      <c r="M1383" s="235"/>
      <c r="N1383" s="239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</row>
    <row r="1384" spans="1:45" ht="16.5" customHeight="1">
      <c r="A1384" s="235"/>
      <c r="B1384" s="235"/>
      <c r="C1384" s="235"/>
      <c r="D1384" s="235"/>
      <c r="E1384" s="235"/>
      <c r="F1384" s="236"/>
      <c r="G1384" s="237"/>
      <c r="H1384" s="237"/>
      <c r="I1384" s="238"/>
      <c r="J1384" s="235"/>
      <c r="K1384" s="235"/>
      <c r="L1384" s="235"/>
      <c r="M1384" s="235"/>
      <c r="N1384" s="239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</row>
    <row r="1385" spans="1:45" ht="16.5" customHeight="1">
      <c r="A1385" s="235"/>
      <c r="B1385" s="235"/>
      <c r="C1385" s="235"/>
      <c r="D1385" s="235"/>
      <c r="E1385" s="235"/>
      <c r="F1385" s="236"/>
      <c r="G1385" s="237"/>
      <c r="H1385" s="237"/>
      <c r="I1385" s="238"/>
      <c r="J1385" s="235"/>
      <c r="K1385" s="235"/>
      <c r="L1385" s="235"/>
      <c r="M1385" s="235"/>
      <c r="N1385" s="239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  <c r="AS1385" s="6"/>
    </row>
    <row r="1386" spans="1:45" ht="16.5" customHeight="1">
      <c r="A1386" s="235"/>
      <c r="B1386" s="235"/>
      <c r="C1386" s="235"/>
      <c r="D1386" s="235"/>
      <c r="E1386" s="235"/>
      <c r="F1386" s="236"/>
      <c r="G1386" s="237"/>
      <c r="H1386" s="237"/>
      <c r="I1386" s="238"/>
      <c r="J1386" s="235"/>
      <c r="K1386" s="235"/>
      <c r="L1386" s="235"/>
      <c r="M1386" s="235"/>
      <c r="N1386" s="239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  <c r="AS1386" s="6"/>
    </row>
    <row r="1387" spans="1:45" ht="16.5" customHeight="1">
      <c r="A1387" s="235"/>
      <c r="B1387" s="235"/>
      <c r="C1387" s="235"/>
      <c r="D1387" s="235"/>
      <c r="E1387" s="235"/>
      <c r="F1387" s="236"/>
      <c r="G1387" s="237"/>
      <c r="H1387" s="237"/>
      <c r="I1387" s="238"/>
      <c r="J1387" s="235"/>
      <c r="K1387" s="235"/>
      <c r="L1387" s="235"/>
      <c r="M1387" s="235"/>
      <c r="N1387" s="239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  <c r="AS1387" s="6"/>
    </row>
    <row r="1388" spans="1:45" ht="16.5" customHeight="1">
      <c r="A1388" s="235"/>
      <c r="B1388" s="235"/>
      <c r="C1388" s="235"/>
      <c r="D1388" s="235"/>
      <c r="E1388" s="235"/>
      <c r="F1388" s="236"/>
      <c r="G1388" s="237"/>
      <c r="H1388" s="237"/>
      <c r="I1388" s="238"/>
      <c r="J1388" s="235"/>
      <c r="K1388" s="235"/>
      <c r="L1388" s="235"/>
      <c r="M1388" s="235"/>
      <c r="N1388" s="239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/>
      <c r="AS1388" s="6"/>
    </row>
    <row r="1389" spans="1:45" ht="16.5" customHeight="1">
      <c r="A1389" s="235"/>
      <c r="B1389" s="235"/>
      <c r="C1389" s="235"/>
      <c r="D1389" s="235"/>
      <c r="E1389" s="235"/>
      <c r="F1389" s="236"/>
      <c r="G1389" s="237"/>
      <c r="H1389" s="237"/>
      <c r="I1389" s="238"/>
      <c r="J1389" s="235"/>
      <c r="K1389" s="235"/>
      <c r="L1389" s="235"/>
      <c r="M1389" s="235"/>
      <c r="N1389" s="239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  <c r="AS1389" s="6"/>
    </row>
    <row r="1390" spans="1:45" ht="16.5" customHeight="1">
      <c r="A1390" s="235"/>
      <c r="B1390" s="235"/>
      <c r="C1390" s="235"/>
      <c r="D1390" s="235"/>
      <c r="E1390" s="235"/>
      <c r="F1390" s="236"/>
      <c r="G1390" s="237"/>
      <c r="H1390" s="237"/>
      <c r="I1390" s="238"/>
      <c r="J1390" s="235"/>
      <c r="K1390" s="235"/>
      <c r="L1390" s="235"/>
      <c r="M1390" s="235"/>
      <c r="N1390" s="239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</row>
    <row r="1391" spans="1:45" ht="16.5" customHeight="1">
      <c r="A1391" s="235"/>
      <c r="B1391" s="235"/>
      <c r="C1391" s="235"/>
      <c r="D1391" s="235"/>
      <c r="E1391" s="235"/>
      <c r="F1391" s="236"/>
      <c r="G1391" s="237"/>
      <c r="H1391" s="237"/>
      <c r="I1391" s="238"/>
      <c r="J1391" s="235"/>
      <c r="K1391" s="235"/>
      <c r="L1391" s="235"/>
      <c r="M1391" s="235"/>
      <c r="N1391" s="239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</row>
    <row r="1392" spans="1:45" ht="16.5" customHeight="1">
      <c r="A1392" s="235"/>
      <c r="B1392" s="235"/>
      <c r="C1392" s="235"/>
      <c r="D1392" s="235"/>
      <c r="E1392" s="235"/>
      <c r="F1392" s="236"/>
      <c r="G1392" s="237"/>
      <c r="H1392" s="237"/>
      <c r="I1392" s="238"/>
      <c r="J1392" s="235"/>
      <c r="K1392" s="235"/>
      <c r="L1392" s="235"/>
      <c r="M1392" s="235"/>
      <c r="N1392" s="239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</row>
    <row r="1393" spans="1:45" ht="16.5" customHeight="1">
      <c r="A1393" s="235"/>
      <c r="B1393" s="235"/>
      <c r="C1393" s="235"/>
      <c r="D1393" s="235"/>
      <c r="E1393" s="235"/>
      <c r="F1393" s="236"/>
      <c r="G1393" s="237"/>
      <c r="H1393" s="237"/>
      <c r="I1393" s="238"/>
      <c r="J1393" s="235"/>
      <c r="K1393" s="235"/>
      <c r="L1393" s="235"/>
      <c r="M1393" s="235"/>
      <c r="N1393" s="239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</row>
    <row r="1394" spans="1:45" ht="16.5" customHeight="1">
      <c r="A1394" s="235"/>
      <c r="B1394" s="235"/>
      <c r="C1394" s="235"/>
      <c r="D1394" s="235"/>
      <c r="E1394" s="235"/>
      <c r="F1394" s="236"/>
      <c r="G1394" s="237"/>
      <c r="H1394" s="237"/>
      <c r="I1394" s="238"/>
      <c r="J1394" s="235"/>
      <c r="K1394" s="235"/>
      <c r="L1394" s="235"/>
      <c r="M1394" s="235"/>
      <c r="N1394" s="239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</row>
    <row r="1395" spans="1:45" ht="16.5" customHeight="1">
      <c r="A1395" s="235"/>
      <c r="B1395" s="235"/>
      <c r="C1395" s="235"/>
      <c r="D1395" s="235"/>
      <c r="E1395" s="235"/>
      <c r="F1395" s="236"/>
      <c r="G1395" s="237"/>
      <c r="H1395" s="237"/>
      <c r="I1395" s="238"/>
      <c r="J1395" s="235"/>
      <c r="K1395" s="235"/>
      <c r="L1395" s="235"/>
      <c r="M1395" s="235"/>
      <c r="N1395" s="239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/>
      <c r="AS1395" s="6"/>
    </row>
    <row r="1396" spans="1:45" ht="16.5" customHeight="1">
      <c r="A1396" s="235"/>
      <c r="B1396" s="235"/>
      <c r="C1396" s="235"/>
      <c r="D1396" s="235"/>
      <c r="E1396" s="235"/>
      <c r="F1396" s="236"/>
      <c r="G1396" s="237"/>
      <c r="H1396" s="237"/>
      <c r="I1396" s="238"/>
      <c r="J1396" s="235"/>
      <c r="K1396" s="235"/>
      <c r="L1396" s="235"/>
      <c r="M1396" s="235"/>
      <c r="N1396" s="239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</row>
    <row r="1397" spans="1:45" ht="16.5" customHeight="1">
      <c r="A1397" s="235"/>
      <c r="B1397" s="235"/>
      <c r="C1397" s="235"/>
      <c r="D1397" s="235"/>
      <c r="E1397" s="235"/>
      <c r="F1397" s="236"/>
      <c r="G1397" s="237"/>
      <c r="H1397" s="237"/>
      <c r="I1397" s="238"/>
      <c r="J1397" s="235"/>
      <c r="K1397" s="235"/>
      <c r="L1397" s="235"/>
      <c r="M1397" s="235"/>
      <c r="N1397" s="239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</row>
    <row r="1398" spans="1:45" ht="16.5" customHeight="1">
      <c r="A1398" s="235"/>
      <c r="B1398" s="235"/>
      <c r="C1398" s="235"/>
      <c r="D1398" s="235"/>
      <c r="E1398" s="235"/>
      <c r="F1398" s="236"/>
      <c r="G1398" s="237"/>
      <c r="H1398" s="237"/>
      <c r="I1398" s="238"/>
      <c r="J1398" s="235"/>
      <c r="K1398" s="235"/>
      <c r="L1398" s="235"/>
      <c r="M1398" s="235"/>
      <c r="N1398" s="239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</row>
    <row r="1399" spans="1:45" ht="16.5" customHeight="1">
      <c r="A1399" s="235"/>
      <c r="B1399" s="235"/>
      <c r="C1399" s="235"/>
      <c r="D1399" s="235"/>
      <c r="E1399" s="235"/>
      <c r="F1399" s="236"/>
      <c r="G1399" s="237"/>
      <c r="H1399" s="237"/>
      <c r="I1399" s="238"/>
      <c r="J1399" s="235"/>
      <c r="K1399" s="235"/>
      <c r="L1399" s="235"/>
      <c r="M1399" s="235"/>
      <c r="N1399" s="239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</row>
    <row r="1400" spans="1:45" ht="16.5" customHeight="1">
      <c r="A1400" s="235"/>
      <c r="B1400" s="235"/>
      <c r="C1400" s="235"/>
      <c r="D1400" s="235"/>
      <c r="E1400" s="235"/>
      <c r="F1400" s="236"/>
      <c r="G1400" s="237"/>
      <c r="H1400" s="237"/>
      <c r="I1400" s="238"/>
      <c r="J1400" s="235"/>
      <c r="K1400" s="235"/>
      <c r="L1400" s="235"/>
      <c r="M1400" s="235"/>
      <c r="N1400" s="239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</row>
    <row r="1401" spans="1:45" ht="16.5" customHeight="1">
      <c r="A1401" s="235"/>
      <c r="B1401" s="235"/>
      <c r="C1401" s="235"/>
      <c r="D1401" s="235"/>
      <c r="E1401" s="235"/>
      <c r="F1401" s="236"/>
      <c r="G1401" s="237"/>
      <c r="H1401" s="237"/>
      <c r="I1401" s="238"/>
      <c r="J1401" s="235"/>
      <c r="K1401" s="235"/>
      <c r="L1401" s="235"/>
      <c r="M1401" s="235"/>
      <c r="N1401" s="239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</row>
    <row r="1402" spans="1:45" ht="16.5" customHeight="1">
      <c r="A1402" s="235"/>
      <c r="B1402" s="235"/>
      <c r="C1402" s="235"/>
      <c r="D1402" s="235"/>
      <c r="E1402" s="235"/>
      <c r="F1402" s="236"/>
      <c r="G1402" s="237"/>
      <c r="H1402" s="237"/>
      <c r="I1402" s="238"/>
      <c r="J1402" s="235"/>
      <c r="K1402" s="235"/>
      <c r="L1402" s="235"/>
      <c r="M1402" s="235"/>
      <c r="N1402" s="239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</row>
    <row r="1403" spans="1:45" ht="16.5" customHeight="1">
      <c r="A1403" s="235"/>
      <c r="B1403" s="235"/>
      <c r="C1403" s="235"/>
      <c r="D1403" s="235"/>
      <c r="E1403" s="235"/>
      <c r="F1403" s="236"/>
      <c r="G1403" s="237"/>
      <c r="H1403" s="237"/>
      <c r="I1403" s="238"/>
      <c r="J1403" s="235"/>
      <c r="K1403" s="235"/>
      <c r="L1403" s="235"/>
      <c r="M1403" s="235"/>
      <c r="N1403" s="239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  <c r="AS1403" s="6"/>
    </row>
    <row r="1404" spans="1:45" ht="16.5" customHeight="1">
      <c r="A1404" s="235"/>
      <c r="B1404" s="235"/>
      <c r="C1404" s="235"/>
      <c r="D1404" s="235"/>
      <c r="E1404" s="235"/>
      <c r="F1404" s="236"/>
      <c r="G1404" s="237"/>
      <c r="H1404" s="237"/>
      <c r="I1404" s="238"/>
      <c r="J1404" s="235"/>
      <c r="K1404" s="235"/>
      <c r="L1404" s="235"/>
      <c r="M1404" s="235"/>
      <c r="N1404" s="239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</row>
    <row r="1405" spans="1:45" ht="16.5" customHeight="1">
      <c r="A1405" s="235"/>
      <c r="B1405" s="235"/>
      <c r="C1405" s="235"/>
      <c r="D1405" s="235"/>
      <c r="E1405" s="235"/>
      <c r="F1405" s="236"/>
      <c r="G1405" s="237"/>
      <c r="H1405" s="237"/>
      <c r="I1405" s="238"/>
      <c r="J1405" s="235"/>
      <c r="K1405" s="235"/>
      <c r="L1405" s="235"/>
      <c r="M1405" s="235"/>
      <c r="N1405" s="239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</row>
    <row r="1406" spans="1:45" ht="16.5" customHeight="1">
      <c r="A1406" s="235"/>
      <c r="B1406" s="235"/>
      <c r="C1406" s="235"/>
      <c r="D1406" s="235"/>
      <c r="E1406" s="235"/>
      <c r="F1406" s="236"/>
      <c r="G1406" s="237"/>
      <c r="H1406" s="237"/>
      <c r="I1406" s="238"/>
      <c r="J1406" s="235"/>
      <c r="K1406" s="235"/>
      <c r="L1406" s="235"/>
      <c r="M1406" s="235"/>
      <c r="N1406" s="239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</row>
    <row r="1407" spans="1:45" ht="16.5" customHeight="1">
      <c r="A1407" s="235"/>
      <c r="B1407" s="235"/>
      <c r="C1407" s="235"/>
      <c r="D1407" s="235"/>
      <c r="E1407" s="235"/>
      <c r="F1407" s="236"/>
      <c r="G1407" s="237"/>
      <c r="H1407" s="237"/>
      <c r="I1407" s="238"/>
      <c r="J1407" s="235"/>
      <c r="K1407" s="235"/>
      <c r="L1407" s="235"/>
      <c r="M1407" s="235"/>
      <c r="N1407" s="239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</row>
    <row r="1408" spans="1:45" ht="16.5" customHeight="1">
      <c r="A1408" s="235"/>
      <c r="B1408" s="235"/>
      <c r="C1408" s="235"/>
      <c r="D1408" s="235"/>
      <c r="E1408" s="235"/>
      <c r="F1408" s="236"/>
      <c r="G1408" s="237"/>
      <c r="H1408" s="237"/>
      <c r="I1408" s="238"/>
      <c r="J1408" s="235"/>
      <c r="K1408" s="235"/>
      <c r="L1408" s="235"/>
      <c r="M1408" s="235"/>
      <c r="N1408" s="239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</row>
    <row r="1409" spans="1:45" ht="16.5" customHeight="1">
      <c r="A1409" s="235"/>
      <c r="B1409" s="235"/>
      <c r="C1409" s="235"/>
      <c r="D1409" s="235"/>
      <c r="E1409" s="235"/>
      <c r="F1409" s="236"/>
      <c r="G1409" s="237"/>
      <c r="H1409" s="237"/>
      <c r="I1409" s="238"/>
      <c r="J1409" s="235"/>
      <c r="K1409" s="235"/>
      <c r="L1409" s="235"/>
      <c r="M1409" s="235"/>
      <c r="N1409" s="239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</row>
    <row r="1410" spans="1:45" ht="16.5" customHeight="1">
      <c r="A1410" s="235"/>
      <c r="B1410" s="235"/>
      <c r="C1410" s="235"/>
      <c r="D1410" s="235"/>
      <c r="E1410" s="235"/>
      <c r="F1410" s="236"/>
      <c r="G1410" s="237"/>
      <c r="H1410" s="237"/>
      <c r="I1410" s="238"/>
      <c r="J1410" s="235"/>
      <c r="K1410" s="235"/>
      <c r="L1410" s="235"/>
      <c r="M1410" s="235"/>
      <c r="N1410" s="239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</row>
    <row r="1411" spans="1:45" ht="16.5" customHeight="1">
      <c r="A1411" s="235"/>
      <c r="B1411" s="235"/>
      <c r="C1411" s="235"/>
      <c r="D1411" s="235"/>
      <c r="E1411" s="235"/>
      <c r="F1411" s="236"/>
      <c r="G1411" s="237"/>
      <c r="H1411" s="237"/>
      <c r="I1411" s="238"/>
      <c r="J1411" s="235"/>
      <c r="K1411" s="235"/>
      <c r="L1411" s="235"/>
      <c r="M1411" s="235"/>
      <c r="N1411" s="239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</row>
    <row r="1412" spans="1:45" ht="16.5" customHeight="1">
      <c r="A1412" s="235"/>
      <c r="B1412" s="235"/>
      <c r="C1412" s="235"/>
      <c r="D1412" s="235"/>
      <c r="E1412" s="235"/>
      <c r="F1412" s="236"/>
      <c r="G1412" s="237"/>
      <c r="H1412" s="237"/>
      <c r="I1412" s="238"/>
      <c r="J1412" s="235"/>
      <c r="K1412" s="235"/>
      <c r="L1412" s="235"/>
      <c r="M1412" s="235"/>
      <c r="N1412" s="239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/>
      <c r="AS1412" s="6"/>
    </row>
    <row r="1413" spans="1:45" ht="16.5" customHeight="1">
      <c r="A1413" s="235"/>
      <c r="B1413" s="235"/>
      <c r="C1413" s="235"/>
      <c r="D1413" s="235"/>
      <c r="E1413" s="235"/>
      <c r="F1413" s="236"/>
      <c r="G1413" s="237"/>
      <c r="H1413" s="237"/>
      <c r="I1413" s="238"/>
      <c r="J1413" s="235"/>
      <c r="K1413" s="235"/>
      <c r="L1413" s="235"/>
      <c r="M1413" s="235"/>
      <c r="N1413" s="239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/>
      <c r="AS1413" s="6"/>
    </row>
    <row r="1414" spans="1:45" ht="16.5" customHeight="1">
      <c r="A1414" s="235"/>
      <c r="B1414" s="235"/>
      <c r="C1414" s="235"/>
      <c r="D1414" s="235"/>
      <c r="E1414" s="235"/>
      <c r="F1414" s="236"/>
      <c r="G1414" s="237"/>
      <c r="H1414" s="237"/>
      <c r="I1414" s="238"/>
      <c r="J1414" s="235"/>
      <c r="K1414" s="235"/>
      <c r="L1414" s="235"/>
      <c r="M1414" s="235"/>
      <c r="N1414" s="239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</row>
    <row r="1415" spans="1:45" ht="16.5" customHeight="1">
      <c r="A1415" s="235"/>
      <c r="B1415" s="235"/>
      <c r="C1415" s="235"/>
      <c r="D1415" s="235"/>
      <c r="E1415" s="235"/>
      <c r="F1415" s="236"/>
      <c r="G1415" s="237"/>
      <c r="H1415" s="237"/>
      <c r="I1415" s="238"/>
      <c r="J1415" s="235"/>
      <c r="K1415" s="235"/>
      <c r="L1415" s="235"/>
      <c r="M1415" s="235"/>
      <c r="N1415" s="239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  <c r="AS1415" s="6"/>
    </row>
    <row r="1416" spans="1:45" ht="16.5" customHeight="1">
      <c r="A1416" s="235"/>
      <c r="B1416" s="235"/>
      <c r="C1416" s="235"/>
      <c r="D1416" s="235"/>
      <c r="E1416" s="235"/>
      <c r="F1416" s="236"/>
      <c r="G1416" s="237"/>
      <c r="H1416" s="237"/>
      <c r="I1416" s="238"/>
      <c r="J1416" s="235"/>
      <c r="K1416" s="235"/>
      <c r="L1416" s="235"/>
      <c r="M1416" s="235"/>
      <c r="N1416" s="239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  <c r="AS1416" s="6"/>
    </row>
    <row r="1417" spans="1:45" ht="16.5" customHeight="1">
      <c r="A1417" s="235"/>
      <c r="B1417" s="235"/>
      <c r="C1417" s="235"/>
      <c r="D1417" s="235"/>
      <c r="E1417" s="235"/>
      <c r="F1417" s="236"/>
      <c r="G1417" s="237"/>
      <c r="H1417" s="237"/>
      <c r="I1417" s="238"/>
      <c r="J1417" s="235"/>
      <c r="K1417" s="235"/>
      <c r="L1417" s="235"/>
      <c r="M1417" s="235"/>
      <c r="N1417" s="239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</row>
    <row r="1418" spans="1:45" ht="16.5" customHeight="1">
      <c r="A1418" s="235"/>
      <c r="B1418" s="235"/>
      <c r="C1418" s="235"/>
      <c r="D1418" s="235"/>
      <c r="E1418" s="235"/>
      <c r="F1418" s="236"/>
      <c r="G1418" s="237"/>
      <c r="H1418" s="237"/>
      <c r="I1418" s="238"/>
      <c r="J1418" s="235"/>
      <c r="K1418" s="235"/>
      <c r="L1418" s="235"/>
      <c r="M1418" s="235"/>
      <c r="N1418" s="239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  <c r="AS1418" s="6"/>
    </row>
    <row r="1419" spans="1:45" ht="16.5" customHeight="1">
      <c r="A1419" s="235"/>
      <c r="B1419" s="235"/>
      <c r="C1419" s="235"/>
      <c r="D1419" s="235"/>
      <c r="E1419" s="235"/>
      <c r="F1419" s="236"/>
      <c r="G1419" s="237"/>
      <c r="H1419" s="237"/>
      <c r="I1419" s="238"/>
      <c r="J1419" s="235"/>
      <c r="K1419" s="235"/>
      <c r="L1419" s="235"/>
      <c r="M1419" s="235"/>
      <c r="N1419" s="239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  <c r="AS1419" s="6"/>
    </row>
    <row r="1420" spans="1:45" ht="16.5" customHeight="1">
      <c r="A1420" s="235"/>
      <c r="B1420" s="235"/>
      <c r="C1420" s="235"/>
      <c r="D1420" s="235"/>
      <c r="E1420" s="235"/>
      <c r="F1420" s="236"/>
      <c r="G1420" s="237"/>
      <c r="H1420" s="237"/>
      <c r="I1420" s="238"/>
      <c r="J1420" s="235"/>
      <c r="K1420" s="235"/>
      <c r="L1420" s="235"/>
      <c r="M1420" s="235"/>
      <c r="N1420" s="239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  <c r="AS1420" s="6"/>
    </row>
    <row r="1421" spans="1:45" ht="16.5" customHeight="1">
      <c r="A1421" s="235"/>
      <c r="B1421" s="235"/>
      <c r="C1421" s="235"/>
      <c r="D1421" s="235"/>
      <c r="E1421" s="235"/>
      <c r="F1421" s="236"/>
      <c r="G1421" s="237"/>
      <c r="H1421" s="237"/>
      <c r="I1421" s="238"/>
      <c r="J1421" s="235"/>
      <c r="K1421" s="235"/>
      <c r="L1421" s="235"/>
      <c r="M1421" s="235"/>
      <c r="N1421" s="239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</row>
    <row r="1422" spans="1:45" ht="16.5" customHeight="1">
      <c r="A1422" s="235"/>
      <c r="B1422" s="235"/>
      <c r="C1422" s="235"/>
      <c r="D1422" s="235"/>
      <c r="E1422" s="235"/>
      <c r="F1422" s="236"/>
      <c r="G1422" s="237"/>
      <c r="H1422" s="237"/>
      <c r="I1422" s="238"/>
      <c r="J1422" s="235"/>
      <c r="K1422" s="235"/>
      <c r="L1422" s="235"/>
      <c r="M1422" s="235"/>
      <c r="N1422" s="239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</row>
    <row r="1423" spans="1:45" ht="16.5" customHeight="1">
      <c r="A1423" s="235"/>
      <c r="B1423" s="235"/>
      <c r="C1423" s="235"/>
      <c r="D1423" s="235"/>
      <c r="E1423" s="235"/>
      <c r="F1423" s="236"/>
      <c r="G1423" s="237"/>
      <c r="H1423" s="237"/>
      <c r="I1423" s="238"/>
      <c r="J1423" s="235"/>
      <c r="K1423" s="235"/>
      <c r="L1423" s="235"/>
      <c r="M1423" s="235"/>
      <c r="N1423" s="239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</row>
    <row r="1424" spans="1:45" ht="16.5" customHeight="1">
      <c r="A1424" s="235"/>
      <c r="B1424" s="235"/>
      <c r="C1424" s="235"/>
      <c r="D1424" s="235"/>
      <c r="E1424" s="235"/>
      <c r="F1424" s="236"/>
      <c r="G1424" s="237"/>
      <c r="H1424" s="237"/>
      <c r="I1424" s="238"/>
      <c r="J1424" s="235"/>
      <c r="K1424" s="235"/>
      <c r="L1424" s="235"/>
      <c r="M1424" s="235"/>
      <c r="N1424" s="239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  <c r="AS1424" s="6"/>
    </row>
    <row r="1425" spans="1:45" ht="16.5" customHeight="1">
      <c r="A1425" s="235"/>
      <c r="B1425" s="235"/>
      <c r="C1425" s="235"/>
      <c r="D1425" s="235"/>
      <c r="E1425" s="235"/>
      <c r="F1425" s="236"/>
      <c r="G1425" s="237"/>
      <c r="H1425" s="237"/>
      <c r="I1425" s="238"/>
      <c r="J1425" s="235"/>
      <c r="K1425" s="235"/>
      <c r="L1425" s="235"/>
      <c r="M1425" s="235"/>
      <c r="N1425" s="239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  <c r="AS1425" s="6"/>
    </row>
    <row r="1426" spans="1:45" ht="16.5" customHeight="1">
      <c r="A1426" s="235"/>
      <c r="B1426" s="235"/>
      <c r="C1426" s="235"/>
      <c r="D1426" s="235"/>
      <c r="E1426" s="235"/>
      <c r="F1426" s="236"/>
      <c r="G1426" s="237"/>
      <c r="H1426" s="237"/>
      <c r="I1426" s="238"/>
      <c r="J1426" s="235"/>
      <c r="K1426" s="235"/>
      <c r="L1426" s="235"/>
      <c r="M1426" s="235"/>
      <c r="N1426" s="239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</row>
    <row r="1427" spans="1:45" ht="16.5" customHeight="1">
      <c r="A1427" s="235"/>
      <c r="B1427" s="235"/>
      <c r="C1427" s="235"/>
      <c r="D1427" s="235"/>
      <c r="E1427" s="235"/>
      <c r="F1427" s="236"/>
      <c r="G1427" s="237"/>
      <c r="H1427" s="237"/>
      <c r="I1427" s="238"/>
      <c r="J1427" s="235"/>
      <c r="K1427" s="235"/>
      <c r="L1427" s="235"/>
      <c r="M1427" s="235"/>
      <c r="N1427" s="239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</row>
    <row r="1428" spans="1:45" ht="16.5" customHeight="1">
      <c r="A1428" s="235"/>
      <c r="B1428" s="235"/>
      <c r="C1428" s="235"/>
      <c r="D1428" s="235"/>
      <c r="E1428" s="235"/>
      <c r="F1428" s="236"/>
      <c r="G1428" s="237"/>
      <c r="H1428" s="237"/>
      <c r="I1428" s="238"/>
      <c r="J1428" s="235"/>
      <c r="K1428" s="235"/>
      <c r="L1428" s="235"/>
      <c r="M1428" s="235"/>
      <c r="N1428" s="239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</row>
    <row r="1429" spans="1:45" ht="16.5" customHeight="1">
      <c r="A1429" s="235"/>
      <c r="B1429" s="235"/>
      <c r="C1429" s="235"/>
      <c r="D1429" s="235"/>
      <c r="E1429" s="235"/>
      <c r="F1429" s="236"/>
      <c r="G1429" s="237"/>
      <c r="H1429" s="237"/>
      <c r="I1429" s="238"/>
      <c r="J1429" s="235"/>
      <c r="K1429" s="235"/>
      <c r="L1429" s="235"/>
      <c r="M1429" s="235"/>
      <c r="N1429" s="239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  <c r="AS1429" s="6"/>
    </row>
    <row r="1430" spans="1:45" ht="16.5" customHeight="1">
      <c r="A1430" s="235"/>
      <c r="B1430" s="235"/>
      <c r="C1430" s="235"/>
      <c r="D1430" s="235"/>
      <c r="E1430" s="235"/>
      <c r="F1430" s="236"/>
      <c r="G1430" s="237"/>
      <c r="H1430" s="237"/>
      <c r="I1430" s="238"/>
      <c r="J1430" s="235"/>
      <c r="K1430" s="235"/>
      <c r="L1430" s="235"/>
      <c r="M1430" s="235"/>
      <c r="N1430" s="239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  <c r="AS1430" s="6"/>
    </row>
    <row r="1431" spans="1:45" ht="16.5" customHeight="1">
      <c r="A1431" s="235"/>
      <c r="B1431" s="235"/>
      <c r="C1431" s="235"/>
      <c r="D1431" s="235"/>
      <c r="E1431" s="235"/>
      <c r="F1431" s="236"/>
      <c r="G1431" s="237"/>
      <c r="H1431" s="237"/>
      <c r="I1431" s="238"/>
      <c r="J1431" s="235"/>
      <c r="K1431" s="235"/>
      <c r="L1431" s="235"/>
      <c r="M1431" s="235"/>
      <c r="N1431" s="239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  <c r="AR1431" s="6"/>
      <c r="AS1431" s="6"/>
    </row>
    <row r="1432" spans="1:45" ht="16.5" customHeight="1">
      <c r="A1432" s="235"/>
      <c r="B1432" s="235"/>
      <c r="C1432" s="235"/>
      <c r="D1432" s="235"/>
      <c r="E1432" s="235"/>
      <c r="F1432" s="236"/>
      <c r="G1432" s="237"/>
      <c r="H1432" s="237"/>
      <c r="I1432" s="238"/>
      <c r="J1432" s="235"/>
      <c r="K1432" s="235"/>
      <c r="L1432" s="235"/>
      <c r="M1432" s="235"/>
      <c r="N1432" s="239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  <c r="AS1432" s="6"/>
    </row>
    <row r="1433" spans="1:45" ht="16.5" customHeight="1">
      <c r="A1433" s="235"/>
      <c r="B1433" s="235"/>
      <c r="C1433" s="235"/>
      <c r="D1433" s="235"/>
      <c r="E1433" s="235"/>
      <c r="F1433" s="236"/>
      <c r="G1433" s="237"/>
      <c r="H1433" s="237"/>
      <c r="I1433" s="238"/>
      <c r="J1433" s="235"/>
      <c r="K1433" s="235"/>
      <c r="L1433" s="235"/>
      <c r="M1433" s="235"/>
      <c r="N1433" s="239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  <c r="AS1433" s="6"/>
    </row>
    <row r="1434" spans="1:45" ht="16.5" customHeight="1">
      <c r="A1434" s="235"/>
      <c r="B1434" s="235"/>
      <c r="C1434" s="235"/>
      <c r="D1434" s="235"/>
      <c r="E1434" s="235"/>
      <c r="F1434" s="236"/>
      <c r="G1434" s="237"/>
      <c r="H1434" s="237"/>
      <c r="I1434" s="238"/>
      <c r="J1434" s="235"/>
      <c r="K1434" s="235"/>
      <c r="L1434" s="235"/>
      <c r="M1434" s="235"/>
      <c r="N1434" s="239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  <c r="AS1434" s="6"/>
    </row>
    <row r="1435" spans="1:45" ht="16.5" customHeight="1">
      <c r="A1435" s="235"/>
      <c r="B1435" s="235"/>
      <c r="C1435" s="235"/>
      <c r="D1435" s="235"/>
      <c r="E1435" s="235"/>
      <c r="F1435" s="236"/>
      <c r="G1435" s="237"/>
      <c r="H1435" s="237"/>
      <c r="I1435" s="238"/>
      <c r="J1435" s="235"/>
      <c r="K1435" s="235"/>
      <c r="L1435" s="235"/>
      <c r="M1435" s="235"/>
      <c r="N1435" s="239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/>
      <c r="AS1435" s="6"/>
    </row>
    <row r="1436" spans="1:45" ht="16.5" customHeight="1">
      <c r="A1436" s="235"/>
      <c r="B1436" s="235"/>
      <c r="C1436" s="235"/>
      <c r="D1436" s="235"/>
      <c r="E1436" s="235"/>
      <c r="F1436" s="236"/>
      <c r="G1436" s="237"/>
      <c r="H1436" s="237"/>
      <c r="I1436" s="238"/>
      <c r="J1436" s="235"/>
      <c r="K1436" s="235"/>
      <c r="L1436" s="235"/>
      <c r="M1436" s="235"/>
      <c r="N1436" s="239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  <c r="AS1436" s="6"/>
    </row>
    <row r="1437" spans="1:45" ht="16.5" customHeight="1">
      <c r="A1437" s="235"/>
      <c r="B1437" s="235"/>
      <c r="C1437" s="235"/>
      <c r="D1437" s="235"/>
      <c r="E1437" s="235"/>
      <c r="F1437" s="236"/>
      <c r="G1437" s="237"/>
      <c r="H1437" s="237"/>
      <c r="I1437" s="238"/>
      <c r="J1437" s="235"/>
      <c r="K1437" s="235"/>
      <c r="L1437" s="235"/>
      <c r="M1437" s="235"/>
      <c r="N1437" s="239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  <c r="AQ1437" s="6"/>
      <c r="AR1437" s="6"/>
      <c r="AS1437" s="6"/>
    </row>
    <row r="1438" spans="1:45" ht="16.5" customHeight="1">
      <c r="A1438" s="235"/>
      <c r="B1438" s="235"/>
      <c r="C1438" s="235"/>
      <c r="D1438" s="235"/>
      <c r="E1438" s="235"/>
      <c r="F1438" s="236"/>
      <c r="G1438" s="237"/>
      <c r="H1438" s="237"/>
      <c r="I1438" s="238"/>
      <c r="J1438" s="235"/>
      <c r="K1438" s="235"/>
      <c r="L1438" s="235"/>
      <c r="M1438" s="235"/>
      <c r="N1438" s="239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  <c r="AR1438" s="6"/>
      <c r="AS1438" s="6"/>
    </row>
    <row r="1439" spans="1:45" ht="16.5" customHeight="1">
      <c r="A1439" s="235"/>
      <c r="B1439" s="235"/>
      <c r="C1439" s="235"/>
      <c r="D1439" s="235"/>
      <c r="E1439" s="235"/>
      <c r="F1439" s="236"/>
      <c r="G1439" s="237"/>
      <c r="H1439" s="237"/>
      <c r="I1439" s="238"/>
      <c r="J1439" s="235"/>
      <c r="K1439" s="235"/>
      <c r="L1439" s="235"/>
      <c r="M1439" s="235"/>
      <c r="N1439" s="239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  <c r="AS1439" s="6"/>
    </row>
    <row r="1440" spans="1:45" ht="16.5" customHeight="1">
      <c r="A1440" s="235"/>
      <c r="B1440" s="235"/>
      <c r="C1440" s="235"/>
      <c r="D1440" s="235"/>
      <c r="E1440" s="235"/>
      <c r="F1440" s="236"/>
      <c r="G1440" s="237"/>
      <c r="H1440" s="237"/>
      <c r="I1440" s="238"/>
      <c r="J1440" s="235"/>
      <c r="K1440" s="235"/>
      <c r="L1440" s="235"/>
      <c r="M1440" s="235"/>
      <c r="N1440" s="239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  <c r="AS1440" s="6"/>
    </row>
    <row r="1441" spans="1:45" ht="16.5" customHeight="1">
      <c r="A1441" s="235"/>
      <c r="B1441" s="235"/>
      <c r="C1441" s="235"/>
      <c r="D1441" s="235"/>
      <c r="E1441" s="235"/>
      <c r="F1441" s="236"/>
      <c r="G1441" s="237"/>
      <c r="H1441" s="237"/>
      <c r="I1441" s="238"/>
      <c r="J1441" s="235"/>
      <c r="K1441" s="235"/>
      <c r="L1441" s="235"/>
      <c r="M1441" s="235"/>
      <c r="N1441" s="239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/>
      <c r="AS1441" s="6"/>
    </row>
    <row r="1442" spans="1:45" ht="16.5" customHeight="1">
      <c r="A1442" s="235"/>
      <c r="B1442" s="235"/>
      <c r="C1442" s="235"/>
      <c r="D1442" s="235"/>
      <c r="E1442" s="235"/>
      <c r="F1442" s="236"/>
      <c r="G1442" s="237"/>
      <c r="H1442" s="237"/>
      <c r="I1442" s="238"/>
      <c r="J1442" s="235"/>
      <c r="K1442" s="235"/>
      <c r="L1442" s="235"/>
      <c r="M1442" s="235"/>
      <c r="N1442" s="239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/>
      <c r="AS1442" s="6"/>
    </row>
    <row r="1443" spans="1:45" ht="16.5" customHeight="1">
      <c r="A1443" s="235"/>
      <c r="B1443" s="235"/>
      <c r="C1443" s="235"/>
      <c r="D1443" s="235"/>
      <c r="E1443" s="235"/>
      <c r="F1443" s="236"/>
      <c r="G1443" s="237"/>
      <c r="H1443" s="237"/>
      <c r="I1443" s="238"/>
      <c r="J1443" s="235"/>
      <c r="K1443" s="235"/>
      <c r="L1443" s="235"/>
      <c r="M1443" s="235"/>
      <c r="N1443" s="239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  <c r="AR1443" s="6"/>
      <c r="AS1443" s="6"/>
    </row>
    <row r="1444" spans="1:45" ht="16.5" customHeight="1">
      <c r="A1444" s="235"/>
      <c r="B1444" s="235"/>
      <c r="C1444" s="235"/>
      <c r="D1444" s="235"/>
      <c r="E1444" s="235"/>
      <c r="F1444" s="236"/>
      <c r="G1444" s="237"/>
      <c r="H1444" s="237"/>
      <c r="I1444" s="238"/>
      <c r="J1444" s="235"/>
      <c r="K1444" s="235"/>
      <c r="L1444" s="235"/>
      <c r="M1444" s="235"/>
      <c r="N1444" s="239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  <c r="AS1444" s="6"/>
    </row>
    <row r="1445" spans="1:45" ht="16.5" customHeight="1">
      <c r="A1445" s="235"/>
      <c r="B1445" s="235"/>
      <c r="C1445" s="235"/>
      <c r="D1445" s="235"/>
      <c r="E1445" s="235"/>
      <c r="F1445" s="236"/>
      <c r="G1445" s="237"/>
      <c r="H1445" s="237"/>
      <c r="I1445" s="238"/>
      <c r="J1445" s="235"/>
      <c r="K1445" s="235"/>
      <c r="L1445" s="235"/>
      <c r="M1445" s="235"/>
      <c r="N1445" s="239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  <c r="AS1445" s="6"/>
    </row>
    <row r="1446" spans="1:45" ht="16.5" customHeight="1">
      <c r="A1446" s="235"/>
      <c r="B1446" s="235"/>
      <c r="C1446" s="235"/>
      <c r="D1446" s="235"/>
      <c r="E1446" s="235"/>
      <c r="F1446" s="236"/>
      <c r="G1446" s="237"/>
      <c r="H1446" s="237"/>
      <c r="I1446" s="238"/>
      <c r="J1446" s="235"/>
      <c r="K1446" s="235"/>
      <c r="L1446" s="235"/>
      <c r="M1446" s="235"/>
      <c r="N1446" s="239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  <c r="AS1446" s="6"/>
    </row>
    <row r="1447" spans="1:45" ht="16.5" customHeight="1">
      <c r="A1447" s="235"/>
      <c r="B1447" s="235"/>
      <c r="C1447" s="235"/>
      <c r="D1447" s="235"/>
      <c r="E1447" s="235"/>
      <c r="F1447" s="236"/>
      <c r="G1447" s="237"/>
      <c r="H1447" s="237"/>
      <c r="I1447" s="238"/>
      <c r="J1447" s="235"/>
      <c r="K1447" s="235"/>
      <c r="L1447" s="235"/>
      <c r="M1447" s="235"/>
      <c r="N1447" s="239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  <c r="AS1447" s="6"/>
    </row>
    <row r="1448" spans="1:45" ht="16.5" customHeight="1">
      <c r="A1448" s="235"/>
      <c r="B1448" s="235"/>
      <c r="C1448" s="235"/>
      <c r="D1448" s="235"/>
      <c r="E1448" s="235"/>
      <c r="F1448" s="236"/>
      <c r="G1448" s="237"/>
      <c r="H1448" s="237"/>
      <c r="I1448" s="238"/>
      <c r="J1448" s="235"/>
      <c r="K1448" s="235"/>
      <c r="L1448" s="235"/>
      <c r="M1448" s="235"/>
      <c r="N1448" s="239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  <c r="AS1448" s="6"/>
    </row>
    <row r="1449" spans="1:45" ht="16.5" customHeight="1">
      <c r="A1449" s="235"/>
      <c r="B1449" s="235"/>
      <c r="C1449" s="235"/>
      <c r="D1449" s="235"/>
      <c r="E1449" s="235"/>
      <c r="F1449" s="236"/>
      <c r="G1449" s="237"/>
      <c r="H1449" s="237"/>
      <c r="I1449" s="238"/>
      <c r="J1449" s="235"/>
      <c r="K1449" s="235"/>
      <c r="L1449" s="235"/>
      <c r="M1449" s="235"/>
      <c r="N1449" s="239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  <c r="AR1449" s="6"/>
      <c r="AS1449" s="6"/>
    </row>
    <row r="1450" spans="1:45" ht="16.5" customHeight="1">
      <c r="A1450" s="235"/>
      <c r="B1450" s="235"/>
      <c r="C1450" s="235"/>
      <c r="D1450" s="235"/>
      <c r="E1450" s="235"/>
      <c r="F1450" s="236"/>
      <c r="G1450" s="237"/>
      <c r="H1450" s="237"/>
      <c r="I1450" s="238"/>
      <c r="J1450" s="235"/>
      <c r="K1450" s="235"/>
      <c r="L1450" s="235"/>
      <c r="M1450" s="235"/>
      <c r="N1450" s="239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  <c r="AS1450" s="6"/>
    </row>
    <row r="1451" spans="1:45" ht="16.5" customHeight="1">
      <c r="A1451" s="235"/>
      <c r="B1451" s="235"/>
      <c r="C1451" s="235"/>
      <c r="D1451" s="235"/>
      <c r="E1451" s="235"/>
      <c r="F1451" s="236"/>
      <c r="G1451" s="237"/>
      <c r="H1451" s="237"/>
      <c r="I1451" s="238"/>
      <c r="J1451" s="235"/>
      <c r="K1451" s="235"/>
      <c r="L1451" s="235"/>
      <c r="M1451" s="235"/>
      <c r="N1451" s="239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  <c r="AS1451" s="6"/>
    </row>
    <row r="1452" spans="1:45" ht="16.5" customHeight="1">
      <c r="A1452" s="235"/>
      <c r="B1452" s="235"/>
      <c r="C1452" s="235"/>
      <c r="D1452" s="235"/>
      <c r="E1452" s="235"/>
      <c r="F1452" s="236"/>
      <c r="G1452" s="237"/>
      <c r="H1452" s="237"/>
      <c r="I1452" s="238"/>
      <c r="J1452" s="235"/>
      <c r="K1452" s="235"/>
      <c r="L1452" s="235"/>
      <c r="M1452" s="235"/>
      <c r="N1452" s="239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  <c r="AS1452" s="6"/>
    </row>
    <row r="1453" spans="1:45" ht="16.5" customHeight="1">
      <c r="A1453" s="235"/>
      <c r="B1453" s="235"/>
      <c r="C1453" s="235"/>
      <c r="D1453" s="235"/>
      <c r="E1453" s="235"/>
      <c r="F1453" s="236"/>
      <c r="G1453" s="237"/>
      <c r="H1453" s="237"/>
      <c r="I1453" s="238"/>
      <c r="J1453" s="235"/>
      <c r="K1453" s="235"/>
      <c r="L1453" s="235"/>
      <c r="M1453" s="235"/>
      <c r="N1453" s="239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  <c r="AS1453" s="6"/>
    </row>
    <row r="1454" spans="1:45" ht="16.5" customHeight="1">
      <c r="A1454" s="235"/>
      <c r="B1454" s="235"/>
      <c r="C1454" s="235"/>
      <c r="D1454" s="235"/>
      <c r="E1454" s="235"/>
      <c r="F1454" s="236"/>
      <c r="G1454" s="237"/>
      <c r="H1454" s="237"/>
      <c r="I1454" s="238"/>
      <c r="J1454" s="235"/>
      <c r="K1454" s="235"/>
      <c r="L1454" s="235"/>
      <c r="M1454" s="235"/>
      <c r="N1454" s="239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  <c r="AR1454" s="6"/>
      <c r="AS1454" s="6"/>
    </row>
    <row r="1455" spans="1:45" ht="16.5" customHeight="1">
      <c r="A1455" s="235"/>
      <c r="B1455" s="235"/>
      <c r="C1455" s="235"/>
      <c r="D1455" s="235"/>
      <c r="E1455" s="235"/>
      <c r="F1455" s="236"/>
      <c r="G1455" s="237"/>
      <c r="H1455" s="237"/>
      <c r="I1455" s="238"/>
      <c r="J1455" s="235"/>
      <c r="K1455" s="235"/>
      <c r="L1455" s="235"/>
      <c r="M1455" s="235"/>
      <c r="N1455" s="239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  <c r="AR1455" s="6"/>
      <c r="AS1455" s="6"/>
    </row>
    <row r="1456" spans="1:45" ht="16.5" customHeight="1">
      <c r="A1456" s="235"/>
      <c r="B1456" s="235"/>
      <c r="C1456" s="235"/>
      <c r="D1456" s="235"/>
      <c r="E1456" s="235"/>
      <c r="F1456" s="236"/>
      <c r="G1456" s="237"/>
      <c r="H1456" s="237"/>
      <c r="I1456" s="238"/>
      <c r="J1456" s="235"/>
      <c r="K1456" s="235"/>
      <c r="L1456" s="235"/>
      <c r="M1456" s="235"/>
      <c r="N1456" s="239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  <c r="AS1456" s="6"/>
    </row>
    <row r="1457" spans="1:45" ht="16.5" customHeight="1">
      <c r="A1457" s="235"/>
      <c r="B1457" s="235"/>
      <c r="C1457" s="235"/>
      <c r="D1457" s="235"/>
      <c r="E1457" s="235"/>
      <c r="F1457" s="236"/>
      <c r="G1457" s="237"/>
      <c r="H1457" s="237"/>
      <c r="I1457" s="238"/>
      <c r="J1457" s="235"/>
      <c r="K1457" s="235"/>
      <c r="L1457" s="235"/>
      <c r="M1457" s="235"/>
      <c r="N1457" s="239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  <c r="AS1457" s="6"/>
    </row>
    <row r="1458" spans="1:45" ht="16.5" customHeight="1">
      <c r="A1458" s="235"/>
      <c r="B1458" s="235"/>
      <c r="C1458" s="235"/>
      <c r="D1458" s="235"/>
      <c r="E1458" s="235"/>
      <c r="F1458" s="236"/>
      <c r="G1458" s="237"/>
      <c r="H1458" s="237"/>
      <c r="I1458" s="238"/>
      <c r="J1458" s="235"/>
      <c r="K1458" s="235"/>
      <c r="L1458" s="235"/>
      <c r="M1458" s="235"/>
      <c r="N1458" s="239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  <c r="AS1458" s="6"/>
    </row>
    <row r="1459" spans="1:45" ht="16.5" customHeight="1">
      <c r="A1459" s="235"/>
      <c r="B1459" s="235"/>
      <c r="C1459" s="235"/>
      <c r="D1459" s="235"/>
      <c r="E1459" s="235"/>
      <c r="F1459" s="236"/>
      <c r="G1459" s="237"/>
      <c r="H1459" s="237"/>
      <c r="I1459" s="238"/>
      <c r="J1459" s="235"/>
      <c r="K1459" s="235"/>
      <c r="L1459" s="235"/>
      <c r="M1459" s="235"/>
      <c r="N1459" s="239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  <c r="AS1459" s="6"/>
    </row>
    <row r="1460" spans="1:45" ht="16.5" customHeight="1">
      <c r="A1460" s="235"/>
      <c r="B1460" s="235"/>
      <c r="C1460" s="235"/>
      <c r="D1460" s="235"/>
      <c r="E1460" s="235"/>
      <c r="F1460" s="236"/>
      <c r="G1460" s="237"/>
      <c r="H1460" s="237"/>
      <c r="I1460" s="238"/>
      <c r="J1460" s="235"/>
      <c r="K1460" s="235"/>
      <c r="L1460" s="235"/>
      <c r="M1460" s="235"/>
      <c r="N1460" s="239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  <c r="AS1460" s="6"/>
    </row>
    <row r="1461" spans="1:45" ht="16.5" customHeight="1">
      <c r="A1461" s="235"/>
      <c r="B1461" s="235"/>
      <c r="C1461" s="235"/>
      <c r="D1461" s="235"/>
      <c r="E1461" s="235"/>
      <c r="F1461" s="236"/>
      <c r="G1461" s="237"/>
      <c r="H1461" s="237"/>
      <c r="I1461" s="238"/>
      <c r="J1461" s="235"/>
      <c r="K1461" s="235"/>
      <c r="L1461" s="235"/>
      <c r="M1461" s="235"/>
      <c r="N1461" s="239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/>
      <c r="AS1461" s="6"/>
    </row>
    <row r="1462" spans="1:45" ht="16.5" customHeight="1">
      <c r="A1462" s="235"/>
      <c r="B1462" s="235"/>
      <c r="C1462" s="235"/>
      <c r="D1462" s="235"/>
      <c r="E1462" s="235"/>
      <c r="F1462" s="236"/>
      <c r="G1462" s="237"/>
      <c r="H1462" s="237"/>
      <c r="I1462" s="238"/>
      <c r="J1462" s="235"/>
      <c r="K1462" s="235"/>
      <c r="L1462" s="235"/>
      <c r="M1462" s="235"/>
      <c r="N1462" s="239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  <c r="AS1462" s="6"/>
    </row>
    <row r="1463" spans="1:45" ht="16.5" customHeight="1">
      <c r="A1463" s="235"/>
      <c r="B1463" s="235"/>
      <c r="C1463" s="235"/>
      <c r="D1463" s="235"/>
      <c r="E1463" s="235"/>
      <c r="F1463" s="236"/>
      <c r="G1463" s="237"/>
      <c r="H1463" s="237"/>
      <c r="I1463" s="238"/>
      <c r="J1463" s="235"/>
      <c r="K1463" s="235"/>
      <c r="L1463" s="235"/>
      <c r="M1463" s="235"/>
      <c r="N1463" s="239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  <c r="AS1463" s="6"/>
    </row>
    <row r="1464" spans="1:45" ht="16.5" customHeight="1">
      <c r="A1464" s="235"/>
      <c r="B1464" s="235"/>
      <c r="C1464" s="235"/>
      <c r="D1464" s="235"/>
      <c r="E1464" s="235"/>
      <c r="F1464" s="236"/>
      <c r="G1464" s="237"/>
      <c r="H1464" s="237"/>
      <c r="I1464" s="238"/>
      <c r="J1464" s="235"/>
      <c r="K1464" s="235"/>
      <c r="L1464" s="235"/>
      <c r="M1464" s="235"/>
      <c r="N1464" s="239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  <c r="AS1464" s="6"/>
    </row>
    <row r="1465" spans="1:45" ht="16.5" customHeight="1">
      <c r="A1465" s="235"/>
      <c r="B1465" s="235"/>
      <c r="C1465" s="235"/>
      <c r="D1465" s="235"/>
      <c r="E1465" s="235"/>
      <c r="F1465" s="236"/>
      <c r="G1465" s="237"/>
      <c r="H1465" s="237"/>
      <c r="I1465" s="238"/>
      <c r="J1465" s="235"/>
      <c r="K1465" s="235"/>
      <c r="L1465" s="235"/>
      <c r="M1465" s="235"/>
      <c r="N1465" s="239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  <c r="AR1465" s="6"/>
      <c r="AS1465" s="6"/>
    </row>
    <row r="1466" spans="1:45" ht="16.5" customHeight="1">
      <c r="A1466" s="235"/>
      <c r="B1466" s="235"/>
      <c r="C1466" s="235"/>
      <c r="D1466" s="235"/>
      <c r="E1466" s="235"/>
      <c r="F1466" s="236"/>
      <c r="G1466" s="237"/>
      <c r="H1466" s="237"/>
      <c r="I1466" s="238"/>
      <c r="J1466" s="235"/>
      <c r="K1466" s="235"/>
      <c r="L1466" s="235"/>
      <c r="M1466" s="235"/>
      <c r="N1466" s="239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  <c r="AR1466" s="6"/>
      <c r="AS1466" s="6"/>
    </row>
    <row r="1467" spans="1:45" ht="16.5" customHeight="1">
      <c r="A1467" s="235"/>
      <c r="B1467" s="235"/>
      <c r="C1467" s="235"/>
      <c r="D1467" s="235"/>
      <c r="E1467" s="235"/>
      <c r="F1467" s="236"/>
      <c r="G1467" s="237"/>
      <c r="H1467" s="237"/>
      <c r="I1467" s="238"/>
      <c r="J1467" s="235"/>
      <c r="K1467" s="235"/>
      <c r="L1467" s="235"/>
      <c r="M1467" s="235"/>
      <c r="N1467" s="239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  <c r="AR1467" s="6"/>
      <c r="AS1467" s="6"/>
    </row>
    <row r="1468" spans="1:45" ht="16.5" customHeight="1">
      <c r="A1468" s="235"/>
      <c r="B1468" s="235"/>
      <c r="C1468" s="235"/>
      <c r="D1468" s="235"/>
      <c r="E1468" s="235"/>
      <c r="F1468" s="236"/>
      <c r="G1468" s="237"/>
      <c r="H1468" s="237"/>
      <c r="I1468" s="238"/>
      <c r="J1468" s="235"/>
      <c r="K1468" s="235"/>
      <c r="L1468" s="235"/>
      <c r="M1468" s="235"/>
      <c r="N1468" s="239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  <c r="AR1468" s="6"/>
      <c r="AS1468" s="6"/>
    </row>
    <row r="1469" spans="1:45" ht="16.5" customHeight="1">
      <c r="A1469" s="235"/>
      <c r="B1469" s="235"/>
      <c r="C1469" s="235"/>
      <c r="D1469" s="235"/>
      <c r="E1469" s="235"/>
      <c r="F1469" s="236"/>
      <c r="G1469" s="237"/>
      <c r="H1469" s="237"/>
      <c r="I1469" s="238"/>
      <c r="J1469" s="235"/>
      <c r="K1469" s="235"/>
      <c r="L1469" s="235"/>
      <c r="M1469" s="235"/>
      <c r="N1469" s="239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  <c r="AQ1469" s="6"/>
      <c r="AR1469" s="6"/>
      <c r="AS1469" s="6"/>
    </row>
    <row r="1470" spans="1:45" ht="16.5" customHeight="1">
      <c r="A1470" s="235"/>
      <c r="B1470" s="235"/>
      <c r="C1470" s="235"/>
      <c r="D1470" s="235"/>
      <c r="E1470" s="235"/>
      <c r="F1470" s="236"/>
      <c r="G1470" s="237"/>
      <c r="H1470" s="237"/>
      <c r="I1470" s="238"/>
      <c r="J1470" s="235"/>
      <c r="K1470" s="235"/>
      <c r="L1470" s="235"/>
      <c r="M1470" s="235"/>
      <c r="N1470" s="239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  <c r="AR1470" s="6"/>
      <c r="AS1470" s="6"/>
    </row>
    <row r="1471" spans="1:45" ht="16.5" customHeight="1">
      <c r="A1471" s="235"/>
      <c r="B1471" s="235"/>
      <c r="C1471" s="235"/>
      <c r="D1471" s="235"/>
      <c r="E1471" s="235"/>
      <c r="F1471" s="236"/>
      <c r="G1471" s="237"/>
      <c r="H1471" s="237"/>
      <c r="I1471" s="238"/>
      <c r="J1471" s="235"/>
      <c r="K1471" s="235"/>
      <c r="L1471" s="235"/>
      <c r="M1471" s="235"/>
      <c r="N1471" s="239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  <c r="AR1471" s="6"/>
      <c r="AS1471" s="6"/>
    </row>
    <row r="1472" spans="1:45" ht="16.5" customHeight="1">
      <c r="A1472" s="235"/>
      <c r="B1472" s="235"/>
      <c r="C1472" s="235"/>
      <c r="D1472" s="235"/>
      <c r="E1472" s="235"/>
      <c r="F1472" s="236"/>
      <c r="G1472" s="237"/>
      <c r="H1472" s="237"/>
      <c r="I1472" s="238"/>
      <c r="J1472" s="235"/>
      <c r="K1472" s="235"/>
      <c r="L1472" s="235"/>
      <c r="M1472" s="235"/>
      <c r="N1472" s="239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  <c r="AQ1472" s="6"/>
      <c r="AR1472" s="6"/>
      <c r="AS1472" s="6"/>
    </row>
    <row r="1473" spans="1:45" ht="16.5" customHeight="1">
      <c r="A1473" s="235"/>
      <c r="B1473" s="235"/>
      <c r="C1473" s="235"/>
      <c r="D1473" s="235"/>
      <c r="E1473" s="235"/>
      <c r="F1473" s="236"/>
      <c r="G1473" s="237"/>
      <c r="H1473" s="237"/>
      <c r="I1473" s="238"/>
      <c r="J1473" s="235"/>
      <c r="K1473" s="235"/>
      <c r="L1473" s="235"/>
      <c r="M1473" s="235"/>
      <c r="N1473" s="239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  <c r="AQ1473" s="6"/>
      <c r="AR1473" s="6"/>
      <c r="AS1473" s="6"/>
    </row>
    <row r="1474" spans="1:45" ht="16.5" customHeight="1">
      <c r="A1474" s="235"/>
      <c r="B1474" s="235"/>
      <c r="C1474" s="235"/>
      <c r="D1474" s="235"/>
      <c r="E1474" s="235"/>
      <c r="F1474" s="236"/>
      <c r="G1474" s="237"/>
      <c r="H1474" s="237"/>
      <c r="I1474" s="238"/>
      <c r="J1474" s="235"/>
      <c r="K1474" s="235"/>
      <c r="L1474" s="235"/>
      <c r="M1474" s="235"/>
      <c r="N1474" s="239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  <c r="AR1474" s="6"/>
      <c r="AS1474" s="6"/>
    </row>
    <row r="1475" spans="1:45" ht="16.5" customHeight="1">
      <c r="A1475" s="235"/>
      <c r="B1475" s="235"/>
      <c r="C1475" s="235"/>
      <c r="D1475" s="235"/>
      <c r="E1475" s="235"/>
      <c r="F1475" s="236"/>
      <c r="G1475" s="237"/>
      <c r="H1475" s="237"/>
      <c r="I1475" s="238"/>
      <c r="J1475" s="235"/>
      <c r="K1475" s="235"/>
      <c r="L1475" s="235"/>
      <c r="M1475" s="235"/>
      <c r="N1475" s="239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  <c r="AQ1475" s="6"/>
      <c r="AR1475" s="6"/>
      <c r="AS1475" s="6"/>
    </row>
    <row r="1476" spans="1:45" ht="16.5" customHeight="1">
      <c r="A1476" s="235"/>
      <c r="B1476" s="235"/>
      <c r="C1476" s="235"/>
      <c r="D1476" s="235"/>
      <c r="E1476" s="235"/>
      <c r="F1476" s="236"/>
      <c r="G1476" s="237"/>
      <c r="H1476" s="237"/>
      <c r="I1476" s="238"/>
      <c r="J1476" s="235"/>
      <c r="K1476" s="235"/>
      <c r="L1476" s="235"/>
      <c r="M1476" s="235"/>
      <c r="N1476" s="239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  <c r="AQ1476" s="6"/>
      <c r="AR1476" s="6"/>
      <c r="AS1476" s="6"/>
    </row>
    <row r="1477" spans="1:45" ht="16.5" customHeight="1">
      <c r="A1477" s="235"/>
      <c r="B1477" s="235"/>
      <c r="C1477" s="235"/>
      <c r="D1477" s="235"/>
      <c r="E1477" s="235"/>
      <c r="F1477" s="236"/>
      <c r="G1477" s="237"/>
      <c r="H1477" s="237"/>
      <c r="I1477" s="238"/>
      <c r="J1477" s="235"/>
      <c r="K1477" s="235"/>
      <c r="L1477" s="235"/>
      <c r="M1477" s="235"/>
      <c r="N1477" s="239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  <c r="AQ1477" s="6"/>
      <c r="AR1477" s="6"/>
      <c r="AS1477" s="6"/>
    </row>
    <row r="1478" spans="1:45" ht="16.5" customHeight="1">
      <c r="A1478" s="235"/>
      <c r="B1478" s="235"/>
      <c r="C1478" s="235"/>
      <c r="D1478" s="235"/>
      <c r="E1478" s="235"/>
      <c r="F1478" s="236"/>
      <c r="G1478" s="237"/>
      <c r="H1478" s="237"/>
      <c r="I1478" s="238"/>
      <c r="J1478" s="235"/>
      <c r="K1478" s="235"/>
      <c r="L1478" s="235"/>
      <c r="M1478" s="235"/>
      <c r="N1478" s="239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/>
      <c r="AR1478" s="6"/>
      <c r="AS1478" s="6"/>
    </row>
    <row r="1479" spans="1:45" ht="16.5" customHeight="1">
      <c r="A1479" s="235"/>
      <c r="B1479" s="235"/>
      <c r="C1479" s="235"/>
      <c r="D1479" s="235"/>
      <c r="E1479" s="235"/>
      <c r="F1479" s="236"/>
      <c r="G1479" s="237"/>
      <c r="H1479" s="237"/>
      <c r="I1479" s="238"/>
      <c r="J1479" s="235"/>
      <c r="K1479" s="235"/>
      <c r="L1479" s="235"/>
      <c r="M1479" s="235"/>
      <c r="N1479" s="239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  <c r="AM1479" s="6"/>
      <c r="AN1479" s="6"/>
      <c r="AO1479" s="6"/>
      <c r="AP1479" s="6"/>
      <c r="AQ1479" s="6"/>
      <c r="AR1479" s="6"/>
      <c r="AS1479" s="6"/>
    </row>
    <row r="1480" spans="1:45" ht="16.5" customHeight="1">
      <c r="A1480" s="235"/>
      <c r="B1480" s="235"/>
      <c r="C1480" s="235"/>
      <c r="D1480" s="235"/>
      <c r="E1480" s="235"/>
      <c r="F1480" s="236"/>
      <c r="G1480" s="237"/>
      <c r="H1480" s="237"/>
      <c r="I1480" s="238"/>
      <c r="J1480" s="235"/>
      <c r="K1480" s="235"/>
      <c r="L1480" s="235"/>
      <c r="M1480" s="235"/>
      <c r="N1480" s="239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/>
      <c r="AS1480" s="6"/>
    </row>
    <row r="1481" spans="1:45" ht="16.5" customHeight="1">
      <c r="A1481" s="235"/>
      <c r="B1481" s="235"/>
      <c r="C1481" s="235"/>
      <c r="D1481" s="235"/>
      <c r="E1481" s="235"/>
      <c r="F1481" s="236"/>
      <c r="G1481" s="237"/>
      <c r="H1481" s="237"/>
      <c r="I1481" s="238"/>
      <c r="J1481" s="235"/>
      <c r="K1481" s="235"/>
      <c r="L1481" s="235"/>
      <c r="M1481" s="235"/>
      <c r="N1481" s="239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  <c r="AR1481" s="6"/>
      <c r="AS1481" s="6"/>
    </row>
    <row r="1482" spans="1:45" ht="16.5" customHeight="1">
      <c r="A1482" s="235"/>
      <c r="B1482" s="235"/>
      <c r="C1482" s="235"/>
      <c r="D1482" s="235"/>
      <c r="E1482" s="235"/>
      <c r="F1482" s="236"/>
      <c r="G1482" s="237"/>
      <c r="H1482" s="237"/>
      <c r="I1482" s="238"/>
      <c r="J1482" s="235"/>
      <c r="K1482" s="235"/>
      <c r="L1482" s="235"/>
      <c r="M1482" s="235"/>
      <c r="N1482" s="239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  <c r="AR1482" s="6"/>
      <c r="AS1482" s="6"/>
    </row>
    <row r="1483" spans="1:45" ht="16.5" customHeight="1">
      <c r="A1483" s="235"/>
      <c r="B1483" s="235"/>
      <c r="C1483" s="235"/>
      <c r="D1483" s="235"/>
      <c r="E1483" s="235"/>
      <c r="F1483" s="236"/>
      <c r="G1483" s="237"/>
      <c r="H1483" s="237"/>
      <c r="I1483" s="238"/>
      <c r="J1483" s="235"/>
      <c r="K1483" s="235"/>
      <c r="L1483" s="235"/>
      <c r="M1483" s="235"/>
      <c r="N1483" s="239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  <c r="AR1483" s="6"/>
      <c r="AS1483" s="6"/>
    </row>
    <row r="1484" spans="1:45" ht="16.5" customHeight="1">
      <c r="A1484" s="235"/>
      <c r="B1484" s="235"/>
      <c r="C1484" s="235"/>
      <c r="D1484" s="235"/>
      <c r="E1484" s="235"/>
      <c r="F1484" s="236"/>
      <c r="G1484" s="237"/>
      <c r="H1484" s="237"/>
      <c r="I1484" s="238"/>
      <c r="J1484" s="235"/>
      <c r="K1484" s="235"/>
      <c r="L1484" s="235"/>
      <c r="M1484" s="235"/>
      <c r="N1484" s="239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N1484" s="6"/>
      <c r="AO1484" s="6"/>
      <c r="AP1484" s="6"/>
      <c r="AQ1484" s="6"/>
      <c r="AR1484" s="6"/>
      <c r="AS1484" s="6"/>
    </row>
    <row r="1485" spans="1:45" ht="16.5" customHeight="1">
      <c r="A1485" s="235"/>
      <c r="B1485" s="235"/>
      <c r="C1485" s="235"/>
      <c r="D1485" s="235"/>
      <c r="E1485" s="235"/>
      <c r="F1485" s="236"/>
      <c r="G1485" s="237"/>
      <c r="H1485" s="237"/>
      <c r="I1485" s="238"/>
      <c r="J1485" s="235"/>
      <c r="K1485" s="235"/>
      <c r="L1485" s="235"/>
      <c r="M1485" s="235"/>
      <c r="N1485" s="239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  <c r="AQ1485" s="6"/>
      <c r="AR1485" s="6"/>
      <c r="AS1485" s="6"/>
    </row>
    <row r="1486" spans="1:45" ht="16.5" customHeight="1">
      <c r="A1486" s="235"/>
      <c r="B1486" s="235"/>
      <c r="C1486" s="235"/>
      <c r="D1486" s="235"/>
      <c r="E1486" s="235"/>
      <c r="F1486" s="236"/>
      <c r="G1486" s="237"/>
      <c r="H1486" s="237"/>
      <c r="I1486" s="238"/>
      <c r="J1486" s="235"/>
      <c r="K1486" s="235"/>
      <c r="L1486" s="235"/>
      <c r="M1486" s="235"/>
      <c r="N1486" s="239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  <c r="AR1486" s="6"/>
      <c r="AS1486" s="6"/>
    </row>
    <row r="1487" spans="1:45" ht="16.5" customHeight="1">
      <c r="A1487" s="235"/>
      <c r="B1487" s="235"/>
      <c r="C1487" s="235"/>
      <c r="D1487" s="235"/>
      <c r="E1487" s="235"/>
      <c r="F1487" s="236"/>
      <c r="G1487" s="237"/>
      <c r="H1487" s="237"/>
      <c r="I1487" s="238"/>
      <c r="J1487" s="235"/>
      <c r="K1487" s="235"/>
      <c r="L1487" s="235"/>
      <c r="M1487" s="235"/>
      <c r="N1487" s="239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  <c r="AR1487" s="6"/>
      <c r="AS1487" s="6"/>
    </row>
    <row r="1488" spans="1:45" ht="16.5" customHeight="1">
      <c r="A1488" s="235"/>
      <c r="B1488" s="235"/>
      <c r="C1488" s="235"/>
      <c r="D1488" s="235"/>
      <c r="E1488" s="235"/>
      <c r="F1488" s="236"/>
      <c r="G1488" s="237"/>
      <c r="H1488" s="237"/>
      <c r="I1488" s="238"/>
      <c r="J1488" s="235"/>
      <c r="K1488" s="235"/>
      <c r="L1488" s="235"/>
      <c r="M1488" s="235"/>
      <c r="N1488" s="239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  <c r="AQ1488" s="6"/>
      <c r="AR1488" s="6"/>
      <c r="AS1488" s="6"/>
    </row>
    <row r="1489" spans="1:45" ht="16.5" customHeight="1">
      <c r="A1489" s="235"/>
      <c r="B1489" s="235"/>
      <c r="C1489" s="235"/>
      <c r="D1489" s="235"/>
      <c r="E1489" s="235"/>
      <c r="F1489" s="236"/>
      <c r="G1489" s="237"/>
      <c r="H1489" s="237"/>
      <c r="I1489" s="238"/>
      <c r="J1489" s="235"/>
      <c r="K1489" s="235"/>
      <c r="L1489" s="235"/>
      <c r="M1489" s="235"/>
      <c r="N1489" s="239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  <c r="AR1489" s="6"/>
      <c r="AS1489" s="6"/>
    </row>
    <row r="1490" spans="1:45" ht="16.5" customHeight="1">
      <c r="A1490" s="235"/>
      <c r="B1490" s="235"/>
      <c r="C1490" s="235"/>
      <c r="D1490" s="235"/>
      <c r="E1490" s="235"/>
      <c r="F1490" s="236"/>
      <c r="G1490" s="237"/>
      <c r="H1490" s="237"/>
      <c r="I1490" s="238"/>
      <c r="J1490" s="235"/>
      <c r="K1490" s="235"/>
      <c r="L1490" s="235"/>
      <c r="M1490" s="235"/>
      <c r="N1490" s="239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  <c r="AM1490" s="6"/>
      <c r="AN1490" s="6"/>
      <c r="AO1490" s="6"/>
      <c r="AP1490" s="6"/>
      <c r="AQ1490" s="6"/>
      <c r="AR1490" s="6"/>
      <c r="AS1490" s="6"/>
    </row>
    <row r="1491" spans="1:45" ht="16.5" customHeight="1">
      <c r="A1491" s="235"/>
      <c r="B1491" s="235"/>
      <c r="C1491" s="235"/>
      <c r="D1491" s="235"/>
      <c r="E1491" s="235"/>
      <c r="F1491" s="236"/>
      <c r="G1491" s="237"/>
      <c r="H1491" s="237"/>
      <c r="I1491" s="238"/>
      <c r="J1491" s="235"/>
      <c r="K1491" s="235"/>
      <c r="L1491" s="235"/>
      <c r="M1491" s="235"/>
      <c r="N1491" s="239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  <c r="AM1491" s="6"/>
      <c r="AN1491" s="6"/>
      <c r="AO1491" s="6"/>
      <c r="AP1491" s="6"/>
      <c r="AQ1491" s="6"/>
      <c r="AR1491" s="6"/>
      <c r="AS1491" s="6"/>
    </row>
    <row r="1492" spans="1:45" ht="16.5" customHeight="1">
      <c r="A1492" s="235"/>
      <c r="B1492" s="235"/>
      <c r="C1492" s="235"/>
      <c r="D1492" s="235"/>
      <c r="E1492" s="235"/>
      <c r="F1492" s="236"/>
      <c r="G1492" s="237"/>
      <c r="H1492" s="237"/>
      <c r="I1492" s="238"/>
      <c r="J1492" s="235"/>
      <c r="K1492" s="235"/>
      <c r="L1492" s="235"/>
      <c r="M1492" s="235"/>
      <c r="N1492" s="239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  <c r="AS1492" s="6"/>
    </row>
    <row r="1493" spans="1:45" ht="16.5" customHeight="1">
      <c r="A1493" s="235"/>
      <c r="B1493" s="235"/>
      <c r="C1493" s="235"/>
      <c r="D1493" s="235"/>
      <c r="E1493" s="235"/>
      <c r="F1493" s="236"/>
      <c r="G1493" s="237"/>
      <c r="H1493" s="237"/>
      <c r="I1493" s="238"/>
      <c r="J1493" s="235"/>
      <c r="K1493" s="235"/>
      <c r="L1493" s="235"/>
      <c r="M1493" s="235"/>
      <c r="N1493" s="239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/>
      <c r="AS1493" s="6"/>
    </row>
    <row r="1494" spans="1:45" ht="16.5" customHeight="1">
      <c r="A1494" s="235"/>
      <c r="B1494" s="235"/>
      <c r="C1494" s="235"/>
      <c r="D1494" s="235"/>
      <c r="E1494" s="235"/>
      <c r="F1494" s="236"/>
      <c r="G1494" s="237"/>
      <c r="H1494" s="237"/>
      <c r="I1494" s="238"/>
      <c r="J1494" s="235"/>
      <c r="K1494" s="235"/>
      <c r="L1494" s="235"/>
      <c r="M1494" s="235"/>
      <c r="N1494" s="239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  <c r="AR1494" s="6"/>
      <c r="AS1494" s="6"/>
    </row>
    <row r="1495" spans="1:45" ht="16.5" customHeight="1">
      <c r="A1495" s="235"/>
      <c r="B1495" s="235"/>
      <c r="C1495" s="235"/>
      <c r="D1495" s="235"/>
      <c r="E1495" s="235"/>
      <c r="F1495" s="236"/>
      <c r="G1495" s="237"/>
      <c r="H1495" s="237"/>
      <c r="I1495" s="238"/>
      <c r="J1495" s="235"/>
      <c r="K1495" s="235"/>
      <c r="L1495" s="235"/>
      <c r="M1495" s="235"/>
      <c r="N1495" s="239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  <c r="AS1495" s="6"/>
    </row>
    <row r="1496" spans="1:45" ht="16.5" customHeight="1">
      <c r="A1496" s="235"/>
      <c r="B1496" s="235"/>
      <c r="C1496" s="235"/>
      <c r="D1496" s="235"/>
      <c r="E1496" s="235"/>
      <c r="F1496" s="236"/>
      <c r="G1496" s="237"/>
      <c r="H1496" s="237"/>
      <c r="I1496" s="238"/>
      <c r="J1496" s="235"/>
      <c r="K1496" s="235"/>
      <c r="L1496" s="235"/>
      <c r="M1496" s="235"/>
      <c r="N1496" s="239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/>
      <c r="AS1496" s="6"/>
    </row>
    <row r="1497" spans="1:45" ht="16.5" customHeight="1">
      <c r="A1497" s="235"/>
      <c r="B1497" s="235"/>
      <c r="C1497" s="235"/>
      <c r="D1497" s="235"/>
      <c r="E1497" s="235"/>
      <c r="F1497" s="236"/>
      <c r="G1497" s="237"/>
      <c r="H1497" s="237"/>
      <c r="I1497" s="238"/>
      <c r="J1497" s="235"/>
      <c r="K1497" s="235"/>
      <c r="L1497" s="235"/>
      <c r="M1497" s="235"/>
      <c r="N1497" s="239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  <c r="AQ1497" s="6"/>
      <c r="AR1497" s="6"/>
      <c r="AS1497" s="6"/>
    </row>
    <row r="1498" spans="1:45" ht="16.5" customHeight="1">
      <c r="A1498" s="235"/>
      <c r="B1498" s="235"/>
      <c r="C1498" s="235"/>
      <c r="D1498" s="235"/>
      <c r="E1498" s="235"/>
      <c r="F1498" s="236"/>
      <c r="G1498" s="237"/>
      <c r="H1498" s="237"/>
      <c r="I1498" s="238"/>
      <c r="J1498" s="235"/>
      <c r="K1498" s="235"/>
      <c r="L1498" s="235"/>
      <c r="M1498" s="235"/>
      <c r="N1498" s="239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  <c r="AR1498" s="6"/>
      <c r="AS1498" s="6"/>
    </row>
    <row r="1499" spans="1:45" ht="16.5" customHeight="1">
      <c r="A1499" s="235"/>
      <c r="B1499" s="235"/>
      <c r="C1499" s="235"/>
      <c r="D1499" s="235"/>
      <c r="E1499" s="235"/>
      <c r="F1499" s="236"/>
      <c r="G1499" s="237"/>
      <c r="H1499" s="237"/>
      <c r="I1499" s="238"/>
      <c r="J1499" s="235"/>
      <c r="K1499" s="235"/>
      <c r="L1499" s="235"/>
      <c r="M1499" s="235"/>
      <c r="N1499" s="239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  <c r="AR1499" s="6"/>
      <c r="AS1499" s="6"/>
    </row>
    <row r="1500" spans="1:45" ht="16.5" customHeight="1">
      <c r="A1500" s="235"/>
      <c r="B1500" s="235"/>
      <c r="C1500" s="235"/>
      <c r="D1500" s="235"/>
      <c r="E1500" s="235"/>
      <c r="F1500" s="236"/>
      <c r="G1500" s="237"/>
      <c r="H1500" s="237"/>
      <c r="I1500" s="238"/>
      <c r="J1500" s="235"/>
      <c r="K1500" s="235"/>
      <c r="L1500" s="235"/>
      <c r="M1500" s="235"/>
      <c r="N1500" s="239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  <c r="AR1500" s="6"/>
      <c r="AS1500" s="6"/>
    </row>
    <row r="1501" spans="1:45" ht="16.5" customHeight="1">
      <c r="A1501" s="235"/>
      <c r="B1501" s="235"/>
      <c r="C1501" s="235"/>
      <c r="D1501" s="235"/>
      <c r="E1501" s="235"/>
      <c r="F1501" s="236"/>
      <c r="G1501" s="237"/>
      <c r="H1501" s="237"/>
      <c r="I1501" s="238"/>
      <c r="J1501" s="235"/>
      <c r="K1501" s="235"/>
      <c r="L1501" s="235"/>
      <c r="M1501" s="235"/>
      <c r="N1501" s="239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  <c r="AM1501" s="6"/>
      <c r="AN1501" s="6"/>
      <c r="AO1501" s="6"/>
      <c r="AP1501" s="6"/>
      <c r="AQ1501" s="6"/>
      <c r="AR1501" s="6"/>
      <c r="AS1501" s="6"/>
    </row>
    <row r="1502" spans="1:45" ht="16.5" customHeight="1">
      <c r="A1502" s="235"/>
      <c r="B1502" s="235"/>
      <c r="C1502" s="235"/>
      <c r="D1502" s="235"/>
      <c r="E1502" s="235"/>
      <c r="F1502" s="236"/>
      <c r="G1502" s="237"/>
      <c r="H1502" s="237"/>
      <c r="I1502" s="238"/>
      <c r="J1502" s="235"/>
      <c r="K1502" s="235"/>
      <c r="L1502" s="235"/>
      <c r="M1502" s="235"/>
      <c r="N1502" s="239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  <c r="AQ1502" s="6"/>
      <c r="AR1502" s="6"/>
      <c r="AS1502" s="6"/>
    </row>
    <row r="1503" spans="1:45" ht="16.5" customHeight="1">
      <c r="A1503" s="235"/>
      <c r="B1503" s="235"/>
      <c r="C1503" s="235"/>
      <c r="D1503" s="235"/>
      <c r="E1503" s="235"/>
      <c r="F1503" s="236"/>
      <c r="G1503" s="237"/>
      <c r="H1503" s="237"/>
      <c r="I1503" s="238"/>
      <c r="J1503" s="235"/>
      <c r="K1503" s="235"/>
      <c r="L1503" s="235"/>
      <c r="M1503" s="235"/>
      <c r="N1503" s="239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  <c r="AR1503" s="6"/>
      <c r="AS1503" s="6"/>
    </row>
    <row r="1504" spans="1:45" ht="16.5" customHeight="1">
      <c r="A1504" s="235"/>
      <c r="B1504" s="235"/>
      <c r="C1504" s="235"/>
      <c r="D1504" s="235"/>
      <c r="E1504" s="235"/>
      <c r="F1504" s="236"/>
      <c r="G1504" s="237"/>
      <c r="H1504" s="237"/>
      <c r="I1504" s="238"/>
      <c r="J1504" s="235"/>
      <c r="K1504" s="235"/>
      <c r="L1504" s="235"/>
      <c r="M1504" s="235"/>
      <c r="N1504" s="239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/>
      <c r="AS1504" s="6"/>
    </row>
    <row r="1505" spans="1:45" ht="16.5" customHeight="1">
      <c r="A1505" s="235"/>
      <c r="B1505" s="235"/>
      <c r="C1505" s="235"/>
      <c r="D1505" s="235"/>
      <c r="E1505" s="235"/>
      <c r="F1505" s="236"/>
      <c r="G1505" s="237"/>
      <c r="H1505" s="237"/>
      <c r="I1505" s="238"/>
      <c r="J1505" s="235"/>
      <c r="K1505" s="235"/>
      <c r="L1505" s="235"/>
      <c r="M1505" s="235"/>
      <c r="N1505" s="239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  <c r="AR1505" s="6"/>
      <c r="AS1505" s="6"/>
    </row>
    <row r="1506" spans="1:45" ht="16.5" customHeight="1">
      <c r="A1506" s="235"/>
      <c r="B1506" s="235"/>
      <c r="C1506" s="235"/>
      <c r="D1506" s="235"/>
      <c r="E1506" s="235"/>
      <c r="F1506" s="236"/>
      <c r="G1506" s="237"/>
      <c r="H1506" s="237"/>
      <c r="I1506" s="238"/>
      <c r="J1506" s="235"/>
      <c r="K1506" s="235"/>
      <c r="L1506" s="235"/>
      <c r="M1506" s="235"/>
      <c r="N1506" s="239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  <c r="AS1506" s="6"/>
    </row>
    <row r="1507" spans="1:45" ht="16.5" customHeight="1">
      <c r="A1507" s="235"/>
      <c r="B1507" s="235"/>
      <c r="C1507" s="235"/>
      <c r="D1507" s="235"/>
      <c r="E1507" s="235"/>
      <c r="F1507" s="236"/>
      <c r="G1507" s="237"/>
      <c r="H1507" s="237"/>
      <c r="I1507" s="238"/>
      <c r="J1507" s="235"/>
      <c r="K1507" s="235"/>
      <c r="L1507" s="235"/>
      <c r="M1507" s="235"/>
      <c r="N1507" s="239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/>
      <c r="AS1507" s="6"/>
    </row>
    <row r="1508" spans="1:45" ht="16.5" customHeight="1">
      <c r="A1508" s="235"/>
      <c r="B1508" s="235"/>
      <c r="C1508" s="235"/>
      <c r="D1508" s="235"/>
      <c r="E1508" s="235"/>
      <c r="F1508" s="236"/>
      <c r="G1508" s="237"/>
      <c r="H1508" s="237"/>
      <c r="I1508" s="238"/>
      <c r="J1508" s="235"/>
      <c r="K1508" s="235"/>
      <c r="L1508" s="235"/>
      <c r="M1508" s="235"/>
      <c r="N1508" s="239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  <c r="AR1508" s="6"/>
      <c r="AS1508" s="6"/>
    </row>
    <row r="1509" spans="1:45" ht="16.5" customHeight="1">
      <c r="A1509" s="235"/>
      <c r="B1509" s="235"/>
      <c r="C1509" s="235"/>
      <c r="D1509" s="235"/>
      <c r="E1509" s="235"/>
      <c r="F1509" s="236"/>
      <c r="G1509" s="237"/>
      <c r="H1509" s="237"/>
      <c r="I1509" s="238"/>
      <c r="J1509" s="235"/>
      <c r="K1509" s="235"/>
      <c r="L1509" s="235"/>
      <c r="M1509" s="235"/>
      <c r="N1509" s="239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  <c r="AS1509" s="6"/>
    </row>
    <row r="1510" spans="1:45" ht="16.5" customHeight="1">
      <c r="A1510" s="235"/>
      <c r="B1510" s="235"/>
      <c r="C1510" s="235"/>
      <c r="D1510" s="235"/>
      <c r="E1510" s="235"/>
      <c r="F1510" s="236"/>
      <c r="G1510" s="237"/>
      <c r="H1510" s="237"/>
      <c r="I1510" s="238"/>
      <c r="J1510" s="235"/>
      <c r="K1510" s="235"/>
      <c r="L1510" s="235"/>
      <c r="M1510" s="235"/>
      <c r="N1510" s="239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  <c r="AS1510" s="6"/>
    </row>
    <row r="1511" spans="1:45" ht="16.5" customHeight="1">
      <c r="A1511" s="235"/>
      <c r="B1511" s="235"/>
      <c r="C1511" s="235"/>
      <c r="D1511" s="235"/>
      <c r="E1511" s="235"/>
      <c r="F1511" s="236"/>
      <c r="G1511" s="237"/>
      <c r="H1511" s="237"/>
      <c r="I1511" s="238"/>
      <c r="J1511" s="235"/>
      <c r="K1511" s="235"/>
      <c r="L1511" s="235"/>
      <c r="M1511" s="235"/>
      <c r="N1511" s="239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  <c r="AS1511" s="6"/>
    </row>
    <row r="1512" spans="1:45" ht="16.5" customHeight="1">
      <c r="A1512" s="235"/>
      <c r="B1512" s="235"/>
      <c r="C1512" s="235"/>
      <c r="D1512" s="235"/>
      <c r="E1512" s="235"/>
      <c r="F1512" s="236"/>
      <c r="G1512" s="237"/>
      <c r="H1512" s="237"/>
      <c r="I1512" s="238"/>
      <c r="J1512" s="235"/>
      <c r="K1512" s="235"/>
      <c r="L1512" s="235"/>
      <c r="M1512" s="235"/>
      <c r="N1512" s="239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  <c r="AR1512" s="6"/>
      <c r="AS1512" s="6"/>
    </row>
    <row r="1513" spans="1:45" ht="16.5" customHeight="1">
      <c r="A1513" s="235"/>
      <c r="B1513" s="235"/>
      <c r="C1513" s="235"/>
      <c r="D1513" s="235"/>
      <c r="E1513" s="235"/>
      <c r="F1513" s="236"/>
      <c r="G1513" s="237"/>
      <c r="H1513" s="237"/>
      <c r="I1513" s="238"/>
      <c r="J1513" s="235"/>
      <c r="K1513" s="235"/>
      <c r="L1513" s="235"/>
      <c r="M1513" s="235"/>
      <c r="N1513" s="239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/>
      <c r="AS1513" s="6"/>
    </row>
    <row r="1514" spans="1:45" ht="16.5" customHeight="1">
      <c r="A1514" s="235"/>
      <c r="B1514" s="235"/>
      <c r="C1514" s="235"/>
      <c r="D1514" s="235"/>
      <c r="E1514" s="235"/>
      <c r="F1514" s="236"/>
      <c r="G1514" s="237"/>
      <c r="H1514" s="237"/>
      <c r="I1514" s="238"/>
      <c r="J1514" s="235"/>
      <c r="K1514" s="235"/>
      <c r="L1514" s="235"/>
      <c r="M1514" s="235"/>
      <c r="N1514" s="239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  <c r="AQ1514" s="6"/>
      <c r="AR1514" s="6"/>
      <c r="AS1514" s="6"/>
    </row>
    <row r="1515" spans="1:45" ht="16.5" customHeight="1">
      <c r="A1515" s="235"/>
      <c r="B1515" s="235"/>
      <c r="C1515" s="235"/>
      <c r="D1515" s="235"/>
      <c r="E1515" s="235"/>
      <c r="F1515" s="236"/>
      <c r="G1515" s="237"/>
      <c r="H1515" s="237"/>
      <c r="I1515" s="238"/>
      <c r="J1515" s="235"/>
      <c r="K1515" s="235"/>
      <c r="L1515" s="235"/>
      <c r="M1515" s="235"/>
      <c r="N1515" s="239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6"/>
      <c r="AR1515" s="6"/>
      <c r="AS1515" s="6"/>
    </row>
    <row r="1516" spans="1:45" ht="16.5" customHeight="1">
      <c r="A1516" s="235"/>
      <c r="B1516" s="235"/>
      <c r="C1516" s="235"/>
      <c r="D1516" s="235"/>
      <c r="E1516" s="235"/>
      <c r="F1516" s="236"/>
      <c r="G1516" s="237"/>
      <c r="H1516" s="237"/>
      <c r="I1516" s="238"/>
      <c r="J1516" s="235"/>
      <c r="K1516" s="235"/>
      <c r="L1516" s="235"/>
      <c r="M1516" s="235"/>
      <c r="N1516" s="239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/>
      <c r="AS1516" s="6"/>
    </row>
    <row r="1517" spans="1:45" ht="16.5" customHeight="1">
      <c r="A1517" s="235"/>
      <c r="B1517" s="235"/>
      <c r="C1517" s="235"/>
      <c r="D1517" s="235"/>
      <c r="E1517" s="235"/>
      <c r="F1517" s="236"/>
      <c r="G1517" s="237"/>
      <c r="H1517" s="237"/>
      <c r="I1517" s="238"/>
      <c r="J1517" s="235"/>
      <c r="K1517" s="235"/>
      <c r="L1517" s="235"/>
      <c r="M1517" s="235"/>
      <c r="N1517" s="239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/>
      <c r="AS1517" s="6"/>
    </row>
    <row r="1518" spans="1:45" ht="16.5" customHeight="1">
      <c r="A1518" s="235"/>
      <c r="B1518" s="235"/>
      <c r="C1518" s="235"/>
      <c r="D1518" s="235"/>
      <c r="E1518" s="235"/>
      <c r="F1518" s="236"/>
      <c r="G1518" s="237"/>
      <c r="H1518" s="237"/>
      <c r="I1518" s="238"/>
      <c r="J1518" s="235"/>
      <c r="K1518" s="235"/>
      <c r="L1518" s="235"/>
      <c r="M1518" s="235"/>
      <c r="N1518" s="239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/>
      <c r="AS1518" s="6"/>
    </row>
    <row r="1519" spans="1:45" ht="16.5" customHeight="1">
      <c r="A1519" s="235"/>
      <c r="B1519" s="235"/>
      <c r="C1519" s="235"/>
      <c r="D1519" s="235"/>
      <c r="E1519" s="235"/>
      <c r="F1519" s="236"/>
      <c r="G1519" s="237"/>
      <c r="H1519" s="237"/>
      <c r="I1519" s="238"/>
      <c r="J1519" s="235"/>
      <c r="K1519" s="235"/>
      <c r="L1519" s="235"/>
      <c r="M1519" s="235"/>
      <c r="N1519" s="239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  <c r="AR1519" s="6"/>
      <c r="AS1519" s="6"/>
    </row>
    <row r="1520" spans="1:45" ht="16.5" customHeight="1">
      <c r="A1520" s="235"/>
      <c r="B1520" s="235"/>
      <c r="C1520" s="235"/>
      <c r="D1520" s="235"/>
      <c r="E1520" s="235"/>
      <c r="F1520" s="236"/>
      <c r="G1520" s="237"/>
      <c r="H1520" s="237"/>
      <c r="I1520" s="238"/>
      <c r="J1520" s="235"/>
      <c r="K1520" s="235"/>
      <c r="L1520" s="235"/>
      <c r="M1520" s="235"/>
      <c r="N1520" s="239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/>
      <c r="AS1520" s="6"/>
    </row>
    <row r="1521" spans="1:45" ht="16.5" customHeight="1">
      <c r="A1521" s="235"/>
      <c r="B1521" s="235"/>
      <c r="C1521" s="235"/>
      <c r="D1521" s="235"/>
      <c r="E1521" s="235"/>
      <c r="F1521" s="236"/>
      <c r="G1521" s="237"/>
      <c r="H1521" s="237"/>
      <c r="I1521" s="238"/>
      <c r="J1521" s="235"/>
      <c r="K1521" s="235"/>
      <c r="L1521" s="235"/>
      <c r="M1521" s="235"/>
      <c r="N1521" s="239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  <c r="AR1521" s="6"/>
      <c r="AS1521" s="6"/>
    </row>
    <row r="1522" spans="1:45" ht="16.5" customHeight="1">
      <c r="A1522" s="235"/>
      <c r="B1522" s="235"/>
      <c r="C1522" s="235"/>
      <c r="D1522" s="235"/>
      <c r="E1522" s="235"/>
      <c r="F1522" s="236"/>
      <c r="G1522" s="237"/>
      <c r="H1522" s="237"/>
      <c r="I1522" s="238"/>
      <c r="J1522" s="235"/>
      <c r="K1522" s="235"/>
      <c r="L1522" s="235"/>
      <c r="M1522" s="235"/>
      <c r="N1522" s="239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  <c r="AS1522" s="6"/>
    </row>
    <row r="1523" spans="1:45" ht="16.5" customHeight="1">
      <c r="A1523" s="235"/>
      <c r="B1523" s="235"/>
      <c r="C1523" s="235"/>
      <c r="D1523" s="235"/>
      <c r="E1523" s="235"/>
      <c r="F1523" s="236"/>
      <c r="G1523" s="237"/>
      <c r="H1523" s="237"/>
      <c r="I1523" s="238"/>
      <c r="J1523" s="235"/>
      <c r="K1523" s="235"/>
      <c r="L1523" s="235"/>
      <c r="M1523" s="235"/>
      <c r="N1523" s="239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  <c r="AQ1523" s="6"/>
      <c r="AR1523" s="6"/>
      <c r="AS1523" s="6"/>
    </row>
    <row r="1524" spans="1:45" ht="16.5" customHeight="1">
      <c r="A1524" s="235"/>
      <c r="B1524" s="235"/>
      <c r="C1524" s="235"/>
      <c r="D1524" s="235"/>
      <c r="E1524" s="235"/>
      <c r="F1524" s="236"/>
      <c r="G1524" s="237"/>
      <c r="H1524" s="237"/>
      <c r="I1524" s="238"/>
      <c r="J1524" s="235"/>
      <c r="K1524" s="235"/>
      <c r="L1524" s="235"/>
      <c r="M1524" s="235"/>
      <c r="N1524" s="239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  <c r="AS1524" s="6"/>
    </row>
    <row r="1525" spans="1:45" ht="16.5" customHeight="1">
      <c r="A1525" s="235"/>
      <c r="B1525" s="235"/>
      <c r="C1525" s="235"/>
      <c r="D1525" s="235"/>
      <c r="E1525" s="235"/>
      <c r="F1525" s="236"/>
      <c r="G1525" s="237"/>
      <c r="H1525" s="237"/>
      <c r="I1525" s="238"/>
      <c r="J1525" s="235"/>
      <c r="K1525" s="235"/>
      <c r="L1525" s="235"/>
      <c r="M1525" s="235"/>
      <c r="N1525" s="239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  <c r="AR1525" s="6"/>
      <c r="AS1525" s="6"/>
    </row>
    <row r="1526" spans="1:45" ht="16.5" customHeight="1">
      <c r="A1526" s="235"/>
      <c r="B1526" s="235"/>
      <c r="C1526" s="235"/>
      <c r="D1526" s="235"/>
      <c r="E1526" s="235"/>
      <c r="F1526" s="236"/>
      <c r="G1526" s="237"/>
      <c r="H1526" s="237"/>
      <c r="I1526" s="238"/>
      <c r="J1526" s="235"/>
      <c r="K1526" s="235"/>
      <c r="L1526" s="235"/>
      <c r="M1526" s="235"/>
      <c r="N1526" s="239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  <c r="AS1526" s="6"/>
    </row>
    <row r="1527" spans="1:45" ht="16.5" customHeight="1">
      <c r="A1527" s="235"/>
      <c r="B1527" s="235"/>
      <c r="C1527" s="235"/>
      <c r="D1527" s="235"/>
      <c r="E1527" s="235"/>
      <c r="F1527" s="236"/>
      <c r="G1527" s="237"/>
      <c r="H1527" s="237"/>
      <c r="I1527" s="238"/>
      <c r="J1527" s="235"/>
      <c r="K1527" s="235"/>
      <c r="L1527" s="235"/>
      <c r="M1527" s="235"/>
      <c r="N1527" s="239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  <c r="AR1527" s="6"/>
      <c r="AS1527" s="6"/>
    </row>
    <row r="1528" spans="1:45" ht="16.5" customHeight="1">
      <c r="A1528" s="235"/>
      <c r="B1528" s="235"/>
      <c r="C1528" s="235"/>
      <c r="D1528" s="235"/>
      <c r="E1528" s="235"/>
      <c r="F1528" s="236"/>
      <c r="G1528" s="237"/>
      <c r="H1528" s="237"/>
      <c r="I1528" s="238"/>
      <c r="J1528" s="235"/>
      <c r="K1528" s="235"/>
      <c r="L1528" s="235"/>
      <c r="M1528" s="235"/>
      <c r="N1528" s="239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/>
      <c r="AS1528" s="6"/>
    </row>
    <row r="1529" spans="1:45" ht="16.5" customHeight="1">
      <c r="A1529" s="235"/>
      <c r="B1529" s="235"/>
      <c r="C1529" s="235"/>
      <c r="D1529" s="235"/>
      <c r="E1529" s="235"/>
      <c r="F1529" s="236"/>
      <c r="G1529" s="237"/>
      <c r="H1529" s="237"/>
      <c r="I1529" s="238"/>
      <c r="J1529" s="235"/>
      <c r="K1529" s="235"/>
      <c r="L1529" s="235"/>
      <c r="M1529" s="235"/>
      <c r="N1529" s="239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  <c r="AM1529" s="6"/>
      <c r="AN1529" s="6"/>
      <c r="AO1529" s="6"/>
      <c r="AP1529" s="6"/>
      <c r="AQ1529" s="6"/>
      <c r="AR1529" s="6"/>
      <c r="AS1529" s="6"/>
    </row>
    <row r="1530" spans="1:45" ht="16.5" customHeight="1">
      <c r="A1530" s="235"/>
      <c r="B1530" s="235"/>
      <c r="C1530" s="235"/>
      <c r="D1530" s="235"/>
      <c r="E1530" s="235"/>
      <c r="F1530" s="236"/>
      <c r="G1530" s="237"/>
      <c r="H1530" s="237"/>
      <c r="I1530" s="238"/>
      <c r="J1530" s="235"/>
      <c r="K1530" s="235"/>
      <c r="L1530" s="235"/>
      <c r="M1530" s="235"/>
      <c r="N1530" s="239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  <c r="AQ1530" s="6"/>
      <c r="AR1530" s="6"/>
      <c r="AS1530" s="6"/>
    </row>
    <row r="1531" spans="1:45" ht="16.5" customHeight="1">
      <c r="A1531" s="235"/>
      <c r="B1531" s="235"/>
      <c r="C1531" s="235"/>
      <c r="D1531" s="235"/>
      <c r="E1531" s="235"/>
      <c r="F1531" s="236"/>
      <c r="G1531" s="237"/>
      <c r="H1531" s="237"/>
      <c r="I1531" s="238"/>
      <c r="J1531" s="235"/>
      <c r="K1531" s="235"/>
      <c r="L1531" s="235"/>
      <c r="M1531" s="235"/>
      <c r="N1531" s="239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  <c r="AR1531" s="6"/>
      <c r="AS1531" s="6"/>
    </row>
    <row r="1532" spans="1:45" ht="16.5" customHeight="1">
      <c r="A1532" s="235"/>
      <c r="B1532" s="235"/>
      <c r="C1532" s="235"/>
      <c r="D1532" s="235"/>
      <c r="E1532" s="235"/>
      <c r="F1532" s="236"/>
      <c r="G1532" s="237"/>
      <c r="H1532" s="237"/>
      <c r="I1532" s="238"/>
      <c r="J1532" s="235"/>
      <c r="K1532" s="235"/>
      <c r="L1532" s="235"/>
      <c r="M1532" s="235"/>
      <c r="N1532" s="239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  <c r="AR1532" s="6"/>
      <c r="AS1532" s="6"/>
    </row>
    <row r="1533" spans="1:45" ht="16.5" customHeight="1">
      <c r="A1533" s="235"/>
      <c r="B1533" s="235"/>
      <c r="C1533" s="235"/>
      <c r="D1533" s="235"/>
      <c r="E1533" s="235"/>
      <c r="F1533" s="236"/>
      <c r="G1533" s="237"/>
      <c r="H1533" s="237"/>
      <c r="I1533" s="238"/>
      <c r="J1533" s="235"/>
      <c r="K1533" s="235"/>
      <c r="L1533" s="235"/>
      <c r="M1533" s="235"/>
      <c r="N1533" s="239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  <c r="AR1533" s="6"/>
      <c r="AS1533" s="6"/>
    </row>
    <row r="1534" spans="1:45" ht="16.5" customHeight="1">
      <c r="A1534" s="235"/>
      <c r="B1534" s="235"/>
      <c r="C1534" s="235"/>
      <c r="D1534" s="235"/>
      <c r="E1534" s="235"/>
      <c r="F1534" s="236"/>
      <c r="G1534" s="237"/>
      <c r="H1534" s="237"/>
      <c r="I1534" s="238"/>
      <c r="J1534" s="235"/>
      <c r="K1534" s="235"/>
      <c r="L1534" s="235"/>
      <c r="M1534" s="235"/>
      <c r="N1534" s="239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  <c r="AS1534" s="6"/>
    </row>
    <row r="1535" spans="1:45" ht="16.5" customHeight="1">
      <c r="A1535" s="235"/>
      <c r="B1535" s="235"/>
      <c r="C1535" s="235"/>
      <c r="D1535" s="235"/>
      <c r="E1535" s="235"/>
      <c r="F1535" s="236"/>
      <c r="G1535" s="237"/>
      <c r="H1535" s="237"/>
      <c r="I1535" s="238"/>
      <c r="J1535" s="235"/>
      <c r="K1535" s="235"/>
      <c r="L1535" s="235"/>
      <c r="M1535" s="235"/>
      <c r="N1535" s="239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/>
      <c r="AS1535" s="6"/>
    </row>
    <row r="1536" spans="1:45" ht="16.5" customHeight="1">
      <c r="A1536" s="235"/>
      <c r="B1536" s="235"/>
      <c r="C1536" s="235"/>
      <c r="D1536" s="235"/>
      <c r="E1536" s="235"/>
      <c r="F1536" s="236"/>
      <c r="G1536" s="237"/>
      <c r="H1536" s="237"/>
      <c r="I1536" s="238"/>
      <c r="J1536" s="235"/>
      <c r="K1536" s="235"/>
      <c r="L1536" s="235"/>
      <c r="M1536" s="235"/>
      <c r="N1536" s="239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/>
      <c r="AS1536" s="6"/>
    </row>
    <row r="1537" spans="1:45" ht="16.5" customHeight="1">
      <c r="A1537" s="235"/>
      <c r="B1537" s="235"/>
      <c r="C1537" s="235"/>
      <c r="D1537" s="235"/>
      <c r="E1537" s="235"/>
      <c r="F1537" s="236"/>
      <c r="G1537" s="237"/>
      <c r="H1537" s="237"/>
      <c r="I1537" s="238"/>
      <c r="J1537" s="235"/>
      <c r="K1537" s="235"/>
      <c r="L1537" s="235"/>
      <c r="M1537" s="235"/>
      <c r="N1537" s="239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  <c r="AR1537" s="6"/>
      <c r="AS1537" s="6"/>
    </row>
    <row r="1538" spans="1:45" ht="16.5" customHeight="1">
      <c r="A1538" s="235"/>
      <c r="B1538" s="235"/>
      <c r="C1538" s="235"/>
      <c r="D1538" s="235"/>
      <c r="E1538" s="235"/>
      <c r="F1538" s="236"/>
      <c r="G1538" s="237"/>
      <c r="H1538" s="237"/>
      <c r="I1538" s="238"/>
      <c r="J1538" s="235"/>
      <c r="K1538" s="235"/>
      <c r="L1538" s="235"/>
      <c r="M1538" s="235"/>
      <c r="N1538" s="239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/>
      <c r="AS1538" s="6"/>
    </row>
    <row r="1539" spans="1:45" ht="16.5" customHeight="1">
      <c r="A1539" s="235"/>
      <c r="B1539" s="235"/>
      <c r="C1539" s="235"/>
      <c r="D1539" s="235"/>
      <c r="E1539" s="235"/>
      <c r="F1539" s="236"/>
      <c r="G1539" s="237"/>
      <c r="H1539" s="237"/>
      <c r="I1539" s="238"/>
      <c r="J1539" s="235"/>
      <c r="K1539" s="235"/>
      <c r="L1539" s="235"/>
      <c r="M1539" s="235"/>
      <c r="N1539" s="239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/>
      <c r="AS1539" s="6"/>
    </row>
    <row r="1540" spans="1:45" ht="16.5" customHeight="1">
      <c r="A1540" s="235"/>
      <c r="B1540" s="235"/>
      <c r="C1540" s="235"/>
      <c r="D1540" s="235"/>
      <c r="E1540" s="235"/>
      <c r="F1540" s="236"/>
      <c r="G1540" s="237"/>
      <c r="H1540" s="237"/>
      <c r="I1540" s="238"/>
      <c r="J1540" s="235"/>
      <c r="K1540" s="235"/>
      <c r="L1540" s="235"/>
      <c r="M1540" s="235"/>
      <c r="N1540" s="239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  <c r="AQ1540" s="6"/>
      <c r="AR1540" s="6"/>
      <c r="AS1540" s="6"/>
    </row>
    <row r="1541" spans="1:45" ht="16.5" customHeight="1">
      <c r="A1541" s="235"/>
      <c r="B1541" s="235"/>
      <c r="C1541" s="235"/>
      <c r="D1541" s="235"/>
      <c r="E1541" s="235"/>
      <c r="F1541" s="236"/>
      <c r="G1541" s="237"/>
      <c r="H1541" s="237"/>
      <c r="I1541" s="238"/>
      <c r="J1541" s="235"/>
      <c r="K1541" s="235"/>
      <c r="L1541" s="235"/>
      <c r="M1541" s="235"/>
      <c r="N1541" s="239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  <c r="AR1541" s="6"/>
      <c r="AS1541" s="6"/>
    </row>
    <row r="1542" spans="1:45" ht="16.5" customHeight="1">
      <c r="A1542" s="235"/>
      <c r="B1542" s="235"/>
      <c r="C1542" s="235"/>
      <c r="D1542" s="235"/>
      <c r="E1542" s="235"/>
      <c r="F1542" s="236"/>
      <c r="G1542" s="237"/>
      <c r="H1542" s="237"/>
      <c r="I1542" s="238"/>
      <c r="J1542" s="235"/>
      <c r="K1542" s="235"/>
      <c r="L1542" s="235"/>
      <c r="M1542" s="235"/>
      <c r="N1542" s="239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/>
      <c r="AS1542" s="6"/>
    </row>
    <row r="1543" spans="1:45" ht="16.5" customHeight="1">
      <c r="A1543" s="235"/>
      <c r="B1543" s="235"/>
      <c r="C1543" s="235"/>
      <c r="D1543" s="235"/>
      <c r="E1543" s="235"/>
      <c r="F1543" s="236"/>
      <c r="G1543" s="237"/>
      <c r="H1543" s="237"/>
      <c r="I1543" s="238"/>
      <c r="J1543" s="235"/>
      <c r="K1543" s="235"/>
      <c r="L1543" s="235"/>
      <c r="M1543" s="235"/>
      <c r="N1543" s="239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  <c r="AR1543" s="6"/>
      <c r="AS1543" s="6"/>
    </row>
    <row r="1544" spans="1:45" ht="16.5" customHeight="1">
      <c r="A1544" s="235"/>
      <c r="B1544" s="235"/>
      <c r="C1544" s="235"/>
      <c r="D1544" s="235"/>
      <c r="E1544" s="235"/>
      <c r="F1544" s="236"/>
      <c r="G1544" s="237"/>
      <c r="H1544" s="237"/>
      <c r="I1544" s="238"/>
      <c r="J1544" s="235"/>
      <c r="K1544" s="235"/>
      <c r="L1544" s="235"/>
      <c r="M1544" s="235"/>
      <c r="N1544" s="239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/>
      <c r="AS1544" s="6"/>
    </row>
    <row r="1545" spans="1:45" ht="16.5" customHeight="1">
      <c r="A1545" s="235"/>
      <c r="B1545" s="235"/>
      <c r="C1545" s="235"/>
      <c r="D1545" s="235"/>
      <c r="E1545" s="235"/>
      <c r="F1545" s="236"/>
      <c r="G1545" s="237"/>
      <c r="H1545" s="237"/>
      <c r="I1545" s="238"/>
      <c r="J1545" s="235"/>
      <c r="K1545" s="235"/>
      <c r="L1545" s="235"/>
      <c r="M1545" s="235"/>
      <c r="N1545" s="239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  <c r="AR1545" s="6"/>
      <c r="AS1545" s="6"/>
    </row>
    <row r="1546" spans="1:45" ht="16.5" customHeight="1">
      <c r="A1546" s="235"/>
      <c r="B1546" s="235"/>
      <c r="C1546" s="235"/>
      <c r="D1546" s="235"/>
      <c r="E1546" s="235"/>
      <c r="F1546" s="236"/>
      <c r="G1546" s="237"/>
      <c r="H1546" s="237"/>
      <c r="I1546" s="238"/>
      <c r="J1546" s="235"/>
      <c r="K1546" s="235"/>
      <c r="L1546" s="235"/>
      <c r="M1546" s="235"/>
      <c r="N1546" s="239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  <c r="AS1546" s="6"/>
    </row>
    <row r="1547" spans="1:45" ht="16.5" customHeight="1">
      <c r="A1547" s="235"/>
      <c r="B1547" s="235"/>
      <c r="C1547" s="235"/>
      <c r="D1547" s="235"/>
      <c r="E1547" s="235"/>
      <c r="F1547" s="236"/>
      <c r="G1547" s="237"/>
      <c r="H1547" s="237"/>
      <c r="I1547" s="238"/>
      <c r="J1547" s="235"/>
      <c r="K1547" s="235"/>
      <c r="L1547" s="235"/>
      <c r="M1547" s="235"/>
      <c r="N1547" s="239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/>
      <c r="AS1547" s="6"/>
    </row>
    <row r="1548" spans="1:45" ht="16.5" customHeight="1">
      <c r="A1548" s="235"/>
      <c r="B1548" s="235"/>
      <c r="C1548" s="235"/>
      <c r="D1548" s="235"/>
      <c r="E1548" s="235"/>
      <c r="F1548" s="236"/>
      <c r="G1548" s="237"/>
      <c r="H1548" s="237"/>
      <c r="I1548" s="238"/>
      <c r="J1548" s="235"/>
      <c r="K1548" s="235"/>
      <c r="L1548" s="235"/>
      <c r="M1548" s="235"/>
      <c r="N1548" s="239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  <c r="AS1548" s="6"/>
    </row>
    <row r="1549" spans="1:45" ht="16.5" customHeight="1">
      <c r="A1549" s="235"/>
      <c r="B1549" s="235"/>
      <c r="C1549" s="235"/>
      <c r="D1549" s="235"/>
      <c r="E1549" s="235"/>
      <c r="F1549" s="236"/>
      <c r="G1549" s="237"/>
      <c r="H1549" s="237"/>
      <c r="I1549" s="238"/>
      <c r="J1549" s="235"/>
      <c r="K1549" s="235"/>
      <c r="L1549" s="235"/>
      <c r="M1549" s="235"/>
      <c r="N1549" s="239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  <c r="AS1549" s="6"/>
    </row>
    <row r="1550" spans="1:45" ht="16.5" customHeight="1">
      <c r="A1550" s="235"/>
      <c r="B1550" s="235"/>
      <c r="C1550" s="235"/>
      <c r="D1550" s="235"/>
      <c r="E1550" s="235"/>
      <c r="F1550" s="236"/>
      <c r="G1550" s="237"/>
      <c r="H1550" s="237"/>
      <c r="I1550" s="238"/>
      <c r="J1550" s="235"/>
      <c r="K1550" s="235"/>
      <c r="L1550" s="235"/>
      <c r="M1550" s="235"/>
      <c r="N1550" s="239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  <c r="AR1550" s="6"/>
      <c r="AS1550" s="6"/>
    </row>
    <row r="1551" spans="1:45" ht="16.5" customHeight="1">
      <c r="A1551" s="235"/>
      <c r="B1551" s="235"/>
      <c r="C1551" s="235"/>
      <c r="D1551" s="235"/>
      <c r="E1551" s="235"/>
      <c r="F1551" s="236"/>
      <c r="G1551" s="237"/>
      <c r="H1551" s="237"/>
      <c r="I1551" s="238"/>
      <c r="J1551" s="235"/>
      <c r="K1551" s="235"/>
      <c r="L1551" s="235"/>
      <c r="M1551" s="235"/>
      <c r="N1551" s="239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  <c r="AQ1551" s="6"/>
      <c r="AR1551" s="6"/>
      <c r="AS1551" s="6"/>
    </row>
    <row r="1552" spans="1:45" ht="16.5" customHeight="1">
      <c r="A1552" s="235"/>
      <c r="B1552" s="235"/>
      <c r="C1552" s="235"/>
      <c r="D1552" s="235"/>
      <c r="E1552" s="235"/>
      <c r="F1552" s="236"/>
      <c r="G1552" s="237"/>
      <c r="H1552" s="237"/>
      <c r="I1552" s="238"/>
      <c r="J1552" s="235"/>
      <c r="K1552" s="235"/>
      <c r="L1552" s="235"/>
      <c r="M1552" s="235"/>
      <c r="N1552" s="239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/>
      <c r="AS1552" s="6"/>
    </row>
    <row r="1553" spans="1:45" ht="16.5" customHeight="1">
      <c r="A1553" s="235"/>
      <c r="B1553" s="235"/>
      <c r="C1553" s="235"/>
      <c r="D1553" s="235"/>
      <c r="E1553" s="235"/>
      <c r="F1553" s="236"/>
      <c r="G1553" s="237"/>
      <c r="H1553" s="237"/>
      <c r="I1553" s="238"/>
      <c r="J1553" s="235"/>
      <c r="K1553" s="235"/>
      <c r="L1553" s="235"/>
      <c r="M1553" s="235"/>
      <c r="N1553" s="239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  <c r="AR1553" s="6"/>
      <c r="AS1553" s="6"/>
    </row>
    <row r="1554" spans="1:45" ht="16.5" customHeight="1">
      <c r="A1554" s="235"/>
      <c r="B1554" s="235"/>
      <c r="C1554" s="235"/>
      <c r="D1554" s="235"/>
      <c r="E1554" s="235"/>
      <c r="F1554" s="236"/>
      <c r="G1554" s="237"/>
      <c r="H1554" s="237"/>
      <c r="I1554" s="238"/>
      <c r="J1554" s="235"/>
      <c r="K1554" s="235"/>
      <c r="L1554" s="235"/>
      <c r="M1554" s="235"/>
      <c r="N1554" s="239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/>
      <c r="AS1554" s="6"/>
    </row>
    <row r="1555" spans="1:45" ht="16.5" customHeight="1">
      <c r="A1555" s="235"/>
      <c r="B1555" s="235"/>
      <c r="C1555" s="235"/>
      <c r="D1555" s="235"/>
      <c r="E1555" s="235"/>
      <c r="F1555" s="236"/>
      <c r="G1555" s="237"/>
      <c r="H1555" s="237"/>
      <c r="I1555" s="238"/>
      <c r="J1555" s="235"/>
      <c r="K1555" s="235"/>
      <c r="L1555" s="235"/>
      <c r="M1555" s="235"/>
      <c r="N1555" s="239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  <c r="AR1555" s="6"/>
      <c r="AS1555" s="6"/>
    </row>
    <row r="1556" spans="1:45" ht="16.5" customHeight="1">
      <c r="A1556" s="235"/>
      <c r="B1556" s="235"/>
      <c r="C1556" s="235"/>
      <c r="D1556" s="235"/>
      <c r="E1556" s="235"/>
      <c r="F1556" s="236"/>
      <c r="G1556" s="237"/>
      <c r="H1556" s="237"/>
      <c r="I1556" s="238"/>
      <c r="J1556" s="235"/>
      <c r="K1556" s="235"/>
      <c r="L1556" s="235"/>
      <c r="M1556" s="235"/>
      <c r="N1556" s="239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  <c r="AR1556" s="6"/>
      <c r="AS1556" s="6"/>
    </row>
    <row r="1557" spans="1:45" ht="16.5" customHeight="1">
      <c r="A1557" s="235"/>
      <c r="B1557" s="235"/>
      <c r="C1557" s="235"/>
      <c r="D1557" s="235"/>
      <c r="E1557" s="235"/>
      <c r="F1557" s="236"/>
      <c r="G1557" s="237"/>
      <c r="H1557" s="237"/>
      <c r="I1557" s="238"/>
      <c r="J1557" s="235"/>
      <c r="K1557" s="235"/>
      <c r="L1557" s="235"/>
      <c r="M1557" s="235"/>
      <c r="N1557" s="239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6"/>
      <c r="AR1557" s="6"/>
      <c r="AS1557" s="6"/>
    </row>
    <row r="1558" spans="1:45" ht="16.5" customHeight="1">
      <c r="A1558" s="235"/>
      <c r="B1558" s="235"/>
      <c r="C1558" s="235"/>
      <c r="D1558" s="235"/>
      <c r="E1558" s="235"/>
      <c r="F1558" s="236"/>
      <c r="G1558" s="237"/>
      <c r="H1558" s="237"/>
      <c r="I1558" s="238"/>
      <c r="J1558" s="235"/>
      <c r="K1558" s="235"/>
      <c r="L1558" s="235"/>
      <c r="M1558" s="235"/>
      <c r="N1558" s="239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  <c r="AR1558" s="6"/>
      <c r="AS1558" s="6"/>
    </row>
    <row r="1559" spans="1:45" ht="16.5" customHeight="1">
      <c r="A1559" s="235"/>
      <c r="B1559" s="235"/>
      <c r="C1559" s="235"/>
      <c r="D1559" s="235"/>
      <c r="E1559" s="235"/>
      <c r="F1559" s="236"/>
      <c r="G1559" s="237"/>
      <c r="H1559" s="237"/>
      <c r="I1559" s="238"/>
      <c r="J1559" s="235"/>
      <c r="K1559" s="235"/>
      <c r="L1559" s="235"/>
      <c r="M1559" s="235"/>
      <c r="N1559" s="239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  <c r="AQ1559" s="6"/>
      <c r="AR1559" s="6"/>
      <c r="AS1559" s="6"/>
    </row>
    <row r="1560" spans="1:45" ht="16.5" customHeight="1">
      <c r="A1560" s="235"/>
      <c r="B1560" s="235"/>
      <c r="C1560" s="235"/>
      <c r="D1560" s="235"/>
      <c r="E1560" s="235"/>
      <c r="F1560" s="236"/>
      <c r="G1560" s="237"/>
      <c r="H1560" s="237"/>
      <c r="I1560" s="238"/>
      <c r="J1560" s="235"/>
      <c r="K1560" s="235"/>
      <c r="L1560" s="235"/>
      <c r="M1560" s="235"/>
      <c r="N1560" s="239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  <c r="AR1560" s="6"/>
      <c r="AS1560" s="6"/>
    </row>
    <row r="1561" spans="1:45" ht="16.5" customHeight="1">
      <c r="A1561" s="235"/>
      <c r="B1561" s="235"/>
      <c r="C1561" s="235"/>
      <c r="D1561" s="235"/>
      <c r="E1561" s="235"/>
      <c r="F1561" s="236"/>
      <c r="G1561" s="237"/>
      <c r="H1561" s="237"/>
      <c r="I1561" s="238"/>
      <c r="J1561" s="235"/>
      <c r="K1561" s="235"/>
      <c r="L1561" s="235"/>
      <c r="M1561" s="235"/>
      <c r="N1561" s="239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  <c r="AL1561" s="6"/>
      <c r="AM1561" s="6"/>
      <c r="AN1561" s="6"/>
      <c r="AO1561" s="6"/>
      <c r="AP1561" s="6"/>
      <c r="AQ1561" s="6"/>
      <c r="AR1561" s="6"/>
      <c r="AS1561" s="6"/>
    </row>
    <row r="1562" spans="1:45" ht="16.5" customHeight="1">
      <c r="A1562" s="235"/>
      <c r="B1562" s="235"/>
      <c r="C1562" s="235"/>
      <c r="D1562" s="235"/>
      <c r="E1562" s="235"/>
      <c r="F1562" s="236"/>
      <c r="G1562" s="237"/>
      <c r="H1562" s="237"/>
      <c r="I1562" s="238"/>
      <c r="J1562" s="235"/>
      <c r="K1562" s="235"/>
      <c r="L1562" s="235"/>
      <c r="M1562" s="235"/>
      <c r="N1562" s="239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  <c r="AN1562" s="6"/>
      <c r="AO1562" s="6"/>
      <c r="AP1562" s="6"/>
      <c r="AQ1562" s="6"/>
      <c r="AR1562" s="6"/>
      <c r="AS1562" s="6"/>
    </row>
    <row r="1563" spans="1:45" ht="16.5" customHeight="1">
      <c r="A1563" s="235"/>
      <c r="B1563" s="235"/>
      <c r="C1563" s="235"/>
      <c r="D1563" s="235"/>
      <c r="E1563" s="235"/>
      <c r="F1563" s="236"/>
      <c r="G1563" s="237"/>
      <c r="H1563" s="237"/>
      <c r="I1563" s="238"/>
      <c r="J1563" s="235"/>
      <c r="K1563" s="235"/>
      <c r="L1563" s="235"/>
      <c r="M1563" s="235"/>
      <c r="N1563" s="239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  <c r="AL1563" s="6"/>
      <c r="AM1563" s="6"/>
      <c r="AN1563" s="6"/>
      <c r="AO1563" s="6"/>
      <c r="AP1563" s="6"/>
      <c r="AQ1563" s="6"/>
      <c r="AR1563" s="6"/>
      <c r="AS1563" s="6"/>
    </row>
    <row r="1564" spans="1:45" ht="16.5" customHeight="1">
      <c r="A1564" s="235"/>
      <c r="B1564" s="235"/>
      <c r="C1564" s="235"/>
      <c r="D1564" s="235"/>
      <c r="E1564" s="235"/>
      <c r="F1564" s="236"/>
      <c r="G1564" s="237"/>
      <c r="H1564" s="237"/>
      <c r="I1564" s="238"/>
      <c r="J1564" s="235"/>
      <c r="K1564" s="235"/>
      <c r="L1564" s="235"/>
      <c r="M1564" s="235"/>
      <c r="N1564" s="239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  <c r="AR1564" s="6"/>
      <c r="AS1564" s="6"/>
    </row>
    <row r="1565" spans="1:45" ht="16.5" customHeight="1">
      <c r="A1565" s="235"/>
      <c r="B1565" s="235"/>
      <c r="C1565" s="235"/>
      <c r="D1565" s="235"/>
      <c r="E1565" s="235"/>
      <c r="F1565" s="236"/>
      <c r="G1565" s="237"/>
      <c r="H1565" s="237"/>
      <c r="I1565" s="238"/>
      <c r="J1565" s="235"/>
      <c r="K1565" s="235"/>
      <c r="L1565" s="235"/>
      <c r="M1565" s="235"/>
      <c r="N1565" s="239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N1565" s="6"/>
      <c r="AO1565" s="6"/>
      <c r="AP1565" s="6"/>
      <c r="AQ1565" s="6"/>
      <c r="AR1565" s="6"/>
      <c r="AS1565" s="6"/>
    </row>
    <row r="1566" spans="1:45" ht="16.5" customHeight="1">
      <c r="A1566" s="235"/>
      <c r="B1566" s="235"/>
      <c r="C1566" s="235"/>
      <c r="D1566" s="235"/>
      <c r="E1566" s="235"/>
      <c r="F1566" s="236"/>
      <c r="G1566" s="237"/>
      <c r="H1566" s="237"/>
      <c r="I1566" s="238"/>
      <c r="J1566" s="235"/>
      <c r="K1566" s="235"/>
      <c r="L1566" s="235"/>
      <c r="M1566" s="235"/>
      <c r="N1566" s="239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  <c r="AL1566" s="6"/>
      <c r="AM1566" s="6"/>
      <c r="AN1566" s="6"/>
      <c r="AO1566" s="6"/>
      <c r="AP1566" s="6"/>
      <c r="AQ1566" s="6"/>
      <c r="AR1566" s="6"/>
      <c r="AS1566" s="6"/>
    </row>
    <row r="1567" spans="1:45" ht="16.5" customHeight="1">
      <c r="A1567" s="235"/>
      <c r="B1567" s="235"/>
      <c r="C1567" s="235"/>
      <c r="D1567" s="235"/>
      <c r="E1567" s="235"/>
      <c r="F1567" s="236"/>
      <c r="G1567" s="237"/>
      <c r="H1567" s="237"/>
      <c r="I1567" s="238"/>
      <c r="J1567" s="235"/>
      <c r="K1567" s="235"/>
      <c r="L1567" s="235"/>
      <c r="M1567" s="235"/>
      <c r="N1567" s="239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  <c r="AL1567" s="6"/>
      <c r="AM1567" s="6"/>
      <c r="AN1567" s="6"/>
      <c r="AO1567" s="6"/>
      <c r="AP1567" s="6"/>
      <c r="AQ1567" s="6"/>
      <c r="AR1567" s="6"/>
      <c r="AS1567" s="6"/>
    </row>
    <row r="1568" spans="1:45" ht="16.5" customHeight="1">
      <c r="A1568" s="235"/>
      <c r="B1568" s="235"/>
      <c r="C1568" s="235"/>
      <c r="D1568" s="235"/>
      <c r="E1568" s="235"/>
      <c r="F1568" s="236"/>
      <c r="G1568" s="237"/>
      <c r="H1568" s="237"/>
      <c r="I1568" s="238"/>
      <c r="J1568" s="235"/>
      <c r="K1568" s="235"/>
      <c r="L1568" s="235"/>
      <c r="M1568" s="235"/>
      <c r="N1568" s="239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  <c r="AD1568" s="6"/>
      <c r="AE1568" s="6"/>
      <c r="AF1568" s="6"/>
      <c r="AG1568" s="6"/>
      <c r="AH1568" s="6"/>
      <c r="AI1568" s="6"/>
      <c r="AJ1568" s="6"/>
      <c r="AK1568" s="6"/>
      <c r="AL1568" s="6"/>
      <c r="AM1568" s="6"/>
      <c r="AN1568" s="6"/>
      <c r="AO1568" s="6"/>
      <c r="AP1568" s="6"/>
      <c r="AQ1568" s="6"/>
      <c r="AR1568" s="6"/>
      <c r="AS1568" s="6"/>
    </row>
    <row r="1569" spans="1:45" ht="16.5" customHeight="1">
      <c r="A1569" s="235"/>
      <c r="B1569" s="235"/>
      <c r="C1569" s="235"/>
      <c r="D1569" s="235"/>
      <c r="E1569" s="235"/>
      <c r="F1569" s="236"/>
      <c r="G1569" s="237"/>
      <c r="H1569" s="237"/>
      <c r="I1569" s="238"/>
      <c r="J1569" s="235"/>
      <c r="K1569" s="235"/>
      <c r="L1569" s="235"/>
      <c r="M1569" s="235"/>
      <c r="N1569" s="239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  <c r="AD1569" s="6"/>
      <c r="AE1569" s="6"/>
      <c r="AF1569" s="6"/>
      <c r="AG1569" s="6"/>
      <c r="AH1569" s="6"/>
      <c r="AI1569" s="6"/>
      <c r="AJ1569" s="6"/>
      <c r="AK1569" s="6"/>
      <c r="AL1569" s="6"/>
      <c r="AM1569" s="6"/>
      <c r="AN1569" s="6"/>
      <c r="AO1569" s="6"/>
      <c r="AP1569" s="6"/>
      <c r="AQ1569" s="6"/>
      <c r="AR1569" s="6"/>
      <c r="AS1569" s="6"/>
    </row>
    <row r="1570" spans="1:45" ht="16.5" customHeight="1">
      <c r="A1570" s="235"/>
      <c r="B1570" s="235"/>
      <c r="C1570" s="235"/>
      <c r="D1570" s="235"/>
      <c r="E1570" s="235"/>
      <c r="F1570" s="236"/>
      <c r="G1570" s="237"/>
      <c r="H1570" s="237"/>
      <c r="I1570" s="238"/>
      <c r="J1570" s="235"/>
      <c r="K1570" s="235"/>
      <c r="L1570" s="235"/>
      <c r="M1570" s="235"/>
      <c r="N1570" s="239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  <c r="AM1570" s="6"/>
      <c r="AN1570" s="6"/>
      <c r="AO1570" s="6"/>
      <c r="AP1570" s="6"/>
      <c r="AQ1570" s="6"/>
      <c r="AR1570" s="6"/>
      <c r="AS1570" s="6"/>
    </row>
    <row r="1571" spans="1:45" ht="16.5" customHeight="1">
      <c r="A1571" s="235"/>
      <c r="B1571" s="235"/>
      <c r="C1571" s="235"/>
      <c r="D1571" s="235"/>
      <c r="E1571" s="235"/>
      <c r="F1571" s="236"/>
      <c r="G1571" s="237"/>
      <c r="H1571" s="237"/>
      <c r="I1571" s="238"/>
      <c r="J1571" s="235"/>
      <c r="K1571" s="235"/>
      <c r="L1571" s="235"/>
      <c r="M1571" s="235"/>
      <c r="N1571" s="239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  <c r="AR1571" s="6"/>
      <c r="AS1571" s="6"/>
    </row>
    <row r="1572" spans="1:45" ht="16.5" customHeight="1">
      <c r="A1572" s="235"/>
      <c r="B1572" s="235"/>
      <c r="C1572" s="235"/>
      <c r="D1572" s="235"/>
      <c r="E1572" s="235"/>
      <c r="F1572" s="236"/>
      <c r="G1572" s="237"/>
      <c r="H1572" s="237"/>
      <c r="I1572" s="238"/>
      <c r="J1572" s="235"/>
      <c r="K1572" s="235"/>
      <c r="L1572" s="235"/>
      <c r="M1572" s="235"/>
      <c r="N1572" s="239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  <c r="AM1572" s="6"/>
      <c r="AN1572" s="6"/>
      <c r="AO1572" s="6"/>
      <c r="AP1572" s="6"/>
      <c r="AQ1572" s="6"/>
      <c r="AR1572" s="6"/>
      <c r="AS1572" s="6"/>
    </row>
    <row r="1573" spans="1:45" ht="16.5" customHeight="1">
      <c r="A1573" s="235"/>
      <c r="B1573" s="235"/>
      <c r="C1573" s="235"/>
      <c r="D1573" s="235"/>
      <c r="E1573" s="235"/>
      <c r="F1573" s="236"/>
      <c r="G1573" s="237"/>
      <c r="H1573" s="237"/>
      <c r="I1573" s="238"/>
      <c r="J1573" s="235"/>
      <c r="K1573" s="235"/>
      <c r="L1573" s="235"/>
      <c r="M1573" s="235"/>
      <c r="N1573" s="239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/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6"/>
      <c r="AM1573" s="6"/>
      <c r="AN1573" s="6"/>
      <c r="AO1573" s="6"/>
      <c r="AP1573" s="6"/>
      <c r="AQ1573" s="6"/>
      <c r="AR1573" s="6"/>
      <c r="AS1573" s="6"/>
    </row>
    <row r="1574" spans="1:45" ht="16.5" customHeight="1">
      <c r="A1574" s="235"/>
      <c r="B1574" s="235"/>
      <c r="C1574" s="235"/>
      <c r="D1574" s="235"/>
      <c r="E1574" s="235"/>
      <c r="F1574" s="236"/>
      <c r="G1574" s="237"/>
      <c r="H1574" s="237"/>
      <c r="I1574" s="238"/>
      <c r="J1574" s="235"/>
      <c r="K1574" s="235"/>
      <c r="L1574" s="235"/>
      <c r="M1574" s="235"/>
      <c r="N1574" s="239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6"/>
      <c r="AM1574" s="6"/>
      <c r="AN1574" s="6"/>
      <c r="AO1574" s="6"/>
      <c r="AP1574" s="6"/>
      <c r="AQ1574" s="6"/>
      <c r="AR1574" s="6"/>
      <c r="AS1574" s="6"/>
    </row>
    <row r="1575" spans="1:45" ht="16.5" customHeight="1">
      <c r="A1575" s="235"/>
      <c r="B1575" s="235"/>
      <c r="C1575" s="235"/>
      <c r="D1575" s="235"/>
      <c r="E1575" s="235"/>
      <c r="F1575" s="236"/>
      <c r="G1575" s="237"/>
      <c r="H1575" s="237"/>
      <c r="I1575" s="238"/>
      <c r="J1575" s="235"/>
      <c r="K1575" s="235"/>
      <c r="L1575" s="235"/>
      <c r="M1575" s="235"/>
      <c r="N1575" s="239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  <c r="AC1575" s="6"/>
      <c r="AD1575" s="6"/>
      <c r="AE1575" s="6"/>
      <c r="AF1575" s="6"/>
      <c r="AG1575" s="6"/>
      <c r="AH1575" s="6"/>
      <c r="AI1575" s="6"/>
      <c r="AJ1575" s="6"/>
      <c r="AK1575" s="6"/>
      <c r="AL1575" s="6"/>
      <c r="AM1575" s="6"/>
      <c r="AN1575" s="6"/>
      <c r="AO1575" s="6"/>
      <c r="AP1575" s="6"/>
      <c r="AQ1575" s="6"/>
      <c r="AR1575" s="6"/>
      <c r="AS1575" s="6"/>
    </row>
    <row r="1576" spans="1:45" ht="16.5" customHeight="1">
      <c r="A1576" s="235"/>
      <c r="B1576" s="235"/>
      <c r="C1576" s="235"/>
      <c r="D1576" s="235"/>
      <c r="E1576" s="235"/>
      <c r="F1576" s="236"/>
      <c r="G1576" s="237"/>
      <c r="H1576" s="237"/>
      <c r="I1576" s="238"/>
      <c r="J1576" s="235"/>
      <c r="K1576" s="235"/>
      <c r="L1576" s="235"/>
      <c r="M1576" s="235"/>
      <c r="N1576" s="239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6"/>
      <c r="AM1576" s="6"/>
      <c r="AN1576" s="6"/>
      <c r="AO1576" s="6"/>
      <c r="AP1576" s="6"/>
      <c r="AQ1576" s="6"/>
      <c r="AR1576" s="6"/>
      <c r="AS1576" s="6"/>
    </row>
    <row r="1577" spans="1:45" ht="16.5" customHeight="1">
      <c r="A1577" s="235"/>
      <c r="B1577" s="235"/>
      <c r="C1577" s="235"/>
      <c r="D1577" s="235"/>
      <c r="E1577" s="235"/>
      <c r="F1577" s="236"/>
      <c r="G1577" s="237"/>
      <c r="H1577" s="237"/>
      <c r="I1577" s="238"/>
      <c r="J1577" s="235"/>
      <c r="K1577" s="235"/>
      <c r="L1577" s="235"/>
      <c r="M1577" s="235"/>
      <c r="N1577" s="239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  <c r="AL1577" s="6"/>
      <c r="AM1577" s="6"/>
      <c r="AN1577" s="6"/>
      <c r="AO1577" s="6"/>
      <c r="AP1577" s="6"/>
      <c r="AQ1577" s="6"/>
      <c r="AR1577" s="6"/>
      <c r="AS1577" s="6"/>
    </row>
    <row r="1578" spans="1:45" ht="16.5" customHeight="1">
      <c r="A1578" s="235"/>
      <c r="B1578" s="235"/>
      <c r="C1578" s="235"/>
      <c r="D1578" s="235"/>
      <c r="E1578" s="235"/>
      <c r="F1578" s="236"/>
      <c r="G1578" s="237"/>
      <c r="H1578" s="237"/>
      <c r="I1578" s="238"/>
      <c r="J1578" s="235"/>
      <c r="K1578" s="235"/>
      <c r="L1578" s="235"/>
      <c r="M1578" s="235"/>
      <c r="N1578" s="239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  <c r="AL1578" s="6"/>
      <c r="AM1578" s="6"/>
      <c r="AN1578" s="6"/>
      <c r="AO1578" s="6"/>
      <c r="AP1578" s="6"/>
      <c r="AQ1578" s="6"/>
      <c r="AR1578" s="6"/>
      <c r="AS1578" s="6"/>
    </row>
    <row r="1579" spans="1:45" ht="16.5" customHeight="1">
      <c r="A1579" s="235"/>
      <c r="B1579" s="235"/>
      <c r="C1579" s="235"/>
      <c r="D1579" s="235"/>
      <c r="E1579" s="235"/>
      <c r="F1579" s="236"/>
      <c r="G1579" s="237"/>
      <c r="H1579" s="237"/>
      <c r="I1579" s="238"/>
      <c r="J1579" s="235"/>
      <c r="K1579" s="235"/>
      <c r="L1579" s="235"/>
      <c r="M1579" s="235"/>
      <c r="N1579" s="239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6"/>
      <c r="AM1579" s="6"/>
      <c r="AN1579" s="6"/>
      <c r="AO1579" s="6"/>
      <c r="AP1579" s="6"/>
      <c r="AQ1579" s="6"/>
      <c r="AR1579" s="6"/>
      <c r="AS1579" s="6"/>
    </row>
    <row r="1580" spans="1:45" ht="16.5" customHeight="1">
      <c r="A1580" s="235"/>
      <c r="B1580" s="235"/>
      <c r="C1580" s="235"/>
      <c r="D1580" s="235"/>
      <c r="E1580" s="235"/>
      <c r="F1580" s="236"/>
      <c r="G1580" s="237"/>
      <c r="H1580" s="237"/>
      <c r="I1580" s="238"/>
      <c r="J1580" s="235"/>
      <c r="K1580" s="235"/>
      <c r="L1580" s="235"/>
      <c r="M1580" s="235"/>
      <c r="N1580" s="239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  <c r="AR1580" s="6"/>
      <c r="AS1580" s="6"/>
    </row>
    <row r="1581" spans="1:45" ht="16.5" customHeight="1">
      <c r="A1581" s="235"/>
      <c r="B1581" s="235"/>
      <c r="C1581" s="235"/>
      <c r="D1581" s="235"/>
      <c r="E1581" s="235"/>
      <c r="F1581" s="236"/>
      <c r="G1581" s="237"/>
      <c r="H1581" s="237"/>
      <c r="I1581" s="238"/>
      <c r="J1581" s="235"/>
      <c r="K1581" s="235"/>
      <c r="L1581" s="235"/>
      <c r="M1581" s="235"/>
      <c r="N1581" s="239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  <c r="AB1581" s="6"/>
      <c r="AC1581" s="6"/>
      <c r="AD1581" s="6"/>
      <c r="AE1581" s="6"/>
      <c r="AF1581" s="6"/>
      <c r="AG1581" s="6"/>
      <c r="AH1581" s="6"/>
      <c r="AI1581" s="6"/>
      <c r="AJ1581" s="6"/>
      <c r="AK1581" s="6"/>
      <c r="AL1581" s="6"/>
      <c r="AM1581" s="6"/>
      <c r="AN1581" s="6"/>
      <c r="AO1581" s="6"/>
      <c r="AP1581" s="6"/>
      <c r="AQ1581" s="6"/>
      <c r="AR1581" s="6"/>
      <c r="AS1581" s="6"/>
    </row>
    <row r="1582" spans="1:45" ht="16.5" customHeight="1">
      <c r="A1582" s="235"/>
      <c r="B1582" s="235"/>
      <c r="C1582" s="235"/>
      <c r="D1582" s="235"/>
      <c r="E1582" s="235"/>
      <c r="F1582" s="236"/>
      <c r="G1582" s="237"/>
      <c r="H1582" s="237"/>
      <c r="I1582" s="238"/>
      <c r="J1582" s="235"/>
      <c r="K1582" s="235"/>
      <c r="L1582" s="235"/>
      <c r="M1582" s="235"/>
      <c r="N1582" s="239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  <c r="AL1582" s="6"/>
      <c r="AM1582" s="6"/>
      <c r="AN1582" s="6"/>
      <c r="AO1582" s="6"/>
      <c r="AP1582" s="6"/>
      <c r="AQ1582" s="6"/>
      <c r="AR1582" s="6"/>
      <c r="AS1582" s="6"/>
    </row>
    <row r="1583" spans="1:45" ht="16.5" customHeight="1">
      <c r="A1583" s="235"/>
      <c r="B1583" s="235"/>
      <c r="C1583" s="235"/>
      <c r="D1583" s="235"/>
      <c r="E1583" s="235"/>
      <c r="F1583" s="236"/>
      <c r="G1583" s="237"/>
      <c r="H1583" s="237"/>
      <c r="I1583" s="238"/>
      <c r="J1583" s="235"/>
      <c r="K1583" s="235"/>
      <c r="L1583" s="235"/>
      <c r="M1583" s="235"/>
      <c r="N1583" s="239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6"/>
      <c r="AO1583" s="6"/>
      <c r="AP1583" s="6"/>
      <c r="AQ1583" s="6"/>
      <c r="AR1583" s="6"/>
      <c r="AS1583" s="6"/>
    </row>
    <row r="1584" spans="1:45" ht="16.5" customHeight="1">
      <c r="A1584" s="235"/>
      <c r="B1584" s="235"/>
      <c r="C1584" s="235"/>
      <c r="D1584" s="235"/>
      <c r="E1584" s="235"/>
      <c r="F1584" s="236"/>
      <c r="G1584" s="237"/>
      <c r="H1584" s="237"/>
      <c r="I1584" s="238"/>
      <c r="J1584" s="235"/>
      <c r="K1584" s="235"/>
      <c r="L1584" s="235"/>
      <c r="M1584" s="235"/>
      <c r="N1584" s="239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/>
      <c r="AS1584" s="6"/>
    </row>
    <row r="1585" spans="1:45" ht="16.5" customHeight="1">
      <c r="A1585" s="235"/>
      <c r="B1585" s="235"/>
      <c r="C1585" s="235"/>
      <c r="D1585" s="235"/>
      <c r="E1585" s="235"/>
      <c r="F1585" s="236"/>
      <c r="G1585" s="237"/>
      <c r="H1585" s="237"/>
      <c r="I1585" s="238"/>
      <c r="J1585" s="235"/>
      <c r="K1585" s="235"/>
      <c r="L1585" s="235"/>
      <c r="M1585" s="235"/>
      <c r="N1585" s="239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/>
      <c r="AS1585" s="6"/>
    </row>
    <row r="1586" spans="1:45" ht="16.5" customHeight="1">
      <c r="A1586" s="235"/>
      <c r="B1586" s="235"/>
      <c r="C1586" s="235"/>
      <c r="D1586" s="235"/>
      <c r="E1586" s="235"/>
      <c r="F1586" s="236"/>
      <c r="G1586" s="237"/>
      <c r="H1586" s="237"/>
      <c r="I1586" s="238"/>
      <c r="J1586" s="235"/>
      <c r="K1586" s="235"/>
      <c r="L1586" s="235"/>
      <c r="M1586" s="235"/>
      <c r="N1586" s="239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L1586" s="6"/>
      <c r="AM1586" s="6"/>
      <c r="AN1586" s="6"/>
      <c r="AO1586" s="6"/>
      <c r="AP1586" s="6"/>
      <c r="AQ1586" s="6"/>
      <c r="AR1586" s="6"/>
      <c r="AS1586" s="6"/>
    </row>
    <row r="1587" spans="1:45" ht="16.5" customHeight="1">
      <c r="A1587" s="235"/>
      <c r="B1587" s="235"/>
      <c r="C1587" s="235"/>
      <c r="D1587" s="235"/>
      <c r="E1587" s="235"/>
      <c r="F1587" s="236"/>
      <c r="G1587" s="237"/>
      <c r="H1587" s="237"/>
      <c r="I1587" s="238"/>
      <c r="J1587" s="235"/>
      <c r="K1587" s="235"/>
      <c r="L1587" s="235"/>
      <c r="M1587" s="235"/>
      <c r="N1587" s="239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  <c r="AD1587" s="6"/>
      <c r="AE1587" s="6"/>
      <c r="AF1587" s="6"/>
      <c r="AG1587" s="6"/>
      <c r="AH1587" s="6"/>
      <c r="AI1587" s="6"/>
      <c r="AJ1587" s="6"/>
      <c r="AK1587" s="6"/>
      <c r="AL1587" s="6"/>
      <c r="AM1587" s="6"/>
      <c r="AN1587" s="6"/>
      <c r="AO1587" s="6"/>
      <c r="AP1587" s="6"/>
      <c r="AQ1587" s="6"/>
      <c r="AR1587" s="6"/>
      <c r="AS1587" s="6"/>
    </row>
    <row r="1588" spans="1:45" ht="16.5" customHeight="1">
      <c r="A1588" s="235"/>
      <c r="B1588" s="235"/>
      <c r="C1588" s="235"/>
      <c r="D1588" s="235"/>
      <c r="E1588" s="235"/>
      <c r="F1588" s="236"/>
      <c r="G1588" s="237"/>
      <c r="H1588" s="237"/>
      <c r="I1588" s="238"/>
      <c r="J1588" s="235"/>
      <c r="K1588" s="235"/>
      <c r="L1588" s="235"/>
      <c r="M1588" s="235"/>
      <c r="N1588" s="239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N1588" s="6"/>
      <c r="AO1588" s="6"/>
      <c r="AP1588" s="6"/>
      <c r="AQ1588" s="6"/>
      <c r="AR1588" s="6"/>
      <c r="AS1588" s="6"/>
    </row>
    <row r="1589" spans="1:45" ht="16.5" customHeight="1">
      <c r="A1589" s="235"/>
      <c r="B1589" s="235"/>
      <c r="C1589" s="235"/>
      <c r="D1589" s="235"/>
      <c r="E1589" s="235"/>
      <c r="F1589" s="236"/>
      <c r="G1589" s="237"/>
      <c r="H1589" s="237"/>
      <c r="I1589" s="238"/>
      <c r="J1589" s="235"/>
      <c r="K1589" s="235"/>
      <c r="L1589" s="235"/>
      <c r="M1589" s="235"/>
      <c r="N1589" s="239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  <c r="AN1589" s="6"/>
      <c r="AO1589" s="6"/>
      <c r="AP1589" s="6"/>
      <c r="AQ1589" s="6"/>
      <c r="AR1589" s="6"/>
      <c r="AS1589" s="6"/>
    </row>
    <row r="1590" spans="1:45" ht="16.5" customHeight="1">
      <c r="A1590" s="235"/>
      <c r="B1590" s="235"/>
      <c r="C1590" s="235"/>
      <c r="D1590" s="235"/>
      <c r="E1590" s="235"/>
      <c r="F1590" s="236"/>
      <c r="G1590" s="237"/>
      <c r="H1590" s="237"/>
      <c r="I1590" s="238"/>
      <c r="J1590" s="235"/>
      <c r="K1590" s="235"/>
      <c r="L1590" s="235"/>
      <c r="M1590" s="235"/>
      <c r="N1590" s="239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/>
      <c r="AS1590" s="6"/>
    </row>
    <row r="1591" spans="1:45" ht="16.5" customHeight="1">
      <c r="A1591" s="235"/>
      <c r="B1591" s="235"/>
      <c r="C1591" s="235"/>
      <c r="D1591" s="235"/>
      <c r="E1591" s="235"/>
      <c r="F1591" s="236"/>
      <c r="G1591" s="237"/>
      <c r="H1591" s="237"/>
      <c r="I1591" s="238"/>
      <c r="J1591" s="235"/>
      <c r="K1591" s="235"/>
      <c r="L1591" s="235"/>
      <c r="M1591" s="235"/>
      <c r="N1591" s="239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/>
      <c r="AS1591" s="6"/>
    </row>
    <row r="1592" spans="1:45" ht="16.5" customHeight="1">
      <c r="A1592" s="235"/>
      <c r="B1592" s="235"/>
      <c r="C1592" s="235"/>
      <c r="D1592" s="235"/>
      <c r="E1592" s="235"/>
      <c r="F1592" s="236"/>
      <c r="G1592" s="237"/>
      <c r="H1592" s="237"/>
      <c r="I1592" s="238"/>
      <c r="J1592" s="235"/>
      <c r="K1592" s="235"/>
      <c r="L1592" s="235"/>
      <c r="M1592" s="235"/>
      <c r="N1592" s="239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  <c r="AR1592" s="6"/>
      <c r="AS1592" s="6"/>
    </row>
    <row r="1593" spans="1:45" ht="16.5" customHeight="1">
      <c r="A1593" s="235"/>
      <c r="B1593" s="235"/>
      <c r="C1593" s="235"/>
      <c r="D1593" s="235"/>
      <c r="E1593" s="235"/>
      <c r="F1593" s="236"/>
      <c r="G1593" s="237"/>
      <c r="H1593" s="237"/>
      <c r="I1593" s="238"/>
      <c r="J1593" s="235"/>
      <c r="K1593" s="235"/>
      <c r="L1593" s="235"/>
      <c r="M1593" s="235"/>
      <c r="N1593" s="239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  <c r="AD1593" s="6"/>
      <c r="AE1593" s="6"/>
      <c r="AF1593" s="6"/>
      <c r="AG1593" s="6"/>
      <c r="AH1593" s="6"/>
      <c r="AI1593" s="6"/>
      <c r="AJ1593" s="6"/>
      <c r="AK1593" s="6"/>
      <c r="AL1593" s="6"/>
      <c r="AM1593" s="6"/>
      <c r="AN1593" s="6"/>
      <c r="AO1593" s="6"/>
      <c r="AP1593" s="6"/>
      <c r="AQ1593" s="6"/>
      <c r="AR1593" s="6"/>
      <c r="AS1593" s="6"/>
    </row>
    <row r="1594" spans="1:45" ht="16.5" customHeight="1">
      <c r="A1594" s="235"/>
      <c r="B1594" s="235"/>
      <c r="C1594" s="235"/>
      <c r="D1594" s="235"/>
      <c r="E1594" s="235"/>
      <c r="F1594" s="236"/>
      <c r="G1594" s="237"/>
      <c r="H1594" s="237"/>
      <c r="I1594" s="238"/>
      <c r="J1594" s="235"/>
      <c r="K1594" s="235"/>
      <c r="L1594" s="235"/>
      <c r="M1594" s="235"/>
      <c r="N1594" s="239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/>
      <c r="AM1594" s="6"/>
      <c r="AN1594" s="6"/>
      <c r="AO1594" s="6"/>
      <c r="AP1594" s="6"/>
      <c r="AQ1594" s="6"/>
      <c r="AR1594" s="6"/>
      <c r="AS1594" s="6"/>
    </row>
    <row r="1595" spans="1:45" ht="16.5" customHeight="1">
      <c r="A1595" s="235"/>
      <c r="B1595" s="235"/>
      <c r="C1595" s="235"/>
      <c r="D1595" s="235"/>
      <c r="E1595" s="235"/>
      <c r="F1595" s="236"/>
      <c r="G1595" s="237"/>
      <c r="H1595" s="237"/>
      <c r="I1595" s="238"/>
      <c r="J1595" s="235"/>
      <c r="K1595" s="235"/>
      <c r="L1595" s="235"/>
      <c r="M1595" s="235"/>
      <c r="N1595" s="239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6"/>
      <c r="AM1595" s="6"/>
      <c r="AN1595" s="6"/>
      <c r="AO1595" s="6"/>
      <c r="AP1595" s="6"/>
      <c r="AQ1595" s="6"/>
      <c r="AR1595" s="6"/>
      <c r="AS1595" s="6"/>
    </row>
    <row r="1596" spans="1:45" ht="16.5" customHeight="1">
      <c r="A1596" s="235"/>
      <c r="B1596" s="235"/>
      <c r="C1596" s="235"/>
      <c r="D1596" s="235"/>
      <c r="E1596" s="235"/>
      <c r="F1596" s="236"/>
      <c r="G1596" s="237"/>
      <c r="H1596" s="237"/>
      <c r="I1596" s="238"/>
      <c r="J1596" s="235"/>
      <c r="K1596" s="235"/>
      <c r="L1596" s="235"/>
      <c r="M1596" s="235"/>
      <c r="N1596" s="239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6"/>
      <c r="AM1596" s="6"/>
      <c r="AN1596" s="6"/>
      <c r="AO1596" s="6"/>
      <c r="AP1596" s="6"/>
      <c r="AQ1596" s="6"/>
      <c r="AR1596" s="6"/>
      <c r="AS1596" s="6"/>
    </row>
    <row r="1597" spans="1:45" ht="16.5" customHeight="1">
      <c r="A1597" s="235"/>
      <c r="B1597" s="235"/>
      <c r="C1597" s="235"/>
      <c r="D1597" s="235"/>
      <c r="E1597" s="235"/>
      <c r="F1597" s="236"/>
      <c r="G1597" s="237"/>
      <c r="H1597" s="237"/>
      <c r="I1597" s="238"/>
      <c r="J1597" s="235"/>
      <c r="K1597" s="235"/>
      <c r="L1597" s="235"/>
      <c r="M1597" s="235"/>
      <c r="N1597" s="239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6"/>
      <c r="AM1597" s="6"/>
      <c r="AN1597" s="6"/>
      <c r="AO1597" s="6"/>
      <c r="AP1597" s="6"/>
      <c r="AQ1597" s="6"/>
      <c r="AR1597" s="6"/>
      <c r="AS1597" s="6"/>
    </row>
    <row r="1598" spans="1:45" ht="16.5" customHeight="1">
      <c r="A1598" s="235"/>
      <c r="B1598" s="235"/>
      <c r="C1598" s="235"/>
      <c r="D1598" s="235"/>
      <c r="E1598" s="235"/>
      <c r="F1598" s="236"/>
      <c r="G1598" s="237"/>
      <c r="H1598" s="237"/>
      <c r="I1598" s="238"/>
      <c r="J1598" s="235"/>
      <c r="K1598" s="235"/>
      <c r="L1598" s="235"/>
      <c r="M1598" s="235"/>
      <c r="N1598" s="239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6"/>
      <c r="AO1598" s="6"/>
      <c r="AP1598" s="6"/>
      <c r="AQ1598" s="6"/>
      <c r="AR1598" s="6"/>
      <c r="AS1598" s="6"/>
    </row>
    <row r="1599" spans="1:45" ht="16.5" customHeight="1">
      <c r="A1599" s="235"/>
      <c r="B1599" s="235"/>
      <c r="C1599" s="235"/>
      <c r="D1599" s="235"/>
      <c r="E1599" s="235"/>
      <c r="F1599" s="236"/>
      <c r="G1599" s="237"/>
      <c r="H1599" s="237"/>
      <c r="I1599" s="238"/>
      <c r="J1599" s="235"/>
      <c r="K1599" s="235"/>
      <c r="L1599" s="235"/>
      <c r="M1599" s="235"/>
      <c r="N1599" s="239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6"/>
      <c r="AO1599" s="6"/>
      <c r="AP1599" s="6"/>
      <c r="AQ1599" s="6"/>
      <c r="AR1599" s="6"/>
      <c r="AS1599" s="6"/>
    </row>
    <row r="1600" spans="1:45" ht="16.5" customHeight="1">
      <c r="A1600" s="235"/>
      <c r="B1600" s="235"/>
      <c r="C1600" s="235"/>
      <c r="D1600" s="235"/>
      <c r="E1600" s="235"/>
      <c r="F1600" s="236"/>
      <c r="G1600" s="237"/>
      <c r="H1600" s="237"/>
      <c r="I1600" s="238"/>
      <c r="J1600" s="235"/>
      <c r="K1600" s="235"/>
      <c r="L1600" s="235"/>
      <c r="M1600" s="235"/>
      <c r="N1600" s="239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  <c r="AM1600" s="6"/>
      <c r="AN1600" s="6"/>
      <c r="AO1600" s="6"/>
      <c r="AP1600" s="6"/>
      <c r="AQ1600" s="6"/>
      <c r="AR1600" s="6"/>
      <c r="AS1600" s="6"/>
    </row>
    <row r="1601" spans="1:45" ht="16.5" customHeight="1">
      <c r="A1601" s="235"/>
      <c r="B1601" s="235"/>
      <c r="C1601" s="235"/>
      <c r="D1601" s="235"/>
      <c r="E1601" s="235"/>
      <c r="F1601" s="236"/>
      <c r="G1601" s="237"/>
      <c r="H1601" s="237"/>
      <c r="I1601" s="238"/>
      <c r="J1601" s="235"/>
      <c r="K1601" s="235"/>
      <c r="L1601" s="235"/>
      <c r="M1601" s="235"/>
      <c r="N1601" s="239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  <c r="AL1601" s="6"/>
      <c r="AM1601" s="6"/>
      <c r="AN1601" s="6"/>
      <c r="AO1601" s="6"/>
      <c r="AP1601" s="6"/>
      <c r="AQ1601" s="6"/>
      <c r="AR1601" s="6"/>
      <c r="AS1601" s="6"/>
    </row>
    <row r="1602" spans="1:45" ht="16.5" customHeight="1">
      <c r="A1602" s="235"/>
      <c r="B1602" s="235"/>
      <c r="C1602" s="235"/>
      <c r="D1602" s="235"/>
      <c r="E1602" s="235"/>
      <c r="F1602" s="236"/>
      <c r="G1602" s="237"/>
      <c r="H1602" s="237"/>
      <c r="I1602" s="238"/>
      <c r="J1602" s="235"/>
      <c r="K1602" s="235"/>
      <c r="L1602" s="235"/>
      <c r="M1602" s="235"/>
      <c r="N1602" s="239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  <c r="AL1602" s="6"/>
      <c r="AM1602" s="6"/>
      <c r="AN1602" s="6"/>
      <c r="AO1602" s="6"/>
      <c r="AP1602" s="6"/>
      <c r="AQ1602" s="6"/>
      <c r="AR1602" s="6"/>
      <c r="AS1602" s="6"/>
    </row>
    <row r="1603" spans="1:45" ht="16.5" customHeight="1">
      <c r="A1603" s="235"/>
      <c r="B1603" s="235"/>
      <c r="C1603" s="235"/>
      <c r="D1603" s="235"/>
      <c r="E1603" s="235"/>
      <c r="F1603" s="236"/>
      <c r="G1603" s="237"/>
      <c r="H1603" s="237"/>
      <c r="I1603" s="238"/>
      <c r="J1603" s="235"/>
      <c r="K1603" s="235"/>
      <c r="L1603" s="235"/>
      <c r="M1603" s="235"/>
      <c r="N1603" s="239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  <c r="AL1603" s="6"/>
      <c r="AM1603" s="6"/>
      <c r="AN1603" s="6"/>
      <c r="AO1603" s="6"/>
      <c r="AP1603" s="6"/>
      <c r="AQ1603" s="6"/>
      <c r="AR1603" s="6"/>
      <c r="AS1603" s="6"/>
    </row>
    <row r="1604" spans="1:45" ht="16.5" customHeight="1">
      <c r="A1604" s="235"/>
      <c r="B1604" s="235"/>
      <c r="C1604" s="235"/>
      <c r="D1604" s="235"/>
      <c r="E1604" s="235"/>
      <c r="F1604" s="236"/>
      <c r="G1604" s="237"/>
      <c r="H1604" s="237"/>
      <c r="I1604" s="238"/>
      <c r="J1604" s="235"/>
      <c r="K1604" s="235"/>
      <c r="L1604" s="235"/>
      <c r="M1604" s="235"/>
      <c r="N1604" s="239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M1604" s="6"/>
      <c r="AN1604" s="6"/>
      <c r="AO1604" s="6"/>
      <c r="AP1604" s="6"/>
      <c r="AQ1604" s="6"/>
      <c r="AR1604" s="6"/>
      <c r="AS1604" s="6"/>
    </row>
    <row r="1605" spans="1:45" ht="16.5" customHeight="1">
      <c r="A1605" s="235"/>
      <c r="B1605" s="235"/>
      <c r="C1605" s="235"/>
      <c r="D1605" s="235"/>
      <c r="E1605" s="235"/>
      <c r="F1605" s="236"/>
      <c r="G1605" s="237"/>
      <c r="H1605" s="237"/>
      <c r="I1605" s="238"/>
      <c r="J1605" s="235"/>
      <c r="K1605" s="235"/>
      <c r="L1605" s="235"/>
      <c r="M1605" s="235"/>
      <c r="N1605" s="239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  <c r="AL1605" s="6"/>
      <c r="AM1605" s="6"/>
      <c r="AN1605" s="6"/>
      <c r="AO1605" s="6"/>
      <c r="AP1605" s="6"/>
      <c r="AQ1605" s="6"/>
      <c r="AR1605" s="6"/>
      <c r="AS1605" s="6"/>
    </row>
    <row r="1606" spans="1:45" ht="16.5" customHeight="1">
      <c r="A1606" s="235"/>
      <c r="B1606" s="235"/>
      <c r="C1606" s="235"/>
      <c r="D1606" s="235"/>
      <c r="E1606" s="235"/>
      <c r="F1606" s="236"/>
      <c r="G1606" s="237"/>
      <c r="H1606" s="237"/>
      <c r="I1606" s="238"/>
      <c r="J1606" s="235"/>
      <c r="K1606" s="235"/>
      <c r="L1606" s="235"/>
      <c r="M1606" s="235"/>
      <c r="N1606" s="239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  <c r="AR1606" s="6"/>
      <c r="AS1606" s="6"/>
    </row>
    <row r="1607" spans="1:45" ht="16.5" customHeight="1">
      <c r="A1607" s="235"/>
      <c r="B1607" s="235"/>
      <c r="C1607" s="235"/>
      <c r="D1607" s="235"/>
      <c r="E1607" s="235"/>
      <c r="F1607" s="236"/>
      <c r="G1607" s="237"/>
      <c r="H1607" s="237"/>
      <c r="I1607" s="238"/>
      <c r="J1607" s="235"/>
      <c r="K1607" s="235"/>
      <c r="L1607" s="235"/>
      <c r="M1607" s="235"/>
      <c r="N1607" s="239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6"/>
      <c r="AM1607" s="6"/>
      <c r="AN1607" s="6"/>
      <c r="AO1607" s="6"/>
      <c r="AP1607" s="6"/>
      <c r="AQ1607" s="6"/>
      <c r="AR1607" s="6"/>
      <c r="AS1607" s="6"/>
    </row>
    <row r="1608" spans="1:45" ht="16.5" customHeight="1">
      <c r="A1608" s="235"/>
      <c r="B1608" s="235"/>
      <c r="C1608" s="235"/>
      <c r="D1608" s="235"/>
      <c r="E1608" s="235"/>
      <c r="F1608" s="236"/>
      <c r="G1608" s="237"/>
      <c r="H1608" s="237"/>
      <c r="I1608" s="238"/>
      <c r="J1608" s="235"/>
      <c r="K1608" s="235"/>
      <c r="L1608" s="235"/>
      <c r="M1608" s="235"/>
      <c r="N1608" s="239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  <c r="AR1608" s="6"/>
      <c r="AS1608" s="6"/>
    </row>
    <row r="1609" spans="1:45" ht="16.5" customHeight="1">
      <c r="A1609" s="235"/>
      <c r="B1609" s="235"/>
      <c r="C1609" s="235"/>
      <c r="D1609" s="235"/>
      <c r="E1609" s="235"/>
      <c r="F1609" s="236"/>
      <c r="G1609" s="237"/>
      <c r="H1609" s="237"/>
      <c r="I1609" s="238"/>
      <c r="J1609" s="235"/>
      <c r="K1609" s="235"/>
      <c r="L1609" s="235"/>
      <c r="M1609" s="235"/>
      <c r="N1609" s="239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  <c r="AD1609" s="6"/>
      <c r="AE1609" s="6"/>
      <c r="AF1609" s="6"/>
      <c r="AG1609" s="6"/>
      <c r="AH1609" s="6"/>
      <c r="AI1609" s="6"/>
      <c r="AJ1609" s="6"/>
      <c r="AK1609" s="6"/>
      <c r="AL1609" s="6"/>
      <c r="AM1609" s="6"/>
      <c r="AN1609" s="6"/>
      <c r="AO1609" s="6"/>
      <c r="AP1609" s="6"/>
      <c r="AQ1609" s="6"/>
      <c r="AR1609" s="6"/>
      <c r="AS1609" s="6"/>
    </row>
    <row r="1610" spans="1:45" ht="16.5" customHeight="1">
      <c r="A1610" s="235"/>
      <c r="B1610" s="235"/>
      <c r="C1610" s="235"/>
      <c r="D1610" s="235"/>
      <c r="E1610" s="235"/>
      <c r="F1610" s="236"/>
      <c r="G1610" s="237"/>
      <c r="H1610" s="237"/>
      <c r="I1610" s="238"/>
      <c r="J1610" s="235"/>
      <c r="K1610" s="235"/>
      <c r="L1610" s="235"/>
      <c r="M1610" s="235"/>
      <c r="N1610" s="239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  <c r="AL1610" s="6"/>
      <c r="AM1610" s="6"/>
      <c r="AN1610" s="6"/>
      <c r="AO1610" s="6"/>
      <c r="AP1610" s="6"/>
      <c r="AQ1610" s="6"/>
      <c r="AR1610" s="6"/>
      <c r="AS1610" s="6"/>
    </row>
    <row r="1611" spans="1:45" ht="16.5" customHeight="1">
      <c r="A1611" s="235"/>
      <c r="B1611" s="235"/>
      <c r="C1611" s="235"/>
      <c r="D1611" s="235"/>
      <c r="E1611" s="235"/>
      <c r="F1611" s="236"/>
      <c r="G1611" s="237"/>
      <c r="H1611" s="237"/>
      <c r="I1611" s="238"/>
      <c r="J1611" s="235"/>
      <c r="K1611" s="235"/>
      <c r="L1611" s="235"/>
      <c r="M1611" s="235"/>
      <c r="N1611" s="239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6"/>
      <c r="AM1611" s="6"/>
      <c r="AN1611" s="6"/>
      <c r="AO1611" s="6"/>
      <c r="AP1611" s="6"/>
      <c r="AQ1611" s="6"/>
      <c r="AR1611" s="6"/>
      <c r="AS1611" s="6"/>
    </row>
    <row r="1612" spans="1:45" ht="16.5" customHeight="1">
      <c r="A1612" s="235"/>
      <c r="B1612" s="235"/>
      <c r="C1612" s="235"/>
      <c r="D1612" s="235"/>
      <c r="E1612" s="235"/>
      <c r="F1612" s="236"/>
      <c r="G1612" s="237"/>
      <c r="H1612" s="237"/>
      <c r="I1612" s="238"/>
      <c r="J1612" s="235"/>
      <c r="K1612" s="235"/>
      <c r="L1612" s="235"/>
      <c r="M1612" s="235"/>
      <c r="N1612" s="239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  <c r="AM1612" s="6"/>
      <c r="AN1612" s="6"/>
      <c r="AO1612" s="6"/>
      <c r="AP1612" s="6"/>
      <c r="AQ1612" s="6"/>
      <c r="AR1612" s="6"/>
      <c r="AS1612" s="6"/>
    </row>
    <row r="1613" spans="1:45" ht="16.5" customHeight="1">
      <c r="A1613" s="235"/>
      <c r="B1613" s="235"/>
      <c r="C1613" s="235"/>
      <c r="D1613" s="235"/>
      <c r="E1613" s="235"/>
      <c r="F1613" s="236"/>
      <c r="G1613" s="237"/>
      <c r="H1613" s="237"/>
      <c r="I1613" s="238"/>
      <c r="J1613" s="235"/>
      <c r="K1613" s="235"/>
      <c r="L1613" s="235"/>
      <c r="M1613" s="235"/>
      <c r="N1613" s="239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  <c r="AL1613" s="6"/>
      <c r="AM1613" s="6"/>
      <c r="AN1613" s="6"/>
      <c r="AO1613" s="6"/>
      <c r="AP1613" s="6"/>
      <c r="AQ1613" s="6"/>
      <c r="AR1613" s="6"/>
      <c r="AS1613" s="6"/>
    </row>
    <row r="1614" spans="1:45" ht="16.5" customHeight="1">
      <c r="A1614" s="235"/>
      <c r="B1614" s="235"/>
      <c r="C1614" s="235"/>
      <c r="D1614" s="235"/>
      <c r="E1614" s="235"/>
      <c r="F1614" s="236"/>
      <c r="G1614" s="237"/>
      <c r="H1614" s="237"/>
      <c r="I1614" s="238"/>
      <c r="J1614" s="235"/>
      <c r="K1614" s="235"/>
      <c r="L1614" s="235"/>
      <c r="M1614" s="235"/>
      <c r="N1614" s="239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  <c r="AC1614" s="6"/>
      <c r="AD1614" s="6"/>
      <c r="AE1614" s="6"/>
      <c r="AF1614" s="6"/>
      <c r="AG1614" s="6"/>
      <c r="AH1614" s="6"/>
      <c r="AI1614" s="6"/>
      <c r="AJ1614" s="6"/>
      <c r="AK1614" s="6"/>
      <c r="AL1614" s="6"/>
      <c r="AM1614" s="6"/>
      <c r="AN1614" s="6"/>
      <c r="AO1614" s="6"/>
      <c r="AP1614" s="6"/>
      <c r="AQ1614" s="6"/>
      <c r="AR1614" s="6"/>
      <c r="AS1614" s="6"/>
    </row>
    <row r="1615" spans="1:45" ht="16.5" customHeight="1">
      <c r="A1615" s="235"/>
      <c r="B1615" s="235"/>
      <c r="C1615" s="235"/>
      <c r="D1615" s="235"/>
      <c r="E1615" s="235"/>
      <c r="F1615" s="236"/>
      <c r="G1615" s="237"/>
      <c r="H1615" s="237"/>
      <c r="I1615" s="238"/>
      <c r="J1615" s="235"/>
      <c r="K1615" s="235"/>
      <c r="L1615" s="235"/>
      <c r="M1615" s="235"/>
      <c r="N1615" s="239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  <c r="AL1615" s="6"/>
      <c r="AM1615" s="6"/>
      <c r="AN1615" s="6"/>
      <c r="AO1615" s="6"/>
      <c r="AP1615" s="6"/>
      <c r="AQ1615" s="6"/>
      <c r="AR1615" s="6"/>
      <c r="AS1615" s="6"/>
    </row>
    <row r="1616" spans="1:45" ht="16.5" customHeight="1">
      <c r="A1616" s="235"/>
      <c r="B1616" s="235"/>
      <c r="C1616" s="235"/>
      <c r="D1616" s="235"/>
      <c r="E1616" s="235"/>
      <c r="F1616" s="236"/>
      <c r="G1616" s="237"/>
      <c r="H1616" s="237"/>
      <c r="I1616" s="238"/>
      <c r="J1616" s="235"/>
      <c r="K1616" s="235"/>
      <c r="L1616" s="235"/>
      <c r="M1616" s="235"/>
      <c r="N1616" s="239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  <c r="AB1616" s="6"/>
      <c r="AC1616" s="6"/>
      <c r="AD1616" s="6"/>
      <c r="AE1616" s="6"/>
      <c r="AF1616" s="6"/>
      <c r="AG1616" s="6"/>
      <c r="AH1616" s="6"/>
      <c r="AI1616" s="6"/>
      <c r="AJ1616" s="6"/>
      <c r="AK1616" s="6"/>
      <c r="AL1616" s="6"/>
      <c r="AM1616" s="6"/>
      <c r="AN1616" s="6"/>
      <c r="AO1616" s="6"/>
      <c r="AP1616" s="6"/>
      <c r="AQ1616" s="6"/>
      <c r="AR1616" s="6"/>
      <c r="AS1616" s="6"/>
    </row>
    <row r="1617" spans="1:45" ht="16.5" customHeight="1">
      <c r="A1617" s="235"/>
      <c r="B1617" s="235"/>
      <c r="C1617" s="235"/>
      <c r="D1617" s="235"/>
      <c r="E1617" s="235"/>
      <c r="F1617" s="236"/>
      <c r="G1617" s="237"/>
      <c r="H1617" s="237"/>
      <c r="I1617" s="238"/>
      <c r="J1617" s="235"/>
      <c r="K1617" s="235"/>
      <c r="L1617" s="235"/>
      <c r="M1617" s="235"/>
      <c r="N1617" s="239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  <c r="AC1617" s="6"/>
      <c r="AD1617" s="6"/>
      <c r="AE1617" s="6"/>
      <c r="AF1617" s="6"/>
      <c r="AG1617" s="6"/>
      <c r="AH1617" s="6"/>
      <c r="AI1617" s="6"/>
      <c r="AJ1617" s="6"/>
      <c r="AK1617" s="6"/>
      <c r="AL1617" s="6"/>
      <c r="AM1617" s="6"/>
      <c r="AN1617" s="6"/>
      <c r="AO1617" s="6"/>
      <c r="AP1617" s="6"/>
      <c r="AQ1617" s="6"/>
      <c r="AR1617" s="6"/>
      <c r="AS1617" s="6"/>
    </row>
    <row r="1618" spans="1:45" ht="16.5" customHeight="1">
      <c r="A1618" s="235"/>
      <c r="B1618" s="235"/>
      <c r="C1618" s="235"/>
      <c r="D1618" s="235"/>
      <c r="E1618" s="235"/>
      <c r="F1618" s="236"/>
      <c r="G1618" s="237"/>
      <c r="H1618" s="237"/>
      <c r="I1618" s="238"/>
      <c r="J1618" s="235"/>
      <c r="K1618" s="235"/>
      <c r="L1618" s="235"/>
      <c r="M1618" s="235"/>
      <c r="N1618" s="239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/>
      <c r="AS1618" s="6"/>
    </row>
    <row r="1619" spans="1:45" ht="16.5" customHeight="1">
      <c r="A1619" s="235"/>
      <c r="B1619" s="235"/>
      <c r="C1619" s="235"/>
      <c r="D1619" s="235"/>
      <c r="E1619" s="235"/>
      <c r="F1619" s="236"/>
      <c r="G1619" s="237"/>
      <c r="H1619" s="237"/>
      <c r="I1619" s="238"/>
      <c r="J1619" s="235"/>
      <c r="K1619" s="235"/>
      <c r="L1619" s="235"/>
      <c r="M1619" s="235"/>
      <c r="N1619" s="239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  <c r="AR1619" s="6"/>
      <c r="AS1619" s="6"/>
    </row>
    <row r="1620" spans="1:45" ht="16.5" customHeight="1">
      <c r="A1620" s="235"/>
      <c r="B1620" s="235"/>
      <c r="C1620" s="235"/>
      <c r="D1620" s="235"/>
      <c r="E1620" s="235"/>
      <c r="F1620" s="236"/>
      <c r="G1620" s="237"/>
      <c r="H1620" s="237"/>
      <c r="I1620" s="238"/>
      <c r="J1620" s="235"/>
      <c r="K1620" s="235"/>
      <c r="L1620" s="235"/>
      <c r="M1620" s="235"/>
      <c r="N1620" s="239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  <c r="AM1620" s="6"/>
      <c r="AN1620" s="6"/>
      <c r="AO1620" s="6"/>
      <c r="AP1620" s="6"/>
      <c r="AQ1620" s="6"/>
      <c r="AR1620" s="6"/>
      <c r="AS1620" s="6"/>
    </row>
    <row r="1621" spans="1:45" ht="16.5" customHeight="1">
      <c r="A1621" s="235"/>
      <c r="B1621" s="235"/>
      <c r="C1621" s="235"/>
      <c r="D1621" s="235"/>
      <c r="E1621" s="235"/>
      <c r="F1621" s="236"/>
      <c r="G1621" s="237"/>
      <c r="H1621" s="237"/>
      <c r="I1621" s="238"/>
      <c r="J1621" s="235"/>
      <c r="K1621" s="235"/>
      <c r="L1621" s="235"/>
      <c r="M1621" s="235"/>
      <c r="N1621" s="239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  <c r="AC1621" s="6"/>
      <c r="AD1621" s="6"/>
      <c r="AE1621" s="6"/>
      <c r="AF1621" s="6"/>
      <c r="AG1621" s="6"/>
      <c r="AH1621" s="6"/>
      <c r="AI1621" s="6"/>
      <c r="AJ1621" s="6"/>
      <c r="AK1621" s="6"/>
      <c r="AL1621" s="6"/>
      <c r="AM1621" s="6"/>
      <c r="AN1621" s="6"/>
      <c r="AO1621" s="6"/>
      <c r="AP1621" s="6"/>
      <c r="AQ1621" s="6"/>
      <c r="AR1621" s="6"/>
      <c r="AS1621" s="6"/>
    </row>
    <row r="1622" spans="1:45" ht="16.5" customHeight="1">
      <c r="A1622" s="235"/>
      <c r="B1622" s="235"/>
      <c r="C1622" s="235"/>
      <c r="D1622" s="235"/>
      <c r="E1622" s="235"/>
      <c r="F1622" s="236"/>
      <c r="G1622" s="237"/>
      <c r="H1622" s="237"/>
      <c r="I1622" s="238"/>
      <c r="J1622" s="235"/>
      <c r="K1622" s="235"/>
      <c r="L1622" s="235"/>
      <c r="M1622" s="235"/>
      <c r="N1622" s="239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  <c r="AL1622" s="6"/>
      <c r="AM1622" s="6"/>
      <c r="AN1622" s="6"/>
      <c r="AO1622" s="6"/>
      <c r="AP1622" s="6"/>
      <c r="AQ1622" s="6"/>
      <c r="AR1622" s="6"/>
      <c r="AS1622" s="6"/>
    </row>
    <row r="1623" spans="1:45" ht="16.5" customHeight="1">
      <c r="A1623" s="235"/>
      <c r="B1623" s="235"/>
      <c r="C1623" s="235"/>
      <c r="D1623" s="235"/>
      <c r="E1623" s="235"/>
      <c r="F1623" s="236"/>
      <c r="G1623" s="237"/>
      <c r="H1623" s="237"/>
      <c r="I1623" s="238"/>
      <c r="J1623" s="235"/>
      <c r="K1623" s="235"/>
      <c r="L1623" s="235"/>
      <c r="M1623" s="235"/>
      <c r="N1623" s="239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  <c r="AC1623" s="6"/>
      <c r="AD1623" s="6"/>
      <c r="AE1623" s="6"/>
      <c r="AF1623" s="6"/>
      <c r="AG1623" s="6"/>
      <c r="AH1623" s="6"/>
      <c r="AI1623" s="6"/>
      <c r="AJ1623" s="6"/>
      <c r="AK1623" s="6"/>
      <c r="AL1623" s="6"/>
      <c r="AM1623" s="6"/>
      <c r="AN1623" s="6"/>
      <c r="AO1623" s="6"/>
      <c r="AP1623" s="6"/>
      <c r="AQ1623" s="6"/>
      <c r="AR1623" s="6"/>
      <c r="AS1623" s="6"/>
    </row>
    <row r="1624" spans="1:45" ht="16.5" customHeight="1">
      <c r="A1624" s="235"/>
      <c r="B1624" s="235"/>
      <c r="C1624" s="235"/>
      <c r="D1624" s="235"/>
      <c r="E1624" s="235"/>
      <c r="F1624" s="236"/>
      <c r="G1624" s="237"/>
      <c r="H1624" s="237"/>
      <c r="I1624" s="238"/>
      <c r="J1624" s="235"/>
      <c r="K1624" s="235"/>
      <c r="L1624" s="235"/>
      <c r="M1624" s="235"/>
      <c r="N1624" s="239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  <c r="AD1624" s="6"/>
      <c r="AE1624" s="6"/>
      <c r="AF1624" s="6"/>
      <c r="AG1624" s="6"/>
      <c r="AH1624" s="6"/>
      <c r="AI1624" s="6"/>
      <c r="AJ1624" s="6"/>
      <c r="AK1624" s="6"/>
      <c r="AL1624" s="6"/>
      <c r="AM1624" s="6"/>
      <c r="AN1624" s="6"/>
      <c r="AO1624" s="6"/>
      <c r="AP1624" s="6"/>
      <c r="AQ1624" s="6"/>
      <c r="AR1624" s="6"/>
      <c r="AS1624" s="6"/>
    </row>
    <row r="1625" spans="1:45" ht="16.5" customHeight="1">
      <c r="A1625" s="235"/>
      <c r="B1625" s="235"/>
      <c r="C1625" s="235"/>
      <c r="D1625" s="235"/>
      <c r="E1625" s="235"/>
      <c r="F1625" s="236"/>
      <c r="G1625" s="237"/>
      <c r="H1625" s="237"/>
      <c r="I1625" s="238"/>
      <c r="J1625" s="235"/>
      <c r="K1625" s="235"/>
      <c r="L1625" s="235"/>
      <c r="M1625" s="235"/>
      <c r="N1625" s="239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  <c r="AD1625" s="6"/>
      <c r="AE1625" s="6"/>
      <c r="AF1625" s="6"/>
      <c r="AG1625" s="6"/>
      <c r="AH1625" s="6"/>
      <c r="AI1625" s="6"/>
      <c r="AJ1625" s="6"/>
      <c r="AK1625" s="6"/>
      <c r="AL1625" s="6"/>
      <c r="AM1625" s="6"/>
      <c r="AN1625" s="6"/>
      <c r="AO1625" s="6"/>
      <c r="AP1625" s="6"/>
      <c r="AQ1625" s="6"/>
      <c r="AR1625" s="6"/>
      <c r="AS1625" s="6"/>
    </row>
    <row r="1626" spans="1:45" ht="16.5" customHeight="1">
      <c r="A1626" s="235"/>
      <c r="B1626" s="235"/>
      <c r="C1626" s="235"/>
      <c r="D1626" s="235"/>
      <c r="E1626" s="235"/>
      <c r="F1626" s="236"/>
      <c r="G1626" s="237"/>
      <c r="H1626" s="237"/>
      <c r="I1626" s="238"/>
      <c r="J1626" s="235"/>
      <c r="K1626" s="235"/>
      <c r="L1626" s="235"/>
      <c r="M1626" s="235"/>
      <c r="N1626" s="239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6"/>
      <c r="AD1626" s="6"/>
      <c r="AE1626" s="6"/>
      <c r="AF1626" s="6"/>
      <c r="AG1626" s="6"/>
      <c r="AH1626" s="6"/>
      <c r="AI1626" s="6"/>
      <c r="AJ1626" s="6"/>
      <c r="AK1626" s="6"/>
      <c r="AL1626" s="6"/>
      <c r="AM1626" s="6"/>
      <c r="AN1626" s="6"/>
      <c r="AO1626" s="6"/>
      <c r="AP1626" s="6"/>
      <c r="AQ1626" s="6"/>
      <c r="AR1626" s="6"/>
      <c r="AS1626" s="6"/>
    </row>
    <row r="1627" spans="1:45" ht="16.5" customHeight="1">
      <c r="A1627" s="235"/>
      <c r="B1627" s="235"/>
      <c r="C1627" s="235"/>
      <c r="D1627" s="235"/>
      <c r="E1627" s="235"/>
      <c r="F1627" s="236"/>
      <c r="G1627" s="237"/>
      <c r="H1627" s="237"/>
      <c r="I1627" s="238"/>
      <c r="J1627" s="235"/>
      <c r="K1627" s="235"/>
      <c r="L1627" s="235"/>
      <c r="M1627" s="235"/>
      <c r="N1627" s="239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  <c r="AB1627" s="6"/>
      <c r="AC1627" s="6"/>
      <c r="AD1627" s="6"/>
      <c r="AE1627" s="6"/>
      <c r="AF1627" s="6"/>
      <c r="AG1627" s="6"/>
      <c r="AH1627" s="6"/>
      <c r="AI1627" s="6"/>
      <c r="AJ1627" s="6"/>
      <c r="AK1627" s="6"/>
      <c r="AL1627" s="6"/>
      <c r="AM1627" s="6"/>
      <c r="AN1627" s="6"/>
      <c r="AO1627" s="6"/>
      <c r="AP1627" s="6"/>
      <c r="AQ1627" s="6"/>
      <c r="AR1627" s="6"/>
      <c r="AS1627" s="6"/>
    </row>
    <row r="1628" spans="1:45" ht="16.5" customHeight="1">
      <c r="A1628" s="235"/>
      <c r="B1628" s="235"/>
      <c r="C1628" s="235"/>
      <c r="D1628" s="235"/>
      <c r="E1628" s="235"/>
      <c r="F1628" s="236"/>
      <c r="G1628" s="237"/>
      <c r="H1628" s="237"/>
      <c r="I1628" s="238"/>
      <c r="J1628" s="235"/>
      <c r="K1628" s="235"/>
      <c r="L1628" s="235"/>
      <c r="M1628" s="235"/>
      <c r="N1628" s="239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  <c r="AC1628" s="6"/>
      <c r="AD1628" s="6"/>
      <c r="AE1628" s="6"/>
      <c r="AF1628" s="6"/>
      <c r="AG1628" s="6"/>
      <c r="AH1628" s="6"/>
      <c r="AI1628" s="6"/>
      <c r="AJ1628" s="6"/>
      <c r="AK1628" s="6"/>
      <c r="AL1628" s="6"/>
      <c r="AM1628" s="6"/>
      <c r="AN1628" s="6"/>
      <c r="AO1628" s="6"/>
      <c r="AP1628" s="6"/>
      <c r="AQ1628" s="6"/>
      <c r="AR1628" s="6"/>
      <c r="AS1628" s="6"/>
    </row>
    <row r="1629" spans="1:45" ht="16.5" customHeight="1">
      <c r="A1629" s="235"/>
      <c r="B1629" s="235"/>
      <c r="C1629" s="235"/>
      <c r="D1629" s="235"/>
      <c r="E1629" s="235"/>
      <c r="F1629" s="236"/>
      <c r="G1629" s="237"/>
      <c r="H1629" s="237"/>
      <c r="I1629" s="238"/>
      <c r="J1629" s="235"/>
      <c r="K1629" s="235"/>
      <c r="L1629" s="235"/>
      <c r="M1629" s="235"/>
      <c r="N1629" s="239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  <c r="AB1629" s="6"/>
      <c r="AC1629" s="6"/>
      <c r="AD1629" s="6"/>
      <c r="AE1629" s="6"/>
      <c r="AF1629" s="6"/>
      <c r="AG1629" s="6"/>
      <c r="AH1629" s="6"/>
      <c r="AI1629" s="6"/>
      <c r="AJ1629" s="6"/>
      <c r="AK1629" s="6"/>
      <c r="AL1629" s="6"/>
      <c r="AM1629" s="6"/>
      <c r="AN1629" s="6"/>
      <c r="AO1629" s="6"/>
      <c r="AP1629" s="6"/>
      <c r="AQ1629" s="6"/>
      <c r="AR1629" s="6"/>
      <c r="AS1629" s="6"/>
    </row>
    <row r="1630" spans="1:45" ht="16.5" customHeight="1">
      <c r="A1630" s="235"/>
      <c r="B1630" s="235"/>
      <c r="C1630" s="235"/>
      <c r="D1630" s="235"/>
      <c r="E1630" s="235"/>
      <c r="F1630" s="236"/>
      <c r="G1630" s="237"/>
      <c r="H1630" s="237"/>
      <c r="I1630" s="238"/>
      <c r="J1630" s="235"/>
      <c r="K1630" s="235"/>
      <c r="L1630" s="235"/>
      <c r="M1630" s="235"/>
      <c r="N1630" s="239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/>
      <c r="AB1630" s="6"/>
      <c r="AC1630" s="6"/>
      <c r="AD1630" s="6"/>
      <c r="AE1630" s="6"/>
      <c r="AF1630" s="6"/>
      <c r="AG1630" s="6"/>
      <c r="AH1630" s="6"/>
      <c r="AI1630" s="6"/>
      <c r="AJ1630" s="6"/>
      <c r="AK1630" s="6"/>
      <c r="AL1630" s="6"/>
      <c r="AM1630" s="6"/>
      <c r="AN1630" s="6"/>
      <c r="AO1630" s="6"/>
      <c r="AP1630" s="6"/>
      <c r="AQ1630" s="6"/>
      <c r="AR1630" s="6"/>
      <c r="AS1630" s="6"/>
    </row>
    <row r="1631" spans="1:45" ht="16.5" customHeight="1">
      <c r="A1631" s="235"/>
      <c r="B1631" s="235"/>
      <c r="C1631" s="235"/>
      <c r="D1631" s="235"/>
      <c r="E1631" s="235"/>
      <c r="F1631" s="236"/>
      <c r="G1631" s="237"/>
      <c r="H1631" s="237"/>
      <c r="I1631" s="238"/>
      <c r="J1631" s="235"/>
      <c r="K1631" s="235"/>
      <c r="L1631" s="235"/>
      <c r="M1631" s="235"/>
      <c r="N1631" s="239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  <c r="AB1631" s="6"/>
      <c r="AC1631" s="6"/>
      <c r="AD1631" s="6"/>
      <c r="AE1631" s="6"/>
      <c r="AF1631" s="6"/>
      <c r="AG1631" s="6"/>
      <c r="AH1631" s="6"/>
      <c r="AI1631" s="6"/>
      <c r="AJ1631" s="6"/>
      <c r="AK1631" s="6"/>
      <c r="AL1631" s="6"/>
      <c r="AM1631" s="6"/>
      <c r="AN1631" s="6"/>
      <c r="AO1631" s="6"/>
      <c r="AP1631" s="6"/>
      <c r="AQ1631" s="6"/>
      <c r="AR1631" s="6"/>
      <c r="AS1631" s="6"/>
    </row>
    <row r="1632" spans="1:45" ht="16.5" customHeight="1">
      <c r="A1632" s="235"/>
      <c r="B1632" s="235"/>
      <c r="C1632" s="235"/>
      <c r="D1632" s="235"/>
      <c r="E1632" s="235"/>
      <c r="F1632" s="236"/>
      <c r="G1632" s="237"/>
      <c r="H1632" s="237"/>
      <c r="I1632" s="238"/>
      <c r="J1632" s="235"/>
      <c r="K1632" s="235"/>
      <c r="L1632" s="235"/>
      <c r="M1632" s="235"/>
      <c r="N1632" s="239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  <c r="AC1632" s="6"/>
      <c r="AD1632" s="6"/>
      <c r="AE1632" s="6"/>
      <c r="AF1632" s="6"/>
      <c r="AG1632" s="6"/>
      <c r="AH1632" s="6"/>
      <c r="AI1632" s="6"/>
      <c r="AJ1632" s="6"/>
      <c r="AK1632" s="6"/>
      <c r="AL1632" s="6"/>
      <c r="AM1632" s="6"/>
      <c r="AN1632" s="6"/>
      <c r="AO1632" s="6"/>
      <c r="AP1632" s="6"/>
      <c r="AQ1632" s="6"/>
      <c r="AR1632" s="6"/>
      <c r="AS1632" s="6"/>
    </row>
    <row r="1633" spans="1:45" ht="16.5" customHeight="1">
      <c r="A1633" s="235"/>
      <c r="B1633" s="235"/>
      <c r="C1633" s="235"/>
      <c r="D1633" s="235"/>
      <c r="E1633" s="235"/>
      <c r="F1633" s="236"/>
      <c r="G1633" s="237"/>
      <c r="H1633" s="237"/>
      <c r="I1633" s="238"/>
      <c r="J1633" s="235"/>
      <c r="K1633" s="235"/>
      <c r="L1633" s="235"/>
      <c r="M1633" s="235"/>
      <c r="N1633" s="239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  <c r="AC1633" s="6"/>
      <c r="AD1633" s="6"/>
      <c r="AE1633" s="6"/>
      <c r="AF1633" s="6"/>
      <c r="AG1633" s="6"/>
      <c r="AH1633" s="6"/>
      <c r="AI1633" s="6"/>
      <c r="AJ1633" s="6"/>
      <c r="AK1633" s="6"/>
      <c r="AL1633" s="6"/>
      <c r="AM1633" s="6"/>
      <c r="AN1633" s="6"/>
      <c r="AO1633" s="6"/>
      <c r="AP1633" s="6"/>
      <c r="AQ1633" s="6"/>
      <c r="AR1633" s="6"/>
      <c r="AS1633" s="6"/>
    </row>
    <row r="1634" spans="1:45" ht="16.5" customHeight="1">
      <c r="A1634" s="235"/>
      <c r="B1634" s="235"/>
      <c r="C1634" s="235"/>
      <c r="D1634" s="235"/>
      <c r="E1634" s="235"/>
      <c r="F1634" s="236"/>
      <c r="G1634" s="237"/>
      <c r="H1634" s="237"/>
      <c r="I1634" s="238"/>
      <c r="J1634" s="235"/>
      <c r="K1634" s="235"/>
      <c r="L1634" s="235"/>
      <c r="M1634" s="235"/>
      <c r="N1634" s="239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  <c r="AC1634" s="6"/>
      <c r="AD1634" s="6"/>
      <c r="AE1634" s="6"/>
      <c r="AF1634" s="6"/>
      <c r="AG1634" s="6"/>
      <c r="AH1634" s="6"/>
      <c r="AI1634" s="6"/>
      <c r="AJ1634" s="6"/>
      <c r="AK1634" s="6"/>
      <c r="AL1634" s="6"/>
      <c r="AM1634" s="6"/>
      <c r="AN1634" s="6"/>
      <c r="AO1634" s="6"/>
      <c r="AP1634" s="6"/>
      <c r="AQ1634" s="6"/>
      <c r="AR1634" s="6"/>
      <c r="AS1634" s="6"/>
    </row>
    <row r="1635" spans="1:45" ht="16.5" customHeight="1">
      <c r="A1635" s="235"/>
      <c r="B1635" s="235"/>
      <c r="C1635" s="235"/>
      <c r="D1635" s="235"/>
      <c r="E1635" s="235"/>
      <c r="F1635" s="236"/>
      <c r="G1635" s="237"/>
      <c r="H1635" s="237"/>
      <c r="I1635" s="238"/>
      <c r="J1635" s="235"/>
      <c r="K1635" s="235"/>
      <c r="L1635" s="235"/>
      <c r="M1635" s="235"/>
      <c r="N1635" s="239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  <c r="AD1635" s="6"/>
      <c r="AE1635" s="6"/>
      <c r="AF1635" s="6"/>
      <c r="AG1635" s="6"/>
      <c r="AH1635" s="6"/>
      <c r="AI1635" s="6"/>
      <c r="AJ1635" s="6"/>
      <c r="AK1635" s="6"/>
      <c r="AL1635" s="6"/>
      <c r="AM1635" s="6"/>
      <c r="AN1635" s="6"/>
      <c r="AO1635" s="6"/>
      <c r="AP1635" s="6"/>
      <c r="AQ1635" s="6"/>
      <c r="AR1635" s="6"/>
      <c r="AS1635" s="6"/>
    </row>
    <row r="1636" spans="1:45" ht="16.5" customHeight="1">
      <c r="A1636" s="235"/>
      <c r="B1636" s="235"/>
      <c r="C1636" s="235"/>
      <c r="D1636" s="235"/>
      <c r="E1636" s="235"/>
      <c r="F1636" s="236"/>
      <c r="G1636" s="237"/>
      <c r="H1636" s="237"/>
      <c r="I1636" s="238"/>
      <c r="J1636" s="235"/>
      <c r="K1636" s="235"/>
      <c r="L1636" s="235"/>
      <c r="M1636" s="235"/>
      <c r="N1636" s="239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  <c r="AL1636" s="6"/>
      <c r="AM1636" s="6"/>
      <c r="AN1636" s="6"/>
      <c r="AO1636" s="6"/>
      <c r="AP1636" s="6"/>
      <c r="AQ1636" s="6"/>
      <c r="AR1636" s="6"/>
      <c r="AS1636" s="6"/>
    </row>
    <row r="1637" spans="1:45" ht="16.5" customHeight="1">
      <c r="A1637" s="235"/>
      <c r="B1637" s="235"/>
      <c r="C1637" s="235"/>
      <c r="D1637" s="235"/>
      <c r="E1637" s="235"/>
      <c r="F1637" s="236"/>
      <c r="G1637" s="237"/>
      <c r="H1637" s="237"/>
      <c r="I1637" s="238"/>
      <c r="J1637" s="235"/>
      <c r="K1637" s="235"/>
      <c r="L1637" s="235"/>
      <c r="M1637" s="235"/>
      <c r="N1637" s="239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  <c r="AC1637" s="6"/>
      <c r="AD1637" s="6"/>
      <c r="AE1637" s="6"/>
      <c r="AF1637" s="6"/>
      <c r="AG1637" s="6"/>
      <c r="AH1637" s="6"/>
      <c r="AI1637" s="6"/>
      <c r="AJ1637" s="6"/>
      <c r="AK1637" s="6"/>
      <c r="AL1637" s="6"/>
      <c r="AM1637" s="6"/>
      <c r="AN1637" s="6"/>
      <c r="AO1637" s="6"/>
      <c r="AP1637" s="6"/>
      <c r="AQ1637" s="6"/>
      <c r="AR1637" s="6"/>
      <c r="AS1637" s="6"/>
    </row>
    <row r="1638" spans="1:45" ht="16.5" customHeight="1">
      <c r="A1638" s="235"/>
      <c r="B1638" s="235"/>
      <c r="C1638" s="235"/>
      <c r="D1638" s="235"/>
      <c r="E1638" s="235"/>
      <c r="F1638" s="236"/>
      <c r="G1638" s="237"/>
      <c r="H1638" s="237"/>
      <c r="I1638" s="238"/>
      <c r="J1638" s="235"/>
      <c r="K1638" s="235"/>
      <c r="L1638" s="235"/>
      <c r="M1638" s="235"/>
      <c r="N1638" s="239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  <c r="AD1638" s="6"/>
      <c r="AE1638" s="6"/>
      <c r="AF1638" s="6"/>
      <c r="AG1638" s="6"/>
      <c r="AH1638" s="6"/>
      <c r="AI1638" s="6"/>
      <c r="AJ1638" s="6"/>
      <c r="AK1638" s="6"/>
      <c r="AL1638" s="6"/>
      <c r="AM1638" s="6"/>
      <c r="AN1638" s="6"/>
      <c r="AO1638" s="6"/>
      <c r="AP1638" s="6"/>
      <c r="AQ1638" s="6"/>
      <c r="AR1638" s="6"/>
      <c r="AS1638" s="6"/>
    </row>
    <row r="1639" spans="1:45" ht="16.5" customHeight="1">
      <c r="A1639" s="235"/>
      <c r="B1639" s="235"/>
      <c r="C1639" s="235"/>
      <c r="D1639" s="235"/>
      <c r="E1639" s="235"/>
      <c r="F1639" s="236"/>
      <c r="G1639" s="237"/>
      <c r="H1639" s="237"/>
      <c r="I1639" s="238"/>
      <c r="J1639" s="235"/>
      <c r="K1639" s="235"/>
      <c r="L1639" s="235"/>
      <c r="M1639" s="235"/>
      <c r="N1639" s="239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  <c r="AD1639" s="6"/>
      <c r="AE1639" s="6"/>
      <c r="AF1639" s="6"/>
      <c r="AG1639" s="6"/>
      <c r="AH1639" s="6"/>
      <c r="AI1639" s="6"/>
      <c r="AJ1639" s="6"/>
      <c r="AK1639" s="6"/>
      <c r="AL1639" s="6"/>
      <c r="AM1639" s="6"/>
      <c r="AN1639" s="6"/>
      <c r="AO1639" s="6"/>
      <c r="AP1639" s="6"/>
      <c r="AQ1639" s="6"/>
      <c r="AR1639" s="6"/>
      <c r="AS1639" s="6"/>
    </row>
    <row r="1640" spans="1:45" ht="16.5" customHeight="1">
      <c r="A1640" s="235"/>
      <c r="B1640" s="235"/>
      <c r="C1640" s="235"/>
      <c r="D1640" s="235"/>
      <c r="E1640" s="235"/>
      <c r="F1640" s="236"/>
      <c r="G1640" s="237"/>
      <c r="H1640" s="237"/>
      <c r="I1640" s="238"/>
      <c r="J1640" s="235"/>
      <c r="K1640" s="235"/>
      <c r="L1640" s="235"/>
      <c r="M1640" s="235"/>
      <c r="N1640" s="239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  <c r="AC1640" s="6"/>
      <c r="AD1640" s="6"/>
      <c r="AE1640" s="6"/>
      <c r="AF1640" s="6"/>
      <c r="AG1640" s="6"/>
      <c r="AH1640" s="6"/>
      <c r="AI1640" s="6"/>
      <c r="AJ1640" s="6"/>
      <c r="AK1640" s="6"/>
      <c r="AL1640" s="6"/>
      <c r="AM1640" s="6"/>
      <c r="AN1640" s="6"/>
      <c r="AO1640" s="6"/>
      <c r="AP1640" s="6"/>
      <c r="AQ1640" s="6"/>
      <c r="AR1640" s="6"/>
      <c r="AS1640" s="6"/>
    </row>
    <row r="1641" spans="1:45" ht="16.5" customHeight="1">
      <c r="A1641" s="235"/>
      <c r="B1641" s="235"/>
      <c r="C1641" s="235"/>
      <c r="D1641" s="235"/>
      <c r="E1641" s="235"/>
      <c r="F1641" s="236"/>
      <c r="G1641" s="237"/>
      <c r="H1641" s="237"/>
      <c r="I1641" s="238"/>
      <c r="J1641" s="235"/>
      <c r="K1641" s="235"/>
      <c r="L1641" s="235"/>
      <c r="M1641" s="235"/>
      <c r="N1641" s="239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  <c r="AD1641" s="6"/>
      <c r="AE1641" s="6"/>
      <c r="AF1641" s="6"/>
      <c r="AG1641" s="6"/>
      <c r="AH1641" s="6"/>
      <c r="AI1641" s="6"/>
      <c r="AJ1641" s="6"/>
      <c r="AK1641" s="6"/>
      <c r="AL1641" s="6"/>
      <c r="AM1641" s="6"/>
      <c r="AN1641" s="6"/>
      <c r="AO1641" s="6"/>
      <c r="AP1641" s="6"/>
      <c r="AQ1641" s="6"/>
      <c r="AR1641" s="6"/>
      <c r="AS1641" s="6"/>
    </row>
    <row r="1642" spans="1:45" ht="16.5" customHeight="1">
      <c r="A1642" s="235"/>
      <c r="B1642" s="235"/>
      <c r="C1642" s="235"/>
      <c r="D1642" s="235"/>
      <c r="E1642" s="235"/>
      <c r="F1642" s="236"/>
      <c r="G1642" s="237"/>
      <c r="H1642" s="237"/>
      <c r="I1642" s="238"/>
      <c r="J1642" s="235"/>
      <c r="K1642" s="235"/>
      <c r="L1642" s="235"/>
      <c r="M1642" s="235"/>
      <c r="N1642" s="239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  <c r="AD1642" s="6"/>
      <c r="AE1642" s="6"/>
      <c r="AF1642" s="6"/>
      <c r="AG1642" s="6"/>
      <c r="AH1642" s="6"/>
      <c r="AI1642" s="6"/>
      <c r="AJ1642" s="6"/>
      <c r="AK1642" s="6"/>
      <c r="AL1642" s="6"/>
      <c r="AM1642" s="6"/>
      <c r="AN1642" s="6"/>
      <c r="AO1642" s="6"/>
      <c r="AP1642" s="6"/>
      <c r="AQ1642" s="6"/>
      <c r="AR1642" s="6"/>
      <c r="AS1642" s="6"/>
    </row>
    <row r="1643" spans="1:45" ht="16.5" customHeight="1">
      <c r="A1643" s="235"/>
      <c r="B1643" s="235"/>
      <c r="C1643" s="235"/>
      <c r="D1643" s="235"/>
      <c r="E1643" s="235"/>
      <c r="F1643" s="236"/>
      <c r="G1643" s="237"/>
      <c r="H1643" s="237"/>
      <c r="I1643" s="238"/>
      <c r="J1643" s="235"/>
      <c r="K1643" s="235"/>
      <c r="L1643" s="235"/>
      <c r="M1643" s="235"/>
      <c r="N1643" s="239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  <c r="AL1643" s="6"/>
      <c r="AM1643" s="6"/>
      <c r="AN1643" s="6"/>
      <c r="AO1643" s="6"/>
      <c r="AP1643" s="6"/>
      <c r="AQ1643" s="6"/>
      <c r="AR1643" s="6"/>
      <c r="AS1643" s="6"/>
    </row>
    <row r="1644" spans="1:45" ht="16.5" customHeight="1">
      <c r="A1644" s="235"/>
      <c r="B1644" s="235"/>
      <c r="C1644" s="235"/>
      <c r="D1644" s="235"/>
      <c r="E1644" s="235"/>
      <c r="F1644" s="236"/>
      <c r="G1644" s="237"/>
      <c r="H1644" s="237"/>
      <c r="I1644" s="238"/>
      <c r="J1644" s="235"/>
      <c r="K1644" s="235"/>
      <c r="L1644" s="235"/>
      <c r="M1644" s="235"/>
      <c r="N1644" s="239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  <c r="AL1644" s="6"/>
      <c r="AM1644" s="6"/>
      <c r="AN1644" s="6"/>
      <c r="AO1644" s="6"/>
      <c r="AP1644" s="6"/>
      <c r="AQ1644" s="6"/>
      <c r="AR1644" s="6"/>
      <c r="AS1644" s="6"/>
    </row>
    <row r="1645" spans="1:45" ht="16.5" customHeight="1">
      <c r="A1645" s="235"/>
      <c r="B1645" s="235"/>
      <c r="C1645" s="235"/>
      <c r="D1645" s="235"/>
      <c r="E1645" s="235"/>
      <c r="F1645" s="236"/>
      <c r="G1645" s="237"/>
      <c r="H1645" s="237"/>
      <c r="I1645" s="238"/>
      <c r="J1645" s="235"/>
      <c r="K1645" s="235"/>
      <c r="L1645" s="235"/>
      <c r="M1645" s="235"/>
      <c r="N1645" s="239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  <c r="AL1645" s="6"/>
      <c r="AM1645" s="6"/>
      <c r="AN1645" s="6"/>
      <c r="AO1645" s="6"/>
      <c r="AP1645" s="6"/>
      <c r="AQ1645" s="6"/>
      <c r="AR1645" s="6"/>
      <c r="AS1645" s="6"/>
    </row>
    <row r="1646" spans="1:45" ht="16.5" customHeight="1">
      <c r="A1646" s="235"/>
      <c r="B1646" s="235"/>
      <c r="C1646" s="235"/>
      <c r="D1646" s="235"/>
      <c r="E1646" s="235"/>
      <c r="F1646" s="236"/>
      <c r="G1646" s="237"/>
      <c r="H1646" s="237"/>
      <c r="I1646" s="238"/>
      <c r="J1646" s="235"/>
      <c r="K1646" s="235"/>
      <c r="L1646" s="235"/>
      <c r="M1646" s="235"/>
      <c r="N1646" s="239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L1646" s="6"/>
      <c r="AM1646" s="6"/>
      <c r="AN1646" s="6"/>
      <c r="AO1646" s="6"/>
      <c r="AP1646" s="6"/>
      <c r="AQ1646" s="6"/>
      <c r="AR1646" s="6"/>
      <c r="AS1646" s="6"/>
    </row>
    <row r="1647" spans="1:45" ht="16.5" customHeight="1">
      <c r="A1647" s="235"/>
      <c r="B1647" s="235"/>
      <c r="C1647" s="235"/>
      <c r="D1647" s="235"/>
      <c r="E1647" s="235"/>
      <c r="F1647" s="236"/>
      <c r="G1647" s="237"/>
      <c r="H1647" s="237"/>
      <c r="I1647" s="238"/>
      <c r="J1647" s="235"/>
      <c r="K1647" s="235"/>
      <c r="L1647" s="235"/>
      <c r="M1647" s="235"/>
      <c r="N1647" s="239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6"/>
      <c r="AD1647" s="6"/>
      <c r="AE1647" s="6"/>
      <c r="AF1647" s="6"/>
      <c r="AG1647" s="6"/>
      <c r="AH1647" s="6"/>
      <c r="AI1647" s="6"/>
      <c r="AJ1647" s="6"/>
      <c r="AK1647" s="6"/>
      <c r="AL1647" s="6"/>
      <c r="AM1647" s="6"/>
      <c r="AN1647" s="6"/>
      <c r="AO1647" s="6"/>
      <c r="AP1647" s="6"/>
      <c r="AQ1647" s="6"/>
      <c r="AR1647" s="6"/>
      <c r="AS1647" s="6"/>
    </row>
    <row r="1648" spans="1:45" ht="16.5" customHeight="1">
      <c r="A1648" s="235"/>
      <c r="B1648" s="235"/>
      <c r="C1648" s="235"/>
      <c r="D1648" s="235"/>
      <c r="E1648" s="235"/>
      <c r="F1648" s="236"/>
      <c r="G1648" s="237"/>
      <c r="H1648" s="237"/>
      <c r="I1648" s="238"/>
      <c r="J1648" s="235"/>
      <c r="K1648" s="235"/>
      <c r="L1648" s="235"/>
      <c r="M1648" s="235"/>
      <c r="N1648" s="239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L1648" s="6"/>
      <c r="AM1648" s="6"/>
      <c r="AN1648" s="6"/>
      <c r="AO1648" s="6"/>
      <c r="AP1648" s="6"/>
      <c r="AQ1648" s="6"/>
      <c r="AR1648" s="6"/>
      <c r="AS1648" s="6"/>
    </row>
    <row r="1649" spans="1:45" ht="16.5" customHeight="1">
      <c r="A1649" s="235"/>
      <c r="B1649" s="235"/>
      <c r="C1649" s="235"/>
      <c r="D1649" s="235"/>
      <c r="E1649" s="235"/>
      <c r="F1649" s="236"/>
      <c r="G1649" s="237"/>
      <c r="H1649" s="237"/>
      <c r="I1649" s="238"/>
      <c r="J1649" s="235"/>
      <c r="K1649" s="235"/>
      <c r="L1649" s="235"/>
      <c r="M1649" s="235"/>
      <c r="N1649" s="239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L1649" s="6"/>
      <c r="AM1649" s="6"/>
      <c r="AN1649" s="6"/>
      <c r="AO1649" s="6"/>
      <c r="AP1649" s="6"/>
      <c r="AQ1649" s="6"/>
      <c r="AR1649" s="6"/>
      <c r="AS1649" s="6"/>
    </row>
    <row r="1650" spans="1:45" ht="16.5" customHeight="1">
      <c r="A1650" s="235"/>
      <c r="B1650" s="235"/>
      <c r="C1650" s="235"/>
      <c r="D1650" s="235"/>
      <c r="E1650" s="235"/>
      <c r="F1650" s="236"/>
      <c r="G1650" s="237"/>
      <c r="H1650" s="237"/>
      <c r="I1650" s="238"/>
      <c r="J1650" s="235"/>
      <c r="K1650" s="235"/>
      <c r="L1650" s="235"/>
      <c r="M1650" s="235"/>
      <c r="N1650" s="239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  <c r="AL1650" s="6"/>
      <c r="AM1650" s="6"/>
      <c r="AN1650" s="6"/>
      <c r="AO1650" s="6"/>
      <c r="AP1650" s="6"/>
      <c r="AQ1650" s="6"/>
      <c r="AR1650" s="6"/>
      <c r="AS1650" s="6"/>
    </row>
    <row r="1651" spans="1:45" ht="16.5" customHeight="1">
      <c r="A1651" s="235"/>
      <c r="B1651" s="235"/>
      <c r="C1651" s="235"/>
      <c r="D1651" s="235"/>
      <c r="E1651" s="235"/>
      <c r="F1651" s="236"/>
      <c r="G1651" s="237"/>
      <c r="H1651" s="237"/>
      <c r="I1651" s="238"/>
      <c r="J1651" s="235"/>
      <c r="K1651" s="235"/>
      <c r="L1651" s="235"/>
      <c r="M1651" s="235"/>
      <c r="N1651" s="239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  <c r="AC1651" s="6"/>
      <c r="AD1651" s="6"/>
      <c r="AE1651" s="6"/>
      <c r="AF1651" s="6"/>
      <c r="AG1651" s="6"/>
      <c r="AH1651" s="6"/>
      <c r="AI1651" s="6"/>
      <c r="AJ1651" s="6"/>
      <c r="AK1651" s="6"/>
      <c r="AL1651" s="6"/>
      <c r="AM1651" s="6"/>
      <c r="AN1651" s="6"/>
      <c r="AO1651" s="6"/>
      <c r="AP1651" s="6"/>
      <c r="AQ1651" s="6"/>
      <c r="AR1651" s="6"/>
      <c r="AS1651" s="6"/>
    </row>
    <row r="1652" spans="1:45" ht="16.5" customHeight="1">
      <c r="A1652" s="235"/>
      <c r="B1652" s="235"/>
      <c r="C1652" s="235"/>
      <c r="D1652" s="235"/>
      <c r="E1652" s="235"/>
      <c r="F1652" s="236"/>
      <c r="G1652" s="237"/>
      <c r="H1652" s="237"/>
      <c r="I1652" s="238"/>
      <c r="J1652" s="235"/>
      <c r="K1652" s="235"/>
      <c r="L1652" s="235"/>
      <c r="M1652" s="235"/>
      <c r="N1652" s="239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  <c r="AC1652" s="6"/>
      <c r="AD1652" s="6"/>
      <c r="AE1652" s="6"/>
      <c r="AF1652" s="6"/>
      <c r="AG1652" s="6"/>
      <c r="AH1652" s="6"/>
      <c r="AI1652" s="6"/>
      <c r="AJ1652" s="6"/>
      <c r="AK1652" s="6"/>
      <c r="AL1652" s="6"/>
      <c r="AM1652" s="6"/>
      <c r="AN1652" s="6"/>
      <c r="AO1652" s="6"/>
      <c r="AP1652" s="6"/>
      <c r="AQ1652" s="6"/>
      <c r="AR1652" s="6"/>
      <c r="AS1652" s="6"/>
    </row>
    <row r="1653" spans="1:45" ht="16.5" customHeight="1">
      <c r="A1653" s="235"/>
      <c r="B1653" s="235"/>
      <c r="C1653" s="235"/>
      <c r="D1653" s="235"/>
      <c r="E1653" s="235"/>
      <c r="F1653" s="236"/>
      <c r="G1653" s="237"/>
      <c r="H1653" s="237"/>
      <c r="I1653" s="238"/>
      <c r="J1653" s="235"/>
      <c r="K1653" s="235"/>
      <c r="L1653" s="235"/>
      <c r="M1653" s="235"/>
      <c r="N1653" s="239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  <c r="AD1653" s="6"/>
      <c r="AE1653" s="6"/>
      <c r="AF1653" s="6"/>
      <c r="AG1653" s="6"/>
      <c r="AH1653" s="6"/>
      <c r="AI1653" s="6"/>
      <c r="AJ1653" s="6"/>
      <c r="AK1653" s="6"/>
      <c r="AL1653" s="6"/>
      <c r="AM1653" s="6"/>
      <c r="AN1653" s="6"/>
      <c r="AO1653" s="6"/>
      <c r="AP1653" s="6"/>
      <c r="AQ1653" s="6"/>
      <c r="AR1653" s="6"/>
      <c r="AS1653" s="6"/>
    </row>
    <row r="1654" spans="1:45" ht="16.5" customHeight="1">
      <c r="A1654" s="235"/>
      <c r="B1654" s="235"/>
      <c r="C1654" s="235"/>
      <c r="D1654" s="235"/>
      <c r="E1654" s="235"/>
      <c r="F1654" s="236"/>
      <c r="G1654" s="237"/>
      <c r="H1654" s="237"/>
      <c r="I1654" s="238"/>
      <c r="J1654" s="235"/>
      <c r="K1654" s="235"/>
      <c r="L1654" s="235"/>
      <c r="M1654" s="235"/>
      <c r="N1654" s="239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L1654" s="6"/>
      <c r="AM1654" s="6"/>
      <c r="AN1654" s="6"/>
      <c r="AO1654" s="6"/>
      <c r="AP1654" s="6"/>
      <c r="AQ1654" s="6"/>
      <c r="AR1654" s="6"/>
      <c r="AS1654" s="6"/>
    </row>
    <row r="1655" spans="1:45" ht="16.5" customHeight="1">
      <c r="A1655" s="235"/>
      <c r="B1655" s="235"/>
      <c r="C1655" s="235"/>
      <c r="D1655" s="235"/>
      <c r="E1655" s="235"/>
      <c r="F1655" s="236"/>
      <c r="G1655" s="237"/>
      <c r="H1655" s="237"/>
      <c r="I1655" s="238"/>
      <c r="J1655" s="235"/>
      <c r="K1655" s="235"/>
      <c r="L1655" s="235"/>
      <c r="M1655" s="235"/>
      <c r="N1655" s="239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L1655" s="6"/>
      <c r="AM1655" s="6"/>
      <c r="AN1655" s="6"/>
      <c r="AO1655" s="6"/>
      <c r="AP1655" s="6"/>
      <c r="AQ1655" s="6"/>
      <c r="AR1655" s="6"/>
      <c r="AS1655" s="6"/>
    </row>
    <row r="1656" spans="1:45" ht="16.5" customHeight="1">
      <c r="A1656" s="235"/>
      <c r="B1656" s="235"/>
      <c r="C1656" s="235"/>
      <c r="D1656" s="235"/>
      <c r="E1656" s="235"/>
      <c r="F1656" s="236"/>
      <c r="G1656" s="237"/>
      <c r="H1656" s="237"/>
      <c r="I1656" s="238"/>
      <c r="J1656" s="235"/>
      <c r="K1656" s="235"/>
      <c r="L1656" s="235"/>
      <c r="M1656" s="235"/>
      <c r="N1656" s="239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  <c r="AC1656" s="6"/>
      <c r="AD1656" s="6"/>
      <c r="AE1656" s="6"/>
      <c r="AF1656" s="6"/>
      <c r="AG1656" s="6"/>
      <c r="AH1656" s="6"/>
      <c r="AI1656" s="6"/>
      <c r="AJ1656" s="6"/>
      <c r="AK1656" s="6"/>
      <c r="AL1656" s="6"/>
      <c r="AM1656" s="6"/>
      <c r="AN1656" s="6"/>
      <c r="AO1656" s="6"/>
      <c r="AP1656" s="6"/>
      <c r="AQ1656" s="6"/>
      <c r="AR1656" s="6"/>
      <c r="AS1656" s="6"/>
    </row>
    <row r="1657" spans="1:45" ht="16.5" customHeight="1">
      <c r="A1657" s="235"/>
      <c r="B1657" s="235"/>
      <c r="C1657" s="235"/>
      <c r="D1657" s="235"/>
      <c r="E1657" s="235"/>
      <c r="F1657" s="236"/>
      <c r="G1657" s="237"/>
      <c r="H1657" s="237"/>
      <c r="I1657" s="238"/>
      <c r="J1657" s="235"/>
      <c r="K1657" s="235"/>
      <c r="L1657" s="235"/>
      <c r="M1657" s="235"/>
      <c r="N1657" s="239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L1657" s="6"/>
      <c r="AM1657" s="6"/>
      <c r="AN1657" s="6"/>
      <c r="AO1657" s="6"/>
      <c r="AP1657" s="6"/>
      <c r="AQ1657" s="6"/>
      <c r="AR1657" s="6"/>
      <c r="AS1657" s="6"/>
    </row>
    <row r="1658" spans="1:45" ht="16.5" customHeight="1">
      <c r="A1658" s="235"/>
      <c r="B1658" s="235"/>
      <c r="C1658" s="235"/>
      <c r="D1658" s="235"/>
      <c r="E1658" s="235"/>
      <c r="F1658" s="236"/>
      <c r="G1658" s="237"/>
      <c r="H1658" s="237"/>
      <c r="I1658" s="238"/>
      <c r="J1658" s="235"/>
      <c r="K1658" s="235"/>
      <c r="L1658" s="235"/>
      <c r="M1658" s="235"/>
      <c r="N1658" s="239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  <c r="AC1658" s="6"/>
      <c r="AD1658" s="6"/>
      <c r="AE1658" s="6"/>
      <c r="AF1658" s="6"/>
      <c r="AG1658" s="6"/>
      <c r="AH1658" s="6"/>
      <c r="AI1658" s="6"/>
      <c r="AJ1658" s="6"/>
      <c r="AK1658" s="6"/>
      <c r="AL1658" s="6"/>
      <c r="AM1658" s="6"/>
      <c r="AN1658" s="6"/>
      <c r="AO1658" s="6"/>
      <c r="AP1658" s="6"/>
      <c r="AQ1658" s="6"/>
      <c r="AR1658" s="6"/>
      <c r="AS1658" s="6"/>
    </row>
    <row r="1659" spans="1:45" ht="16.5" customHeight="1">
      <c r="A1659" s="235"/>
      <c r="B1659" s="235"/>
      <c r="C1659" s="235"/>
      <c r="D1659" s="235"/>
      <c r="E1659" s="235"/>
      <c r="F1659" s="236"/>
      <c r="G1659" s="237"/>
      <c r="H1659" s="237"/>
      <c r="I1659" s="238"/>
      <c r="J1659" s="235"/>
      <c r="K1659" s="235"/>
      <c r="L1659" s="235"/>
      <c r="M1659" s="235"/>
      <c r="N1659" s="239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  <c r="AL1659" s="6"/>
      <c r="AM1659" s="6"/>
      <c r="AN1659" s="6"/>
      <c r="AO1659" s="6"/>
      <c r="AP1659" s="6"/>
      <c r="AQ1659" s="6"/>
      <c r="AR1659" s="6"/>
      <c r="AS1659" s="6"/>
    </row>
    <row r="1660" spans="1:45" ht="16.5" customHeight="1">
      <c r="A1660" s="235"/>
      <c r="B1660" s="235"/>
      <c r="C1660" s="235"/>
      <c r="D1660" s="235"/>
      <c r="E1660" s="235"/>
      <c r="F1660" s="236"/>
      <c r="G1660" s="237"/>
      <c r="H1660" s="237"/>
      <c r="I1660" s="238"/>
      <c r="J1660" s="235"/>
      <c r="K1660" s="235"/>
      <c r="L1660" s="235"/>
      <c r="M1660" s="235"/>
      <c r="N1660" s="239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6"/>
      <c r="AM1660" s="6"/>
      <c r="AN1660" s="6"/>
      <c r="AO1660" s="6"/>
      <c r="AP1660" s="6"/>
      <c r="AQ1660" s="6"/>
      <c r="AR1660" s="6"/>
      <c r="AS1660" s="6"/>
    </row>
    <row r="1661" spans="1:45" ht="16.5" customHeight="1">
      <c r="A1661" s="235"/>
      <c r="B1661" s="235"/>
      <c r="C1661" s="235"/>
      <c r="D1661" s="235"/>
      <c r="E1661" s="235"/>
      <c r="F1661" s="236"/>
      <c r="G1661" s="237"/>
      <c r="H1661" s="237"/>
      <c r="I1661" s="238"/>
      <c r="J1661" s="235"/>
      <c r="K1661" s="235"/>
      <c r="L1661" s="235"/>
      <c r="M1661" s="235"/>
      <c r="N1661" s="239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  <c r="AD1661" s="6"/>
      <c r="AE1661" s="6"/>
      <c r="AF1661" s="6"/>
      <c r="AG1661" s="6"/>
      <c r="AH1661" s="6"/>
      <c r="AI1661" s="6"/>
      <c r="AJ1661" s="6"/>
      <c r="AK1661" s="6"/>
      <c r="AL1661" s="6"/>
      <c r="AM1661" s="6"/>
      <c r="AN1661" s="6"/>
      <c r="AO1661" s="6"/>
      <c r="AP1661" s="6"/>
      <c r="AQ1661" s="6"/>
      <c r="AR1661" s="6"/>
      <c r="AS1661" s="6"/>
    </row>
    <row r="1662" spans="1:45" ht="16.5" customHeight="1">
      <c r="A1662" s="235"/>
      <c r="B1662" s="235"/>
      <c r="C1662" s="235"/>
      <c r="D1662" s="235"/>
      <c r="E1662" s="235"/>
      <c r="F1662" s="236"/>
      <c r="G1662" s="237"/>
      <c r="H1662" s="237"/>
      <c r="I1662" s="238"/>
      <c r="J1662" s="235"/>
      <c r="K1662" s="235"/>
      <c r="L1662" s="235"/>
      <c r="M1662" s="235"/>
      <c r="N1662" s="239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  <c r="AC1662" s="6"/>
      <c r="AD1662" s="6"/>
      <c r="AE1662" s="6"/>
      <c r="AF1662" s="6"/>
      <c r="AG1662" s="6"/>
      <c r="AH1662" s="6"/>
      <c r="AI1662" s="6"/>
      <c r="AJ1662" s="6"/>
      <c r="AK1662" s="6"/>
      <c r="AL1662" s="6"/>
      <c r="AM1662" s="6"/>
      <c r="AN1662" s="6"/>
      <c r="AO1662" s="6"/>
      <c r="AP1662" s="6"/>
      <c r="AQ1662" s="6"/>
      <c r="AR1662" s="6"/>
      <c r="AS1662" s="6"/>
    </row>
    <row r="1663" spans="1:45" ht="16.5" customHeight="1">
      <c r="A1663" s="235"/>
      <c r="B1663" s="235"/>
      <c r="C1663" s="235"/>
      <c r="D1663" s="235"/>
      <c r="E1663" s="235"/>
      <c r="F1663" s="236"/>
      <c r="G1663" s="237"/>
      <c r="H1663" s="237"/>
      <c r="I1663" s="238"/>
      <c r="J1663" s="235"/>
      <c r="K1663" s="235"/>
      <c r="L1663" s="235"/>
      <c r="M1663" s="235"/>
      <c r="N1663" s="239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  <c r="AC1663" s="6"/>
      <c r="AD1663" s="6"/>
      <c r="AE1663" s="6"/>
      <c r="AF1663" s="6"/>
      <c r="AG1663" s="6"/>
      <c r="AH1663" s="6"/>
      <c r="AI1663" s="6"/>
      <c r="AJ1663" s="6"/>
      <c r="AK1663" s="6"/>
      <c r="AL1663" s="6"/>
      <c r="AM1663" s="6"/>
      <c r="AN1663" s="6"/>
      <c r="AO1663" s="6"/>
      <c r="AP1663" s="6"/>
      <c r="AQ1663" s="6"/>
      <c r="AR1663" s="6"/>
      <c r="AS1663" s="6"/>
    </row>
    <row r="1664" spans="1:45" ht="16.5" customHeight="1">
      <c r="A1664" s="235"/>
      <c r="B1664" s="235"/>
      <c r="C1664" s="235"/>
      <c r="D1664" s="235"/>
      <c r="E1664" s="235"/>
      <c r="F1664" s="236"/>
      <c r="G1664" s="237"/>
      <c r="H1664" s="237"/>
      <c r="I1664" s="238"/>
      <c r="J1664" s="235"/>
      <c r="K1664" s="235"/>
      <c r="L1664" s="235"/>
      <c r="M1664" s="235"/>
      <c r="N1664" s="239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  <c r="AC1664" s="6"/>
      <c r="AD1664" s="6"/>
      <c r="AE1664" s="6"/>
      <c r="AF1664" s="6"/>
      <c r="AG1664" s="6"/>
      <c r="AH1664" s="6"/>
      <c r="AI1664" s="6"/>
      <c r="AJ1664" s="6"/>
      <c r="AK1664" s="6"/>
      <c r="AL1664" s="6"/>
      <c r="AM1664" s="6"/>
      <c r="AN1664" s="6"/>
      <c r="AO1664" s="6"/>
      <c r="AP1664" s="6"/>
      <c r="AQ1664" s="6"/>
      <c r="AR1664" s="6"/>
      <c r="AS1664" s="6"/>
    </row>
    <row r="1665" spans="1:45" ht="16.5" customHeight="1">
      <c r="A1665" s="235"/>
      <c r="B1665" s="235"/>
      <c r="C1665" s="235"/>
      <c r="D1665" s="235"/>
      <c r="E1665" s="235"/>
      <c r="F1665" s="236"/>
      <c r="G1665" s="237"/>
      <c r="H1665" s="237"/>
      <c r="I1665" s="238"/>
      <c r="J1665" s="235"/>
      <c r="K1665" s="235"/>
      <c r="L1665" s="235"/>
      <c r="M1665" s="235"/>
      <c r="N1665" s="239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  <c r="AB1665" s="6"/>
      <c r="AC1665" s="6"/>
      <c r="AD1665" s="6"/>
      <c r="AE1665" s="6"/>
      <c r="AF1665" s="6"/>
      <c r="AG1665" s="6"/>
      <c r="AH1665" s="6"/>
      <c r="AI1665" s="6"/>
      <c r="AJ1665" s="6"/>
      <c r="AK1665" s="6"/>
      <c r="AL1665" s="6"/>
      <c r="AM1665" s="6"/>
      <c r="AN1665" s="6"/>
      <c r="AO1665" s="6"/>
      <c r="AP1665" s="6"/>
      <c r="AQ1665" s="6"/>
      <c r="AR1665" s="6"/>
      <c r="AS1665" s="6"/>
    </row>
    <row r="1666" spans="1:45" ht="16.5" customHeight="1">
      <c r="A1666" s="235"/>
      <c r="B1666" s="235"/>
      <c r="C1666" s="235"/>
      <c r="D1666" s="235"/>
      <c r="E1666" s="235"/>
      <c r="F1666" s="236"/>
      <c r="G1666" s="237"/>
      <c r="H1666" s="237"/>
      <c r="I1666" s="238"/>
      <c r="J1666" s="235"/>
      <c r="K1666" s="235"/>
      <c r="L1666" s="235"/>
      <c r="M1666" s="235"/>
      <c r="N1666" s="239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L1666" s="6"/>
      <c r="AM1666" s="6"/>
      <c r="AN1666" s="6"/>
      <c r="AO1666" s="6"/>
      <c r="AP1666" s="6"/>
      <c r="AQ1666" s="6"/>
      <c r="AR1666" s="6"/>
      <c r="AS1666" s="6"/>
    </row>
    <row r="1667" spans="1:45" ht="16.5" customHeight="1">
      <c r="A1667" s="235"/>
      <c r="B1667" s="235"/>
      <c r="C1667" s="235"/>
      <c r="D1667" s="235"/>
      <c r="E1667" s="235"/>
      <c r="F1667" s="236"/>
      <c r="G1667" s="237"/>
      <c r="H1667" s="237"/>
      <c r="I1667" s="238"/>
      <c r="J1667" s="235"/>
      <c r="K1667" s="235"/>
      <c r="L1667" s="235"/>
      <c r="M1667" s="235"/>
      <c r="N1667" s="239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  <c r="AL1667" s="6"/>
      <c r="AM1667" s="6"/>
      <c r="AN1667" s="6"/>
      <c r="AO1667" s="6"/>
      <c r="AP1667" s="6"/>
      <c r="AQ1667" s="6"/>
      <c r="AR1667" s="6"/>
      <c r="AS1667" s="6"/>
    </row>
    <row r="1668" spans="1:45" ht="16.5" customHeight="1">
      <c r="A1668" s="235"/>
      <c r="B1668" s="235"/>
      <c r="C1668" s="235"/>
      <c r="D1668" s="235"/>
      <c r="E1668" s="235"/>
      <c r="F1668" s="236"/>
      <c r="G1668" s="237"/>
      <c r="H1668" s="237"/>
      <c r="I1668" s="238"/>
      <c r="J1668" s="235"/>
      <c r="K1668" s="235"/>
      <c r="L1668" s="235"/>
      <c r="M1668" s="235"/>
      <c r="N1668" s="239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  <c r="AL1668" s="6"/>
      <c r="AM1668" s="6"/>
      <c r="AN1668" s="6"/>
      <c r="AO1668" s="6"/>
      <c r="AP1668" s="6"/>
      <c r="AQ1668" s="6"/>
      <c r="AR1668" s="6"/>
      <c r="AS1668" s="6"/>
    </row>
    <row r="1669" spans="1:45" ht="16.5" customHeight="1">
      <c r="A1669" s="235"/>
      <c r="B1669" s="235"/>
      <c r="C1669" s="235"/>
      <c r="D1669" s="235"/>
      <c r="E1669" s="235"/>
      <c r="F1669" s="236"/>
      <c r="G1669" s="237"/>
      <c r="H1669" s="237"/>
      <c r="I1669" s="238"/>
      <c r="J1669" s="235"/>
      <c r="K1669" s="235"/>
      <c r="L1669" s="235"/>
      <c r="M1669" s="235"/>
      <c r="N1669" s="239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  <c r="AL1669" s="6"/>
      <c r="AM1669" s="6"/>
      <c r="AN1669" s="6"/>
      <c r="AO1669" s="6"/>
      <c r="AP1669" s="6"/>
      <c r="AQ1669" s="6"/>
      <c r="AR1669" s="6"/>
      <c r="AS1669" s="6"/>
    </row>
    <row r="1670" spans="1:45" ht="16.5" customHeight="1">
      <c r="A1670" s="235"/>
      <c r="B1670" s="235"/>
      <c r="C1670" s="235"/>
      <c r="D1670" s="235"/>
      <c r="E1670" s="235"/>
      <c r="F1670" s="236"/>
      <c r="G1670" s="237"/>
      <c r="H1670" s="237"/>
      <c r="I1670" s="238"/>
      <c r="J1670" s="235"/>
      <c r="K1670" s="235"/>
      <c r="L1670" s="235"/>
      <c r="M1670" s="235"/>
      <c r="N1670" s="239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  <c r="AD1670" s="6"/>
      <c r="AE1670" s="6"/>
      <c r="AF1670" s="6"/>
      <c r="AG1670" s="6"/>
      <c r="AH1670" s="6"/>
      <c r="AI1670" s="6"/>
      <c r="AJ1670" s="6"/>
      <c r="AK1670" s="6"/>
      <c r="AL1670" s="6"/>
      <c r="AM1670" s="6"/>
      <c r="AN1670" s="6"/>
      <c r="AO1670" s="6"/>
      <c r="AP1670" s="6"/>
      <c r="AQ1670" s="6"/>
      <c r="AR1670" s="6"/>
      <c r="AS1670" s="6"/>
    </row>
    <row r="1671" spans="1:45" ht="16.5" customHeight="1">
      <c r="A1671" s="235"/>
      <c r="B1671" s="235"/>
      <c r="C1671" s="235"/>
      <c r="D1671" s="235"/>
      <c r="E1671" s="235"/>
      <c r="F1671" s="236"/>
      <c r="G1671" s="237"/>
      <c r="H1671" s="237"/>
      <c r="I1671" s="238"/>
      <c r="J1671" s="235"/>
      <c r="K1671" s="235"/>
      <c r="L1671" s="235"/>
      <c r="M1671" s="235"/>
      <c r="N1671" s="239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6"/>
      <c r="AM1671" s="6"/>
      <c r="AN1671" s="6"/>
      <c r="AO1671" s="6"/>
      <c r="AP1671" s="6"/>
      <c r="AQ1671" s="6"/>
      <c r="AR1671" s="6"/>
      <c r="AS1671" s="6"/>
    </row>
    <row r="1672" spans="1:45" ht="16.5" customHeight="1">
      <c r="A1672" s="235"/>
      <c r="B1672" s="235"/>
      <c r="C1672" s="235"/>
      <c r="D1672" s="235"/>
      <c r="E1672" s="235"/>
      <c r="F1672" s="236"/>
      <c r="G1672" s="237"/>
      <c r="H1672" s="237"/>
      <c r="I1672" s="238"/>
      <c r="J1672" s="235"/>
      <c r="K1672" s="235"/>
      <c r="L1672" s="235"/>
      <c r="M1672" s="235"/>
      <c r="N1672" s="239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  <c r="AC1672" s="6"/>
      <c r="AD1672" s="6"/>
      <c r="AE1672" s="6"/>
      <c r="AF1672" s="6"/>
      <c r="AG1672" s="6"/>
      <c r="AH1672" s="6"/>
      <c r="AI1672" s="6"/>
      <c r="AJ1672" s="6"/>
      <c r="AK1672" s="6"/>
      <c r="AL1672" s="6"/>
      <c r="AM1672" s="6"/>
      <c r="AN1672" s="6"/>
      <c r="AO1672" s="6"/>
      <c r="AP1672" s="6"/>
      <c r="AQ1672" s="6"/>
      <c r="AR1672" s="6"/>
      <c r="AS1672" s="6"/>
    </row>
    <row r="1673" spans="1:45" ht="16.5" customHeight="1">
      <c r="A1673" s="235"/>
      <c r="B1673" s="235"/>
      <c r="C1673" s="235"/>
      <c r="D1673" s="235"/>
      <c r="E1673" s="235"/>
      <c r="F1673" s="236"/>
      <c r="G1673" s="237"/>
      <c r="H1673" s="237"/>
      <c r="I1673" s="238"/>
      <c r="J1673" s="235"/>
      <c r="K1673" s="235"/>
      <c r="L1673" s="235"/>
      <c r="M1673" s="235"/>
      <c r="N1673" s="239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  <c r="AR1673" s="6"/>
      <c r="AS1673" s="6"/>
    </row>
    <row r="1674" spans="1:45" ht="16.5" customHeight="1">
      <c r="A1674" s="235"/>
      <c r="B1674" s="235"/>
      <c r="C1674" s="235"/>
      <c r="D1674" s="235"/>
      <c r="E1674" s="235"/>
      <c r="F1674" s="236"/>
      <c r="G1674" s="237"/>
      <c r="H1674" s="237"/>
      <c r="I1674" s="238"/>
      <c r="J1674" s="235"/>
      <c r="K1674" s="235"/>
      <c r="L1674" s="235"/>
      <c r="M1674" s="235"/>
      <c r="N1674" s="239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/>
      <c r="AS1674" s="6"/>
    </row>
    <row r="1675" spans="1:45" ht="16.5" customHeight="1">
      <c r="A1675" s="235"/>
      <c r="B1675" s="235"/>
      <c r="C1675" s="235"/>
      <c r="D1675" s="235"/>
      <c r="E1675" s="235"/>
      <c r="F1675" s="236"/>
      <c r="G1675" s="237"/>
      <c r="H1675" s="237"/>
      <c r="I1675" s="238"/>
      <c r="J1675" s="235"/>
      <c r="K1675" s="235"/>
      <c r="L1675" s="235"/>
      <c r="M1675" s="235"/>
      <c r="N1675" s="239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  <c r="AC1675" s="6"/>
      <c r="AD1675" s="6"/>
      <c r="AE1675" s="6"/>
      <c r="AF1675" s="6"/>
      <c r="AG1675" s="6"/>
      <c r="AH1675" s="6"/>
      <c r="AI1675" s="6"/>
      <c r="AJ1675" s="6"/>
      <c r="AK1675" s="6"/>
      <c r="AL1675" s="6"/>
      <c r="AM1675" s="6"/>
      <c r="AN1675" s="6"/>
      <c r="AO1675" s="6"/>
      <c r="AP1675" s="6"/>
      <c r="AQ1675" s="6"/>
      <c r="AR1675" s="6"/>
      <c r="AS1675" s="6"/>
    </row>
    <row r="1676" spans="1:45" ht="16.5" customHeight="1">
      <c r="A1676" s="235"/>
      <c r="B1676" s="235"/>
      <c r="C1676" s="235"/>
      <c r="D1676" s="235"/>
      <c r="E1676" s="235"/>
      <c r="F1676" s="236"/>
      <c r="G1676" s="237"/>
      <c r="H1676" s="237"/>
      <c r="I1676" s="238"/>
      <c r="J1676" s="235"/>
      <c r="K1676" s="235"/>
      <c r="L1676" s="235"/>
      <c r="M1676" s="235"/>
      <c r="N1676" s="239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  <c r="AC1676" s="6"/>
      <c r="AD1676" s="6"/>
      <c r="AE1676" s="6"/>
      <c r="AF1676" s="6"/>
      <c r="AG1676" s="6"/>
      <c r="AH1676" s="6"/>
      <c r="AI1676" s="6"/>
      <c r="AJ1676" s="6"/>
      <c r="AK1676" s="6"/>
      <c r="AL1676" s="6"/>
      <c r="AM1676" s="6"/>
      <c r="AN1676" s="6"/>
      <c r="AO1676" s="6"/>
      <c r="AP1676" s="6"/>
      <c r="AQ1676" s="6"/>
      <c r="AR1676" s="6"/>
      <c r="AS1676" s="6"/>
    </row>
    <row r="1677" spans="1:45" ht="16.5" customHeight="1">
      <c r="A1677" s="235"/>
      <c r="B1677" s="235"/>
      <c r="C1677" s="235"/>
      <c r="D1677" s="235"/>
      <c r="E1677" s="235"/>
      <c r="F1677" s="236"/>
      <c r="G1677" s="237"/>
      <c r="H1677" s="237"/>
      <c r="I1677" s="238"/>
      <c r="J1677" s="235"/>
      <c r="K1677" s="235"/>
      <c r="L1677" s="235"/>
      <c r="M1677" s="235"/>
      <c r="N1677" s="239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  <c r="AL1677" s="6"/>
      <c r="AM1677" s="6"/>
      <c r="AN1677" s="6"/>
      <c r="AO1677" s="6"/>
      <c r="AP1677" s="6"/>
      <c r="AQ1677" s="6"/>
      <c r="AR1677" s="6"/>
      <c r="AS1677" s="6"/>
    </row>
    <row r="1678" spans="1:45" ht="16.5" customHeight="1">
      <c r="A1678" s="235"/>
      <c r="B1678" s="235"/>
      <c r="C1678" s="235"/>
      <c r="D1678" s="235"/>
      <c r="E1678" s="235"/>
      <c r="F1678" s="236"/>
      <c r="G1678" s="237"/>
      <c r="H1678" s="237"/>
      <c r="I1678" s="238"/>
      <c r="J1678" s="235"/>
      <c r="K1678" s="235"/>
      <c r="L1678" s="235"/>
      <c r="M1678" s="235"/>
      <c r="N1678" s="239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  <c r="AC1678" s="6"/>
      <c r="AD1678" s="6"/>
      <c r="AE1678" s="6"/>
      <c r="AF1678" s="6"/>
      <c r="AG1678" s="6"/>
      <c r="AH1678" s="6"/>
      <c r="AI1678" s="6"/>
      <c r="AJ1678" s="6"/>
      <c r="AK1678" s="6"/>
      <c r="AL1678" s="6"/>
      <c r="AM1678" s="6"/>
      <c r="AN1678" s="6"/>
      <c r="AO1678" s="6"/>
      <c r="AP1678" s="6"/>
      <c r="AQ1678" s="6"/>
      <c r="AR1678" s="6"/>
      <c r="AS1678" s="6"/>
    </row>
    <row r="1679" spans="1:45" ht="16.5" customHeight="1">
      <c r="A1679" s="235"/>
      <c r="B1679" s="235"/>
      <c r="C1679" s="235"/>
      <c r="D1679" s="235"/>
      <c r="E1679" s="235"/>
      <c r="F1679" s="236"/>
      <c r="G1679" s="237"/>
      <c r="H1679" s="237"/>
      <c r="I1679" s="238"/>
      <c r="J1679" s="235"/>
      <c r="K1679" s="235"/>
      <c r="L1679" s="235"/>
      <c r="M1679" s="235"/>
      <c r="N1679" s="239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  <c r="AD1679" s="6"/>
      <c r="AE1679" s="6"/>
      <c r="AF1679" s="6"/>
      <c r="AG1679" s="6"/>
      <c r="AH1679" s="6"/>
      <c r="AI1679" s="6"/>
      <c r="AJ1679" s="6"/>
      <c r="AK1679" s="6"/>
      <c r="AL1679" s="6"/>
      <c r="AM1679" s="6"/>
      <c r="AN1679" s="6"/>
      <c r="AO1679" s="6"/>
      <c r="AP1679" s="6"/>
      <c r="AQ1679" s="6"/>
      <c r="AR1679" s="6"/>
      <c r="AS1679" s="6"/>
    </row>
    <row r="1680" spans="1:45" ht="16.5" customHeight="1">
      <c r="A1680" s="235"/>
      <c r="B1680" s="235"/>
      <c r="C1680" s="235"/>
      <c r="D1680" s="235"/>
      <c r="E1680" s="235"/>
      <c r="F1680" s="236"/>
      <c r="G1680" s="237"/>
      <c r="H1680" s="237"/>
      <c r="I1680" s="238"/>
      <c r="J1680" s="235"/>
      <c r="K1680" s="235"/>
      <c r="L1680" s="235"/>
      <c r="M1680" s="235"/>
      <c r="N1680" s="239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  <c r="AC1680" s="6"/>
      <c r="AD1680" s="6"/>
      <c r="AE1680" s="6"/>
      <c r="AF1680" s="6"/>
      <c r="AG1680" s="6"/>
      <c r="AH1680" s="6"/>
      <c r="AI1680" s="6"/>
      <c r="AJ1680" s="6"/>
      <c r="AK1680" s="6"/>
      <c r="AL1680" s="6"/>
      <c r="AM1680" s="6"/>
      <c r="AN1680" s="6"/>
      <c r="AO1680" s="6"/>
      <c r="AP1680" s="6"/>
      <c r="AQ1680" s="6"/>
      <c r="AR1680" s="6"/>
      <c r="AS1680" s="6"/>
    </row>
    <row r="1681" spans="1:45" ht="16.5" customHeight="1">
      <c r="A1681" s="235"/>
      <c r="B1681" s="235"/>
      <c r="C1681" s="235"/>
      <c r="D1681" s="235"/>
      <c r="E1681" s="235"/>
      <c r="F1681" s="236"/>
      <c r="G1681" s="237"/>
      <c r="H1681" s="237"/>
      <c r="I1681" s="238"/>
      <c r="J1681" s="235"/>
      <c r="K1681" s="235"/>
      <c r="L1681" s="235"/>
      <c r="M1681" s="235"/>
      <c r="N1681" s="239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  <c r="AB1681" s="6"/>
      <c r="AC1681" s="6"/>
      <c r="AD1681" s="6"/>
      <c r="AE1681" s="6"/>
      <c r="AF1681" s="6"/>
      <c r="AG1681" s="6"/>
      <c r="AH1681" s="6"/>
      <c r="AI1681" s="6"/>
      <c r="AJ1681" s="6"/>
      <c r="AK1681" s="6"/>
      <c r="AL1681" s="6"/>
      <c r="AM1681" s="6"/>
      <c r="AN1681" s="6"/>
      <c r="AO1681" s="6"/>
      <c r="AP1681" s="6"/>
      <c r="AQ1681" s="6"/>
      <c r="AR1681" s="6"/>
      <c r="AS1681" s="6"/>
    </row>
    <row r="1682" spans="1:45" ht="16.5" customHeight="1">
      <c r="A1682" s="235"/>
      <c r="B1682" s="235"/>
      <c r="C1682" s="235"/>
      <c r="D1682" s="235"/>
      <c r="E1682" s="235"/>
      <c r="F1682" s="236"/>
      <c r="G1682" s="237"/>
      <c r="H1682" s="237"/>
      <c r="I1682" s="238"/>
      <c r="J1682" s="235"/>
      <c r="K1682" s="235"/>
      <c r="L1682" s="235"/>
      <c r="M1682" s="235"/>
      <c r="N1682" s="239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  <c r="AL1682" s="6"/>
      <c r="AM1682" s="6"/>
      <c r="AN1682" s="6"/>
      <c r="AO1682" s="6"/>
      <c r="AP1682" s="6"/>
      <c r="AQ1682" s="6"/>
      <c r="AR1682" s="6"/>
      <c r="AS1682" s="6"/>
    </row>
    <row r="1683" spans="1:45" ht="16.5" customHeight="1">
      <c r="A1683" s="235"/>
      <c r="B1683" s="235"/>
      <c r="C1683" s="235"/>
      <c r="D1683" s="235"/>
      <c r="E1683" s="235"/>
      <c r="F1683" s="236"/>
      <c r="G1683" s="237"/>
      <c r="H1683" s="237"/>
      <c r="I1683" s="238"/>
      <c r="J1683" s="235"/>
      <c r="K1683" s="235"/>
      <c r="L1683" s="235"/>
      <c r="M1683" s="235"/>
      <c r="N1683" s="239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  <c r="AR1683" s="6"/>
      <c r="AS1683" s="6"/>
    </row>
    <row r="1684" spans="1:45" ht="16.5" customHeight="1">
      <c r="A1684" s="235"/>
      <c r="B1684" s="235"/>
      <c r="C1684" s="235"/>
      <c r="D1684" s="235"/>
      <c r="E1684" s="235"/>
      <c r="F1684" s="236"/>
      <c r="G1684" s="237"/>
      <c r="H1684" s="237"/>
      <c r="I1684" s="238"/>
      <c r="J1684" s="235"/>
      <c r="K1684" s="235"/>
      <c r="L1684" s="235"/>
      <c r="M1684" s="235"/>
      <c r="N1684" s="239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6"/>
      <c r="AM1684" s="6"/>
      <c r="AN1684" s="6"/>
      <c r="AO1684" s="6"/>
      <c r="AP1684" s="6"/>
      <c r="AQ1684" s="6"/>
      <c r="AR1684" s="6"/>
      <c r="AS1684" s="6"/>
    </row>
    <row r="1685" spans="1:45" ht="16.5" customHeight="1">
      <c r="A1685" s="235"/>
      <c r="B1685" s="235"/>
      <c r="C1685" s="235"/>
      <c r="D1685" s="235"/>
      <c r="E1685" s="235"/>
      <c r="F1685" s="236"/>
      <c r="G1685" s="237"/>
      <c r="H1685" s="237"/>
      <c r="I1685" s="238"/>
      <c r="J1685" s="235"/>
      <c r="K1685" s="235"/>
      <c r="L1685" s="235"/>
      <c r="M1685" s="235"/>
      <c r="N1685" s="239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  <c r="AD1685" s="6"/>
      <c r="AE1685" s="6"/>
      <c r="AF1685" s="6"/>
      <c r="AG1685" s="6"/>
      <c r="AH1685" s="6"/>
      <c r="AI1685" s="6"/>
      <c r="AJ1685" s="6"/>
      <c r="AK1685" s="6"/>
      <c r="AL1685" s="6"/>
      <c r="AM1685" s="6"/>
      <c r="AN1685" s="6"/>
      <c r="AO1685" s="6"/>
      <c r="AP1685" s="6"/>
      <c r="AQ1685" s="6"/>
      <c r="AR1685" s="6"/>
      <c r="AS1685" s="6"/>
    </row>
    <row r="1686" spans="1:45" ht="16.5" customHeight="1">
      <c r="A1686" s="235"/>
      <c r="B1686" s="235"/>
      <c r="C1686" s="235"/>
      <c r="D1686" s="235"/>
      <c r="E1686" s="235"/>
      <c r="F1686" s="236"/>
      <c r="G1686" s="237"/>
      <c r="H1686" s="237"/>
      <c r="I1686" s="238"/>
      <c r="J1686" s="235"/>
      <c r="K1686" s="235"/>
      <c r="L1686" s="235"/>
      <c r="M1686" s="235"/>
      <c r="N1686" s="239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  <c r="AL1686" s="6"/>
      <c r="AM1686" s="6"/>
      <c r="AN1686" s="6"/>
      <c r="AO1686" s="6"/>
      <c r="AP1686" s="6"/>
      <c r="AQ1686" s="6"/>
      <c r="AR1686" s="6"/>
      <c r="AS1686" s="6"/>
    </row>
    <row r="1687" spans="1:45" ht="16.5" customHeight="1">
      <c r="A1687" s="235"/>
      <c r="B1687" s="235"/>
      <c r="C1687" s="235"/>
      <c r="D1687" s="235"/>
      <c r="E1687" s="235"/>
      <c r="F1687" s="236"/>
      <c r="G1687" s="237"/>
      <c r="H1687" s="237"/>
      <c r="I1687" s="238"/>
      <c r="J1687" s="235"/>
      <c r="K1687" s="235"/>
      <c r="L1687" s="235"/>
      <c r="M1687" s="235"/>
      <c r="N1687" s="239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  <c r="AB1687" s="6"/>
      <c r="AC1687" s="6"/>
      <c r="AD1687" s="6"/>
      <c r="AE1687" s="6"/>
      <c r="AF1687" s="6"/>
      <c r="AG1687" s="6"/>
      <c r="AH1687" s="6"/>
      <c r="AI1687" s="6"/>
      <c r="AJ1687" s="6"/>
      <c r="AK1687" s="6"/>
      <c r="AL1687" s="6"/>
      <c r="AM1687" s="6"/>
      <c r="AN1687" s="6"/>
      <c r="AO1687" s="6"/>
      <c r="AP1687" s="6"/>
      <c r="AQ1687" s="6"/>
      <c r="AR1687" s="6"/>
      <c r="AS1687" s="6"/>
    </row>
    <row r="1688" spans="1:45" ht="16.5" customHeight="1">
      <c r="A1688" s="235"/>
      <c r="B1688" s="235"/>
      <c r="C1688" s="235"/>
      <c r="D1688" s="235"/>
      <c r="E1688" s="235"/>
      <c r="F1688" s="236"/>
      <c r="G1688" s="237"/>
      <c r="H1688" s="237"/>
      <c r="I1688" s="238"/>
      <c r="J1688" s="235"/>
      <c r="K1688" s="235"/>
      <c r="L1688" s="235"/>
      <c r="M1688" s="235"/>
      <c r="N1688" s="239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  <c r="AL1688" s="6"/>
      <c r="AM1688" s="6"/>
      <c r="AN1688" s="6"/>
      <c r="AO1688" s="6"/>
      <c r="AP1688" s="6"/>
      <c r="AQ1688" s="6"/>
      <c r="AR1688" s="6"/>
      <c r="AS1688" s="6"/>
    </row>
    <row r="1689" spans="1:45" ht="16.5" customHeight="1">
      <c r="A1689" s="235"/>
      <c r="B1689" s="235"/>
      <c r="C1689" s="235"/>
      <c r="D1689" s="235"/>
      <c r="E1689" s="235"/>
      <c r="F1689" s="236"/>
      <c r="G1689" s="237"/>
      <c r="H1689" s="237"/>
      <c r="I1689" s="238"/>
      <c r="J1689" s="235"/>
      <c r="K1689" s="235"/>
      <c r="L1689" s="235"/>
      <c r="M1689" s="235"/>
      <c r="N1689" s="239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  <c r="AC1689" s="6"/>
      <c r="AD1689" s="6"/>
      <c r="AE1689" s="6"/>
      <c r="AF1689" s="6"/>
      <c r="AG1689" s="6"/>
      <c r="AH1689" s="6"/>
      <c r="AI1689" s="6"/>
      <c r="AJ1689" s="6"/>
      <c r="AK1689" s="6"/>
      <c r="AL1689" s="6"/>
      <c r="AM1689" s="6"/>
      <c r="AN1689" s="6"/>
      <c r="AO1689" s="6"/>
      <c r="AP1689" s="6"/>
      <c r="AQ1689" s="6"/>
      <c r="AR1689" s="6"/>
      <c r="AS1689" s="6"/>
    </row>
    <row r="1690" spans="1:45" ht="16.5" customHeight="1">
      <c r="A1690" s="235"/>
      <c r="B1690" s="235"/>
      <c r="C1690" s="235"/>
      <c r="D1690" s="235"/>
      <c r="E1690" s="235"/>
      <c r="F1690" s="236"/>
      <c r="G1690" s="237"/>
      <c r="H1690" s="237"/>
      <c r="I1690" s="238"/>
      <c r="J1690" s="235"/>
      <c r="K1690" s="235"/>
      <c r="L1690" s="235"/>
      <c r="M1690" s="235"/>
      <c r="N1690" s="239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  <c r="AR1690" s="6"/>
      <c r="AS1690" s="6"/>
    </row>
    <row r="1691" spans="1:45" ht="16.5" customHeight="1">
      <c r="A1691" s="235"/>
      <c r="B1691" s="235"/>
      <c r="C1691" s="235"/>
      <c r="D1691" s="235"/>
      <c r="E1691" s="235"/>
      <c r="F1691" s="236"/>
      <c r="G1691" s="237"/>
      <c r="H1691" s="237"/>
      <c r="I1691" s="238"/>
      <c r="J1691" s="235"/>
      <c r="K1691" s="235"/>
      <c r="L1691" s="235"/>
      <c r="M1691" s="235"/>
      <c r="N1691" s="239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  <c r="AD1691" s="6"/>
      <c r="AE1691" s="6"/>
      <c r="AF1691" s="6"/>
      <c r="AG1691" s="6"/>
      <c r="AH1691" s="6"/>
      <c r="AI1691" s="6"/>
      <c r="AJ1691" s="6"/>
      <c r="AK1691" s="6"/>
      <c r="AL1691" s="6"/>
      <c r="AM1691" s="6"/>
      <c r="AN1691" s="6"/>
      <c r="AO1691" s="6"/>
      <c r="AP1691" s="6"/>
      <c r="AQ1691" s="6"/>
      <c r="AR1691" s="6"/>
      <c r="AS1691" s="6"/>
    </row>
    <row r="1692" spans="1:45" ht="16.5" customHeight="1">
      <c r="A1692" s="235"/>
      <c r="B1692" s="235"/>
      <c r="C1692" s="235"/>
      <c r="D1692" s="235"/>
      <c r="E1692" s="235"/>
      <c r="F1692" s="236"/>
      <c r="G1692" s="237"/>
      <c r="H1692" s="237"/>
      <c r="I1692" s="238"/>
      <c r="J1692" s="235"/>
      <c r="K1692" s="235"/>
      <c r="L1692" s="235"/>
      <c r="M1692" s="235"/>
      <c r="N1692" s="239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  <c r="AL1692" s="6"/>
      <c r="AM1692" s="6"/>
      <c r="AN1692" s="6"/>
      <c r="AO1692" s="6"/>
      <c r="AP1692" s="6"/>
      <c r="AQ1692" s="6"/>
      <c r="AR1692" s="6"/>
      <c r="AS1692" s="6"/>
    </row>
    <row r="1693" spans="1:45" ht="16.5" customHeight="1">
      <c r="A1693" s="235"/>
      <c r="B1693" s="235"/>
      <c r="C1693" s="235"/>
      <c r="D1693" s="235"/>
      <c r="E1693" s="235"/>
      <c r="F1693" s="236"/>
      <c r="G1693" s="237"/>
      <c r="H1693" s="237"/>
      <c r="I1693" s="238"/>
      <c r="J1693" s="235"/>
      <c r="K1693" s="235"/>
      <c r="L1693" s="235"/>
      <c r="M1693" s="235"/>
      <c r="N1693" s="239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  <c r="AL1693" s="6"/>
      <c r="AM1693" s="6"/>
      <c r="AN1693" s="6"/>
      <c r="AO1693" s="6"/>
      <c r="AP1693" s="6"/>
      <c r="AQ1693" s="6"/>
      <c r="AR1693" s="6"/>
      <c r="AS1693" s="6"/>
    </row>
    <row r="1694" spans="1:45" ht="16.5" customHeight="1">
      <c r="A1694" s="235"/>
      <c r="B1694" s="235"/>
      <c r="C1694" s="235"/>
      <c r="D1694" s="235"/>
      <c r="E1694" s="235"/>
      <c r="F1694" s="236"/>
      <c r="G1694" s="237"/>
      <c r="H1694" s="237"/>
      <c r="I1694" s="238"/>
      <c r="J1694" s="235"/>
      <c r="K1694" s="235"/>
      <c r="L1694" s="235"/>
      <c r="M1694" s="235"/>
      <c r="N1694" s="239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  <c r="AB1694" s="6"/>
      <c r="AC1694" s="6"/>
      <c r="AD1694" s="6"/>
      <c r="AE1694" s="6"/>
      <c r="AF1694" s="6"/>
      <c r="AG1694" s="6"/>
      <c r="AH1694" s="6"/>
      <c r="AI1694" s="6"/>
      <c r="AJ1694" s="6"/>
      <c r="AK1694" s="6"/>
      <c r="AL1694" s="6"/>
      <c r="AM1694" s="6"/>
      <c r="AN1694" s="6"/>
      <c r="AO1694" s="6"/>
      <c r="AP1694" s="6"/>
      <c r="AQ1694" s="6"/>
      <c r="AR1694" s="6"/>
      <c r="AS1694" s="6"/>
    </row>
    <row r="1695" spans="1:45" ht="16.5" customHeight="1">
      <c r="A1695" s="235"/>
      <c r="B1695" s="235"/>
      <c r="C1695" s="235"/>
      <c r="D1695" s="235"/>
      <c r="E1695" s="235"/>
      <c r="F1695" s="236"/>
      <c r="G1695" s="237"/>
      <c r="H1695" s="237"/>
      <c r="I1695" s="238"/>
      <c r="J1695" s="235"/>
      <c r="K1695" s="235"/>
      <c r="L1695" s="235"/>
      <c r="M1695" s="235"/>
      <c r="N1695" s="239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  <c r="AC1695" s="6"/>
      <c r="AD1695" s="6"/>
      <c r="AE1695" s="6"/>
      <c r="AF1695" s="6"/>
      <c r="AG1695" s="6"/>
      <c r="AH1695" s="6"/>
      <c r="AI1695" s="6"/>
      <c r="AJ1695" s="6"/>
      <c r="AK1695" s="6"/>
      <c r="AL1695" s="6"/>
      <c r="AM1695" s="6"/>
      <c r="AN1695" s="6"/>
      <c r="AO1695" s="6"/>
      <c r="AP1695" s="6"/>
      <c r="AQ1695" s="6"/>
      <c r="AR1695" s="6"/>
      <c r="AS1695" s="6"/>
    </row>
    <row r="1696" spans="1:45" ht="16.5" customHeight="1">
      <c r="A1696" s="235"/>
      <c r="B1696" s="235"/>
      <c r="C1696" s="235"/>
      <c r="D1696" s="235"/>
      <c r="E1696" s="235"/>
      <c r="F1696" s="236"/>
      <c r="G1696" s="237"/>
      <c r="H1696" s="237"/>
      <c r="I1696" s="238"/>
      <c r="J1696" s="235"/>
      <c r="K1696" s="235"/>
      <c r="L1696" s="235"/>
      <c r="M1696" s="235"/>
      <c r="N1696" s="239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6"/>
      <c r="AM1696" s="6"/>
      <c r="AN1696" s="6"/>
      <c r="AO1696" s="6"/>
      <c r="AP1696" s="6"/>
      <c r="AQ1696" s="6"/>
      <c r="AR1696" s="6"/>
      <c r="AS1696" s="6"/>
    </row>
    <row r="1697" spans="1:45" ht="16.5" customHeight="1">
      <c r="A1697" s="235"/>
      <c r="B1697" s="235"/>
      <c r="C1697" s="235"/>
      <c r="D1697" s="235"/>
      <c r="E1697" s="235"/>
      <c r="F1697" s="236"/>
      <c r="G1697" s="237"/>
      <c r="H1697" s="237"/>
      <c r="I1697" s="238"/>
      <c r="J1697" s="235"/>
      <c r="K1697" s="235"/>
      <c r="L1697" s="235"/>
      <c r="M1697" s="235"/>
      <c r="N1697" s="239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/>
      <c r="AM1697" s="6"/>
      <c r="AN1697" s="6"/>
      <c r="AO1697" s="6"/>
      <c r="AP1697" s="6"/>
      <c r="AQ1697" s="6"/>
      <c r="AR1697" s="6"/>
      <c r="AS1697" s="6"/>
    </row>
    <row r="1698" spans="1:45" ht="16.5" customHeight="1">
      <c r="A1698" s="235"/>
      <c r="B1698" s="235"/>
      <c r="C1698" s="235"/>
      <c r="D1698" s="235"/>
      <c r="E1698" s="235"/>
      <c r="F1698" s="236"/>
      <c r="G1698" s="237"/>
      <c r="H1698" s="237"/>
      <c r="I1698" s="238"/>
      <c r="J1698" s="235"/>
      <c r="K1698" s="235"/>
      <c r="L1698" s="235"/>
      <c r="M1698" s="235"/>
      <c r="N1698" s="239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6"/>
      <c r="AM1698" s="6"/>
      <c r="AN1698" s="6"/>
      <c r="AO1698" s="6"/>
      <c r="AP1698" s="6"/>
      <c r="AQ1698" s="6"/>
      <c r="AR1698" s="6"/>
      <c r="AS1698" s="6"/>
    </row>
    <row r="1699" spans="1:45" ht="16.5" customHeight="1">
      <c r="A1699" s="235"/>
      <c r="B1699" s="235"/>
      <c r="C1699" s="235"/>
      <c r="D1699" s="235"/>
      <c r="E1699" s="235"/>
      <c r="F1699" s="236"/>
      <c r="G1699" s="237"/>
      <c r="H1699" s="237"/>
      <c r="I1699" s="238"/>
      <c r="J1699" s="235"/>
      <c r="K1699" s="235"/>
      <c r="L1699" s="235"/>
      <c r="M1699" s="235"/>
      <c r="N1699" s="239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  <c r="AD1699" s="6"/>
      <c r="AE1699" s="6"/>
      <c r="AF1699" s="6"/>
      <c r="AG1699" s="6"/>
      <c r="AH1699" s="6"/>
      <c r="AI1699" s="6"/>
      <c r="AJ1699" s="6"/>
      <c r="AK1699" s="6"/>
      <c r="AL1699" s="6"/>
      <c r="AM1699" s="6"/>
      <c r="AN1699" s="6"/>
      <c r="AO1699" s="6"/>
      <c r="AP1699" s="6"/>
      <c r="AQ1699" s="6"/>
      <c r="AR1699" s="6"/>
      <c r="AS1699" s="6"/>
    </row>
    <row r="1700" spans="1:45" ht="16.5" customHeight="1">
      <c r="A1700" s="235"/>
      <c r="B1700" s="235"/>
      <c r="C1700" s="235"/>
      <c r="D1700" s="235"/>
      <c r="E1700" s="235"/>
      <c r="F1700" s="236"/>
      <c r="G1700" s="237"/>
      <c r="H1700" s="237"/>
      <c r="I1700" s="238"/>
      <c r="J1700" s="235"/>
      <c r="K1700" s="235"/>
      <c r="L1700" s="235"/>
      <c r="M1700" s="235"/>
      <c r="N1700" s="239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  <c r="AD1700" s="6"/>
      <c r="AE1700" s="6"/>
      <c r="AF1700" s="6"/>
      <c r="AG1700" s="6"/>
      <c r="AH1700" s="6"/>
      <c r="AI1700" s="6"/>
      <c r="AJ1700" s="6"/>
      <c r="AK1700" s="6"/>
      <c r="AL1700" s="6"/>
      <c r="AM1700" s="6"/>
      <c r="AN1700" s="6"/>
      <c r="AO1700" s="6"/>
      <c r="AP1700" s="6"/>
      <c r="AQ1700" s="6"/>
      <c r="AR1700" s="6"/>
      <c r="AS1700" s="6"/>
    </row>
    <row r="1701" spans="1:45" ht="16.5" customHeight="1">
      <c r="A1701" s="235"/>
      <c r="B1701" s="235"/>
      <c r="C1701" s="235"/>
      <c r="D1701" s="235"/>
      <c r="E1701" s="235"/>
      <c r="F1701" s="236"/>
      <c r="G1701" s="237"/>
      <c r="H1701" s="237"/>
      <c r="I1701" s="238"/>
      <c r="J1701" s="235"/>
      <c r="K1701" s="235"/>
      <c r="L1701" s="235"/>
      <c r="M1701" s="235"/>
      <c r="N1701" s="239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  <c r="AL1701" s="6"/>
      <c r="AM1701" s="6"/>
      <c r="AN1701" s="6"/>
      <c r="AO1701" s="6"/>
      <c r="AP1701" s="6"/>
      <c r="AQ1701" s="6"/>
      <c r="AR1701" s="6"/>
      <c r="AS1701" s="6"/>
    </row>
    <row r="1702" spans="1:45" ht="16.5" customHeight="1">
      <c r="A1702" s="235"/>
      <c r="B1702" s="235"/>
      <c r="C1702" s="235"/>
      <c r="D1702" s="235"/>
      <c r="E1702" s="235"/>
      <c r="F1702" s="236"/>
      <c r="G1702" s="237"/>
      <c r="H1702" s="237"/>
      <c r="I1702" s="238"/>
      <c r="J1702" s="235"/>
      <c r="K1702" s="235"/>
      <c r="L1702" s="235"/>
      <c r="M1702" s="235"/>
      <c r="N1702" s="239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6"/>
      <c r="AM1702" s="6"/>
      <c r="AN1702" s="6"/>
      <c r="AO1702" s="6"/>
      <c r="AP1702" s="6"/>
      <c r="AQ1702" s="6"/>
      <c r="AR1702" s="6"/>
      <c r="AS1702" s="6"/>
    </row>
    <row r="1703" spans="1:45" ht="16.5" customHeight="1">
      <c r="A1703" s="235"/>
      <c r="B1703" s="235"/>
      <c r="C1703" s="235"/>
      <c r="D1703" s="235"/>
      <c r="E1703" s="235"/>
      <c r="F1703" s="236"/>
      <c r="G1703" s="237"/>
      <c r="H1703" s="237"/>
      <c r="I1703" s="238"/>
      <c r="J1703" s="235"/>
      <c r="K1703" s="235"/>
      <c r="L1703" s="235"/>
      <c r="M1703" s="235"/>
      <c r="N1703" s="239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  <c r="AC1703" s="6"/>
      <c r="AD1703" s="6"/>
      <c r="AE1703" s="6"/>
      <c r="AF1703" s="6"/>
      <c r="AG1703" s="6"/>
      <c r="AH1703" s="6"/>
      <c r="AI1703" s="6"/>
      <c r="AJ1703" s="6"/>
      <c r="AK1703" s="6"/>
      <c r="AL1703" s="6"/>
      <c r="AM1703" s="6"/>
      <c r="AN1703" s="6"/>
      <c r="AO1703" s="6"/>
      <c r="AP1703" s="6"/>
      <c r="AQ1703" s="6"/>
      <c r="AR1703" s="6"/>
      <c r="AS1703" s="6"/>
    </row>
    <row r="1704" spans="1:45" ht="16.5" customHeight="1">
      <c r="A1704" s="235"/>
      <c r="B1704" s="235"/>
      <c r="C1704" s="235"/>
      <c r="D1704" s="235"/>
      <c r="E1704" s="235"/>
      <c r="F1704" s="236"/>
      <c r="G1704" s="237"/>
      <c r="H1704" s="237"/>
      <c r="I1704" s="238"/>
      <c r="J1704" s="235"/>
      <c r="K1704" s="235"/>
      <c r="L1704" s="235"/>
      <c r="M1704" s="235"/>
      <c r="N1704" s="239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  <c r="AC1704" s="6"/>
      <c r="AD1704" s="6"/>
      <c r="AE1704" s="6"/>
      <c r="AF1704" s="6"/>
      <c r="AG1704" s="6"/>
      <c r="AH1704" s="6"/>
      <c r="AI1704" s="6"/>
      <c r="AJ1704" s="6"/>
      <c r="AK1704" s="6"/>
      <c r="AL1704" s="6"/>
      <c r="AM1704" s="6"/>
      <c r="AN1704" s="6"/>
      <c r="AO1704" s="6"/>
      <c r="AP1704" s="6"/>
      <c r="AQ1704" s="6"/>
      <c r="AR1704" s="6"/>
      <c r="AS1704" s="6"/>
    </row>
    <row r="1705" spans="1:45" ht="16.5" customHeight="1">
      <c r="A1705" s="235"/>
      <c r="B1705" s="235"/>
      <c r="C1705" s="235"/>
      <c r="D1705" s="235"/>
      <c r="E1705" s="235"/>
      <c r="F1705" s="236"/>
      <c r="G1705" s="237"/>
      <c r="H1705" s="237"/>
      <c r="I1705" s="238"/>
      <c r="J1705" s="235"/>
      <c r="K1705" s="235"/>
      <c r="L1705" s="235"/>
      <c r="M1705" s="235"/>
      <c r="N1705" s="239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  <c r="AC1705" s="6"/>
      <c r="AD1705" s="6"/>
      <c r="AE1705" s="6"/>
      <c r="AF1705" s="6"/>
      <c r="AG1705" s="6"/>
      <c r="AH1705" s="6"/>
      <c r="AI1705" s="6"/>
      <c r="AJ1705" s="6"/>
      <c r="AK1705" s="6"/>
      <c r="AL1705" s="6"/>
      <c r="AM1705" s="6"/>
      <c r="AN1705" s="6"/>
      <c r="AO1705" s="6"/>
      <c r="AP1705" s="6"/>
      <c r="AQ1705" s="6"/>
      <c r="AR1705" s="6"/>
      <c r="AS1705" s="6"/>
    </row>
    <row r="1706" spans="1:45" ht="16.5" customHeight="1">
      <c r="A1706" s="235"/>
      <c r="B1706" s="235"/>
      <c r="C1706" s="235"/>
      <c r="D1706" s="235"/>
      <c r="E1706" s="235"/>
      <c r="F1706" s="236"/>
      <c r="G1706" s="237"/>
      <c r="H1706" s="237"/>
      <c r="I1706" s="238"/>
      <c r="J1706" s="235"/>
      <c r="K1706" s="235"/>
      <c r="L1706" s="235"/>
      <c r="M1706" s="235"/>
      <c r="N1706" s="239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  <c r="AC1706" s="6"/>
      <c r="AD1706" s="6"/>
      <c r="AE1706" s="6"/>
      <c r="AF1706" s="6"/>
      <c r="AG1706" s="6"/>
      <c r="AH1706" s="6"/>
      <c r="AI1706" s="6"/>
      <c r="AJ1706" s="6"/>
      <c r="AK1706" s="6"/>
      <c r="AL1706" s="6"/>
      <c r="AM1706" s="6"/>
      <c r="AN1706" s="6"/>
      <c r="AO1706" s="6"/>
      <c r="AP1706" s="6"/>
      <c r="AQ1706" s="6"/>
      <c r="AR1706" s="6"/>
      <c r="AS1706" s="6"/>
    </row>
    <row r="1707" spans="1:45" ht="16.5" customHeight="1">
      <c r="A1707" s="235"/>
      <c r="B1707" s="235"/>
      <c r="C1707" s="235"/>
      <c r="D1707" s="235"/>
      <c r="E1707" s="235"/>
      <c r="F1707" s="236"/>
      <c r="G1707" s="237"/>
      <c r="H1707" s="237"/>
      <c r="I1707" s="238"/>
      <c r="J1707" s="235"/>
      <c r="K1707" s="235"/>
      <c r="L1707" s="235"/>
      <c r="M1707" s="235"/>
      <c r="N1707" s="239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  <c r="AB1707" s="6"/>
      <c r="AC1707" s="6"/>
      <c r="AD1707" s="6"/>
      <c r="AE1707" s="6"/>
      <c r="AF1707" s="6"/>
      <c r="AG1707" s="6"/>
      <c r="AH1707" s="6"/>
      <c r="AI1707" s="6"/>
      <c r="AJ1707" s="6"/>
      <c r="AK1707" s="6"/>
      <c r="AL1707" s="6"/>
      <c r="AM1707" s="6"/>
      <c r="AN1707" s="6"/>
      <c r="AO1707" s="6"/>
      <c r="AP1707" s="6"/>
      <c r="AQ1707" s="6"/>
      <c r="AR1707" s="6"/>
      <c r="AS1707" s="6"/>
    </row>
    <row r="1708" spans="1:45" ht="16.5" customHeight="1">
      <c r="A1708" s="235"/>
      <c r="B1708" s="235"/>
      <c r="C1708" s="235"/>
      <c r="D1708" s="235"/>
      <c r="E1708" s="235"/>
      <c r="F1708" s="236"/>
      <c r="G1708" s="237"/>
      <c r="H1708" s="237"/>
      <c r="I1708" s="238"/>
      <c r="J1708" s="235"/>
      <c r="K1708" s="235"/>
      <c r="L1708" s="235"/>
      <c r="M1708" s="235"/>
      <c r="N1708" s="239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  <c r="AD1708" s="6"/>
      <c r="AE1708" s="6"/>
      <c r="AF1708" s="6"/>
      <c r="AG1708" s="6"/>
      <c r="AH1708" s="6"/>
      <c r="AI1708" s="6"/>
      <c r="AJ1708" s="6"/>
      <c r="AK1708" s="6"/>
      <c r="AL1708" s="6"/>
      <c r="AM1708" s="6"/>
      <c r="AN1708" s="6"/>
      <c r="AO1708" s="6"/>
      <c r="AP1708" s="6"/>
      <c r="AQ1708" s="6"/>
      <c r="AR1708" s="6"/>
      <c r="AS1708" s="6"/>
    </row>
    <row r="1709" spans="1:45" ht="16.5" customHeight="1">
      <c r="A1709" s="235"/>
      <c r="B1709" s="235"/>
      <c r="C1709" s="235"/>
      <c r="D1709" s="235"/>
      <c r="E1709" s="235"/>
      <c r="F1709" s="236"/>
      <c r="G1709" s="237"/>
      <c r="H1709" s="237"/>
      <c r="I1709" s="238"/>
      <c r="J1709" s="235"/>
      <c r="K1709" s="235"/>
      <c r="L1709" s="235"/>
      <c r="M1709" s="235"/>
      <c r="N1709" s="239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  <c r="AD1709" s="6"/>
      <c r="AE1709" s="6"/>
      <c r="AF1709" s="6"/>
      <c r="AG1709" s="6"/>
      <c r="AH1709" s="6"/>
      <c r="AI1709" s="6"/>
      <c r="AJ1709" s="6"/>
      <c r="AK1709" s="6"/>
      <c r="AL1709" s="6"/>
      <c r="AM1709" s="6"/>
      <c r="AN1709" s="6"/>
      <c r="AO1709" s="6"/>
      <c r="AP1709" s="6"/>
      <c r="AQ1709" s="6"/>
      <c r="AR1709" s="6"/>
      <c r="AS1709" s="6"/>
    </row>
    <row r="1710" spans="1:45" ht="16.5" customHeight="1">
      <c r="A1710" s="235"/>
      <c r="B1710" s="235"/>
      <c r="C1710" s="235"/>
      <c r="D1710" s="235"/>
      <c r="E1710" s="235"/>
      <c r="F1710" s="236"/>
      <c r="G1710" s="237"/>
      <c r="H1710" s="237"/>
      <c r="I1710" s="238"/>
      <c r="J1710" s="235"/>
      <c r="K1710" s="235"/>
      <c r="L1710" s="235"/>
      <c r="M1710" s="235"/>
      <c r="N1710" s="239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  <c r="AC1710" s="6"/>
      <c r="AD1710" s="6"/>
      <c r="AE1710" s="6"/>
      <c r="AF1710" s="6"/>
      <c r="AG1710" s="6"/>
      <c r="AH1710" s="6"/>
      <c r="AI1710" s="6"/>
      <c r="AJ1710" s="6"/>
      <c r="AK1710" s="6"/>
      <c r="AL1710" s="6"/>
      <c r="AM1710" s="6"/>
      <c r="AN1710" s="6"/>
      <c r="AO1710" s="6"/>
      <c r="AP1710" s="6"/>
      <c r="AQ1710" s="6"/>
      <c r="AR1710" s="6"/>
      <c r="AS1710" s="6"/>
    </row>
    <row r="1711" spans="1:45" ht="16.5" customHeight="1">
      <c r="A1711" s="235"/>
      <c r="B1711" s="235"/>
      <c r="C1711" s="235"/>
      <c r="D1711" s="235"/>
      <c r="E1711" s="235"/>
      <c r="F1711" s="236"/>
      <c r="G1711" s="237"/>
      <c r="H1711" s="237"/>
      <c r="I1711" s="238"/>
      <c r="J1711" s="235"/>
      <c r="K1711" s="235"/>
      <c r="L1711" s="235"/>
      <c r="M1711" s="235"/>
      <c r="N1711" s="239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  <c r="AC1711" s="6"/>
      <c r="AD1711" s="6"/>
      <c r="AE1711" s="6"/>
      <c r="AF1711" s="6"/>
      <c r="AG1711" s="6"/>
      <c r="AH1711" s="6"/>
      <c r="AI1711" s="6"/>
      <c r="AJ1711" s="6"/>
      <c r="AK1711" s="6"/>
      <c r="AL1711" s="6"/>
      <c r="AM1711" s="6"/>
      <c r="AN1711" s="6"/>
      <c r="AO1711" s="6"/>
      <c r="AP1711" s="6"/>
      <c r="AQ1711" s="6"/>
      <c r="AR1711" s="6"/>
      <c r="AS1711" s="6"/>
    </row>
    <row r="1712" spans="1:45" ht="16.5" customHeight="1">
      <c r="A1712" s="235"/>
      <c r="B1712" s="235"/>
      <c r="C1712" s="235"/>
      <c r="D1712" s="235"/>
      <c r="E1712" s="235"/>
      <c r="F1712" s="236"/>
      <c r="G1712" s="237"/>
      <c r="H1712" s="237"/>
      <c r="I1712" s="238"/>
      <c r="J1712" s="235"/>
      <c r="K1712" s="235"/>
      <c r="L1712" s="235"/>
      <c r="M1712" s="235"/>
      <c r="N1712" s="239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  <c r="AC1712" s="6"/>
      <c r="AD1712" s="6"/>
      <c r="AE1712" s="6"/>
      <c r="AF1712" s="6"/>
      <c r="AG1712" s="6"/>
      <c r="AH1712" s="6"/>
      <c r="AI1712" s="6"/>
      <c r="AJ1712" s="6"/>
      <c r="AK1712" s="6"/>
      <c r="AL1712" s="6"/>
      <c r="AM1712" s="6"/>
      <c r="AN1712" s="6"/>
      <c r="AO1712" s="6"/>
      <c r="AP1712" s="6"/>
      <c r="AQ1712" s="6"/>
      <c r="AR1712" s="6"/>
      <c r="AS1712" s="6"/>
    </row>
    <row r="1713" spans="1:45" ht="16.5" customHeight="1">
      <c r="A1713" s="235"/>
      <c r="B1713" s="235"/>
      <c r="C1713" s="235"/>
      <c r="D1713" s="235"/>
      <c r="E1713" s="235"/>
      <c r="F1713" s="236"/>
      <c r="G1713" s="237"/>
      <c r="H1713" s="237"/>
      <c r="I1713" s="238"/>
      <c r="J1713" s="235"/>
      <c r="K1713" s="235"/>
      <c r="L1713" s="235"/>
      <c r="M1713" s="235"/>
      <c r="N1713" s="239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  <c r="AC1713" s="6"/>
      <c r="AD1713" s="6"/>
      <c r="AE1713" s="6"/>
      <c r="AF1713" s="6"/>
      <c r="AG1713" s="6"/>
      <c r="AH1713" s="6"/>
      <c r="AI1713" s="6"/>
      <c r="AJ1713" s="6"/>
      <c r="AK1713" s="6"/>
      <c r="AL1713" s="6"/>
      <c r="AM1713" s="6"/>
      <c r="AN1713" s="6"/>
      <c r="AO1713" s="6"/>
      <c r="AP1713" s="6"/>
      <c r="AQ1713" s="6"/>
      <c r="AR1713" s="6"/>
      <c r="AS1713" s="6"/>
    </row>
    <row r="1714" spans="1:45" ht="16.5" customHeight="1">
      <c r="A1714" s="235"/>
      <c r="B1714" s="235"/>
      <c r="C1714" s="235"/>
      <c r="D1714" s="235"/>
      <c r="E1714" s="235"/>
      <c r="F1714" s="236"/>
      <c r="G1714" s="237"/>
      <c r="H1714" s="237"/>
      <c r="I1714" s="238"/>
      <c r="J1714" s="235"/>
      <c r="K1714" s="235"/>
      <c r="L1714" s="235"/>
      <c r="M1714" s="235"/>
      <c r="N1714" s="239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  <c r="AC1714" s="6"/>
      <c r="AD1714" s="6"/>
      <c r="AE1714" s="6"/>
      <c r="AF1714" s="6"/>
      <c r="AG1714" s="6"/>
      <c r="AH1714" s="6"/>
      <c r="AI1714" s="6"/>
      <c r="AJ1714" s="6"/>
      <c r="AK1714" s="6"/>
      <c r="AL1714" s="6"/>
      <c r="AM1714" s="6"/>
      <c r="AN1714" s="6"/>
      <c r="AO1714" s="6"/>
      <c r="AP1714" s="6"/>
      <c r="AQ1714" s="6"/>
      <c r="AR1714" s="6"/>
      <c r="AS1714" s="6"/>
    </row>
    <row r="1715" spans="1:45" ht="16.5" customHeight="1">
      <c r="A1715" s="235"/>
      <c r="B1715" s="235"/>
      <c r="C1715" s="235"/>
      <c r="D1715" s="235"/>
      <c r="E1715" s="235"/>
      <c r="F1715" s="236"/>
      <c r="G1715" s="237"/>
      <c r="H1715" s="237"/>
      <c r="I1715" s="238"/>
      <c r="J1715" s="235"/>
      <c r="K1715" s="235"/>
      <c r="L1715" s="235"/>
      <c r="M1715" s="235"/>
      <c r="N1715" s="239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  <c r="AC1715" s="6"/>
      <c r="AD1715" s="6"/>
      <c r="AE1715" s="6"/>
      <c r="AF1715" s="6"/>
      <c r="AG1715" s="6"/>
      <c r="AH1715" s="6"/>
      <c r="AI1715" s="6"/>
      <c r="AJ1715" s="6"/>
      <c r="AK1715" s="6"/>
      <c r="AL1715" s="6"/>
      <c r="AM1715" s="6"/>
      <c r="AN1715" s="6"/>
      <c r="AO1715" s="6"/>
      <c r="AP1715" s="6"/>
      <c r="AQ1715" s="6"/>
      <c r="AR1715" s="6"/>
      <c r="AS1715" s="6"/>
    </row>
    <row r="1716" spans="1:45" ht="16.5" customHeight="1">
      <c r="A1716" s="235"/>
      <c r="B1716" s="235"/>
      <c r="C1716" s="235"/>
      <c r="D1716" s="235"/>
      <c r="E1716" s="235"/>
      <c r="F1716" s="236"/>
      <c r="G1716" s="237"/>
      <c r="H1716" s="237"/>
      <c r="I1716" s="238"/>
      <c r="J1716" s="235"/>
      <c r="K1716" s="235"/>
      <c r="L1716" s="235"/>
      <c r="M1716" s="235"/>
      <c r="N1716" s="239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  <c r="AD1716" s="6"/>
      <c r="AE1716" s="6"/>
      <c r="AF1716" s="6"/>
      <c r="AG1716" s="6"/>
      <c r="AH1716" s="6"/>
      <c r="AI1716" s="6"/>
      <c r="AJ1716" s="6"/>
      <c r="AK1716" s="6"/>
      <c r="AL1716" s="6"/>
      <c r="AM1716" s="6"/>
      <c r="AN1716" s="6"/>
      <c r="AO1716" s="6"/>
      <c r="AP1716" s="6"/>
      <c r="AQ1716" s="6"/>
      <c r="AR1716" s="6"/>
      <c r="AS1716" s="6"/>
    </row>
    <row r="1717" spans="1:45" ht="16.5" customHeight="1">
      <c r="A1717" s="235"/>
      <c r="B1717" s="235"/>
      <c r="C1717" s="235"/>
      <c r="D1717" s="235"/>
      <c r="E1717" s="235"/>
      <c r="F1717" s="236"/>
      <c r="G1717" s="237"/>
      <c r="H1717" s="237"/>
      <c r="I1717" s="238"/>
      <c r="J1717" s="235"/>
      <c r="K1717" s="235"/>
      <c r="L1717" s="235"/>
      <c r="M1717" s="235"/>
      <c r="N1717" s="239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  <c r="AC1717" s="6"/>
      <c r="AD1717" s="6"/>
      <c r="AE1717" s="6"/>
      <c r="AF1717" s="6"/>
      <c r="AG1717" s="6"/>
      <c r="AH1717" s="6"/>
      <c r="AI1717" s="6"/>
      <c r="AJ1717" s="6"/>
      <c r="AK1717" s="6"/>
      <c r="AL1717" s="6"/>
      <c r="AM1717" s="6"/>
      <c r="AN1717" s="6"/>
      <c r="AO1717" s="6"/>
      <c r="AP1717" s="6"/>
      <c r="AQ1717" s="6"/>
      <c r="AR1717" s="6"/>
      <c r="AS1717" s="6"/>
    </row>
    <row r="1718" spans="1:45" ht="16.5" customHeight="1">
      <c r="A1718" s="235"/>
      <c r="B1718" s="235"/>
      <c r="C1718" s="235"/>
      <c r="D1718" s="235"/>
      <c r="E1718" s="235"/>
      <c r="F1718" s="236"/>
      <c r="G1718" s="237"/>
      <c r="H1718" s="237"/>
      <c r="I1718" s="238"/>
      <c r="J1718" s="235"/>
      <c r="K1718" s="235"/>
      <c r="L1718" s="235"/>
      <c r="M1718" s="235"/>
      <c r="N1718" s="239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  <c r="AC1718" s="6"/>
      <c r="AD1718" s="6"/>
      <c r="AE1718" s="6"/>
      <c r="AF1718" s="6"/>
      <c r="AG1718" s="6"/>
      <c r="AH1718" s="6"/>
      <c r="AI1718" s="6"/>
      <c r="AJ1718" s="6"/>
      <c r="AK1718" s="6"/>
      <c r="AL1718" s="6"/>
      <c r="AM1718" s="6"/>
      <c r="AN1718" s="6"/>
      <c r="AO1718" s="6"/>
      <c r="AP1718" s="6"/>
      <c r="AQ1718" s="6"/>
      <c r="AR1718" s="6"/>
      <c r="AS1718" s="6"/>
    </row>
    <row r="1719" spans="1:45" ht="16.5" customHeight="1">
      <c r="A1719" s="235"/>
      <c r="B1719" s="235"/>
      <c r="C1719" s="235"/>
      <c r="D1719" s="235"/>
      <c r="E1719" s="235"/>
      <c r="F1719" s="236"/>
      <c r="G1719" s="237"/>
      <c r="H1719" s="237"/>
      <c r="I1719" s="238"/>
      <c r="J1719" s="235"/>
      <c r="K1719" s="235"/>
      <c r="L1719" s="235"/>
      <c r="M1719" s="235"/>
      <c r="N1719" s="239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  <c r="AC1719" s="6"/>
      <c r="AD1719" s="6"/>
      <c r="AE1719" s="6"/>
      <c r="AF1719" s="6"/>
      <c r="AG1719" s="6"/>
      <c r="AH1719" s="6"/>
      <c r="AI1719" s="6"/>
      <c r="AJ1719" s="6"/>
      <c r="AK1719" s="6"/>
      <c r="AL1719" s="6"/>
      <c r="AM1719" s="6"/>
      <c r="AN1719" s="6"/>
      <c r="AO1719" s="6"/>
      <c r="AP1719" s="6"/>
      <c r="AQ1719" s="6"/>
      <c r="AR1719" s="6"/>
      <c r="AS1719" s="6"/>
    </row>
    <row r="1720" spans="1:45" ht="16.5" customHeight="1">
      <c r="A1720" s="235"/>
      <c r="B1720" s="235"/>
      <c r="C1720" s="235"/>
      <c r="D1720" s="235"/>
      <c r="E1720" s="235"/>
      <c r="F1720" s="236"/>
      <c r="G1720" s="237"/>
      <c r="H1720" s="237"/>
      <c r="I1720" s="238"/>
      <c r="J1720" s="235"/>
      <c r="K1720" s="235"/>
      <c r="L1720" s="235"/>
      <c r="M1720" s="235"/>
      <c r="N1720" s="239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  <c r="AL1720" s="6"/>
      <c r="AM1720" s="6"/>
      <c r="AN1720" s="6"/>
      <c r="AO1720" s="6"/>
      <c r="AP1720" s="6"/>
      <c r="AQ1720" s="6"/>
      <c r="AR1720" s="6"/>
      <c r="AS1720" s="6"/>
    </row>
    <row r="1721" spans="1:45" ht="16.5" customHeight="1">
      <c r="A1721" s="235"/>
      <c r="B1721" s="235"/>
      <c r="C1721" s="235"/>
      <c r="D1721" s="235"/>
      <c r="E1721" s="235"/>
      <c r="F1721" s="236"/>
      <c r="G1721" s="237"/>
      <c r="H1721" s="237"/>
      <c r="I1721" s="238"/>
      <c r="J1721" s="235"/>
      <c r="K1721" s="235"/>
      <c r="L1721" s="235"/>
      <c r="M1721" s="235"/>
      <c r="N1721" s="239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  <c r="AL1721" s="6"/>
      <c r="AM1721" s="6"/>
      <c r="AN1721" s="6"/>
      <c r="AO1721" s="6"/>
      <c r="AP1721" s="6"/>
      <c r="AQ1721" s="6"/>
      <c r="AR1721" s="6"/>
      <c r="AS1721" s="6"/>
    </row>
    <row r="1722" spans="1:45" ht="16.5" customHeight="1">
      <c r="A1722" s="235"/>
      <c r="B1722" s="235"/>
      <c r="C1722" s="235"/>
      <c r="D1722" s="235"/>
      <c r="E1722" s="235"/>
      <c r="F1722" s="236"/>
      <c r="G1722" s="237"/>
      <c r="H1722" s="237"/>
      <c r="I1722" s="238"/>
      <c r="J1722" s="235"/>
      <c r="K1722" s="235"/>
      <c r="L1722" s="235"/>
      <c r="M1722" s="235"/>
      <c r="N1722" s="239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  <c r="AC1722" s="6"/>
      <c r="AD1722" s="6"/>
      <c r="AE1722" s="6"/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</row>
    <row r="1723" spans="1:45" ht="16.5" customHeight="1">
      <c r="A1723" s="235"/>
      <c r="B1723" s="235"/>
      <c r="C1723" s="235"/>
      <c r="D1723" s="235"/>
      <c r="E1723" s="235"/>
      <c r="F1723" s="236"/>
      <c r="G1723" s="237"/>
      <c r="H1723" s="237"/>
      <c r="I1723" s="238"/>
      <c r="J1723" s="235"/>
      <c r="K1723" s="235"/>
      <c r="L1723" s="235"/>
      <c r="M1723" s="235"/>
      <c r="N1723" s="239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  <c r="AD1723" s="6"/>
      <c r="AE1723" s="6"/>
      <c r="AF1723" s="6"/>
      <c r="AG1723" s="6"/>
      <c r="AH1723" s="6"/>
      <c r="AI1723" s="6"/>
      <c r="AJ1723" s="6"/>
      <c r="AK1723" s="6"/>
      <c r="AL1723" s="6"/>
      <c r="AM1723" s="6"/>
      <c r="AN1723" s="6"/>
      <c r="AO1723" s="6"/>
      <c r="AP1723" s="6"/>
      <c r="AQ1723" s="6"/>
      <c r="AR1723" s="6"/>
      <c r="AS1723" s="6"/>
    </row>
    <row r="1724" spans="1:45" ht="16.5" customHeight="1">
      <c r="A1724" s="235"/>
      <c r="B1724" s="235"/>
      <c r="C1724" s="235"/>
      <c r="D1724" s="235"/>
      <c r="E1724" s="235"/>
      <c r="F1724" s="236"/>
      <c r="G1724" s="237"/>
      <c r="H1724" s="237"/>
      <c r="I1724" s="238"/>
      <c r="J1724" s="235"/>
      <c r="K1724" s="235"/>
      <c r="L1724" s="235"/>
      <c r="M1724" s="235"/>
      <c r="N1724" s="239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  <c r="AD1724" s="6"/>
      <c r="AE1724" s="6"/>
      <c r="AF1724" s="6"/>
      <c r="AG1724" s="6"/>
      <c r="AH1724" s="6"/>
      <c r="AI1724" s="6"/>
      <c r="AJ1724" s="6"/>
      <c r="AK1724" s="6"/>
      <c r="AL1724" s="6"/>
      <c r="AM1724" s="6"/>
      <c r="AN1724" s="6"/>
      <c r="AO1724" s="6"/>
      <c r="AP1724" s="6"/>
      <c r="AQ1724" s="6"/>
      <c r="AR1724" s="6"/>
      <c r="AS1724" s="6"/>
    </row>
    <row r="1725" spans="1:45" ht="16.5" customHeight="1">
      <c r="A1725" s="235"/>
      <c r="B1725" s="235"/>
      <c r="C1725" s="235"/>
      <c r="D1725" s="235"/>
      <c r="E1725" s="235"/>
      <c r="F1725" s="236"/>
      <c r="G1725" s="237"/>
      <c r="H1725" s="237"/>
      <c r="I1725" s="238"/>
      <c r="J1725" s="235"/>
      <c r="K1725" s="235"/>
      <c r="L1725" s="235"/>
      <c r="M1725" s="235"/>
      <c r="N1725" s="239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6"/>
      <c r="AC1725" s="6"/>
      <c r="AD1725" s="6"/>
      <c r="AE1725" s="6"/>
      <c r="AF1725" s="6"/>
      <c r="AG1725" s="6"/>
      <c r="AH1725" s="6"/>
      <c r="AI1725" s="6"/>
      <c r="AJ1725" s="6"/>
      <c r="AK1725" s="6"/>
      <c r="AL1725" s="6"/>
      <c r="AM1725" s="6"/>
      <c r="AN1725" s="6"/>
      <c r="AO1725" s="6"/>
      <c r="AP1725" s="6"/>
      <c r="AQ1725" s="6"/>
      <c r="AR1725" s="6"/>
      <c r="AS1725" s="6"/>
    </row>
    <row r="1726" spans="1:45" ht="16.5" customHeight="1">
      <c r="A1726" s="235"/>
      <c r="B1726" s="235"/>
      <c r="C1726" s="235"/>
      <c r="D1726" s="235"/>
      <c r="E1726" s="235"/>
      <c r="F1726" s="236"/>
      <c r="G1726" s="237"/>
      <c r="H1726" s="237"/>
      <c r="I1726" s="238"/>
      <c r="J1726" s="235"/>
      <c r="K1726" s="235"/>
      <c r="L1726" s="235"/>
      <c r="M1726" s="235"/>
      <c r="N1726" s="239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  <c r="AD1726" s="6"/>
      <c r="AE1726" s="6"/>
      <c r="AF1726" s="6"/>
      <c r="AG1726" s="6"/>
      <c r="AH1726" s="6"/>
      <c r="AI1726" s="6"/>
      <c r="AJ1726" s="6"/>
      <c r="AK1726" s="6"/>
      <c r="AL1726" s="6"/>
      <c r="AM1726" s="6"/>
      <c r="AN1726" s="6"/>
      <c r="AO1726" s="6"/>
      <c r="AP1726" s="6"/>
      <c r="AQ1726" s="6"/>
      <c r="AR1726" s="6"/>
      <c r="AS1726" s="6"/>
    </row>
    <row r="1727" spans="1:45" ht="16.5" customHeight="1">
      <c r="A1727" s="235"/>
      <c r="B1727" s="235"/>
      <c r="C1727" s="235"/>
      <c r="D1727" s="235"/>
      <c r="E1727" s="235"/>
      <c r="F1727" s="236"/>
      <c r="G1727" s="237"/>
      <c r="H1727" s="237"/>
      <c r="I1727" s="238"/>
      <c r="J1727" s="235"/>
      <c r="K1727" s="235"/>
      <c r="L1727" s="235"/>
      <c r="M1727" s="235"/>
      <c r="N1727" s="239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  <c r="AC1727" s="6"/>
      <c r="AD1727" s="6"/>
      <c r="AE1727" s="6"/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</row>
    <row r="1728" spans="1:45" ht="16.5" customHeight="1">
      <c r="A1728" s="235"/>
      <c r="B1728" s="235"/>
      <c r="C1728" s="235"/>
      <c r="D1728" s="235"/>
      <c r="E1728" s="235"/>
      <c r="F1728" s="236"/>
      <c r="G1728" s="237"/>
      <c r="H1728" s="237"/>
      <c r="I1728" s="238"/>
      <c r="J1728" s="235"/>
      <c r="K1728" s="235"/>
      <c r="L1728" s="235"/>
      <c r="M1728" s="235"/>
      <c r="N1728" s="239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  <c r="AA1728" s="6"/>
      <c r="AB1728" s="6"/>
      <c r="AC1728" s="6"/>
      <c r="AD1728" s="6"/>
      <c r="AE1728" s="6"/>
      <c r="AF1728" s="6"/>
      <c r="AG1728" s="6"/>
      <c r="AH1728" s="6"/>
      <c r="AI1728" s="6"/>
      <c r="AJ1728" s="6"/>
      <c r="AK1728" s="6"/>
      <c r="AL1728" s="6"/>
      <c r="AM1728" s="6"/>
      <c r="AN1728" s="6"/>
      <c r="AO1728" s="6"/>
      <c r="AP1728" s="6"/>
      <c r="AQ1728" s="6"/>
      <c r="AR1728" s="6"/>
      <c r="AS1728" s="6"/>
    </row>
    <row r="1729" spans="1:45" ht="16.5" customHeight="1">
      <c r="A1729" s="235"/>
      <c r="B1729" s="235"/>
      <c r="C1729" s="235"/>
      <c r="D1729" s="235"/>
      <c r="E1729" s="235"/>
      <c r="F1729" s="236"/>
      <c r="G1729" s="237"/>
      <c r="H1729" s="237"/>
      <c r="I1729" s="238"/>
      <c r="J1729" s="235"/>
      <c r="K1729" s="235"/>
      <c r="L1729" s="235"/>
      <c r="M1729" s="235"/>
      <c r="N1729" s="239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  <c r="AL1729" s="6"/>
      <c r="AM1729" s="6"/>
      <c r="AN1729" s="6"/>
      <c r="AO1729" s="6"/>
      <c r="AP1729" s="6"/>
      <c r="AQ1729" s="6"/>
      <c r="AR1729" s="6"/>
      <c r="AS1729" s="6"/>
    </row>
    <row r="1730" spans="1:45" ht="16.5" customHeight="1">
      <c r="A1730" s="235"/>
      <c r="B1730" s="235"/>
      <c r="C1730" s="235"/>
      <c r="D1730" s="235"/>
      <c r="E1730" s="235"/>
      <c r="F1730" s="236"/>
      <c r="G1730" s="237"/>
      <c r="H1730" s="237"/>
      <c r="I1730" s="238"/>
      <c r="J1730" s="235"/>
      <c r="K1730" s="235"/>
      <c r="L1730" s="235"/>
      <c r="M1730" s="235"/>
      <c r="N1730" s="239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  <c r="AA1730" s="6"/>
      <c r="AB1730" s="6"/>
      <c r="AC1730" s="6"/>
      <c r="AD1730" s="6"/>
      <c r="AE1730" s="6"/>
      <c r="AF1730" s="6"/>
      <c r="AG1730" s="6"/>
      <c r="AH1730" s="6"/>
      <c r="AI1730" s="6"/>
      <c r="AJ1730" s="6"/>
      <c r="AK1730" s="6"/>
      <c r="AL1730" s="6"/>
      <c r="AM1730" s="6"/>
      <c r="AN1730" s="6"/>
      <c r="AO1730" s="6"/>
      <c r="AP1730" s="6"/>
      <c r="AQ1730" s="6"/>
      <c r="AR1730" s="6"/>
      <c r="AS1730" s="6"/>
    </row>
    <row r="1731" spans="1:45" ht="16.5" customHeight="1">
      <c r="A1731" s="235"/>
      <c r="B1731" s="235"/>
      <c r="C1731" s="235"/>
      <c r="D1731" s="235"/>
      <c r="E1731" s="235"/>
      <c r="F1731" s="236"/>
      <c r="G1731" s="237"/>
      <c r="H1731" s="237"/>
      <c r="I1731" s="238"/>
      <c r="J1731" s="235"/>
      <c r="K1731" s="235"/>
      <c r="L1731" s="235"/>
      <c r="M1731" s="235"/>
      <c r="N1731" s="239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  <c r="AC1731" s="6"/>
      <c r="AD1731" s="6"/>
      <c r="AE1731" s="6"/>
      <c r="AF1731" s="6"/>
      <c r="AG1731" s="6"/>
      <c r="AH1731" s="6"/>
      <c r="AI1731" s="6"/>
      <c r="AJ1731" s="6"/>
      <c r="AK1731" s="6"/>
      <c r="AL1731" s="6"/>
      <c r="AM1731" s="6"/>
      <c r="AN1731" s="6"/>
      <c r="AO1731" s="6"/>
      <c r="AP1731" s="6"/>
      <c r="AQ1731" s="6"/>
      <c r="AR1731" s="6"/>
      <c r="AS1731" s="6"/>
    </row>
    <row r="1732" spans="1:45" ht="16.5" customHeight="1">
      <c r="A1732" s="235"/>
      <c r="B1732" s="235"/>
      <c r="C1732" s="235"/>
      <c r="D1732" s="235"/>
      <c r="E1732" s="235"/>
      <c r="F1732" s="236"/>
      <c r="G1732" s="237"/>
      <c r="H1732" s="237"/>
      <c r="I1732" s="238"/>
      <c r="J1732" s="235"/>
      <c r="K1732" s="235"/>
      <c r="L1732" s="235"/>
      <c r="M1732" s="235"/>
      <c r="N1732" s="239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  <c r="AM1732" s="6"/>
      <c r="AN1732" s="6"/>
      <c r="AO1732" s="6"/>
      <c r="AP1732" s="6"/>
      <c r="AQ1732" s="6"/>
      <c r="AR1732" s="6"/>
      <c r="AS1732" s="6"/>
    </row>
    <row r="1733" spans="1:45" ht="16.5" customHeight="1">
      <c r="A1733" s="235"/>
      <c r="B1733" s="235"/>
      <c r="C1733" s="235"/>
      <c r="D1733" s="235"/>
      <c r="E1733" s="235"/>
      <c r="F1733" s="236"/>
      <c r="G1733" s="237"/>
      <c r="H1733" s="237"/>
      <c r="I1733" s="238"/>
      <c r="J1733" s="235"/>
      <c r="K1733" s="235"/>
      <c r="L1733" s="235"/>
      <c r="M1733" s="235"/>
      <c r="N1733" s="239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  <c r="AD1733" s="6"/>
      <c r="AE1733" s="6"/>
      <c r="AF1733" s="6"/>
      <c r="AG1733" s="6"/>
      <c r="AH1733" s="6"/>
      <c r="AI1733" s="6"/>
      <c r="AJ1733" s="6"/>
      <c r="AK1733" s="6"/>
      <c r="AL1733" s="6"/>
      <c r="AM1733" s="6"/>
      <c r="AN1733" s="6"/>
      <c r="AO1733" s="6"/>
      <c r="AP1733" s="6"/>
      <c r="AQ1733" s="6"/>
      <c r="AR1733" s="6"/>
      <c r="AS1733" s="6"/>
    </row>
    <row r="1734" spans="1:45" ht="16.5" customHeight="1">
      <c r="A1734" s="235"/>
      <c r="B1734" s="235"/>
      <c r="C1734" s="235"/>
      <c r="D1734" s="235"/>
      <c r="E1734" s="235"/>
      <c r="F1734" s="236"/>
      <c r="G1734" s="237"/>
      <c r="H1734" s="237"/>
      <c r="I1734" s="238"/>
      <c r="J1734" s="235"/>
      <c r="K1734" s="235"/>
      <c r="L1734" s="235"/>
      <c r="M1734" s="235"/>
      <c r="N1734" s="239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  <c r="AM1734" s="6"/>
      <c r="AN1734" s="6"/>
      <c r="AO1734" s="6"/>
      <c r="AP1734" s="6"/>
      <c r="AQ1734" s="6"/>
      <c r="AR1734" s="6"/>
      <c r="AS1734" s="6"/>
    </row>
    <row r="1735" spans="1:45" ht="16.5" customHeight="1">
      <c r="A1735" s="235"/>
      <c r="B1735" s="235"/>
      <c r="C1735" s="235"/>
      <c r="D1735" s="235"/>
      <c r="E1735" s="235"/>
      <c r="F1735" s="236"/>
      <c r="G1735" s="237"/>
      <c r="H1735" s="237"/>
      <c r="I1735" s="238"/>
      <c r="J1735" s="235"/>
      <c r="K1735" s="235"/>
      <c r="L1735" s="235"/>
      <c r="M1735" s="235"/>
      <c r="N1735" s="239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  <c r="AC1735" s="6"/>
      <c r="AD1735" s="6"/>
      <c r="AE1735" s="6"/>
      <c r="AF1735" s="6"/>
      <c r="AG1735" s="6"/>
      <c r="AH1735" s="6"/>
      <c r="AI1735" s="6"/>
      <c r="AJ1735" s="6"/>
      <c r="AK1735" s="6"/>
      <c r="AL1735" s="6"/>
      <c r="AM1735" s="6"/>
      <c r="AN1735" s="6"/>
      <c r="AO1735" s="6"/>
      <c r="AP1735" s="6"/>
      <c r="AQ1735" s="6"/>
      <c r="AR1735" s="6"/>
      <c r="AS1735" s="6"/>
    </row>
    <row r="1736" spans="1:45" ht="16.5" customHeight="1">
      <c r="A1736" s="235"/>
      <c r="B1736" s="235"/>
      <c r="C1736" s="235"/>
      <c r="D1736" s="235"/>
      <c r="E1736" s="235"/>
      <c r="F1736" s="236"/>
      <c r="G1736" s="237"/>
      <c r="H1736" s="237"/>
      <c r="I1736" s="238"/>
      <c r="J1736" s="235"/>
      <c r="K1736" s="235"/>
      <c r="L1736" s="235"/>
      <c r="M1736" s="235"/>
      <c r="N1736" s="239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M1736" s="6"/>
      <c r="AN1736" s="6"/>
      <c r="AO1736" s="6"/>
      <c r="AP1736" s="6"/>
      <c r="AQ1736" s="6"/>
      <c r="AR1736" s="6"/>
      <c r="AS1736" s="6"/>
    </row>
    <row r="1737" spans="1:45" ht="16.5" customHeight="1">
      <c r="A1737" s="235"/>
      <c r="B1737" s="235"/>
      <c r="C1737" s="235"/>
      <c r="D1737" s="235"/>
      <c r="E1737" s="235"/>
      <c r="F1737" s="236"/>
      <c r="G1737" s="237"/>
      <c r="H1737" s="237"/>
      <c r="I1737" s="238"/>
      <c r="J1737" s="235"/>
      <c r="K1737" s="235"/>
      <c r="L1737" s="235"/>
      <c r="M1737" s="235"/>
      <c r="N1737" s="239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6"/>
      <c r="AO1737" s="6"/>
      <c r="AP1737" s="6"/>
      <c r="AQ1737" s="6"/>
      <c r="AR1737" s="6"/>
      <c r="AS1737" s="6"/>
    </row>
    <row r="1738" spans="1:45" ht="16.5" customHeight="1">
      <c r="A1738" s="235"/>
      <c r="B1738" s="235"/>
      <c r="C1738" s="235"/>
      <c r="D1738" s="235"/>
      <c r="E1738" s="235"/>
      <c r="F1738" s="236"/>
      <c r="G1738" s="237"/>
      <c r="H1738" s="237"/>
      <c r="I1738" s="238"/>
      <c r="J1738" s="235"/>
      <c r="K1738" s="235"/>
      <c r="L1738" s="235"/>
      <c r="M1738" s="235"/>
      <c r="N1738" s="239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  <c r="AN1738" s="6"/>
      <c r="AO1738" s="6"/>
      <c r="AP1738" s="6"/>
      <c r="AQ1738" s="6"/>
      <c r="AR1738" s="6"/>
      <c r="AS1738" s="6"/>
    </row>
    <row r="1739" spans="1:45" ht="16.5" customHeight="1">
      <c r="A1739" s="235"/>
      <c r="B1739" s="235"/>
      <c r="C1739" s="235"/>
      <c r="D1739" s="235"/>
      <c r="E1739" s="235"/>
      <c r="F1739" s="236"/>
      <c r="G1739" s="237"/>
      <c r="H1739" s="237"/>
      <c r="I1739" s="238"/>
      <c r="J1739" s="235"/>
      <c r="K1739" s="235"/>
      <c r="L1739" s="235"/>
      <c r="M1739" s="235"/>
      <c r="N1739" s="239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  <c r="AR1739" s="6"/>
      <c r="AS1739" s="6"/>
    </row>
    <row r="1740" spans="1:45" ht="16.5" customHeight="1">
      <c r="A1740" s="235"/>
      <c r="B1740" s="235"/>
      <c r="C1740" s="235"/>
      <c r="D1740" s="235"/>
      <c r="E1740" s="235"/>
      <c r="F1740" s="236"/>
      <c r="G1740" s="237"/>
      <c r="H1740" s="237"/>
      <c r="I1740" s="238"/>
      <c r="J1740" s="235"/>
      <c r="K1740" s="235"/>
      <c r="L1740" s="235"/>
      <c r="M1740" s="235"/>
      <c r="N1740" s="239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/>
      <c r="AS1740" s="6"/>
    </row>
    <row r="1741" spans="1:45" ht="16.5" customHeight="1">
      <c r="A1741" s="235"/>
      <c r="B1741" s="235"/>
      <c r="C1741" s="235"/>
      <c r="D1741" s="235"/>
      <c r="E1741" s="235"/>
      <c r="F1741" s="236"/>
      <c r="G1741" s="237"/>
      <c r="H1741" s="237"/>
      <c r="I1741" s="238"/>
      <c r="J1741" s="235"/>
      <c r="K1741" s="235"/>
      <c r="L1741" s="235"/>
      <c r="M1741" s="235"/>
      <c r="N1741" s="239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  <c r="AM1741" s="6"/>
      <c r="AN1741" s="6"/>
      <c r="AO1741" s="6"/>
      <c r="AP1741" s="6"/>
      <c r="AQ1741" s="6"/>
      <c r="AR1741" s="6"/>
      <c r="AS1741" s="6"/>
    </row>
    <row r="1742" spans="1:45" ht="16.5" customHeight="1">
      <c r="A1742" s="235"/>
      <c r="B1742" s="235"/>
      <c r="C1742" s="235"/>
      <c r="D1742" s="235"/>
      <c r="E1742" s="235"/>
      <c r="F1742" s="236"/>
      <c r="G1742" s="237"/>
      <c r="H1742" s="237"/>
      <c r="I1742" s="238"/>
      <c r="J1742" s="235"/>
      <c r="K1742" s="235"/>
      <c r="L1742" s="235"/>
      <c r="M1742" s="235"/>
      <c r="N1742" s="239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M1742" s="6"/>
      <c r="AN1742" s="6"/>
      <c r="AO1742" s="6"/>
      <c r="AP1742" s="6"/>
      <c r="AQ1742" s="6"/>
      <c r="AR1742" s="6"/>
      <c r="AS1742" s="6"/>
    </row>
    <row r="1743" spans="1:45" ht="16.5" customHeight="1">
      <c r="A1743" s="235"/>
      <c r="B1743" s="235"/>
      <c r="C1743" s="235"/>
      <c r="D1743" s="235"/>
      <c r="E1743" s="235"/>
      <c r="F1743" s="236"/>
      <c r="G1743" s="237"/>
      <c r="H1743" s="237"/>
      <c r="I1743" s="238"/>
      <c r="J1743" s="235"/>
      <c r="K1743" s="235"/>
      <c r="L1743" s="235"/>
      <c r="M1743" s="235"/>
      <c r="N1743" s="239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N1743" s="6"/>
      <c r="AO1743" s="6"/>
      <c r="AP1743" s="6"/>
      <c r="AQ1743" s="6"/>
      <c r="AR1743" s="6"/>
      <c r="AS1743" s="6"/>
    </row>
    <row r="1744" spans="1:45" ht="16.5" customHeight="1">
      <c r="A1744" s="235"/>
      <c r="B1744" s="235"/>
      <c r="C1744" s="235"/>
      <c r="D1744" s="235"/>
      <c r="E1744" s="235"/>
      <c r="F1744" s="236"/>
      <c r="G1744" s="237"/>
      <c r="H1744" s="237"/>
      <c r="I1744" s="238"/>
      <c r="J1744" s="235"/>
      <c r="K1744" s="235"/>
      <c r="L1744" s="235"/>
      <c r="M1744" s="235"/>
      <c r="N1744" s="239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  <c r="AR1744" s="6"/>
      <c r="AS1744" s="6"/>
    </row>
    <row r="1745" spans="1:45" ht="16.5" customHeight="1">
      <c r="A1745" s="235"/>
      <c r="B1745" s="235"/>
      <c r="C1745" s="235"/>
      <c r="D1745" s="235"/>
      <c r="E1745" s="235"/>
      <c r="F1745" s="236"/>
      <c r="G1745" s="237"/>
      <c r="H1745" s="237"/>
      <c r="I1745" s="238"/>
      <c r="J1745" s="235"/>
      <c r="K1745" s="235"/>
      <c r="L1745" s="235"/>
      <c r="M1745" s="235"/>
      <c r="N1745" s="239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  <c r="AM1745" s="6"/>
      <c r="AN1745" s="6"/>
      <c r="AO1745" s="6"/>
      <c r="AP1745" s="6"/>
      <c r="AQ1745" s="6"/>
      <c r="AR1745" s="6"/>
      <c r="AS1745" s="6"/>
    </row>
    <row r="1746" spans="1:45" ht="16.5" customHeight="1">
      <c r="A1746" s="235"/>
      <c r="B1746" s="235"/>
      <c r="C1746" s="235"/>
      <c r="D1746" s="235"/>
      <c r="E1746" s="235"/>
      <c r="F1746" s="236"/>
      <c r="G1746" s="237"/>
      <c r="H1746" s="237"/>
      <c r="I1746" s="238"/>
      <c r="J1746" s="235"/>
      <c r="K1746" s="235"/>
      <c r="L1746" s="235"/>
      <c r="M1746" s="235"/>
      <c r="N1746" s="239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6"/>
      <c r="AO1746" s="6"/>
      <c r="AP1746" s="6"/>
      <c r="AQ1746" s="6"/>
      <c r="AR1746" s="6"/>
      <c r="AS1746" s="6"/>
    </row>
    <row r="1747" spans="1:45" ht="16.5" customHeight="1">
      <c r="A1747" s="235"/>
      <c r="B1747" s="235"/>
      <c r="C1747" s="235"/>
      <c r="D1747" s="235"/>
      <c r="E1747" s="235"/>
      <c r="F1747" s="236"/>
      <c r="G1747" s="237"/>
      <c r="H1747" s="237"/>
      <c r="I1747" s="238"/>
      <c r="J1747" s="235"/>
      <c r="K1747" s="235"/>
      <c r="L1747" s="235"/>
      <c r="M1747" s="235"/>
      <c r="N1747" s="239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6"/>
      <c r="AO1747" s="6"/>
      <c r="AP1747" s="6"/>
      <c r="AQ1747" s="6"/>
      <c r="AR1747" s="6"/>
      <c r="AS1747" s="6"/>
    </row>
    <row r="1748" spans="1:45" ht="16.5" customHeight="1">
      <c r="A1748" s="235"/>
      <c r="B1748" s="235"/>
      <c r="C1748" s="235"/>
      <c r="D1748" s="235"/>
      <c r="E1748" s="235"/>
      <c r="F1748" s="236"/>
      <c r="G1748" s="237"/>
      <c r="H1748" s="237"/>
      <c r="I1748" s="238"/>
      <c r="J1748" s="235"/>
      <c r="K1748" s="235"/>
      <c r="L1748" s="235"/>
      <c r="M1748" s="235"/>
      <c r="N1748" s="239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6"/>
      <c r="AO1748" s="6"/>
      <c r="AP1748" s="6"/>
      <c r="AQ1748" s="6"/>
      <c r="AR1748" s="6"/>
      <c r="AS1748" s="6"/>
    </row>
    <row r="1749" spans="1:45" ht="16.5" customHeight="1">
      <c r="A1749" s="235"/>
      <c r="B1749" s="235"/>
      <c r="C1749" s="235"/>
      <c r="D1749" s="235"/>
      <c r="E1749" s="235"/>
      <c r="F1749" s="236"/>
      <c r="G1749" s="237"/>
      <c r="H1749" s="237"/>
      <c r="I1749" s="238"/>
      <c r="J1749" s="235"/>
      <c r="K1749" s="235"/>
      <c r="L1749" s="235"/>
      <c r="M1749" s="235"/>
      <c r="N1749" s="239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  <c r="AD1749" s="6"/>
      <c r="AE1749" s="6"/>
      <c r="AF1749" s="6"/>
      <c r="AG1749" s="6"/>
      <c r="AH1749" s="6"/>
      <c r="AI1749" s="6"/>
      <c r="AJ1749" s="6"/>
      <c r="AK1749" s="6"/>
      <c r="AL1749" s="6"/>
      <c r="AM1749" s="6"/>
      <c r="AN1749" s="6"/>
      <c r="AO1749" s="6"/>
      <c r="AP1749" s="6"/>
      <c r="AQ1749" s="6"/>
      <c r="AR1749" s="6"/>
      <c r="AS1749" s="6"/>
    </row>
    <row r="1750" spans="1:45" ht="16.5" customHeight="1">
      <c r="A1750" s="235"/>
      <c r="B1750" s="235"/>
      <c r="C1750" s="235"/>
      <c r="D1750" s="235"/>
      <c r="E1750" s="235"/>
      <c r="F1750" s="236"/>
      <c r="G1750" s="237"/>
      <c r="H1750" s="237"/>
      <c r="I1750" s="238"/>
      <c r="J1750" s="235"/>
      <c r="K1750" s="235"/>
      <c r="L1750" s="235"/>
      <c r="M1750" s="235"/>
      <c r="N1750" s="239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  <c r="AM1750" s="6"/>
      <c r="AN1750" s="6"/>
      <c r="AO1750" s="6"/>
      <c r="AP1750" s="6"/>
      <c r="AQ1750" s="6"/>
      <c r="AR1750" s="6"/>
      <c r="AS1750" s="6"/>
    </row>
    <row r="1751" spans="1:45" ht="16.5" customHeight="1">
      <c r="A1751" s="235"/>
      <c r="B1751" s="235"/>
      <c r="C1751" s="235"/>
      <c r="D1751" s="235"/>
      <c r="E1751" s="235"/>
      <c r="F1751" s="236"/>
      <c r="G1751" s="237"/>
      <c r="H1751" s="237"/>
      <c r="I1751" s="238"/>
      <c r="J1751" s="235"/>
      <c r="K1751" s="235"/>
      <c r="L1751" s="235"/>
      <c r="M1751" s="235"/>
      <c r="N1751" s="239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/>
      <c r="AM1751" s="6"/>
      <c r="AN1751" s="6"/>
      <c r="AO1751" s="6"/>
      <c r="AP1751" s="6"/>
      <c r="AQ1751" s="6"/>
      <c r="AR1751" s="6"/>
      <c r="AS1751" s="6"/>
    </row>
    <row r="1752" spans="1:45" ht="16.5" customHeight="1">
      <c r="A1752" s="235"/>
      <c r="B1752" s="235"/>
      <c r="C1752" s="235"/>
      <c r="D1752" s="235"/>
      <c r="E1752" s="235"/>
      <c r="F1752" s="236"/>
      <c r="G1752" s="237"/>
      <c r="H1752" s="237"/>
      <c r="I1752" s="238"/>
      <c r="J1752" s="235"/>
      <c r="K1752" s="235"/>
      <c r="L1752" s="235"/>
      <c r="M1752" s="235"/>
      <c r="N1752" s="239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  <c r="AM1752" s="6"/>
      <c r="AN1752" s="6"/>
      <c r="AO1752" s="6"/>
      <c r="AP1752" s="6"/>
      <c r="AQ1752" s="6"/>
      <c r="AR1752" s="6"/>
      <c r="AS1752" s="6"/>
    </row>
    <row r="1753" spans="1:45" ht="16.5" customHeight="1">
      <c r="A1753" s="235"/>
      <c r="B1753" s="235"/>
      <c r="C1753" s="235"/>
      <c r="D1753" s="235"/>
      <c r="E1753" s="235"/>
      <c r="F1753" s="236"/>
      <c r="G1753" s="237"/>
      <c r="H1753" s="237"/>
      <c r="I1753" s="238"/>
      <c r="J1753" s="235"/>
      <c r="K1753" s="235"/>
      <c r="L1753" s="235"/>
      <c r="M1753" s="235"/>
      <c r="N1753" s="239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  <c r="AL1753" s="6"/>
      <c r="AM1753" s="6"/>
      <c r="AN1753" s="6"/>
      <c r="AO1753" s="6"/>
      <c r="AP1753" s="6"/>
      <c r="AQ1753" s="6"/>
      <c r="AR1753" s="6"/>
      <c r="AS1753" s="6"/>
    </row>
    <row r="1754" spans="1:45" ht="16.5" customHeight="1">
      <c r="A1754" s="235"/>
      <c r="B1754" s="235"/>
      <c r="C1754" s="235"/>
      <c r="D1754" s="235"/>
      <c r="E1754" s="235"/>
      <c r="F1754" s="236"/>
      <c r="G1754" s="237"/>
      <c r="H1754" s="237"/>
      <c r="I1754" s="238"/>
      <c r="J1754" s="235"/>
      <c r="K1754" s="235"/>
      <c r="L1754" s="235"/>
      <c r="M1754" s="235"/>
      <c r="N1754" s="239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  <c r="AL1754" s="6"/>
      <c r="AM1754" s="6"/>
      <c r="AN1754" s="6"/>
      <c r="AO1754" s="6"/>
      <c r="AP1754" s="6"/>
      <c r="AQ1754" s="6"/>
      <c r="AR1754" s="6"/>
      <c r="AS1754" s="6"/>
    </row>
    <row r="1755" spans="1:45" ht="16.5" customHeight="1">
      <c r="A1755" s="235"/>
      <c r="B1755" s="235"/>
      <c r="C1755" s="235"/>
      <c r="D1755" s="235"/>
      <c r="E1755" s="235"/>
      <c r="F1755" s="236"/>
      <c r="G1755" s="237"/>
      <c r="H1755" s="237"/>
      <c r="I1755" s="238"/>
      <c r="J1755" s="235"/>
      <c r="K1755" s="235"/>
      <c r="L1755" s="235"/>
      <c r="M1755" s="235"/>
      <c r="N1755" s="239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6"/>
      <c r="AM1755" s="6"/>
      <c r="AN1755" s="6"/>
      <c r="AO1755" s="6"/>
      <c r="AP1755" s="6"/>
      <c r="AQ1755" s="6"/>
      <c r="AR1755" s="6"/>
      <c r="AS1755" s="6"/>
    </row>
    <row r="1756" spans="1:45" ht="16.5" customHeight="1">
      <c r="A1756" s="235"/>
      <c r="B1756" s="235"/>
      <c r="C1756" s="235"/>
      <c r="D1756" s="235"/>
      <c r="E1756" s="235"/>
      <c r="F1756" s="236"/>
      <c r="G1756" s="237"/>
      <c r="H1756" s="237"/>
      <c r="I1756" s="238"/>
      <c r="J1756" s="235"/>
      <c r="K1756" s="235"/>
      <c r="L1756" s="235"/>
      <c r="M1756" s="235"/>
      <c r="N1756" s="239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  <c r="AM1756" s="6"/>
      <c r="AN1756" s="6"/>
      <c r="AO1756" s="6"/>
      <c r="AP1756" s="6"/>
      <c r="AQ1756" s="6"/>
      <c r="AR1756" s="6"/>
      <c r="AS1756" s="6"/>
    </row>
    <row r="1757" spans="1:45" ht="16.5" customHeight="1">
      <c r="A1757" s="235"/>
      <c r="B1757" s="235"/>
      <c r="C1757" s="235"/>
      <c r="D1757" s="235"/>
      <c r="E1757" s="235"/>
      <c r="F1757" s="236"/>
      <c r="G1757" s="237"/>
      <c r="H1757" s="237"/>
      <c r="I1757" s="238"/>
      <c r="J1757" s="235"/>
      <c r="K1757" s="235"/>
      <c r="L1757" s="235"/>
      <c r="M1757" s="235"/>
      <c r="N1757" s="239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  <c r="AD1757" s="6"/>
      <c r="AE1757" s="6"/>
      <c r="AF1757" s="6"/>
      <c r="AG1757" s="6"/>
      <c r="AH1757" s="6"/>
      <c r="AI1757" s="6"/>
      <c r="AJ1757" s="6"/>
      <c r="AK1757" s="6"/>
      <c r="AL1757" s="6"/>
      <c r="AM1757" s="6"/>
      <c r="AN1757" s="6"/>
      <c r="AO1757" s="6"/>
      <c r="AP1757" s="6"/>
      <c r="AQ1757" s="6"/>
      <c r="AR1757" s="6"/>
      <c r="AS1757" s="6"/>
    </row>
    <row r="1758" spans="1:45" ht="16.5" customHeight="1">
      <c r="A1758" s="235"/>
      <c r="B1758" s="235"/>
      <c r="C1758" s="235"/>
      <c r="D1758" s="235"/>
      <c r="E1758" s="235"/>
      <c r="F1758" s="236"/>
      <c r="G1758" s="237"/>
      <c r="H1758" s="237"/>
      <c r="I1758" s="238"/>
      <c r="J1758" s="235"/>
      <c r="K1758" s="235"/>
      <c r="L1758" s="235"/>
      <c r="M1758" s="235"/>
      <c r="N1758" s="239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  <c r="AL1758" s="6"/>
      <c r="AM1758" s="6"/>
      <c r="AN1758" s="6"/>
      <c r="AO1758" s="6"/>
      <c r="AP1758" s="6"/>
      <c r="AQ1758" s="6"/>
      <c r="AR1758" s="6"/>
      <c r="AS1758" s="6"/>
    </row>
    <row r="1759" spans="1:45" ht="16.5" customHeight="1">
      <c r="A1759" s="235"/>
      <c r="B1759" s="235"/>
      <c r="C1759" s="235"/>
      <c r="D1759" s="235"/>
      <c r="E1759" s="235"/>
      <c r="F1759" s="236"/>
      <c r="G1759" s="237"/>
      <c r="H1759" s="237"/>
      <c r="I1759" s="238"/>
      <c r="J1759" s="235"/>
      <c r="K1759" s="235"/>
      <c r="L1759" s="235"/>
      <c r="M1759" s="235"/>
      <c r="N1759" s="239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L1759" s="6"/>
      <c r="AM1759" s="6"/>
      <c r="AN1759" s="6"/>
      <c r="AO1759" s="6"/>
      <c r="AP1759" s="6"/>
      <c r="AQ1759" s="6"/>
      <c r="AR1759" s="6"/>
      <c r="AS1759" s="6"/>
    </row>
    <row r="1760" spans="1:45" ht="16.5" customHeight="1">
      <c r="A1760" s="235"/>
      <c r="B1760" s="235"/>
      <c r="C1760" s="235"/>
      <c r="D1760" s="235"/>
      <c r="E1760" s="235"/>
      <c r="F1760" s="236"/>
      <c r="G1760" s="237"/>
      <c r="H1760" s="237"/>
      <c r="I1760" s="238"/>
      <c r="J1760" s="235"/>
      <c r="K1760" s="235"/>
      <c r="L1760" s="235"/>
      <c r="M1760" s="235"/>
      <c r="N1760" s="239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  <c r="AL1760" s="6"/>
      <c r="AM1760" s="6"/>
      <c r="AN1760" s="6"/>
      <c r="AO1760" s="6"/>
      <c r="AP1760" s="6"/>
      <c r="AQ1760" s="6"/>
      <c r="AR1760" s="6"/>
      <c r="AS1760" s="6"/>
    </row>
    <row r="1761" spans="1:45" ht="16.5" customHeight="1">
      <c r="A1761" s="235"/>
      <c r="B1761" s="235"/>
      <c r="C1761" s="235"/>
      <c r="D1761" s="235"/>
      <c r="E1761" s="235"/>
      <c r="F1761" s="236"/>
      <c r="G1761" s="237"/>
      <c r="H1761" s="237"/>
      <c r="I1761" s="238"/>
      <c r="J1761" s="235"/>
      <c r="K1761" s="235"/>
      <c r="L1761" s="235"/>
      <c r="M1761" s="235"/>
      <c r="N1761" s="239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  <c r="AC1761" s="6"/>
      <c r="AD1761" s="6"/>
      <c r="AE1761" s="6"/>
      <c r="AF1761" s="6"/>
      <c r="AG1761" s="6"/>
      <c r="AH1761" s="6"/>
      <c r="AI1761" s="6"/>
      <c r="AJ1761" s="6"/>
      <c r="AK1761" s="6"/>
      <c r="AL1761" s="6"/>
      <c r="AM1761" s="6"/>
      <c r="AN1761" s="6"/>
      <c r="AO1761" s="6"/>
      <c r="AP1761" s="6"/>
      <c r="AQ1761" s="6"/>
      <c r="AR1761" s="6"/>
      <c r="AS1761" s="6"/>
    </row>
    <row r="1762" spans="1:45" ht="16.5" customHeight="1">
      <c r="A1762" s="235"/>
      <c r="B1762" s="235"/>
      <c r="C1762" s="235"/>
      <c r="D1762" s="235"/>
      <c r="E1762" s="235"/>
      <c r="F1762" s="236"/>
      <c r="G1762" s="237"/>
      <c r="H1762" s="237"/>
      <c r="I1762" s="238"/>
      <c r="J1762" s="235"/>
      <c r="K1762" s="235"/>
      <c r="L1762" s="235"/>
      <c r="M1762" s="235"/>
      <c r="N1762" s="239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  <c r="AR1762" s="6"/>
      <c r="AS1762" s="6"/>
    </row>
    <row r="1763" spans="1:45" ht="16.5" customHeight="1">
      <c r="A1763" s="235"/>
      <c r="B1763" s="235"/>
      <c r="C1763" s="235"/>
      <c r="D1763" s="235"/>
      <c r="E1763" s="235"/>
      <c r="F1763" s="236"/>
      <c r="G1763" s="237"/>
      <c r="H1763" s="237"/>
      <c r="I1763" s="238"/>
      <c r="J1763" s="235"/>
      <c r="K1763" s="235"/>
      <c r="L1763" s="235"/>
      <c r="M1763" s="235"/>
      <c r="N1763" s="239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  <c r="AQ1763" s="6"/>
      <c r="AR1763" s="6"/>
      <c r="AS1763" s="6"/>
    </row>
    <row r="1764" spans="1:45" ht="16.5" customHeight="1">
      <c r="A1764" s="235"/>
      <c r="B1764" s="235"/>
      <c r="C1764" s="235"/>
      <c r="D1764" s="235"/>
      <c r="E1764" s="235"/>
      <c r="F1764" s="236"/>
      <c r="G1764" s="237"/>
      <c r="H1764" s="237"/>
      <c r="I1764" s="238"/>
      <c r="J1764" s="235"/>
      <c r="K1764" s="235"/>
      <c r="L1764" s="235"/>
      <c r="M1764" s="235"/>
      <c r="N1764" s="239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  <c r="AC1764" s="6"/>
      <c r="AD1764" s="6"/>
      <c r="AE1764" s="6"/>
      <c r="AF1764" s="6"/>
      <c r="AG1764" s="6"/>
      <c r="AH1764" s="6"/>
      <c r="AI1764" s="6"/>
      <c r="AJ1764" s="6"/>
      <c r="AK1764" s="6"/>
      <c r="AL1764" s="6"/>
      <c r="AM1764" s="6"/>
      <c r="AN1764" s="6"/>
      <c r="AO1764" s="6"/>
      <c r="AP1764" s="6"/>
      <c r="AQ1764" s="6"/>
      <c r="AR1764" s="6"/>
      <c r="AS1764" s="6"/>
    </row>
    <row r="1765" spans="1:45" ht="16.5" customHeight="1">
      <c r="A1765" s="235"/>
      <c r="B1765" s="235"/>
      <c r="C1765" s="235"/>
      <c r="D1765" s="235"/>
      <c r="E1765" s="235"/>
      <c r="F1765" s="236"/>
      <c r="G1765" s="237"/>
      <c r="H1765" s="237"/>
      <c r="I1765" s="238"/>
      <c r="J1765" s="235"/>
      <c r="K1765" s="235"/>
      <c r="L1765" s="235"/>
      <c r="M1765" s="235"/>
      <c r="N1765" s="239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  <c r="AM1765" s="6"/>
      <c r="AN1765" s="6"/>
      <c r="AO1765" s="6"/>
      <c r="AP1765" s="6"/>
      <c r="AQ1765" s="6"/>
      <c r="AR1765" s="6"/>
      <c r="AS1765" s="6"/>
    </row>
    <row r="1766" spans="1:45" ht="16.5" customHeight="1">
      <c r="A1766" s="235"/>
      <c r="B1766" s="235"/>
      <c r="C1766" s="235"/>
      <c r="D1766" s="235"/>
      <c r="E1766" s="235"/>
      <c r="F1766" s="236"/>
      <c r="G1766" s="237"/>
      <c r="H1766" s="237"/>
      <c r="I1766" s="238"/>
      <c r="J1766" s="235"/>
      <c r="K1766" s="235"/>
      <c r="L1766" s="235"/>
      <c r="M1766" s="235"/>
      <c r="N1766" s="239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  <c r="AD1766" s="6"/>
      <c r="AE1766" s="6"/>
      <c r="AF1766" s="6"/>
      <c r="AG1766" s="6"/>
      <c r="AH1766" s="6"/>
      <c r="AI1766" s="6"/>
      <c r="AJ1766" s="6"/>
      <c r="AK1766" s="6"/>
      <c r="AL1766" s="6"/>
      <c r="AM1766" s="6"/>
      <c r="AN1766" s="6"/>
      <c r="AO1766" s="6"/>
      <c r="AP1766" s="6"/>
      <c r="AQ1766" s="6"/>
      <c r="AR1766" s="6"/>
      <c r="AS1766" s="6"/>
    </row>
    <row r="1767" spans="1:45" ht="16.5" customHeight="1">
      <c r="A1767" s="235"/>
      <c r="B1767" s="235"/>
      <c r="C1767" s="235"/>
      <c r="D1767" s="235"/>
      <c r="E1767" s="235"/>
      <c r="F1767" s="236"/>
      <c r="G1767" s="237"/>
      <c r="H1767" s="237"/>
      <c r="I1767" s="238"/>
      <c r="J1767" s="235"/>
      <c r="K1767" s="235"/>
      <c r="L1767" s="235"/>
      <c r="M1767" s="235"/>
      <c r="N1767" s="239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  <c r="AD1767" s="6"/>
      <c r="AE1767" s="6"/>
      <c r="AF1767" s="6"/>
      <c r="AG1767" s="6"/>
      <c r="AH1767" s="6"/>
      <c r="AI1767" s="6"/>
      <c r="AJ1767" s="6"/>
      <c r="AK1767" s="6"/>
      <c r="AL1767" s="6"/>
      <c r="AM1767" s="6"/>
      <c r="AN1767" s="6"/>
      <c r="AO1767" s="6"/>
      <c r="AP1767" s="6"/>
      <c r="AQ1767" s="6"/>
      <c r="AR1767" s="6"/>
      <c r="AS1767" s="6"/>
    </row>
    <row r="1768" spans="1:45" ht="16.5" customHeight="1">
      <c r="A1768" s="235"/>
      <c r="B1768" s="235"/>
      <c r="C1768" s="235"/>
      <c r="D1768" s="235"/>
      <c r="E1768" s="235"/>
      <c r="F1768" s="236"/>
      <c r="G1768" s="237"/>
      <c r="H1768" s="237"/>
      <c r="I1768" s="238"/>
      <c r="J1768" s="235"/>
      <c r="K1768" s="235"/>
      <c r="L1768" s="235"/>
      <c r="M1768" s="235"/>
      <c r="N1768" s="239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  <c r="AD1768" s="6"/>
      <c r="AE1768" s="6"/>
      <c r="AF1768" s="6"/>
      <c r="AG1768" s="6"/>
      <c r="AH1768" s="6"/>
      <c r="AI1768" s="6"/>
      <c r="AJ1768" s="6"/>
      <c r="AK1768" s="6"/>
      <c r="AL1768" s="6"/>
      <c r="AM1768" s="6"/>
      <c r="AN1768" s="6"/>
      <c r="AO1768" s="6"/>
      <c r="AP1768" s="6"/>
      <c r="AQ1768" s="6"/>
      <c r="AR1768" s="6"/>
      <c r="AS1768" s="6"/>
    </row>
    <row r="1769" spans="1:45" ht="16.5" customHeight="1">
      <c r="A1769" s="235"/>
      <c r="B1769" s="235"/>
      <c r="C1769" s="235"/>
      <c r="D1769" s="235"/>
      <c r="E1769" s="235"/>
      <c r="F1769" s="236"/>
      <c r="G1769" s="237"/>
      <c r="H1769" s="237"/>
      <c r="I1769" s="238"/>
      <c r="J1769" s="235"/>
      <c r="K1769" s="235"/>
      <c r="L1769" s="235"/>
      <c r="M1769" s="235"/>
      <c r="N1769" s="239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  <c r="AC1769" s="6"/>
      <c r="AD1769" s="6"/>
      <c r="AE1769" s="6"/>
      <c r="AF1769" s="6"/>
      <c r="AG1769" s="6"/>
      <c r="AH1769" s="6"/>
      <c r="AI1769" s="6"/>
      <c r="AJ1769" s="6"/>
      <c r="AK1769" s="6"/>
      <c r="AL1769" s="6"/>
      <c r="AM1769" s="6"/>
      <c r="AN1769" s="6"/>
      <c r="AO1769" s="6"/>
      <c r="AP1769" s="6"/>
      <c r="AQ1769" s="6"/>
      <c r="AR1769" s="6"/>
      <c r="AS1769" s="6"/>
    </row>
    <row r="1770" spans="1:45" ht="16.5" customHeight="1">
      <c r="A1770" s="235"/>
      <c r="B1770" s="235"/>
      <c r="C1770" s="235"/>
      <c r="D1770" s="235"/>
      <c r="E1770" s="235"/>
      <c r="F1770" s="236"/>
      <c r="G1770" s="237"/>
      <c r="H1770" s="237"/>
      <c r="I1770" s="238"/>
      <c r="J1770" s="235"/>
      <c r="K1770" s="235"/>
      <c r="L1770" s="235"/>
      <c r="M1770" s="235"/>
      <c r="N1770" s="239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  <c r="AD1770" s="6"/>
      <c r="AE1770" s="6"/>
      <c r="AF1770" s="6"/>
      <c r="AG1770" s="6"/>
      <c r="AH1770" s="6"/>
      <c r="AI1770" s="6"/>
      <c r="AJ1770" s="6"/>
      <c r="AK1770" s="6"/>
      <c r="AL1770" s="6"/>
      <c r="AM1770" s="6"/>
      <c r="AN1770" s="6"/>
      <c r="AO1770" s="6"/>
      <c r="AP1770" s="6"/>
      <c r="AQ1770" s="6"/>
      <c r="AR1770" s="6"/>
      <c r="AS1770" s="6"/>
    </row>
    <row r="1771" spans="1:45" ht="16.5" customHeight="1">
      <c r="A1771" s="235"/>
      <c r="B1771" s="235"/>
      <c r="C1771" s="235"/>
      <c r="D1771" s="235"/>
      <c r="E1771" s="235"/>
      <c r="F1771" s="236"/>
      <c r="G1771" s="237"/>
      <c r="H1771" s="237"/>
      <c r="I1771" s="238"/>
      <c r="J1771" s="235"/>
      <c r="K1771" s="235"/>
      <c r="L1771" s="235"/>
      <c r="M1771" s="235"/>
      <c r="N1771" s="239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  <c r="AD1771" s="6"/>
      <c r="AE1771" s="6"/>
      <c r="AF1771" s="6"/>
      <c r="AG1771" s="6"/>
      <c r="AH1771" s="6"/>
      <c r="AI1771" s="6"/>
      <c r="AJ1771" s="6"/>
      <c r="AK1771" s="6"/>
      <c r="AL1771" s="6"/>
      <c r="AM1771" s="6"/>
      <c r="AN1771" s="6"/>
      <c r="AO1771" s="6"/>
      <c r="AP1771" s="6"/>
      <c r="AQ1771" s="6"/>
      <c r="AR1771" s="6"/>
      <c r="AS1771" s="6"/>
    </row>
    <row r="1772" spans="1:45" ht="16.5" customHeight="1">
      <c r="A1772" s="235"/>
      <c r="B1772" s="235"/>
      <c r="C1772" s="235"/>
      <c r="D1772" s="235"/>
      <c r="E1772" s="235"/>
      <c r="F1772" s="236"/>
      <c r="G1772" s="237"/>
      <c r="H1772" s="237"/>
      <c r="I1772" s="238"/>
      <c r="J1772" s="235"/>
      <c r="K1772" s="235"/>
      <c r="L1772" s="235"/>
      <c r="M1772" s="235"/>
      <c r="N1772" s="239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  <c r="AC1772" s="6"/>
      <c r="AD1772" s="6"/>
      <c r="AE1772" s="6"/>
      <c r="AF1772" s="6"/>
      <c r="AG1772" s="6"/>
      <c r="AH1772" s="6"/>
      <c r="AI1772" s="6"/>
      <c r="AJ1772" s="6"/>
      <c r="AK1772" s="6"/>
      <c r="AL1772" s="6"/>
      <c r="AM1772" s="6"/>
      <c r="AN1772" s="6"/>
      <c r="AO1772" s="6"/>
      <c r="AP1772" s="6"/>
      <c r="AQ1772" s="6"/>
      <c r="AR1772" s="6"/>
      <c r="AS1772" s="6"/>
    </row>
    <row r="1773" spans="1:45" ht="16.5" customHeight="1">
      <c r="A1773" s="235"/>
      <c r="B1773" s="235"/>
      <c r="C1773" s="235"/>
      <c r="D1773" s="235"/>
      <c r="E1773" s="235"/>
      <c r="F1773" s="236"/>
      <c r="G1773" s="237"/>
      <c r="H1773" s="237"/>
      <c r="I1773" s="238"/>
      <c r="J1773" s="235"/>
      <c r="K1773" s="235"/>
      <c r="L1773" s="235"/>
      <c r="M1773" s="235"/>
      <c r="N1773" s="239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  <c r="AD1773" s="6"/>
      <c r="AE1773" s="6"/>
      <c r="AF1773" s="6"/>
      <c r="AG1773" s="6"/>
      <c r="AH1773" s="6"/>
      <c r="AI1773" s="6"/>
      <c r="AJ1773" s="6"/>
      <c r="AK1773" s="6"/>
      <c r="AL1773" s="6"/>
      <c r="AM1773" s="6"/>
      <c r="AN1773" s="6"/>
      <c r="AO1773" s="6"/>
      <c r="AP1773" s="6"/>
      <c r="AQ1773" s="6"/>
      <c r="AR1773" s="6"/>
      <c r="AS1773" s="6"/>
    </row>
    <row r="1774" spans="1:45" ht="16.5" customHeight="1">
      <c r="A1774" s="235"/>
      <c r="B1774" s="235"/>
      <c r="C1774" s="235"/>
      <c r="D1774" s="235"/>
      <c r="E1774" s="235"/>
      <c r="F1774" s="236"/>
      <c r="G1774" s="237"/>
      <c r="H1774" s="237"/>
      <c r="I1774" s="238"/>
      <c r="J1774" s="235"/>
      <c r="K1774" s="235"/>
      <c r="L1774" s="235"/>
      <c r="M1774" s="235"/>
      <c r="N1774" s="239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  <c r="AD1774" s="6"/>
      <c r="AE1774" s="6"/>
      <c r="AF1774" s="6"/>
      <c r="AG1774" s="6"/>
      <c r="AH1774" s="6"/>
      <c r="AI1774" s="6"/>
      <c r="AJ1774" s="6"/>
      <c r="AK1774" s="6"/>
      <c r="AL1774" s="6"/>
      <c r="AM1774" s="6"/>
      <c r="AN1774" s="6"/>
      <c r="AO1774" s="6"/>
      <c r="AP1774" s="6"/>
      <c r="AQ1774" s="6"/>
      <c r="AR1774" s="6"/>
      <c r="AS1774" s="6"/>
    </row>
    <row r="1775" spans="1:45" ht="16.5" customHeight="1">
      <c r="A1775" s="235"/>
      <c r="B1775" s="235"/>
      <c r="C1775" s="235"/>
      <c r="D1775" s="235"/>
      <c r="E1775" s="235"/>
      <c r="F1775" s="236"/>
      <c r="G1775" s="237"/>
      <c r="H1775" s="237"/>
      <c r="I1775" s="238"/>
      <c r="J1775" s="235"/>
      <c r="K1775" s="235"/>
      <c r="L1775" s="235"/>
      <c r="M1775" s="235"/>
      <c r="N1775" s="239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  <c r="AD1775" s="6"/>
      <c r="AE1775" s="6"/>
      <c r="AF1775" s="6"/>
      <c r="AG1775" s="6"/>
      <c r="AH1775" s="6"/>
      <c r="AI1775" s="6"/>
      <c r="AJ1775" s="6"/>
      <c r="AK1775" s="6"/>
      <c r="AL1775" s="6"/>
      <c r="AM1775" s="6"/>
      <c r="AN1775" s="6"/>
      <c r="AO1775" s="6"/>
      <c r="AP1775" s="6"/>
      <c r="AQ1775" s="6"/>
      <c r="AR1775" s="6"/>
      <c r="AS1775" s="6"/>
    </row>
    <row r="1776" spans="1:45" ht="16.5" customHeight="1">
      <c r="A1776" s="235"/>
      <c r="B1776" s="235"/>
      <c r="C1776" s="235"/>
      <c r="D1776" s="235"/>
      <c r="E1776" s="235"/>
      <c r="F1776" s="236"/>
      <c r="G1776" s="237"/>
      <c r="H1776" s="237"/>
      <c r="I1776" s="238"/>
      <c r="J1776" s="235"/>
      <c r="K1776" s="235"/>
      <c r="L1776" s="235"/>
      <c r="M1776" s="235"/>
      <c r="N1776" s="239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  <c r="AL1776" s="6"/>
      <c r="AM1776" s="6"/>
      <c r="AN1776" s="6"/>
      <c r="AO1776" s="6"/>
      <c r="AP1776" s="6"/>
      <c r="AQ1776" s="6"/>
      <c r="AR1776" s="6"/>
      <c r="AS1776" s="6"/>
    </row>
    <row r="1777" spans="1:45" ht="16.5" customHeight="1">
      <c r="A1777" s="235"/>
      <c r="B1777" s="235"/>
      <c r="C1777" s="235"/>
      <c r="D1777" s="235"/>
      <c r="E1777" s="235"/>
      <c r="F1777" s="236"/>
      <c r="G1777" s="237"/>
      <c r="H1777" s="237"/>
      <c r="I1777" s="238"/>
      <c r="J1777" s="235"/>
      <c r="K1777" s="235"/>
      <c r="L1777" s="235"/>
      <c r="M1777" s="235"/>
      <c r="N1777" s="239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  <c r="AC1777" s="6"/>
      <c r="AD1777" s="6"/>
      <c r="AE1777" s="6"/>
      <c r="AF1777" s="6"/>
      <c r="AG1777" s="6"/>
      <c r="AH1777" s="6"/>
      <c r="AI1777" s="6"/>
      <c r="AJ1777" s="6"/>
      <c r="AK1777" s="6"/>
      <c r="AL1777" s="6"/>
      <c r="AM1777" s="6"/>
      <c r="AN1777" s="6"/>
      <c r="AO1777" s="6"/>
      <c r="AP1777" s="6"/>
      <c r="AQ1777" s="6"/>
      <c r="AR1777" s="6"/>
      <c r="AS1777" s="6"/>
    </row>
    <row r="1778" spans="1:45" ht="16.5" customHeight="1">
      <c r="A1778" s="235"/>
      <c r="B1778" s="235"/>
      <c r="C1778" s="235"/>
      <c r="D1778" s="235"/>
      <c r="E1778" s="235"/>
      <c r="F1778" s="236"/>
      <c r="G1778" s="237"/>
      <c r="H1778" s="237"/>
      <c r="I1778" s="238"/>
      <c r="J1778" s="235"/>
      <c r="K1778" s="235"/>
      <c r="L1778" s="235"/>
      <c r="M1778" s="235"/>
      <c r="N1778" s="239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  <c r="AC1778" s="6"/>
      <c r="AD1778" s="6"/>
      <c r="AE1778" s="6"/>
      <c r="AF1778" s="6"/>
      <c r="AG1778" s="6"/>
      <c r="AH1778" s="6"/>
      <c r="AI1778" s="6"/>
      <c r="AJ1778" s="6"/>
      <c r="AK1778" s="6"/>
      <c r="AL1778" s="6"/>
      <c r="AM1778" s="6"/>
      <c r="AN1778" s="6"/>
      <c r="AO1778" s="6"/>
      <c r="AP1778" s="6"/>
      <c r="AQ1778" s="6"/>
      <c r="AR1778" s="6"/>
      <c r="AS1778" s="6"/>
    </row>
    <row r="1779" spans="1:45" ht="16.5" customHeight="1">
      <c r="A1779" s="235"/>
      <c r="B1779" s="235"/>
      <c r="C1779" s="235"/>
      <c r="D1779" s="235"/>
      <c r="E1779" s="235"/>
      <c r="F1779" s="236"/>
      <c r="G1779" s="237"/>
      <c r="H1779" s="237"/>
      <c r="I1779" s="238"/>
      <c r="J1779" s="235"/>
      <c r="K1779" s="235"/>
      <c r="L1779" s="235"/>
      <c r="M1779" s="235"/>
      <c r="N1779" s="239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  <c r="AD1779" s="6"/>
      <c r="AE1779" s="6"/>
      <c r="AF1779" s="6"/>
      <c r="AG1779" s="6"/>
      <c r="AH1779" s="6"/>
      <c r="AI1779" s="6"/>
      <c r="AJ1779" s="6"/>
      <c r="AK1779" s="6"/>
      <c r="AL1779" s="6"/>
      <c r="AM1779" s="6"/>
      <c r="AN1779" s="6"/>
      <c r="AO1779" s="6"/>
      <c r="AP1779" s="6"/>
      <c r="AQ1779" s="6"/>
      <c r="AR1779" s="6"/>
      <c r="AS1779" s="6"/>
    </row>
    <row r="1780" spans="1:45" ht="16.5" customHeight="1">
      <c r="A1780" s="235"/>
      <c r="B1780" s="235"/>
      <c r="C1780" s="235"/>
      <c r="D1780" s="235"/>
      <c r="E1780" s="235"/>
      <c r="F1780" s="236"/>
      <c r="G1780" s="237"/>
      <c r="H1780" s="237"/>
      <c r="I1780" s="238"/>
      <c r="J1780" s="235"/>
      <c r="K1780" s="235"/>
      <c r="L1780" s="235"/>
      <c r="M1780" s="235"/>
      <c r="N1780" s="239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  <c r="AL1780" s="6"/>
      <c r="AM1780" s="6"/>
      <c r="AN1780" s="6"/>
      <c r="AO1780" s="6"/>
      <c r="AP1780" s="6"/>
      <c r="AQ1780" s="6"/>
      <c r="AR1780" s="6"/>
      <c r="AS1780" s="6"/>
    </row>
    <row r="1781" spans="1:45" ht="16.5" customHeight="1">
      <c r="A1781" s="235"/>
      <c r="B1781" s="235"/>
      <c r="C1781" s="235"/>
      <c r="D1781" s="235"/>
      <c r="E1781" s="235"/>
      <c r="F1781" s="236"/>
      <c r="G1781" s="237"/>
      <c r="H1781" s="237"/>
      <c r="I1781" s="238"/>
      <c r="J1781" s="235"/>
      <c r="K1781" s="235"/>
      <c r="L1781" s="235"/>
      <c r="M1781" s="235"/>
      <c r="N1781" s="239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  <c r="AD1781" s="6"/>
      <c r="AE1781" s="6"/>
      <c r="AF1781" s="6"/>
      <c r="AG1781" s="6"/>
      <c r="AH1781" s="6"/>
      <c r="AI1781" s="6"/>
      <c r="AJ1781" s="6"/>
      <c r="AK1781" s="6"/>
      <c r="AL1781" s="6"/>
      <c r="AM1781" s="6"/>
      <c r="AN1781" s="6"/>
      <c r="AO1781" s="6"/>
      <c r="AP1781" s="6"/>
      <c r="AQ1781" s="6"/>
      <c r="AR1781" s="6"/>
      <c r="AS1781" s="6"/>
    </row>
    <row r="1782" spans="1:45" ht="16.5" customHeight="1">
      <c r="A1782" s="235"/>
      <c r="B1782" s="235"/>
      <c r="C1782" s="235"/>
      <c r="D1782" s="235"/>
      <c r="E1782" s="235"/>
      <c r="F1782" s="236"/>
      <c r="G1782" s="237"/>
      <c r="H1782" s="237"/>
      <c r="I1782" s="238"/>
      <c r="J1782" s="235"/>
      <c r="K1782" s="235"/>
      <c r="L1782" s="235"/>
      <c r="M1782" s="235"/>
      <c r="N1782" s="239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  <c r="AD1782" s="6"/>
      <c r="AE1782" s="6"/>
      <c r="AF1782" s="6"/>
      <c r="AG1782" s="6"/>
      <c r="AH1782" s="6"/>
      <c r="AI1782" s="6"/>
      <c r="AJ1782" s="6"/>
      <c r="AK1782" s="6"/>
      <c r="AL1782" s="6"/>
      <c r="AM1782" s="6"/>
      <c r="AN1782" s="6"/>
      <c r="AO1782" s="6"/>
      <c r="AP1782" s="6"/>
      <c r="AQ1782" s="6"/>
      <c r="AR1782" s="6"/>
      <c r="AS1782" s="6"/>
    </row>
    <row r="1783" spans="1:45" ht="16.5" customHeight="1">
      <c r="A1783" s="235"/>
      <c r="B1783" s="235"/>
      <c r="C1783" s="235"/>
      <c r="D1783" s="235"/>
      <c r="E1783" s="235"/>
      <c r="F1783" s="236"/>
      <c r="G1783" s="237"/>
      <c r="H1783" s="237"/>
      <c r="I1783" s="238"/>
      <c r="J1783" s="235"/>
      <c r="K1783" s="235"/>
      <c r="L1783" s="235"/>
      <c r="M1783" s="235"/>
      <c r="N1783" s="239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  <c r="AD1783" s="6"/>
      <c r="AE1783" s="6"/>
      <c r="AF1783" s="6"/>
      <c r="AG1783" s="6"/>
      <c r="AH1783" s="6"/>
      <c r="AI1783" s="6"/>
      <c r="AJ1783" s="6"/>
      <c r="AK1783" s="6"/>
      <c r="AL1783" s="6"/>
      <c r="AM1783" s="6"/>
      <c r="AN1783" s="6"/>
      <c r="AO1783" s="6"/>
      <c r="AP1783" s="6"/>
      <c r="AQ1783" s="6"/>
      <c r="AR1783" s="6"/>
      <c r="AS1783" s="6"/>
    </row>
    <row r="1784" spans="1:45" ht="16.5" customHeight="1">
      <c r="A1784" s="235"/>
      <c r="B1784" s="235"/>
      <c r="C1784" s="235"/>
      <c r="D1784" s="235"/>
      <c r="E1784" s="235"/>
      <c r="F1784" s="236"/>
      <c r="G1784" s="237"/>
      <c r="H1784" s="237"/>
      <c r="I1784" s="238"/>
      <c r="J1784" s="235"/>
      <c r="K1784" s="235"/>
      <c r="L1784" s="235"/>
      <c r="M1784" s="235"/>
      <c r="N1784" s="239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  <c r="AD1784" s="6"/>
      <c r="AE1784" s="6"/>
      <c r="AF1784" s="6"/>
      <c r="AG1784" s="6"/>
      <c r="AH1784" s="6"/>
      <c r="AI1784" s="6"/>
      <c r="AJ1784" s="6"/>
      <c r="AK1784" s="6"/>
      <c r="AL1784" s="6"/>
      <c r="AM1784" s="6"/>
      <c r="AN1784" s="6"/>
      <c r="AO1784" s="6"/>
      <c r="AP1784" s="6"/>
      <c r="AQ1784" s="6"/>
      <c r="AR1784" s="6"/>
      <c r="AS1784" s="6"/>
    </row>
    <row r="1785" spans="1:45" ht="16.5" customHeight="1">
      <c r="A1785" s="235"/>
      <c r="B1785" s="235"/>
      <c r="C1785" s="235"/>
      <c r="D1785" s="235"/>
      <c r="E1785" s="235"/>
      <c r="F1785" s="236"/>
      <c r="G1785" s="237"/>
      <c r="H1785" s="237"/>
      <c r="I1785" s="238"/>
      <c r="J1785" s="235"/>
      <c r="K1785" s="235"/>
      <c r="L1785" s="235"/>
      <c r="M1785" s="235"/>
      <c r="N1785" s="239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  <c r="AD1785" s="6"/>
      <c r="AE1785" s="6"/>
      <c r="AF1785" s="6"/>
      <c r="AG1785" s="6"/>
      <c r="AH1785" s="6"/>
      <c r="AI1785" s="6"/>
      <c r="AJ1785" s="6"/>
      <c r="AK1785" s="6"/>
      <c r="AL1785" s="6"/>
      <c r="AM1785" s="6"/>
      <c r="AN1785" s="6"/>
      <c r="AO1785" s="6"/>
      <c r="AP1785" s="6"/>
      <c r="AQ1785" s="6"/>
      <c r="AR1785" s="6"/>
      <c r="AS1785" s="6"/>
    </row>
    <row r="1786" spans="1:45" ht="16.5" customHeight="1">
      <c r="A1786" s="235"/>
      <c r="B1786" s="235"/>
      <c r="C1786" s="235"/>
      <c r="D1786" s="235"/>
      <c r="E1786" s="235"/>
      <c r="F1786" s="236"/>
      <c r="G1786" s="237"/>
      <c r="H1786" s="237"/>
      <c r="I1786" s="238"/>
      <c r="J1786" s="235"/>
      <c r="K1786" s="235"/>
      <c r="L1786" s="235"/>
      <c r="M1786" s="235"/>
      <c r="N1786" s="239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  <c r="AD1786" s="6"/>
      <c r="AE1786" s="6"/>
      <c r="AF1786" s="6"/>
      <c r="AG1786" s="6"/>
      <c r="AH1786" s="6"/>
      <c r="AI1786" s="6"/>
      <c r="AJ1786" s="6"/>
      <c r="AK1786" s="6"/>
      <c r="AL1786" s="6"/>
      <c r="AM1786" s="6"/>
      <c r="AN1786" s="6"/>
      <c r="AO1786" s="6"/>
      <c r="AP1786" s="6"/>
      <c r="AQ1786" s="6"/>
      <c r="AR1786" s="6"/>
      <c r="AS1786" s="6"/>
    </row>
    <row r="1787" spans="1:45" ht="16.5" customHeight="1">
      <c r="A1787" s="235"/>
      <c r="B1787" s="235"/>
      <c r="C1787" s="235"/>
      <c r="D1787" s="235"/>
      <c r="E1787" s="235"/>
      <c r="F1787" s="236"/>
      <c r="G1787" s="237"/>
      <c r="H1787" s="237"/>
      <c r="I1787" s="238"/>
      <c r="J1787" s="235"/>
      <c r="K1787" s="235"/>
      <c r="L1787" s="235"/>
      <c r="M1787" s="235"/>
      <c r="N1787" s="239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  <c r="AD1787" s="6"/>
      <c r="AE1787" s="6"/>
      <c r="AF1787" s="6"/>
      <c r="AG1787" s="6"/>
      <c r="AH1787" s="6"/>
      <c r="AI1787" s="6"/>
      <c r="AJ1787" s="6"/>
      <c r="AK1787" s="6"/>
      <c r="AL1787" s="6"/>
      <c r="AM1787" s="6"/>
      <c r="AN1787" s="6"/>
      <c r="AO1787" s="6"/>
      <c r="AP1787" s="6"/>
      <c r="AQ1787" s="6"/>
      <c r="AR1787" s="6"/>
      <c r="AS1787" s="6"/>
    </row>
    <row r="1788" spans="1:45" ht="16.5" customHeight="1">
      <c r="A1788" s="235"/>
      <c r="B1788" s="235"/>
      <c r="C1788" s="235"/>
      <c r="D1788" s="235"/>
      <c r="E1788" s="235"/>
      <c r="F1788" s="236"/>
      <c r="G1788" s="237"/>
      <c r="H1788" s="237"/>
      <c r="I1788" s="238"/>
      <c r="J1788" s="235"/>
      <c r="K1788" s="235"/>
      <c r="L1788" s="235"/>
      <c r="M1788" s="235"/>
      <c r="N1788" s="239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  <c r="AD1788" s="6"/>
      <c r="AE1788" s="6"/>
      <c r="AF1788" s="6"/>
      <c r="AG1788" s="6"/>
      <c r="AH1788" s="6"/>
      <c r="AI1788" s="6"/>
      <c r="AJ1788" s="6"/>
      <c r="AK1788" s="6"/>
      <c r="AL1788" s="6"/>
      <c r="AM1788" s="6"/>
      <c r="AN1788" s="6"/>
      <c r="AO1788" s="6"/>
      <c r="AP1788" s="6"/>
      <c r="AQ1788" s="6"/>
      <c r="AR1788" s="6"/>
      <c r="AS1788" s="6"/>
    </row>
    <row r="1789" spans="1:45" ht="16.5" customHeight="1">
      <c r="A1789" s="235"/>
      <c r="B1789" s="235"/>
      <c r="C1789" s="235"/>
      <c r="D1789" s="235"/>
      <c r="E1789" s="235"/>
      <c r="F1789" s="236"/>
      <c r="G1789" s="237"/>
      <c r="H1789" s="237"/>
      <c r="I1789" s="238"/>
      <c r="J1789" s="235"/>
      <c r="K1789" s="235"/>
      <c r="L1789" s="235"/>
      <c r="M1789" s="235"/>
      <c r="N1789" s="239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  <c r="AD1789" s="6"/>
      <c r="AE1789" s="6"/>
      <c r="AF1789" s="6"/>
      <c r="AG1789" s="6"/>
      <c r="AH1789" s="6"/>
      <c r="AI1789" s="6"/>
      <c r="AJ1789" s="6"/>
      <c r="AK1789" s="6"/>
      <c r="AL1789" s="6"/>
      <c r="AM1789" s="6"/>
      <c r="AN1789" s="6"/>
      <c r="AO1789" s="6"/>
      <c r="AP1789" s="6"/>
      <c r="AQ1789" s="6"/>
      <c r="AR1789" s="6"/>
      <c r="AS1789" s="6"/>
    </row>
    <row r="1790" spans="1:45" ht="16.5" customHeight="1">
      <c r="A1790" s="235"/>
      <c r="B1790" s="235"/>
      <c r="C1790" s="235"/>
      <c r="D1790" s="235"/>
      <c r="E1790" s="235"/>
      <c r="F1790" s="236"/>
      <c r="G1790" s="237"/>
      <c r="H1790" s="237"/>
      <c r="I1790" s="238"/>
      <c r="J1790" s="235"/>
      <c r="K1790" s="235"/>
      <c r="L1790" s="235"/>
      <c r="M1790" s="235"/>
      <c r="N1790" s="239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  <c r="AD1790" s="6"/>
      <c r="AE1790" s="6"/>
      <c r="AF1790" s="6"/>
      <c r="AG1790" s="6"/>
      <c r="AH1790" s="6"/>
      <c r="AI1790" s="6"/>
      <c r="AJ1790" s="6"/>
      <c r="AK1790" s="6"/>
      <c r="AL1790" s="6"/>
      <c r="AM1790" s="6"/>
      <c r="AN1790" s="6"/>
      <c r="AO1790" s="6"/>
      <c r="AP1790" s="6"/>
      <c r="AQ1790" s="6"/>
      <c r="AR1790" s="6"/>
      <c r="AS1790" s="6"/>
    </row>
    <row r="1791" spans="1:45" ht="16.5" customHeight="1">
      <c r="A1791" s="235"/>
      <c r="B1791" s="235"/>
      <c r="C1791" s="235"/>
      <c r="D1791" s="235"/>
      <c r="E1791" s="235"/>
      <c r="F1791" s="236"/>
      <c r="G1791" s="237"/>
      <c r="H1791" s="237"/>
      <c r="I1791" s="238"/>
      <c r="J1791" s="235"/>
      <c r="K1791" s="235"/>
      <c r="L1791" s="235"/>
      <c r="M1791" s="235"/>
      <c r="N1791" s="239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  <c r="AD1791" s="6"/>
      <c r="AE1791" s="6"/>
      <c r="AF1791" s="6"/>
      <c r="AG1791" s="6"/>
      <c r="AH1791" s="6"/>
      <c r="AI1791" s="6"/>
      <c r="AJ1791" s="6"/>
      <c r="AK1791" s="6"/>
      <c r="AL1791" s="6"/>
      <c r="AM1791" s="6"/>
      <c r="AN1791" s="6"/>
      <c r="AO1791" s="6"/>
      <c r="AP1791" s="6"/>
      <c r="AQ1791" s="6"/>
      <c r="AR1791" s="6"/>
      <c r="AS1791" s="6"/>
    </row>
    <row r="1792" spans="1:45" ht="16.5" customHeight="1">
      <c r="A1792" s="235"/>
      <c r="B1792" s="235"/>
      <c r="C1792" s="235"/>
      <c r="D1792" s="235"/>
      <c r="E1792" s="235"/>
      <c r="F1792" s="236"/>
      <c r="G1792" s="237"/>
      <c r="H1792" s="237"/>
      <c r="I1792" s="238"/>
      <c r="J1792" s="235"/>
      <c r="K1792" s="235"/>
      <c r="L1792" s="235"/>
      <c r="M1792" s="235"/>
      <c r="N1792" s="239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  <c r="AD1792" s="6"/>
      <c r="AE1792" s="6"/>
      <c r="AF1792" s="6"/>
      <c r="AG1792" s="6"/>
      <c r="AH1792" s="6"/>
      <c r="AI1792" s="6"/>
      <c r="AJ1792" s="6"/>
      <c r="AK1792" s="6"/>
      <c r="AL1792" s="6"/>
      <c r="AM1792" s="6"/>
      <c r="AN1792" s="6"/>
      <c r="AO1792" s="6"/>
      <c r="AP1792" s="6"/>
      <c r="AQ1792" s="6"/>
      <c r="AR1792" s="6"/>
      <c r="AS1792" s="6"/>
    </row>
    <row r="1793" spans="1:45" ht="16.5" customHeight="1">
      <c r="A1793" s="235"/>
      <c r="B1793" s="235"/>
      <c r="C1793" s="235"/>
      <c r="D1793" s="235"/>
      <c r="E1793" s="235"/>
      <c r="F1793" s="236"/>
      <c r="G1793" s="237"/>
      <c r="H1793" s="237"/>
      <c r="I1793" s="238"/>
      <c r="J1793" s="235"/>
      <c r="K1793" s="235"/>
      <c r="L1793" s="235"/>
      <c r="M1793" s="235"/>
      <c r="N1793" s="239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  <c r="AD1793" s="6"/>
      <c r="AE1793" s="6"/>
      <c r="AF1793" s="6"/>
      <c r="AG1793" s="6"/>
      <c r="AH1793" s="6"/>
      <c r="AI1793" s="6"/>
      <c r="AJ1793" s="6"/>
      <c r="AK1793" s="6"/>
      <c r="AL1793" s="6"/>
      <c r="AM1793" s="6"/>
      <c r="AN1793" s="6"/>
      <c r="AO1793" s="6"/>
      <c r="AP1793" s="6"/>
      <c r="AQ1793" s="6"/>
      <c r="AR1793" s="6"/>
      <c r="AS1793" s="6"/>
    </row>
    <row r="1794" spans="1:45" ht="16.5" customHeight="1">
      <c r="A1794" s="235"/>
      <c r="B1794" s="235"/>
      <c r="C1794" s="235"/>
      <c r="D1794" s="235"/>
      <c r="E1794" s="235"/>
      <c r="F1794" s="236"/>
      <c r="G1794" s="237"/>
      <c r="H1794" s="237"/>
      <c r="I1794" s="238"/>
      <c r="J1794" s="235"/>
      <c r="K1794" s="235"/>
      <c r="L1794" s="235"/>
      <c r="M1794" s="235"/>
      <c r="N1794" s="239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  <c r="AM1794" s="6"/>
      <c r="AN1794" s="6"/>
      <c r="AO1794" s="6"/>
      <c r="AP1794" s="6"/>
      <c r="AQ1794" s="6"/>
      <c r="AR1794" s="6"/>
      <c r="AS1794" s="6"/>
    </row>
    <row r="1795" spans="1:45" ht="16.5" customHeight="1">
      <c r="A1795" s="235"/>
      <c r="B1795" s="235"/>
      <c r="C1795" s="235"/>
      <c r="D1795" s="235"/>
      <c r="E1795" s="235"/>
      <c r="F1795" s="236"/>
      <c r="G1795" s="237"/>
      <c r="H1795" s="237"/>
      <c r="I1795" s="238"/>
      <c r="J1795" s="235"/>
      <c r="K1795" s="235"/>
      <c r="L1795" s="235"/>
      <c r="M1795" s="235"/>
      <c r="N1795" s="239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  <c r="AD1795" s="6"/>
      <c r="AE1795" s="6"/>
      <c r="AF1795" s="6"/>
      <c r="AG1795" s="6"/>
      <c r="AH1795" s="6"/>
      <c r="AI1795" s="6"/>
      <c r="AJ1795" s="6"/>
      <c r="AK1795" s="6"/>
      <c r="AL1795" s="6"/>
      <c r="AM1795" s="6"/>
      <c r="AN1795" s="6"/>
      <c r="AO1795" s="6"/>
      <c r="AP1795" s="6"/>
      <c r="AQ1795" s="6"/>
      <c r="AR1795" s="6"/>
      <c r="AS1795" s="6"/>
    </row>
    <row r="1796" spans="1:45" ht="16.5" customHeight="1">
      <c r="A1796" s="235"/>
      <c r="B1796" s="235"/>
      <c r="C1796" s="235"/>
      <c r="D1796" s="235"/>
      <c r="E1796" s="235"/>
      <c r="F1796" s="236"/>
      <c r="G1796" s="237"/>
      <c r="H1796" s="237"/>
      <c r="I1796" s="238"/>
      <c r="J1796" s="235"/>
      <c r="K1796" s="235"/>
      <c r="L1796" s="235"/>
      <c r="M1796" s="235"/>
      <c r="N1796" s="239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  <c r="AD1796" s="6"/>
      <c r="AE1796" s="6"/>
      <c r="AF1796" s="6"/>
      <c r="AG1796" s="6"/>
      <c r="AH1796" s="6"/>
      <c r="AI1796" s="6"/>
      <c r="AJ1796" s="6"/>
      <c r="AK1796" s="6"/>
      <c r="AL1796" s="6"/>
      <c r="AM1796" s="6"/>
      <c r="AN1796" s="6"/>
      <c r="AO1796" s="6"/>
      <c r="AP1796" s="6"/>
      <c r="AQ1796" s="6"/>
      <c r="AR1796" s="6"/>
      <c r="AS1796" s="6"/>
    </row>
    <row r="1797" spans="1:45" ht="16.5" customHeight="1">
      <c r="A1797" s="235"/>
      <c r="B1797" s="235"/>
      <c r="C1797" s="235"/>
      <c r="D1797" s="235"/>
      <c r="E1797" s="235"/>
      <c r="F1797" s="236"/>
      <c r="G1797" s="237"/>
      <c r="H1797" s="237"/>
      <c r="I1797" s="238"/>
      <c r="J1797" s="235"/>
      <c r="K1797" s="235"/>
      <c r="L1797" s="235"/>
      <c r="M1797" s="235"/>
      <c r="N1797" s="239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  <c r="AD1797" s="6"/>
      <c r="AE1797" s="6"/>
      <c r="AF1797" s="6"/>
      <c r="AG1797" s="6"/>
      <c r="AH1797" s="6"/>
      <c r="AI1797" s="6"/>
      <c r="AJ1797" s="6"/>
      <c r="AK1797" s="6"/>
      <c r="AL1797" s="6"/>
      <c r="AM1797" s="6"/>
      <c r="AN1797" s="6"/>
      <c r="AO1797" s="6"/>
      <c r="AP1797" s="6"/>
      <c r="AQ1797" s="6"/>
      <c r="AR1797" s="6"/>
      <c r="AS1797" s="6"/>
    </row>
    <row r="1798" spans="1:45" ht="16.5" customHeight="1">
      <c r="A1798" s="235"/>
      <c r="B1798" s="235"/>
      <c r="C1798" s="235"/>
      <c r="D1798" s="235"/>
      <c r="E1798" s="235"/>
      <c r="F1798" s="236"/>
      <c r="G1798" s="237"/>
      <c r="H1798" s="237"/>
      <c r="I1798" s="238"/>
      <c r="J1798" s="235"/>
      <c r="K1798" s="235"/>
      <c r="L1798" s="235"/>
      <c r="M1798" s="235"/>
      <c r="N1798" s="239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  <c r="AL1798" s="6"/>
      <c r="AM1798" s="6"/>
      <c r="AN1798" s="6"/>
      <c r="AO1798" s="6"/>
      <c r="AP1798" s="6"/>
      <c r="AQ1798" s="6"/>
      <c r="AR1798" s="6"/>
      <c r="AS1798" s="6"/>
    </row>
    <row r="1799" spans="1:45" ht="16.5" customHeight="1">
      <c r="A1799" s="235"/>
      <c r="B1799" s="235"/>
      <c r="C1799" s="235"/>
      <c r="D1799" s="235"/>
      <c r="E1799" s="235"/>
      <c r="F1799" s="236"/>
      <c r="G1799" s="237"/>
      <c r="H1799" s="237"/>
      <c r="I1799" s="238"/>
      <c r="J1799" s="235"/>
      <c r="K1799" s="235"/>
      <c r="L1799" s="235"/>
      <c r="M1799" s="235"/>
      <c r="N1799" s="239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  <c r="AD1799" s="6"/>
      <c r="AE1799" s="6"/>
      <c r="AF1799" s="6"/>
      <c r="AG1799" s="6"/>
      <c r="AH1799" s="6"/>
      <c r="AI1799" s="6"/>
      <c r="AJ1799" s="6"/>
      <c r="AK1799" s="6"/>
      <c r="AL1799" s="6"/>
      <c r="AM1799" s="6"/>
      <c r="AN1799" s="6"/>
      <c r="AO1799" s="6"/>
      <c r="AP1799" s="6"/>
      <c r="AQ1799" s="6"/>
      <c r="AR1799" s="6"/>
      <c r="AS1799" s="6"/>
    </row>
    <row r="1800" spans="1:45" ht="16.5" customHeight="1">
      <c r="A1800" s="235"/>
      <c r="B1800" s="235"/>
      <c r="C1800" s="235"/>
      <c r="D1800" s="235"/>
      <c r="E1800" s="235"/>
      <c r="F1800" s="236"/>
      <c r="G1800" s="237"/>
      <c r="H1800" s="237"/>
      <c r="I1800" s="238"/>
      <c r="J1800" s="235"/>
      <c r="K1800" s="235"/>
      <c r="L1800" s="235"/>
      <c r="M1800" s="235"/>
      <c r="N1800" s="239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6"/>
      <c r="AM1800" s="6"/>
      <c r="AN1800" s="6"/>
      <c r="AO1800" s="6"/>
      <c r="AP1800" s="6"/>
      <c r="AQ1800" s="6"/>
      <c r="AR1800" s="6"/>
      <c r="AS1800" s="6"/>
    </row>
    <row r="1801" spans="1:45" ht="16.5" customHeight="1">
      <c r="A1801" s="235"/>
      <c r="B1801" s="235"/>
      <c r="C1801" s="235"/>
      <c r="D1801" s="235"/>
      <c r="E1801" s="235"/>
      <c r="F1801" s="236"/>
      <c r="G1801" s="237"/>
      <c r="H1801" s="237"/>
      <c r="I1801" s="238"/>
      <c r="J1801" s="235"/>
      <c r="K1801" s="235"/>
      <c r="L1801" s="235"/>
      <c r="M1801" s="235"/>
      <c r="N1801" s="239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  <c r="AD1801" s="6"/>
      <c r="AE1801" s="6"/>
      <c r="AF1801" s="6"/>
      <c r="AG1801" s="6"/>
      <c r="AH1801" s="6"/>
      <c r="AI1801" s="6"/>
      <c r="AJ1801" s="6"/>
      <c r="AK1801" s="6"/>
      <c r="AL1801" s="6"/>
      <c r="AM1801" s="6"/>
      <c r="AN1801" s="6"/>
      <c r="AO1801" s="6"/>
      <c r="AP1801" s="6"/>
      <c r="AQ1801" s="6"/>
      <c r="AR1801" s="6"/>
      <c r="AS1801" s="6"/>
    </row>
    <row r="1802" spans="1:45" ht="16.5" customHeight="1">
      <c r="A1802" s="235"/>
      <c r="B1802" s="235"/>
      <c r="C1802" s="235"/>
      <c r="D1802" s="235"/>
      <c r="E1802" s="235"/>
      <c r="F1802" s="236"/>
      <c r="G1802" s="237"/>
      <c r="H1802" s="237"/>
      <c r="I1802" s="238"/>
      <c r="J1802" s="235"/>
      <c r="K1802" s="235"/>
      <c r="L1802" s="235"/>
      <c r="M1802" s="235"/>
      <c r="N1802" s="239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  <c r="AL1802" s="6"/>
      <c r="AM1802" s="6"/>
      <c r="AN1802" s="6"/>
      <c r="AO1802" s="6"/>
      <c r="AP1802" s="6"/>
      <c r="AQ1802" s="6"/>
      <c r="AR1802" s="6"/>
      <c r="AS1802" s="6"/>
    </row>
    <row r="1803" spans="1:45" ht="16.5" customHeight="1">
      <c r="A1803" s="235"/>
      <c r="B1803" s="235"/>
      <c r="C1803" s="235"/>
      <c r="D1803" s="235"/>
      <c r="E1803" s="235"/>
      <c r="F1803" s="236"/>
      <c r="G1803" s="237"/>
      <c r="H1803" s="237"/>
      <c r="I1803" s="238"/>
      <c r="J1803" s="235"/>
      <c r="K1803" s="235"/>
      <c r="L1803" s="235"/>
      <c r="M1803" s="235"/>
      <c r="N1803" s="239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  <c r="AD1803" s="6"/>
      <c r="AE1803" s="6"/>
      <c r="AF1803" s="6"/>
      <c r="AG1803" s="6"/>
      <c r="AH1803" s="6"/>
      <c r="AI1803" s="6"/>
      <c r="AJ1803" s="6"/>
      <c r="AK1803" s="6"/>
      <c r="AL1803" s="6"/>
      <c r="AM1803" s="6"/>
      <c r="AN1803" s="6"/>
      <c r="AO1803" s="6"/>
      <c r="AP1803" s="6"/>
      <c r="AQ1803" s="6"/>
      <c r="AR1803" s="6"/>
      <c r="AS1803" s="6"/>
    </row>
    <row r="1804" spans="1:45" ht="16.5" customHeight="1">
      <c r="A1804" s="235"/>
      <c r="B1804" s="235"/>
      <c r="C1804" s="235"/>
      <c r="D1804" s="235"/>
      <c r="E1804" s="235"/>
      <c r="F1804" s="236"/>
      <c r="G1804" s="237"/>
      <c r="H1804" s="237"/>
      <c r="I1804" s="238"/>
      <c r="J1804" s="235"/>
      <c r="K1804" s="235"/>
      <c r="L1804" s="235"/>
      <c r="M1804" s="235"/>
      <c r="N1804" s="239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6"/>
      <c r="AM1804" s="6"/>
      <c r="AN1804" s="6"/>
      <c r="AO1804" s="6"/>
      <c r="AP1804" s="6"/>
      <c r="AQ1804" s="6"/>
      <c r="AR1804" s="6"/>
      <c r="AS1804" s="6"/>
    </row>
    <row r="1805" spans="1:45" ht="16.5" customHeight="1">
      <c r="A1805" s="235"/>
      <c r="B1805" s="235"/>
      <c r="C1805" s="235"/>
      <c r="D1805" s="235"/>
      <c r="E1805" s="235"/>
      <c r="F1805" s="236"/>
      <c r="G1805" s="237"/>
      <c r="H1805" s="237"/>
      <c r="I1805" s="238"/>
      <c r="J1805" s="235"/>
      <c r="K1805" s="235"/>
      <c r="L1805" s="235"/>
      <c r="M1805" s="235"/>
      <c r="N1805" s="239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M1805" s="6"/>
      <c r="AN1805" s="6"/>
      <c r="AO1805" s="6"/>
      <c r="AP1805" s="6"/>
      <c r="AQ1805" s="6"/>
      <c r="AR1805" s="6"/>
      <c r="AS1805" s="6"/>
    </row>
    <row r="1806" spans="1:45" ht="16.5" customHeight="1">
      <c r="A1806" s="235"/>
      <c r="B1806" s="235"/>
      <c r="C1806" s="235"/>
      <c r="D1806" s="235"/>
      <c r="E1806" s="235"/>
      <c r="F1806" s="236"/>
      <c r="G1806" s="237"/>
      <c r="H1806" s="237"/>
      <c r="I1806" s="238"/>
      <c r="J1806" s="235"/>
      <c r="K1806" s="235"/>
      <c r="L1806" s="235"/>
      <c r="M1806" s="235"/>
      <c r="N1806" s="239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  <c r="AL1806" s="6"/>
      <c r="AM1806" s="6"/>
      <c r="AN1806" s="6"/>
      <c r="AO1806" s="6"/>
      <c r="AP1806" s="6"/>
      <c r="AQ1806" s="6"/>
      <c r="AR1806" s="6"/>
      <c r="AS1806" s="6"/>
    </row>
    <row r="1807" spans="1:45" ht="16.5" customHeight="1">
      <c r="A1807" s="235"/>
      <c r="B1807" s="235"/>
      <c r="C1807" s="235"/>
      <c r="D1807" s="235"/>
      <c r="E1807" s="235"/>
      <c r="F1807" s="236"/>
      <c r="G1807" s="237"/>
      <c r="H1807" s="237"/>
      <c r="I1807" s="238"/>
      <c r="J1807" s="235"/>
      <c r="K1807" s="235"/>
      <c r="L1807" s="235"/>
      <c r="M1807" s="235"/>
      <c r="N1807" s="239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6"/>
      <c r="AM1807" s="6"/>
      <c r="AN1807" s="6"/>
      <c r="AO1807" s="6"/>
      <c r="AP1807" s="6"/>
      <c r="AQ1807" s="6"/>
      <c r="AR1807" s="6"/>
      <c r="AS1807" s="6"/>
    </row>
    <row r="1808" spans="1:45" ht="16.5" customHeight="1">
      <c r="A1808" s="235"/>
      <c r="B1808" s="235"/>
      <c r="C1808" s="235"/>
      <c r="D1808" s="235"/>
      <c r="E1808" s="235"/>
      <c r="F1808" s="236"/>
      <c r="G1808" s="237"/>
      <c r="H1808" s="237"/>
      <c r="I1808" s="238"/>
      <c r="J1808" s="235"/>
      <c r="K1808" s="235"/>
      <c r="L1808" s="235"/>
      <c r="M1808" s="235"/>
      <c r="N1808" s="239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6"/>
      <c r="AM1808" s="6"/>
      <c r="AN1808" s="6"/>
      <c r="AO1808" s="6"/>
      <c r="AP1808" s="6"/>
      <c r="AQ1808" s="6"/>
      <c r="AR1808" s="6"/>
      <c r="AS1808" s="6"/>
    </row>
    <row r="1809" spans="1:45" ht="16.5" customHeight="1">
      <c r="A1809" s="235"/>
      <c r="B1809" s="235"/>
      <c r="C1809" s="235"/>
      <c r="D1809" s="235"/>
      <c r="E1809" s="235"/>
      <c r="F1809" s="236"/>
      <c r="G1809" s="237"/>
      <c r="H1809" s="237"/>
      <c r="I1809" s="238"/>
      <c r="J1809" s="235"/>
      <c r="K1809" s="235"/>
      <c r="L1809" s="235"/>
      <c r="M1809" s="235"/>
      <c r="N1809" s="239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  <c r="AM1809" s="6"/>
      <c r="AN1809" s="6"/>
      <c r="AO1809" s="6"/>
      <c r="AP1809" s="6"/>
      <c r="AQ1809" s="6"/>
      <c r="AR1809" s="6"/>
      <c r="AS1809" s="6"/>
    </row>
    <row r="1810" spans="1:45" ht="16.5" customHeight="1">
      <c r="A1810" s="235"/>
      <c r="B1810" s="235"/>
      <c r="C1810" s="235"/>
      <c r="D1810" s="235"/>
      <c r="E1810" s="235"/>
      <c r="F1810" s="236"/>
      <c r="G1810" s="237"/>
      <c r="H1810" s="237"/>
      <c r="I1810" s="238"/>
      <c r="J1810" s="235"/>
      <c r="K1810" s="235"/>
      <c r="L1810" s="235"/>
      <c r="M1810" s="235"/>
      <c r="N1810" s="239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  <c r="AL1810" s="6"/>
      <c r="AM1810" s="6"/>
      <c r="AN1810" s="6"/>
      <c r="AO1810" s="6"/>
      <c r="AP1810" s="6"/>
      <c r="AQ1810" s="6"/>
      <c r="AR1810" s="6"/>
      <c r="AS1810" s="6"/>
    </row>
    <row r="1811" spans="1:45" ht="16.5" customHeight="1">
      <c r="A1811" s="235"/>
      <c r="B1811" s="235"/>
      <c r="C1811" s="235"/>
      <c r="D1811" s="235"/>
      <c r="E1811" s="235"/>
      <c r="F1811" s="236"/>
      <c r="G1811" s="237"/>
      <c r="H1811" s="237"/>
      <c r="I1811" s="238"/>
      <c r="J1811" s="235"/>
      <c r="K1811" s="235"/>
      <c r="L1811" s="235"/>
      <c r="M1811" s="235"/>
      <c r="N1811" s="239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6"/>
      <c r="AM1811" s="6"/>
      <c r="AN1811" s="6"/>
      <c r="AO1811" s="6"/>
      <c r="AP1811" s="6"/>
      <c r="AQ1811" s="6"/>
      <c r="AR1811" s="6"/>
      <c r="AS1811" s="6"/>
    </row>
    <row r="1812" spans="1:45" ht="16.5" customHeight="1">
      <c r="A1812" s="235"/>
      <c r="B1812" s="235"/>
      <c r="C1812" s="235"/>
      <c r="D1812" s="235"/>
      <c r="E1812" s="235"/>
      <c r="F1812" s="236"/>
      <c r="G1812" s="237"/>
      <c r="H1812" s="237"/>
      <c r="I1812" s="238"/>
      <c r="J1812" s="235"/>
      <c r="K1812" s="235"/>
      <c r="L1812" s="235"/>
      <c r="M1812" s="235"/>
      <c r="N1812" s="239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  <c r="AM1812" s="6"/>
      <c r="AN1812" s="6"/>
      <c r="AO1812" s="6"/>
      <c r="AP1812" s="6"/>
      <c r="AQ1812" s="6"/>
      <c r="AR1812" s="6"/>
      <c r="AS1812" s="6"/>
    </row>
    <row r="1813" spans="1:45" ht="16.5" customHeight="1">
      <c r="A1813" s="235"/>
      <c r="B1813" s="235"/>
      <c r="C1813" s="235"/>
      <c r="D1813" s="235"/>
      <c r="E1813" s="235"/>
      <c r="F1813" s="236"/>
      <c r="G1813" s="237"/>
      <c r="H1813" s="237"/>
      <c r="I1813" s="238"/>
      <c r="J1813" s="235"/>
      <c r="K1813" s="235"/>
      <c r="L1813" s="235"/>
      <c r="M1813" s="235"/>
      <c r="N1813" s="239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  <c r="AC1813" s="6"/>
      <c r="AD1813" s="6"/>
      <c r="AE1813" s="6"/>
      <c r="AF1813" s="6"/>
      <c r="AG1813" s="6"/>
      <c r="AH1813" s="6"/>
      <c r="AI1813" s="6"/>
      <c r="AJ1813" s="6"/>
      <c r="AK1813" s="6"/>
      <c r="AL1813" s="6"/>
      <c r="AM1813" s="6"/>
      <c r="AN1813" s="6"/>
      <c r="AO1813" s="6"/>
      <c r="AP1813" s="6"/>
      <c r="AQ1813" s="6"/>
      <c r="AR1813" s="6"/>
      <c r="AS1813" s="6"/>
    </row>
    <row r="1814" spans="1:45" ht="16.5" customHeight="1">
      <c r="A1814" s="235"/>
      <c r="B1814" s="235"/>
      <c r="C1814" s="235"/>
      <c r="D1814" s="235"/>
      <c r="E1814" s="235"/>
      <c r="F1814" s="236"/>
      <c r="G1814" s="237"/>
      <c r="H1814" s="237"/>
      <c r="I1814" s="238"/>
      <c r="J1814" s="235"/>
      <c r="K1814" s="235"/>
      <c r="L1814" s="235"/>
      <c r="M1814" s="235"/>
      <c r="N1814" s="239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6"/>
      <c r="AM1814" s="6"/>
      <c r="AN1814" s="6"/>
      <c r="AO1814" s="6"/>
      <c r="AP1814" s="6"/>
      <c r="AQ1814" s="6"/>
      <c r="AR1814" s="6"/>
      <c r="AS1814" s="6"/>
    </row>
    <row r="1815" spans="1:45" ht="16.5" customHeight="1">
      <c r="A1815" s="235"/>
      <c r="B1815" s="235"/>
      <c r="C1815" s="235"/>
      <c r="D1815" s="235"/>
      <c r="E1815" s="235"/>
      <c r="F1815" s="236"/>
      <c r="G1815" s="237"/>
      <c r="H1815" s="237"/>
      <c r="I1815" s="238"/>
      <c r="J1815" s="235"/>
      <c r="K1815" s="235"/>
      <c r="L1815" s="235"/>
      <c r="M1815" s="235"/>
      <c r="N1815" s="239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  <c r="AD1815" s="6"/>
      <c r="AE1815" s="6"/>
      <c r="AF1815" s="6"/>
      <c r="AG1815" s="6"/>
      <c r="AH1815" s="6"/>
      <c r="AI1815" s="6"/>
      <c r="AJ1815" s="6"/>
      <c r="AK1815" s="6"/>
      <c r="AL1815" s="6"/>
      <c r="AM1815" s="6"/>
      <c r="AN1815" s="6"/>
      <c r="AO1815" s="6"/>
      <c r="AP1815" s="6"/>
      <c r="AQ1815" s="6"/>
      <c r="AR1815" s="6"/>
      <c r="AS1815" s="6"/>
    </row>
    <row r="1816" spans="1:45" ht="16.5" customHeight="1">
      <c r="A1816" s="235"/>
      <c r="B1816" s="235"/>
      <c r="C1816" s="235"/>
      <c r="D1816" s="235"/>
      <c r="E1816" s="235"/>
      <c r="F1816" s="236"/>
      <c r="G1816" s="237"/>
      <c r="H1816" s="237"/>
      <c r="I1816" s="238"/>
      <c r="J1816" s="235"/>
      <c r="K1816" s="235"/>
      <c r="L1816" s="235"/>
      <c r="M1816" s="235"/>
      <c r="N1816" s="239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6"/>
      <c r="AM1816" s="6"/>
      <c r="AN1816" s="6"/>
      <c r="AO1816" s="6"/>
      <c r="AP1816" s="6"/>
      <c r="AQ1816" s="6"/>
      <c r="AR1816" s="6"/>
      <c r="AS1816" s="6"/>
    </row>
    <row r="1817" spans="1:45" ht="16.5" customHeight="1">
      <c r="A1817" s="235"/>
      <c r="B1817" s="235"/>
      <c r="C1817" s="235"/>
      <c r="D1817" s="235"/>
      <c r="E1817" s="235"/>
      <c r="F1817" s="236"/>
      <c r="G1817" s="237"/>
      <c r="H1817" s="237"/>
      <c r="I1817" s="238"/>
      <c r="J1817" s="235"/>
      <c r="K1817" s="235"/>
      <c r="L1817" s="235"/>
      <c r="M1817" s="235"/>
      <c r="N1817" s="239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  <c r="AL1817" s="6"/>
      <c r="AM1817" s="6"/>
      <c r="AN1817" s="6"/>
      <c r="AO1817" s="6"/>
      <c r="AP1817" s="6"/>
      <c r="AQ1817" s="6"/>
      <c r="AR1817" s="6"/>
      <c r="AS1817" s="6"/>
    </row>
    <row r="1818" spans="1:45" ht="16.5" customHeight="1">
      <c r="A1818" s="235"/>
      <c r="B1818" s="235"/>
      <c r="C1818" s="235"/>
      <c r="D1818" s="235"/>
      <c r="E1818" s="235"/>
      <c r="F1818" s="236"/>
      <c r="G1818" s="237"/>
      <c r="H1818" s="237"/>
      <c r="I1818" s="238"/>
      <c r="J1818" s="235"/>
      <c r="K1818" s="235"/>
      <c r="L1818" s="235"/>
      <c r="M1818" s="235"/>
      <c r="N1818" s="239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  <c r="AL1818" s="6"/>
      <c r="AM1818" s="6"/>
      <c r="AN1818" s="6"/>
      <c r="AO1818" s="6"/>
      <c r="AP1818" s="6"/>
      <c r="AQ1818" s="6"/>
      <c r="AR1818" s="6"/>
      <c r="AS1818" s="6"/>
    </row>
    <row r="1819" spans="1:45" ht="16.5" customHeight="1">
      <c r="A1819" s="235"/>
      <c r="B1819" s="235"/>
      <c r="C1819" s="235"/>
      <c r="D1819" s="235"/>
      <c r="E1819" s="235"/>
      <c r="F1819" s="236"/>
      <c r="G1819" s="237"/>
      <c r="H1819" s="237"/>
      <c r="I1819" s="238"/>
      <c r="J1819" s="235"/>
      <c r="K1819" s="235"/>
      <c r="L1819" s="235"/>
      <c r="M1819" s="235"/>
      <c r="N1819" s="239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  <c r="AL1819" s="6"/>
      <c r="AM1819" s="6"/>
      <c r="AN1819" s="6"/>
      <c r="AO1819" s="6"/>
      <c r="AP1819" s="6"/>
      <c r="AQ1819" s="6"/>
      <c r="AR1819" s="6"/>
      <c r="AS1819" s="6"/>
    </row>
    <row r="1820" spans="1:45" ht="16.5" customHeight="1">
      <c r="A1820" s="235"/>
      <c r="B1820" s="235"/>
      <c r="C1820" s="235"/>
      <c r="D1820" s="235"/>
      <c r="E1820" s="235"/>
      <c r="F1820" s="236"/>
      <c r="G1820" s="237"/>
      <c r="H1820" s="237"/>
      <c r="I1820" s="238"/>
      <c r="J1820" s="235"/>
      <c r="K1820" s="235"/>
      <c r="L1820" s="235"/>
      <c r="M1820" s="235"/>
      <c r="N1820" s="239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6"/>
      <c r="AM1820" s="6"/>
      <c r="AN1820" s="6"/>
      <c r="AO1820" s="6"/>
      <c r="AP1820" s="6"/>
      <c r="AQ1820" s="6"/>
      <c r="AR1820" s="6"/>
      <c r="AS1820" s="6"/>
    </row>
    <row r="1821" spans="1:45" ht="16.5" customHeight="1">
      <c r="A1821" s="235"/>
      <c r="B1821" s="235"/>
      <c r="C1821" s="235"/>
      <c r="D1821" s="235"/>
      <c r="E1821" s="235"/>
      <c r="F1821" s="236"/>
      <c r="G1821" s="237"/>
      <c r="H1821" s="237"/>
      <c r="I1821" s="238"/>
      <c r="J1821" s="235"/>
      <c r="K1821" s="235"/>
      <c r="L1821" s="235"/>
      <c r="M1821" s="235"/>
      <c r="N1821" s="239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  <c r="AC1821" s="6"/>
      <c r="AD1821" s="6"/>
      <c r="AE1821" s="6"/>
      <c r="AF1821" s="6"/>
      <c r="AG1821" s="6"/>
      <c r="AH1821" s="6"/>
      <c r="AI1821" s="6"/>
      <c r="AJ1821" s="6"/>
      <c r="AK1821" s="6"/>
      <c r="AL1821" s="6"/>
      <c r="AM1821" s="6"/>
      <c r="AN1821" s="6"/>
      <c r="AO1821" s="6"/>
      <c r="AP1821" s="6"/>
      <c r="AQ1821" s="6"/>
      <c r="AR1821" s="6"/>
      <c r="AS1821" s="6"/>
    </row>
    <row r="1822" spans="1:45" ht="16.5" customHeight="1">
      <c r="A1822" s="235"/>
      <c r="B1822" s="235"/>
      <c r="C1822" s="235"/>
      <c r="D1822" s="235"/>
      <c r="E1822" s="235"/>
      <c r="F1822" s="236"/>
      <c r="G1822" s="237"/>
      <c r="H1822" s="237"/>
      <c r="I1822" s="238"/>
      <c r="J1822" s="235"/>
      <c r="K1822" s="235"/>
      <c r="L1822" s="235"/>
      <c r="M1822" s="235"/>
      <c r="N1822" s="239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/>
      <c r="AB1822" s="6"/>
      <c r="AC1822" s="6"/>
      <c r="AD1822" s="6"/>
      <c r="AE1822" s="6"/>
      <c r="AF1822" s="6"/>
      <c r="AG1822" s="6"/>
      <c r="AH1822" s="6"/>
      <c r="AI1822" s="6"/>
      <c r="AJ1822" s="6"/>
      <c r="AK1822" s="6"/>
      <c r="AL1822" s="6"/>
      <c r="AM1822" s="6"/>
      <c r="AN1822" s="6"/>
      <c r="AO1822" s="6"/>
      <c r="AP1822" s="6"/>
      <c r="AQ1822" s="6"/>
      <c r="AR1822" s="6"/>
      <c r="AS1822" s="6"/>
    </row>
    <row r="1823" spans="1:45" ht="16.5" customHeight="1">
      <c r="A1823" s="235"/>
      <c r="B1823" s="235"/>
      <c r="C1823" s="235"/>
      <c r="D1823" s="235"/>
      <c r="E1823" s="235"/>
      <c r="F1823" s="236"/>
      <c r="G1823" s="237"/>
      <c r="H1823" s="237"/>
      <c r="I1823" s="238"/>
      <c r="J1823" s="235"/>
      <c r="K1823" s="235"/>
      <c r="L1823" s="235"/>
      <c r="M1823" s="235"/>
      <c r="N1823" s="239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  <c r="AB1823" s="6"/>
      <c r="AC1823" s="6"/>
      <c r="AD1823" s="6"/>
      <c r="AE1823" s="6"/>
      <c r="AF1823" s="6"/>
      <c r="AG1823" s="6"/>
      <c r="AH1823" s="6"/>
      <c r="AI1823" s="6"/>
      <c r="AJ1823" s="6"/>
      <c r="AK1823" s="6"/>
      <c r="AL1823" s="6"/>
      <c r="AM1823" s="6"/>
      <c r="AN1823" s="6"/>
      <c r="AO1823" s="6"/>
      <c r="AP1823" s="6"/>
      <c r="AQ1823" s="6"/>
      <c r="AR1823" s="6"/>
      <c r="AS1823" s="6"/>
    </row>
    <row r="1824" spans="1:45" ht="16.5" customHeight="1">
      <c r="A1824" s="235"/>
      <c r="B1824" s="235"/>
      <c r="C1824" s="235"/>
      <c r="D1824" s="235"/>
      <c r="E1824" s="235"/>
      <c r="F1824" s="236"/>
      <c r="G1824" s="237"/>
      <c r="H1824" s="237"/>
      <c r="I1824" s="238"/>
      <c r="J1824" s="235"/>
      <c r="K1824" s="235"/>
      <c r="L1824" s="235"/>
      <c r="M1824" s="235"/>
      <c r="N1824" s="239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6"/>
      <c r="AB1824" s="6"/>
      <c r="AC1824" s="6"/>
      <c r="AD1824" s="6"/>
      <c r="AE1824" s="6"/>
      <c r="AF1824" s="6"/>
      <c r="AG1824" s="6"/>
      <c r="AH1824" s="6"/>
      <c r="AI1824" s="6"/>
      <c r="AJ1824" s="6"/>
      <c r="AK1824" s="6"/>
      <c r="AL1824" s="6"/>
      <c r="AM1824" s="6"/>
      <c r="AN1824" s="6"/>
      <c r="AO1824" s="6"/>
      <c r="AP1824" s="6"/>
      <c r="AQ1824" s="6"/>
      <c r="AR1824" s="6"/>
      <c r="AS1824" s="6"/>
    </row>
    <row r="1825" spans="1:45" ht="16.5" customHeight="1">
      <c r="A1825" s="235"/>
      <c r="B1825" s="235"/>
      <c r="C1825" s="235"/>
      <c r="D1825" s="235"/>
      <c r="E1825" s="235"/>
      <c r="F1825" s="236"/>
      <c r="G1825" s="237"/>
      <c r="H1825" s="237"/>
      <c r="I1825" s="238"/>
      <c r="J1825" s="235"/>
      <c r="K1825" s="235"/>
      <c r="L1825" s="235"/>
      <c r="M1825" s="235"/>
      <c r="N1825" s="239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  <c r="AB1825" s="6"/>
      <c r="AC1825" s="6"/>
      <c r="AD1825" s="6"/>
      <c r="AE1825" s="6"/>
      <c r="AF1825" s="6"/>
      <c r="AG1825" s="6"/>
      <c r="AH1825" s="6"/>
      <c r="AI1825" s="6"/>
      <c r="AJ1825" s="6"/>
      <c r="AK1825" s="6"/>
      <c r="AL1825" s="6"/>
      <c r="AM1825" s="6"/>
      <c r="AN1825" s="6"/>
      <c r="AO1825" s="6"/>
      <c r="AP1825" s="6"/>
      <c r="AQ1825" s="6"/>
      <c r="AR1825" s="6"/>
      <c r="AS1825" s="6"/>
    </row>
    <row r="1826" spans="1:45" ht="16.5" customHeight="1">
      <c r="A1826" s="235"/>
      <c r="B1826" s="235"/>
      <c r="C1826" s="235"/>
      <c r="D1826" s="235"/>
      <c r="E1826" s="235"/>
      <c r="F1826" s="236"/>
      <c r="G1826" s="237"/>
      <c r="H1826" s="237"/>
      <c r="I1826" s="238"/>
      <c r="J1826" s="235"/>
      <c r="K1826" s="235"/>
      <c r="L1826" s="235"/>
      <c r="M1826" s="235"/>
      <c r="N1826" s="239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/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  <c r="AL1826" s="6"/>
      <c r="AM1826" s="6"/>
      <c r="AN1826" s="6"/>
      <c r="AO1826" s="6"/>
      <c r="AP1826" s="6"/>
      <c r="AQ1826" s="6"/>
      <c r="AR1826" s="6"/>
      <c r="AS1826" s="6"/>
    </row>
    <row r="1827" spans="1:45" ht="16.5" customHeight="1">
      <c r="A1827" s="235"/>
      <c r="B1827" s="235"/>
      <c r="C1827" s="235"/>
      <c r="D1827" s="235"/>
      <c r="E1827" s="235"/>
      <c r="F1827" s="236"/>
      <c r="G1827" s="237"/>
      <c r="H1827" s="237"/>
      <c r="I1827" s="238"/>
      <c r="J1827" s="235"/>
      <c r="K1827" s="235"/>
      <c r="L1827" s="235"/>
      <c r="M1827" s="235"/>
      <c r="N1827" s="239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  <c r="AB1827" s="6"/>
      <c r="AC1827" s="6"/>
      <c r="AD1827" s="6"/>
      <c r="AE1827" s="6"/>
      <c r="AF1827" s="6"/>
      <c r="AG1827" s="6"/>
      <c r="AH1827" s="6"/>
      <c r="AI1827" s="6"/>
      <c r="AJ1827" s="6"/>
      <c r="AK1827" s="6"/>
      <c r="AL1827" s="6"/>
      <c r="AM1827" s="6"/>
      <c r="AN1827" s="6"/>
      <c r="AO1827" s="6"/>
      <c r="AP1827" s="6"/>
      <c r="AQ1827" s="6"/>
      <c r="AR1827" s="6"/>
      <c r="AS1827" s="6"/>
    </row>
    <row r="1828" spans="1:45" ht="16.5" customHeight="1">
      <c r="A1828" s="235"/>
      <c r="B1828" s="235"/>
      <c r="C1828" s="235"/>
      <c r="D1828" s="235"/>
      <c r="E1828" s="235"/>
      <c r="F1828" s="236"/>
      <c r="G1828" s="237"/>
      <c r="H1828" s="237"/>
      <c r="I1828" s="238"/>
      <c r="J1828" s="235"/>
      <c r="K1828" s="235"/>
      <c r="L1828" s="235"/>
      <c r="M1828" s="235"/>
      <c r="N1828" s="239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  <c r="AL1828" s="6"/>
      <c r="AM1828" s="6"/>
      <c r="AN1828" s="6"/>
      <c r="AO1828" s="6"/>
      <c r="AP1828" s="6"/>
      <c r="AQ1828" s="6"/>
      <c r="AR1828" s="6"/>
      <c r="AS1828" s="6"/>
    </row>
    <row r="1829" spans="1:45" ht="16.5" customHeight="1">
      <c r="A1829" s="235"/>
      <c r="B1829" s="235"/>
      <c r="C1829" s="235"/>
      <c r="D1829" s="235"/>
      <c r="E1829" s="235"/>
      <c r="F1829" s="236"/>
      <c r="G1829" s="237"/>
      <c r="H1829" s="237"/>
      <c r="I1829" s="238"/>
      <c r="J1829" s="235"/>
      <c r="K1829" s="235"/>
      <c r="L1829" s="235"/>
      <c r="M1829" s="235"/>
      <c r="N1829" s="239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  <c r="AB1829" s="6"/>
      <c r="AC1829" s="6"/>
      <c r="AD1829" s="6"/>
      <c r="AE1829" s="6"/>
      <c r="AF1829" s="6"/>
      <c r="AG1829" s="6"/>
      <c r="AH1829" s="6"/>
      <c r="AI1829" s="6"/>
      <c r="AJ1829" s="6"/>
      <c r="AK1829" s="6"/>
      <c r="AL1829" s="6"/>
      <c r="AM1829" s="6"/>
      <c r="AN1829" s="6"/>
      <c r="AO1829" s="6"/>
      <c r="AP1829" s="6"/>
      <c r="AQ1829" s="6"/>
      <c r="AR1829" s="6"/>
      <c r="AS1829" s="6"/>
    </row>
    <row r="1830" spans="1:45" ht="16.5" customHeight="1">
      <c r="A1830" s="235"/>
      <c r="B1830" s="235"/>
      <c r="C1830" s="235"/>
      <c r="D1830" s="235"/>
      <c r="E1830" s="235"/>
      <c r="F1830" s="236"/>
      <c r="G1830" s="237"/>
      <c r="H1830" s="237"/>
      <c r="I1830" s="238"/>
      <c r="J1830" s="235"/>
      <c r="K1830" s="235"/>
      <c r="L1830" s="235"/>
      <c r="M1830" s="235"/>
      <c r="N1830" s="239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  <c r="AL1830" s="6"/>
      <c r="AM1830" s="6"/>
      <c r="AN1830" s="6"/>
      <c r="AO1830" s="6"/>
      <c r="AP1830" s="6"/>
      <c r="AQ1830" s="6"/>
      <c r="AR1830" s="6"/>
      <c r="AS1830" s="6"/>
    </row>
    <row r="1831" spans="1:45" ht="16.5" customHeight="1">
      <c r="A1831" s="235"/>
      <c r="B1831" s="235"/>
      <c r="C1831" s="235"/>
      <c r="D1831" s="235"/>
      <c r="E1831" s="235"/>
      <c r="F1831" s="236"/>
      <c r="G1831" s="237"/>
      <c r="H1831" s="237"/>
      <c r="I1831" s="238"/>
      <c r="J1831" s="235"/>
      <c r="K1831" s="235"/>
      <c r="L1831" s="235"/>
      <c r="M1831" s="235"/>
      <c r="N1831" s="239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/>
      <c r="AB1831" s="6"/>
      <c r="AC1831" s="6"/>
      <c r="AD1831" s="6"/>
      <c r="AE1831" s="6"/>
      <c r="AF1831" s="6"/>
      <c r="AG1831" s="6"/>
      <c r="AH1831" s="6"/>
      <c r="AI1831" s="6"/>
      <c r="AJ1831" s="6"/>
      <c r="AK1831" s="6"/>
      <c r="AL1831" s="6"/>
      <c r="AM1831" s="6"/>
      <c r="AN1831" s="6"/>
      <c r="AO1831" s="6"/>
      <c r="AP1831" s="6"/>
      <c r="AQ1831" s="6"/>
      <c r="AR1831" s="6"/>
      <c r="AS1831" s="6"/>
    </row>
    <row r="1832" spans="1:45" ht="16.5" customHeight="1">
      <c r="A1832" s="235"/>
      <c r="B1832" s="235"/>
      <c r="C1832" s="235"/>
      <c r="D1832" s="235"/>
      <c r="E1832" s="235"/>
      <c r="F1832" s="236"/>
      <c r="G1832" s="237"/>
      <c r="H1832" s="237"/>
      <c r="I1832" s="238"/>
      <c r="J1832" s="235"/>
      <c r="K1832" s="235"/>
      <c r="L1832" s="235"/>
      <c r="M1832" s="235"/>
      <c r="N1832" s="239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  <c r="AB1832" s="6"/>
      <c r="AC1832" s="6"/>
      <c r="AD1832" s="6"/>
      <c r="AE1832" s="6"/>
      <c r="AF1832" s="6"/>
      <c r="AG1832" s="6"/>
      <c r="AH1832" s="6"/>
      <c r="AI1832" s="6"/>
      <c r="AJ1832" s="6"/>
      <c r="AK1832" s="6"/>
      <c r="AL1832" s="6"/>
      <c r="AM1832" s="6"/>
      <c r="AN1832" s="6"/>
      <c r="AO1832" s="6"/>
      <c r="AP1832" s="6"/>
      <c r="AQ1832" s="6"/>
      <c r="AR1832" s="6"/>
      <c r="AS1832" s="6"/>
    </row>
    <row r="1833" spans="1:45" ht="16.5" customHeight="1">
      <c r="A1833" s="235"/>
      <c r="B1833" s="235"/>
      <c r="C1833" s="235"/>
      <c r="D1833" s="235"/>
      <c r="E1833" s="235"/>
      <c r="F1833" s="236"/>
      <c r="G1833" s="237"/>
      <c r="H1833" s="237"/>
      <c r="I1833" s="238"/>
      <c r="J1833" s="235"/>
      <c r="K1833" s="235"/>
      <c r="L1833" s="235"/>
      <c r="M1833" s="235"/>
      <c r="N1833" s="239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  <c r="AA1833" s="6"/>
      <c r="AB1833" s="6"/>
      <c r="AC1833" s="6"/>
      <c r="AD1833" s="6"/>
      <c r="AE1833" s="6"/>
      <c r="AF1833" s="6"/>
      <c r="AG1833" s="6"/>
      <c r="AH1833" s="6"/>
      <c r="AI1833" s="6"/>
      <c r="AJ1833" s="6"/>
      <c r="AK1833" s="6"/>
      <c r="AL1833" s="6"/>
      <c r="AM1833" s="6"/>
      <c r="AN1833" s="6"/>
      <c r="AO1833" s="6"/>
      <c r="AP1833" s="6"/>
      <c r="AQ1833" s="6"/>
      <c r="AR1833" s="6"/>
      <c r="AS1833" s="6"/>
    </row>
    <row r="1834" spans="1:45" ht="16.5" customHeight="1">
      <c r="A1834" s="235"/>
      <c r="B1834" s="235"/>
      <c r="C1834" s="235"/>
      <c r="D1834" s="235"/>
      <c r="E1834" s="235"/>
      <c r="F1834" s="236"/>
      <c r="G1834" s="237"/>
      <c r="H1834" s="237"/>
      <c r="I1834" s="238"/>
      <c r="J1834" s="235"/>
      <c r="K1834" s="235"/>
      <c r="L1834" s="235"/>
      <c r="M1834" s="235"/>
      <c r="N1834" s="239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  <c r="AB1834" s="6"/>
      <c r="AC1834" s="6"/>
      <c r="AD1834" s="6"/>
      <c r="AE1834" s="6"/>
      <c r="AF1834" s="6"/>
      <c r="AG1834" s="6"/>
      <c r="AH1834" s="6"/>
      <c r="AI1834" s="6"/>
      <c r="AJ1834" s="6"/>
      <c r="AK1834" s="6"/>
      <c r="AL1834" s="6"/>
      <c r="AM1834" s="6"/>
      <c r="AN1834" s="6"/>
      <c r="AO1834" s="6"/>
      <c r="AP1834" s="6"/>
      <c r="AQ1834" s="6"/>
      <c r="AR1834" s="6"/>
      <c r="AS1834" s="6"/>
    </row>
    <row r="1835" spans="1:45" ht="16.5" customHeight="1">
      <c r="A1835" s="235"/>
      <c r="B1835" s="235"/>
      <c r="C1835" s="235"/>
      <c r="D1835" s="235"/>
      <c r="E1835" s="235"/>
      <c r="F1835" s="236"/>
      <c r="G1835" s="237"/>
      <c r="H1835" s="237"/>
      <c r="I1835" s="238"/>
      <c r="J1835" s="235"/>
      <c r="K1835" s="235"/>
      <c r="L1835" s="235"/>
      <c r="M1835" s="235"/>
      <c r="N1835" s="239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  <c r="AL1835" s="6"/>
      <c r="AM1835" s="6"/>
      <c r="AN1835" s="6"/>
      <c r="AO1835" s="6"/>
      <c r="AP1835" s="6"/>
      <c r="AQ1835" s="6"/>
      <c r="AR1835" s="6"/>
      <c r="AS1835" s="6"/>
    </row>
    <row r="1836" spans="1:45" ht="16.5" customHeight="1">
      <c r="A1836" s="235"/>
      <c r="B1836" s="235"/>
      <c r="C1836" s="235"/>
      <c r="D1836" s="235"/>
      <c r="E1836" s="235"/>
      <c r="F1836" s="236"/>
      <c r="G1836" s="237"/>
      <c r="H1836" s="237"/>
      <c r="I1836" s="238"/>
      <c r="J1836" s="235"/>
      <c r="K1836" s="235"/>
      <c r="L1836" s="235"/>
      <c r="M1836" s="235"/>
      <c r="N1836" s="239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  <c r="AL1836" s="6"/>
      <c r="AM1836" s="6"/>
      <c r="AN1836" s="6"/>
      <c r="AO1836" s="6"/>
      <c r="AP1836" s="6"/>
      <c r="AQ1836" s="6"/>
      <c r="AR1836" s="6"/>
      <c r="AS1836" s="6"/>
    </row>
    <row r="1837" spans="1:45" ht="16.5" customHeight="1">
      <c r="A1837" s="235"/>
      <c r="B1837" s="235"/>
      <c r="C1837" s="235"/>
      <c r="D1837" s="235"/>
      <c r="E1837" s="235"/>
      <c r="F1837" s="236"/>
      <c r="G1837" s="237"/>
      <c r="H1837" s="237"/>
      <c r="I1837" s="238"/>
      <c r="J1837" s="235"/>
      <c r="K1837" s="235"/>
      <c r="L1837" s="235"/>
      <c r="M1837" s="235"/>
      <c r="N1837" s="239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  <c r="AC1837" s="6"/>
      <c r="AD1837" s="6"/>
      <c r="AE1837" s="6"/>
      <c r="AF1837" s="6"/>
      <c r="AG1837" s="6"/>
      <c r="AH1837" s="6"/>
      <c r="AI1837" s="6"/>
      <c r="AJ1837" s="6"/>
      <c r="AK1837" s="6"/>
      <c r="AL1837" s="6"/>
      <c r="AM1837" s="6"/>
      <c r="AN1837" s="6"/>
      <c r="AO1837" s="6"/>
      <c r="AP1837" s="6"/>
      <c r="AQ1837" s="6"/>
      <c r="AR1837" s="6"/>
      <c r="AS1837" s="6"/>
    </row>
    <row r="1838" spans="1:45" ht="16.5" customHeight="1">
      <c r="A1838" s="235"/>
      <c r="B1838" s="235"/>
      <c r="C1838" s="235"/>
      <c r="D1838" s="235"/>
      <c r="E1838" s="235"/>
      <c r="F1838" s="236"/>
      <c r="G1838" s="237"/>
      <c r="H1838" s="237"/>
      <c r="I1838" s="238"/>
      <c r="J1838" s="235"/>
      <c r="K1838" s="235"/>
      <c r="L1838" s="235"/>
      <c r="M1838" s="235"/>
      <c r="N1838" s="239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  <c r="AB1838" s="6"/>
      <c r="AC1838" s="6"/>
      <c r="AD1838" s="6"/>
      <c r="AE1838" s="6"/>
      <c r="AF1838" s="6"/>
      <c r="AG1838" s="6"/>
      <c r="AH1838" s="6"/>
      <c r="AI1838" s="6"/>
      <c r="AJ1838" s="6"/>
      <c r="AK1838" s="6"/>
      <c r="AL1838" s="6"/>
      <c r="AM1838" s="6"/>
      <c r="AN1838" s="6"/>
      <c r="AO1838" s="6"/>
      <c r="AP1838" s="6"/>
      <c r="AQ1838" s="6"/>
      <c r="AR1838" s="6"/>
      <c r="AS1838" s="6"/>
    </row>
    <row r="1839" spans="1:45" ht="16.5" customHeight="1">
      <c r="A1839" s="235"/>
      <c r="B1839" s="235"/>
      <c r="C1839" s="235"/>
      <c r="D1839" s="235"/>
      <c r="E1839" s="235"/>
      <c r="F1839" s="236"/>
      <c r="G1839" s="237"/>
      <c r="H1839" s="237"/>
      <c r="I1839" s="238"/>
      <c r="J1839" s="235"/>
      <c r="K1839" s="235"/>
      <c r="L1839" s="235"/>
      <c r="M1839" s="235"/>
      <c r="N1839" s="239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  <c r="AA1839" s="6"/>
      <c r="AB1839" s="6"/>
      <c r="AC1839" s="6"/>
      <c r="AD1839" s="6"/>
      <c r="AE1839" s="6"/>
      <c r="AF1839" s="6"/>
      <c r="AG1839" s="6"/>
      <c r="AH1839" s="6"/>
      <c r="AI1839" s="6"/>
      <c r="AJ1839" s="6"/>
      <c r="AK1839" s="6"/>
      <c r="AL1839" s="6"/>
      <c r="AM1839" s="6"/>
      <c r="AN1839" s="6"/>
      <c r="AO1839" s="6"/>
      <c r="AP1839" s="6"/>
      <c r="AQ1839" s="6"/>
      <c r="AR1839" s="6"/>
      <c r="AS1839" s="6"/>
    </row>
    <row r="1840" spans="1:45" ht="16.5" customHeight="1">
      <c r="A1840" s="235"/>
      <c r="B1840" s="235"/>
      <c r="C1840" s="235"/>
      <c r="D1840" s="235"/>
      <c r="E1840" s="235"/>
      <c r="F1840" s="236"/>
      <c r="G1840" s="237"/>
      <c r="H1840" s="237"/>
      <c r="I1840" s="238"/>
      <c r="J1840" s="235"/>
      <c r="K1840" s="235"/>
      <c r="L1840" s="235"/>
      <c r="M1840" s="235"/>
      <c r="N1840" s="239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  <c r="AA1840" s="6"/>
      <c r="AB1840" s="6"/>
      <c r="AC1840" s="6"/>
      <c r="AD1840" s="6"/>
      <c r="AE1840" s="6"/>
      <c r="AF1840" s="6"/>
      <c r="AG1840" s="6"/>
      <c r="AH1840" s="6"/>
      <c r="AI1840" s="6"/>
      <c r="AJ1840" s="6"/>
      <c r="AK1840" s="6"/>
      <c r="AL1840" s="6"/>
      <c r="AM1840" s="6"/>
      <c r="AN1840" s="6"/>
      <c r="AO1840" s="6"/>
      <c r="AP1840" s="6"/>
      <c r="AQ1840" s="6"/>
      <c r="AR1840" s="6"/>
      <c r="AS1840" s="6"/>
    </row>
    <row r="1841" spans="1:45" ht="16.5" customHeight="1">
      <c r="A1841" s="235"/>
      <c r="B1841" s="235"/>
      <c r="C1841" s="235"/>
      <c r="D1841" s="235"/>
      <c r="E1841" s="235"/>
      <c r="F1841" s="236"/>
      <c r="G1841" s="237"/>
      <c r="H1841" s="237"/>
      <c r="I1841" s="238"/>
      <c r="J1841" s="235"/>
      <c r="K1841" s="235"/>
      <c r="L1841" s="235"/>
      <c r="M1841" s="235"/>
      <c r="N1841" s="239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  <c r="AA1841" s="6"/>
      <c r="AB1841" s="6"/>
      <c r="AC1841" s="6"/>
      <c r="AD1841" s="6"/>
      <c r="AE1841" s="6"/>
      <c r="AF1841" s="6"/>
      <c r="AG1841" s="6"/>
      <c r="AH1841" s="6"/>
      <c r="AI1841" s="6"/>
      <c r="AJ1841" s="6"/>
      <c r="AK1841" s="6"/>
      <c r="AL1841" s="6"/>
      <c r="AM1841" s="6"/>
      <c r="AN1841" s="6"/>
      <c r="AO1841" s="6"/>
      <c r="AP1841" s="6"/>
      <c r="AQ1841" s="6"/>
      <c r="AR1841" s="6"/>
      <c r="AS1841" s="6"/>
    </row>
    <row r="1842" spans="1:45" ht="16.5" customHeight="1">
      <c r="A1842" s="235"/>
      <c r="B1842" s="235"/>
      <c r="C1842" s="235"/>
      <c r="D1842" s="235"/>
      <c r="E1842" s="235"/>
      <c r="F1842" s="236"/>
      <c r="G1842" s="237"/>
      <c r="H1842" s="237"/>
      <c r="I1842" s="238"/>
      <c r="J1842" s="235"/>
      <c r="K1842" s="235"/>
      <c r="L1842" s="235"/>
      <c r="M1842" s="235"/>
      <c r="N1842" s="239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  <c r="AA1842" s="6"/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/>
      <c r="AM1842" s="6"/>
      <c r="AN1842" s="6"/>
      <c r="AO1842" s="6"/>
      <c r="AP1842" s="6"/>
      <c r="AQ1842" s="6"/>
      <c r="AR1842" s="6"/>
      <c r="AS1842" s="6"/>
    </row>
    <row r="1843" spans="1:45" ht="16.5" customHeight="1">
      <c r="A1843" s="235"/>
      <c r="B1843" s="235"/>
      <c r="C1843" s="235"/>
      <c r="D1843" s="235"/>
      <c r="E1843" s="235"/>
      <c r="F1843" s="236"/>
      <c r="G1843" s="237"/>
      <c r="H1843" s="237"/>
      <c r="I1843" s="238"/>
      <c r="J1843" s="235"/>
      <c r="K1843" s="235"/>
      <c r="L1843" s="235"/>
      <c r="M1843" s="235"/>
      <c r="N1843" s="239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/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  <c r="AL1843" s="6"/>
      <c r="AM1843" s="6"/>
      <c r="AN1843" s="6"/>
      <c r="AO1843" s="6"/>
      <c r="AP1843" s="6"/>
      <c r="AQ1843" s="6"/>
      <c r="AR1843" s="6"/>
      <c r="AS1843" s="6"/>
    </row>
    <row r="1844" spans="1:45" ht="16.5" customHeight="1">
      <c r="A1844" s="235"/>
      <c r="B1844" s="235"/>
      <c r="C1844" s="235"/>
      <c r="D1844" s="235"/>
      <c r="E1844" s="235"/>
      <c r="F1844" s="236"/>
      <c r="G1844" s="237"/>
      <c r="H1844" s="237"/>
      <c r="I1844" s="238"/>
      <c r="J1844" s="235"/>
      <c r="K1844" s="235"/>
      <c r="L1844" s="235"/>
      <c r="M1844" s="235"/>
      <c r="N1844" s="239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  <c r="AA1844" s="6"/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  <c r="AL1844" s="6"/>
      <c r="AM1844" s="6"/>
      <c r="AN1844" s="6"/>
      <c r="AO1844" s="6"/>
      <c r="AP1844" s="6"/>
      <c r="AQ1844" s="6"/>
      <c r="AR1844" s="6"/>
      <c r="AS1844" s="6"/>
    </row>
    <row r="1845" spans="1:45" ht="16.5" customHeight="1">
      <c r="A1845" s="235"/>
      <c r="B1845" s="235"/>
      <c r="C1845" s="235"/>
      <c r="D1845" s="235"/>
      <c r="E1845" s="235"/>
      <c r="F1845" s="236"/>
      <c r="G1845" s="237"/>
      <c r="H1845" s="237"/>
      <c r="I1845" s="238"/>
      <c r="J1845" s="235"/>
      <c r="K1845" s="235"/>
      <c r="L1845" s="235"/>
      <c r="M1845" s="235"/>
      <c r="N1845" s="239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  <c r="AA1845" s="6"/>
      <c r="AB1845" s="6"/>
      <c r="AC1845" s="6"/>
      <c r="AD1845" s="6"/>
      <c r="AE1845" s="6"/>
      <c r="AF1845" s="6"/>
      <c r="AG1845" s="6"/>
      <c r="AH1845" s="6"/>
      <c r="AI1845" s="6"/>
      <c r="AJ1845" s="6"/>
      <c r="AK1845" s="6"/>
      <c r="AL1845" s="6"/>
      <c r="AM1845" s="6"/>
      <c r="AN1845" s="6"/>
      <c r="AO1845" s="6"/>
      <c r="AP1845" s="6"/>
      <c r="AQ1845" s="6"/>
      <c r="AR1845" s="6"/>
      <c r="AS1845" s="6"/>
    </row>
    <row r="1846" spans="1:45" ht="16.5" customHeight="1">
      <c r="A1846" s="235"/>
      <c r="B1846" s="235"/>
      <c r="C1846" s="235"/>
      <c r="D1846" s="235"/>
      <c r="E1846" s="235"/>
      <c r="F1846" s="236"/>
      <c r="G1846" s="237"/>
      <c r="H1846" s="237"/>
      <c r="I1846" s="238"/>
      <c r="J1846" s="235"/>
      <c r="K1846" s="235"/>
      <c r="L1846" s="235"/>
      <c r="M1846" s="235"/>
      <c r="N1846" s="239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  <c r="AA1846" s="6"/>
      <c r="AB1846" s="6"/>
      <c r="AC1846" s="6"/>
      <c r="AD1846" s="6"/>
      <c r="AE1846" s="6"/>
      <c r="AF1846" s="6"/>
      <c r="AG1846" s="6"/>
      <c r="AH1846" s="6"/>
      <c r="AI1846" s="6"/>
      <c r="AJ1846" s="6"/>
      <c r="AK1846" s="6"/>
      <c r="AL1846" s="6"/>
      <c r="AM1846" s="6"/>
      <c r="AN1846" s="6"/>
      <c r="AO1846" s="6"/>
      <c r="AP1846" s="6"/>
      <c r="AQ1846" s="6"/>
      <c r="AR1846" s="6"/>
      <c r="AS1846" s="6"/>
    </row>
    <row r="1847" spans="1:45" ht="16.5" customHeight="1">
      <c r="A1847" s="235"/>
      <c r="B1847" s="235"/>
      <c r="C1847" s="235"/>
      <c r="D1847" s="235"/>
      <c r="E1847" s="235"/>
      <c r="F1847" s="236"/>
      <c r="G1847" s="237"/>
      <c r="H1847" s="237"/>
      <c r="I1847" s="238"/>
      <c r="J1847" s="235"/>
      <c r="K1847" s="235"/>
      <c r="L1847" s="235"/>
      <c r="M1847" s="235"/>
      <c r="N1847" s="239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  <c r="AA1847" s="6"/>
      <c r="AB1847" s="6"/>
      <c r="AC1847" s="6"/>
      <c r="AD1847" s="6"/>
      <c r="AE1847" s="6"/>
      <c r="AF1847" s="6"/>
      <c r="AG1847" s="6"/>
      <c r="AH1847" s="6"/>
      <c r="AI1847" s="6"/>
      <c r="AJ1847" s="6"/>
      <c r="AK1847" s="6"/>
      <c r="AL1847" s="6"/>
      <c r="AM1847" s="6"/>
      <c r="AN1847" s="6"/>
      <c r="AO1847" s="6"/>
      <c r="AP1847" s="6"/>
      <c r="AQ1847" s="6"/>
      <c r="AR1847" s="6"/>
      <c r="AS1847" s="6"/>
    </row>
    <row r="1848" spans="1:45" ht="16.5" customHeight="1">
      <c r="A1848" s="235"/>
      <c r="B1848" s="235"/>
      <c r="C1848" s="235"/>
      <c r="D1848" s="235"/>
      <c r="E1848" s="235"/>
      <c r="F1848" s="236"/>
      <c r="G1848" s="237"/>
      <c r="H1848" s="237"/>
      <c r="I1848" s="238"/>
      <c r="J1848" s="235"/>
      <c r="K1848" s="235"/>
      <c r="L1848" s="235"/>
      <c r="M1848" s="235"/>
      <c r="N1848" s="239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  <c r="AB1848" s="6"/>
      <c r="AC1848" s="6"/>
      <c r="AD1848" s="6"/>
      <c r="AE1848" s="6"/>
      <c r="AF1848" s="6"/>
      <c r="AG1848" s="6"/>
      <c r="AH1848" s="6"/>
      <c r="AI1848" s="6"/>
      <c r="AJ1848" s="6"/>
      <c r="AK1848" s="6"/>
      <c r="AL1848" s="6"/>
      <c r="AM1848" s="6"/>
      <c r="AN1848" s="6"/>
      <c r="AO1848" s="6"/>
      <c r="AP1848" s="6"/>
      <c r="AQ1848" s="6"/>
      <c r="AR1848" s="6"/>
      <c r="AS1848" s="6"/>
    </row>
    <row r="1849" spans="1:45" ht="16.5" customHeight="1">
      <c r="A1849" s="235"/>
      <c r="B1849" s="235"/>
      <c r="C1849" s="235"/>
      <c r="D1849" s="235"/>
      <c r="E1849" s="235"/>
      <c r="F1849" s="236"/>
      <c r="G1849" s="237"/>
      <c r="H1849" s="237"/>
      <c r="I1849" s="238"/>
      <c r="J1849" s="235"/>
      <c r="K1849" s="235"/>
      <c r="L1849" s="235"/>
      <c r="M1849" s="235"/>
      <c r="N1849" s="239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  <c r="AL1849" s="6"/>
      <c r="AM1849" s="6"/>
      <c r="AN1849" s="6"/>
      <c r="AO1849" s="6"/>
      <c r="AP1849" s="6"/>
      <c r="AQ1849" s="6"/>
      <c r="AR1849" s="6"/>
      <c r="AS1849" s="6"/>
    </row>
    <row r="1850" spans="1:45" ht="16.5" customHeight="1">
      <c r="A1850" s="235"/>
      <c r="B1850" s="235"/>
      <c r="C1850" s="235"/>
      <c r="D1850" s="235"/>
      <c r="E1850" s="235"/>
      <c r="F1850" s="236"/>
      <c r="G1850" s="237"/>
      <c r="H1850" s="237"/>
      <c r="I1850" s="238"/>
      <c r="J1850" s="235"/>
      <c r="K1850" s="235"/>
      <c r="L1850" s="235"/>
      <c r="M1850" s="235"/>
      <c r="N1850" s="239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A1850" s="6"/>
      <c r="AB1850" s="6"/>
      <c r="AC1850" s="6"/>
      <c r="AD1850" s="6"/>
      <c r="AE1850" s="6"/>
      <c r="AF1850" s="6"/>
      <c r="AG1850" s="6"/>
      <c r="AH1850" s="6"/>
      <c r="AI1850" s="6"/>
      <c r="AJ1850" s="6"/>
      <c r="AK1850" s="6"/>
      <c r="AL1850" s="6"/>
      <c r="AM1850" s="6"/>
      <c r="AN1850" s="6"/>
      <c r="AO1850" s="6"/>
      <c r="AP1850" s="6"/>
      <c r="AQ1850" s="6"/>
      <c r="AR1850" s="6"/>
      <c r="AS1850" s="6"/>
    </row>
    <row r="1851" spans="1:45" ht="16.5" customHeight="1">
      <c r="A1851" s="235"/>
      <c r="B1851" s="235"/>
      <c r="C1851" s="235"/>
      <c r="D1851" s="235"/>
      <c r="E1851" s="235"/>
      <c r="F1851" s="236"/>
      <c r="G1851" s="237"/>
      <c r="H1851" s="237"/>
      <c r="I1851" s="238"/>
      <c r="J1851" s="235"/>
      <c r="K1851" s="235"/>
      <c r="L1851" s="235"/>
      <c r="M1851" s="235"/>
      <c r="N1851" s="239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  <c r="AB1851" s="6"/>
      <c r="AC1851" s="6"/>
      <c r="AD1851" s="6"/>
      <c r="AE1851" s="6"/>
      <c r="AF1851" s="6"/>
      <c r="AG1851" s="6"/>
      <c r="AH1851" s="6"/>
      <c r="AI1851" s="6"/>
      <c r="AJ1851" s="6"/>
      <c r="AK1851" s="6"/>
      <c r="AL1851" s="6"/>
      <c r="AM1851" s="6"/>
      <c r="AN1851" s="6"/>
      <c r="AO1851" s="6"/>
      <c r="AP1851" s="6"/>
      <c r="AQ1851" s="6"/>
      <c r="AR1851" s="6"/>
      <c r="AS1851" s="6"/>
    </row>
    <row r="1852" spans="1:45" ht="16.5" customHeight="1">
      <c r="A1852" s="235"/>
      <c r="B1852" s="235"/>
      <c r="C1852" s="235"/>
      <c r="D1852" s="235"/>
      <c r="E1852" s="235"/>
      <c r="F1852" s="236"/>
      <c r="G1852" s="237"/>
      <c r="H1852" s="237"/>
      <c r="I1852" s="238"/>
      <c r="J1852" s="235"/>
      <c r="K1852" s="235"/>
      <c r="L1852" s="235"/>
      <c r="M1852" s="235"/>
      <c r="N1852" s="239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6"/>
      <c r="AM1852" s="6"/>
      <c r="AN1852" s="6"/>
      <c r="AO1852" s="6"/>
      <c r="AP1852" s="6"/>
      <c r="AQ1852" s="6"/>
      <c r="AR1852" s="6"/>
      <c r="AS1852" s="6"/>
    </row>
    <row r="1853" spans="1:45" ht="16.5" customHeight="1">
      <c r="A1853" s="235"/>
      <c r="B1853" s="235"/>
      <c r="C1853" s="235"/>
      <c r="D1853" s="235"/>
      <c r="E1853" s="235"/>
      <c r="F1853" s="236"/>
      <c r="G1853" s="237"/>
      <c r="H1853" s="237"/>
      <c r="I1853" s="238"/>
      <c r="J1853" s="235"/>
      <c r="K1853" s="235"/>
      <c r="L1853" s="235"/>
      <c r="M1853" s="235"/>
      <c r="N1853" s="239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  <c r="AB1853" s="6"/>
      <c r="AC1853" s="6"/>
      <c r="AD1853" s="6"/>
      <c r="AE1853" s="6"/>
      <c r="AF1853" s="6"/>
      <c r="AG1853" s="6"/>
      <c r="AH1853" s="6"/>
      <c r="AI1853" s="6"/>
      <c r="AJ1853" s="6"/>
      <c r="AK1853" s="6"/>
      <c r="AL1853" s="6"/>
      <c r="AM1853" s="6"/>
      <c r="AN1853" s="6"/>
      <c r="AO1853" s="6"/>
      <c r="AP1853" s="6"/>
      <c r="AQ1853" s="6"/>
      <c r="AR1853" s="6"/>
      <c r="AS1853" s="6"/>
    </row>
    <row r="1854" spans="1:45" ht="16.5" customHeight="1">
      <c r="A1854" s="235"/>
      <c r="B1854" s="235"/>
      <c r="C1854" s="235"/>
      <c r="D1854" s="235"/>
      <c r="E1854" s="235"/>
      <c r="F1854" s="236"/>
      <c r="G1854" s="237"/>
      <c r="H1854" s="237"/>
      <c r="I1854" s="238"/>
      <c r="J1854" s="235"/>
      <c r="K1854" s="235"/>
      <c r="L1854" s="235"/>
      <c r="M1854" s="235"/>
      <c r="N1854" s="239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A1854" s="6"/>
      <c r="AB1854" s="6"/>
      <c r="AC1854" s="6"/>
      <c r="AD1854" s="6"/>
      <c r="AE1854" s="6"/>
      <c r="AF1854" s="6"/>
      <c r="AG1854" s="6"/>
      <c r="AH1854" s="6"/>
      <c r="AI1854" s="6"/>
      <c r="AJ1854" s="6"/>
      <c r="AK1854" s="6"/>
      <c r="AL1854" s="6"/>
      <c r="AM1854" s="6"/>
      <c r="AN1854" s="6"/>
      <c r="AO1854" s="6"/>
      <c r="AP1854" s="6"/>
      <c r="AQ1854" s="6"/>
      <c r="AR1854" s="6"/>
      <c r="AS1854" s="6"/>
    </row>
    <row r="1855" spans="1:45" ht="16.5" customHeight="1">
      <c r="A1855" s="235"/>
      <c r="B1855" s="235"/>
      <c r="C1855" s="235"/>
      <c r="D1855" s="235"/>
      <c r="E1855" s="235"/>
      <c r="F1855" s="236"/>
      <c r="G1855" s="237"/>
      <c r="H1855" s="237"/>
      <c r="I1855" s="238"/>
      <c r="J1855" s="235"/>
      <c r="K1855" s="235"/>
      <c r="L1855" s="235"/>
      <c r="M1855" s="235"/>
      <c r="N1855" s="239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A1855" s="6"/>
      <c r="AB1855" s="6"/>
      <c r="AC1855" s="6"/>
      <c r="AD1855" s="6"/>
      <c r="AE1855" s="6"/>
      <c r="AF1855" s="6"/>
      <c r="AG1855" s="6"/>
      <c r="AH1855" s="6"/>
      <c r="AI1855" s="6"/>
      <c r="AJ1855" s="6"/>
      <c r="AK1855" s="6"/>
      <c r="AL1855" s="6"/>
      <c r="AM1855" s="6"/>
      <c r="AN1855" s="6"/>
      <c r="AO1855" s="6"/>
      <c r="AP1855" s="6"/>
      <c r="AQ1855" s="6"/>
      <c r="AR1855" s="6"/>
      <c r="AS1855" s="6"/>
    </row>
    <row r="1856" spans="1:45" ht="16.5" customHeight="1">
      <c r="A1856" s="235"/>
      <c r="B1856" s="235"/>
      <c r="C1856" s="235"/>
      <c r="D1856" s="235"/>
      <c r="E1856" s="235"/>
      <c r="F1856" s="236"/>
      <c r="G1856" s="237"/>
      <c r="H1856" s="237"/>
      <c r="I1856" s="238"/>
      <c r="J1856" s="235"/>
      <c r="K1856" s="235"/>
      <c r="L1856" s="235"/>
      <c r="M1856" s="235"/>
      <c r="N1856" s="239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  <c r="AA1856" s="6"/>
      <c r="AB1856" s="6"/>
      <c r="AC1856" s="6"/>
      <c r="AD1856" s="6"/>
      <c r="AE1856" s="6"/>
      <c r="AF1856" s="6"/>
      <c r="AG1856" s="6"/>
      <c r="AH1856" s="6"/>
      <c r="AI1856" s="6"/>
      <c r="AJ1856" s="6"/>
      <c r="AK1856" s="6"/>
      <c r="AL1856" s="6"/>
      <c r="AM1856" s="6"/>
      <c r="AN1856" s="6"/>
      <c r="AO1856" s="6"/>
      <c r="AP1856" s="6"/>
      <c r="AQ1856" s="6"/>
      <c r="AR1856" s="6"/>
      <c r="AS1856" s="6"/>
    </row>
    <row r="1857" spans="1:45" ht="16.5" customHeight="1">
      <c r="A1857" s="235"/>
      <c r="B1857" s="235"/>
      <c r="C1857" s="235"/>
      <c r="D1857" s="235"/>
      <c r="E1857" s="235"/>
      <c r="F1857" s="236"/>
      <c r="G1857" s="237"/>
      <c r="H1857" s="237"/>
      <c r="I1857" s="238"/>
      <c r="J1857" s="235"/>
      <c r="K1857" s="235"/>
      <c r="L1857" s="235"/>
      <c r="M1857" s="235"/>
      <c r="N1857" s="239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  <c r="AA1857" s="6"/>
      <c r="AB1857" s="6"/>
      <c r="AC1857" s="6"/>
      <c r="AD1857" s="6"/>
      <c r="AE1857" s="6"/>
      <c r="AF1857" s="6"/>
      <c r="AG1857" s="6"/>
      <c r="AH1857" s="6"/>
      <c r="AI1857" s="6"/>
      <c r="AJ1857" s="6"/>
      <c r="AK1857" s="6"/>
      <c r="AL1857" s="6"/>
      <c r="AM1857" s="6"/>
      <c r="AN1857" s="6"/>
      <c r="AO1857" s="6"/>
      <c r="AP1857" s="6"/>
      <c r="AQ1857" s="6"/>
      <c r="AR1857" s="6"/>
      <c r="AS1857" s="6"/>
    </row>
    <row r="1858" spans="1:45" ht="16.5" customHeight="1">
      <c r="A1858" s="235"/>
      <c r="B1858" s="235"/>
      <c r="C1858" s="235"/>
      <c r="D1858" s="235"/>
      <c r="E1858" s="235"/>
      <c r="F1858" s="236"/>
      <c r="G1858" s="237"/>
      <c r="H1858" s="237"/>
      <c r="I1858" s="238"/>
      <c r="J1858" s="235"/>
      <c r="K1858" s="235"/>
      <c r="L1858" s="235"/>
      <c r="M1858" s="235"/>
      <c r="N1858" s="239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  <c r="AA1858" s="6"/>
      <c r="AB1858" s="6"/>
      <c r="AC1858" s="6"/>
      <c r="AD1858" s="6"/>
      <c r="AE1858" s="6"/>
      <c r="AF1858" s="6"/>
      <c r="AG1858" s="6"/>
      <c r="AH1858" s="6"/>
      <c r="AI1858" s="6"/>
      <c r="AJ1858" s="6"/>
      <c r="AK1858" s="6"/>
      <c r="AL1858" s="6"/>
      <c r="AM1858" s="6"/>
      <c r="AN1858" s="6"/>
      <c r="AO1858" s="6"/>
      <c r="AP1858" s="6"/>
      <c r="AQ1858" s="6"/>
      <c r="AR1858" s="6"/>
      <c r="AS1858" s="6"/>
    </row>
    <row r="1859" spans="1:45" ht="16.5" customHeight="1">
      <c r="A1859" s="235"/>
      <c r="B1859" s="235"/>
      <c r="C1859" s="235"/>
      <c r="D1859" s="235"/>
      <c r="E1859" s="235"/>
      <c r="F1859" s="236"/>
      <c r="G1859" s="237"/>
      <c r="H1859" s="237"/>
      <c r="I1859" s="238"/>
      <c r="J1859" s="235"/>
      <c r="K1859" s="235"/>
      <c r="L1859" s="235"/>
      <c r="M1859" s="235"/>
      <c r="N1859" s="239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/>
      <c r="AB1859" s="6"/>
      <c r="AC1859" s="6"/>
      <c r="AD1859" s="6"/>
      <c r="AE1859" s="6"/>
      <c r="AF1859" s="6"/>
      <c r="AG1859" s="6"/>
      <c r="AH1859" s="6"/>
      <c r="AI1859" s="6"/>
      <c r="AJ1859" s="6"/>
      <c r="AK1859" s="6"/>
      <c r="AL1859" s="6"/>
      <c r="AM1859" s="6"/>
      <c r="AN1859" s="6"/>
      <c r="AO1859" s="6"/>
      <c r="AP1859" s="6"/>
      <c r="AQ1859" s="6"/>
      <c r="AR1859" s="6"/>
      <c r="AS1859" s="6"/>
    </row>
    <row r="1860" spans="1:45" ht="16.5" customHeight="1">
      <c r="A1860" s="235"/>
      <c r="B1860" s="235"/>
      <c r="C1860" s="235"/>
      <c r="D1860" s="235"/>
      <c r="E1860" s="235"/>
      <c r="F1860" s="236"/>
      <c r="G1860" s="237"/>
      <c r="H1860" s="237"/>
      <c r="I1860" s="238"/>
      <c r="J1860" s="235"/>
      <c r="K1860" s="235"/>
      <c r="L1860" s="235"/>
      <c r="M1860" s="235"/>
      <c r="N1860" s="239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  <c r="AA1860" s="6"/>
      <c r="AB1860" s="6"/>
      <c r="AC1860" s="6"/>
      <c r="AD1860" s="6"/>
      <c r="AE1860" s="6"/>
      <c r="AF1860" s="6"/>
      <c r="AG1860" s="6"/>
      <c r="AH1860" s="6"/>
      <c r="AI1860" s="6"/>
      <c r="AJ1860" s="6"/>
      <c r="AK1860" s="6"/>
      <c r="AL1860" s="6"/>
      <c r="AM1860" s="6"/>
      <c r="AN1860" s="6"/>
      <c r="AO1860" s="6"/>
      <c r="AP1860" s="6"/>
      <c r="AQ1860" s="6"/>
      <c r="AR1860" s="6"/>
      <c r="AS1860" s="6"/>
    </row>
    <row r="1861" spans="1:45" ht="16.5" customHeight="1">
      <c r="A1861" s="235"/>
      <c r="B1861" s="235"/>
      <c r="C1861" s="235"/>
      <c r="D1861" s="235"/>
      <c r="E1861" s="235"/>
      <c r="F1861" s="236"/>
      <c r="G1861" s="237"/>
      <c r="H1861" s="237"/>
      <c r="I1861" s="238"/>
      <c r="J1861" s="235"/>
      <c r="K1861" s="235"/>
      <c r="L1861" s="235"/>
      <c r="M1861" s="235"/>
      <c r="N1861" s="239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  <c r="AA1861" s="6"/>
      <c r="AB1861" s="6"/>
      <c r="AC1861" s="6"/>
      <c r="AD1861" s="6"/>
      <c r="AE1861" s="6"/>
      <c r="AF1861" s="6"/>
      <c r="AG1861" s="6"/>
      <c r="AH1861" s="6"/>
      <c r="AI1861" s="6"/>
      <c r="AJ1861" s="6"/>
      <c r="AK1861" s="6"/>
      <c r="AL1861" s="6"/>
      <c r="AM1861" s="6"/>
      <c r="AN1861" s="6"/>
      <c r="AO1861" s="6"/>
      <c r="AP1861" s="6"/>
      <c r="AQ1861" s="6"/>
      <c r="AR1861" s="6"/>
      <c r="AS1861" s="6"/>
    </row>
    <row r="1862" spans="1:45" ht="16.5" customHeight="1">
      <c r="A1862" s="235"/>
      <c r="B1862" s="235"/>
      <c r="C1862" s="235"/>
      <c r="D1862" s="235"/>
      <c r="E1862" s="235"/>
      <c r="F1862" s="236"/>
      <c r="G1862" s="237"/>
      <c r="H1862" s="237"/>
      <c r="I1862" s="238"/>
      <c r="J1862" s="235"/>
      <c r="K1862" s="235"/>
      <c r="L1862" s="235"/>
      <c r="M1862" s="235"/>
      <c r="N1862" s="239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  <c r="AA1862" s="6"/>
      <c r="AB1862" s="6"/>
      <c r="AC1862" s="6"/>
      <c r="AD1862" s="6"/>
      <c r="AE1862" s="6"/>
      <c r="AF1862" s="6"/>
      <c r="AG1862" s="6"/>
      <c r="AH1862" s="6"/>
      <c r="AI1862" s="6"/>
      <c r="AJ1862" s="6"/>
      <c r="AK1862" s="6"/>
      <c r="AL1862" s="6"/>
      <c r="AM1862" s="6"/>
      <c r="AN1862" s="6"/>
      <c r="AO1862" s="6"/>
      <c r="AP1862" s="6"/>
      <c r="AQ1862" s="6"/>
      <c r="AR1862" s="6"/>
      <c r="AS1862" s="6"/>
    </row>
    <row r="1863" spans="1:45" ht="16.5" customHeight="1">
      <c r="A1863" s="235"/>
      <c r="B1863" s="235"/>
      <c r="C1863" s="235"/>
      <c r="D1863" s="235"/>
      <c r="E1863" s="235"/>
      <c r="F1863" s="236"/>
      <c r="G1863" s="237"/>
      <c r="H1863" s="237"/>
      <c r="I1863" s="238"/>
      <c r="J1863" s="235"/>
      <c r="K1863" s="235"/>
      <c r="L1863" s="235"/>
      <c r="M1863" s="235"/>
      <c r="N1863" s="239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  <c r="AA1863" s="6"/>
      <c r="AB1863" s="6"/>
      <c r="AC1863" s="6"/>
      <c r="AD1863" s="6"/>
      <c r="AE1863" s="6"/>
      <c r="AF1863" s="6"/>
      <c r="AG1863" s="6"/>
      <c r="AH1863" s="6"/>
      <c r="AI1863" s="6"/>
      <c r="AJ1863" s="6"/>
      <c r="AK1863" s="6"/>
      <c r="AL1863" s="6"/>
      <c r="AM1863" s="6"/>
      <c r="AN1863" s="6"/>
      <c r="AO1863" s="6"/>
      <c r="AP1863" s="6"/>
      <c r="AQ1863" s="6"/>
      <c r="AR1863" s="6"/>
      <c r="AS1863" s="6"/>
    </row>
    <row r="1864" spans="1:45" ht="16.5" customHeight="1">
      <c r="A1864" s="235"/>
      <c r="B1864" s="235"/>
      <c r="C1864" s="235"/>
      <c r="D1864" s="235"/>
      <c r="E1864" s="235"/>
      <c r="F1864" s="236"/>
      <c r="G1864" s="237"/>
      <c r="H1864" s="237"/>
      <c r="I1864" s="238"/>
      <c r="J1864" s="235"/>
      <c r="K1864" s="235"/>
      <c r="L1864" s="235"/>
      <c r="M1864" s="235"/>
      <c r="N1864" s="239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  <c r="AA1864" s="6"/>
      <c r="AB1864" s="6"/>
      <c r="AC1864" s="6"/>
      <c r="AD1864" s="6"/>
      <c r="AE1864" s="6"/>
      <c r="AF1864" s="6"/>
      <c r="AG1864" s="6"/>
      <c r="AH1864" s="6"/>
      <c r="AI1864" s="6"/>
      <c r="AJ1864" s="6"/>
      <c r="AK1864" s="6"/>
      <c r="AL1864" s="6"/>
      <c r="AM1864" s="6"/>
      <c r="AN1864" s="6"/>
      <c r="AO1864" s="6"/>
      <c r="AP1864" s="6"/>
      <c r="AQ1864" s="6"/>
      <c r="AR1864" s="6"/>
      <c r="AS1864" s="6"/>
    </row>
    <row r="1865" spans="1:45" ht="16.5" customHeight="1">
      <c r="A1865" s="235"/>
      <c r="B1865" s="235"/>
      <c r="C1865" s="235"/>
      <c r="D1865" s="235"/>
      <c r="E1865" s="235"/>
      <c r="F1865" s="236"/>
      <c r="G1865" s="237"/>
      <c r="H1865" s="237"/>
      <c r="I1865" s="238"/>
      <c r="J1865" s="235"/>
      <c r="K1865" s="235"/>
      <c r="L1865" s="235"/>
      <c r="M1865" s="235"/>
      <c r="N1865" s="239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  <c r="AA1865" s="6"/>
      <c r="AB1865" s="6"/>
      <c r="AC1865" s="6"/>
      <c r="AD1865" s="6"/>
      <c r="AE1865" s="6"/>
      <c r="AF1865" s="6"/>
      <c r="AG1865" s="6"/>
      <c r="AH1865" s="6"/>
      <c r="AI1865" s="6"/>
      <c r="AJ1865" s="6"/>
      <c r="AK1865" s="6"/>
      <c r="AL1865" s="6"/>
      <c r="AM1865" s="6"/>
      <c r="AN1865" s="6"/>
      <c r="AO1865" s="6"/>
      <c r="AP1865" s="6"/>
      <c r="AQ1865" s="6"/>
      <c r="AR1865" s="6"/>
      <c r="AS1865" s="6"/>
    </row>
    <row r="1866" spans="1:45" ht="16.5" customHeight="1">
      <c r="A1866" s="235"/>
      <c r="B1866" s="235"/>
      <c r="C1866" s="235"/>
      <c r="D1866" s="235"/>
      <c r="E1866" s="235"/>
      <c r="F1866" s="236"/>
      <c r="G1866" s="237"/>
      <c r="H1866" s="237"/>
      <c r="I1866" s="238"/>
      <c r="J1866" s="235"/>
      <c r="K1866" s="235"/>
      <c r="L1866" s="235"/>
      <c r="M1866" s="235"/>
      <c r="N1866" s="239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  <c r="AA1866" s="6"/>
      <c r="AB1866" s="6"/>
      <c r="AC1866" s="6"/>
      <c r="AD1866" s="6"/>
      <c r="AE1866" s="6"/>
      <c r="AF1866" s="6"/>
      <c r="AG1866" s="6"/>
      <c r="AH1866" s="6"/>
      <c r="AI1866" s="6"/>
      <c r="AJ1866" s="6"/>
      <c r="AK1866" s="6"/>
      <c r="AL1866" s="6"/>
      <c r="AM1866" s="6"/>
      <c r="AN1866" s="6"/>
      <c r="AO1866" s="6"/>
      <c r="AP1866" s="6"/>
      <c r="AQ1866" s="6"/>
      <c r="AR1866" s="6"/>
      <c r="AS1866" s="6"/>
    </row>
    <row r="1867" spans="1:45" ht="16.5" customHeight="1">
      <c r="A1867" s="235"/>
      <c r="B1867" s="235"/>
      <c r="C1867" s="235"/>
      <c r="D1867" s="235"/>
      <c r="E1867" s="235"/>
      <c r="F1867" s="236"/>
      <c r="G1867" s="237"/>
      <c r="H1867" s="237"/>
      <c r="I1867" s="238"/>
      <c r="J1867" s="235"/>
      <c r="K1867" s="235"/>
      <c r="L1867" s="235"/>
      <c r="M1867" s="235"/>
      <c r="N1867" s="239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  <c r="AA1867" s="6"/>
      <c r="AB1867" s="6"/>
      <c r="AC1867" s="6"/>
      <c r="AD1867" s="6"/>
      <c r="AE1867" s="6"/>
      <c r="AF1867" s="6"/>
      <c r="AG1867" s="6"/>
      <c r="AH1867" s="6"/>
      <c r="AI1867" s="6"/>
      <c r="AJ1867" s="6"/>
      <c r="AK1867" s="6"/>
      <c r="AL1867" s="6"/>
      <c r="AM1867" s="6"/>
      <c r="AN1867" s="6"/>
      <c r="AO1867" s="6"/>
      <c r="AP1867" s="6"/>
      <c r="AQ1867" s="6"/>
      <c r="AR1867" s="6"/>
      <c r="AS1867" s="6"/>
    </row>
    <row r="1868" spans="1:45" ht="16.5" customHeight="1">
      <c r="A1868" s="235"/>
      <c r="B1868" s="235"/>
      <c r="C1868" s="235"/>
      <c r="D1868" s="235"/>
      <c r="E1868" s="235"/>
      <c r="F1868" s="236"/>
      <c r="G1868" s="237"/>
      <c r="H1868" s="237"/>
      <c r="I1868" s="238"/>
      <c r="J1868" s="235"/>
      <c r="K1868" s="235"/>
      <c r="L1868" s="235"/>
      <c r="M1868" s="235"/>
      <c r="N1868" s="239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  <c r="AA1868" s="6"/>
      <c r="AB1868" s="6"/>
      <c r="AC1868" s="6"/>
      <c r="AD1868" s="6"/>
      <c r="AE1868" s="6"/>
      <c r="AF1868" s="6"/>
      <c r="AG1868" s="6"/>
      <c r="AH1868" s="6"/>
      <c r="AI1868" s="6"/>
      <c r="AJ1868" s="6"/>
      <c r="AK1868" s="6"/>
      <c r="AL1868" s="6"/>
      <c r="AM1868" s="6"/>
      <c r="AN1868" s="6"/>
      <c r="AO1868" s="6"/>
      <c r="AP1868" s="6"/>
      <c r="AQ1868" s="6"/>
      <c r="AR1868" s="6"/>
      <c r="AS1868" s="6"/>
    </row>
    <row r="1869" spans="1:45" ht="16.5" customHeight="1">
      <c r="A1869" s="235"/>
      <c r="B1869" s="235"/>
      <c r="C1869" s="235"/>
      <c r="D1869" s="235"/>
      <c r="E1869" s="235"/>
      <c r="F1869" s="236"/>
      <c r="G1869" s="237"/>
      <c r="H1869" s="237"/>
      <c r="I1869" s="238"/>
      <c r="J1869" s="235"/>
      <c r="K1869" s="235"/>
      <c r="L1869" s="235"/>
      <c r="M1869" s="235"/>
      <c r="N1869" s="239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  <c r="AA1869" s="6"/>
      <c r="AB1869" s="6"/>
      <c r="AC1869" s="6"/>
      <c r="AD1869" s="6"/>
      <c r="AE1869" s="6"/>
      <c r="AF1869" s="6"/>
      <c r="AG1869" s="6"/>
      <c r="AH1869" s="6"/>
      <c r="AI1869" s="6"/>
      <c r="AJ1869" s="6"/>
      <c r="AK1869" s="6"/>
      <c r="AL1869" s="6"/>
      <c r="AM1869" s="6"/>
      <c r="AN1869" s="6"/>
      <c r="AO1869" s="6"/>
      <c r="AP1869" s="6"/>
      <c r="AQ1869" s="6"/>
      <c r="AR1869" s="6"/>
      <c r="AS1869" s="6"/>
    </row>
    <row r="1870" spans="1:45" ht="16.5" customHeight="1">
      <c r="A1870" s="235"/>
      <c r="B1870" s="235"/>
      <c r="C1870" s="235"/>
      <c r="D1870" s="235"/>
      <c r="E1870" s="235"/>
      <c r="F1870" s="236"/>
      <c r="G1870" s="237"/>
      <c r="H1870" s="237"/>
      <c r="I1870" s="238"/>
      <c r="J1870" s="235"/>
      <c r="K1870" s="235"/>
      <c r="L1870" s="235"/>
      <c r="M1870" s="235"/>
      <c r="N1870" s="239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  <c r="AA1870" s="6"/>
      <c r="AB1870" s="6"/>
      <c r="AC1870" s="6"/>
      <c r="AD1870" s="6"/>
      <c r="AE1870" s="6"/>
      <c r="AF1870" s="6"/>
      <c r="AG1870" s="6"/>
      <c r="AH1870" s="6"/>
      <c r="AI1870" s="6"/>
      <c r="AJ1870" s="6"/>
      <c r="AK1870" s="6"/>
      <c r="AL1870" s="6"/>
      <c r="AM1870" s="6"/>
      <c r="AN1870" s="6"/>
      <c r="AO1870" s="6"/>
      <c r="AP1870" s="6"/>
      <c r="AQ1870" s="6"/>
      <c r="AR1870" s="6"/>
      <c r="AS1870" s="6"/>
    </row>
    <row r="1871" spans="1:45" ht="16.5" customHeight="1">
      <c r="A1871" s="235"/>
      <c r="B1871" s="235"/>
      <c r="C1871" s="235"/>
      <c r="D1871" s="235"/>
      <c r="E1871" s="235"/>
      <c r="F1871" s="236"/>
      <c r="G1871" s="237"/>
      <c r="H1871" s="237"/>
      <c r="I1871" s="238"/>
      <c r="J1871" s="235"/>
      <c r="K1871" s="235"/>
      <c r="L1871" s="235"/>
      <c r="M1871" s="235"/>
      <c r="N1871" s="239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  <c r="AA1871" s="6"/>
      <c r="AB1871" s="6"/>
      <c r="AC1871" s="6"/>
      <c r="AD1871" s="6"/>
      <c r="AE1871" s="6"/>
      <c r="AF1871" s="6"/>
      <c r="AG1871" s="6"/>
      <c r="AH1871" s="6"/>
      <c r="AI1871" s="6"/>
      <c r="AJ1871" s="6"/>
      <c r="AK1871" s="6"/>
      <c r="AL1871" s="6"/>
      <c r="AM1871" s="6"/>
      <c r="AN1871" s="6"/>
      <c r="AO1871" s="6"/>
      <c r="AP1871" s="6"/>
      <c r="AQ1871" s="6"/>
      <c r="AR1871" s="6"/>
      <c r="AS1871" s="6"/>
    </row>
    <row r="1872" spans="1:45" ht="16.5" customHeight="1">
      <c r="A1872" s="235"/>
      <c r="B1872" s="235"/>
      <c r="C1872" s="235"/>
      <c r="D1872" s="235"/>
      <c r="E1872" s="235"/>
      <c r="F1872" s="236"/>
      <c r="G1872" s="237"/>
      <c r="H1872" s="237"/>
      <c r="I1872" s="238"/>
      <c r="J1872" s="235"/>
      <c r="K1872" s="235"/>
      <c r="L1872" s="235"/>
      <c r="M1872" s="235"/>
      <c r="N1872" s="239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  <c r="AA1872" s="6"/>
      <c r="AB1872" s="6"/>
      <c r="AC1872" s="6"/>
      <c r="AD1872" s="6"/>
      <c r="AE1872" s="6"/>
      <c r="AF1872" s="6"/>
      <c r="AG1872" s="6"/>
      <c r="AH1872" s="6"/>
      <c r="AI1872" s="6"/>
      <c r="AJ1872" s="6"/>
      <c r="AK1872" s="6"/>
      <c r="AL1872" s="6"/>
      <c r="AM1872" s="6"/>
      <c r="AN1872" s="6"/>
      <c r="AO1872" s="6"/>
      <c r="AP1872" s="6"/>
      <c r="AQ1872" s="6"/>
      <c r="AR1872" s="6"/>
      <c r="AS1872" s="6"/>
    </row>
    <row r="1873" spans="1:45" ht="16.5" customHeight="1">
      <c r="A1873" s="235"/>
      <c r="B1873" s="235"/>
      <c r="C1873" s="235"/>
      <c r="D1873" s="235"/>
      <c r="E1873" s="235"/>
      <c r="F1873" s="236"/>
      <c r="G1873" s="237"/>
      <c r="H1873" s="237"/>
      <c r="I1873" s="238"/>
      <c r="J1873" s="235"/>
      <c r="K1873" s="235"/>
      <c r="L1873" s="235"/>
      <c r="M1873" s="235"/>
      <c r="N1873" s="239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  <c r="AA1873" s="6"/>
      <c r="AB1873" s="6"/>
      <c r="AC1873" s="6"/>
      <c r="AD1873" s="6"/>
      <c r="AE1873" s="6"/>
      <c r="AF1873" s="6"/>
      <c r="AG1873" s="6"/>
      <c r="AH1873" s="6"/>
      <c r="AI1873" s="6"/>
      <c r="AJ1873" s="6"/>
      <c r="AK1873" s="6"/>
      <c r="AL1873" s="6"/>
      <c r="AM1873" s="6"/>
      <c r="AN1873" s="6"/>
      <c r="AO1873" s="6"/>
      <c r="AP1873" s="6"/>
      <c r="AQ1873" s="6"/>
      <c r="AR1873" s="6"/>
      <c r="AS1873" s="6"/>
    </row>
    <row r="1874" spans="1:45" ht="16.5" customHeight="1">
      <c r="A1874" s="235"/>
      <c r="B1874" s="235"/>
      <c r="C1874" s="235"/>
      <c r="D1874" s="235"/>
      <c r="E1874" s="235"/>
      <c r="F1874" s="236"/>
      <c r="G1874" s="237"/>
      <c r="H1874" s="237"/>
      <c r="I1874" s="238"/>
      <c r="J1874" s="235"/>
      <c r="K1874" s="235"/>
      <c r="L1874" s="235"/>
      <c r="M1874" s="235"/>
      <c r="N1874" s="239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  <c r="AA1874" s="6"/>
      <c r="AB1874" s="6"/>
      <c r="AC1874" s="6"/>
      <c r="AD1874" s="6"/>
      <c r="AE1874" s="6"/>
      <c r="AF1874" s="6"/>
      <c r="AG1874" s="6"/>
      <c r="AH1874" s="6"/>
      <c r="AI1874" s="6"/>
      <c r="AJ1874" s="6"/>
      <c r="AK1874" s="6"/>
      <c r="AL1874" s="6"/>
      <c r="AM1874" s="6"/>
      <c r="AN1874" s="6"/>
      <c r="AO1874" s="6"/>
      <c r="AP1874" s="6"/>
      <c r="AQ1874" s="6"/>
      <c r="AR1874" s="6"/>
      <c r="AS1874" s="6"/>
    </row>
    <row r="1875" spans="1:45" ht="16.5" customHeight="1">
      <c r="A1875" s="235"/>
      <c r="B1875" s="235"/>
      <c r="C1875" s="235"/>
      <c r="D1875" s="235"/>
      <c r="E1875" s="235"/>
      <c r="F1875" s="236"/>
      <c r="G1875" s="237"/>
      <c r="H1875" s="237"/>
      <c r="I1875" s="238"/>
      <c r="J1875" s="235"/>
      <c r="K1875" s="235"/>
      <c r="L1875" s="235"/>
      <c r="M1875" s="235"/>
      <c r="N1875" s="239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  <c r="AA1875" s="6"/>
      <c r="AB1875" s="6"/>
      <c r="AC1875" s="6"/>
      <c r="AD1875" s="6"/>
      <c r="AE1875" s="6"/>
      <c r="AF1875" s="6"/>
      <c r="AG1875" s="6"/>
      <c r="AH1875" s="6"/>
      <c r="AI1875" s="6"/>
      <c r="AJ1875" s="6"/>
      <c r="AK1875" s="6"/>
      <c r="AL1875" s="6"/>
      <c r="AM1875" s="6"/>
      <c r="AN1875" s="6"/>
      <c r="AO1875" s="6"/>
      <c r="AP1875" s="6"/>
      <c r="AQ1875" s="6"/>
      <c r="AR1875" s="6"/>
      <c r="AS1875" s="6"/>
    </row>
    <row r="1876" spans="1:45" ht="16.5" customHeight="1">
      <c r="A1876" s="235"/>
      <c r="B1876" s="235"/>
      <c r="C1876" s="235"/>
      <c r="D1876" s="235"/>
      <c r="E1876" s="235"/>
      <c r="F1876" s="236"/>
      <c r="G1876" s="237"/>
      <c r="H1876" s="237"/>
      <c r="I1876" s="238"/>
      <c r="J1876" s="235"/>
      <c r="K1876" s="235"/>
      <c r="L1876" s="235"/>
      <c r="M1876" s="235"/>
      <c r="N1876" s="239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  <c r="AA1876" s="6"/>
      <c r="AB1876" s="6"/>
      <c r="AC1876" s="6"/>
      <c r="AD1876" s="6"/>
      <c r="AE1876" s="6"/>
      <c r="AF1876" s="6"/>
      <c r="AG1876" s="6"/>
      <c r="AH1876" s="6"/>
      <c r="AI1876" s="6"/>
      <c r="AJ1876" s="6"/>
      <c r="AK1876" s="6"/>
      <c r="AL1876" s="6"/>
      <c r="AM1876" s="6"/>
      <c r="AN1876" s="6"/>
      <c r="AO1876" s="6"/>
      <c r="AP1876" s="6"/>
      <c r="AQ1876" s="6"/>
      <c r="AR1876" s="6"/>
      <c r="AS1876" s="6"/>
    </row>
    <row r="1877" spans="1:45" ht="16.5" customHeight="1">
      <c r="A1877" s="235"/>
      <c r="B1877" s="235"/>
      <c r="C1877" s="235"/>
      <c r="D1877" s="235"/>
      <c r="E1877" s="235"/>
      <c r="F1877" s="236"/>
      <c r="G1877" s="237"/>
      <c r="H1877" s="237"/>
      <c r="I1877" s="238"/>
      <c r="J1877" s="235"/>
      <c r="K1877" s="235"/>
      <c r="L1877" s="235"/>
      <c r="M1877" s="235"/>
      <c r="N1877" s="239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/>
      <c r="AB1877" s="6"/>
      <c r="AC1877" s="6"/>
      <c r="AD1877" s="6"/>
      <c r="AE1877" s="6"/>
      <c r="AF1877" s="6"/>
      <c r="AG1877" s="6"/>
      <c r="AH1877" s="6"/>
      <c r="AI1877" s="6"/>
      <c r="AJ1877" s="6"/>
      <c r="AK1877" s="6"/>
      <c r="AL1877" s="6"/>
      <c r="AM1877" s="6"/>
      <c r="AN1877" s="6"/>
      <c r="AO1877" s="6"/>
      <c r="AP1877" s="6"/>
      <c r="AQ1877" s="6"/>
      <c r="AR1877" s="6"/>
      <c r="AS1877" s="6"/>
    </row>
    <row r="1878" spans="1:45" ht="16.5" customHeight="1">
      <c r="A1878" s="235"/>
      <c r="B1878" s="235"/>
      <c r="C1878" s="235"/>
      <c r="D1878" s="235"/>
      <c r="E1878" s="235"/>
      <c r="F1878" s="236"/>
      <c r="G1878" s="237"/>
      <c r="H1878" s="237"/>
      <c r="I1878" s="238"/>
      <c r="J1878" s="235"/>
      <c r="K1878" s="235"/>
      <c r="L1878" s="235"/>
      <c r="M1878" s="235"/>
      <c r="N1878" s="239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  <c r="AA1878" s="6"/>
      <c r="AB1878" s="6"/>
      <c r="AC1878" s="6"/>
      <c r="AD1878" s="6"/>
      <c r="AE1878" s="6"/>
      <c r="AF1878" s="6"/>
      <c r="AG1878" s="6"/>
      <c r="AH1878" s="6"/>
      <c r="AI1878" s="6"/>
      <c r="AJ1878" s="6"/>
      <c r="AK1878" s="6"/>
      <c r="AL1878" s="6"/>
      <c r="AM1878" s="6"/>
      <c r="AN1878" s="6"/>
      <c r="AO1878" s="6"/>
      <c r="AP1878" s="6"/>
      <c r="AQ1878" s="6"/>
      <c r="AR1878" s="6"/>
      <c r="AS1878" s="6"/>
    </row>
    <row r="1879" spans="1:45" ht="16.5" customHeight="1">
      <c r="A1879" s="235"/>
      <c r="B1879" s="235"/>
      <c r="C1879" s="235"/>
      <c r="D1879" s="235"/>
      <c r="E1879" s="235"/>
      <c r="F1879" s="236"/>
      <c r="G1879" s="237"/>
      <c r="H1879" s="237"/>
      <c r="I1879" s="238"/>
      <c r="J1879" s="235"/>
      <c r="K1879" s="235"/>
      <c r="L1879" s="235"/>
      <c r="M1879" s="235"/>
      <c r="N1879" s="239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  <c r="AB1879" s="6"/>
      <c r="AC1879" s="6"/>
      <c r="AD1879" s="6"/>
      <c r="AE1879" s="6"/>
      <c r="AF1879" s="6"/>
      <c r="AG1879" s="6"/>
      <c r="AH1879" s="6"/>
      <c r="AI1879" s="6"/>
      <c r="AJ1879" s="6"/>
      <c r="AK1879" s="6"/>
      <c r="AL1879" s="6"/>
      <c r="AM1879" s="6"/>
      <c r="AN1879" s="6"/>
      <c r="AO1879" s="6"/>
      <c r="AP1879" s="6"/>
      <c r="AQ1879" s="6"/>
      <c r="AR1879" s="6"/>
      <c r="AS1879" s="6"/>
    </row>
    <row r="1880" spans="1:45" ht="16.5" customHeight="1">
      <c r="A1880" s="235"/>
      <c r="B1880" s="235"/>
      <c r="C1880" s="235"/>
      <c r="D1880" s="235"/>
      <c r="E1880" s="235"/>
      <c r="F1880" s="236"/>
      <c r="G1880" s="237"/>
      <c r="H1880" s="237"/>
      <c r="I1880" s="238"/>
      <c r="J1880" s="235"/>
      <c r="K1880" s="235"/>
      <c r="L1880" s="235"/>
      <c r="M1880" s="235"/>
      <c r="N1880" s="239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  <c r="AA1880" s="6"/>
      <c r="AB1880" s="6"/>
      <c r="AC1880" s="6"/>
      <c r="AD1880" s="6"/>
      <c r="AE1880" s="6"/>
      <c r="AF1880" s="6"/>
      <c r="AG1880" s="6"/>
      <c r="AH1880" s="6"/>
      <c r="AI1880" s="6"/>
      <c r="AJ1880" s="6"/>
      <c r="AK1880" s="6"/>
      <c r="AL1880" s="6"/>
      <c r="AM1880" s="6"/>
      <c r="AN1880" s="6"/>
      <c r="AO1880" s="6"/>
      <c r="AP1880" s="6"/>
      <c r="AQ1880" s="6"/>
      <c r="AR1880" s="6"/>
      <c r="AS1880" s="6"/>
    </row>
    <row r="1881" spans="1:45" ht="16.5" customHeight="1">
      <c r="A1881" s="235"/>
      <c r="B1881" s="235"/>
      <c r="C1881" s="235"/>
      <c r="D1881" s="235"/>
      <c r="E1881" s="235"/>
      <c r="F1881" s="236"/>
      <c r="G1881" s="237"/>
      <c r="H1881" s="237"/>
      <c r="I1881" s="238"/>
      <c r="J1881" s="235"/>
      <c r="K1881" s="235"/>
      <c r="L1881" s="235"/>
      <c r="M1881" s="235"/>
      <c r="N1881" s="239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  <c r="AA1881" s="6"/>
      <c r="AB1881" s="6"/>
      <c r="AC1881" s="6"/>
      <c r="AD1881" s="6"/>
      <c r="AE1881" s="6"/>
      <c r="AF1881" s="6"/>
      <c r="AG1881" s="6"/>
      <c r="AH1881" s="6"/>
      <c r="AI1881" s="6"/>
      <c r="AJ1881" s="6"/>
      <c r="AK1881" s="6"/>
      <c r="AL1881" s="6"/>
      <c r="AM1881" s="6"/>
      <c r="AN1881" s="6"/>
      <c r="AO1881" s="6"/>
      <c r="AP1881" s="6"/>
      <c r="AQ1881" s="6"/>
      <c r="AR1881" s="6"/>
      <c r="AS1881" s="6"/>
    </row>
    <row r="1882" spans="1:45" ht="16.5" customHeight="1">
      <c r="A1882" s="235"/>
      <c r="B1882" s="235"/>
      <c r="C1882" s="235"/>
      <c r="D1882" s="235"/>
      <c r="E1882" s="235"/>
      <c r="F1882" s="236"/>
      <c r="G1882" s="237"/>
      <c r="H1882" s="237"/>
      <c r="I1882" s="238"/>
      <c r="J1882" s="235"/>
      <c r="K1882" s="235"/>
      <c r="L1882" s="235"/>
      <c r="M1882" s="235"/>
      <c r="N1882" s="239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  <c r="AA1882" s="6"/>
      <c r="AB1882" s="6"/>
      <c r="AC1882" s="6"/>
      <c r="AD1882" s="6"/>
      <c r="AE1882" s="6"/>
      <c r="AF1882" s="6"/>
      <c r="AG1882" s="6"/>
      <c r="AH1882" s="6"/>
      <c r="AI1882" s="6"/>
      <c r="AJ1882" s="6"/>
      <c r="AK1882" s="6"/>
      <c r="AL1882" s="6"/>
      <c r="AM1882" s="6"/>
      <c r="AN1882" s="6"/>
      <c r="AO1882" s="6"/>
      <c r="AP1882" s="6"/>
      <c r="AQ1882" s="6"/>
      <c r="AR1882" s="6"/>
      <c r="AS1882" s="6"/>
    </row>
    <row r="1883" spans="1:45" ht="16.5" customHeight="1">
      <c r="A1883" s="235"/>
      <c r="B1883" s="235"/>
      <c r="C1883" s="235"/>
      <c r="D1883" s="235"/>
      <c r="E1883" s="235"/>
      <c r="F1883" s="236"/>
      <c r="G1883" s="237"/>
      <c r="H1883" s="237"/>
      <c r="I1883" s="238"/>
      <c r="J1883" s="235"/>
      <c r="K1883" s="235"/>
      <c r="L1883" s="235"/>
      <c r="M1883" s="235"/>
      <c r="N1883" s="239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/>
      <c r="AB1883" s="6"/>
      <c r="AC1883" s="6"/>
      <c r="AD1883" s="6"/>
      <c r="AE1883" s="6"/>
      <c r="AF1883" s="6"/>
      <c r="AG1883" s="6"/>
      <c r="AH1883" s="6"/>
      <c r="AI1883" s="6"/>
      <c r="AJ1883" s="6"/>
      <c r="AK1883" s="6"/>
      <c r="AL1883" s="6"/>
      <c r="AM1883" s="6"/>
      <c r="AN1883" s="6"/>
      <c r="AO1883" s="6"/>
      <c r="AP1883" s="6"/>
      <c r="AQ1883" s="6"/>
      <c r="AR1883" s="6"/>
      <c r="AS1883" s="6"/>
    </row>
    <row r="1884" spans="1:45" ht="16.5" customHeight="1">
      <c r="A1884" s="235"/>
      <c r="B1884" s="235"/>
      <c r="C1884" s="235"/>
      <c r="D1884" s="235"/>
      <c r="E1884" s="235"/>
      <c r="F1884" s="236"/>
      <c r="G1884" s="237"/>
      <c r="H1884" s="237"/>
      <c r="I1884" s="238"/>
      <c r="J1884" s="235"/>
      <c r="K1884" s="235"/>
      <c r="L1884" s="235"/>
      <c r="M1884" s="235"/>
      <c r="N1884" s="239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  <c r="AB1884" s="6"/>
      <c r="AC1884" s="6"/>
      <c r="AD1884" s="6"/>
      <c r="AE1884" s="6"/>
      <c r="AF1884" s="6"/>
      <c r="AG1884" s="6"/>
      <c r="AH1884" s="6"/>
      <c r="AI1884" s="6"/>
      <c r="AJ1884" s="6"/>
      <c r="AK1884" s="6"/>
      <c r="AL1884" s="6"/>
      <c r="AM1884" s="6"/>
      <c r="AN1884" s="6"/>
      <c r="AO1884" s="6"/>
      <c r="AP1884" s="6"/>
      <c r="AQ1884" s="6"/>
      <c r="AR1884" s="6"/>
      <c r="AS1884" s="6"/>
    </row>
    <row r="1885" spans="1:45" ht="16.5" customHeight="1">
      <c r="A1885" s="235"/>
      <c r="B1885" s="235"/>
      <c r="C1885" s="235"/>
      <c r="D1885" s="235"/>
      <c r="E1885" s="235"/>
      <c r="F1885" s="236"/>
      <c r="G1885" s="237"/>
      <c r="H1885" s="237"/>
      <c r="I1885" s="238"/>
      <c r="J1885" s="235"/>
      <c r="K1885" s="235"/>
      <c r="L1885" s="235"/>
      <c r="M1885" s="235"/>
      <c r="N1885" s="239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  <c r="AB1885" s="6"/>
      <c r="AC1885" s="6"/>
      <c r="AD1885" s="6"/>
      <c r="AE1885" s="6"/>
      <c r="AF1885" s="6"/>
      <c r="AG1885" s="6"/>
      <c r="AH1885" s="6"/>
      <c r="AI1885" s="6"/>
      <c r="AJ1885" s="6"/>
      <c r="AK1885" s="6"/>
      <c r="AL1885" s="6"/>
      <c r="AM1885" s="6"/>
      <c r="AN1885" s="6"/>
      <c r="AO1885" s="6"/>
      <c r="AP1885" s="6"/>
      <c r="AQ1885" s="6"/>
      <c r="AR1885" s="6"/>
      <c r="AS1885" s="6"/>
    </row>
    <row r="1886" spans="1:45" ht="16.5" customHeight="1">
      <c r="A1886" s="235"/>
      <c r="B1886" s="235"/>
      <c r="C1886" s="235"/>
      <c r="D1886" s="235"/>
      <c r="E1886" s="235"/>
      <c r="F1886" s="236"/>
      <c r="G1886" s="237"/>
      <c r="H1886" s="237"/>
      <c r="I1886" s="238"/>
      <c r="J1886" s="235"/>
      <c r="K1886" s="235"/>
      <c r="L1886" s="235"/>
      <c r="M1886" s="235"/>
      <c r="N1886" s="239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/>
      <c r="AB1886" s="6"/>
      <c r="AC1886" s="6"/>
      <c r="AD1886" s="6"/>
      <c r="AE1886" s="6"/>
      <c r="AF1886" s="6"/>
      <c r="AG1886" s="6"/>
      <c r="AH1886" s="6"/>
      <c r="AI1886" s="6"/>
      <c r="AJ1886" s="6"/>
      <c r="AK1886" s="6"/>
      <c r="AL1886" s="6"/>
      <c r="AM1886" s="6"/>
      <c r="AN1886" s="6"/>
      <c r="AO1886" s="6"/>
      <c r="AP1886" s="6"/>
      <c r="AQ1886" s="6"/>
      <c r="AR1886" s="6"/>
      <c r="AS1886" s="6"/>
    </row>
    <row r="1887" spans="1:45" ht="16.5" customHeight="1">
      <c r="A1887" s="235"/>
      <c r="B1887" s="235"/>
      <c r="C1887" s="235"/>
      <c r="D1887" s="235"/>
      <c r="E1887" s="235"/>
      <c r="F1887" s="236"/>
      <c r="G1887" s="237"/>
      <c r="H1887" s="237"/>
      <c r="I1887" s="238"/>
      <c r="J1887" s="235"/>
      <c r="K1887" s="235"/>
      <c r="L1887" s="235"/>
      <c r="M1887" s="235"/>
      <c r="N1887" s="239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  <c r="AB1887" s="6"/>
      <c r="AC1887" s="6"/>
      <c r="AD1887" s="6"/>
      <c r="AE1887" s="6"/>
      <c r="AF1887" s="6"/>
      <c r="AG1887" s="6"/>
      <c r="AH1887" s="6"/>
      <c r="AI1887" s="6"/>
      <c r="AJ1887" s="6"/>
      <c r="AK1887" s="6"/>
      <c r="AL1887" s="6"/>
      <c r="AM1887" s="6"/>
      <c r="AN1887" s="6"/>
      <c r="AO1887" s="6"/>
      <c r="AP1887" s="6"/>
      <c r="AQ1887" s="6"/>
      <c r="AR1887" s="6"/>
      <c r="AS1887" s="6"/>
    </row>
    <row r="1888" spans="1:45" ht="16.5" customHeight="1">
      <c r="A1888" s="235"/>
      <c r="B1888" s="235"/>
      <c r="C1888" s="235"/>
      <c r="D1888" s="235"/>
      <c r="E1888" s="235"/>
      <c r="F1888" s="236"/>
      <c r="G1888" s="237"/>
      <c r="H1888" s="237"/>
      <c r="I1888" s="238"/>
      <c r="J1888" s="235"/>
      <c r="K1888" s="235"/>
      <c r="L1888" s="235"/>
      <c r="M1888" s="235"/>
      <c r="N1888" s="239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  <c r="AB1888" s="6"/>
      <c r="AC1888" s="6"/>
      <c r="AD1888" s="6"/>
      <c r="AE1888" s="6"/>
      <c r="AF1888" s="6"/>
      <c r="AG1888" s="6"/>
      <c r="AH1888" s="6"/>
      <c r="AI1888" s="6"/>
      <c r="AJ1888" s="6"/>
      <c r="AK1888" s="6"/>
      <c r="AL1888" s="6"/>
      <c r="AM1888" s="6"/>
      <c r="AN1888" s="6"/>
      <c r="AO1888" s="6"/>
      <c r="AP1888" s="6"/>
      <c r="AQ1888" s="6"/>
      <c r="AR1888" s="6"/>
      <c r="AS1888" s="6"/>
    </row>
    <row r="1889" spans="1:45" ht="16.5" customHeight="1">
      <c r="A1889" s="235"/>
      <c r="B1889" s="235"/>
      <c r="C1889" s="235"/>
      <c r="D1889" s="235"/>
      <c r="E1889" s="235"/>
      <c r="F1889" s="236"/>
      <c r="G1889" s="237"/>
      <c r="H1889" s="237"/>
      <c r="I1889" s="238"/>
      <c r="J1889" s="235"/>
      <c r="K1889" s="235"/>
      <c r="L1889" s="235"/>
      <c r="M1889" s="235"/>
      <c r="N1889" s="239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  <c r="AB1889" s="6"/>
      <c r="AC1889" s="6"/>
      <c r="AD1889" s="6"/>
      <c r="AE1889" s="6"/>
      <c r="AF1889" s="6"/>
      <c r="AG1889" s="6"/>
      <c r="AH1889" s="6"/>
      <c r="AI1889" s="6"/>
      <c r="AJ1889" s="6"/>
      <c r="AK1889" s="6"/>
      <c r="AL1889" s="6"/>
      <c r="AM1889" s="6"/>
      <c r="AN1889" s="6"/>
      <c r="AO1889" s="6"/>
      <c r="AP1889" s="6"/>
      <c r="AQ1889" s="6"/>
      <c r="AR1889" s="6"/>
      <c r="AS1889" s="6"/>
    </row>
    <row r="1890" spans="1:45" ht="16.5" customHeight="1">
      <c r="A1890" s="235"/>
      <c r="B1890" s="235"/>
      <c r="C1890" s="235"/>
      <c r="D1890" s="235"/>
      <c r="E1890" s="235"/>
      <c r="F1890" s="236"/>
      <c r="G1890" s="237"/>
      <c r="H1890" s="237"/>
      <c r="I1890" s="238"/>
      <c r="J1890" s="235"/>
      <c r="K1890" s="235"/>
      <c r="L1890" s="235"/>
      <c r="M1890" s="235"/>
      <c r="N1890" s="239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/>
      <c r="AB1890" s="6"/>
      <c r="AC1890" s="6"/>
      <c r="AD1890" s="6"/>
      <c r="AE1890" s="6"/>
      <c r="AF1890" s="6"/>
      <c r="AG1890" s="6"/>
      <c r="AH1890" s="6"/>
      <c r="AI1890" s="6"/>
      <c r="AJ1890" s="6"/>
      <c r="AK1890" s="6"/>
      <c r="AL1890" s="6"/>
      <c r="AM1890" s="6"/>
      <c r="AN1890" s="6"/>
      <c r="AO1890" s="6"/>
      <c r="AP1890" s="6"/>
      <c r="AQ1890" s="6"/>
      <c r="AR1890" s="6"/>
      <c r="AS1890" s="6"/>
    </row>
    <row r="1891" spans="1:45" ht="16.5" customHeight="1">
      <c r="A1891" s="235"/>
      <c r="B1891" s="235"/>
      <c r="C1891" s="235"/>
      <c r="D1891" s="235"/>
      <c r="E1891" s="235"/>
      <c r="F1891" s="236"/>
      <c r="G1891" s="237"/>
      <c r="H1891" s="237"/>
      <c r="I1891" s="238"/>
      <c r="J1891" s="235"/>
      <c r="K1891" s="235"/>
      <c r="L1891" s="235"/>
      <c r="M1891" s="235"/>
      <c r="N1891" s="239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  <c r="AA1891" s="6"/>
      <c r="AB1891" s="6"/>
      <c r="AC1891" s="6"/>
      <c r="AD1891" s="6"/>
      <c r="AE1891" s="6"/>
      <c r="AF1891" s="6"/>
      <c r="AG1891" s="6"/>
      <c r="AH1891" s="6"/>
      <c r="AI1891" s="6"/>
      <c r="AJ1891" s="6"/>
      <c r="AK1891" s="6"/>
      <c r="AL1891" s="6"/>
      <c r="AM1891" s="6"/>
      <c r="AN1891" s="6"/>
      <c r="AO1891" s="6"/>
      <c r="AP1891" s="6"/>
      <c r="AQ1891" s="6"/>
      <c r="AR1891" s="6"/>
      <c r="AS1891" s="6"/>
    </row>
    <row r="1892" spans="1:45" ht="16.5" customHeight="1">
      <c r="A1892" s="235"/>
      <c r="B1892" s="235"/>
      <c r="C1892" s="235"/>
      <c r="D1892" s="235"/>
      <c r="E1892" s="235"/>
      <c r="F1892" s="236"/>
      <c r="G1892" s="237"/>
      <c r="H1892" s="237"/>
      <c r="I1892" s="238"/>
      <c r="J1892" s="235"/>
      <c r="K1892" s="235"/>
      <c r="L1892" s="235"/>
      <c r="M1892" s="235"/>
      <c r="N1892" s="239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  <c r="AA1892" s="6"/>
      <c r="AB1892" s="6"/>
      <c r="AC1892" s="6"/>
      <c r="AD1892" s="6"/>
      <c r="AE1892" s="6"/>
      <c r="AF1892" s="6"/>
      <c r="AG1892" s="6"/>
      <c r="AH1892" s="6"/>
      <c r="AI1892" s="6"/>
      <c r="AJ1892" s="6"/>
      <c r="AK1892" s="6"/>
      <c r="AL1892" s="6"/>
      <c r="AM1892" s="6"/>
      <c r="AN1892" s="6"/>
      <c r="AO1892" s="6"/>
      <c r="AP1892" s="6"/>
      <c r="AQ1892" s="6"/>
      <c r="AR1892" s="6"/>
      <c r="AS1892" s="6"/>
    </row>
    <row r="1893" spans="1:45" ht="16.5" customHeight="1">
      <c r="A1893" s="235"/>
      <c r="B1893" s="235"/>
      <c r="C1893" s="235"/>
      <c r="D1893" s="235"/>
      <c r="E1893" s="235"/>
      <c r="F1893" s="236"/>
      <c r="G1893" s="237"/>
      <c r="H1893" s="237"/>
      <c r="I1893" s="238"/>
      <c r="J1893" s="235"/>
      <c r="K1893" s="235"/>
      <c r="L1893" s="235"/>
      <c r="M1893" s="235"/>
      <c r="N1893" s="239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  <c r="AA1893" s="6"/>
      <c r="AB1893" s="6"/>
      <c r="AC1893" s="6"/>
      <c r="AD1893" s="6"/>
      <c r="AE1893" s="6"/>
      <c r="AF1893" s="6"/>
      <c r="AG1893" s="6"/>
      <c r="AH1893" s="6"/>
      <c r="AI1893" s="6"/>
      <c r="AJ1893" s="6"/>
      <c r="AK1893" s="6"/>
      <c r="AL1893" s="6"/>
      <c r="AM1893" s="6"/>
      <c r="AN1893" s="6"/>
      <c r="AO1893" s="6"/>
      <c r="AP1893" s="6"/>
      <c r="AQ1893" s="6"/>
      <c r="AR1893" s="6"/>
      <c r="AS1893" s="6"/>
    </row>
    <row r="1894" spans="1:45" ht="16.5" customHeight="1">
      <c r="A1894" s="235"/>
      <c r="B1894" s="235"/>
      <c r="C1894" s="235"/>
      <c r="D1894" s="235"/>
      <c r="E1894" s="235"/>
      <c r="F1894" s="236"/>
      <c r="G1894" s="237"/>
      <c r="H1894" s="237"/>
      <c r="I1894" s="238"/>
      <c r="J1894" s="235"/>
      <c r="K1894" s="235"/>
      <c r="L1894" s="235"/>
      <c r="M1894" s="235"/>
      <c r="N1894" s="239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  <c r="AA1894" s="6"/>
      <c r="AB1894" s="6"/>
      <c r="AC1894" s="6"/>
      <c r="AD1894" s="6"/>
      <c r="AE1894" s="6"/>
      <c r="AF1894" s="6"/>
      <c r="AG1894" s="6"/>
      <c r="AH1894" s="6"/>
      <c r="AI1894" s="6"/>
      <c r="AJ1894" s="6"/>
      <c r="AK1894" s="6"/>
      <c r="AL1894" s="6"/>
      <c r="AM1894" s="6"/>
      <c r="AN1894" s="6"/>
      <c r="AO1894" s="6"/>
      <c r="AP1894" s="6"/>
      <c r="AQ1894" s="6"/>
      <c r="AR1894" s="6"/>
      <c r="AS1894" s="6"/>
    </row>
    <row r="1895" spans="1:45" ht="16.5" customHeight="1">
      <c r="A1895" s="235"/>
      <c r="B1895" s="235"/>
      <c r="C1895" s="235"/>
      <c r="D1895" s="235"/>
      <c r="E1895" s="235"/>
      <c r="F1895" s="236"/>
      <c r="G1895" s="237"/>
      <c r="H1895" s="237"/>
      <c r="I1895" s="238"/>
      <c r="J1895" s="235"/>
      <c r="K1895" s="235"/>
      <c r="L1895" s="235"/>
      <c r="M1895" s="235"/>
      <c r="N1895" s="239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  <c r="AA1895" s="6"/>
      <c r="AB1895" s="6"/>
      <c r="AC1895" s="6"/>
      <c r="AD1895" s="6"/>
      <c r="AE1895" s="6"/>
      <c r="AF1895" s="6"/>
      <c r="AG1895" s="6"/>
      <c r="AH1895" s="6"/>
      <c r="AI1895" s="6"/>
      <c r="AJ1895" s="6"/>
      <c r="AK1895" s="6"/>
      <c r="AL1895" s="6"/>
      <c r="AM1895" s="6"/>
      <c r="AN1895" s="6"/>
      <c r="AO1895" s="6"/>
      <c r="AP1895" s="6"/>
      <c r="AQ1895" s="6"/>
      <c r="AR1895" s="6"/>
      <c r="AS1895" s="6"/>
    </row>
    <row r="1896" spans="1:45" ht="16.5" customHeight="1">
      <c r="A1896" s="235"/>
      <c r="B1896" s="235"/>
      <c r="C1896" s="235"/>
      <c r="D1896" s="235"/>
      <c r="E1896" s="235"/>
      <c r="F1896" s="236"/>
      <c r="G1896" s="237"/>
      <c r="H1896" s="237"/>
      <c r="I1896" s="238"/>
      <c r="J1896" s="235"/>
      <c r="K1896" s="235"/>
      <c r="L1896" s="235"/>
      <c r="M1896" s="235"/>
      <c r="N1896" s="239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  <c r="AA1896" s="6"/>
      <c r="AB1896" s="6"/>
      <c r="AC1896" s="6"/>
      <c r="AD1896" s="6"/>
      <c r="AE1896" s="6"/>
      <c r="AF1896" s="6"/>
      <c r="AG1896" s="6"/>
      <c r="AH1896" s="6"/>
      <c r="AI1896" s="6"/>
      <c r="AJ1896" s="6"/>
      <c r="AK1896" s="6"/>
      <c r="AL1896" s="6"/>
      <c r="AM1896" s="6"/>
      <c r="AN1896" s="6"/>
      <c r="AO1896" s="6"/>
      <c r="AP1896" s="6"/>
      <c r="AQ1896" s="6"/>
      <c r="AR1896" s="6"/>
      <c r="AS1896" s="6"/>
    </row>
    <row r="1897" spans="1:45" ht="16.5" customHeight="1">
      <c r="A1897" s="235"/>
      <c r="B1897" s="235"/>
      <c r="C1897" s="235"/>
      <c r="D1897" s="235"/>
      <c r="E1897" s="235"/>
      <c r="F1897" s="236"/>
      <c r="G1897" s="237"/>
      <c r="H1897" s="237"/>
      <c r="I1897" s="238"/>
      <c r="J1897" s="235"/>
      <c r="K1897" s="235"/>
      <c r="L1897" s="235"/>
      <c r="M1897" s="235"/>
      <c r="N1897" s="239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  <c r="AA1897" s="6"/>
      <c r="AB1897" s="6"/>
      <c r="AC1897" s="6"/>
      <c r="AD1897" s="6"/>
      <c r="AE1897" s="6"/>
      <c r="AF1897" s="6"/>
      <c r="AG1897" s="6"/>
      <c r="AH1897" s="6"/>
      <c r="AI1897" s="6"/>
      <c r="AJ1897" s="6"/>
      <c r="AK1897" s="6"/>
      <c r="AL1897" s="6"/>
      <c r="AM1897" s="6"/>
      <c r="AN1897" s="6"/>
      <c r="AO1897" s="6"/>
      <c r="AP1897" s="6"/>
      <c r="AQ1897" s="6"/>
      <c r="AR1897" s="6"/>
      <c r="AS1897" s="6"/>
    </row>
    <row r="1898" spans="1:45" ht="16.5" customHeight="1">
      <c r="A1898" s="235"/>
      <c r="B1898" s="235"/>
      <c r="C1898" s="235"/>
      <c r="D1898" s="235"/>
      <c r="E1898" s="235"/>
      <c r="F1898" s="236"/>
      <c r="G1898" s="237"/>
      <c r="H1898" s="237"/>
      <c r="I1898" s="238"/>
      <c r="J1898" s="235"/>
      <c r="K1898" s="235"/>
      <c r="L1898" s="235"/>
      <c r="M1898" s="235"/>
      <c r="N1898" s="239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  <c r="AA1898" s="6"/>
      <c r="AB1898" s="6"/>
      <c r="AC1898" s="6"/>
      <c r="AD1898" s="6"/>
      <c r="AE1898" s="6"/>
      <c r="AF1898" s="6"/>
      <c r="AG1898" s="6"/>
      <c r="AH1898" s="6"/>
      <c r="AI1898" s="6"/>
      <c r="AJ1898" s="6"/>
      <c r="AK1898" s="6"/>
      <c r="AL1898" s="6"/>
      <c r="AM1898" s="6"/>
      <c r="AN1898" s="6"/>
      <c r="AO1898" s="6"/>
      <c r="AP1898" s="6"/>
      <c r="AQ1898" s="6"/>
      <c r="AR1898" s="6"/>
      <c r="AS1898" s="6"/>
    </row>
    <row r="1899" spans="1:45" ht="16.5" customHeight="1">
      <c r="A1899" s="235"/>
      <c r="B1899" s="235"/>
      <c r="C1899" s="235"/>
      <c r="D1899" s="235"/>
      <c r="E1899" s="235"/>
      <c r="F1899" s="236"/>
      <c r="G1899" s="237"/>
      <c r="H1899" s="237"/>
      <c r="I1899" s="238"/>
      <c r="J1899" s="235"/>
      <c r="K1899" s="235"/>
      <c r="L1899" s="235"/>
      <c r="M1899" s="235"/>
      <c r="N1899" s="239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  <c r="AA1899" s="6"/>
      <c r="AB1899" s="6"/>
      <c r="AC1899" s="6"/>
      <c r="AD1899" s="6"/>
      <c r="AE1899" s="6"/>
      <c r="AF1899" s="6"/>
      <c r="AG1899" s="6"/>
      <c r="AH1899" s="6"/>
      <c r="AI1899" s="6"/>
      <c r="AJ1899" s="6"/>
      <c r="AK1899" s="6"/>
      <c r="AL1899" s="6"/>
      <c r="AM1899" s="6"/>
      <c r="AN1899" s="6"/>
      <c r="AO1899" s="6"/>
      <c r="AP1899" s="6"/>
      <c r="AQ1899" s="6"/>
      <c r="AR1899" s="6"/>
      <c r="AS1899" s="6"/>
    </row>
    <row r="1900" spans="1:45" ht="16.5" customHeight="1">
      <c r="A1900" s="235"/>
      <c r="B1900" s="235"/>
      <c r="C1900" s="235"/>
      <c r="D1900" s="235"/>
      <c r="E1900" s="235"/>
      <c r="F1900" s="236"/>
      <c r="G1900" s="237"/>
      <c r="H1900" s="237"/>
      <c r="I1900" s="238"/>
      <c r="J1900" s="235"/>
      <c r="K1900" s="235"/>
      <c r="L1900" s="235"/>
      <c r="M1900" s="235"/>
      <c r="N1900" s="239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  <c r="AA1900" s="6"/>
      <c r="AB1900" s="6"/>
      <c r="AC1900" s="6"/>
      <c r="AD1900" s="6"/>
      <c r="AE1900" s="6"/>
      <c r="AF1900" s="6"/>
      <c r="AG1900" s="6"/>
      <c r="AH1900" s="6"/>
      <c r="AI1900" s="6"/>
      <c r="AJ1900" s="6"/>
      <c r="AK1900" s="6"/>
      <c r="AL1900" s="6"/>
      <c r="AM1900" s="6"/>
      <c r="AN1900" s="6"/>
      <c r="AO1900" s="6"/>
      <c r="AP1900" s="6"/>
      <c r="AQ1900" s="6"/>
      <c r="AR1900" s="6"/>
      <c r="AS1900" s="6"/>
    </row>
    <row r="1901" spans="1:45" ht="16.5" customHeight="1">
      <c r="A1901" s="235"/>
      <c r="B1901" s="235"/>
      <c r="C1901" s="235"/>
      <c r="D1901" s="235"/>
      <c r="E1901" s="235"/>
      <c r="F1901" s="236"/>
      <c r="G1901" s="237"/>
      <c r="H1901" s="237"/>
      <c r="I1901" s="238"/>
      <c r="J1901" s="235"/>
      <c r="K1901" s="235"/>
      <c r="L1901" s="235"/>
      <c r="M1901" s="235"/>
      <c r="N1901" s="239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  <c r="AA1901" s="6"/>
      <c r="AB1901" s="6"/>
      <c r="AC1901" s="6"/>
      <c r="AD1901" s="6"/>
      <c r="AE1901" s="6"/>
      <c r="AF1901" s="6"/>
      <c r="AG1901" s="6"/>
      <c r="AH1901" s="6"/>
      <c r="AI1901" s="6"/>
      <c r="AJ1901" s="6"/>
      <c r="AK1901" s="6"/>
      <c r="AL1901" s="6"/>
      <c r="AM1901" s="6"/>
      <c r="AN1901" s="6"/>
      <c r="AO1901" s="6"/>
      <c r="AP1901" s="6"/>
      <c r="AQ1901" s="6"/>
      <c r="AR1901" s="6"/>
      <c r="AS1901" s="6"/>
    </row>
    <row r="1902" spans="1:45" ht="16.5" customHeight="1">
      <c r="A1902" s="235"/>
      <c r="B1902" s="235"/>
      <c r="C1902" s="235"/>
      <c r="D1902" s="235"/>
      <c r="E1902" s="235"/>
      <c r="F1902" s="236"/>
      <c r="G1902" s="237"/>
      <c r="H1902" s="237"/>
      <c r="I1902" s="238"/>
      <c r="J1902" s="235"/>
      <c r="K1902" s="235"/>
      <c r="L1902" s="235"/>
      <c r="M1902" s="235"/>
      <c r="N1902" s="239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  <c r="AA1902" s="6"/>
      <c r="AB1902" s="6"/>
      <c r="AC1902" s="6"/>
      <c r="AD1902" s="6"/>
      <c r="AE1902" s="6"/>
      <c r="AF1902" s="6"/>
      <c r="AG1902" s="6"/>
      <c r="AH1902" s="6"/>
      <c r="AI1902" s="6"/>
      <c r="AJ1902" s="6"/>
      <c r="AK1902" s="6"/>
      <c r="AL1902" s="6"/>
      <c r="AM1902" s="6"/>
      <c r="AN1902" s="6"/>
      <c r="AO1902" s="6"/>
      <c r="AP1902" s="6"/>
      <c r="AQ1902" s="6"/>
      <c r="AR1902" s="6"/>
      <c r="AS1902" s="6"/>
    </row>
    <row r="1903" spans="1:45" ht="16.5" customHeight="1">
      <c r="A1903" s="235"/>
      <c r="B1903" s="235"/>
      <c r="C1903" s="235"/>
      <c r="D1903" s="235"/>
      <c r="E1903" s="235"/>
      <c r="F1903" s="236"/>
      <c r="G1903" s="237"/>
      <c r="H1903" s="237"/>
      <c r="I1903" s="238"/>
      <c r="J1903" s="235"/>
      <c r="K1903" s="235"/>
      <c r="L1903" s="235"/>
      <c r="M1903" s="235"/>
      <c r="N1903" s="239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  <c r="AA1903" s="6"/>
      <c r="AB1903" s="6"/>
      <c r="AC1903" s="6"/>
      <c r="AD1903" s="6"/>
      <c r="AE1903" s="6"/>
      <c r="AF1903" s="6"/>
      <c r="AG1903" s="6"/>
      <c r="AH1903" s="6"/>
      <c r="AI1903" s="6"/>
      <c r="AJ1903" s="6"/>
      <c r="AK1903" s="6"/>
      <c r="AL1903" s="6"/>
      <c r="AM1903" s="6"/>
      <c r="AN1903" s="6"/>
      <c r="AO1903" s="6"/>
      <c r="AP1903" s="6"/>
      <c r="AQ1903" s="6"/>
      <c r="AR1903" s="6"/>
      <c r="AS1903" s="6"/>
    </row>
    <row r="1904" spans="1:45" ht="16.5" customHeight="1">
      <c r="A1904" s="235"/>
      <c r="B1904" s="235"/>
      <c r="C1904" s="235"/>
      <c r="D1904" s="235"/>
      <c r="E1904" s="235"/>
      <c r="F1904" s="236"/>
      <c r="G1904" s="237"/>
      <c r="H1904" s="237"/>
      <c r="I1904" s="238"/>
      <c r="J1904" s="235"/>
      <c r="K1904" s="235"/>
      <c r="L1904" s="235"/>
      <c r="M1904" s="235"/>
      <c r="N1904" s="239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  <c r="AA1904" s="6"/>
      <c r="AB1904" s="6"/>
      <c r="AC1904" s="6"/>
      <c r="AD1904" s="6"/>
      <c r="AE1904" s="6"/>
      <c r="AF1904" s="6"/>
      <c r="AG1904" s="6"/>
      <c r="AH1904" s="6"/>
      <c r="AI1904" s="6"/>
      <c r="AJ1904" s="6"/>
      <c r="AK1904" s="6"/>
      <c r="AL1904" s="6"/>
      <c r="AM1904" s="6"/>
      <c r="AN1904" s="6"/>
      <c r="AO1904" s="6"/>
      <c r="AP1904" s="6"/>
      <c r="AQ1904" s="6"/>
      <c r="AR1904" s="6"/>
      <c r="AS1904" s="6"/>
    </row>
    <row r="1905" spans="1:45" ht="16.5" customHeight="1">
      <c r="A1905" s="235"/>
      <c r="B1905" s="235"/>
      <c r="C1905" s="235"/>
      <c r="D1905" s="235"/>
      <c r="E1905" s="235"/>
      <c r="F1905" s="236"/>
      <c r="G1905" s="237"/>
      <c r="H1905" s="237"/>
      <c r="I1905" s="238"/>
      <c r="J1905" s="235"/>
      <c r="K1905" s="235"/>
      <c r="L1905" s="235"/>
      <c r="M1905" s="235"/>
      <c r="N1905" s="239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  <c r="AA1905" s="6"/>
      <c r="AB1905" s="6"/>
      <c r="AC1905" s="6"/>
      <c r="AD1905" s="6"/>
      <c r="AE1905" s="6"/>
      <c r="AF1905" s="6"/>
      <c r="AG1905" s="6"/>
      <c r="AH1905" s="6"/>
      <c r="AI1905" s="6"/>
      <c r="AJ1905" s="6"/>
      <c r="AK1905" s="6"/>
      <c r="AL1905" s="6"/>
      <c r="AM1905" s="6"/>
      <c r="AN1905" s="6"/>
      <c r="AO1905" s="6"/>
      <c r="AP1905" s="6"/>
      <c r="AQ1905" s="6"/>
      <c r="AR1905" s="6"/>
      <c r="AS1905" s="6"/>
    </row>
    <row r="1906" spans="1:45" ht="16.5" customHeight="1">
      <c r="A1906" s="235"/>
      <c r="B1906" s="235"/>
      <c r="C1906" s="235"/>
      <c r="D1906" s="235"/>
      <c r="E1906" s="235"/>
      <c r="F1906" s="236"/>
      <c r="G1906" s="237"/>
      <c r="H1906" s="237"/>
      <c r="I1906" s="238"/>
      <c r="J1906" s="235"/>
      <c r="K1906" s="235"/>
      <c r="L1906" s="235"/>
      <c r="M1906" s="235"/>
      <c r="N1906" s="239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  <c r="AA1906" s="6"/>
      <c r="AB1906" s="6"/>
      <c r="AC1906" s="6"/>
      <c r="AD1906" s="6"/>
      <c r="AE1906" s="6"/>
      <c r="AF1906" s="6"/>
      <c r="AG1906" s="6"/>
      <c r="AH1906" s="6"/>
      <c r="AI1906" s="6"/>
      <c r="AJ1906" s="6"/>
      <c r="AK1906" s="6"/>
      <c r="AL1906" s="6"/>
      <c r="AM1906" s="6"/>
      <c r="AN1906" s="6"/>
      <c r="AO1906" s="6"/>
      <c r="AP1906" s="6"/>
      <c r="AQ1906" s="6"/>
      <c r="AR1906" s="6"/>
      <c r="AS1906" s="6"/>
    </row>
    <row r="1907" spans="1:45" ht="16.5" customHeight="1">
      <c r="A1907" s="235"/>
      <c r="B1907" s="235"/>
      <c r="C1907" s="235"/>
      <c r="D1907" s="235"/>
      <c r="E1907" s="235"/>
      <c r="F1907" s="236"/>
      <c r="G1907" s="237"/>
      <c r="H1907" s="237"/>
      <c r="I1907" s="238"/>
      <c r="J1907" s="235"/>
      <c r="K1907" s="235"/>
      <c r="L1907" s="235"/>
      <c r="M1907" s="235"/>
      <c r="N1907" s="239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  <c r="AA1907" s="6"/>
      <c r="AB1907" s="6"/>
      <c r="AC1907" s="6"/>
      <c r="AD1907" s="6"/>
      <c r="AE1907" s="6"/>
      <c r="AF1907" s="6"/>
      <c r="AG1907" s="6"/>
      <c r="AH1907" s="6"/>
      <c r="AI1907" s="6"/>
      <c r="AJ1907" s="6"/>
      <c r="AK1907" s="6"/>
      <c r="AL1907" s="6"/>
      <c r="AM1907" s="6"/>
      <c r="AN1907" s="6"/>
      <c r="AO1907" s="6"/>
      <c r="AP1907" s="6"/>
      <c r="AQ1907" s="6"/>
      <c r="AR1907" s="6"/>
      <c r="AS1907" s="6"/>
    </row>
    <row r="1908" spans="1:45" ht="16.5" customHeight="1">
      <c r="A1908" s="235"/>
      <c r="B1908" s="235"/>
      <c r="C1908" s="235"/>
      <c r="D1908" s="235"/>
      <c r="E1908" s="235"/>
      <c r="F1908" s="236"/>
      <c r="G1908" s="237"/>
      <c r="H1908" s="237"/>
      <c r="I1908" s="238"/>
      <c r="J1908" s="235"/>
      <c r="K1908" s="235"/>
      <c r="L1908" s="235"/>
      <c r="M1908" s="235"/>
      <c r="N1908" s="239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  <c r="AA1908" s="6"/>
      <c r="AB1908" s="6"/>
      <c r="AC1908" s="6"/>
      <c r="AD1908" s="6"/>
      <c r="AE1908" s="6"/>
      <c r="AF1908" s="6"/>
      <c r="AG1908" s="6"/>
      <c r="AH1908" s="6"/>
      <c r="AI1908" s="6"/>
      <c r="AJ1908" s="6"/>
      <c r="AK1908" s="6"/>
      <c r="AL1908" s="6"/>
      <c r="AM1908" s="6"/>
      <c r="AN1908" s="6"/>
      <c r="AO1908" s="6"/>
      <c r="AP1908" s="6"/>
      <c r="AQ1908" s="6"/>
      <c r="AR1908" s="6"/>
      <c r="AS1908" s="6"/>
    </row>
    <row r="1909" spans="1:45" ht="16.5" customHeight="1">
      <c r="A1909" s="235"/>
      <c r="B1909" s="235"/>
      <c r="C1909" s="235"/>
      <c r="D1909" s="235"/>
      <c r="E1909" s="235"/>
      <c r="F1909" s="236"/>
      <c r="G1909" s="237"/>
      <c r="H1909" s="237"/>
      <c r="I1909" s="238"/>
      <c r="J1909" s="235"/>
      <c r="K1909" s="235"/>
      <c r="L1909" s="235"/>
      <c r="M1909" s="235"/>
      <c r="N1909" s="239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  <c r="AA1909" s="6"/>
      <c r="AB1909" s="6"/>
      <c r="AC1909" s="6"/>
      <c r="AD1909" s="6"/>
      <c r="AE1909" s="6"/>
      <c r="AF1909" s="6"/>
      <c r="AG1909" s="6"/>
      <c r="AH1909" s="6"/>
      <c r="AI1909" s="6"/>
      <c r="AJ1909" s="6"/>
      <c r="AK1909" s="6"/>
      <c r="AL1909" s="6"/>
      <c r="AM1909" s="6"/>
      <c r="AN1909" s="6"/>
      <c r="AO1909" s="6"/>
      <c r="AP1909" s="6"/>
      <c r="AQ1909" s="6"/>
      <c r="AR1909" s="6"/>
      <c r="AS1909" s="6"/>
    </row>
    <row r="1910" spans="1:45" ht="16.5" customHeight="1">
      <c r="A1910" s="235"/>
      <c r="B1910" s="235"/>
      <c r="C1910" s="235"/>
      <c r="D1910" s="235"/>
      <c r="E1910" s="235"/>
      <c r="F1910" s="236"/>
      <c r="G1910" s="237"/>
      <c r="H1910" s="237"/>
      <c r="I1910" s="238"/>
      <c r="J1910" s="235"/>
      <c r="K1910" s="235"/>
      <c r="L1910" s="235"/>
      <c r="M1910" s="235"/>
      <c r="N1910" s="239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  <c r="AA1910" s="6"/>
      <c r="AB1910" s="6"/>
      <c r="AC1910" s="6"/>
      <c r="AD1910" s="6"/>
      <c r="AE1910" s="6"/>
      <c r="AF1910" s="6"/>
      <c r="AG1910" s="6"/>
      <c r="AH1910" s="6"/>
      <c r="AI1910" s="6"/>
      <c r="AJ1910" s="6"/>
      <c r="AK1910" s="6"/>
      <c r="AL1910" s="6"/>
      <c r="AM1910" s="6"/>
      <c r="AN1910" s="6"/>
      <c r="AO1910" s="6"/>
      <c r="AP1910" s="6"/>
      <c r="AQ1910" s="6"/>
      <c r="AR1910" s="6"/>
      <c r="AS1910" s="6"/>
    </row>
    <row r="1911" spans="1:45" ht="16.5" customHeight="1">
      <c r="A1911" s="235"/>
      <c r="B1911" s="235"/>
      <c r="C1911" s="235"/>
      <c r="D1911" s="235"/>
      <c r="E1911" s="235"/>
      <c r="F1911" s="236"/>
      <c r="G1911" s="237"/>
      <c r="H1911" s="237"/>
      <c r="I1911" s="238"/>
      <c r="J1911" s="235"/>
      <c r="K1911" s="235"/>
      <c r="L1911" s="235"/>
      <c r="M1911" s="235"/>
      <c r="N1911" s="239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  <c r="AA1911" s="6"/>
      <c r="AB1911" s="6"/>
      <c r="AC1911" s="6"/>
      <c r="AD1911" s="6"/>
      <c r="AE1911" s="6"/>
      <c r="AF1911" s="6"/>
      <c r="AG1911" s="6"/>
      <c r="AH1911" s="6"/>
      <c r="AI1911" s="6"/>
      <c r="AJ1911" s="6"/>
      <c r="AK1911" s="6"/>
      <c r="AL1911" s="6"/>
      <c r="AM1911" s="6"/>
      <c r="AN1911" s="6"/>
      <c r="AO1911" s="6"/>
      <c r="AP1911" s="6"/>
      <c r="AQ1911" s="6"/>
      <c r="AR1911" s="6"/>
      <c r="AS1911" s="6"/>
    </row>
    <row r="1912" spans="1:45" ht="16.5" customHeight="1">
      <c r="A1912" s="235"/>
      <c r="B1912" s="235"/>
      <c r="C1912" s="235"/>
      <c r="D1912" s="235"/>
      <c r="E1912" s="235"/>
      <c r="F1912" s="236"/>
      <c r="G1912" s="237"/>
      <c r="H1912" s="237"/>
      <c r="I1912" s="238"/>
      <c r="J1912" s="235"/>
      <c r="K1912" s="235"/>
      <c r="L1912" s="235"/>
      <c r="M1912" s="235"/>
      <c r="N1912" s="239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  <c r="AA1912" s="6"/>
      <c r="AB1912" s="6"/>
      <c r="AC1912" s="6"/>
      <c r="AD1912" s="6"/>
      <c r="AE1912" s="6"/>
      <c r="AF1912" s="6"/>
      <c r="AG1912" s="6"/>
      <c r="AH1912" s="6"/>
      <c r="AI1912" s="6"/>
      <c r="AJ1912" s="6"/>
      <c r="AK1912" s="6"/>
      <c r="AL1912" s="6"/>
      <c r="AM1912" s="6"/>
      <c r="AN1912" s="6"/>
      <c r="AO1912" s="6"/>
      <c r="AP1912" s="6"/>
      <c r="AQ1912" s="6"/>
      <c r="AR1912" s="6"/>
      <c r="AS1912" s="6"/>
    </row>
    <row r="1913" spans="1:45" ht="16.5" customHeight="1">
      <c r="A1913" s="235"/>
      <c r="B1913" s="235"/>
      <c r="C1913" s="235"/>
      <c r="D1913" s="235"/>
      <c r="E1913" s="235"/>
      <c r="F1913" s="236"/>
      <c r="G1913" s="237"/>
      <c r="H1913" s="237"/>
      <c r="I1913" s="238"/>
      <c r="J1913" s="235"/>
      <c r="K1913" s="235"/>
      <c r="L1913" s="235"/>
      <c r="M1913" s="235"/>
      <c r="N1913" s="239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  <c r="AA1913" s="6"/>
      <c r="AB1913" s="6"/>
      <c r="AC1913" s="6"/>
      <c r="AD1913" s="6"/>
      <c r="AE1913" s="6"/>
      <c r="AF1913" s="6"/>
      <c r="AG1913" s="6"/>
      <c r="AH1913" s="6"/>
      <c r="AI1913" s="6"/>
      <c r="AJ1913" s="6"/>
      <c r="AK1913" s="6"/>
      <c r="AL1913" s="6"/>
      <c r="AM1913" s="6"/>
      <c r="AN1913" s="6"/>
      <c r="AO1913" s="6"/>
      <c r="AP1913" s="6"/>
      <c r="AQ1913" s="6"/>
      <c r="AR1913" s="6"/>
      <c r="AS1913" s="6"/>
    </row>
    <row r="1914" spans="1:45" ht="16.5" customHeight="1">
      <c r="A1914" s="235"/>
      <c r="B1914" s="235"/>
      <c r="C1914" s="235"/>
      <c r="D1914" s="235"/>
      <c r="E1914" s="235"/>
      <c r="F1914" s="236"/>
      <c r="G1914" s="237"/>
      <c r="H1914" s="237"/>
      <c r="I1914" s="238"/>
      <c r="J1914" s="235"/>
      <c r="K1914" s="235"/>
      <c r="L1914" s="235"/>
      <c r="M1914" s="235"/>
      <c r="N1914" s="239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  <c r="AA1914" s="6"/>
      <c r="AB1914" s="6"/>
      <c r="AC1914" s="6"/>
      <c r="AD1914" s="6"/>
      <c r="AE1914" s="6"/>
      <c r="AF1914" s="6"/>
      <c r="AG1914" s="6"/>
      <c r="AH1914" s="6"/>
      <c r="AI1914" s="6"/>
      <c r="AJ1914" s="6"/>
      <c r="AK1914" s="6"/>
      <c r="AL1914" s="6"/>
      <c r="AM1914" s="6"/>
      <c r="AN1914" s="6"/>
      <c r="AO1914" s="6"/>
      <c r="AP1914" s="6"/>
      <c r="AQ1914" s="6"/>
      <c r="AR1914" s="6"/>
      <c r="AS1914" s="6"/>
    </row>
    <row r="1915" spans="1:45" ht="16.5" customHeight="1">
      <c r="A1915" s="235"/>
      <c r="B1915" s="235"/>
      <c r="C1915" s="235"/>
      <c r="D1915" s="235"/>
      <c r="E1915" s="235"/>
      <c r="F1915" s="236"/>
      <c r="G1915" s="237"/>
      <c r="H1915" s="237"/>
      <c r="I1915" s="238"/>
      <c r="J1915" s="235"/>
      <c r="K1915" s="235"/>
      <c r="L1915" s="235"/>
      <c r="M1915" s="235"/>
      <c r="N1915" s="239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  <c r="AA1915" s="6"/>
      <c r="AB1915" s="6"/>
      <c r="AC1915" s="6"/>
      <c r="AD1915" s="6"/>
      <c r="AE1915" s="6"/>
      <c r="AF1915" s="6"/>
      <c r="AG1915" s="6"/>
      <c r="AH1915" s="6"/>
      <c r="AI1915" s="6"/>
      <c r="AJ1915" s="6"/>
      <c r="AK1915" s="6"/>
      <c r="AL1915" s="6"/>
      <c r="AM1915" s="6"/>
      <c r="AN1915" s="6"/>
      <c r="AO1915" s="6"/>
      <c r="AP1915" s="6"/>
      <c r="AQ1915" s="6"/>
      <c r="AR1915" s="6"/>
      <c r="AS1915" s="6"/>
    </row>
    <row r="1916" spans="1:45" ht="16.5" customHeight="1">
      <c r="A1916" s="235"/>
      <c r="B1916" s="235"/>
      <c r="C1916" s="235"/>
      <c r="D1916" s="235"/>
      <c r="E1916" s="235"/>
      <c r="F1916" s="236"/>
      <c r="G1916" s="237"/>
      <c r="H1916" s="237"/>
      <c r="I1916" s="238"/>
      <c r="J1916" s="235"/>
      <c r="K1916" s="235"/>
      <c r="L1916" s="235"/>
      <c r="M1916" s="235"/>
      <c r="N1916" s="239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  <c r="AA1916" s="6"/>
      <c r="AB1916" s="6"/>
      <c r="AC1916" s="6"/>
      <c r="AD1916" s="6"/>
      <c r="AE1916" s="6"/>
      <c r="AF1916" s="6"/>
      <c r="AG1916" s="6"/>
      <c r="AH1916" s="6"/>
      <c r="AI1916" s="6"/>
      <c r="AJ1916" s="6"/>
      <c r="AK1916" s="6"/>
      <c r="AL1916" s="6"/>
      <c r="AM1916" s="6"/>
      <c r="AN1916" s="6"/>
      <c r="AO1916" s="6"/>
      <c r="AP1916" s="6"/>
      <c r="AQ1916" s="6"/>
      <c r="AR1916" s="6"/>
      <c r="AS1916" s="6"/>
    </row>
    <row r="1917" spans="1:45" ht="16.5" customHeight="1">
      <c r="A1917" s="235"/>
      <c r="B1917" s="235"/>
      <c r="C1917" s="235"/>
      <c r="D1917" s="235"/>
      <c r="E1917" s="235"/>
      <c r="F1917" s="236"/>
      <c r="G1917" s="237"/>
      <c r="H1917" s="237"/>
      <c r="I1917" s="238"/>
      <c r="J1917" s="235"/>
      <c r="K1917" s="235"/>
      <c r="L1917" s="235"/>
      <c r="M1917" s="235"/>
      <c r="N1917" s="239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  <c r="AA1917" s="6"/>
      <c r="AB1917" s="6"/>
      <c r="AC1917" s="6"/>
      <c r="AD1917" s="6"/>
      <c r="AE1917" s="6"/>
      <c r="AF1917" s="6"/>
      <c r="AG1917" s="6"/>
      <c r="AH1917" s="6"/>
      <c r="AI1917" s="6"/>
      <c r="AJ1917" s="6"/>
      <c r="AK1917" s="6"/>
      <c r="AL1917" s="6"/>
      <c r="AM1917" s="6"/>
      <c r="AN1917" s="6"/>
      <c r="AO1917" s="6"/>
      <c r="AP1917" s="6"/>
      <c r="AQ1917" s="6"/>
      <c r="AR1917" s="6"/>
      <c r="AS1917" s="6"/>
    </row>
    <row r="1918" spans="1:45" ht="16.5" customHeight="1">
      <c r="A1918" s="235"/>
      <c r="B1918" s="235"/>
      <c r="C1918" s="235"/>
      <c r="D1918" s="235"/>
      <c r="E1918" s="235"/>
      <c r="F1918" s="236"/>
      <c r="G1918" s="237"/>
      <c r="H1918" s="237"/>
      <c r="I1918" s="238"/>
      <c r="J1918" s="235"/>
      <c r="K1918" s="235"/>
      <c r="L1918" s="235"/>
      <c r="M1918" s="235"/>
      <c r="N1918" s="239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  <c r="AA1918" s="6"/>
      <c r="AB1918" s="6"/>
      <c r="AC1918" s="6"/>
      <c r="AD1918" s="6"/>
      <c r="AE1918" s="6"/>
      <c r="AF1918" s="6"/>
      <c r="AG1918" s="6"/>
      <c r="AH1918" s="6"/>
      <c r="AI1918" s="6"/>
      <c r="AJ1918" s="6"/>
      <c r="AK1918" s="6"/>
      <c r="AL1918" s="6"/>
      <c r="AM1918" s="6"/>
      <c r="AN1918" s="6"/>
      <c r="AO1918" s="6"/>
      <c r="AP1918" s="6"/>
      <c r="AQ1918" s="6"/>
      <c r="AR1918" s="6"/>
      <c r="AS1918" s="6"/>
    </row>
    <row r="1919" spans="1:45" ht="16.5" customHeight="1">
      <c r="A1919" s="235"/>
      <c r="B1919" s="235"/>
      <c r="C1919" s="235"/>
      <c r="D1919" s="235"/>
      <c r="E1919" s="235"/>
      <c r="F1919" s="236"/>
      <c r="G1919" s="237"/>
      <c r="H1919" s="237"/>
      <c r="I1919" s="238"/>
      <c r="J1919" s="235"/>
      <c r="K1919" s="235"/>
      <c r="L1919" s="235"/>
      <c r="M1919" s="235"/>
      <c r="N1919" s="239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  <c r="AA1919" s="6"/>
      <c r="AB1919" s="6"/>
      <c r="AC1919" s="6"/>
      <c r="AD1919" s="6"/>
      <c r="AE1919" s="6"/>
      <c r="AF1919" s="6"/>
      <c r="AG1919" s="6"/>
      <c r="AH1919" s="6"/>
      <c r="AI1919" s="6"/>
      <c r="AJ1919" s="6"/>
      <c r="AK1919" s="6"/>
      <c r="AL1919" s="6"/>
      <c r="AM1919" s="6"/>
      <c r="AN1919" s="6"/>
      <c r="AO1919" s="6"/>
      <c r="AP1919" s="6"/>
      <c r="AQ1919" s="6"/>
      <c r="AR1919" s="6"/>
      <c r="AS1919" s="6"/>
    </row>
    <row r="1920" spans="1:45" ht="16.5" customHeight="1">
      <c r="A1920" s="235"/>
      <c r="B1920" s="235"/>
      <c r="C1920" s="235"/>
      <c r="D1920" s="235"/>
      <c r="E1920" s="235"/>
      <c r="F1920" s="236"/>
      <c r="G1920" s="237"/>
      <c r="H1920" s="237"/>
      <c r="I1920" s="238"/>
      <c r="J1920" s="235"/>
      <c r="K1920" s="235"/>
      <c r="L1920" s="235"/>
      <c r="M1920" s="235"/>
      <c r="N1920" s="239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  <c r="AA1920" s="6"/>
      <c r="AB1920" s="6"/>
      <c r="AC1920" s="6"/>
      <c r="AD1920" s="6"/>
      <c r="AE1920" s="6"/>
      <c r="AF1920" s="6"/>
      <c r="AG1920" s="6"/>
      <c r="AH1920" s="6"/>
      <c r="AI1920" s="6"/>
      <c r="AJ1920" s="6"/>
      <c r="AK1920" s="6"/>
      <c r="AL1920" s="6"/>
      <c r="AM1920" s="6"/>
      <c r="AN1920" s="6"/>
      <c r="AO1920" s="6"/>
      <c r="AP1920" s="6"/>
      <c r="AQ1920" s="6"/>
      <c r="AR1920" s="6"/>
      <c r="AS1920" s="6"/>
    </row>
    <row r="1921" spans="1:45" ht="16.5" customHeight="1">
      <c r="A1921" s="235"/>
      <c r="B1921" s="235"/>
      <c r="C1921" s="235"/>
      <c r="D1921" s="235"/>
      <c r="E1921" s="235"/>
      <c r="F1921" s="236"/>
      <c r="G1921" s="237"/>
      <c r="H1921" s="237"/>
      <c r="I1921" s="238"/>
      <c r="J1921" s="235"/>
      <c r="K1921" s="235"/>
      <c r="L1921" s="235"/>
      <c r="M1921" s="235"/>
      <c r="N1921" s="239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  <c r="AA1921" s="6"/>
      <c r="AB1921" s="6"/>
      <c r="AC1921" s="6"/>
      <c r="AD1921" s="6"/>
      <c r="AE1921" s="6"/>
      <c r="AF1921" s="6"/>
      <c r="AG1921" s="6"/>
      <c r="AH1921" s="6"/>
      <c r="AI1921" s="6"/>
      <c r="AJ1921" s="6"/>
      <c r="AK1921" s="6"/>
      <c r="AL1921" s="6"/>
      <c r="AM1921" s="6"/>
      <c r="AN1921" s="6"/>
      <c r="AO1921" s="6"/>
      <c r="AP1921" s="6"/>
      <c r="AQ1921" s="6"/>
      <c r="AR1921" s="6"/>
      <c r="AS1921" s="6"/>
    </row>
    <row r="1922" spans="1:45" ht="16.5" customHeight="1">
      <c r="A1922" s="235"/>
      <c r="B1922" s="235"/>
      <c r="C1922" s="235"/>
      <c r="D1922" s="235"/>
      <c r="E1922" s="235"/>
      <c r="F1922" s="236"/>
      <c r="G1922" s="237"/>
      <c r="H1922" s="237"/>
      <c r="I1922" s="238"/>
      <c r="J1922" s="235"/>
      <c r="K1922" s="235"/>
      <c r="L1922" s="235"/>
      <c r="M1922" s="235"/>
      <c r="N1922" s="239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  <c r="AA1922" s="6"/>
      <c r="AB1922" s="6"/>
      <c r="AC1922" s="6"/>
      <c r="AD1922" s="6"/>
      <c r="AE1922" s="6"/>
      <c r="AF1922" s="6"/>
      <c r="AG1922" s="6"/>
      <c r="AH1922" s="6"/>
      <c r="AI1922" s="6"/>
      <c r="AJ1922" s="6"/>
      <c r="AK1922" s="6"/>
      <c r="AL1922" s="6"/>
      <c r="AM1922" s="6"/>
      <c r="AN1922" s="6"/>
      <c r="AO1922" s="6"/>
      <c r="AP1922" s="6"/>
      <c r="AQ1922" s="6"/>
      <c r="AR1922" s="6"/>
      <c r="AS1922" s="6"/>
    </row>
    <row r="1923" spans="1:45" ht="16.5" customHeight="1">
      <c r="A1923" s="235"/>
      <c r="B1923" s="235"/>
      <c r="C1923" s="235"/>
      <c r="D1923" s="235"/>
      <c r="E1923" s="235"/>
      <c r="F1923" s="236"/>
      <c r="G1923" s="237"/>
      <c r="H1923" s="237"/>
      <c r="I1923" s="238"/>
      <c r="J1923" s="235"/>
      <c r="K1923" s="235"/>
      <c r="L1923" s="235"/>
      <c r="M1923" s="235"/>
      <c r="N1923" s="239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  <c r="AA1923" s="6"/>
      <c r="AB1923" s="6"/>
      <c r="AC1923" s="6"/>
      <c r="AD1923" s="6"/>
      <c r="AE1923" s="6"/>
      <c r="AF1923" s="6"/>
      <c r="AG1923" s="6"/>
      <c r="AH1923" s="6"/>
      <c r="AI1923" s="6"/>
      <c r="AJ1923" s="6"/>
      <c r="AK1923" s="6"/>
      <c r="AL1923" s="6"/>
      <c r="AM1923" s="6"/>
      <c r="AN1923" s="6"/>
      <c r="AO1923" s="6"/>
      <c r="AP1923" s="6"/>
      <c r="AQ1923" s="6"/>
      <c r="AR1923" s="6"/>
      <c r="AS1923" s="6"/>
    </row>
    <row r="1924" spans="1:45" ht="16.5" customHeight="1">
      <c r="A1924" s="235"/>
      <c r="B1924" s="235"/>
      <c r="C1924" s="235"/>
      <c r="D1924" s="235"/>
      <c r="E1924" s="235"/>
      <c r="F1924" s="236"/>
      <c r="G1924" s="237"/>
      <c r="H1924" s="237"/>
      <c r="I1924" s="238"/>
      <c r="J1924" s="235"/>
      <c r="K1924" s="235"/>
      <c r="L1924" s="235"/>
      <c r="M1924" s="235"/>
      <c r="N1924" s="239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  <c r="AA1924" s="6"/>
      <c r="AB1924" s="6"/>
      <c r="AC1924" s="6"/>
      <c r="AD1924" s="6"/>
      <c r="AE1924" s="6"/>
      <c r="AF1924" s="6"/>
      <c r="AG1924" s="6"/>
      <c r="AH1924" s="6"/>
      <c r="AI1924" s="6"/>
      <c r="AJ1924" s="6"/>
      <c r="AK1924" s="6"/>
      <c r="AL1924" s="6"/>
      <c r="AM1924" s="6"/>
      <c r="AN1924" s="6"/>
      <c r="AO1924" s="6"/>
      <c r="AP1924" s="6"/>
      <c r="AQ1924" s="6"/>
      <c r="AR1924" s="6"/>
      <c r="AS1924" s="6"/>
    </row>
    <row r="1925" spans="1:45" ht="16.5" customHeight="1">
      <c r="A1925" s="235"/>
      <c r="B1925" s="235"/>
      <c r="C1925" s="235"/>
      <c r="D1925" s="235"/>
      <c r="E1925" s="235"/>
      <c r="F1925" s="236"/>
      <c r="G1925" s="237"/>
      <c r="H1925" s="237"/>
      <c r="I1925" s="238"/>
      <c r="J1925" s="235"/>
      <c r="K1925" s="235"/>
      <c r="L1925" s="235"/>
      <c r="M1925" s="235"/>
      <c r="N1925" s="239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  <c r="AA1925" s="6"/>
      <c r="AB1925" s="6"/>
      <c r="AC1925" s="6"/>
      <c r="AD1925" s="6"/>
      <c r="AE1925" s="6"/>
      <c r="AF1925" s="6"/>
      <c r="AG1925" s="6"/>
      <c r="AH1925" s="6"/>
      <c r="AI1925" s="6"/>
      <c r="AJ1925" s="6"/>
      <c r="AK1925" s="6"/>
      <c r="AL1925" s="6"/>
      <c r="AM1925" s="6"/>
      <c r="AN1925" s="6"/>
      <c r="AO1925" s="6"/>
      <c r="AP1925" s="6"/>
      <c r="AQ1925" s="6"/>
      <c r="AR1925" s="6"/>
      <c r="AS1925" s="6"/>
    </row>
    <row r="1926" spans="1:45" ht="16.5" customHeight="1">
      <c r="A1926" s="235"/>
      <c r="B1926" s="235"/>
      <c r="C1926" s="235"/>
      <c r="D1926" s="235"/>
      <c r="E1926" s="235"/>
      <c r="F1926" s="236"/>
      <c r="G1926" s="237"/>
      <c r="H1926" s="237"/>
      <c r="I1926" s="238"/>
      <c r="J1926" s="235"/>
      <c r="K1926" s="235"/>
      <c r="L1926" s="235"/>
      <c r="M1926" s="235"/>
      <c r="N1926" s="239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  <c r="AA1926" s="6"/>
      <c r="AB1926" s="6"/>
      <c r="AC1926" s="6"/>
      <c r="AD1926" s="6"/>
      <c r="AE1926" s="6"/>
      <c r="AF1926" s="6"/>
      <c r="AG1926" s="6"/>
      <c r="AH1926" s="6"/>
      <c r="AI1926" s="6"/>
      <c r="AJ1926" s="6"/>
      <c r="AK1926" s="6"/>
      <c r="AL1926" s="6"/>
      <c r="AM1926" s="6"/>
      <c r="AN1926" s="6"/>
      <c r="AO1926" s="6"/>
      <c r="AP1926" s="6"/>
      <c r="AQ1926" s="6"/>
      <c r="AR1926" s="6"/>
      <c r="AS1926" s="6"/>
    </row>
    <row r="1927" spans="1:45" ht="16.5" customHeight="1">
      <c r="A1927" s="235"/>
      <c r="B1927" s="235"/>
      <c r="C1927" s="235"/>
      <c r="D1927" s="235"/>
      <c r="E1927" s="235"/>
      <c r="F1927" s="236"/>
      <c r="G1927" s="237"/>
      <c r="H1927" s="237"/>
      <c r="I1927" s="238"/>
      <c r="J1927" s="235"/>
      <c r="K1927" s="235"/>
      <c r="L1927" s="235"/>
      <c r="M1927" s="235"/>
      <c r="N1927" s="239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  <c r="AA1927" s="6"/>
      <c r="AB1927" s="6"/>
      <c r="AC1927" s="6"/>
      <c r="AD1927" s="6"/>
      <c r="AE1927" s="6"/>
      <c r="AF1927" s="6"/>
      <c r="AG1927" s="6"/>
      <c r="AH1927" s="6"/>
      <c r="AI1927" s="6"/>
      <c r="AJ1927" s="6"/>
      <c r="AK1927" s="6"/>
      <c r="AL1927" s="6"/>
      <c r="AM1927" s="6"/>
      <c r="AN1927" s="6"/>
      <c r="AO1927" s="6"/>
      <c r="AP1927" s="6"/>
      <c r="AQ1927" s="6"/>
      <c r="AR1927" s="6"/>
      <c r="AS1927" s="6"/>
    </row>
    <row r="1928" spans="1:45" ht="16.5" customHeight="1">
      <c r="A1928" s="235"/>
      <c r="B1928" s="235"/>
      <c r="C1928" s="235"/>
      <c r="D1928" s="235"/>
      <c r="E1928" s="235"/>
      <c r="F1928" s="236"/>
      <c r="G1928" s="237"/>
      <c r="H1928" s="237"/>
      <c r="I1928" s="238"/>
      <c r="J1928" s="235"/>
      <c r="K1928" s="235"/>
      <c r="L1928" s="235"/>
      <c r="M1928" s="235"/>
      <c r="N1928" s="239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  <c r="AA1928" s="6"/>
      <c r="AB1928" s="6"/>
      <c r="AC1928" s="6"/>
      <c r="AD1928" s="6"/>
      <c r="AE1928" s="6"/>
      <c r="AF1928" s="6"/>
      <c r="AG1928" s="6"/>
      <c r="AH1928" s="6"/>
      <c r="AI1928" s="6"/>
      <c r="AJ1928" s="6"/>
      <c r="AK1928" s="6"/>
      <c r="AL1928" s="6"/>
      <c r="AM1928" s="6"/>
      <c r="AN1928" s="6"/>
      <c r="AO1928" s="6"/>
      <c r="AP1928" s="6"/>
      <c r="AQ1928" s="6"/>
      <c r="AR1928" s="6"/>
      <c r="AS1928" s="6"/>
    </row>
    <row r="1929" spans="1:45" ht="16.5" customHeight="1">
      <c r="A1929" s="235"/>
      <c r="B1929" s="235"/>
      <c r="C1929" s="235"/>
      <c r="D1929" s="235"/>
      <c r="E1929" s="235"/>
      <c r="F1929" s="236"/>
      <c r="G1929" s="237"/>
      <c r="H1929" s="237"/>
      <c r="I1929" s="238"/>
      <c r="J1929" s="235"/>
      <c r="K1929" s="235"/>
      <c r="L1929" s="235"/>
      <c r="M1929" s="235"/>
      <c r="N1929" s="239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  <c r="AA1929" s="6"/>
      <c r="AB1929" s="6"/>
      <c r="AC1929" s="6"/>
      <c r="AD1929" s="6"/>
      <c r="AE1929" s="6"/>
      <c r="AF1929" s="6"/>
      <c r="AG1929" s="6"/>
      <c r="AH1929" s="6"/>
      <c r="AI1929" s="6"/>
      <c r="AJ1929" s="6"/>
      <c r="AK1929" s="6"/>
      <c r="AL1929" s="6"/>
      <c r="AM1929" s="6"/>
      <c r="AN1929" s="6"/>
      <c r="AO1929" s="6"/>
      <c r="AP1929" s="6"/>
      <c r="AQ1929" s="6"/>
      <c r="AR1929" s="6"/>
      <c r="AS1929" s="6"/>
    </row>
    <row r="1930" spans="1:45" ht="16.5" customHeight="1">
      <c r="A1930" s="235"/>
      <c r="B1930" s="235"/>
      <c r="C1930" s="235"/>
      <c r="D1930" s="235"/>
      <c r="E1930" s="235"/>
      <c r="F1930" s="236"/>
      <c r="G1930" s="237"/>
      <c r="H1930" s="237"/>
      <c r="I1930" s="238"/>
      <c r="J1930" s="235"/>
      <c r="K1930" s="235"/>
      <c r="L1930" s="235"/>
      <c r="M1930" s="235"/>
      <c r="N1930" s="239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  <c r="AA1930" s="6"/>
      <c r="AB1930" s="6"/>
      <c r="AC1930" s="6"/>
      <c r="AD1930" s="6"/>
      <c r="AE1930" s="6"/>
      <c r="AF1930" s="6"/>
      <c r="AG1930" s="6"/>
      <c r="AH1930" s="6"/>
      <c r="AI1930" s="6"/>
      <c r="AJ1930" s="6"/>
      <c r="AK1930" s="6"/>
      <c r="AL1930" s="6"/>
      <c r="AM1930" s="6"/>
      <c r="AN1930" s="6"/>
      <c r="AO1930" s="6"/>
      <c r="AP1930" s="6"/>
      <c r="AQ1930" s="6"/>
      <c r="AR1930" s="6"/>
      <c r="AS1930" s="6"/>
    </row>
    <row r="1931" spans="1:45" ht="16.5" customHeight="1">
      <c r="A1931" s="235"/>
      <c r="B1931" s="235"/>
      <c r="C1931" s="235"/>
      <c r="D1931" s="235"/>
      <c r="E1931" s="235"/>
      <c r="F1931" s="236"/>
      <c r="G1931" s="237"/>
      <c r="H1931" s="237"/>
      <c r="I1931" s="238"/>
      <c r="J1931" s="235"/>
      <c r="K1931" s="235"/>
      <c r="L1931" s="235"/>
      <c r="M1931" s="235"/>
      <c r="N1931" s="239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  <c r="AA1931" s="6"/>
      <c r="AB1931" s="6"/>
      <c r="AC1931" s="6"/>
      <c r="AD1931" s="6"/>
      <c r="AE1931" s="6"/>
      <c r="AF1931" s="6"/>
      <c r="AG1931" s="6"/>
      <c r="AH1931" s="6"/>
      <c r="AI1931" s="6"/>
      <c r="AJ1931" s="6"/>
      <c r="AK1931" s="6"/>
      <c r="AL1931" s="6"/>
      <c r="AM1931" s="6"/>
      <c r="AN1931" s="6"/>
      <c r="AO1931" s="6"/>
      <c r="AP1931" s="6"/>
      <c r="AQ1931" s="6"/>
      <c r="AR1931" s="6"/>
      <c r="AS1931" s="6"/>
    </row>
    <row r="1932" spans="1:45" ht="16.5" customHeight="1">
      <c r="A1932" s="235"/>
      <c r="B1932" s="235"/>
      <c r="C1932" s="235"/>
      <c r="D1932" s="235"/>
      <c r="E1932" s="235"/>
      <c r="F1932" s="236"/>
      <c r="G1932" s="237"/>
      <c r="H1932" s="237"/>
      <c r="I1932" s="238"/>
      <c r="J1932" s="235"/>
      <c r="K1932" s="235"/>
      <c r="L1932" s="235"/>
      <c r="M1932" s="235"/>
      <c r="N1932" s="239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  <c r="AA1932" s="6"/>
      <c r="AB1932" s="6"/>
      <c r="AC1932" s="6"/>
      <c r="AD1932" s="6"/>
      <c r="AE1932" s="6"/>
      <c r="AF1932" s="6"/>
      <c r="AG1932" s="6"/>
      <c r="AH1932" s="6"/>
      <c r="AI1932" s="6"/>
      <c r="AJ1932" s="6"/>
      <c r="AK1932" s="6"/>
      <c r="AL1932" s="6"/>
      <c r="AM1932" s="6"/>
      <c r="AN1932" s="6"/>
      <c r="AO1932" s="6"/>
      <c r="AP1932" s="6"/>
      <c r="AQ1932" s="6"/>
      <c r="AR1932" s="6"/>
      <c r="AS1932" s="6"/>
    </row>
    <row r="1933" spans="1:45" ht="16.5" customHeight="1">
      <c r="A1933" s="235"/>
      <c r="B1933" s="235"/>
      <c r="C1933" s="235"/>
      <c r="D1933" s="235"/>
      <c r="E1933" s="235"/>
      <c r="F1933" s="236"/>
      <c r="G1933" s="237"/>
      <c r="H1933" s="237"/>
      <c r="I1933" s="238"/>
      <c r="J1933" s="235"/>
      <c r="K1933" s="235"/>
      <c r="L1933" s="235"/>
      <c r="M1933" s="235"/>
      <c r="N1933" s="239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  <c r="AA1933" s="6"/>
      <c r="AB1933" s="6"/>
      <c r="AC1933" s="6"/>
      <c r="AD1933" s="6"/>
      <c r="AE1933" s="6"/>
      <c r="AF1933" s="6"/>
      <c r="AG1933" s="6"/>
      <c r="AH1933" s="6"/>
      <c r="AI1933" s="6"/>
      <c r="AJ1933" s="6"/>
      <c r="AK1933" s="6"/>
      <c r="AL1933" s="6"/>
      <c r="AM1933" s="6"/>
      <c r="AN1933" s="6"/>
      <c r="AO1933" s="6"/>
      <c r="AP1933" s="6"/>
      <c r="AQ1933" s="6"/>
      <c r="AR1933" s="6"/>
      <c r="AS1933" s="6"/>
    </row>
    <row r="1934" spans="1:45" ht="16.5" customHeight="1">
      <c r="A1934" s="235"/>
      <c r="B1934" s="235"/>
      <c r="C1934" s="235"/>
      <c r="D1934" s="235"/>
      <c r="E1934" s="235"/>
      <c r="F1934" s="236"/>
      <c r="G1934" s="237"/>
      <c r="H1934" s="237"/>
      <c r="I1934" s="238"/>
      <c r="J1934" s="235"/>
      <c r="K1934" s="235"/>
      <c r="L1934" s="235"/>
      <c r="M1934" s="235"/>
      <c r="N1934" s="239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  <c r="AA1934" s="6"/>
      <c r="AB1934" s="6"/>
      <c r="AC1934" s="6"/>
      <c r="AD1934" s="6"/>
      <c r="AE1934" s="6"/>
      <c r="AF1934" s="6"/>
      <c r="AG1934" s="6"/>
      <c r="AH1934" s="6"/>
      <c r="AI1934" s="6"/>
      <c r="AJ1934" s="6"/>
      <c r="AK1934" s="6"/>
      <c r="AL1934" s="6"/>
      <c r="AM1934" s="6"/>
      <c r="AN1934" s="6"/>
      <c r="AO1934" s="6"/>
      <c r="AP1934" s="6"/>
      <c r="AQ1934" s="6"/>
      <c r="AR1934" s="6"/>
      <c r="AS1934" s="6"/>
    </row>
    <row r="1935" spans="1:45" ht="16.5" customHeight="1">
      <c r="A1935" s="235"/>
      <c r="B1935" s="235"/>
      <c r="C1935" s="235"/>
      <c r="D1935" s="235"/>
      <c r="E1935" s="235"/>
      <c r="F1935" s="236"/>
      <c r="G1935" s="237"/>
      <c r="H1935" s="237"/>
      <c r="I1935" s="238"/>
      <c r="J1935" s="235"/>
      <c r="K1935" s="235"/>
      <c r="L1935" s="235"/>
      <c r="M1935" s="235"/>
      <c r="N1935" s="239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  <c r="AA1935" s="6"/>
      <c r="AB1935" s="6"/>
      <c r="AC1935" s="6"/>
      <c r="AD1935" s="6"/>
      <c r="AE1935" s="6"/>
      <c r="AF1935" s="6"/>
      <c r="AG1935" s="6"/>
      <c r="AH1935" s="6"/>
      <c r="AI1935" s="6"/>
      <c r="AJ1935" s="6"/>
      <c r="AK1935" s="6"/>
      <c r="AL1935" s="6"/>
      <c r="AM1935" s="6"/>
      <c r="AN1935" s="6"/>
      <c r="AO1935" s="6"/>
      <c r="AP1935" s="6"/>
      <c r="AQ1935" s="6"/>
      <c r="AR1935" s="6"/>
      <c r="AS1935" s="6"/>
    </row>
    <row r="1936" spans="1:45" ht="16.5" customHeight="1">
      <c r="A1936" s="235"/>
      <c r="B1936" s="235"/>
      <c r="C1936" s="235"/>
      <c r="D1936" s="235"/>
      <c r="E1936" s="235"/>
      <c r="F1936" s="236"/>
      <c r="G1936" s="237"/>
      <c r="H1936" s="237"/>
      <c r="I1936" s="238"/>
      <c r="J1936" s="235"/>
      <c r="K1936" s="235"/>
      <c r="L1936" s="235"/>
      <c r="M1936" s="235"/>
      <c r="N1936" s="239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  <c r="AA1936" s="6"/>
      <c r="AB1936" s="6"/>
      <c r="AC1936" s="6"/>
      <c r="AD1936" s="6"/>
      <c r="AE1936" s="6"/>
      <c r="AF1936" s="6"/>
      <c r="AG1936" s="6"/>
      <c r="AH1936" s="6"/>
      <c r="AI1936" s="6"/>
      <c r="AJ1936" s="6"/>
      <c r="AK1936" s="6"/>
      <c r="AL1936" s="6"/>
      <c r="AM1936" s="6"/>
      <c r="AN1936" s="6"/>
      <c r="AO1936" s="6"/>
      <c r="AP1936" s="6"/>
      <c r="AQ1936" s="6"/>
      <c r="AR1936" s="6"/>
      <c r="AS1936" s="6"/>
    </row>
    <row r="1937" spans="1:45" ht="16.5" customHeight="1">
      <c r="A1937" s="235"/>
      <c r="B1937" s="235"/>
      <c r="C1937" s="235"/>
      <c r="D1937" s="235"/>
      <c r="E1937" s="235"/>
      <c r="F1937" s="236"/>
      <c r="G1937" s="237"/>
      <c r="H1937" s="237"/>
      <c r="I1937" s="238"/>
      <c r="J1937" s="235"/>
      <c r="K1937" s="235"/>
      <c r="L1937" s="235"/>
      <c r="M1937" s="235"/>
      <c r="N1937" s="239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  <c r="AA1937" s="6"/>
      <c r="AB1937" s="6"/>
      <c r="AC1937" s="6"/>
      <c r="AD1937" s="6"/>
      <c r="AE1937" s="6"/>
      <c r="AF1937" s="6"/>
      <c r="AG1937" s="6"/>
      <c r="AH1937" s="6"/>
      <c r="AI1937" s="6"/>
      <c r="AJ1937" s="6"/>
      <c r="AK1937" s="6"/>
      <c r="AL1937" s="6"/>
      <c r="AM1937" s="6"/>
      <c r="AN1937" s="6"/>
      <c r="AO1937" s="6"/>
      <c r="AP1937" s="6"/>
      <c r="AQ1937" s="6"/>
      <c r="AR1937" s="6"/>
      <c r="AS1937" s="6"/>
    </row>
    <row r="1938" spans="1:45" ht="16.5" customHeight="1">
      <c r="A1938" s="235"/>
      <c r="B1938" s="235"/>
      <c r="C1938" s="235"/>
      <c r="D1938" s="235"/>
      <c r="E1938" s="235"/>
      <c r="F1938" s="236"/>
      <c r="G1938" s="237"/>
      <c r="H1938" s="237"/>
      <c r="I1938" s="238"/>
      <c r="J1938" s="235"/>
      <c r="K1938" s="235"/>
      <c r="L1938" s="235"/>
      <c r="M1938" s="235"/>
      <c r="N1938" s="239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  <c r="AA1938" s="6"/>
      <c r="AB1938" s="6"/>
      <c r="AC1938" s="6"/>
      <c r="AD1938" s="6"/>
      <c r="AE1938" s="6"/>
      <c r="AF1938" s="6"/>
      <c r="AG1938" s="6"/>
      <c r="AH1938" s="6"/>
      <c r="AI1938" s="6"/>
      <c r="AJ1938" s="6"/>
      <c r="AK1938" s="6"/>
      <c r="AL1938" s="6"/>
      <c r="AM1938" s="6"/>
      <c r="AN1938" s="6"/>
      <c r="AO1938" s="6"/>
      <c r="AP1938" s="6"/>
      <c r="AQ1938" s="6"/>
      <c r="AR1938" s="6"/>
      <c r="AS1938" s="6"/>
    </row>
    <row r="1939" spans="1:45" ht="16.5" customHeight="1">
      <c r="A1939" s="235"/>
      <c r="B1939" s="235"/>
      <c r="C1939" s="235"/>
      <c r="D1939" s="235"/>
      <c r="E1939" s="235"/>
      <c r="F1939" s="236"/>
      <c r="G1939" s="237"/>
      <c r="H1939" s="237"/>
      <c r="I1939" s="238"/>
      <c r="J1939" s="235"/>
      <c r="K1939" s="235"/>
      <c r="L1939" s="235"/>
      <c r="M1939" s="235"/>
      <c r="N1939" s="239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  <c r="AA1939" s="6"/>
      <c r="AB1939" s="6"/>
      <c r="AC1939" s="6"/>
      <c r="AD1939" s="6"/>
      <c r="AE1939" s="6"/>
      <c r="AF1939" s="6"/>
      <c r="AG1939" s="6"/>
      <c r="AH1939" s="6"/>
      <c r="AI1939" s="6"/>
      <c r="AJ1939" s="6"/>
      <c r="AK1939" s="6"/>
      <c r="AL1939" s="6"/>
      <c r="AM1939" s="6"/>
      <c r="AN1939" s="6"/>
      <c r="AO1939" s="6"/>
      <c r="AP1939" s="6"/>
      <c r="AQ1939" s="6"/>
      <c r="AR1939" s="6"/>
      <c r="AS1939" s="6"/>
    </row>
    <row r="1940" spans="1:45" ht="16.5" customHeight="1">
      <c r="A1940" s="235"/>
      <c r="B1940" s="235"/>
      <c r="C1940" s="235"/>
      <c r="D1940" s="235"/>
      <c r="E1940" s="235"/>
      <c r="F1940" s="236"/>
      <c r="G1940" s="237"/>
      <c r="H1940" s="237"/>
      <c r="I1940" s="238"/>
      <c r="J1940" s="235"/>
      <c r="K1940" s="235"/>
      <c r="L1940" s="235"/>
      <c r="M1940" s="235"/>
      <c r="N1940" s="239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  <c r="AA1940" s="6"/>
      <c r="AB1940" s="6"/>
      <c r="AC1940" s="6"/>
      <c r="AD1940" s="6"/>
      <c r="AE1940" s="6"/>
      <c r="AF1940" s="6"/>
      <c r="AG1940" s="6"/>
      <c r="AH1940" s="6"/>
      <c r="AI1940" s="6"/>
      <c r="AJ1940" s="6"/>
      <c r="AK1940" s="6"/>
      <c r="AL1940" s="6"/>
      <c r="AM1940" s="6"/>
      <c r="AN1940" s="6"/>
      <c r="AO1940" s="6"/>
      <c r="AP1940" s="6"/>
      <c r="AQ1940" s="6"/>
      <c r="AR1940" s="6"/>
      <c r="AS1940" s="6"/>
    </row>
    <row r="1941" spans="1:45" ht="16.5" customHeight="1">
      <c r="A1941" s="235"/>
      <c r="B1941" s="235"/>
      <c r="C1941" s="235"/>
      <c r="D1941" s="235"/>
      <c r="E1941" s="235"/>
      <c r="F1941" s="236"/>
      <c r="G1941" s="237"/>
      <c r="H1941" s="237"/>
      <c r="I1941" s="238"/>
      <c r="J1941" s="235"/>
      <c r="K1941" s="235"/>
      <c r="L1941" s="235"/>
      <c r="M1941" s="235"/>
      <c r="N1941" s="239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  <c r="AA1941" s="6"/>
      <c r="AB1941" s="6"/>
      <c r="AC1941" s="6"/>
      <c r="AD1941" s="6"/>
      <c r="AE1941" s="6"/>
      <c r="AF1941" s="6"/>
      <c r="AG1941" s="6"/>
      <c r="AH1941" s="6"/>
      <c r="AI1941" s="6"/>
      <c r="AJ1941" s="6"/>
      <c r="AK1941" s="6"/>
      <c r="AL1941" s="6"/>
      <c r="AM1941" s="6"/>
      <c r="AN1941" s="6"/>
      <c r="AO1941" s="6"/>
      <c r="AP1941" s="6"/>
      <c r="AQ1941" s="6"/>
      <c r="AR1941" s="6"/>
      <c r="AS1941" s="6"/>
    </row>
    <row r="1942" spans="1:45" ht="16.5" customHeight="1">
      <c r="A1942" s="235"/>
      <c r="B1942" s="235"/>
      <c r="C1942" s="235"/>
      <c r="D1942" s="235"/>
      <c r="E1942" s="235"/>
      <c r="F1942" s="236"/>
      <c r="G1942" s="237"/>
      <c r="H1942" s="237"/>
      <c r="I1942" s="238"/>
      <c r="J1942" s="235"/>
      <c r="K1942" s="235"/>
      <c r="L1942" s="235"/>
      <c r="M1942" s="235"/>
      <c r="N1942" s="239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  <c r="AA1942" s="6"/>
      <c r="AB1942" s="6"/>
      <c r="AC1942" s="6"/>
      <c r="AD1942" s="6"/>
      <c r="AE1942" s="6"/>
      <c r="AF1942" s="6"/>
      <c r="AG1942" s="6"/>
      <c r="AH1942" s="6"/>
      <c r="AI1942" s="6"/>
      <c r="AJ1942" s="6"/>
      <c r="AK1942" s="6"/>
      <c r="AL1942" s="6"/>
      <c r="AM1942" s="6"/>
      <c r="AN1942" s="6"/>
      <c r="AO1942" s="6"/>
      <c r="AP1942" s="6"/>
      <c r="AQ1942" s="6"/>
      <c r="AR1942" s="6"/>
      <c r="AS1942" s="6"/>
    </row>
    <row r="1943" spans="1:45" ht="16.5" customHeight="1">
      <c r="A1943" s="235"/>
      <c r="B1943" s="235"/>
      <c r="C1943" s="235"/>
      <c r="D1943" s="235"/>
      <c r="E1943" s="235"/>
      <c r="F1943" s="236"/>
      <c r="G1943" s="237"/>
      <c r="H1943" s="237"/>
      <c r="I1943" s="238"/>
      <c r="J1943" s="235"/>
      <c r="K1943" s="235"/>
      <c r="L1943" s="235"/>
      <c r="M1943" s="235"/>
      <c r="N1943" s="239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  <c r="AA1943" s="6"/>
      <c r="AB1943" s="6"/>
      <c r="AC1943" s="6"/>
      <c r="AD1943" s="6"/>
      <c r="AE1943" s="6"/>
      <c r="AF1943" s="6"/>
      <c r="AG1943" s="6"/>
      <c r="AH1943" s="6"/>
      <c r="AI1943" s="6"/>
      <c r="AJ1943" s="6"/>
      <c r="AK1943" s="6"/>
      <c r="AL1943" s="6"/>
      <c r="AM1943" s="6"/>
      <c r="AN1943" s="6"/>
      <c r="AO1943" s="6"/>
      <c r="AP1943" s="6"/>
      <c r="AQ1943" s="6"/>
      <c r="AR1943" s="6"/>
      <c r="AS1943" s="6"/>
    </row>
    <row r="1944" spans="1:45" ht="16.5" customHeight="1">
      <c r="A1944" s="235"/>
      <c r="B1944" s="235"/>
      <c r="C1944" s="235"/>
      <c r="D1944" s="235"/>
      <c r="E1944" s="235"/>
      <c r="F1944" s="236"/>
      <c r="G1944" s="237"/>
      <c r="H1944" s="237"/>
      <c r="I1944" s="238"/>
      <c r="J1944" s="235"/>
      <c r="K1944" s="235"/>
      <c r="L1944" s="235"/>
      <c r="M1944" s="235"/>
      <c r="N1944" s="239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A1944" s="6"/>
      <c r="AB1944" s="6"/>
      <c r="AC1944" s="6"/>
      <c r="AD1944" s="6"/>
      <c r="AE1944" s="6"/>
      <c r="AF1944" s="6"/>
      <c r="AG1944" s="6"/>
      <c r="AH1944" s="6"/>
      <c r="AI1944" s="6"/>
      <c r="AJ1944" s="6"/>
      <c r="AK1944" s="6"/>
      <c r="AL1944" s="6"/>
      <c r="AM1944" s="6"/>
      <c r="AN1944" s="6"/>
      <c r="AO1944" s="6"/>
      <c r="AP1944" s="6"/>
      <c r="AQ1944" s="6"/>
      <c r="AR1944" s="6"/>
      <c r="AS1944" s="6"/>
    </row>
    <row r="1945" spans="1:45" ht="16.5" customHeight="1">
      <c r="A1945" s="235"/>
      <c r="B1945" s="235"/>
      <c r="C1945" s="235"/>
      <c r="D1945" s="235"/>
      <c r="E1945" s="235"/>
      <c r="F1945" s="236"/>
      <c r="G1945" s="237"/>
      <c r="H1945" s="237"/>
      <c r="I1945" s="238"/>
      <c r="J1945" s="235"/>
      <c r="K1945" s="235"/>
      <c r="L1945" s="235"/>
      <c r="M1945" s="235"/>
      <c r="N1945" s="239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  <c r="AA1945" s="6"/>
      <c r="AB1945" s="6"/>
      <c r="AC1945" s="6"/>
      <c r="AD1945" s="6"/>
      <c r="AE1945" s="6"/>
      <c r="AF1945" s="6"/>
      <c r="AG1945" s="6"/>
      <c r="AH1945" s="6"/>
      <c r="AI1945" s="6"/>
      <c r="AJ1945" s="6"/>
      <c r="AK1945" s="6"/>
      <c r="AL1945" s="6"/>
      <c r="AM1945" s="6"/>
      <c r="AN1945" s="6"/>
      <c r="AO1945" s="6"/>
      <c r="AP1945" s="6"/>
      <c r="AQ1945" s="6"/>
      <c r="AR1945" s="6"/>
      <c r="AS1945" s="6"/>
    </row>
    <row r="1946" spans="1:45" ht="16.5" customHeight="1">
      <c r="A1946" s="235"/>
      <c r="B1946" s="235"/>
      <c r="C1946" s="235"/>
      <c r="D1946" s="235"/>
      <c r="E1946" s="235"/>
      <c r="F1946" s="236"/>
      <c r="G1946" s="237"/>
      <c r="H1946" s="237"/>
      <c r="I1946" s="238"/>
      <c r="J1946" s="235"/>
      <c r="K1946" s="235"/>
      <c r="L1946" s="235"/>
      <c r="M1946" s="235"/>
      <c r="N1946" s="239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  <c r="AA1946" s="6"/>
      <c r="AB1946" s="6"/>
      <c r="AC1946" s="6"/>
      <c r="AD1946" s="6"/>
      <c r="AE1946" s="6"/>
      <c r="AF1946" s="6"/>
      <c r="AG1946" s="6"/>
      <c r="AH1946" s="6"/>
      <c r="AI1946" s="6"/>
      <c r="AJ1946" s="6"/>
      <c r="AK1946" s="6"/>
      <c r="AL1946" s="6"/>
      <c r="AM1946" s="6"/>
      <c r="AN1946" s="6"/>
      <c r="AO1946" s="6"/>
      <c r="AP1946" s="6"/>
      <c r="AQ1946" s="6"/>
      <c r="AR1946" s="6"/>
      <c r="AS1946" s="6"/>
    </row>
    <row r="1947" spans="1:45" ht="16.5" customHeight="1">
      <c r="A1947" s="235"/>
      <c r="B1947" s="235"/>
      <c r="C1947" s="235"/>
      <c r="D1947" s="235"/>
      <c r="E1947" s="235"/>
      <c r="F1947" s="236"/>
      <c r="G1947" s="237"/>
      <c r="H1947" s="237"/>
      <c r="I1947" s="238"/>
      <c r="J1947" s="235"/>
      <c r="K1947" s="235"/>
      <c r="L1947" s="235"/>
      <c r="M1947" s="235"/>
      <c r="N1947" s="239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  <c r="AA1947" s="6"/>
      <c r="AB1947" s="6"/>
      <c r="AC1947" s="6"/>
      <c r="AD1947" s="6"/>
      <c r="AE1947" s="6"/>
      <c r="AF1947" s="6"/>
      <c r="AG1947" s="6"/>
      <c r="AH1947" s="6"/>
      <c r="AI1947" s="6"/>
      <c r="AJ1947" s="6"/>
      <c r="AK1947" s="6"/>
      <c r="AL1947" s="6"/>
      <c r="AM1947" s="6"/>
      <c r="AN1947" s="6"/>
      <c r="AO1947" s="6"/>
      <c r="AP1947" s="6"/>
      <c r="AQ1947" s="6"/>
      <c r="AR1947" s="6"/>
      <c r="AS1947" s="6"/>
    </row>
    <row r="1948" spans="1:45" ht="16.5" customHeight="1">
      <c r="A1948" s="235"/>
      <c r="B1948" s="235"/>
      <c r="C1948" s="235"/>
      <c r="D1948" s="235"/>
      <c r="E1948" s="235"/>
      <c r="F1948" s="236"/>
      <c r="G1948" s="237"/>
      <c r="H1948" s="237"/>
      <c r="I1948" s="238"/>
      <c r="J1948" s="235"/>
      <c r="K1948" s="235"/>
      <c r="L1948" s="235"/>
      <c r="M1948" s="235"/>
      <c r="N1948" s="239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  <c r="AA1948" s="6"/>
      <c r="AB1948" s="6"/>
      <c r="AC1948" s="6"/>
      <c r="AD1948" s="6"/>
      <c r="AE1948" s="6"/>
      <c r="AF1948" s="6"/>
      <c r="AG1948" s="6"/>
      <c r="AH1948" s="6"/>
      <c r="AI1948" s="6"/>
      <c r="AJ1948" s="6"/>
      <c r="AK1948" s="6"/>
      <c r="AL1948" s="6"/>
      <c r="AM1948" s="6"/>
      <c r="AN1948" s="6"/>
      <c r="AO1948" s="6"/>
      <c r="AP1948" s="6"/>
      <c r="AQ1948" s="6"/>
      <c r="AR1948" s="6"/>
      <c r="AS1948" s="6"/>
    </row>
    <row r="1949" spans="1:45" ht="16.5" customHeight="1">
      <c r="A1949" s="235"/>
      <c r="B1949" s="235"/>
      <c r="C1949" s="235"/>
      <c r="D1949" s="235"/>
      <c r="E1949" s="235"/>
      <c r="F1949" s="236"/>
      <c r="G1949" s="237"/>
      <c r="H1949" s="237"/>
      <c r="I1949" s="238"/>
      <c r="J1949" s="235"/>
      <c r="K1949" s="235"/>
      <c r="L1949" s="235"/>
      <c r="M1949" s="235"/>
      <c r="N1949" s="239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  <c r="AA1949" s="6"/>
      <c r="AB1949" s="6"/>
      <c r="AC1949" s="6"/>
      <c r="AD1949" s="6"/>
      <c r="AE1949" s="6"/>
      <c r="AF1949" s="6"/>
      <c r="AG1949" s="6"/>
      <c r="AH1949" s="6"/>
      <c r="AI1949" s="6"/>
      <c r="AJ1949" s="6"/>
      <c r="AK1949" s="6"/>
      <c r="AL1949" s="6"/>
      <c r="AM1949" s="6"/>
      <c r="AN1949" s="6"/>
      <c r="AO1949" s="6"/>
      <c r="AP1949" s="6"/>
      <c r="AQ1949" s="6"/>
      <c r="AR1949" s="6"/>
      <c r="AS1949" s="6"/>
    </row>
    <row r="1950" spans="1:45" ht="16.5" customHeight="1">
      <c r="A1950" s="235"/>
      <c r="B1950" s="235"/>
      <c r="C1950" s="235"/>
      <c r="D1950" s="235"/>
      <c r="E1950" s="235"/>
      <c r="F1950" s="236"/>
      <c r="G1950" s="237"/>
      <c r="H1950" s="237"/>
      <c r="I1950" s="238"/>
      <c r="J1950" s="235"/>
      <c r="K1950" s="235"/>
      <c r="L1950" s="235"/>
      <c r="M1950" s="235"/>
      <c r="N1950" s="239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  <c r="AA1950" s="6"/>
      <c r="AB1950" s="6"/>
      <c r="AC1950" s="6"/>
      <c r="AD1950" s="6"/>
      <c r="AE1950" s="6"/>
      <c r="AF1950" s="6"/>
      <c r="AG1950" s="6"/>
      <c r="AH1950" s="6"/>
      <c r="AI1950" s="6"/>
      <c r="AJ1950" s="6"/>
      <c r="AK1950" s="6"/>
      <c r="AL1950" s="6"/>
      <c r="AM1950" s="6"/>
      <c r="AN1950" s="6"/>
      <c r="AO1950" s="6"/>
      <c r="AP1950" s="6"/>
      <c r="AQ1950" s="6"/>
      <c r="AR1950" s="6"/>
      <c r="AS1950" s="6"/>
    </row>
    <row r="1951" spans="1:45" ht="16.5" customHeight="1">
      <c r="A1951" s="235"/>
      <c r="B1951" s="235"/>
      <c r="C1951" s="235"/>
      <c r="D1951" s="235"/>
      <c r="E1951" s="235"/>
      <c r="F1951" s="236"/>
      <c r="G1951" s="237"/>
      <c r="H1951" s="237"/>
      <c r="I1951" s="238"/>
      <c r="J1951" s="235"/>
      <c r="K1951" s="235"/>
      <c r="L1951" s="235"/>
      <c r="M1951" s="235"/>
      <c r="N1951" s="239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  <c r="AA1951" s="6"/>
      <c r="AB1951" s="6"/>
      <c r="AC1951" s="6"/>
      <c r="AD1951" s="6"/>
      <c r="AE1951" s="6"/>
      <c r="AF1951" s="6"/>
      <c r="AG1951" s="6"/>
      <c r="AH1951" s="6"/>
      <c r="AI1951" s="6"/>
      <c r="AJ1951" s="6"/>
      <c r="AK1951" s="6"/>
      <c r="AL1951" s="6"/>
      <c r="AM1951" s="6"/>
      <c r="AN1951" s="6"/>
      <c r="AO1951" s="6"/>
      <c r="AP1951" s="6"/>
      <c r="AQ1951" s="6"/>
      <c r="AR1951" s="6"/>
      <c r="AS1951" s="6"/>
    </row>
    <row r="1952" spans="1:45" ht="16.5" customHeight="1">
      <c r="A1952" s="235"/>
      <c r="B1952" s="235"/>
      <c r="C1952" s="235"/>
      <c r="D1952" s="235"/>
      <c r="E1952" s="235"/>
      <c r="F1952" s="236"/>
      <c r="G1952" s="237"/>
      <c r="H1952" s="237"/>
      <c r="I1952" s="238"/>
      <c r="J1952" s="235"/>
      <c r="K1952" s="235"/>
      <c r="L1952" s="235"/>
      <c r="M1952" s="235"/>
      <c r="N1952" s="239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  <c r="AA1952" s="6"/>
      <c r="AB1952" s="6"/>
      <c r="AC1952" s="6"/>
      <c r="AD1952" s="6"/>
      <c r="AE1952" s="6"/>
      <c r="AF1952" s="6"/>
      <c r="AG1952" s="6"/>
      <c r="AH1952" s="6"/>
      <c r="AI1952" s="6"/>
      <c r="AJ1952" s="6"/>
      <c r="AK1952" s="6"/>
      <c r="AL1952" s="6"/>
      <c r="AM1952" s="6"/>
      <c r="AN1952" s="6"/>
      <c r="AO1952" s="6"/>
      <c r="AP1952" s="6"/>
      <c r="AQ1952" s="6"/>
      <c r="AR1952" s="6"/>
      <c r="AS1952" s="6"/>
    </row>
    <row r="1953" spans="1:45" ht="16.5" customHeight="1">
      <c r="A1953" s="235"/>
      <c r="B1953" s="235"/>
      <c r="C1953" s="235"/>
      <c r="D1953" s="235"/>
      <c r="E1953" s="235"/>
      <c r="F1953" s="236"/>
      <c r="G1953" s="237"/>
      <c r="H1953" s="237"/>
      <c r="I1953" s="238"/>
      <c r="J1953" s="235"/>
      <c r="K1953" s="235"/>
      <c r="L1953" s="235"/>
      <c r="M1953" s="235"/>
      <c r="N1953" s="239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  <c r="AA1953" s="6"/>
      <c r="AB1953" s="6"/>
      <c r="AC1953" s="6"/>
      <c r="AD1953" s="6"/>
      <c r="AE1953" s="6"/>
      <c r="AF1953" s="6"/>
      <c r="AG1953" s="6"/>
      <c r="AH1953" s="6"/>
      <c r="AI1953" s="6"/>
      <c r="AJ1953" s="6"/>
      <c r="AK1953" s="6"/>
      <c r="AL1953" s="6"/>
      <c r="AM1953" s="6"/>
      <c r="AN1953" s="6"/>
      <c r="AO1953" s="6"/>
      <c r="AP1953" s="6"/>
      <c r="AQ1953" s="6"/>
      <c r="AR1953" s="6"/>
      <c r="AS1953" s="6"/>
    </row>
    <row r="1954" spans="1:45" ht="16.5" customHeight="1">
      <c r="A1954" s="235"/>
      <c r="B1954" s="235"/>
      <c r="C1954" s="235"/>
      <c r="D1954" s="235"/>
      <c r="E1954" s="235"/>
      <c r="F1954" s="236"/>
      <c r="G1954" s="237"/>
      <c r="H1954" s="237"/>
      <c r="I1954" s="238"/>
      <c r="J1954" s="235"/>
      <c r="K1954" s="235"/>
      <c r="L1954" s="235"/>
      <c r="M1954" s="235"/>
      <c r="N1954" s="239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  <c r="AA1954" s="6"/>
      <c r="AB1954" s="6"/>
      <c r="AC1954" s="6"/>
      <c r="AD1954" s="6"/>
      <c r="AE1954" s="6"/>
      <c r="AF1954" s="6"/>
      <c r="AG1954" s="6"/>
      <c r="AH1954" s="6"/>
      <c r="AI1954" s="6"/>
      <c r="AJ1954" s="6"/>
      <c r="AK1954" s="6"/>
      <c r="AL1954" s="6"/>
      <c r="AM1954" s="6"/>
      <c r="AN1954" s="6"/>
      <c r="AO1954" s="6"/>
      <c r="AP1954" s="6"/>
      <c r="AQ1954" s="6"/>
      <c r="AR1954" s="6"/>
      <c r="AS1954" s="6"/>
    </row>
    <row r="1955" spans="1:45" ht="16.5" customHeight="1">
      <c r="A1955" s="235"/>
      <c r="B1955" s="235"/>
      <c r="C1955" s="235"/>
      <c r="D1955" s="235"/>
      <c r="E1955" s="235"/>
      <c r="F1955" s="236"/>
      <c r="G1955" s="237"/>
      <c r="H1955" s="237"/>
      <c r="I1955" s="238"/>
      <c r="J1955" s="235"/>
      <c r="K1955" s="235"/>
      <c r="L1955" s="235"/>
      <c r="M1955" s="235"/>
      <c r="N1955" s="239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  <c r="AA1955" s="6"/>
      <c r="AB1955" s="6"/>
      <c r="AC1955" s="6"/>
      <c r="AD1955" s="6"/>
      <c r="AE1955" s="6"/>
      <c r="AF1955" s="6"/>
      <c r="AG1955" s="6"/>
      <c r="AH1955" s="6"/>
      <c r="AI1955" s="6"/>
      <c r="AJ1955" s="6"/>
      <c r="AK1955" s="6"/>
      <c r="AL1955" s="6"/>
      <c r="AM1955" s="6"/>
      <c r="AN1955" s="6"/>
      <c r="AO1955" s="6"/>
      <c r="AP1955" s="6"/>
      <c r="AQ1955" s="6"/>
      <c r="AR1955" s="6"/>
      <c r="AS1955" s="6"/>
    </row>
    <row r="1956" spans="1:45" ht="16.5" customHeight="1">
      <c r="A1956" s="235"/>
      <c r="B1956" s="235"/>
      <c r="C1956" s="235"/>
      <c r="D1956" s="235"/>
      <c r="E1956" s="235"/>
      <c r="F1956" s="236"/>
      <c r="G1956" s="237"/>
      <c r="H1956" s="237"/>
      <c r="I1956" s="238"/>
      <c r="J1956" s="235"/>
      <c r="K1956" s="235"/>
      <c r="L1956" s="235"/>
      <c r="M1956" s="235"/>
      <c r="N1956" s="239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  <c r="AA1956" s="6"/>
      <c r="AB1956" s="6"/>
      <c r="AC1956" s="6"/>
      <c r="AD1956" s="6"/>
      <c r="AE1956" s="6"/>
      <c r="AF1956" s="6"/>
      <c r="AG1956" s="6"/>
      <c r="AH1956" s="6"/>
      <c r="AI1956" s="6"/>
      <c r="AJ1956" s="6"/>
      <c r="AK1956" s="6"/>
      <c r="AL1956" s="6"/>
      <c r="AM1956" s="6"/>
      <c r="AN1956" s="6"/>
      <c r="AO1956" s="6"/>
      <c r="AP1956" s="6"/>
      <c r="AQ1956" s="6"/>
      <c r="AR1956" s="6"/>
      <c r="AS1956" s="6"/>
    </row>
    <row r="1957" spans="1:45" ht="16.5" customHeight="1">
      <c r="A1957" s="235"/>
      <c r="B1957" s="235"/>
      <c r="C1957" s="235"/>
      <c r="D1957" s="235"/>
      <c r="E1957" s="235"/>
      <c r="F1957" s="236"/>
      <c r="G1957" s="237"/>
      <c r="H1957" s="237"/>
      <c r="I1957" s="238"/>
      <c r="J1957" s="235"/>
      <c r="K1957" s="235"/>
      <c r="L1957" s="235"/>
      <c r="M1957" s="235"/>
      <c r="N1957" s="239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  <c r="AA1957" s="6"/>
      <c r="AB1957" s="6"/>
      <c r="AC1957" s="6"/>
      <c r="AD1957" s="6"/>
      <c r="AE1957" s="6"/>
      <c r="AF1957" s="6"/>
      <c r="AG1957" s="6"/>
      <c r="AH1957" s="6"/>
      <c r="AI1957" s="6"/>
      <c r="AJ1957" s="6"/>
      <c r="AK1957" s="6"/>
      <c r="AL1957" s="6"/>
      <c r="AM1957" s="6"/>
      <c r="AN1957" s="6"/>
      <c r="AO1957" s="6"/>
      <c r="AP1957" s="6"/>
      <c r="AQ1957" s="6"/>
      <c r="AR1957" s="6"/>
      <c r="AS1957" s="6"/>
    </row>
    <row r="1958" spans="1:45" ht="16.5" customHeight="1">
      <c r="A1958" s="235"/>
      <c r="B1958" s="235"/>
      <c r="C1958" s="235"/>
      <c r="D1958" s="235"/>
      <c r="E1958" s="235"/>
      <c r="F1958" s="236"/>
      <c r="G1958" s="237"/>
      <c r="H1958" s="237"/>
      <c r="I1958" s="238"/>
      <c r="J1958" s="235"/>
      <c r="K1958" s="235"/>
      <c r="L1958" s="235"/>
      <c r="M1958" s="235"/>
      <c r="N1958" s="239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  <c r="AA1958" s="6"/>
      <c r="AB1958" s="6"/>
      <c r="AC1958" s="6"/>
      <c r="AD1958" s="6"/>
      <c r="AE1958" s="6"/>
      <c r="AF1958" s="6"/>
      <c r="AG1958" s="6"/>
      <c r="AH1958" s="6"/>
      <c r="AI1958" s="6"/>
      <c r="AJ1958" s="6"/>
      <c r="AK1958" s="6"/>
      <c r="AL1958" s="6"/>
      <c r="AM1958" s="6"/>
      <c r="AN1958" s="6"/>
      <c r="AO1958" s="6"/>
      <c r="AP1958" s="6"/>
      <c r="AQ1958" s="6"/>
      <c r="AR1958" s="6"/>
      <c r="AS1958" s="6"/>
    </row>
    <row r="1959" spans="1:45" ht="16.5" customHeight="1">
      <c r="A1959" s="235"/>
      <c r="B1959" s="235"/>
      <c r="C1959" s="235"/>
      <c r="D1959" s="235"/>
      <c r="E1959" s="235"/>
      <c r="F1959" s="236"/>
      <c r="G1959" s="237"/>
      <c r="H1959" s="237"/>
      <c r="I1959" s="238"/>
      <c r="J1959" s="235"/>
      <c r="K1959" s="235"/>
      <c r="L1959" s="235"/>
      <c r="M1959" s="235"/>
      <c r="N1959" s="239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  <c r="AA1959" s="6"/>
      <c r="AB1959" s="6"/>
      <c r="AC1959" s="6"/>
      <c r="AD1959" s="6"/>
      <c r="AE1959" s="6"/>
      <c r="AF1959" s="6"/>
      <c r="AG1959" s="6"/>
      <c r="AH1959" s="6"/>
      <c r="AI1959" s="6"/>
      <c r="AJ1959" s="6"/>
      <c r="AK1959" s="6"/>
      <c r="AL1959" s="6"/>
      <c r="AM1959" s="6"/>
      <c r="AN1959" s="6"/>
      <c r="AO1959" s="6"/>
      <c r="AP1959" s="6"/>
      <c r="AQ1959" s="6"/>
      <c r="AR1959" s="6"/>
      <c r="AS1959" s="6"/>
    </row>
    <row r="1960" spans="1:45" ht="16.5" customHeight="1">
      <c r="A1960" s="235"/>
      <c r="B1960" s="235"/>
      <c r="C1960" s="235"/>
      <c r="D1960" s="235"/>
      <c r="E1960" s="235"/>
      <c r="F1960" s="236"/>
      <c r="G1960" s="237"/>
      <c r="H1960" s="237"/>
      <c r="I1960" s="238"/>
      <c r="J1960" s="235"/>
      <c r="K1960" s="235"/>
      <c r="L1960" s="235"/>
      <c r="M1960" s="235"/>
      <c r="N1960" s="239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  <c r="AA1960" s="6"/>
      <c r="AB1960" s="6"/>
      <c r="AC1960" s="6"/>
      <c r="AD1960" s="6"/>
      <c r="AE1960" s="6"/>
      <c r="AF1960" s="6"/>
      <c r="AG1960" s="6"/>
      <c r="AH1960" s="6"/>
      <c r="AI1960" s="6"/>
      <c r="AJ1960" s="6"/>
      <c r="AK1960" s="6"/>
      <c r="AL1960" s="6"/>
      <c r="AM1960" s="6"/>
      <c r="AN1960" s="6"/>
      <c r="AO1960" s="6"/>
      <c r="AP1960" s="6"/>
      <c r="AQ1960" s="6"/>
      <c r="AR1960" s="6"/>
      <c r="AS1960" s="6"/>
    </row>
    <row r="1961" spans="1:45" ht="16.5" customHeight="1">
      <c r="A1961" s="235"/>
      <c r="B1961" s="235"/>
      <c r="C1961" s="235"/>
      <c r="D1961" s="235"/>
      <c r="E1961" s="235"/>
      <c r="F1961" s="236"/>
      <c r="G1961" s="237"/>
      <c r="H1961" s="237"/>
      <c r="I1961" s="238"/>
      <c r="J1961" s="235"/>
      <c r="K1961" s="235"/>
      <c r="L1961" s="235"/>
      <c r="M1961" s="235"/>
      <c r="N1961" s="239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  <c r="AA1961" s="6"/>
      <c r="AB1961" s="6"/>
      <c r="AC1961" s="6"/>
      <c r="AD1961" s="6"/>
      <c r="AE1961" s="6"/>
      <c r="AF1961" s="6"/>
      <c r="AG1961" s="6"/>
      <c r="AH1961" s="6"/>
      <c r="AI1961" s="6"/>
      <c r="AJ1961" s="6"/>
      <c r="AK1961" s="6"/>
      <c r="AL1961" s="6"/>
      <c r="AM1961" s="6"/>
      <c r="AN1961" s="6"/>
      <c r="AO1961" s="6"/>
      <c r="AP1961" s="6"/>
      <c r="AQ1961" s="6"/>
      <c r="AR1961" s="6"/>
      <c r="AS1961" s="6"/>
    </row>
    <row r="1962" spans="1:45" ht="16.5" customHeight="1">
      <c r="A1962" s="235"/>
      <c r="B1962" s="235"/>
      <c r="C1962" s="235"/>
      <c r="D1962" s="235"/>
      <c r="E1962" s="235"/>
      <c r="F1962" s="236"/>
      <c r="G1962" s="237"/>
      <c r="H1962" s="237"/>
      <c r="I1962" s="238"/>
      <c r="J1962" s="235"/>
      <c r="K1962" s="235"/>
      <c r="L1962" s="235"/>
      <c r="M1962" s="235"/>
      <c r="N1962" s="239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  <c r="AA1962" s="6"/>
      <c r="AB1962" s="6"/>
      <c r="AC1962" s="6"/>
      <c r="AD1962" s="6"/>
      <c r="AE1962" s="6"/>
      <c r="AF1962" s="6"/>
      <c r="AG1962" s="6"/>
      <c r="AH1962" s="6"/>
      <c r="AI1962" s="6"/>
      <c r="AJ1962" s="6"/>
      <c r="AK1962" s="6"/>
      <c r="AL1962" s="6"/>
      <c r="AM1962" s="6"/>
      <c r="AN1962" s="6"/>
      <c r="AO1962" s="6"/>
      <c r="AP1962" s="6"/>
      <c r="AQ1962" s="6"/>
      <c r="AR1962" s="6"/>
      <c r="AS1962" s="6"/>
    </row>
    <row r="1963" spans="1:45" ht="16.5" customHeight="1">
      <c r="A1963" s="235"/>
      <c r="B1963" s="235"/>
      <c r="C1963" s="235"/>
      <c r="D1963" s="235"/>
      <c r="E1963" s="235"/>
      <c r="F1963" s="236"/>
      <c r="G1963" s="237"/>
      <c r="H1963" s="237"/>
      <c r="I1963" s="238"/>
      <c r="J1963" s="235"/>
      <c r="K1963" s="235"/>
      <c r="L1963" s="235"/>
      <c r="M1963" s="235"/>
      <c r="N1963" s="239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  <c r="AA1963" s="6"/>
      <c r="AB1963" s="6"/>
      <c r="AC1963" s="6"/>
      <c r="AD1963" s="6"/>
      <c r="AE1963" s="6"/>
      <c r="AF1963" s="6"/>
      <c r="AG1963" s="6"/>
      <c r="AH1963" s="6"/>
      <c r="AI1963" s="6"/>
      <c r="AJ1963" s="6"/>
      <c r="AK1963" s="6"/>
      <c r="AL1963" s="6"/>
      <c r="AM1963" s="6"/>
      <c r="AN1963" s="6"/>
      <c r="AO1963" s="6"/>
      <c r="AP1963" s="6"/>
      <c r="AQ1963" s="6"/>
      <c r="AR1963" s="6"/>
      <c r="AS1963" s="6"/>
    </row>
    <row r="1964" spans="1:45" ht="16.5" customHeight="1">
      <c r="A1964" s="235"/>
      <c r="B1964" s="235"/>
      <c r="C1964" s="235"/>
      <c r="D1964" s="235"/>
      <c r="E1964" s="235"/>
      <c r="F1964" s="236"/>
      <c r="G1964" s="237"/>
      <c r="H1964" s="237"/>
      <c r="I1964" s="238"/>
      <c r="J1964" s="235"/>
      <c r="K1964" s="235"/>
      <c r="L1964" s="235"/>
      <c r="M1964" s="235"/>
      <c r="N1964" s="239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  <c r="AA1964" s="6"/>
      <c r="AB1964" s="6"/>
      <c r="AC1964" s="6"/>
      <c r="AD1964" s="6"/>
      <c r="AE1964" s="6"/>
      <c r="AF1964" s="6"/>
      <c r="AG1964" s="6"/>
      <c r="AH1964" s="6"/>
      <c r="AI1964" s="6"/>
      <c r="AJ1964" s="6"/>
      <c r="AK1964" s="6"/>
      <c r="AL1964" s="6"/>
      <c r="AM1964" s="6"/>
      <c r="AN1964" s="6"/>
      <c r="AO1964" s="6"/>
      <c r="AP1964" s="6"/>
      <c r="AQ1964" s="6"/>
      <c r="AR1964" s="6"/>
      <c r="AS1964" s="6"/>
    </row>
    <row r="1965" spans="1:45" ht="16.5" customHeight="1">
      <c r="A1965" s="235"/>
      <c r="B1965" s="235"/>
      <c r="C1965" s="235"/>
      <c r="D1965" s="235"/>
      <c r="E1965" s="235"/>
      <c r="F1965" s="236"/>
      <c r="G1965" s="237"/>
      <c r="H1965" s="237"/>
      <c r="I1965" s="238"/>
      <c r="J1965" s="235"/>
      <c r="K1965" s="235"/>
      <c r="L1965" s="235"/>
      <c r="M1965" s="235"/>
      <c r="N1965" s="239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  <c r="AA1965" s="6"/>
      <c r="AB1965" s="6"/>
      <c r="AC1965" s="6"/>
      <c r="AD1965" s="6"/>
      <c r="AE1965" s="6"/>
      <c r="AF1965" s="6"/>
      <c r="AG1965" s="6"/>
      <c r="AH1965" s="6"/>
      <c r="AI1965" s="6"/>
      <c r="AJ1965" s="6"/>
      <c r="AK1965" s="6"/>
      <c r="AL1965" s="6"/>
      <c r="AM1965" s="6"/>
      <c r="AN1965" s="6"/>
      <c r="AO1965" s="6"/>
      <c r="AP1965" s="6"/>
      <c r="AQ1965" s="6"/>
      <c r="AR1965" s="6"/>
      <c r="AS1965" s="6"/>
    </row>
    <row r="1966" spans="1:45" ht="16.5" customHeight="1">
      <c r="A1966" s="235"/>
      <c r="B1966" s="235"/>
      <c r="C1966" s="235"/>
      <c r="D1966" s="235"/>
      <c r="E1966" s="235"/>
      <c r="F1966" s="236"/>
      <c r="G1966" s="237"/>
      <c r="H1966" s="237"/>
      <c r="I1966" s="238"/>
      <c r="J1966" s="235"/>
      <c r="K1966" s="235"/>
      <c r="L1966" s="235"/>
      <c r="M1966" s="235"/>
      <c r="N1966" s="239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  <c r="AA1966" s="6"/>
      <c r="AB1966" s="6"/>
      <c r="AC1966" s="6"/>
      <c r="AD1966" s="6"/>
      <c r="AE1966" s="6"/>
      <c r="AF1966" s="6"/>
      <c r="AG1966" s="6"/>
      <c r="AH1966" s="6"/>
      <c r="AI1966" s="6"/>
      <c r="AJ1966" s="6"/>
      <c r="AK1966" s="6"/>
      <c r="AL1966" s="6"/>
      <c r="AM1966" s="6"/>
      <c r="AN1966" s="6"/>
      <c r="AO1966" s="6"/>
      <c r="AP1966" s="6"/>
      <c r="AQ1966" s="6"/>
      <c r="AR1966" s="6"/>
      <c r="AS1966" s="6"/>
    </row>
    <row r="1967" spans="1:45" ht="16.5" customHeight="1">
      <c r="A1967" s="235"/>
      <c r="B1967" s="235"/>
      <c r="C1967" s="235"/>
      <c r="D1967" s="235"/>
      <c r="E1967" s="235"/>
      <c r="F1967" s="236"/>
      <c r="G1967" s="237"/>
      <c r="H1967" s="237"/>
      <c r="I1967" s="238"/>
      <c r="J1967" s="235"/>
      <c r="K1967" s="235"/>
      <c r="L1967" s="235"/>
      <c r="M1967" s="235"/>
      <c r="N1967" s="239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  <c r="AA1967" s="6"/>
      <c r="AB1967" s="6"/>
      <c r="AC1967" s="6"/>
      <c r="AD1967" s="6"/>
      <c r="AE1967" s="6"/>
      <c r="AF1967" s="6"/>
      <c r="AG1967" s="6"/>
      <c r="AH1967" s="6"/>
      <c r="AI1967" s="6"/>
      <c r="AJ1967" s="6"/>
      <c r="AK1967" s="6"/>
      <c r="AL1967" s="6"/>
      <c r="AM1967" s="6"/>
      <c r="AN1967" s="6"/>
      <c r="AO1967" s="6"/>
      <c r="AP1967" s="6"/>
      <c r="AQ1967" s="6"/>
      <c r="AR1967" s="6"/>
      <c r="AS1967" s="6"/>
    </row>
    <row r="1968" spans="1:45" ht="16.5" customHeight="1">
      <c r="A1968" s="235"/>
      <c r="B1968" s="235"/>
      <c r="C1968" s="235"/>
      <c r="D1968" s="235"/>
      <c r="E1968" s="235"/>
      <c r="F1968" s="236"/>
      <c r="G1968" s="237"/>
      <c r="H1968" s="237"/>
      <c r="I1968" s="238"/>
      <c r="J1968" s="235"/>
      <c r="K1968" s="235"/>
      <c r="L1968" s="235"/>
      <c r="M1968" s="235"/>
      <c r="N1968" s="239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  <c r="AA1968" s="6"/>
      <c r="AB1968" s="6"/>
      <c r="AC1968" s="6"/>
      <c r="AD1968" s="6"/>
      <c r="AE1968" s="6"/>
      <c r="AF1968" s="6"/>
      <c r="AG1968" s="6"/>
      <c r="AH1968" s="6"/>
      <c r="AI1968" s="6"/>
      <c r="AJ1968" s="6"/>
      <c r="AK1968" s="6"/>
      <c r="AL1968" s="6"/>
      <c r="AM1968" s="6"/>
      <c r="AN1968" s="6"/>
      <c r="AO1968" s="6"/>
      <c r="AP1968" s="6"/>
      <c r="AQ1968" s="6"/>
      <c r="AR1968" s="6"/>
      <c r="AS1968" s="6"/>
    </row>
    <row r="1969" spans="1:45" ht="16.5" customHeight="1">
      <c r="A1969" s="235"/>
      <c r="B1969" s="235"/>
      <c r="C1969" s="235"/>
      <c r="D1969" s="235"/>
      <c r="E1969" s="235"/>
      <c r="F1969" s="236"/>
      <c r="G1969" s="237"/>
      <c r="H1969" s="237"/>
      <c r="I1969" s="238"/>
      <c r="J1969" s="235"/>
      <c r="K1969" s="235"/>
      <c r="L1969" s="235"/>
      <c r="M1969" s="235"/>
      <c r="N1969" s="239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  <c r="AA1969" s="6"/>
      <c r="AB1969" s="6"/>
      <c r="AC1969" s="6"/>
      <c r="AD1969" s="6"/>
      <c r="AE1969" s="6"/>
      <c r="AF1969" s="6"/>
      <c r="AG1969" s="6"/>
      <c r="AH1969" s="6"/>
      <c r="AI1969" s="6"/>
      <c r="AJ1969" s="6"/>
      <c r="AK1969" s="6"/>
      <c r="AL1969" s="6"/>
      <c r="AM1969" s="6"/>
      <c r="AN1969" s="6"/>
      <c r="AO1969" s="6"/>
      <c r="AP1969" s="6"/>
      <c r="AQ1969" s="6"/>
      <c r="AR1969" s="6"/>
      <c r="AS1969" s="6"/>
    </row>
    <row r="1970" spans="1:45" ht="16.5" customHeight="1">
      <c r="A1970" s="235"/>
      <c r="B1970" s="235"/>
      <c r="C1970" s="235"/>
      <c r="D1970" s="235"/>
      <c r="E1970" s="235"/>
      <c r="F1970" s="236"/>
      <c r="G1970" s="237"/>
      <c r="H1970" s="237"/>
      <c r="I1970" s="238"/>
      <c r="J1970" s="235"/>
      <c r="K1970" s="235"/>
      <c r="L1970" s="235"/>
      <c r="M1970" s="235"/>
      <c r="N1970" s="239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  <c r="AA1970" s="6"/>
      <c r="AB1970" s="6"/>
      <c r="AC1970" s="6"/>
      <c r="AD1970" s="6"/>
      <c r="AE1970" s="6"/>
      <c r="AF1970" s="6"/>
      <c r="AG1970" s="6"/>
      <c r="AH1970" s="6"/>
      <c r="AI1970" s="6"/>
      <c r="AJ1970" s="6"/>
      <c r="AK1970" s="6"/>
      <c r="AL1970" s="6"/>
      <c r="AM1970" s="6"/>
      <c r="AN1970" s="6"/>
      <c r="AO1970" s="6"/>
      <c r="AP1970" s="6"/>
      <c r="AQ1970" s="6"/>
      <c r="AR1970" s="6"/>
      <c r="AS1970" s="6"/>
    </row>
    <row r="1971" spans="1:45" ht="16.5" customHeight="1">
      <c r="A1971" s="235"/>
      <c r="B1971" s="235"/>
      <c r="C1971" s="235"/>
      <c r="D1971" s="235"/>
      <c r="E1971" s="235"/>
      <c r="F1971" s="236"/>
      <c r="G1971" s="237"/>
      <c r="H1971" s="237"/>
      <c r="I1971" s="238"/>
      <c r="J1971" s="235"/>
      <c r="K1971" s="235"/>
      <c r="L1971" s="235"/>
      <c r="M1971" s="235"/>
      <c r="N1971" s="239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  <c r="AA1971" s="6"/>
      <c r="AB1971" s="6"/>
      <c r="AC1971" s="6"/>
      <c r="AD1971" s="6"/>
      <c r="AE1971" s="6"/>
      <c r="AF1971" s="6"/>
      <c r="AG1971" s="6"/>
      <c r="AH1971" s="6"/>
      <c r="AI1971" s="6"/>
      <c r="AJ1971" s="6"/>
      <c r="AK1971" s="6"/>
      <c r="AL1971" s="6"/>
      <c r="AM1971" s="6"/>
      <c r="AN1971" s="6"/>
      <c r="AO1971" s="6"/>
      <c r="AP1971" s="6"/>
      <c r="AQ1971" s="6"/>
      <c r="AR1971" s="6"/>
      <c r="AS1971" s="6"/>
    </row>
    <row r="1972" spans="1:45" ht="16.5" customHeight="1">
      <c r="A1972" s="235"/>
      <c r="B1972" s="235"/>
      <c r="C1972" s="235"/>
      <c r="D1972" s="235"/>
      <c r="E1972" s="235"/>
      <c r="F1972" s="236"/>
      <c r="G1972" s="237"/>
      <c r="H1972" s="237"/>
      <c r="I1972" s="238"/>
      <c r="J1972" s="235"/>
      <c r="K1972" s="235"/>
      <c r="L1972" s="235"/>
      <c r="M1972" s="235"/>
      <c r="N1972" s="239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  <c r="AA1972" s="6"/>
      <c r="AB1972" s="6"/>
      <c r="AC1972" s="6"/>
      <c r="AD1972" s="6"/>
      <c r="AE1972" s="6"/>
      <c r="AF1972" s="6"/>
      <c r="AG1972" s="6"/>
      <c r="AH1972" s="6"/>
      <c r="AI1972" s="6"/>
      <c r="AJ1972" s="6"/>
      <c r="AK1972" s="6"/>
      <c r="AL1972" s="6"/>
      <c r="AM1972" s="6"/>
      <c r="AN1972" s="6"/>
      <c r="AO1972" s="6"/>
      <c r="AP1972" s="6"/>
      <c r="AQ1972" s="6"/>
      <c r="AR1972" s="6"/>
      <c r="AS1972" s="6"/>
    </row>
    <row r="1973" spans="1:45" ht="16.5" customHeight="1">
      <c r="A1973" s="235"/>
      <c r="B1973" s="235"/>
      <c r="C1973" s="235"/>
      <c r="D1973" s="235"/>
      <c r="E1973" s="235"/>
      <c r="F1973" s="236"/>
      <c r="G1973" s="237"/>
      <c r="H1973" s="237"/>
      <c r="I1973" s="238"/>
      <c r="J1973" s="235"/>
      <c r="K1973" s="235"/>
      <c r="L1973" s="235"/>
      <c r="M1973" s="235"/>
      <c r="N1973" s="239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  <c r="AA1973" s="6"/>
      <c r="AB1973" s="6"/>
      <c r="AC1973" s="6"/>
      <c r="AD1973" s="6"/>
      <c r="AE1973" s="6"/>
      <c r="AF1973" s="6"/>
      <c r="AG1973" s="6"/>
      <c r="AH1973" s="6"/>
      <c r="AI1973" s="6"/>
      <c r="AJ1973" s="6"/>
      <c r="AK1973" s="6"/>
      <c r="AL1973" s="6"/>
      <c r="AM1973" s="6"/>
      <c r="AN1973" s="6"/>
      <c r="AO1973" s="6"/>
      <c r="AP1973" s="6"/>
      <c r="AQ1973" s="6"/>
      <c r="AR1973" s="6"/>
      <c r="AS1973" s="6"/>
    </row>
    <row r="1974" spans="1:45" ht="16.5" customHeight="1">
      <c r="A1974" s="235"/>
      <c r="B1974" s="235"/>
      <c r="C1974" s="235"/>
      <c r="D1974" s="235"/>
      <c r="E1974" s="235"/>
      <c r="F1974" s="236"/>
      <c r="G1974" s="237"/>
      <c r="H1974" s="237"/>
      <c r="I1974" s="238"/>
      <c r="J1974" s="235"/>
      <c r="K1974" s="235"/>
      <c r="L1974" s="235"/>
      <c r="M1974" s="235"/>
      <c r="N1974" s="239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  <c r="AA1974" s="6"/>
      <c r="AB1974" s="6"/>
      <c r="AC1974" s="6"/>
      <c r="AD1974" s="6"/>
      <c r="AE1974" s="6"/>
      <c r="AF1974" s="6"/>
      <c r="AG1974" s="6"/>
      <c r="AH1974" s="6"/>
      <c r="AI1974" s="6"/>
      <c r="AJ1974" s="6"/>
      <c r="AK1974" s="6"/>
      <c r="AL1974" s="6"/>
      <c r="AM1974" s="6"/>
      <c r="AN1974" s="6"/>
      <c r="AO1974" s="6"/>
      <c r="AP1974" s="6"/>
      <c r="AQ1974" s="6"/>
      <c r="AR1974" s="6"/>
      <c r="AS1974" s="6"/>
    </row>
    <row r="1975" spans="1:45" ht="16.5" customHeight="1">
      <c r="A1975" s="235"/>
      <c r="B1975" s="235"/>
      <c r="C1975" s="235"/>
      <c r="D1975" s="235"/>
      <c r="E1975" s="235"/>
      <c r="F1975" s="236"/>
      <c r="G1975" s="237"/>
      <c r="H1975" s="237"/>
      <c r="I1975" s="238"/>
      <c r="J1975" s="235"/>
      <c r="K1975" s="235"/>
      <c r="L1975" s="235"/>
      <c r="M1975" s="235"/>
      <c r="N1975" s="239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  <c r="AA1975" s="6"/>
      <c r="AB1975" s="6"/>
      <c r="AC1975" s="6"/>
      <c r="AD1975" s="6"/>
      <c r="AE1975" s="6"/>
      <c r="AF1975" s="6"/>
      <c r="AG1975" s="6"/>
      <c r="AH1975" s="6"/>
      <c r="AI1975" s="6"/>
      <c r="AJ1975" s="6"/>
      <c r="AK1975" s="6"/>
      <c r="AL1975" s="6"/>
      <c r="AM1975" s="6"/>
      <c r="AN1975" s="6"/>
      <c r="AO1975" s="6"/>
      <c r="AP1975" s="6"/>
      <c r="AQ1975" s="6"/>
      <c r="AR1975" s="6"/>
      <c r="AS1975" s="6"/>
    </row>
    <row r="1976" spans="1:45" ht="16.5" customHeight="1">
      <c r="A1976" s="235"/>
      <c r="B1976" s="235"/>
      <c r="C1976" s="235"/>
      <c r="D1976" s="235"/>
      <c r="E1976" s="235"/>
      <c r="F1976" s="236"/>
      <c r="G1976" s="237"/>
      <c r="H1976" s="237"/>
      <c r="I1976" s="238"/>
      <c r="J1976" s="235"/>
      <c r="K1976" s="235"/>
      <c r="L1976" s="235"/>
      <c r="M1976" s="235"/>
      <c r="N1976" s="239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  <c r="AA1976" s="6"/>
      <c r="AB1976" s="6"/>
      <c r="AC1976" s="6"/>
      <c r="AD1976" s="6"/>
      <c r="AE1976" s="6"/>
      <c r="AF1976" s="6"/>
      <c r="AG1976" s="6"/>
      <c r="AH1976" s="6"/>
      <c r="AI1976" s="6"/>
      <c r="AJ1976" s="6"/>
      <c r="AK1976" s="6"/>
      <c r="AL1976" s="6"/>
      <c r="AM1976" s="6"/>
      <c r="AN1976" s="6"/>
      <c r="AO1976" s="6"/>
      <c r="AP1976" s="6"/>
      <c r="AQ1976" s="6"/>
      <c r="AR1976" s="6"/>
      <c r="AS1976" s="6"/>
    </row>
    <row r="1977" spans="1:45" ht="16.5" customHeight="1">
      <c r="A1977" s="235"/>
      <c r="B1977" s="235"/>
      <c r="C1977" s="235"/>
      <c r="D1977" s="235"/>
      <c r="E1977" s="235"/>
      <c r="F1977" s="236"/>
      <c r="G1977" s="237"/>
      <c r="H1977" s="237"/>
      <c r="I1977" s="238"/>
      <c r="J1977" s="235"/>
      <c r="K1977" s="235"/>
      <c r="L1977" s="235"/>
      <c r="M1977" s="235"/>
      <c r="N1977" s="239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  <c r="AA1977" s="6"/>
      <c r="AB1977" s="6"/>
      <c r="AC1977" s="6"/>
      <c r="AD1977" s="6"/>
      <c r="AE1977" s="6"/>
      <c r="AF1977" s="6"/>
      <c r="AG1977" s="6"/>
      <c r="AH1977" s="6"/>
      <c r="AI1977" s="6"/>
      <c r="AJ1977" s="6"/>
      <c r="AK1977" s="6"/>
      <c r="AL1977" s="6"/>
      <c r="AM1977" s="6"/>
      <c r="AN1977" s="6"/>
      <c r="AO1977" s="6"/>
      <c r="AP1977" s="6"/>
      <c r="AQ1977" s="6"/>
      <c r="AR1977" s="6"/>
      <c r="AS1977" s="6"/>
    </row>
    <row r="1978" spans="1:45" ht="16.5" customHeight="1">
      <c r="A1978" s="235"/>
      <c r="B1978" s="235"/>
      <c r="C1978" s="235"/>
      <c r="D1978" s="235"/>
      <c r="E1978" s="235"/>
      <c r="F1978" s="236"/>
      <c r="G1978" s="237"/>
      <c r="H1978" s="237"/>
      <c r="I1978" s="238"/>
      <c r="J1978" s="235"/>
      <c r="K1978" s="235"/>
      <c r="L1978" s="235"/>
      <c r="M1978" s="235"/>
      <c r="N1978" s="239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  <c r="AA1978" s="6"/>
      <c r="AB1978" s="6"/>
      <c r="AC1978" s="6"/>
      <c r="AD1978" s="6"/>
      <c r="AE1978" s="6"/>
      <c r="AF1978" s="6"/>
      <c r="AG1978" s="6"/>
      <c r="AH1978" s="6"/>
      <c r="AI1978" s="6"/>
      <c r="AJ1978" s="6"/>
      <c r="AK1978" s="6"/>
      <c r="AL1978" s="6"/>
      <c r="AM1978" s="6"/>
      <c r="AN1978" s="6"/>
      <c r="AO1978" s="6"/>
      <c r="AP1978" s="6"/>
      <c r="AQ1978" s="6"/>
      <c r="AR1978" s="6"/>
      <c r="AS1978" s="6"/>
    </row>
    <row r="1979" spans="1:45" ht="16.5" customHeight="1">
      <c r="A1979" s="235"/>
      <c r="B1979" s="235"/>
      <c r="C1979" s="235"/>
      <c r="D1979" s="235"/>
      <c r="E1979" s="235"/>
      <c r="F1979" s="236"/>
      <c r="G1979" s="237"/>
      <c r="H1979" s="237"/>
      <c r="I1979" s="238"/>
      <c r="J1979" s="235"/>
      <c r="K1979" s="235"/>
      <c r="L1979" s="235"/>
      <c r="M1979" s="235"/>
      <c r="N1979" s="239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  <c r="AA1979" s="6"/>
      <c r="AB1979" s="6"/>
      <c r="AC1979" s="6"/>
      <c r="AD1979" s="6"/>
      <c r="AE1979" s="6"/>
      <c r="AF1979" s="6"/>
      <c r="AG1979" s="6"/>
      <c r="AH1979" s="6"/>
      <c r="AI1979" s="6"/>
      <c r="AJ1979" s="6"/>
      <c r="AK1979" s="6"/>
      <c r="AL1979" s="6"/>
      <c r="AM1979" s="6"/>
      <c r="AN1979" s="6"/>
      <c r="AO1979" s="6"/>
      <c r="AP1979" s="6"/>
      <c r="AQ1979" s="6"/>
      <c r="AR1979" s="6"/>
      <c r="AS1979" s="6"/>
    </row>
    <row r="1980" spans="1:45" ht="16.5" customHeight="1">
      <c r="A1980" s="235"/>
      <c r="B1980" s="235"/>
      <c r="C1980" s="235"/>
      <c r="D1980" s="235"/>
      <c r="E1980" s="235"/>
      <c r="F1980" s="236"/>
      <c r="G1980" s="237"/>
      <c r="H1980" s="237"/>
      <c r="I1980" s="238"/>
      <c r="J1980" s="235"/>
      <c r="K1980" s="235"/>
      <c r="L1980" s="235"/>
      <c r="M1980" s="235"/>
      <c r="N1980" s="239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  <c r="AA1980" s="6"/>
      <c r="AB1980" s="6"/>
      <c r="AC1980" s="6"/>
      <c r="AD1980" s="6"/>
      <c r="AE1980" s="6"/>
      <c r="AF1980" s="6"/>
      <c r="AG1980" s="6"/>
      <c r="AH1980" s="6"/>
      <c r="AI1980" s="6"/>
      <c r="AJ1980" s="6"/>
      <c r="AK1980" s="6"/>
      <c r="AL1980" s="6"/>
      <c r="AM1980" s="6"/>
      <c r="AN1980" s="6"/>
      <c r="AO1980" s="6"/>
      <c r="AP1980" s="6"/>
      <c r="AQ1980" s="6"/>
      <c r="AR1980" s="6"/>
      <c r="AS1980" s="6"/>
    </row>
    <row r="1981" spans="1:45" ht="16.5" customHeight="1">
      <c r="A1981" s="235"/>
      <c r="B1981" s="235"/>
      <c r="C1981" s="235"/>
      <c r="D1981" s="235"/>
      <c r="E1981" s="235"/>
      <c r="F1981" s="236"/>
      <c r="G1981" s="237"/>
      <c r="H1981" s="237"/>
      <c r="I1981" s="238"/>
      <c r="J1981" s="235"/>
      <c r="K1981" s="235"/>
      <c r="L1981" s="235"/>
      <c r="M1981" s="235"/>
      <c r="N1981" s="239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  <c r="AA1981" s="6"/>
      <c r="AB1981" s="6"/>
      <c r="AC1981" s="6"/>
      <c r="AD1981" s="6"/>
      <c r="AE1981" s="6"/>
      <c r="AF1981" s="6"/>
      <c r="AG1981" s="6"/>
      <c r="AH1981" s="6"/>
      <c r="AI1981" s="6"/>
      <c r="AJ1981" s="6"/>
      <c r="AK1981" s="6"/>
      <c r="AL1981" s="6"/>
      <c r="AM1981" s="6"/>
      <c r="AN1981" s="6"/>
      <c r="AO1981" s="6"/>
      <c r="AP1981" s="6"/>
      <c r="AQ1981" s="6"/>
      <c r="AR1981" s="6"/>
      <c r="AS1981" s="6"/>
    </row>
    <row r="1982" spans="1:45" ht="16.5" customHeight="1">
      <c r="A1982" s="235"/>
      <c r="B1982" s="235"/>
      <c r="C1982" s="235"/>
      <c r="D1982" s="235"/>
      <c r="E1982" s="235"/>
      <c r="F1982" s="236"/>
      <c r="G1982" s="237"/>
      <c r="H1982" s="237"/>
      <c r="I1982" s="238"/>
      <c r="J1982" s="235"/>
      <c r="K1982" s="235"/>
      <c r="L1982" s="235"/>
      <c r="M1982" s="235"/>
      <c r="N1982" s="239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  <c r="AA1982" s="6"/>
      <c r="AB1982" s="6"/>
      <c r="AC1982" s="6"/>
      <c r="AD1982" s="6"/>
      <c r="AE1982" s="6"/>
      <c r="AF1982" s="6"/>
      <c r="AG1982" s="6"/>
      <c r="AH1982" s="6"/>
      <c r="AI1982" s="6"/>
      <c r="AJ1982" s="6"/>
      <c r="AK1982" s="6"/>
      <c r="AL1982" s="6"/>
      <c r="AM1982" s="6"/>
      <c r="AN1982" s="6"/>
      <c r="AO1982" s="6"/>
      <c r="AP1982" s="6"/>
      <c r="AQ1982" s="6"/>
      <c r="AR1982" s="6"/>
      <c r="AS1982" s="6"/>
    </row>
    <row r="1983" spans="1:45" ht="16.5" customHeight="1">
      <c r="A1983" s="235"/>
      <c r="B1983" s="235"/>
      <c r="C1983" s="235"/>
      <c r="D1983" s="235"/>
      <c r="E1983" s="235"/>
      <c r="F1983" s="236"/>
      <c r="G1983" s="237"/>
      <c r="H1983" s="237"/>
      <c r="I1983" s="238"/>
      <c r="J1983" s="235"/>
      <c r="K1983" s="235"/>
      <c r="L1983" s="235"/>
      <c r="M1983" s="235"/>
      <c r="N1983" s="239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  <c r="AA1983" s="6"/>
      <c r="AB1983" s="6"/>
      <c r="AC1983" s="6"/>
      <c r="AD1983" s="6"/>
      <c r="AE1983" s="6"/>
      <c r="AF1983" s="6"/>
      <c r="AG1983" s="6"/>
      <c r="AH1983" s="6"/>
      <c r="AI1983" s="6"/>
      <c r="AJ1983" s="6"/>
      <c r="AK1983" s="6"/>
      <c r="AL1983" s="6"/>
      <c r="AM1983" s="6"/>
      <c r="AN1983" s="6"/>
      <c r="AO1983" s="6"/>
      <c r="AP1983" s="6"/>
      <c r="AQ1983" s="6"/>
      <c r="AR1983" s="6"/>
      <c r="AS1983" s="6"/>
    </row>
    <row r="1984" spans="1:45" ht="16.5" customHeight="1">
      <c r="A1984" s="235"/>
      <c r="B1984" s="235"/>
      <c r="C1984" s="235"/>
      <c r="D1984" s="235"/>
      <c r="E1984" s="235"/>
      <c r="F1984" s="236"/>
      <c r="G1984" s="237"/>
      <c r="H1984" s="237"/>
      <c r="I1984" s="238"/>
      <c r="J1984" s="235"/>
      <c r="K1984" s="235"/>
      <c r="L1984" s="235"/>
      <c r="M1984" s="235"/>
      <c r="N1984" s="239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  <c r="AA1984" s="6"/>
      <c r="AB1984" s="6"/>
      <c r="AC1984" s="6"/>
      <c r="AD1984" s="6"/>
      <c r="AE1984" s="6"/>
      <c r="AF1984" s="6"/>
      <c r="AG1984" s="6"/>
      <c r="AH1984" s="6"/>
      <c r="AI1984" s="6"/>
      <c r="AJ1984" s="6"/>
      <c r="AK1984" s="6"/>
      <c r="AL1984" s="6"/>
      <c r="AM1984" s="6"/>
      <c r="AN1984" s="6"/>
      <c r="AO1984" s="6"/>
      <c r="AP1984" s="6"/>
      <c r="AQ1984" s="6"/>
      <c r="AR1984" s="6"/>
      <c r="AS1984" s="6"/>
    </row>
    <row r="1985" spans="1:45" ht="16.5" customHeight="1">
      <c r="A1985" s="235"/>
      <c r="B1985" s="235"/>
      <c r="C1985" s="235"/>
      <c r="D1985" s="235"/>
      <c r="E1985" s="235"/>
      <c r="F1985" s="236"/>
      <c r="G1985" s="237"/>
      <c r="H1985" s="237"/>
      <c r="I1985" s="238"/>
      <c r="J1985" s="235"/>
      <c r="K1985" s="235"/>
      <c r="L1985" s="235"/>
      <c r="M1985" s="235"/>
      <c r="N1985" s="239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  <c r="AA1985" s="6"/>
      <c r="AB1985" s="6"/>
      <c r="AC1985" s="6"/>
      <c r="AD1985" s="6"/>
      <c r="AE1985" s="6"/>
      <c r="AF1985" s="6"/>
      <c r="AG1985" s="6"/>
      <c r="AH1985" s="6"/>
      <c r="AI1985" s="6"/>
      <c r="AJ1985" s="6"/>
      <c r="AK1985" s="6"/>
      <c r="AL1985" s="6"/>
      <c r="AM1985" s="6"/>
      <c r="AN1985" s="6"/>
      <c r="AO1985" s="6"/>
      <c r="AP1985" s="6"/>
      <c r="AQ1985" s="6"/>
      <c r="AR1985" s="6"/>
      <c r="AS1985" s="6"/>
    </row>
    <row r="1986" spans="1:45" ht="16.5" customHeight="1">
      <c r="A1986" s="235"/>
      <c r="B1986" s="235"/>
      <c r="C1986" s="235"/>
      <c r="D1986" s="235"/>
      <c r="E1986" s="235"/>
      <c r="F1986" s="236"/>
      <c r="G1986" s="237"/>
      <c r="H1986" s="237"/>
      <c r="I1986" s="238"/>
      <c r="J1986" s="235"/>
      <c r="K1986" s="235"/>
      <c r="L1986" s="235"/>
      <c r="M1986" s="235"/>
      <c r="N1986" s="239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  <c r="AA1986" s="6"/>
      <c r="AB1986" s="6"/>
      <c r="AC1986" s="6"/>
      <c r="AD1986" s="6"/>
      <c r="AE1986" s="6"/>
      <c r="AF1986" s="6"/>
      <c r="AG1986" s="6"/>
      <c r="AH1986" s="6"/>
      <c r="AI1986" s="6"/>
      <c r="AJ1986" s="6"/>
      <c r="AK1986" s="6"/>
      <c r="AL1986" s="6"/>
      <c r="AM1986" s="6"/>
      <c r="AN1986" s="6"/>
      <c r="AO1986" s="6"/>
      <c r="AP1986" s="6"/>
      <c r="AQ1986" s="6"/>
      <c r="AR1986" s="6"/>
      <c r="AS1986" s="6"/>
    </row>
    <row r="1987" spans="1:45" ht="16.5" customHeight="1">
      <c r="A1987" s="235"/>
      <c r="B1987" s="235"/>
      <c r="C1987" s="235"/>
      <c r="D1987" s="235"/>
      <c r="E1987" s="235"/>
      <c r="F1987" s="236"/>
      <c r="G1987" s="237"/>
      <c r="H1987" s="237"/>
      <c r="I1987" s="238"/>
      <c r="J1987" s="235"/>
      <c r="K1987" s="235"/>
      <c r="L1987" s="235"/>
      <c r="M1987" s="235"/>
      <c r="N1987" s="239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  <c r="AA1987" s="6"/>
      <c r="AB1987" s="6"/>
      <c r="AC1987" s="6"/>
      <c r="AD1987" s="6"/>
      <c r="AE1987" s="6"/>
      <c r="AF1987" s="6"/>
      <c r="AG1987" s="6"/>
      <c r="AH1987" s="6"/>
      <c r="AI1987" s="6"/>
      <c r="AJ1987" s="6"/>
      <c r="AK1987" s="6"/>
      <c r="AL1987" s="6"/>
      <c r="AM1987" s="6"/>
      <c r="AN1987" s="6"/>
      <c r="AO1987" s="6"/>
      <c r="AP1987" s="6"/>
      <c r="AQ1987" s="6"/>
      <c r="AR1987" s="6"/>
      <c r="AS1987" s="6"/>
    </row>
    <row r="1988" spans="1:45" ht="16.5" customHeight="1">
      <c r="A1988" s="235"/>
      <c r="B1988" s="235"/>
      <c r="C1988" s="235"/>
      <c r="D1988" s="235"/>
      <c r="E1988" s="235"/>
      <c r="F1988" s="236"/>
      <c r="G1988" s="237"/>
      <c r="H1988" s="237"/>
      <c r="I1988" s="238"/>
      <c r="J1988" s="235"/>
      <c r="K1988" s="235"/>
      <c r="L1988" s="235"/>
      <c r="M1988" s="235"/>
      <c r="N1988" s="239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  <c r="AA1988" s="6"/>
      <c r="AB1988" s="6"/>
      <c r="AC1988" s="6"/>
      <c r="AD1988" s="6"/>
      <c r="AE1988" s="6"/>
      <c r="AF1988" s="6"/>
      <c r="AG1988" s="6"/>
      <c r="AH1988" s="6"/>
      <c r="AI1988" s="6"/>
      <c r="AJ1988" s="6"/>
      <c r="AK1988" s="6"/>
      <c r="AL1988" s="6"/>
      <c r="AM1988" s="6"/>
      <c r="AN1988" s="6"/>
      <c r="AO1988" s="6"/>
      <c r="AP1988" s="6"/>
      <c r="AQ1988" s="6"/>
      <c r="AR1988" s="6"/>
      <c r="AS1988" s="6"/>
    </row>
    <row r="1989" spans="1:45" ht="16.5" customHeight="1">
      <c r="A1989" s="235"/>
      <c r="B1989" s="235"/>
      <c r="C1989" s="235"/>
      <c r="D1989" s="235"/>
      <c r="E1989" s="235"/>
      <c r="F1989" s="236"/>
      <c r="G1989" s="237"/>
      <c r="H1989" s="237"/>
      <c r="I1989" s="238"/>
      <c r="J1989" s="235"/>
      <c r="K1989" s="235"/>
      <c r="L1989" s="235"/>
      <c r="M1989" s="235"/>
      <c r="N1989" s="239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  <c r="AA1989" s="6"/>
      <c r="AB1989" s="6"/>
      <c r="AC1989" s="6"/>
      <c r="AD1989" s="6"/>
      <c r="AE1989" s="6"/>
      <c r="AF1989" s="6"/>
      <c r="AG1989" s="6"/>
      <c r="AH1989" s="6"/>
      <c r="AI1989" s="6"/>
      <c r="AJ1989" s="6"/>
      <c r="AK1989" s="6"/>
      <c r="AL1989" s="6"/>
      <c r="AM1989" s="6"/>
      <c r="AN1989" s="6"/>
      <c r="AO1989" s="6"/>
      <c r="AP1989" s="6"/>
      <c r="AQ1989" s="6"/>
      <c r="AR1989" s="6"/>
      <c r="AS1989" s="6"/>
    </row>
    <row r="1990" spans="1:45" ht="16.5" customHeight="1">
      <c r="A1990" s="235"/>
      <c r="B1990" s="235"/>
      <c r="C1990" s="235"/>
      <c r="D1990" s="235"/>
      <c r="E1990" s="235"/>
      <c r="F1990" s="236"/>
      <c r="G1990" s="237"/>
      <c r="H1990" s="237"/>
      <c r="I1990" s="238"/>
      <c r="J1990" s="235"/>
      <c r="K1990" s="235"/>
      <c r="L1990" s="235"/>
      <c r="M1990" s="235"/>
      <c r="N1990" s="239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  <c r="AA1990" s="6"/>
      <c r="AB1990" s="6"/>
      <c r="AC1990" s="6"/>
      <c r="AD1990" s="6"/>
      <c r="AE1990" s="6"/>
      <c r="AF1990" s="6"/>
      <c r="AG1990" s="6"/>
      <c r="AH1990" s="6"/>
      <c r="AI1990" s="6"/>
      <c r="AJ1990" s="6"/>
      <c r="AK1990" s="6"/>
      <c r="AL1990" s="6"/>
      <c r="AM1990" s="6"/>
      <c r="AN1990" s="6"/>
      <c r="AO1990" s="6"/>
      <c r="AP1990" s="6"/>
      <c r="AQ1990" s="6"/>
      <c r="AR1990" s="6"/>
      <c r="AS1990" s="6"/>
    </row>
    <row r="1991" spans="1:45" ht="16.5" customHeight="1">
      <c r="A1991" s="235"/>
      <c r="B1991" s="235"/>
      <c r="C1991" s="235"/>
      <c r="D1991" s="235"/>
      <c r="E1991" s="235"/>
      <c r="F1991" s="236"/>
      <c r="G1991" s="237"/>
      <c r="H1991" s="237"/>
      <c r="I1991" s="238"/>
      <c r="J1991" s="235"/>
      <c r="K1991" s="235"/>
      <c r="L1991" s="235"/>
      <c r="M1991" s="235"/>
      <c r="N1991" s="239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  <c r="AA1991" s="6"/>
      <c r="AB1991" s="6"/>
      <c r="AC1991" s="6"/>
      <c r="AD1991" s="6"/>
      <c r="AE1991" s="6"/>
      <c r="AF1991" s="6"/>
      <c r="AG1991" s="6"/>
      <c r="AH1991" s="6"/>
      <c r="AI1991" s="6"/>
      <c r="AJ1991" s="6"/>
      <c r="AK1991" s="6"/>
      <c r="AL1991" s="6"/>
      <c r="AM1991" s="6"/>
      <c r="AN1991" s="6"/>
      <c r="AO1991" s="6"/>
      <c r="AP1991" s="6"/>
      <c r="AQ1991" s="6"/>
      <c r="AR1991" s="6"/>
      <c r="AS1991" s="6"/>
    </row>
    <row r="1992" spans="1:45" ht="16.5" customHeight="1">
      <c r="A1992" s="235"/>
      <c r="B1992" s="235"/>
      <c r="C1992" s="235"/>
      <c r="D1992" s="235"/>
      <c r="E1992" s="235"/>
      <c r="F1992" s="236"/>
      <c r="G1992" s="237"/>
      <c r="H1992" s="237"/>
      <c r="I1992" s="238"/>
      <c r="J1992" s="235"/>
      <c r="K1992" s="235"/>
      <c r="L1992" s="235"/>
      <c r="M1992" s="235"/>
      <c r="N1992" s="239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  <c r="AA1992" s="6"/>
      <c r="AB1992" s="6"/>
      <c r="AC1992" s="6"/>
      <c r="AD1992" s="6"/>
      <c r="AE1992" s="6"/>
      <c r="AF1992" s="6"/>
      <c r="AG1992" s="6"/>
      <c r="AH1992" s="6"/>
      <c r="AI1992" s="6"/>
      <c r="AJ1992" s="6"/>
      <c r="AK1992" s="6"/>
      <c r="AL1992" s="6"/>
      <c r="AM1992" s="6"/>
      <c r="AN1992" s="6"/>
      <c r="AO1992" s="6"/>
      <c r="AP1992" s="6"/>
      <c r="AQ1992" s="6"/>
      <c r="AR1992" s="6"/>
      <c r="AS1992" s="6"/>
    </row>
    <row r="1993" spans="1:45" ht="16.5" customHeight="1">
      <c r="A1993" s="235"/>
      <c r="B1993" s="235"/>
      <c r="C1993" s="235"/>
      <c r="D1993" s="235"/>
      <c r="E1993" s="235"/>
      <c r="F1993" s="236"/>
      <c r="G1993" s="237"/>
      <c r="H1993" s="237"/>
      <c r="I1993" s="238"/>
      <c r="J1993" s="235"/>
      <c r="K1993" s="235"/>
      <c r="L1993" s="235"/>
      <c r="M1993" s="235"/>
      <c r="N1993" s="239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  <c r="AA1993" s="6"/>
      <c r="AB1993" s="6"/>
      <c r="AC1993" s="6"/>
      <c r="AD1993" s="6"/>
      <c r="AE1993" s="6"/>
      <c r="AF1993" s="6"/>
      <c r="AG1993" s="6"/>
      <c r="AH1993" s="6"/>
      <c r="AI1993" s="6"/>
      <c r="AJ1993" s="6"/>
      <c r="AK1993" s="6"/>
      <c r="AL1993" s="6"/>
      <c r="AM1993" s="6"/>
      <c r="AN1993" s="6"/>
      <c r="AO1993" s="6"/>
      <c r="AP1993" s="6"/>
      <c r="AQ1993" s="6"/>
      <c r="AR1993" s="6"/>
      <c r="AS1993" s="6"/>
    </row>
    <row r="1994" spans="1:45" ht="16.5" customHeight="1">
      <c r="A1994" s="235"/>
      <c r="B1994" s="235"/>
      <c r="C1994" s="235"/>
      <c r="D1994" s="235"/>
      <c r="E1994" s="235"/>
      <c r="F1994" s="236"/>
      <c r="G1994" s="237"/>
      <c r="H1994" s="237"/>
      <c r="I1994" s="238"/>
      <c r="J1994" s="235"/>
      <c r="K1994" s="235"/>
      <c r="L1994" s="235"/>
      <c r="M1994" s="235"/>
      <c r="N1994" s="239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  <c r="AA1994" s="6"/>
      <c r="AB1994" s="6"/>
      <c r="AC1994" s="6"/>
      <c r="AD1994" s="6"/>
      <c r="AE1994" s="6"/>
      <c r="AF1994" s="6"/>
      <c r="AG1994" s="6"/>
      <c r="AH1994" s="6"/>
      <c r="AI1994" s="6"/>
      <c r="AJ1994" s="6"/>
      <c r="AK1994" s="6"/>
      <c r="AL1994" s="6"/>
      <c r="AM1994" s="6"/>
      <c r="AN1994" s="6"/>
      <c r="AO1994" s="6"/>
      <c r="AP1994" s="6"/>
      <c r="AQ1994" s="6"/>
      <c r="AR1994" s="6"/>
      <c r="AS1994" s="6"/>
    </row>
    <row r="1995" spans="1:45" ht="16.5" customHeight="1">
      <c r="A1995" s="235"/>
      <c r="B1995" s="235"/>
      <c r="C1995" s="235"/>
      <c r="D1995" s="235"/>
      <c r="E1995" s="235"/>
      <c r="F1995" s="236"/>
      <c r="G1995" s="237"/>
      <c r="H1995" s="237"/>
      <c r="I1995" s="238"/>
      <c r="J1995" s="235"/>
      <c r="K1995" s="235"/>
      <c r="L1995" s="235"/>
      <c r="M1995" s="235"/>
      <c r="N1995" s="239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  <c r="AA1995" s="6"/>
      <c r="AB1995" s="6"/>
      <c r="AC1995" s="6"/>
      <c r="AD1995" s="6"/>
      <c r="AE1995" s="6"/>
      <c r="AF1995" s="6"/>
      <c r="AG1995" s="6"/>
      <c r="AH1995" s="6"/>
      <c r="AI1995" s="6"/>
      <c r="AJ1995" s="6"/>
      <c r="AK1995" s="6"/>
      <c r="AL1995" s="6"/>
      <c r="AM1995" s="6"/>
      <c r="AN1995" s="6"/>
      <c r="AO1995" s="6"/>
      <c r="AP1995" s="6"/>
      <c r="AQ1995" s="6"/>
      <c r="AR1995" s="6"/>
      <c r="AS1995" s="6"/>
    </row>
    <row r="1996" spans="1:45" ht="16.5" customHeight="1">
      <c r="A1996" s="235"/>
      <c r="B1996" s="235"/>
      <c r="C1996" s="235"/>
      <c r="D1996" s="235"/>
      <c r="E1996" s="235"/>
      <c r="F1996" s="236"/>
      <c r="G1996" s="237"/>
      <c r="H1996" s="237"/>
      <c r="I1996" s="238"/>
      <c r="J1996" s="235"/>
      <c r="K1996" s="235"/>
      <c r="L1996" s="235"/>
      <c r="M1996" s="235"/>
      <c r="N1996" s="239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  <c r="AA1996" s="6"/>
      <c r="AB1996" s="6"/>
      <c r="AC1996" s="6"/>
      <c r="AD1996" s="6"/>
      <c r="AE1996" s="6"/>
      <c r="AF1996" s="6"/>
      <c r="AG1996" s="6"/>
      <c r="AH1996" s="6"/>
      <c r="AI1996" s="6"/>
      <c r="AJ1996" s="6"/>
      <c r="AK1996" s="6"/>
      <c r="AL1996" s="6"/>
      <c r="AM1996" s="6"/>
      <c r="AN1996" s="6"/>
      <c r="AO1996" s="6"/>
      <c r="AP1996" s="6"/>
      <c r="AQ1996" s="6"/>
      <c r="AR1996" s="6"/>
      <c r="AS1996" s="6"/>
    </row>
    <row r="1997" spans="1:45" ht="16.5" customHeight="1">
      <c r="A1997" s="235"/>
      <c r="B1997" s="235"/>
      <c r="C1997" s="235"/>
      <c r="D1997" s="235"/>
      <c r="E1997" s="235"/>
      <c r="F1997" s="236"/>
      <c r="G1997" s="237"/>
      <c r="H1997" s="237"/>
      <c r="I1997" s="238"/>
      <c r="J1997" s="235"/>
      <c r="K1997" s="235"/>
      <c r="L1997" s="235"/>
      <c r="M1997" s="235"/>
      <c r="N1997" s="239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  <c r="AA1997" s="6"/>
      <c r="AB1997" s="6"/>
      <c r="AC1997" s="6"/>
      <c r="AD1997" s="6"/>
      <c r="AE1997" s="6"/>
      <c r="AF1997" s="6"/>
      <c r="AG1997" s="6"/>
      <c r="AH1997" s="6"/>
      <c r="AI1997" s="6"/>
      <c r="AJ1997" s="6"/>
      <c r="AK1997" s="6"/>
      <c r="AL1997" s="6"/>
      <c r="AM1997" s="6"/>
      <c r="AN1997" s="6"/>
      <c r="AO1997" s="6"/>
      <c r="AP1997" s="6"/>
      <c r="AQ1997" s="6"/>
      <c r="AR1997" s="6"/>
      <c r="AS1997" s="6"/>
    </row>
    <row r="1998" spans="1:45" ht="16.5" customHeight="1">
      <c r="A1998" s="235"/>
      <c r="B1998" s="235"/>
      <c r="C1998" s="235"/>
      <c r="D1998" s="235"/>
      <c r="E1998" s="235"/>
      <c r="F1998" s="236"/>
      <c r="G1998" s="237"/>
      <c r="H1998" s="237"/>
      <c r="I1998" s="238"/>
      <c r="J1998" s="235"/>
      <c r="K1998" s="235"/>
      <c r="L1998" s="235"/>
      <c r="M1998" s="235"/>
      <c r="N1998" s="239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  <c r="AA1998" s="6"/>
      <c r="AB1998" s="6"/>
      <c r="AC1998" s="6"/>
      <c r="AD1998" s="6"/>
      <c r="AE1998" s="6"/>
      <c r="AF1998" s="6"/>
      <c r="AG1998" s="6"/>
      <c r="AH1998" s="6"/>
      <c r="AI1998" s="6"/>
      <c r="AJ1998" s="6"/>
      <c r="AK1998" s="6"/>
      <c r="AL1998" s="6"/>
      <c r="AM1998" s="6"/>
      <c r="AN1998" s="6"/>
      <c r="AO1998" s="6"/>
      <c r="AP1998" s="6"/>
      <c r="AQ1998" s="6"/>
      <c r="AR1998" s="6"/>
      <c r="AS1998" s="6"/>
    </row>
  </sheetData>
  <hyperlinks>
    <hyperlink ref="H59" r:id="rId1" xr:uid="{00000000-0004-0000-0100-000000000000}"/>
    <hyperlink ref="H60" r:id="rId2" xr:uid="{00000000-0004-0000-0100-000001000000}"/>
    <hyperlink ref="H61" r:id="rId3" xr:uid="{00000000-0004-0000-0100-000002000000}"/>
    <hyperlink ref="H62" r:id="rId4" xr:uid="{00000000-0004-0000-0100-000003000000}"/>
    <hyperlink ref="H65" r:id="rId5" xr:uid="{00000000-0004-0000-0100-000004000000}"/>
    <hyperlink ref="H87" r:id="rId6" xr:uid="{00000000-0004-0000-0100-000005000000}"/>
    <hyperlink ref="H88" r:id="rId7" xr:uid="{00000000-0004-0000-0100-000006000000}"/>
    <hyperlink ref="H128" r:id="rId8" xr:uid="{00000000-0004-0000-0100-000007000000}"/>
    <hyperlink ref="H129" r:id="rId9" xr:uid="{00000000-0004-0000-0100-000008000000}"/>
    <hyperlink ref="H158" r:id="rId10" xr:uid="{00000000-0004-0000-0100-000009000000}"/>
    <hyperlink ref="H159" r:id="rId11" xr:uid="{00000000-0004-0000-0100-00000A000000}"/>
    <hyperlink ref="H627" r:id="rId12" xr:uid="{00000000-0004-0000-0100-00000B000000}"/>
    <hyperlink ref="H669" r:id="rId13" xr:uid="{00000000-0004-0000-0100-00000C000000}"/>
    <hyperlink ref="H702" r:id="rId14" xr:uid="{00000000-0004-0000-0100-00000D000000}"/>
    <hyperlink ref="H703" r:id="rId15" xr:uid="{00000000-0004-0000-0100-00000E000000}"/>
    <hyperlink ref="H704" r:id="rId16" xr:uid="{00000000-0004-0000-0100-00000F000000}"/>
    <hyperlink ref="H705" r:id="rId17" xr:uid="{00000000-0004-0000-0100-000010000000}"/>
    <hyperlink ref="H717" r:id="rId18" xr:uid="{00000000-0004-0000-0100-000011000000}"/>
    <hyperlink ref="H781" r:id="rId19" xr:uid="{00000000-0004-0000-0100-000012000000}"/>
    <hyperlink ref="H809" r:id="rId20" xr:uid="{00000000-0004-0000-0100-000013000000}"/>
    <hyperlink ref="H810" r:id="rId21" xr:uid="{00000000-0004-0000-0100-000014000000}"/>
    <hyperlink ref="D811" r:id="rId22" xr:uid="{00000000-0004-0000-0100-000015000000}"/>
    <hyperlink ref="D831" r:id="rId23" xr:uid="{00000000-0004-0000-0100-000016000000}"/>
    <hyperlink ref="D832" r:id="rId24" xr:uid="{00000000-0004-0000-0100-000017000000}"/>
    <hyperlink ref="D926" r:id="rId25" xr:uid="{00000000-0004-0000-0100-000018000000}"/>
    <hyperlink ref="D927" r:id="rId26" xr:uid="{00000000-0004-0000-0100-000019000000}"/>
    <hyperlink ref="H928" r:id="rId27" xr:uid="{00000000-0004-0000-0100-00001A000000}"/>
    <hyperlink ref="H931" r:id="rId28" xr:uid="{00000000-0004-0000-0100-00001B000000}"/>
    <hyperlink ref="H958" r:id="rId29" xr:uid="{00000000-0004-0000-0100-00001C000000}"/>
    <hyperlink ref="H959" r:id="rId30" xr:uid="{00000000-0004-0000-0100-00001D000000}"/>
  </hyperlinks>
  <pageMargins left="0.25" right="0.25" top="0.75" bottom="0.75" header="0" footer="0"/>
  <pageSetup orientation="portrait"/>
  <drawing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2024-07-08T21:19:26Z</dcterms:modified>
</cp:coreProperties>
</file>