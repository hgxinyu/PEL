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183A657A-64E9-4ADD-AE7D-AFDD2B6493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gQAU6ZwsdeyB9zdDR4W07hQBJQg=="/>
    </ext>
  </extLst>
</workbook>
</file>

<file path=xl/calcChain.xml><?xml version="1.0" encoding="utf-8"?>
<calcChain xmlns="http://schemas.openxmlformats.org/spreadsheetml/2006/main">
  <c r="S5" i="2" l="1"/>
  <c r="C38" i="1"/>
  <c r="C37" i="1"/>
  <c r="C43" i="1"/>
  <c r="S2" i="2"/>
  <c r="Q918" i="2"/>
  <c r="W3" i="2"/>
  <c r="V3" i="2"/>
  <c r="U3" i="2"/>
  <c r="T3" i="2"/>
  <c r="S3" i="2"/>
  <c r="R3" i="2"/>
  <c r="W2" i="2"/>
  <c r="V2" i="2"/>
  <c r="U2" i="2"/>
  <c r="T2" i="2"/>
  <c r="R2" i="2"/>
  <c r="M2" i="2"/>
  <c r="M1" i="2"/>
  <c r="C54" i="1"/>
  <c r="C53" i="1"/>
  <c r="D12" i="1"/>
  <c r="E12" i="1"/>
  <c r="C52" i="1"/>
  <c r="C51" i="1"/>
  <c r="C44" i="1"/>
  <c r="C49" i="1"/>
  <c r="C55" i="1"/>
  <c r="D9" i="1"/>
  <c r="L42" i="1"/>
  <c r="I42" i="1"/>
  <c r="L41" i="1"/>
  <c r="I41" i="1"/>
  <c r="A31" i="1"/>
  <c r="A30" i="1"/>
  <c r="A29" i="1"/>
  <c r="A28" i="1"/>
  <c r="A27" i="1"/>
  <c r="A26" i="1"/>
  <c r="A25" i="1"/>
  <c r="E24" i="1"/>
  <c r="A24" i="1"/>
  <c r="E23" i="1"/>
  <c r="A23" i="1"/>
  <c r="A22" i="1"/>
  <c r="A21" i="1"/>
  <c r="A20" i="1"/>
  <c r="A19" i="1"/>
  <c r="E18" i="1"/>
  <c r="A18" i="1"/>
  <c r="D17" i="1"/>
  <c r="E17" i="1"/>
  <c r="C17" i="1"/>
  <c r="A17" i="1"/>
  <c r="D16" i="1"/>
  <c r="E16" i="1"/>
  <c r="C16" i="1"/>
  <c r="A16" i="1"/>
  <c r="D15" i="1"/>
  <c r="C15" i="1"/>
  <c r="E15" i="1"/>
  <c r="A15" i="1"/>
  <c r="D14" i="1"/>
  <c r="C14" i="1"/>
  <c r="E14" i="1"/>
  <c r="A14" i="1"/>
  <c r="D13" i="1"/>
  <c r="E13" i="1"/>
  <c r="A13" i="1"/>
  <c r="A12" i="1"/>
  <c r="D11" i="1"/>
  <c r="E11" i="1"/>
  <c r="A11" i="1"/>
  <c r="A10" i="1"/>
  <c r="A9" i="1"/>
  <c r="C50" i="1"/>
  <c r="C56" i="1"/>
  <c r="D10" i="1"/>
  <c r="D44" i="1"/>
  <c r="U4" i="2"/>
  <c r="V4" i="2"/>
  <c r="S4" i="2"/>
  <c r="Z2" i="2"/>
  <c r="T4" i="2"/>
  <c r="Z3" i="2"/>
  <c r="W4" i="2"/>
  <c r="E26" i="1"/>
  <c r="E31" i="1"/>
  <c r="X3" i="2"/>
  <c r="Y3" i="2"/>
  <c r="R4" i="2"/>
  <c r="X2" i="2"/>
  <c r="Y2" i="2"/>
  <c r="D56" i="1"/>
  <c r="X4" i="2"/>
  <c r="Y4" i="2"/>
  <c r="Z4" i="2"/>
</calcChain>
</file>

<file path=xl/sharedStrings.xml><?xml version="1.0" encoding="utf-8"?>
<sst xmlns="http://schemas.openxmlformats.org/spreadsheetml/2006/main" count="8660" uniqueCount="1767">
  <si>
    <t>Report P</t>
  </si>
  <si>
    <t>Due by: 11/1/23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</si>
  <si>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</si>
  <si>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</si>
  <si>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</si>
  <si>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</si>
  <si>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</si>
  <si>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</si>
  <si>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</si>
  <si>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</si>
  <si>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</si>
  <si>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</si>
  <si>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</si>
  <si>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</si>
  <si>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</si>
  <si>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</si>
  <si>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</si>
  <si>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</si>
  <si>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</si>
  <si>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</si>
  <si>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</si>
  <si>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</si>
  <si>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</si>
  <si>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</si>
  <si>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</si>
  <si>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</si>
  <si>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</si>
  <si>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</si>
  <si>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</si>
  <si>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</si>
  <si>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</si>
  <si>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11/10/23)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</si>
  <si>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</si>
  <si>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</si>
  <si>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</si>
  <si>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</si>
  <si>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</si>
  <si>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</si>
  <si>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</si>
  <si>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</si>
  <si>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</si>
  <si>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</si>
  <si>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</si>
  <si>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</si>
  <si>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</si>
  <si>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</si>
  <si>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</si>
  <si>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</si>
  <si>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</si>
  <si>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</si>
  <si>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</si>
  <si>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</si>
  <si>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</si>
  <si>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</si>
  <si>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</si>
  <si>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</si>
  <si>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</si>
  <si>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</si>
  <si>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</si>
  <si>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</si>
  <si>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</si>
  <si>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</si>
  <si>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</si>
  <si>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</si>
  <si>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</si>
  <si>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</si>
  <si>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</si>
  <si>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</si>
  <si>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</si>
  <si>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</si>
  <si>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</si>
  <si>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</si>
  <si>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</si>
  <si>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</si>
  <si>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</si>
  <si>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</si>
  <si>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</si>
  <si>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</si>
  <si>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</si>
  <si>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</si>
  <si>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</si>
  <si>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</si>
  <si>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</si>
  <si>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T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</si>
  <si>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</si>
  <si>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</si>
  <si>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</si>
  <si>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</si>
  <si>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</si>
  <si>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</si>
  <si>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</si>
  <si>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</si>
  <si>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</si>
  <si>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</si>
  <si>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</si>
  <si>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</si>
  <si>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</si>
  <si>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</si>
  <si>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</si>
  <si>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</si>
  <si>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</si>
  <si>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</si>
  <si>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</si>
  <si>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</si>
  <si>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</si>
  <si>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 xml:space="preserve">An </t>
  </si>
  <si>
    <t>Aaron</t>
  </si>
  <si>
    <t>1240 Olympic Drive, Milpitas, CA, 95035</t>
  </si>
  <si>
    <t>anxinghua@gmail.com</t>
  </si>
  <si>
    <t>EG6</t>
  </si>
  <si>
    <t xml:space="preserve">1P </t>
  </si>
  <si>
    <t>Vincent</t>
  </si>
  <si>
    <t>EG4</t>
  </si>
  <si>
    <t>41P</t>
  </si>
  <si>
    <t xml:space="preserve">Antonio </t>
  </si>
  <si>
    <t>Caleb</t>
  </si>
  <si>
    <t>804 Deboer Lane</t>
  </si>
  <si>
    <t>jnnfr_diep@yahoo.com</t>
  </si>
  <si>
    <t>EK2</t>
  </si>
  <si>
    <t>76P</t>
  </si>
  <si>
    <t>MG6</t>
  </si>
  <si>
    <t>96P</t>
  </si>
  <si>
    <t xml:space="preserve">Mason </t>
  </si>
  <si>
    <t>106P</t>
  </si>
  <si>
    <t>MG3</t>
  </si>
  <si>
    <t>36P</t>
  </si>
  <si>
    <t xml:space="preserve">Balamurugan </t>
  </si>
  <si>
    <t>Tanisha</t>
  </si>
  <si>
    <t>648 Costigan Cir, Milpitas, CA, 95035</t>
  </si>
  <si>
    <t>alagunirupa@yahoo.com</t>
  </si>
  <si>
    <t>EG5</t>
  </si>
  <si>
    <t>26P</t>
  </si>
  <si>
    <t>MG8</t>
  </si>
  <si>
    <t>66P</t>
  </si>
  <si>
    <t>Chen</t>
  </si>
  <si>
    <t>Ada</t>
  </si>
  <si>
    <t>155Valmy Street, Milpitas 95035</t>
  </si>
  <si>
    <t>925-6639258</t>
  </si>
  <si>
    <t>anniechang719@gmail.com</t>
  </si>
  <si>
    <t>86P</t>
  </si>
  <si>
    <t>71P</t>
  </si>
  <si>
    <t>CHEUNG</t>
  </si>
  <si>
    <t>QUINTUS</t>
  </si>
  <si>
    <t>324 SAN PETRA CT APT 4, MILPITAS 95035</t>
  </si>
  <si>
    <t>emtojw@gmail.com</t>
  </si>
  <si>
    <t>EK5</t>
  </si>
  <si>
    <t>MG5</t>
  </si>
  <si>
    <t>Chi</t>
  </si>
  <si>
    <t>Sylvia</t>
  </si>
  <si>
    <t>k</t>
  </si>
  <si>
    <t>103 Smithwood Street</t>
  </si>
  <si>
    <t>408-8925525</t>
  </si>
  <si>
    <t>michael.go@gmail.com</t>
  </si>
  <si>
    <t>EG8</t>
  </si>
  <si>
    <t>31P</t>
  </si>
  <si>
    <t>MG10</t>
  </si>
  <si>
    <t>61P</t>
  </si>
  <si>
    <t>Choudhury</t>
  </si>
  <si>
    <t>Atiya</t>
  </si>
  <si>
    <t>1195 Lassen Avenue, Milpitas, CA, 95035</t>
  </si>
  <si>
    <t>Shamina.Choudhury@gmail.com</t>
  </si>
  <si>
    <t>EG3</t>
  </si>
  <si>
    <t>56P</t>
  </si>
  <si>
    <t>MG7</t>
  </si>
  <si>
    <t>Uwais</t>
  </si>
  <si>
    <t>46P</t>
  </si>
  <si>
    <t xml:space="preserve">Uwais </t>
  </si>
  <si>
    <t>MG9</t>
  </si>
  <si>
    <t xml:space="preserve">Choudhury </t>
  </si>
  <si>
    <t>Aaliyah</t>
  </si>
  <si>
    <t>62P</t>
  </si>
  <si>
    <t>MG2</t>
  </si>
  <si>
    <t>Zaida</t>
  </si>
  <si>
    <t>51P</t>
  </si>
  <si>
    <t>Du</t>
  </si>
  <si>
    <t xml:space="preserve">Jefferey </t>
  </si>
  <si>
    <t>2190 Cuesta Dr, Milpitas CA</t>
  </si>
  <si>
    <t>tingnaxu1120@gmail.com</t>
  </si>
  <si>
    <t>101P</t>
  </si>
  <si>
    <t>Terina</t>
  </si>
  <si>
    <t>K</t>
  </si>
  <si>
    <t>2190 Cuesta Dr, Milpitas, CA, 95035</t>
  </si>
  <si>
    <t>EK1</t>
  </si>
  <si>
    <t>91P</t>
  </si>
  <si>
    <t>MK3</t>
  </si>
  <si>
    <t>85P</t>
  </si>
  <si>
    <t>Dutt</t>
  </si>
  <si>
    <t>Ishika</t>
  </si>
  <si>
    <t>396 stulman dr, Milpitas</t>
  </si>
  <si>
    <t>vdimple1326@gmail.com</t>
  </si>
  <si>
    <t>EG2B</t>
  </si>
  <si>
    <t>Feng</t>
  </si>
  <si>
    <t>Xiyi</t>
  </si>
  <si>
    <t>231 Dixon Landing Rd</t>
  </si>
  <si>
    <t>(408)893-6618</t>
  </si>
  <si>
    <t>691018z@gmail.com</t>
  </si>
  <si>
    <t>TEST</t>
  </si>
  <si>
    <t>55P</t>
  </si>
  <si>
    <t>George</t>
  </si>
  <si>
    <t>Anaya</t>
  </si>
  <si>
    <t>1250 Calle de Cuestanada, Milpitas, CA, 95035</t>
  </si>
  <si>
    <t>ansaephraim@gmail.com</t>
  </si>
  <si>
    <t>EG2</t>
  </si>
  <si>
    <t>Saira</t>
  </si>
  <si>
    <t>Gowda</t>
  </si>
  <si>
    <t>Shrish</t>
  </si>
  <si>
    <t>1343 Elkwood Dr, Milpitas</t>
  </si>
  <si>
    <t>Satheesha.gowda@gmail.com</t>
  </si>
  <si>
    <t>Gu</t>
  </si>
  <si>
    <t>Jay</t>
  </si>
  <si>
    <t>255 Heath St, Milpitas</t>
  </si>
  <si>
    <t>wenzhougu@yahoo.com</t>
  </si>
  <si>
    <t>EG7</t>
  </si>
  <si>
    <t>Suki</t>
  </si>
  <si>
    <t>EM1</t>
  </si>
  <si>
    <t>81P</t>
  </si>
  <si>
    <t>MH1</t>
  </si>
  <si>
    <t>Gupta</t>
  </si>
  <si>
    <t>Anush</t>
  </si>
  <si>
    <t>688 Cardiff Place, Milpitas</t>
  </si>
  <si>
    <t>agupta.ua@gmail.com</t>
  </si>
  <si>
    <t>Daksh</t>
  </si>
  <si>
    <t>290 N Park Victoria Dr, Milpitas, CA, 95035</t>
  </si>
  <si>
    <t>chiragsagi@gmail.com</t>
  </si>
  <si>
    <t>21P</t>
  </si>
  <si>
    <t>MG4</t>
  </si>
  <si>
    <t>Eshaan</t>
  </si>
  <si>
    <t>Huang</t>
  </si>
  <si>
    <t>Jocelyn</t>
  </si>
  <si>
    <t>131 Jose Figueres Ave</t>
  </si>
  <si>
    <t>junhuang198110@gmail.com</t>
  </si>
  <si>
    <t>18P</t>
  </si>
  <si>
    <t>78P</t>
  </si>
  <si>
    <t>Joshua</t>
  </si>
  <si>
    <t>20029 Austin Ln, Castro Valley, CA 94546</t>
  </si>
  <si>
    <t>650-863-8858</t>
  </si>
  <si>
    <t>wanglai@gmail.com</t>
  </si>
  <si>
    <t>EM2</t>
  </si>
  <si>
    <t>91p</t>
  </si>
  <si>
    <t>Instructor Children</t>
  </si>
  <si>
    <t>MH2</t>
  </si>
  <si>
    <t>75P</t>
  </si>
  <si>
    <t>Sophia</t>
  </si>
  <si>
    <t>60P</t>
  </si>
  <si>
    <t>Ip</t>
  </si>
  <si>
    <t>Ethan</t>
  </si>
  <si>
    <t>1918 conifer ct</t>
  </si>
  <si>
    <t>Yoyoxia12@gmail.com</t>
  </si>
  <si>
    <t>Jia</t>
  </si>
  <si>
    <t>166 Sagemeadow Ct, Milpitas CA</t>
  </si>
  <si>
    <t>piijia@hotmail.com</t>
  </si>
  <si>
    <t>MM1</t>
  </si>
  <si>
    <t>Jiang</t>
  </si>
  <si>
    <t>Chloe</t>
  </si>
  <si>
    <t>336 Grafton Ter, Fremont, CA, 94539</t>
  </si>
  <si>
    <t>asheng2@yahoo.com</t>
  </si>
  <si>
    <t>EG9</t>
  </si>
  <si>
    <t>Kuo</t>
  </si>
  <si>
    <t>2145 Old Piedmont Rd, San Jose</t>
  </si>
  <si>
    <t>linwc529@gmail.com</t>
  </si>
  <si>
    <t>30P</t>
  </si>
  <si>
    <t>MM2</t>
  </si>
  <si>
    <t>38P</t>
  </si>
  <si>
    <t>Sean</t>
  </si>
  <si>
    <t>EM5</t>
  </si>
  <si>
    <t>MH3</t>
  </si>
  <si>
    <t>Le</t>
  </si>
  <si>
    <t>Anna</t>
  </si>
  <si>
    <t>258 Marylinn Dr. Apt 4</t>
  </si>
  <si>
    <t>phuongN00@yahoo.com</t>
  </si>
  <si>
    <t>24P</t>
  </si>
  <si>
    <t>29P</t>
  </si>
  <si>
    <t>Blair</t>
  </si>
  <si>
    <t>PK</t>
  </si>
  <si>
    <t>3100 Melchester Dr, San Jose</t>
  </si>
  <si>
    <t>khanhmaivuong@gmail.com</t>
  </si>
  <si>
    <t>90P</t>
  </si>
  <si>
    <t>MG1</t>
  </si>
  <si>
    <t>Julia</t>
  </si>
  <si>
    <t>258 marylinn Dr apt4</t>
  </si>
  <si>
    <t>thangle_vn78@yahoo.com</t>
  </si>
  <si>
    <t>EM3</t>
  </si>
  <si>
    <t>105P</t>
  </si>
  <si>
    <t>11P</t>
  </si>
  <si>
    <t>Leanna</t>
  </si>
  <si>
    <t>305 Heath st, Milpitas</t>
  </si>
  <si>
    <t>phuanh.lam@gmail.com</t>
  </si>
  <si>
    <t>Melissa</t>
  </si>
  <si>
    <t>1P</t>
  </si>
  <si>
    <t>Lee</t>
  </si>
  <si>
    <t>Amber</t>
  </si>
  <si>
    <t>2768 Somerset, San Jose</t>
  </si>
  <si>
    <t>JOCELYN.X.ZH@GMAIL.COM</t>
  </si>
  <si>
    <t>98P</t>
  </si>
  <si>
    <t>Leah</t>
  </si>
  <si>
    <t>655 Murphy Ranch Rd., Milpitas 95035</t>
  </si>
  <si>
    <t>mrs.jenhlee@gmail.com</t>
  </si>
  <si>
    <t>On Sut Anshel</t>
  </si>
  <si>
    <t>37076 Arden Street, Newark, CA, 94560</t>
  </si>
  <si>
    <t>reginasfwu@gmail.com</t>
  </si>
  <si>
    <t>37P</t>
  </si>
  <si>
    <t>MG11</t>
  </si>
  <si>
    <t>Lim</t>
  </si>
  <si>
    <t>Bryce</t>
  </si>
  <si>
    <t>729 Carino Ter, Milpitas, CA</t>
  </si>
  <si>
    <t>lloydlim21@gmail.com</t>
  </si>
  <si>
    <t>Lin</t>
  </si>
  <si>
    <t>Aiden</t>
  </si>
  <si>
    <t>494 Dixon Rd, Milpitas, CA</t>
  </si>
  <si>
    <t>sisy627@gmail.com</t>
  </si>
  <si>
    <t>Emily</t>
  </si>
  <si>
    <t>47238 Armata st, Fremont, CA, 94539</t>
  </si>
  <si>
    <t>Jing.huang1982@gmail.com</t>
  </si>
  <si>
    <t>Lu</t>
  </si>
  <si>
    <t>Kelly</t>
  </si>
  <si>
    <t>1268 milkweed street</t>
  </si>
  <si>
    <t>669-9002958</t>
  </si>
  <si>
    <t>lily71374@gmail.com</t>
  </si>
  <si>
    <t>MH4</t>
  </si>
  <si>
    <t>Ma</t>
  </si>
  <si>
    <t>Xingchu (Ryan)</t>
  </si>
  <si>
    <t>588 Privet Ter, Fremont</t>
  </si>
  <si>
    <t>Aprilhuang83@gmail.com</t>
  </si>
  <si>
    <t>EH4</t>
  </si>
  <si>
    <t>MH5</t>
  </si>
  <si>
    <t>16P</t>
  </si>
  <si>
    <t>Malviya</t>
  </si>
  <si>
    <t xml:space="preserve">Shaurya </t>
  </si>
  <si>
    <t>1289 Elkwood Drive, Milpitas CA</t>
  </si>
  <si>
    <t>408-6804761</t>
  </si>
  <si>
    <t>girsimmy@gmail.com</t>
  </si>
  <si>
    <t>EH5</t>
  </si>
  <si>
    <t>MM3</t>
  </si>
  <si>
    <t>Mir</t>
  </si>
  <si>
    <t>Samah</t>
  </si>
  <si>
    <t>3467 Maroun Place, San Jose</t>
  </si>
  <si>
    <t>jmahbub@gmail.com</t>
  </si>
  <si>
    <t>Shafiq</t>
  </si>
  <si>
    <t>Mohn</t>
  </si>
  <si>
    <t>Aradhya</t>
  </si>
  <si>
    <t>2102 calle vista verde, Milpitas</t>
  </si>
  <si>
    <t>nityadevi@gmail.com</t>
  </si>
  <si>
    <t>Mohan</t>
  </si>
  <si>
    <t>MK4</t>
  </si>
  <si>
    <t xml:space="preserve">Arundhathi </t>
  </si>
  <si>
    <t>Mostafa</t>
  </si>
  <si>
    <t>Faraz</t>
  </si>
  <si>
    <t>38865 Argonaut Way</t>
  </si>
  <si>
    <t>m_farial@yahoo.com</t>
  </si>
  <si>
    <t>Motiwalla</t>
  </si>
  <si>
    <t>Autumn</t>
  </si>
  <si>
    <t>2115 KIWI WALKWAY, San Jose</t>
  </si>
  <si>
    <t>divyesh86@gmail.com</t>
  </si>
  <si>
    <t>35P</t>
  </si>
  <si>
    <t>Ng</t>
  </si>
  <si>
    <t xml:space="preserve">Penelope </t>
  </si>
  <si>
    <t>444 Elm Court, Milpitas, CA, USA</t>
  </si>
  <si>
    <t>joycechong14@gmail.com</t>
  </si>
  <si>
    <t>Nguyen</t>
  </si>
  <si>
    <t>An</t>
  </si>
  <si>
    <t>3344 Cropley Ave, San Jose 95132</t>
  </si>
  <si>
    <t>phuongpham.usa2020@gmail.com</t>
  </si>
  <si>
    <t>Catherine</t>
  </si>
  <si>
    <t>501 Mulphy Ranch Rd 461, Milpitas, 95035</t>
  </si>
  <si>
    <t>650-773-4182</t>
  </si>
  <si>
    <t>tommynguyen91@gmail.com</t>
  </si>
  <si>
    <t>Kenneth</t>
  </si>
  <si>
    <t>2713 Hostetter Road, San Jose</t>
  </si>
  <si>
    <t>510-220-5518</t>
  </si>
  <si>
    <t>thanhthuy80@hotmail.com</t>
  </si>
  <si>
    <t>2ND</t>
  </si>
  <si>
    <t>Kyle</t>
  </si>
  <si>
    <t>3/21/2012</t>
  </si>
  <si>
    <t>126 Poppy Ct, Milpitas, CA 95035</t>
  </si>
  <si>
    <t>408-859-7251</t>
  </si>
  <si>
    <t>chrissyk111@yahoo.com</t>
  </si>
  <si>
    <t>45P</t>
  </si>
  <si>
    <t>sonphung2@yahoo.com</t>
  </si>
  <si>
    <t>48P</t>
  </si>
  <si>
    <t>Liem</t>
  </si>
  <si>
    <t>817 horcajo st</t>
  </si>
  <si>
    <t>Lydiapnd@yahoo.com</t>
  </si>
  <si>
    <t xml:space="preserve">Liem </t>
  </si>
  <si>
    <t>Timothy</t>
  </si>
  <si>
    <t>EG10</t>
  </si>
  <si>
    <t>2nd</t>
  </si>
  <si>
    <t>70P</t>
  </si>
  <si>
    <t xml:space="preserve">Nguyen </t>
  </si>
  <si>
    <t>Ellie</t>
  </si>
  <si>
    <t>2713 Hostetter Road, San Jose, CA, 95132</t>
  </si>
  <si>
    <t>Panuganti</t>
  </si>
  <si>
    <t>Neal</t>
  </si>
  <si>
    <t>445 Alegra Ter, Milpitas CA</t>
  </si>
  <si>
    <t>s4gulkotwar@gmail.com</t>
  </si>
  <si>
    <t>6P</t>
  </si>
  <si>
    <t>Prabhu</t>
  </si>
  <si>
    <t>Hashvik</t>
  </si>
  <si>
    <t>1775 Milmont Drive</t>
  </si>
  <si>
    <t>srprabhu08@gmail.com</t>
  </si>
  <si>
    <t>Pradeep</t>
  </si>
  <si>
    <t>Deetya</t>
  </si>
  <si>
    <t>4386 Laird circle, Santa Clara, CA, 95054</t>
  </si>
  <si>
    <t>206-802-5164</t>
  </si>
  <si>
    <t>yal.y2k@gmail.com</t>
  </si>
  <si>
    <t>Saraf</t>
  </si>
  <si>
    <t>Avaneesh</t>
  </si>
  <si>
    <t>260 Mazey St</t>
  </si>
  <si>
    <t>abhisaraf007@gmail.com</t>
  </si>
  <si>
    <t>Segales</t>
  </si>
  <si>
    <t>Jessica</t>
  </si>
  <si>
    <t>807 tassasara drive</t>
  </si>
  <si>
    <t>kkwan99@yahoo.com</t>
  </si>
  <si>
    <t>Shah</t>
  </si>
  <si>
    <t>Reya</t>
  </si>
  <si>
    <t>27 Vienna Drive, Milpitas</t>
  </si>
  <si>
    <t>408-4443615</t>
  </si>
  <si>
    <t>vivianpalace@alo.com</t>
  </si>
  <si>
    <t>EM4</t>
  </si>
  <si>
    <t>Rivaan</t>
  </si>
  <si>
    <t>27 Vienna Drive, Milpitas, CA, 95035</t>
  </si>
  <si>
    <t>aakarshah@gmail.com</t>
  </si>
  <si>
    <t xml:space="preserve">Soni </t>
  </si>
  <si>
    <t xml:space="preserve">Shlok </t>
  </si>
  <si>
    <t>564 martil way, Milpitas, CA, 95035</t>
  </si>
  <si>
    <t>Ankita.dol@gmail.com</t>
  </si>
  <si>
    <t>Tang</t>
  </si>
  <si>
    <t>David</t>
  </si>
  <si>
    <t>1619 Conway Street, Milpitas, CA, 95035</t>
  </si>
  <si>
    <t>ch_yin@hotmail.com</t>
  </si>
  <si>
    <t>Tien</t>
  </si>
  <si>
    <t>VINCENT</t>
  </si>
  <si>
    <t>662 Grayson Way</t>
  </si>
  <si>
    <t>mctien101@gmail.com</t>
  </si>
  <si>
    <t>Vempali</t>
  </si>
  <si>
    <t>Isitva</t>
  </si>
  <si>
    <t>2051 Calle Mesa Alta, Milpitas, CA, 95035</t>
  </si>
  <si>
    <t>jayaram.csit@gmail.com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</si>
  <si>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</si>
  <si>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</si>
  <si>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</si>
  <si>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</si>
  <si>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</si>
  <si>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</si>
  <si>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</si>
  <si>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</si>
  <si>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Caden</t>
  </si>
  <si>
    <t>Eric</t>
  </si>
  <si>
    <t>251 Bunch Grass Ter, Fremont</t>
  </si>
  <si>
    <t>mail.liang.wang@gmail.com</t>
  </si>
  <si>
    <t>88P</t>
  </si>
  <si>
    <t>Vera</t>
  </si>
  <si>
    <t>251 Bunch Grass Ter, Fremont, CA, 94539</t>
  </si>
  <si>
    <t>EG1B</t>
  </si>
  <si>
    <t>Wong</t>
  </si>
  <si>
    <t>Brandon</t>
  </si>
  <si>
    <t>249 Midwick Dr, Milpitas, CA, 95035</t>
  </si>
  <si>
    <t>408-421-9959</t>
  </si>
  <si>
    <t>swtjemz@gmail.com</t>
  </si>
  <si>
    <t>Wu</t>
  </si>
  <si>
    <t>Christopher</t>
  </si>
  <si>
    <t>69 Jacklin Circle, Milpitas, CA</t>
  </si>
  <si>
    <t>cjmaria@gmail.com</t>
  </si>
  <si>
    <t>MHT</t>
  </si>
  <si>
    <t>Clark</t>
  </si>
  <si>
    <t>69 Jacklin Circle</t>
  </si>
  <si>
    <t>Yan</t>
  </si>
  <si>
    <t>Shihan</t>
  </si>
  <si>
    <t>779 Gateview Dr., San Jose, CA, 95133</t>
  </si>
  <si>
    <t>ling890810@gmail.com</t>
  </si>
  <si>
    <t>Yang</t>
  </si>
  <si>
    <t>Alex</t>
  </si>
  <si>
    <t>1487 stone creek dr, San Jose, CA, 95132</t>
  </si>
  <si>
    <t>mingmingyyf@me.com</t>
  </si>
  <si>
    <t>Min</t>
  </si>
  <si>
    <t>1057 jungfrau ct</t>
  </si>
  <si>
    <t>wangyong198668@gmail.com</t>
  </si>
  <si>
    <t>Yin</t>
  </si>
  <si>
    <t>Jinhan</t>
  </si>
  <si>
    <t>189 Lawton Dr.</t>
  </si>
  <si>
    <t>ypl6262137236@gmail.com</t>
  </si>
  <si>
    <t>Yuan</t>
  </si>
  <si>
    <t>Arick</t>
  </si>
  <si>
    <t>450 s 19th st, San Jose</t>
  </si>
  <si>
    <t>Gfyuan@gmail.com</t>
  </si>
  <si>
    <t>Zhai</t>
  </si>
  <si>
    <t>203 Wild Rose Way</t>
  </si>
  <si>
    <t>flysummer@yahoo.com</t>
  </si>
  <si>
    <t>Zhao</t>
  </si>
  <si>
    <t>184 Manferd St, Milpitas, CA, 95035</t>
  </si>
  <si>
    <t>yuanzhao1022@gmail.com</t>
  </si>
  <si>
    <t>EK4</t>
  </si>
  <si>
    <t>Zheng</t>
  </si>
  <si>
    <t>1377San Juan Ave, San Jose</t>
  </si>
  <si>
    <t>Ch5029095@gmail.com</t>
  </si>
  <si>
    <t>Zhu</t>
  </si>
  <si>
    <t>Lindsay</t>
  </si>
  <si>
    <t>6183 Potnero Dr, Fremont</t>
  </si>
  <si>
    <t>Cdai@rocketems.com</t>
  </si>
  <si>
    <t>MH6</t>
  </si>
  <si>
    <t>40P</t>
  </si>
  <si>
    <t>Quit List (Archived 9/30/2019)</t>
  </si>
  <si>
    <t>Au</t>
  </si>
  <si>
    <t>Kassidy</t>
  </si>
  <si>
    <t>73 Henriques Lane, Milpitas, CA 95035</t>
  </si>
  <si>
    <t>415-4122005</t>
  </si>
  <si>
    <t>cyu220@gmail.com</t>
  </si>
  <si>
    <t>31p</t>
  </si>
  <si>
    <t>absent for July. Already back on Aug. 1</t>
  </si>
  <si>
    <t>106p</t>
  </si>
  <si>
    <t>Claire</t>
  </si>
  <si>
    <t>Ji</t>
  </si>
  <si>
    <t>5/5/2012</t>
  </si>
  <si>
    <t>261 E.Warren Cmn, Fremont, CA, 95035</t>
  </si>
  <si>
    <t>(510)-918-9418</t>
  </si>
  <si>
    <t>zf426@hotmail.com</t>
  </si>
  <si>
    <t>9/10/2018</t>
  </si>
  <si>
    <t>35p</t>
  </si>
  <si>
    <t>WILL BE ABSENT FOR SUMMER AND BACK</t>
  </si>
  <si>
    <t>Clements</t>
  </si>
  <si>
    <t>Grace</t>
  </si>
  <si>
    <t>12/19/2005</t>
  </si>
  <si>
    <t>120 Dixon Landing Road #164, Milpitas,</t>
  </si>
  <si>
    <t>408-4207045</t>
  </si>
  <si>
    <t>gcoria@stanford.edu</t>
  </si>
  <si>
    <t>1/17/2019</t>
  </si>
  <si>
    <t>82p</t>
  </si>
  <si>
    <t xml:space="preserve">will be back in Aug. </t>
  </si>
  <si>
    <t>101p</t>
  </si>
  <si>
    <t>Evelyn</t>
  </si>
  <si>
    <t>5/28/2009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</si>
  <si>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</si>
  <si>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</si>
  <si>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</si>
  <si>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</si>
  <si>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</si>
  <si>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</si>
  <si>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</si>
  <si>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</si>
  <si>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</si>
  <si>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</si>
  <si>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408-3980707</t>
  </si>
  <si>
    <t>chingnee23@hotmail.com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</si>
  <si>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</si>
  <si>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</si>
  <si>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</si>
  <si>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</si>
  <si>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</si>
  <si>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</si>
  <si>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</si>
  <si>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</si>
  <si>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</si>
  <si>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25P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</si>
  <si>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</si>
  <si>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</si>
  <si>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</si>
  <si>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</si>
  <si>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</si>
  <si>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</si>
  <si>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408-4800093</t>
  </si>
  <si>
    <t>devisreepada@yahoo.com</t>
  </si>
  <si>
    <t>36p</t>
  </si>
  <si>
    <t>Ramya</t>
  </si>
  <si>
    <t>pk</t>
  </si>
  <si>
    <t>Chris</t>
  </si>
  <si>
    <t>46942 Lundy Terrace Fremont CA 94539</t>
  </si>
  <si>
    <t>408-2030878</t>
  </si>
  <si>
    <t>nancy8313@gmail.com</t>
  </si>
  <si>
    <t>absent for July. back on Aug. 1, BROTHER JOIN TOO</t>
  </si>
  <si>
    <t>9/28/2008</t>
  </si>
  <si>
    <t>1954 Lindon Ln, Milpitas, CA 95035</t>
  </si>
  <si>
    <t>408-262-2312</t>
  </si>
  <si>
    <t>ycwang777@yahoo.com</t>
  </si>
  <si>
    <t>WILL BE ABSENT IN JUL, WILL BE BACK N AUG</t>
  </si>
  <si>
    <t>Wilson</t>
  </si>
  <si>
    <t>Jonathan</t>
  </si>
  <si>
    <t>48890 Green Valley Road, Fremont, CA</t>
  </si>
  <si>
    <t>408-9307656</t>
  </si>
  <si>
    <t>yxcliu@gmail.com</t>
  </si>
  <si>
    <t xml:space="preserve"> BACK IN AUG 1</t>
  </si>
  <si>
    <t>xu</t>
  </si>
  <si>
    <t>Sissi</t>
  </si>
  <si>
    <t>165 Tonopah Drive, Fremont, CA</t>
  </si>
  <si>
    <t>408-8961078</t>
  </si>
  <si>
    <t>xufeixixi@gmail.com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</si>
  <si>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</si>
  <si>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</si>
  <si>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</si>
  <si>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</si>
  <si>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</si>
  <si>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</si>
  <si>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</si>
  <si>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</si>
  <si>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</si>
  <si>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</si>
  <si>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</si>
  <si>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</si>
  <si>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</si>
  <si>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408-256-3285</t>
  </si>
  <si>
    <t xml:space="preserve">WILL BE ENGLISH ONLY 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</si>
  <si>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</si>
  <si>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</si>
  <si>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</si>
  <si>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</si>
  <si>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</si>
  <si>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</si>
  <si>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</si>
  <si>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Chung</t>
  </si>
  <si>
    <t>1922 Queen Mary Ct San Jose CA 95132</t>
  </si>
  <si>
    <t>(408)-729-1568</t>
  </si>
  <si>
    <t>kchung05@yahoo.com</t>
  </si>
  <si>
    <t>ABSENT AFTER JULY 15, BACK IN SEP</t>
  </si>
  <si>
    <t>Dylan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</si>
  <si>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</si>
  <si>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</si>
  <si>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</si>
  <si>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</si>
  <si>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</si>
  <si>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</si>
  <si>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</si>
  <si>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</si>
  <si>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51p</t>
  </si>
  <si>
    <t>ABSENT FOR ONE MONTH, BACK IN SEP</t>
  </si>
  <si>
    <t>Yunsu</t>
  </si>
  <si>
    <t>3/2/ 2011</t>
  </si>
  <si>
    <t>61p</t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</si>
  <si>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</si>
  <si>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</si>
  <si>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</si>
  <si>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</si>
  <si>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</si>
  <si>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</si>
  <si>
    <t>JACOB</t>
  </si>
  <si>
    <t>67P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</si>
  <si>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</si>
  <si>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</si>
  <si>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</si>
  <si>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</si>
  <si>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</si>
  <si>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</si>
  <si>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</si>
  <si>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</si>
  <si>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</si>
  <si>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</si>
  <si>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</si>
  <si>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</si>
  <si>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669-6009086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</si>
  <si>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</si>
  <si>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</si>
  <si>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</si>
  <si>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</si>
  <si>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</si>
  <si>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</si>
  <si>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</si>
  <si>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</si>
  <si>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</si>
  <si>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</si>
  <si>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</si>
  <si>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</si>
  <si>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</si>
  <si>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</si>
  <si>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</si>
  <si>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</si>
  <si>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</si>
  <si>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</si>
  <si>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</si>
  <si>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FIN. PROB, WILL DROP MATH</t>
  </si>
  <si>
    <t>Kwan</t>
  </si>
  <si>
    <t>465 Seingley Drive, milpitas, CA 95035</t>
  </si>
  <si>
    <t>408-564-3501</t>
  </si>
  <si>
    <t>58P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</si>
  <si>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</si>
  <si>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</si>
  <si>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</si>
  <si>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</si>
  <si>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</si>
  <si>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</si>
  <si>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</si>
  <si>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</si>
  <si>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</si>
  <si>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MK2</t>
  </si>
  <si>
    <t>Vihana</t>
  </si>
  <si>
    <t>EG1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</si>
  <si>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</si>
  <si>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</si>
  <si>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</si>
  <si>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</si>
  <si>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</si>
  <si>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</si>
  <si>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</si>
  <si>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</si>
  <si>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</si>
  <si>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EK3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</si>
  <si>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</si>
  <si>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</si>
  <si>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</si>
  <si>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</si>
  <si>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</si>
  <si>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</si>
  <si>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408-263-8318</t>
  </si>
  <si>
    <t>eva_exu@hotmail.com</t>
  </si>
  <si>
    <t>Krishnakumar</t>
  </si>
  <si>
    <t>ChinMayi</t>
  </si>
  <si>
    <t>433 Singley Drive, Milpitas, CA 95035</t>
  </si>
  <si>
    <t>408-7721437</t>
  </si>
  <si>
    <t>ushuihui@gmail.com</t>
  </si>
  <si>
    <t>WILL BE ABSENT FOR DEC</t>
  </si>
  <si>
    <t>ABSENT FOR VOCATION IN DEC. BACK IN JAN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</si>
  <si>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</si>
  <si>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</si>
  <si>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</si>
  <si>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</si>
  <si>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</si>
  <si>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</si>
  <si>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</si>
  <si>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</si>
  <si>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408-4106826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</si>
  <si>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</si>
  <si>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</si>
  <si>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</si>
  <si>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</si>
  <si>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</si>
  <si>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</si>
  <si>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</si>
  <si>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</si>
  <si>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</si>
  <si>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</si>
  <si>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</si>
  <si>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</si>
  <si>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</si>
  <si>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</si>
  <si>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</si>
  <si>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</si>
  <si>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</si>
  <si>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</si>
  <si>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</si>
  <si>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</si>
  <si>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669-2435620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</si>
  <si>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</si>
  <si>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</si>
  <si>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</si>
  <si>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</si>
  <si>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</si>
  <si>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</si>
  <si>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Matthew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</si>
  <si>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</si>
  <si>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</si>
  <si>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</si>
  <si>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</si>
  <si>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</si>
  <si>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</si>
  <si>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</si>
  <si>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</si>
  <si>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</si>
  <si>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</si>
  <si>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</si>
  <si>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</si>
  <si>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</si>
  <si>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</si>
  <si>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</si>
  <si>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</si>
  <si>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</si>
  <si>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</si>
  <si>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(510)-953-1878</t>
  </si>
  <si>
    <t>shuhuaou2015@gmail.com</t>
  </si>
  <si>
    <t>absent for virus</t>
  </si>
  <si>
    <t>Tuncer</t>
  </si>
  <si>
    <t>Ege</t>
  </si>
  <si>
    <t>339 Arbor Way</t>
  </si>
  <si>
    <t>408-6674797</t>
  </si>
  <si>
    <t>omercikoglu@gmail.com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</si>
  <si>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</si>
  <si>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</si>
  <si>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</si>
  <si>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</si>
  <si>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</si>
  <si>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</si>
  <si>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</si>
  <si>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</si>
  <si>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</si>
  <si>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</si>
  <si>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408-4201336</t>
  </si>
  <si>
    <t>vasantha.pj@gmail.com</t>
  </si>
  <si>
    <t>56p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</si>
  <si>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</si>
  <si>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</si>
  <si>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</si>
  <si>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</si>
  <si>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</si>
  <si>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</si>
  <si>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</si>
  <si>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</si>
  <si>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</si>
  <si>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</si>
  <si>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</si>
  <si>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</si>
  <si>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</si>
  <si>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</si>
  <si>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</si>
  <si>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</si>
  <si>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</si>
  <si>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</si>
  <si>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</si>
  <si>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</si>
  <si>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1954 Lindon Ln., Milpitas, CA 95035</t>
  </si>
  <si>
    <t>12p</t>
  </si>
  <si>
    <t>Ly</t>
  </si>
  <si>
    <t>5/11/2009</t>
  </si>
  <si>
    <t>628 Manzano St.Milpitas</t>
  </si>
  <si>
    <t>408-3942074</t>
  </si>
  <si>
    <t>skiku98@gmail.com</t>
  </si>
  <si>
    <t>1/1/2019</t>
  </si>
  <si>
    <t>38p</t>
  </si>
  <si>
    <t>Hu</t>
  </si>
  <si>
    <t>354 Sequim Common Fremont CA 94539</t>
  </si>
  <si>
    <t>408-2235588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</si>
  <si>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</si>
  <si>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</si>
  <si>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</si>
  <si>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</si>
  <si>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</si>
  <si>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</si>
  <si>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</si>
  <si>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</si>
  <si>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</si>
  <si>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</si>
  <si>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</si>
  <si>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</si>
  <si>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</si>
  <si>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</si>
  <si>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</si>
  <si>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</si>
  <si>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</si>
  <si>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</si>
  <si>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</si>
  <si>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</si>
  <si>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</si>
  <si>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</si>
  <si>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Leon</t>
  </si>
  <si>
    <t>246 Krismer st, Milpitas CA</t>
  </si>
  <si>
    <t>408-966-9542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</si>
  <si>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</si>
  <si>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</si>
  <si>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</si>
  <si>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</si>
  <si>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</si>
  <si>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</si>
  <si>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</si>
  <si>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</si>
  <si>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</si>
  <si>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(408)-386-7609</t>
  </si>
  <si>
    <t>eapc88@yahoo.com.hk</t>
  </si>
  <si>
    <t>Lou</t>
  </si>
  <si>
    <t>Tony</t>
  </si>
  <si>
    <t>700 S.Abel St. Unit 424, Milpitas, CA 95035</t>
  </si>
  <si>
    <t>408-2056256</t>
  </si>
  <si>
    <t>shangeline@yahoo.com</t>
  </si>
  <si>
    <t>68p</t>
  </si>
  <si>
    <t>Tyler</t>
  </si>
  <si>
    <t>6/11/2012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</si>
  <si>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</si>
  <si>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</si>
  <si>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</si>
  <si>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</si>
  <si>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</si>
  <si>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</si>
  <si>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</si>
  <si>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</si>
  <si>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669-2121187</t>
  </si>
  <si>
    <t>nkimjj@hotmail.com</t>
  </si>
  <si>
    <t>7/29/2019</t>
  </si>
  <si>
    <t>688 Corinthia</t>
  </si>
  <si>
    <t>SIP</t>
  </si>
  <si>
    <t>Ann</t>
  </si>
  <si>
    <t>473 Murray Street Milpitas CA 95035</t>
  </si>
  <si>
    <t>408-4760429</t>
  </si>
  <si>
    <t>alou0411@gmail.com</t>
  </si>
  <si>
    <t>KarilynK@gmail.com</t>
  </si>
  <si>
    <t>Loui</t>
  </si>
  <si>
    <t>Audrey</t>
  </si>
  <si>
    <t>7/23/2012</t>
  </si>
  <si>
    <t>505 Topham Ct. Milpitas, CA 95035</t>
  </si>
  <si>
    <t>408-8346209</t>
  </si>
  <si>
    <t>Bingying</t>
  </si>
  <si>
    <t>375 Hazen St, Milpitas, CA 95035</t>
  </si>
  <si>
    <t>461098257@gg.com</t>
  </si>
  <si>
    <t>Hannah</t>
  </si>
  <si>
    <t>9/18/2008</t>
  </si>
  <si>
    <t>1966 Yosemite Dr., Milpitas, CA 95035</t>
  </si>
  <si>
    <t>(408)-818-0511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</si>
  <si>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</si>
  <si>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</si>
  <si>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</si>
  <si>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</si>
  <si>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</si>
  <si>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</si>
  <si>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</si>
  <si>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</si>
  <si>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</si>
  <si>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</si>
  <si>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</si>
  <si>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</si>
  <si>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</si>
  <si>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</si>
  <si>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</si>
  <si>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</si>
  <si>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</si>
  <si>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</si>
  <si>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</si>
  <si>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</si>
  <si>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</si>
  <si>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</si>
  <si>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</si>
  <si>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</si>
  <si>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</si>
  <si>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</si>
  <si>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</si>
  <si>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</si>
  <si>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</si>
  <si>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</si>
  <si>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</si>
  <si>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</si>
  <si>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</si>
  <si>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</si>
  <si>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</si>
  <si>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408-4809069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</si>
  <si>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</si>
  <si>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</si>
  <si>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</si>
  <si>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</si>
  <si>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</si>
  <si>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</si>
  <si>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</si>
  <si>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</si>
  <si>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</si>
  <si>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</si>
  <si>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</si>
  <si>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</si>
  <si>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</si>
  <si>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8/1/2017</t>
  </si>
  <si>
    <t>110P</t>
  </si>
  <si>
    <t>Complete English Program</t>
  </si>
  <si>
    <t>Janice</t>
  </si>
  <si>
    <t xml:space="preserve">77 Duttonwood Lane, Milpitas, CA </t>
  </si>
  <si>
    <t>415-5168046</t>
  </si>
  <si>
    <t>jjjjune@yahoo.com</t>
  </si>
  <si>
    <t>WILL BE ABSENT FROM MAY</t>
  </si>
  <si>
    <t>Bakhtyar</t>
  </si>
  <si>
    <t>Mariam</t>
  </si>
  <si>
    <t>1645 Cortez st,Milpitas,CA 95035, Milpitas, CA 95035</t>
  </si>
  <si>
    <t>(408)772-3818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</si>
  <si>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</si>
  <si>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</si>
  <si>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</si>
  <si>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</si>
  <si>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</si>
  <si>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</si>
  <si>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</si>
  <si>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</si>
  <si>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</si>
  <si>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</si>
  <si>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619-7924603</t>
  </si>
  <si>
    <t>defe20080131@gmail.com</t>
  </si>
  <si>
    <t>48984 Woodgroove Common</t>
  </si>
  <si>
    <t>Victor</t>
  </si>
  <si>
    <t>Udayan</t>
  </si>
  <si>
    <t>2286 Lynwood Terrace, Milpitas, CA 95035</t>
  </si>
  <si>
    <t>(609)651-5182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</si>
  <si>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</si>
  <si>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</si>
  <si>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</si>
  <si>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</si>
  <si>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</si>
  <si>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</si>
  <si>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</si>
  <si>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</si>
  <si>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</si>
  <si>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</si>
  <si>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</si>
  <si>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</si>
  <si>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</si>
  <si>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</si>
  <si>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</si>
  <si>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</si>
  <si>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</si>
  <si>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</si>
  <si>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</si>
  <si>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</si>
  <si>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</si>
  <si>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</si>
  <si>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</si>
  <si>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</si>
  <si>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1207 Summerwind Way, milpitas, CA 95035</t>
  </si>
  <si>
    <t>408-712-8721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</si>
  <si>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</si>
  <si>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</si>
  <si>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</si>
  <si>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</si>
  <si>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</si>
  <si>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</si>
  <si>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</si>
  <si>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</si>
  <si>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</si>
  <si>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</si>
  <si>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</si>
  <si>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415-900-8118</t>
  </si>
  <si>
    <t>Aple_hu@hotmail.com</t>
  </si>
  <si>
    <t>110s</t>
  </si>
  <si>
    <t>Mullapudi</t>
  </si>
  <si>
    <t>Srinithya</t>
  </si>
  <si>
    <t>8/13/2010</t>
  </si>
  <si>
    <t>282 Jorgens Drive, Milpitas</t>
  </si>
  <si>
    <t>571-2946019</t>
  </si>
  <si>
    <t>tunnelin@yahoo.com</t>
  </si>
  <si>
    <t>1/6/2019</t>
  </si>
  <si>
    <t>50S</t>
  </si>
  <si>
    <t>WILL BE ABSENT FOR JULY, BACK IN AUG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</si>
  <si>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</si>
  <si>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</si>
  <si>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</si>
  <si>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</si>
  <si>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</si>
  <si>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</si>
  <si>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</si>
  <si>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</si>
  <si>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</si>
  <si>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</si>
  <si>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</si>
  <si>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</si>
  <si>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</si>
  <si>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408-2397697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</si>
  <si>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</si>
  <si>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</si>
  <si>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</si>
  <si>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</si>
  <si>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</si>
  <si>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</si>
  <si>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Lucas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</si>
  <si>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</si>
  <si>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</si>
  <si>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</si>
  <si>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</si>
  <si>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</si>
  <si>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</si>
  <si>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</si>
  <si>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</si>
  <si>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</si>
  <si>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</si>
  <si>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</si>
  <si>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</si>
  <si>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</si>
  <si>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</si>
  <si>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</si>
  <si>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</si>
  <si>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</si>
  <si>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</si>
  <si>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</si>
  <si>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</si>
  <si>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</si>
  <si>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</si>
  <si>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</si>
  <si>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</si>
  <si>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</si>
  <si>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</si>
  <si>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</si>
  <si>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</si>
  <si>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</si>
  <si>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</si>
  <si>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</si>
  <si>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</si>
  <si>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</si>
  <si>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</si>
  <si>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</si>
  <si>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</si>
  <si>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</si>
  <si>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</si>
  <si>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510-4680756</t>
  </si>
  <si>
    <t>hongthuphan2012@yahoo.com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</si>
  <si>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</si>
  <si>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</si>
  <si>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</si>
  <si>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</si>
  <si>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</si>
  <si>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</si>
  <si>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</si>
  <si>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</si>
  <si>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</si>
  <si>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</si>
  <si>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</si>
  <si>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</si>
  <si>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</si>
  <si>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</si>
  <si>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</si>
  <si>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</si>
  <si>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</si>
  <si>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</si>
  <si>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</si>
  <si>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</si>
  <si>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</si>
  <si>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</si>
  <si>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</si>
  <si>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</si>
  <si>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</si>
  <si>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</si>
  <si>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</si>
  <si>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</si>
  <si>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</si>
  <si>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</si>
  <si>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</si>
  <si>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</si>
  <si>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</si>
  <si>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510-314-4836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</si>
  <si>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</si>
  <si>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</si>
  <si>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</si>
  <si>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</si>
  <si>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</si>
  <si>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</si>
  <si>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</si>
  <si>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</si>
  <si>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</si>
  <si>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</si>
  <si>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</si>
  <si>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</si>
  <si>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</si>
  <si>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</si>
  <si>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</si>
  <si>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</si>
  <si>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</si>
  <si>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</si>
  <si>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</si>
  <si>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</si>
  <si>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</si>
  <si>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</si>
  <si>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Mi</t>
  </si>
  <si>
    <t xml:space="preserve">Brandon </t>
  </si>
  <si>
    <t>stephaniewmi@yahoo.com</t>
  </si>
  <si>
    <t>will quite next month</t>
  </si>
  <si>
    <t>Isabella</t>
  </si>
  <si>
    <t>408-3065699</t>
  </si>
  <si>
    <t>tiffanychant@gmail.com</t>
  </si>
  <si>
    <t>Han</t>
  </si>
  <si>
    <t>Roger</t>
  </si>
  <si>
    <t>1540 Sun Ln, San Jose</t>
  </si>
  <si>
    <t>650-387-3889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</si>
  <si>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</si>
  <si>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</si>
  <si>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</si>
  <si>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</si>
  <si>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</si>
  <si>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</si>
  <si>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</si>
  <si>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</si>
  <si>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</si>
  <si>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</si>
  <si>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</si>
  <si>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</si>
  <si>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</si>
  <si>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</si>
  <si>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</si>
  <si>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</si>
  <si>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</si>
  <si>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</si>
  <si>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</si>
  <si>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</si>
  <si>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</si>
  <si>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</si>
  <si>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</si>
  <si>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</si>
  <si>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</si>
  <si>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</si>
  <si>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</si>
  <si>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</si>
  <si>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</si>
  <si>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</si>
  <si>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</si>
  <si>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</si>
  <si>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</si>
  <si>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</si>
  <si>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</si>
  <si>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</si>
  <si>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</si>
  <si>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</si>
  <si>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</si>
  <si>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</si>
  <si>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</si>
  <si>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</si>
  <si>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</si>
  <si>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</si>
  <si>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</si>
  <si>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</si>
  <si>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</si>
  <si>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</si>
  <si>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</si>
  <si>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</si>
  <si>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</si>
  <si>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</si>
  <si>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</si>
  <si>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</si>
  <si>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</si>
  <si>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</si>
  <si>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</si>
  <si>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</si>
  <si>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</si>
  <si>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</si>
  <si>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</si>
  <si>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</si>
  <si>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</si>
  <si>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</si>
  <si>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</si>
  <si>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</si>
  <si>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</si>
  <si>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</si>
  <si>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</si>
  <si>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</si>
  <si>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</si>
  <si>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</si>
  <si>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</si>
  <si>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</si>
  <si>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</si>
  <si>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</si>
  <si>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</si>
  <si>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408-6665459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</si>
  <si>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</si>
  <si>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</si>
  <si>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</si>
  <si>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</si>
  <si>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</si>
  <si>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</si>
  <si>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1(408)329-0550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</si>
  <si>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</si>
  <si>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</si>
  <si>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</si>
  <si>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</si>
  <si>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</si>
  <si>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</si>
  <si>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</si>
  <si>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</si>
  <si>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</si>
  <si>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</si>
  <si>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</si>
  <si>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</si>
  <si>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</si>
  <si>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</si>
  <si>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</si>
  <si>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</si>
  <si>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</si>
  <si>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</si>
  <si>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</si>
  <si>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</si>
  <si>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</si>
  <si>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</si>
  <si>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</si>
  <si>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</si>
  <si>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</si>
  <si>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</si>
  <si>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</si>
  <si>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</si>
  <si>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</si>
  <si>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</si>
  <si>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</si>
  <si>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</si>
  <si>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</si>
  <si>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</si>
  <si>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</si>
  <si>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</si>
  <si>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</si>
  <si>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</si>
  <si>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</si>
  <si>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</si>
  <si>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</si>
  <si>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</si>
  <si>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</si>
  <si>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</si>
  <si>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</si>
  <si>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510 789 9507</t>
  </si>
  <si>
    <t>Carissad77@yahoo.com</t>
  </si>
  <si>
    <t>3232 parkhaven dr, San jose CA</t>
  </si>
  <si>
    <t>HUANG</t>
  </si>
  <si>
    <t>Gavin</t>
  </si>
  <si>
    <t>1396 El Camino Real Unit 108</t>
  </si>
  <si>
    <t>415-819-5426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</si>
  <si>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</si>
  <si>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</si>
  <si>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</si>
  <si>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</si>
  <si>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</si>
  <si>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</si>
  <si>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</si>
  <si>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</si>
  <si>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</si>
  <si>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</si>
  <si>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</si>
  <si>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</si>
  <si>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</si>
  <si>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</si>
  <si>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</si>
  <si>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</si>
  <si>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</si>
  <si>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</si>
  <si>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</si>
  <si>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</si>
  <si>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</si>
  <si>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</si>
  <si>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</si>
  <si>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</si>
  <si>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</si>
  <si>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</si>
  <si>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</si>
  <si>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</si>
  <si>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</si>
  <si>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510-2602020</t>
  </si>
  <si>
    <t>ginah.kid@gmail.com</t>
  </si>
  <si>
    <t>1475 Big Basin Drive, Milpitas, CA, 95035</t>
  </si>
  <si>
    <t>Anh</t>
  </si>
  <si>
    <t>1791 Sunnyhills Dr</t>
  </si>
  <si>
    <t>669-888-8868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</si>
  <si>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</si>
  <si>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</si>
  <si>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</si>
  <si>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</si>
  <si>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</si>
  <si>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</si>
  <si>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</si>
  <si>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</si>
  <si>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</si>
  <si>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</si>
  <si>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</si>
  <si>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1918 conifer ct, San Jose</t>
  </si>
  <si>
    <t xml:space="preserve">Jason </t>
  </si>
  <si>
    <t>172 Chama Way</t>
  </si>
  <si>
    <t>732-491-6636</t>
  </si>
  <si>
    <t>linshu8518@gmail.com</t>
  </si>
  <si>
    <t xml:space="preserve">Jayden </t>
  </si>
  <si>
    <t>48404 Ursa Dr, Fremont CA</t>
  </si>
  <si>
    <t>408-813-9160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</si>
  <si>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</si>
  <si>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</si>
  <si>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</si>
  <si>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</si>
  <si>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</si>
  <si>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</si>
  <si>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</si>
  <si>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</si>
  <si>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</si>
  <si>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</si>
  <si>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</si>
  <si>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</si>
  <si>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</si>
  <si>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</si>
  <si>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</si>
  <si>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</si>
  <si>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</si>
  <si>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</si>
  <si>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</si>
  <si>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EH1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</si>
  <si>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</si>
  <si>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</si>
  <si>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</si>
  <si>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</si>
  <si>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</si>
  <si>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</si>
  <si>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</si>
  <si>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</si>
  <si>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949-231-2657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</si>
  <si>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</si>
  <si>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</si>
  <si>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</si>
  <si>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</si>
  <si>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</si>
  <si>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</si>
  <si>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</si>
  <si>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</si>
  <si>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</si>
  <si>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</si>
  <si>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</si>
  <si>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</si>
  <si>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</si>
  <si>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</si>
  <si>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408-823-4211</t>
  </si>
  <si>
    <t>Yanan93@gmail.com</t>
  </si>
  <si>
    <t>47119 Benns Ter, Fremont</t>
  </si>
  <si>
    <t>menglanlan94@gmail.com</t>
  </si>
  <si>
    <t>LingQun(Joy)</t>
  </si>
  <si>
    <t>44930 Lynx Dr., Fremont, CA, 94539</t>
  </si>
  <si>
    <t>jie9ding18@gmail.com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</si>
  <si>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</si>
  <si>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</si>
  <si>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</si>
  <si>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</si>
  <si>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</si>
  <si>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</si>
  <si>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</si>
  <si>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</si>
  <si>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</si>
  <si>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</si>
  <si>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</si>
  <si>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</si>
  <si>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</si>
  <si>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</si>
  <si>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</si>
  <si>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</si>
  <si>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</si>
  <si>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</si>
  <si>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</si>
  <si>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</si>
  <si>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</si>
  <si>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</si>
  <si>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</si>
  <si>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</si>
  <si>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</si>
  <si>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</si>
  <si>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</si>
  <si>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</si>
  <si>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</si>
  <si>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</si>
  <si>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</si>
  <si>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</si>
  <si>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</si>
  <si>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</si>
  <si>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</si>
  <si>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510-566-6932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</si>
  <si>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</si>
  <si>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</si>
  <si>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</si>
  <si>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</si>
  <si>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</si>
  <si>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</si>
  <si>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</si>
  <si>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</si>
  <si>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</si>
  <si>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</si>
  <si>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</si>
  <si>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</si>
  <si>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</si>
  <si>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</si>
  <si>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</si>
  <si>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</si>
  <si>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</si>
  <si>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</si>
  <si>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</si>
  <si>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</si>
  <si>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</si>
  <si>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</si>
  <si>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</si>
  <si>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</si>
  <si>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</si>
  <si>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</si>
  <si>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</si>
  <si>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</si>
  <si>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</si>
  <si>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</si>
  <si>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</si>
  <si>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</si>
  <si>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</si>
  <si>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</si>
  <si>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</si>
  <si>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</si>
  <si>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</si>
  <si>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</si>
  <si>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</si>
  <si>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</si>
  <si>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</si>
  <si>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</si>
  <si>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</si>
  <si>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</si>
  <si>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</si>
  <si>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</si>
  <si>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</si>
  <si>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</si>
  <si>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</si>
  <si>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</si>
  <si>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</si>
  <si>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</si>
  <si>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</si>
  <si>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</si>
  <si>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</si>
  <si>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</si>
  <si>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</si>
  <si>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</si>
  <si>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</si>
  <si>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</si>
  <si>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</si>
  <si>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</si>
  <si>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</si>
  <si>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</si>
  <si>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</si>
  <si>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</si>
  <si>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</si>
  <si>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</si>
  <si>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</si>
  <si>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</si>
  <si>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</si>
  <si>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</si>
  <si>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</si>
  <si>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</si>
  <si>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</si>
  <si>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</si>
  <si>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</si>
  <si>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</si>
  <si>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</si>
  <si>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</si>
  <si>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</si>
  <si>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</si>
  <si>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</si>
  <si>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</si>
  <si>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</si>
  <si>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</si>
  <si>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</si>
  <si>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Singh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</si>
  <si>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</si>
  <si>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</si>
  <si>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</si>
  <si>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</si>
  <si>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</si>
  <si>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</si>
  <si>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</si>
  <si>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</si>
  <si>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</si>
  <si>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</si>
  <si>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</si>
  <si>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</si>
  <si>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</si>
  <si>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</si>
  <si>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</si>
  <si>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</si>
  <si>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</si>
  <si>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</si>
  <si>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</si>
  <si>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</si>
  <si>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</si>
  <si>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</si>
  <si>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</si>
  <si>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</si>
  <si>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</si>
  <si>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</si>
  <si>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Felicity</t>
  </si>
  <si>
    <t>336 goldenrain ave, Fremont CA</t>
  </si>
  <si>
    <t>319-400-7790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</si>
  <si>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</si>
  <si>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</si>
  <si>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</si>
  <si>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</si>
  <si>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</si>
  <si>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</si>
  <si>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</si>
  <si>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</si>
  <si>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</si>
  <si>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</si>
  <si>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</si>
  <si>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</si>
  <si>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</si>
  <si>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</si>
  <si>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</si>
  <si>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</si>
  <si>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</si>
  <si>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Chang</t>
  </si>
  <si>
    <t>Richard</t>
  </si>
  <si>
    <t>39871 Duran Ct</t>
  </si>
  <si>
    <t>fangli.sf@gmail.com</t>
  </si>
  <si>
    <t>OT TO FREMONT</t>
  </si>
  <si>
    <t>9P</t>
  </si>
  <si>
    <t>Dhaliwal</t>
  </si>
  <si>
    <t>Harshawn</t>
  </si>
  <si>
    <t xml:space="preserve">2324 Edsel Drive, Milpitas </t>
  </si>
  <si>
    <t>408-772-4732</t>
  </si>
  <si>
    <t>Navneetkd@yahoo.com</t>
  </si>
  <si>
    <t>Nimrat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</si>
  <si>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</si>
  <si>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</si>
  <si>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</si>
  <si>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</si>
  <si>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</si>
  <si>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</si>
  <si>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</si>
  <si>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</si>
  <si>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</si>
  <si>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</si>
  <si>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</si>
  <si>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</si>
  <si>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</si>
  <si>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</si>
  <si>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</si>
  <si>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</si>
  <si>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</si>
  <si>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</si>
  <si>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</si>
  <si>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</si>
  <si>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</si>
  <si>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</si>
  <si>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</si>
  <si>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</si>
  <si>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</si>
  <si>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</si>
  <si>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Katie</t>
  </si>
  <si>
    <t>45220 Parkmeadow w</t>
  </si>
  <si>
    <t>510-366-6707</t>
  </si>
  <si>
    <t>Yuansun@gmail.com</t>
  </si>
  <si>
    <t>47069 Benns Ter</t>
  </si>
  <si>
    <t>janezh3080@gmail.com</t>
  </si>
  <si>
    <t>Millina</t>
  </si>
  <si>
    <t>EH3</t>
  </si>
  <si>
    <t>Travel, back in July</t>
  </si>
  <si>
    <t>A&gt;2 MTH</t>
  </si>
  <si>
    <t>Pathak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</si>
  <si>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</si>
  <si>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</si>
  <si>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</si>
  <si>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</si>
  <si>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</si>
  <si>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</si>
  <si>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</si>
  <si>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</si>
  <si>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</si>
  <si>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</si>
  <si>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</si>
  <si>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</si>
  <si>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</si>
  <si>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</si>
  <si>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</si>
  <si>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</si>
  <si>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</si>
  <si>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</si>
  <si>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</si>
  <si>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</si>
  <si>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</si>
  <si>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</si>
  <si>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</si>
  <si>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</si>
  <si>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</si>
  <si>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</si>
  <si>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</si>
  <si>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</si>
  <si>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(415)-539-6322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</si>
  <si>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</si>
  <si>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</si>
  <si>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</si>
  <si>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</si>
  <si>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</si>
  <si>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</si>
  <si>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47879 maya st</t>
  </si>
  <si>
    <t>gaolili20100@gmail.com</t>
  </si>
  <si>
    <t>74P</t>
  </si>
  <si>
    <t xml:space="preserve">Hannah </t>
  </si>
  <si>
    <t>47879 maya st, Fremont, CA 94539</t>
  </si>
  <si>
    <t>back in Aug.</t>
  </si>
  <si>
    <t>2768 Somerset</t>
  </si>
  <si>
    <t>July off. back in Aug</t>
  </si>
  <si>
    <t>back in fall</t>
  </si>
  <si>
    <t>will be absent in july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</si>
  <si>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</si>
  <si>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</si>
  <si>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</si>
  <si>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</si>
  <si>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</si>
  <si>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</si>
  <si>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</si>
  <si>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408-483-5419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</si>
  <si>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</si>
  <si>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</si>
  <si>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</si>
  <si>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</si>
  <si>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</si>
  <si>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</si>
  <si>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Sahasra</t>
  </si>
  <si>
    <t>india</t>
  </si>
  <si>
    <t>3185 Knights Bridge Road, San Jose, CA, 95132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</si>
  <si>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</si>
  <si>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</si>
  <si>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</si>
  <si>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</si>
  <si>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</si>
  <si>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</si>
  <si>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</si>
  <si>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</si>
  <si>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</si>
  <si>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</si>
  <si>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</si>
  <si>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</si>
  <si>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</si>
  <si>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</si>
  <si>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</si>
  <si>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</si>
  <si>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</si>
  <si>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</si>
  <si>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</si>
  <si>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</si>
  <si>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</si>
  <si>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</si>
  <si>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</si>
  <si>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4008-387-2668</t>
  </si>
  <si>
    <t>Bettypnguyen@yahoo.com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</si>
  <si>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</si>
  <si>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</si>
  <si>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</si>
  <si>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</si>
  <si>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</si>
  <si>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</si>
  <si>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</si>
  <si>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</si>
  <si>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</si>
  <si>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</si>
  <si>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</si>
  <si>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</si>
  <si>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</si>
  <si>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</si>
  <si>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</si>
  <si>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</si>
  <si>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</si>
  <si>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</si>
  <si>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</si>
  <si>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</si>
  <si>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</si>
  <si>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shaoqin156@gmail.com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</si>
  <si>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</si>
  <si>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</si>
  <si>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</si>
  <si>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</si>
  <si>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</si>
  <si>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</si>
  <si>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</si>
  <si>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</si>
  <si>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Maximilian</t>
  </si>
  <si>
    <t>97P</t>
  </si>
  <si>
    <t>will transfer to Fremont in Sep.</t>
  </si>
  <si>
    <t>42P</t>
  </si>
  <si>
    <t>Xingchuan</t>
  </si>
  <si>
    <t>468 Pagosa Way</t>
  </si>
  <si>
    <t>Balamurugan</t>
  </si>
  <si>
    <t xml:space="preserve">will be absent from Nov. </t>
  </si>
  <si>
    <t>absent for few month</t>
  </si>
  <si>
    <t xml:space="preserve">financial pro. </t>
  </si>
  <si>
    <t>moved to China</t>
  </si>
  <si>
    <t>Ashford</t>
  </si>
  <si>
    <t xml:space="preserve">Eliexer Joash (EJ) </t>
  </si>
  <si>
    <t>Apt 144, 231 Dixon Landing Rd., Milpitas, CA, 95035</t>
  </si>
  <si>
    <t>408-714-8303</t>
  </si>
  <si>
    <t>myjob.oct2021@gmail.com</t>
  </si>
  <si>
    <t>Berame</t>
  </si>
  <si>
    <t xml:space="preserve">Elisha </t>
  </si>
  <si>
    <t>Chunduru</t>
  </si>
  <si>
    <t xml:space="preserve">Ishika </t>
  </si>
  <si>
    <t>885 Berryessa St, Milpitas, CA, 95035</t>
  </si>
  <si>
    <t>ratnadeepti.chunduru@gmail.com</t>
  </si>
  <si>
    <t>Gadkari</t>
  </si>
  <si>
    <t xml:space="preserve">Myra </t>
  </si>
  <si>
    <t>616 Hamilton Avenue, Milpitas, CA, 95035</t>
  </si>
  <si>
    <t>408-707-6220</t>
  </si>
  <si>
    <t>sharmila.dalal@gmail.com</t>
  </si>
  <si>
    <t>Kamath</t>
  </si>
  <si>
    <t xml:space="preserve">Suraj </t>
  </si>
  <si>
    <t>1810 Dennis ave, Milpitas, CA, 95035</t>
  </si>
  <si>
    <t>sonis9580@gmail.com</t>
  </si>
  <si>
    <t xml:space="preserve">Donald </t>
  </si>
  <si>
    <t>373 River Oaks Cir Apt 1410, san jose, CA, 95134</t>
  </si>
  <si>
    <t>yovnne87@gmail.com</t>
  </si>
  <si>
    <t xml:space="preserve">Rakson </t>
  </si>
  <si>
    <t>47125 Benns Ter,, Fremont, CA, 94539</t>
  </si>
  <si>
    <t>1400 Olympic Dr., Milpitas, CA, 95035</t>
  </si>
  <si>
    <t>libing.wang@gmail.com</t>
  </si>
  <si>
    <t xml:space="preserve">Selena </t>
  </si>
  <si>
    <t>1531 quail Dr, Mipitas, CA, 95035</t>
  </si>
  <si>
    <t>shuijing7870@gmail.com</t>
  </si>
  <si>
    <t>26p</t>
  </si>
  <si>
    <t>Shi</t>
  </si>
  <si>
    <t>39p</t>
  </si>
  <si>
    <t>LATE REPORTING (9) 11/20/23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</si>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</sst>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29" x14ac:knownFonts="1">
    <font>
      <sz val="11"/>
      <color theme="1"/>
      <name val="Calibri"/>
      <scheme val="minor"/>
    </font>
    <font>
      <b/>
      <sz val="20"/>
      <color theme="1"/>
      <name val="Century Gothic"/>
    </font>
    <font>
      <b/>
      <sz val="12"/>
      <color theme="1"/>
      <name val="Century Gothic"/>
    </font>
    <font>
      <sz val="12"/>
      <color theme="1"/>
      <name val="Century Gothic"/>
    </font>
    <font>
      <sz val="11"/>
      <color theme="1"/>
      <name val="Century Gothic"/>
    </font>
    <font>
      <i/>
      <sz val="12"/>
      <color theme="1"/>
      <name val="Century Gothic"/>
    </font>
    <font>
      <b/>
      <i/>
      <sz val="12"/>
      <color rgb="FFFF0000"/>
      <name val="Century Gothic"/>
    </font>
    <font>
      <b/>
      <sz val="12"/>
      <color rgb="FFFF0000"/>
      <name val="Century Gothic"/>
    </font>
    <font>
      <sz val="12"/>
      <color rgb="FFFF0000"/>
      <name val="Century Gothic"/>
    </font>
    <font>
      <b/>
      <sz val="12"/>
      <color rgb="FF00B050"/>
      <name val="Century Gothic"/>
    </font>
    <font>
      <b/>
      <sz val="11"/>
      <color theme="1"/>
      <name val="Century Gothic"/>
    </font>
    <font>
      <sz val="12"/>
      <color rgb="FF9C5700"/>
      <name val="Century Gothic"/>
    </font>
    <font>
      <sz val="12"/>
      <color rgb="FF006100"/>
      <name val="Century Gothic"/>
    </font>
    <font>
      <u/>
      <sz val="12"/>
      <color theme="1"/>
      <name val="Century Gothic"/>
    </font>
    <font>
      <u/>
      <sz val="12"/>
      <color theme="1"/>
      <name val="Century Gothic"/>
    </font>
    <font>
      <u/>
      <sz val="12"/>
      <color theme="1"/>
      <name val="Century Gothic"/>
    </font>
    <font>
      <u/>
      <sz val="12"/>
      <color theme="1"/>
      <name val="Century Gothic"/>
    </font>
    <font>
      <u/>
      <sz val="12"/>
      <color rgb="FF9C5700"/>
      <name val="Century Gothic"/>
    </font>
    <font>
      <u/>
      <sz val="12"/>
      <color rgb="FF9C5700"/>
      <name val="Century Gothic"/>
    </font>
    <font>
      <sz val="12"/>
      <color rgb="FF9C5700"/>
      <name val="Calibri"/>
    </font>
    <font>
      <sz val="12"/>
      <color rgb="FF9C0006"/>
      <name val="Century Gothic"/>
    </font>
    <font>
      <sz val="12"/>
      <color rgb="FF9C0006"/>
      <name val="Calibri"/>
    </font>
    <font>
      <u/>
      <sz val="12"/>
      <color rgb="FF9C0006"/>
      <name val="Calibri"/>
    </font>
    <font>
      <u/>
      <sz val="12"/>
      <color rgb="FF9C5700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Century Gothic"/>
      <family val="2"/>
    </font>
    <font>
      <b/>
      <sz val="11"/>
      <color rgb="FF0061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4" fillId="17" borderId="0" applyNumberFormat="0" applyBorder="0" applyAlignment="0" applyProtection="0"/>
    <xf numFmtId="0" fontId="25" fillId="18" borderId="0" applyNumberFormat="0" applyBorder="0" applyAlignment="0" applyProtection="0"/>
    <xf numFmtId="0" fontId="26" fillId="19" borderId="0" applyNumberFormat="0" applyBorder="0" applyAlignment="0" applyProtection="0"/>
  </cellStyleXfs>
  <cellXfs count="29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/>
    <xf numFmtId="0" fontId="3" fillId="9" borderId="5" xfId="0" applyFont="1" applyFill="1" applyBorder="1" applyAlignment="1">
      <alignment horizontal="center" wrapText="1"/>
    </xf>
    <xf numFmtId="14" fontId="3" fillId="9" borderId="5" xfId="0" applyNumberFormat="1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left" wrapText="1"/>
    </xf>
    <xf numFmtId="0" fontId="3" fillId="9" borderId="5" xfId="0" applyFont="1" applyFill="1" applyBorder="1" applyAlignment="1">
      <alignment horizontal="center" vertical="center"/>
    </xf>
    <xf numFmtId="0" fontId="3" fillId="9" borderId="18" xfId="0" applyFont="1" applyFill="1" applyBorder="1"/>
    <xf numFmtId="0" fontId="11" fillId="0" borderId="5" xfId="0" applyFont="1" applyBorder="1" applyAlignment="1">
      <alignment horizontal="center" wrapText="1"/>
    </xf>
    <xf numFmtId="14" fontId="11" fillId="0" borderId="5" xfId="0" applyNumberFormat="1" applyFont="1" applyBorder="1" applyAlignment="1">
      <alignment horizontal="center" wrapText="1"/>
    </xf>
    <xf numFmtId="0" fontId="11" fillId="0" borderId="5" xfId="0" applyFont="1" applyBorder="1" applyAlignment="1">
      <alignment horizontal="left" wrapText="1"/>
    </xf>
    <xf numFmtId="14" fontId="11" fillId="0" borderId="5" xfId="0" applyNumberFormat="1" applyFont="1" applyBorder="1" applyAlignment="1">
      <alignment horizontal="left" wrapText="1"/>
    </xf>
    <xf numFmtId="165" fontId="11" fillId="0" borderId="5" xfId="0" applyNumberFormat="1" applyFont="1" applyBorder="1" applyAlignment="1">
      <alignment horizontal="center" vertical="center"/>
    </xf>
    <xf numFmtId="0" fontId="11" fillId="0" borderId="18" xfId="0" applyFont="1" applyBorder="1"/>
    <xf numFmtId="0" fontId="12" fillId="9" borderId="5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 vertical="center"/>
    </xf>
    <xf numFmtId="14" fontId="12" fillId="9" borderId="5" xfId="0" applyNumberFormat="1" applyFont="1" applyFill="1" applyBorder="1" applyAlignment="1">
      <alignment horizontal="center" wrapText="1"/>
    </xf>
    <xf numFmtId="0" fontId="12" fillId="9" borderId="5" xfId="0" applyFont="1" applyFill="1" applyBorder="1" applyAlignment="1">
      <alignment horizontal="left" vertical="center"/>
    </xf>
    <xf numFmtId="14" fontId="12" fillId="9" borderId="5" xfId="0" applyNumberFormat="1" applyFont="1" applyFill="1" applyBorder="1" applyAlignment="1">
      <alignment horizontal="left" wrapText="1"/>
    </xf>
    <xf numFmtId="14" fontId="12" fillId="9" borderId="5" xfId="0" applyNumberFormat="1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left" wrapText="1"/>
    </xf>
    <xf numFmtId="0" fontId="11" fillId="0" borderId="5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14" fontId="11" fillId="0" borderId="5" xfId="0" applyNumberFormat="1" applyFont="1" applyBorder="1" applyAlignment="1">
      <alignment horizontal="left" vertical="center"/>
    </xf>
    <xf numFmtId="0" fontId="11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wrapText="1"/>
    </xf>
    <xf numFmtId="0" fontId="12" fillId="0" borderId="5" xfId="0" applyFont="1" applyBorder="1" applyAlignment="1">
      <alignment horizontal="left" vertical="center"/>
    </xf>
    <xf numFmtId="14" fontId="12" fillId="0" borderId="5" xfId="0" applyNumberFormat="1" applyFont="1" applyBorder="1" applyAlignment="1">
      <alignment horizontal="left" wrapText="1"/>
    </xf>
    <xf numFmtId="14" fontId="12" fillId="0" borderId="5" xfId="0" applyNumberFormat="1" applyFont="1" applyBorder="1" applyAlignment="1">
      <alignment horizontal="center" vertical="center"/>
    </xf>
    <xf numFmtId="0" fontId="12" fillId="9" borderId="5" xfId="0" applyFont="1" applyFill="1" applyBorder="1" applyAlignment="1">
      <alignment horizontal="center" wrapText="1"/>
    </xf>
    <xf numFmtId="0" fontId="12" fillId="9" borderId="5" xfId="0" applyFont="1" applyFill="1" applyBorder="1" applyAlignment="1">
      <alignment horizontal="left" wrapText="1"/>
    </xf>
    <xf numFmtId="0" fontId="12" fillId="9" borderId="18" xfId="0" applyFont="1" applyFill="1" applyBorder="1"/>
    <xf numFmtId="14" fontId="12" fillId="0" borderId="5" xfId="0" applyNumberFormat="1" applyFont="1" applyBorder="1" applyAlignment="1">
      <alignment horizontal="left" vertical="center"/>
    </xf>
    <xf numFmtId="0" fontId="12" fillId="0" borderId="18" xfId="0" applyFont="1" applyBorder="1"/>
    <xf numFmtId="0" fontId="3" fillId="9" borderId="5" xfId="0" applyFont="1" applyFill="1" applyBorder="1" applyAlignment="1">
      <alignment horizontal="center"/>
    </xf>
    <xf numFmtId="0" fontId="11" fillId="9" borderId="18" xfId="0" applyFont="1" applyFill="1" applyBorder="1"/>
    <xf numFmtId="0" fontId="3" fillId="10" borderId="18" xfId="0" applyFont="1" applyFill="1" applyBorder="1" applyAlignment="1">
      <alignment horizontal="center" wrapText="1"/>
    </xf>
    <xf numFmtId="0" fontId="12" fillId="11" borderId="18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3" fillId="8" borderId="18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 vertical="center"/>
    </xf>
    <xf numFmtId="14" fontId="3" fillId="8" borderId="18" xfId="0" applyNumberFormat="1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14" fontId="3" fillId="8" borderId="18" xfId="0" applyNumberFormat="1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 vertical="center"/>
    </xf>
    <xf numFmtId="14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14" fontId="3" fillId="8" borderId="5" xfId="0" applyNumberFormat="1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 vertical="center"/>
    </xf>
    <xf numFmtId="14" fontId="3" fillId="12" borderId="5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left"/>
    </xf>
    <xf numFmtId="0" fontId="3" fillId="12" borderId="5" xfId="0" applyFont="1" applyFill="1" applyBorder="1" applyAlignment="1">
      <alignment horizontal="left" vertical="center"/>
    </xf>
    <xf numFmtId="14" fontId="3" fillId="12" borderId="5" xfId="0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/>
    </xf>
    <xf numFmtId="14" fontId="3" fillId="2" borderId="5" xfId="0" applyNumberFormat="1" applyFont="1" applyFill="1" applyBorder="1" applyAlignment="1">
      <alignment horizontal="left" vertical="center"/>
    </xf>
    <xf numFmtId="0" fontId="3" fillId="2" borderId="5" xfId="0" applyFont="1" applyFill="1" applyBorder="1"/>
    <xf numFmtId="0" fontId="3" fillId="12" borderId="18" xfId="0" applyFont="1" applyFill="1" applyBorder="1"/>
    <xf numFmtId="0" fontId="3" fillId="7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14" fontId="3" fillId="7" borderId="5" xfId="0" applyNumberFormat="1" applyFont="1" applyFill="1" applyBorder="1" applyAlignment="1">
      <alignment horizontal="left" vertical="center"/>
    </xf>
    <xf numFmtId="0" fontId="14" fillId="7" borderId="5" xfId="0" applyFont="1" applyFill="1" applyBorder="1" applyAlignment="1">
      <alignment horizontal="left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3" fillId="13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 vertical="center"/>
    </xf>
    <xf numFmtId="14" fontId="3" fillId="13" borderId="5" xfId="0" applyNumberFormat="1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left" vertical="center"/>
    </xf>
    <xf numFmtId="14" fontId="3" fillId="13" borderId="5" xfId="0" applyNumberFormat="1" applyFont="1" applyFill="1" applyBorder="1" applyAlignment="1">
      <alignment horizontal="left" vertical="center"/>
    </xf>
    <xf numFmtId="0" fontId="3" fillId="13" borderId="5" xfId="0" applyFont="1" applyFill="1" applyBorder="1" applyAlignment="1">
      <alignment vertical="center"/>
    </xf>
    <xf numFmtId="14" fontId="3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left" vertical="center"/>
    </xf>
    <xf numFmtId="14" fontId="3" fillId="9" borderId="5" xfId="0" applyNumberFormat="1" applyFont="1" applyFill="1" applyBorder="1" applyAlignment="1">
      <alignment horizontal="left" vertical="center"/>
    </xf>
    <xf numFmtId="0" fontId="3" fillId="14" borderId="5" xfId="0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 vertical="center"/>
    </xf>
    <xf numFmtId="14" fontId="3" fillId="14" borderId="5" xfId="0" applyNumberFormat="1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left" vertical="center"/>
    </xf>
    <xf numFmtId="14" fontId="3" fillId="14" borderId="5" xfId="0" applyNumberFormat="1" applyFont="1" applyFill="1" applyBorder="1" applyAlignment="1">
      <alignment horizontal="left" vertical="center"/>
    </xf>
    <xf numFmtId="0" fontId="3" fillId="14" borderId="18" xfId="0" applyFont="1" applyFill="1" applyBorder="1"/>
    <xf numFmtId="14" fontId="3" fillId="13" borderId="19" xfId="0" applyNumberFormat="1" applyFont="1" applyFill="1" applyBorder="1" applyAlignment="1">
      <alignment horizontal="left" vertical="center"/>
    </xf>
    <xf numFmtId="0" fontId="3" fillId="13" borderId="20" xfId="0" applyFont="1" applyFill="1" applyBorder="1" applyAlignment="1">
      <alignment horizontal="left" vertical="center"/>
    </xf>
    <xf numFmtId="0" fontId="3" fillId="15" borderId="5" xfId="0" applyFont="1" applyFill="1" applyBorder="1" applyAlignment="1">
      <alignment horizontal="center" vertical="center"/>
    </xf>
    <xf numFmtId="14" fontId="3" fillId="15" borderId="5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left" vertical="center"/>
    </xf>
    <xf numFmtId="14" fontId="3" fillId="15" borderId="5" xfId="0" applyNumberFormat="1" applyFont="1" applyFill="1" applyBorder="1" applyAlignment="1">
      <alignment horizontal="left" vertical="center"/>
    </xf>
    <xf numFmtId="0" fontId="11" fillId="16" borderId="5" xfId="0" applyFont="1" applyFill="1" applyBorder="1" applyAlignment="1">
      <alignment horizontal="center" vertical="center"/>
    </xf>
    <xf numFmtId="14" fontId="11" fillId="16" borderId="5" xfId="0" applyNumberFormat="1" applyFont="1" applyFill="1" applyBorder="1" applyAlignment="1">
      <alignment horizontal="center" vertical="center"/>
    </xf>
    <xf numFmtId="0" fontId="11" fillId="16" borderId="5" xfId="0" applyFont="1" applyFill="1" applyBorder="1" applyAlignment="1">
      <alignment horizontal="left" vertical="center"/>
    </xf>
    <xf numFmtId="14" fontId="11" fillId="16" borderId="5" xfId="0" applyNumberFormat="1" applyFont="1" applyFill="1" applyBorder="1" applyAlignment="1">
      <alignment horizontal="left" vertical="center"/>
    </xf>
    <xf numFmtId="0" fontId="11" fillId="16" borderId="18" xfId="0" applyFont="1" applyFill="1" applyBorder="1"/>
    <xf numFmtId="14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6" fillId="3" borderId="5" xfId="0" applyFont="1" applyFill="1" applyBorder="1" applyAlignment="1">
      <alignment horizontal="left" vertical="center"/>
    </xf>
    <xf numFmtId="0" fontId="11" fillId="16" borderId="18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center" vertical="center"/>
    </xf>
    <xf numFmtId="14" fontId="3" fillId="3" borderId="21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left" vertical="center"/>
    </xf>
    <xf numFmtId="14" fontId="3" fillId="3" borderId="21" xfId="0" applyNumberFormat="1" applyFont="1" applyFill="1" applyBorder="1" applyAlignment="1">
      <alignment horizontal="left" vertical="center"/>
    </xf>
    <xf numFmtId="0" fontId="17" fillId="16" borderId="5" xfId="0" applyFont="1" applyFill="1" applyBorder="1" applyAlignment="1">
      <alignment horizontal="left" vertical="center"/>
    </xf>
    <xf numFmtId="0" fontId="18" fillId="16" borderId="5" xfId="0" applyFont="1" applyFill="1" applyBorder="1" applyAlignment="1">
      <alignment horizontal="center" vertical="center"/>
    </xf>
    <xf numFmtId="0" fontId="11" fillId="16" borderId="22" xfId="0" applyFont="1" applyFill="1" applyBorder="1" applyAlignment="1">
      <alignment horizontal="center" vertical="center"/>
    </xf>
    <xf numFmtId="14" fontId="11" fillId="16" borderId="22" xfId="0" applyNumberFormat="1" applyFont="1" applyFill="1" applyBorder="1" applyAlignment="1">
      <alignment horizontal="center" vertical="center"/>
    </xf>
    <xf numFmtId="0" fontId="11" fillId="16" borderId="22" xfId="0" applyFont="1" applyFill="1" applyBorder="1" applyAlignment="1">
      <alignment horizontal="left" vertical="center"/>
    </xf>
    <xf numFmtId="14" fontId="11" fillId="16" borderId="22" xfId="0" applyNumberFormat="1" applyFont="1" applyFill="1" applyBorder="1" applyAlignment="1">
      <alignment horizontal="left" vertical="center"/>
    </xf>
    <xf numFmtId="0" fontId="19" fillId="16" borderId="10" xfId="0" applyFont="1" applyFill="1" applyBorder="1" applyAlignment="1">
      <alignment horizontal="center" wrapText="1"/>
    </xf>
    <xf numFmtId="0" fontId="19" fillId="16" borderId="5" xfId="0" applyFont="1" applyFill="1" applyBorder="1" applyAlignment="1">
      <alignment horizontal="center" wrapText="1"/>
    </xf>
    <xf numFmtId="14" fontId="19" fillId="16" borderId="5" xfId="0" applyNumberFormat="1" applyFont="1" applyFill="1" applyBorder="1" applyAlignment="1">
      <alignment horizontal="center" wrapText="1"/>
    </xf>
    <xf numFmtId="0" fontId="19" fillId="16" borderId="5" xfId="0" applyFont="1" applyFill="1" applyBorder="1" applyAlignment="1">
      <alignment horizontal="left" wrapText="1"/>
    </xf>
    <xf numFmtId="14" fontId="19" fillId="16" borderId="5" xfId="0" applyNumberFormat="1" applyFont="1" applyFill="1" applyBorder="1" applyAlignment="1">
      <alignment horizontal="left" wrapText="1"/>
    </xf>
    <xf numFmtId="0" fontId="19" fillId="16" borderId="5" xfId="0" applyFont="1" applyFill="1" applyBorder="1" applyAlignment="1">
      <alignment wrapText="1"/>
    </xf>
    <xf numFmtId="14" fontId="19" fillId="16" borderId="5" xfId="0" applyNumberFormat="1" applyFont="1" applyFill="1" applyBorder="1" applyAlignment="1">
      <alignment horizontal="center" vertical="center"/>
    </xf>
    <xf numFmtId="0" fontId="19" fillId="16" borderId="18" xfId="0" applyFont="1" applyFill="1" applyBorder="1"/>
    <xf numFmtId="0" fontId="19" fillId="16" borderId="23" xfId="0" applyFont="1" applyFill="1" applyBorder="1" applyAlignment="1">
      <alignment horizontal="center" wrapText="1"/>
    </xf>
    <xf numFmtId="0" fontId="3" fillId="13" borderId="23" xfId="0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center" wrapText="1"/>
    </xf>
    <xf numFmtId="14" fontId="3" fillId="13" borderId="5" xfId="0" applyNumberFormat="1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left" wrapText="1"/>
    </xf>
    <xf numFmtId="14" fontId="3" fillId="13" borderId="5" xfId="0" applyNumberFormat="1" applyFont="1" applyFill="1" applyBorder="1" applyAlignment="1">
      <alignment horizontal="left" wrapText="1"/>
    </xf>
    <xf numFmtId="0" fontId="3" fillId="13" borderId="5" xfId="0" applyFont="1" applyFill="1" applyBorder="1" applyAlignment="1">
      <alignment wrapText="1"/>
    </xf>
    <xf numFmtId="0" fontId="3" fillId="13" borderId="10" xfId="0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right" wrapText="1"/>
    </xf>
    <xf numFmtId="0" fontId="19" fillId="16" borderId="21" xfId="0" applyFont="1" applyFill="1" applyBorder="1" applyAlignment="1">
      <alignment horizontal="center" wrapText="1"/>
    </xf>
    <xf numFmtId="14" fontId="19" fillId="16" borderId="21" xfId="0" applyNumberFormat="1" applyFont="1" applyFill="1" applyBorder="1" applyAlignment="1">
      <alignment horizontal="center" wrapText="1"/>
    </xf>
    <xf numFmtId="0" fontId="19" fillId="16" borderId="21" xfId="0" applyFont="1" applyFill="1" applyBorder="1" applyAlignment="1">
      <alignment horizontal="left" wrapText="1"/>
    </xf>
    <xf numFmtId="14" fontId="19" fillId="16" borderId="21" xfId="0" applyNumberFormat="1" applyFont="1" applyFill="1" applyBorder="1" applyAlignment="1">
      <alignment horizontal="left" wrapText="1"/>
    </xf>
    <xf numFmtId="165" fontId="19" fillId="16" borderId="21" xfId="0" applyNumberFormat="1" applyFont="1" applyFill="1" applyBorder="1" applyAlignment="1">
      <alignment horizontal="center" vertical="center"/>
    </xf>
    <xf numFmtId="165" fontId="19" fillId="16" borderId="5" xfId="0" applyNumberFormat="1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wrapText="1"/>
    </xf>
    <xf numFmtId="14" fontId="20" fillId="9" borderId="5" xfId="0" applyNumberFormat="1" applyFont="1" applyFill="1" applyBorder="1" applyAlignment="1">
      <alignment horizontal="center" wrapText="1"/>
    </xf>
    <xf numFmtId="0" fontId="20" fillId="9" borderId="5" xfId="0" applyFont="1" applyFill="1" applyBorder="1" applyAlignment="1">
      <alignment horizontal="left" wrapText="1"/>
    </xf>
    <xf numFmtId="14" fontId="20" fillId="9" borderId="5" xfId="0" applyNumberFormat="1" applyFont="1" applyFill="1" applyBorder="1" applyAlignment="1">
      <alignment horizontal="left" wrapText="1"/>
    </xf>
    <xf numFmtId="165" fontId="20" fillId="9" borderId="5" xfId="0" applyNumberFormat="1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 wrapText="1"/>
    </xf>
    <xf numFmtId="14" fontId="20" fillId="9" borderId="5" xfId="0" applyNumberFormat="1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left" vertical="center" wrapText="1"/>
    </xf>
    <xf numFmtId="14" fontId="20" fillId="9" borderId="5" xfId="0" applyNumberFormat="1" applyFont="1" applyFill="1" applyBorder="1" applyAlignment="1">
      <alignment horizontal="left" vertical="center" wrapText="1"/>
    </xf>
    <xf numFmtId="0" fontId="21" fillId="9" borderId="5" xfId="0" applyFont="1" applyFill="1" applyBorder="1" applyAlignment="1">
      <alignment horizontal="center" wrapText="1"/>
    </xf>
    <xf numFmtId="14" fontId="21" fillId="9" borderId="5" xfId="0" applyNumberFormat="1" applyFont="1" applyFill="1" applyBorder="1" applyAlignment="1">
      <alignment horizontal="center" wrapText="1"/>
    </xf>
    <xf numFmtId="0" fontId="21" fillId="9" borderId="5" xfId="0" applyFont="1" applyFill="1" applyBorder="1" applyAlignment="1">
      <alignment horizontal="left" wrapText="1"/>
    </xf>
    <xf numFmtId="14" fontId="21" fillId="9" borderId="5" xfId="0" applyNumberFormat="1" applyFont="1" applyFill="1" applyBorder="1" applyAlignment="1">
      <alignment horizontal="left" wrapText="1"/>
    </xf>
    <xf numFmtId="0" fontId="21" fillId="9" borderId="18" xfId="0" applyFont="1" applyFill="1" applyBorder="1"/>
    <xf numFmtId="0" fontId="22" fillId="9" borderId="5" xfId="0" applyFont="1" applyFill="1" applyBorder="1" applyAlignment="1">
      <alignment horizontal="center" wrapText="1"/>
    </xf>
    <xf numFmtId="0" fontId="19" fillId="9" borderId="5" xfId="0" applyFont="1" applyFill="1" applyBorder="1" applyAlignment="1">
      <alignment horizontal="center" wrapText="1"/>
    </xf>
    <xf numFmtId="14" fontId="19" fillId="9" borderId="5" xfId="0" applyNumberFormat="1" applyFont="1" applyFill="1" applyBorder="1" applyAlignment="1">
      <alignment horizontal="center" wrapText="1"/>
    </xf>
    <xf numFmtId="0" fontId="19" fillId="9" borderId="5" xfId="0" applyFont="1" applyFill="1" applyBorder="1" applyAlignment="1">
      <alignment horizontal="left" wrapText="1"/>
    </xf>
    <xf numFmtId="0" fontId="23" fillId="9" borderId="5" xfId="0" applyFont="1" applyFill="1" applyBorder="1" applyAlignment="1">
      <alignment horizontal="left" wrapText="1"/>
    </xf>
    <xf numFmtId="14" fontId="19" fillId="9" borderId="5" xfId="0" applyNumberFormat="1" applyFont="1" applyFill="1" applyBorder="1" applyAlignment="1">
      <alignment horizontal="left" wrapText="1"/>
    </xf>
    <xf numFmtId="0" fontId="19" fillId="9" borderId="18" xfId="0" applyFont="1" applyFill="1" applyBorder="1"/>
    <xf numFmtId="0" fontId="25" fillId="18" borderId="5" xfId="2" applyBorder="1" applyAlignment="1">
      <alignment horizontal="center" wrapText="1"/>
    </xf>
    <xf numFmtId="14" fontId="25" fillId="18" borderId="5" xfId="2" applyNumberFormat="1" applyBorder="1" applyAlignment="1">
      <alignment horizontal="center" wrapText="1"/>
    </xf>
    <xf numFmtId="0" fontId="25" fillId="18" borderId="5" xfId="2" applyBorder="1" applyAlignment="1">
      <alignment horizontal="left" wrapText="1"/>
    </xf>
    <xf numFmtId="14" fontId="25" fillId="18" borderId="5" xfId="2" applyNumberFormat="1" applyBorder="1" applyAlignment="1">
      <alignment horizontal="left" wrapText="1"/>
    </xf>
    <xf numFmtId="0" fontId="25" fillId="18" borderId="5" xfId="2" applyBorder="1" applyAlignment="1">
      <alignment horizontal="center" vertical="center"/>
    </xf>
    <xf numFmtId="0" fontId="25" fillId="18" borderId="18" xfId="2" applyBorder="1"/>
    <xf numFmtId="0" fontId="25" fillId="18" borderId="0" xfId="2"/>
    <xf numFmtId="0" fontId="26" fillId="19" borderId="5" xfId="3" applyBorder="1" applyAlignment="1">
      <alignment horizontal="center" wrapText="1"/>
    </xf>
    <xf numFmtId="14" fontId="26" fillId="19" borderId="5" xfId="3" applyNumberFormat="1" applyBorder="1" applyAlignment="1">
      <alignment horizontal="center" wrapText="1"/>
    </xf>
    <xf numFmtId="0" fontId="26" fillId="19" borderId="5" xfId="3" applyBorder="1" applyAlignment="1">
      <alignment horizontal="left" wrapText="1"/>
    </xf>
    <xf numFmtId="14" fontId="26" fillId="19" borderId="5" xfId="3" applyNumberFormat="1" applyBorder="1" applyAlignment="1">
      <alignment horizontal="left" wrapText="1"/>
    </xf>
    <xf numFmtId="0" fontId="26" fillId="19" borderId="18" xfId="3" applyBorder="1"/>
    <xf numFmtId="0" fontId="26" fillId="19" borderId="0" xfId="3"/>
    <xf numFmtId="0" fontId="26" fillId="20" borderId="5" xfId="3" applyFill="1" applyBorder="1" applyAlignment="1">
      <alignment horizontal="center" wrapText="1"/>
    </xf>
    <xf numFmtId="14" fontId="26" fillId="20" borderId="5" xfId="3" applyNumberFormat="1" applyFill="1" applyBorder="1" applyAlignment="1">
      <alignment horizontal="center" wrapText="1"/>
    </xf>
    <xf numFmtId="0" fontId="26" fillId="20" borderId="5" xfId="3" applyFill="1" applyBorder="1" applyAlignment="1">
      <alignment horizontal="left" wrapText="1"/>
    </xf>
    <xf numFmtId="14" fontId="26" fillId="20" borderId="5" xfId="3" applyNumberFormat="1" applyFill="1" applyBorder="1" applyAlignment="1">
      <alignment horizontal="left" wrapText="1"/>
    </xf>
    <xf numFmtId="0" fontId="26" fillId="20" borderId="5" xfId="3" applyFill="1" applyBorder="1" applyAlignment="1">
      <alignment horizontal="center" vertical="center"/>
    </xf>
    <xf numFmtId="0" fontId="26" fillId="20" borderId="18" xfId="3" applyFill="1" applyBorder="1"/>
    <xf numFmtId="0" fontId="26" fillId="20" borderId="0" xfId="3" applyFill="1"/>
    <xf numFmtId="0" fontId="24" fillId="17" borderId="5" xfId="1" applyBorder="1" applyAlignment="1">
      <alignment horizontal="center" wrapText="1"/>
    </xf>
    <xf numFmtId="0" fontId="24" fillId="17" borderId="5" xfId="1" applyBorder="1" applyAlignment="1">
      <alignment horizontal="center"/>
    </xf>
    <xf numFmtId="14" fontId="24" fillId="17" borderId="5" xfId="1" applyNumberFormat="1" applyBorder="1" applyAlignment="1">
      <alignment horizontal="center" wrapText="1"/>
    </xf>
    <xf numFmtId="0" fontId="24" fillId="17" borderId="5" xfId="1" applyBorder="1" applyAlignment="1">
      <alignment horizontal="left" wrapText="1"/>
    </xf>
    <xf numFmtId="14" fontId="24" fillId="17" borderId="5" xfId="1" applyNumberFormat="1" applyBorder="1" applyAlignment="1">
      <alignment horizontal="left" wrapText="1"/>
    </xf>
    <xf numFmtId="0" fontId="24" fillId="17" borderId="18" xfId="1" applyBorder="1"/>
    <xf numFmtId="0" fontId="24" fillId="17" borderId="0" xfId="1"/>
    <xf numFmtId="0" fontId="28" fillId="17" borderId="5" xfId="1" applyFont="1" applyBorder="1" applyAlignment="1">
      <alignment horizontal="center"/>
    </xf>
    <xf numFmtId="0" fontId="28" fillId="17" borderId="5" xfId="1" applyFont="1" applyBorder="1" applyAlignment="1">
      <alignment horizontal="center" wrapText="1"/>
    </xf>
    <xf numFmtId="14" fontId="28" fillId="17" borderId="5" xfId="1" applyNumberFormat="1" applyFont="1" applyBorder="1" applyAlignment="1">
      <alignment horizontal="center" wrapText="1"/>
    </xf>
    <xf numFmtId="0" fontId="28" fillId="17" borderId="5" xfId="1" applyFont="1" applyBorder="1" applyAlignment="1">
      <alignment horizontal="left" wrapText="1"/>
    </xf>
    <xf numFmtId="14" fontId="28" fillId="17" borderId="5" xfId="1" applyNumberFormat="1" applyFont="1" applyBorder="1" applyAlignment="1">
      <alignment horizontal="left" wrapText="1"/>
    </xf>
    <xf numFmtId="0" fontId="28" fillId="17" borderId="18" xfId="1" applyFont="1" applyBorder="1"/>
    <xf numFmtId="0" fontId="28" fillId="17" borderId="0" xfId="1" applyFont="1"/>
    <xf numFmtId="0" fontId="27" fillId="0" borderId="5" xfId="0" applyFont="1" applyBorder="1" applyAlignment="1">
      <alignment horizontal="center" wrapText="1"/>
    </xf>
    <xf numFmtId="0" fontId="26" fillId="19" borderId="5" xfId="3" applyBorder="1" applyAlignment="1">
      <alignment horizontal="center"/>
    </xf>
    <xf numFmtId="14" fontId="26" fillId="19" borderId="5" xfId="3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jmaria@gmail.com" TargetMode="External"/><Relationship Id="rId13" Type="http://schemas.openxmlformats.org/officeDocument/2006/relationships/hyperlink" Target="mailto:cathychwang@gmail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shaoqin156@gmail.com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7" Type="http://schemas.openxmlformats.org/officeDocument/2006/relationships/hyperlink" Target="mailto:sisy627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Navneetkd@yahoo.com" TargetMode="External"/><Relationship Id="rId25" Type="http://schemas.openxmlformats.org/officeDocument/2006/relationships/hyperlink" Target="mailto:shaoqin156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ganeshsw@gmail.com" TargetMode="External"/><Relationship Id="rId20" Type="http://schemas.openxmlformats.org/officeDocument/2006/relationships/hyperlink" Target="https://app.thestudiodirector.com/pellearningcenterofmi/admin.sd?page=EditStudent&amp;sident=1666021959309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mailto:aqamar@ncsu.edu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5" Type="http://schemas.openxmlformats.org/officeDocument/2006/relationships/hyperlink" Target="mailto:piijia@hotmail.com" TargetMode="External"/><Relationship Id="rId15" Type="http://schemas.openxmlformats.org/officeDocument/2006/relationships/hyperlink" Target="mailto:jeenyw8@yahoo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10" Type="http://schemas.openxmlformats.org/officeDocument/2006/relationships/hyperlink" Target="mailto:729126561@qq.com" TargetMode="External"/><Relationship Id="rId19" Type="http://schemas.openxmlformats.org/officeDocument/2006/relationships/hyperlink" Target="mailto:janezh3080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jmaria@gmail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2" zoomScale="83" workbookViewId="0">
      <selection activeCell="E18" sqref="E18"/>
    </sheetView>
  </sheetViews>
  <sheetFormatPr defaultColWidth="14.453125" defaultRowHeight="15" customHeight="1" x14ac:dyDescent="0.35"/>
  <cols>
    <col min="1" max="1" width="16.7265625" customWidth="1"/>
    <col min="2" max="2" width="65.7265625" customWidth="1"/>
    <col min="3" max="3" width="12.26953125" customWidth="1"/>
    <col min="4" max="4" width="10.453125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26" ht="24.5" x14ac:dyDescent="0.45">
      <c r="A1" s="296" t="s">
        <v>0</v>
      </c>
      <c r="B1" s="297"/>
      <c r="C1" s="297"/>
      <c r="D1" s="297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45230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 t="s">
        <v>9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10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45230</v>
      </c>
      <c r="B9" s="18" t="s">
        <v>16</v>
      </c>
      <c r="C9" s="18"/>
      <c r="D9" s="19">
        <f t="shared" ref="D9:D10" si="1">C55</f>
        <v>82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45230</v>
      </c>
      <c r="B10" s="18" t="s">
        <v>17</v>
      </c>
      <c r="C10" s="18"/>
      <c r="D10" s="19">
        <f t="shared" si="1"/>
        <v>89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45230</v>
      </c>
      <c r="B11" s="18" t="s">
        <v>18</v>
      </c>
      <c r="C11" s="21">
        <v>25</v>
      </c>
      <c r="D11" s="19">
        <f>SUM(C37:C40)</f>
        <v>17</v>
      </c>
      <c r="E11" s="22">
        <f t="shared" ref="E11:E21" si="2">C11*D11</f>
        <v>425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45230</v>
      </c>
      <c r="B12" s="18" t="s">
        <v>19</v>
      </c>
      <c r="C12" s="21">
        <v>21</v>
      </c>
      <c r="D12" s="19">
        <f t="shared" ref="D12:D13" si="3">C35+C37-C41-C53</f>
        <v>79</v>
      </c>
      <c r="E12" s="22">
        <f t="shared" si="2"/>
        <v>1659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45230</v>
      </c>
      <c r="B13" s="18" t="s">
        <v>20</v>
      </c>
      <c r="C13" s="21">
        <v>21</v>
      </c>
      <c r="D13" s="19">
        <f t="shared" si="3"/>
        <v>85</v>
      </c>
      <c r="E13" s="22">
        <f t="shared" si="2"/>
        <v>1785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45230</v>
      </c>
      <c r="B14" s="18" t="s">
        <v>21</v>
      </c>
      <c r="C14" s="21">
        <f t="shared" ref="C14:C15" si="4">C12/2</f>
        <v>10.5</v>
      </c>
      <c r="D14" s="19">
        <f t="shared" ref="D14:D15" si="5">C39</f>
        <v>1</v>
      </c>
      <c r="E14" s="22">
        <f t="shared" si="2"/>
        <v>10.5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45230</v>
      </c>
      <c r="B15" s="18" t="s">
        <v>22</v>
      </c>
      <c r="C15" s="21">
        <f t="shared" si="4"/>
        <v>10.5</v>
      </c>
      <c r="D15" s="19">
        <f t="shared" si="5"/>
        <v>2</v>
      </c>
      <c r="E15" s="22">
        <f t="shared" si="2"/>
        <v>21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45230</v>
      </c>
      <c r="B16" s="18" t="s">
        <v>23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45230</v>
      </c>
      <c r="B17" s="18" t="s">
        <v>24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45230</v>
      </c>
      <c r="B18" s="18" t="s">
        <v>25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45230</v>
      </c>
      <c r="B19" s="18"/>
      <c r="C19" s="21"/>
      <c r="D19" s="23"/>
      <c r="E19" s="2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45230</v>
      </c>
      <c r="B20" s="18"/>
      <c r="C20" s="21"/>
      <c r="D20" s="23"/>
      <c r="E20" s="22"/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45230</v>
      </c>
      <c r="B21" s="18"/>
      <c r="C21" s="24"/>
      <c r="D21" s="23"/>
      <c r="E21" s="22"/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45230</v>
      </c>
      <c r="B22" s="25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45230</v>
      </c>
      <c r="B23" s="25" t="s">
        <v>26</v>
      </c>
      <c r="C23" s="21">
        <v>-25</v>
      </c>
      <c r="D23" s="19">
        <v>2</v>
      </c>
      <c r="E23" s="26">
        <f t="shared" ref="E23:E24" si="8">C23*D23</f>
        <v>-50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45230</v>
      </c>
      <c r="B24" s="25" t="s">
        <v>27</v>
      </c>
      <c r="C24" s="21">
        <v>-25</v>
      </c>
      <c r="D24" s="19">
        <v>6</v>
      </c>
      <c r="E24" s="26">
        <f t="shared" si="8"/>
        <v>-150</v>
      </c>
      <c r="F24" s="27"/>
      <c r="G24" s="28"/>
      <c r="H24" s="28"/>
      <c r="I24" s="28"/>
      <c r="J24" s="28"/>
      <c r="K24" s="28"/>
      <c r="L24" s="28"/>
      <c r="M24" s="28"/>
      <c r="N24" s="2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45230</v>
      </c>
      <c r="B25" s="29"/>
      <c r="C25" s="30"/>
      <c r="D25" s="31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45230</v>
      </c>
      <c r="B26" s="18" t="s">
        <v>28</v>
      </c>
      <c r="C26" s="21"/>
      <c r="D26" s="21"/>
      <c r="E26" s="22">
        <f>SUM(E11:E25)</f>
        <v>3800.5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45230</v>
      </c>
      <c r="B27" s="29" t="s">
        <v>1765</v>
      </c>
      <c r="C27" s="21"/>
      <c r="D27" s="19"/>
      <c r="E27" s="32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45230</v>
      </c>
      <c r="B28" s="29" t="s">
        <v>1766</v>
      </c>
      <c r="C28" s="33"/>
      <c r="D28" s="34"/>
      <c r="E28" s="35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45230</v>
      </c>
      <c r="B29" s="18" t="s">
        <v>29</v>
      </c>
      <c r="C29" s="21"/>
      <c r="D29" s="36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45230</v>
      </c>
      <c r="B30" s="18" t="s">
        <v>30</v>
      </c>
      <c r="C30" s="21"/>
      <c r="D30" s="22"/>
      <c r="E30" s="36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45230</v>
      </c>
      <c r="B31" s="37" t="s">
        <v>31</v>
      </c>
      <c r="C31" s="21"/>
      <c r="D31" s="22"/>
      <c r="E31" s="38">
        <f>E26+E27+E28+E29-E30</f>
        <v>3800.5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thickBot="1" x14ac:dyDescent="0.4">
      <c r="A32" s="39"/>
      <c r="C32" s="41"/>
      <c r="D32" s="41"/>
      <c r="E32" s="42"/>
      <c r="F32" s="4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thickBot="1" x14ac:dyDescent="0.4">
      <c r="A33" s="8"/>
      <c r="B33" s="40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4">
      <c r="A34" s="2"/>
      <c r="B34" s="44" t="s">
        <v>32</v>
      </c>
      <c r="C34" s="45"/>
      <c r="D34" s="2"/>
      <c r="E34" s="9"/>
      <c r="F34" s="2"/>
      <c r="G34" s="2"/>
      <c r="H34" s="44" t="s">
        <v>33</v>
      </c>
      <c r="I34" s="45"/>
      <c r="J34" s="2"/>
      <c r="K34" s="44" t="s">
        <v>34</v>
      </c>
      <c r="L34" s="4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35</v>
      </c>
      <c r="B35" s="46" t="s">
        <v>36</v>
      </c>
      <c r="C35" s="47">
        <v>77</v>
      </c>
      <c r="D35" s="2" t="s">
        <v>37</v>
      </c>
      <c r="E35" s="9"/>
      <c r="F35" s="2"/>
      <c r="G35" s="2"/>
      <c r="H35" s="46" t="s">
        <v>36</v>
      </c>
      <c r="I35" s="47">
        <v>0</v>
      </c>
      <c r="J35" s="2"/>
      <c r="K35" s="46" t="s">
        <v>36</v>
      </c>
      <c r="L35" s="47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38</v>
      </c>
      <c r="B36" s="48" t="s">
        <v>39</v>
      </c>
      <c r="C36" s="49">
        <v>86</v>
      </c>
      <c r="D36" s="2" t="s">
        <v>40</v>
      </c>
      <c r="E36" s="9"/>
      <c r="F36" s="11"/>
      <c r="G36" s="2"/>
      <c r="H36" s="48" t="s">
        <v>39</v>
      </c>
      <c r="I36" s="49">
        <v>0</v>
      </c>
      <c r="J36" s="2"/>
      <c r="K36" s="48" t="s">
        <v>39</v>
      </c>
      <c r="L36" s="49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41</v>
      </c>
      <c r="B37" s="50" t="s">
        <v>42</v>
      </c>
      <c r="C37" s="51">
        <f>6+1</f>
        <v>7</v>
      </c>
      <c r="D37" s="2" t="s">
        <v>43</v>
      </c>
      <c r="E37" s="9"/>
      <c r="F37" s="2"/>
      <c r="G37" s="2"/>
      <c r="H37" s="52" t="s">
        <v>44</v>
      </c>
      <c r="I37" s="53">
        <v>0</v>
      </c>
      <c r="J37" s="2"/>
      <c r="K37" s="52" t="s">
        <v>44</v>
      </c>
      <c r="L37" s="5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45</v>
      </c>
      <c r="B38" s="54" t="s">
        <v>46</v>
      </c>
      <c r="C38" s="55">
        <f>8-1</f>
        <v>7</v>
      </c>
      <c r="D38" s="2" t="s">
        <v>47</v>
      </c>
      <c r="E38" s="9"/>
      <c r="F38" s="2"/>
      <c r="G38" s="2"/>
      <c r="H38" s="56" t="s">
        <v>48</v>
      </c>
      <c r="I38" s="57">
        <v>0</v>
      </c>
      <c r="J38" s="2"/>
      <c r="K38" s="56" t="s">
        <v>48</v>
      </c>
      <c r="L38" s="5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49</v>
      </c>
      <c r="B39" s="50" t="s">
        <v>50</v>
      </c>
      <c r="C39" s="51">
        <v>1</v>
      </c>
      <c r="D39" s="2" t="s">
        <v>51</v>
      </c>
      <c r="E39" s="9"/>
      <c r="F39" s="2"/>
      <c r="G39" s="2"/>
      <c r="H39" s="50" t="s">
        <v>52</v>
      </c>
      <c r="I39" s="53">
        <v>0</v>
      </c>
      <c r="J39" s="9"/>
      <c r="K39" s="50" t="s">
        <v>52</v>
      </c>
      <c r="L39" s="53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53</v>
      </c>
      <c r="B40" s="54" t="s">
        <v>54</v>
      </c>
      <c r="C40" s="55">
        <v>2</v>
      </c>
      <c r="D40" s="2" t="s">
        <v>55</v>
      </c>
      <c r="E40" s="9"/>
      <c r="F40" s="2"/>
      <c r="G40" s="2"/>
      <c r="H40" s="54" t="s">
        <v>56</v>
      </c>
      <c r="I40" s="57">
        <v>0</v>
      </c>
      <c r="J40" s="9"/>
      <c r="K40" s="54" t="s">
        <v>56</v>
      </c>
      <c r="L40" s="57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57</v>
      </c>
      <c r="B41" s="52" t="s">
        <v>44</v>
      </c>
      <c r="C41" s="55">
        <v>3</v>
      </c>
      <c r="D41" s="2" t="s">
        <v>58</v>
      </c>
      <c r="E41" s="9"/>
      <c r="F41" s="2"/>
      <c r="G41" s="2"/>
      <c r="H41" s="58" t="s">
        <v>59</v>
      </c>
      <c r="I41" s="59">
        <f t="shared" ref="I41:I42" si="9">I35-I37+I39</f>
        <v>0</v>
      </c>
      <c r="J41" s="9"/>
      <c r="K41" s="58" t="s">
        <v>60</v>
      </c>
      <c r="L41" s="59">
        <f t="shared" ref="L41:L42" si="10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61</v>
      </c>
      <c r="B42" s="56" t="s">
        <v>48</v>
      </c>
      <c r="C42" s="55">
        <v>6</v>
      </c>
      <c r="D42" s="2" t="s">
        <v>62</v>
      </c>
      <c r="E42" s="9"/>
      <c r="F42" s="2"/>
      <c r="G42" s="2"/>
      <c r="H42" s="60" t="s">
        <v>63</v>
      </c>
      <c r="I42" s="61">
        <f t="shared" si="9"/>
        <v>0</v>
      </c>
      <c r="J42" s="9"/>
      <c r="K42" s="60" t="s">
        <v>64</v>
      </c>
      <c r="L42" s="61">
        <f t="shared" si="10"/>
        <v>2</v>
      </c>
      <c r="M42" s="9" t="s">
        <v>65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66</v>
      </c>
      <c r="B43" s="58" t="s">
        <v>59</v>
      </c>
      <c r="C43" s="59">
        <f t="shared" ref="C43:C44" si="11">C35+C37+C39-C41</f>
        <v>82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67</v>
      </c>
      <c r="B44" s="60" t="s">
        <v>63</v>
      </c>
      <c r="C44" s="61">
        <f t="shared" si="11"/>
        <v>89</v>
      </c>
      <c r="D44" s="2">
        <f>C44+C43</f>
        <v>171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2"/>
      <c r="D45" s="2"/>
      <c r="E45" s="63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2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2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4" t="s">
        <v>68</v>
      </c>
      <c r="C48" s="45"/>
      <c r="D48" s="2"/>
      <c r="E48" s="9"/>
      <c r="F48" s="2"/>
      <c r="G48" s="2"/>
      <c r="H48" s="2"/>
      <c r="I48" s="2"/>
      <c r="J48" s="9"/>
      <c r="K48" s="9" t="s">
        <v>65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4" t="s">
        <v>69</v>
      </c>
      <c r="C49" s="65">
        <f t="shared" ref="C49:C50" si="12">C43-I41-L41</f>
        <v>80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66" t="s">
        <v>70</v>
      </c>
      <c r="C50" s="65">
        <f t="shared" si="12"/>
        <v>87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4" t="s">
        <v>71</v>
      </c>
      <c r="C51" s="65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66" t="s">
        <v>72</v>
      </c>
      <c r="C52" s="67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4" t="s">
        <v>73</v>
      </c>
      <c r="C53" s="65">
        <f t="shared" ref="C53:C54" si="14">L41</f>
        <v>2</v>
      </c>
      <c r="D53" s="3"/>
      <c r="E53" s="68"/>
      <c r="F53" s="3"/>
      <c r="G53" s="3"/>
      <c r="H53" s="3"/>
      <c r="I53" s="3"/>
      <c r="J53" s="68"/>
      <c r="K53" s="68"/>
      <c r="L53" s="68"/>
      <c r="M53" s="68"/>
      <c r="N53" s="6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66" t="s">
        <v>74</v>
      </c>
      <c r="C54" s="67">
        <f t="shared" si="14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58" t="s">
        <v>59</v>
      </c>
      <c r="C55" s="59">
        <f t="shared" ref="C55:C56" si="15">C49+C51+C53</f>
        <v>82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0" t="s">
        <v>63</v>
      </c>
      <c r="C56" s="61">
        <f t="shared" si="15"/>
        <v>89</v>
      </c>
      <c r="D56" s="2">
        <f>C56+C55</f>
        <v>171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75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76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77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78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69" t="s">
        <v>79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0" t="s">
        <v>80</v>
      </c>
      <c r="B65" s="71"/>
      <c r="C65" s="72"/>
      <c r="D65" s="71"/>
      <c r="E65" s="63"/>
      <c r="F65" s="71"/>
      <c r="G65" s="71"/>
      <c r="H65" s="71"/>
      <c r="I65" s="71"/>
      <c r="J65" s="71"/>
      <c r="K65" s="71"/>
      <c r="L65" s="71"/>
      <c r="M65" s="71"/>
      <c r="N65" s="7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0"/>
      <c r="B66" s="71"/>
      <c r="C66" s="72"/>
      <c r="D66" s="71"/>
      <c r="E66" s="63"/>
      <c r="F66" s="71"/>
      <c r="G66" s="71"/>
      <c r="H66" s="71"/>
      <c r="I66" s="71"/>
      <c r="J66" s="71"/>
      <c r="K66" s="71"/>
      <c r="L66" s="71"/>
      <c r="M66" s="71"/>
      <c r="N66" s="7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0"/>
      <c r="B67" s="71"/>
      <c r="C67" s="72"/>
      <c r="D67" s="71"/>
      <c r="E67" s="63"/>
      <c r="F67" s="71"/>
      <c r="G67" s="71"/>
      <c r="H67" s="71"/>
      <c r="I67" s="71"/>
      <c r="J67" s="71"/>
      <c r="K67" s="71"/>
      <c r="L67" s="71"/>
      <c r="M67" s="71"/>
      <c r="N67" s="7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69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3"/>
      <c r="L69" s="71"/>
      <c r="M69" s="71"/>
      <c r="N69" s="7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3"/>
      <c r="L70" s="71"/>
      <c r="M70" s="71"/>
      <c r="N70" s="7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/>
    <row r="267" spans="1:26" ht="15.75" customHeight="1" x14ac:dyDescent="0.35"/>
    <row r="268" spans="1:26" ht="15.75" customHeight="1" x14ac:dyDescent="0.35"/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74"/>
  <sheetViews>
    <sheetView workbookViewId="0">
      <pane xSplit="4" ySplit="5" topLeftCell="L180" activePane="bottomRight" state="frozen"/>
      <selection pane="topRight" activeCell="E1" sqref="E1"/>
      <selection pane="bottomLeft" activeCell="A6" sqref="A6"/>
      <selection pane="bottomRight" activeCell="S6" sqref="S6"/>
    </sheetView>
  </sheetViews>
  <sheetFormatPr defaultColWidth="14.453125" defaultRowHeight="15" customHeight="1" x14ac:dyDescent="0.35"/>
  <cols>
    <col min="1" max="1" width="7.7265625" customWidth="1"/>
    <col min="2" max="2" width="6.453125" customWidth="1"/>
    <col min="3" max="3" width="17.90625" customWidth="1"/>
    <col min="4" max="4" width="27.453125" customWidth="1"/>
    <col min="5" max="5" width="6.26953125" hidden="1" customWidth="1"/>
    <col min="6" max="6" width="14" hidden="1" customWidth="1"/>
    <col min="7" max="7" width="44.453125" hidden="1" customWidth="1"/>
    <col min="8" max="8" width="16.453125" hidden="1" customWidth="1"/>
    <col min="9" max="9" width="36.7265625" hidden="1" customWidth="1"/>
    <col min="10" max="10" width="13.453125" customWidth="1"/>
    <col min="11" max="11" width="9.26953125" customWidth="1"/>
    <col min="12" max="12" width="7.7265625" customWidth="1"/>
    <col min="13" max="13" width="32.26953125" customWidth="1"/>
    <col min="14" max="14" width="6.453125" customWidth="1"/>
    <col min="15" max="15" width="13.26953125" customWidth="1"/>
    <col min="16" max="16" width="3.26953125" customWidth="1"/>
    <col min="17" max="27" width="5.453125" customWidth="1"/>
    <col min="28" max="46" width="8.7265625" customWidth="1"/>
  </cols>
  <sheetData>
    <row r="1" spans="1:46" ht="13.5" customHeight="1" x14ac:dyDescent="0.35">
      <c r="A1" s="74"/>
      <c r="B1" s="75"/>
      <c r="C1" s="7"/>
      <c r="D1" s="7"/>
      <c r="E1" s="7"/>
      <c r="F1" s="7"/>
      <c r="G1" s="74" t="s">
        <v>81</v>
      </c>
      <c r="H1" s="76"/>
      <c r="I1" s="76"/>
      <c r="J1" s="76"/>
      <c r="K1" s="76"/>
      <c r="L1" s="76"/>
      <c r="M1" s="76" t="str">
        <f>P!E1</f>
        <v>Due by: 11/1/23</v>
      </c>
      <c r="N1" s="7"/>
      <c r="O1" s="7"/>
      <c r="P1" s="6"/>
      <c r="Q1" s="77"/>
      <c r="R1" s="77" t="s">
        <v>41</v>
      </c>
      <c r="S1" s="77" t="s">
        <v>82</v>
      </c>
      <c r="T1" s="77" t="s">
        <v>35</v>
      </c>
      <c r="U1" s="77" t="s">
        <v>83</v>
      </c>
      <c r="V1" s="77" t="s">
        <v>53</v>
      </c>
      <c r="W1" s="77" t="s">
        <v>84</v>
      </c>
      <c r="X1" s="77" t="s">
        <v>85</v>
      </c>
      <c r="Y1" s="77" t="s">
        <v>86</v>
      </c>
      <c r="Z1" s="77" t="s">
        <v>87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spans="1:46" ht="24" customHeight="1" x14ac:dyDescent="0.35">
      <c r="A2" s="75"/>
      <c r="B2" s="75"/>
      <c r="C2" s="7" t="s">
        <v>88</v>
      </c>
      <c r="D2" s="75"/>
      <c r="E2" s="7"/>
      <c r="F2" s="6"/>
      <c r="G2" s="76"/>
      <c r="H2" s="76"/>
      <c r="I2" s="76"/>
      <c r="J2" s="76"/>
      <c r="K2" s="76"/>
      <c r="L2" s="76"/>
      <c r="M2" s="78">
        <f>P!F3</f>
        <v>45230</v>
      </c>
      <c r="N2" s="7"/>
      <c r="O2" s="7"/>
      <c r="P2" s="6"/>
      <c r="Q2" s="79" t="s">
        <v>89</v>
      </c>
      <c r="R2" s="80">
        <f>COUNTIFS(N6:N189,"=C",B6:B189,"=M")</f>
        <v>73</v>
      </c>
      <c r="S2" s="80">
        <f>COUNTIFS(N6:N189,"=N",B6:B189,"=M")</f>
        <v>6</v>
      </c>
      <c r="T2" s="80">
        <f>COUNTIFS(N6:N189,"=A",B6:B189,"=M")</f>
        <v>3</v>
      </c>
      <c r="U2" s="80">
        <f>COUNTIFS(N6:N189,"=T",B6:B189,"=M")</f>
        <v>0</v>
      </c>
      <c r="V2" s="80">
        <f>COUNTIFS(N6:N189,"=F",B6:B189,"=M")</f>
        <v>2</v>
      </c>
      <c r="W2" s="80">
        <f>COUNTIFS(N6:N189,"=R",B6:B189,"=M")</f>
        <v>1</v>
      </c>
      <c r="X2" s="80">
        <f t="shared" ref="X2:X3" si="0">R2+T2+V2+U2</f>
        <v>78</v>
      </c>
      <c r="Y2" s="80">
        <f t="shared" ref="Y2:Y3" si="1">R2+S2+V2+W2</f>
        <v>82</v>
      </c>
      <c r="Z2" s="80">
        <f t="shared" ref="Z2:Z3" si="2">R2+S2+T2+V2+W2</f>
        <v>85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24" customHeight="1" x14ac:dyDescent="0.35">
      <c r="A3" s="75"/>
      <c r="B3" s="75"/>
      <c r="C3" s="7" t="s">
        <v>10</v>
      </c>
      <c r="D3" s="7"/>
      <c r="E3" s="7"/>
      <c r="F3" s="7"/>
      <c r="G3" s="76"/>
      <c r="H3" s="76"/>
      <c r="I3" s="76"/>
      <c r="J3" s="76"/>
      <c r="K3" s="76"/>
      <c r="L3" s="76"/>
      <c r="M3" s="76" t="s">
        <v>90</v>
      </c>
      <c r="N3" s="7"/>
      <c r="O3" s="7"/>
      <c r="P3" s="6"/>
      <c r="Q3" s="77" t="s">
        <v>49</v>
      </c>
      <c r="R3" s="80">
        <f>COUNTIFS(N6:N189,"=C",B6:B189,"=E")</f>
        <v>77</v>
      </c>
      <c r="S3" s="80">
        <f>COUNTIFS(N6:N189,"=N",B6:B189,"=E")</f>
        <v>9</v>
      </c>
      <c r="T3" s="80">
        <f>COUNTIFS(N6:N189,"=A",B6:B189,"=E")</f>
        <v>6</v>
      </c>
      <c r="U3" s="80">
        <f>COUNTIFS(N6:N189,"=T",B6:B189,"=E")</f>
        <v>0</v>
      </c>
      <c r="V3" s="80">
        <f>COUNTIFS(N6:N189,"=F",B6:B189,"=E")</f>
        <v>2</v>
      </c>
      <c r="W3" s="80">
        <f>COUNTIFS(N6:N189,"=R",B6:B189,"=E")</f>
        <v>1</v>
      </c>
      <c r="X3" s="80">
        <f t="shared" si="0"/>
        <v>85</v>
      </c>
      <c r="Y3" s="80">
        <f t="shared" si="1"/>
        <v>89</v>
      </c>
      <c r="Z3" s="80">
        <f t="shared" si="2"/>
        <v>95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spans="1:46" ht="24" customHeight="1" x14ac:dyDescent="0.35">
      <c r="A4" s="75"/>
      <c r="B4" s="75"/>
      <c r="C4" s="7"/>
      <c r="D4" s="7"/>
      <c r="E4" s="7"/>
      <c r="F4" s="7"/>
      <c r="G4" s="76"/>
      <c r="H4" s="76"/>
      <c r="I4" s="76"/>
      <c r="J4" s="76"/>
      <c r="K4" s="76"/>
      <c r="L4" s="76"/>
      <c r="M4" s="76"/>
      <c r="N4" s="7"/>
      <c r="O4" s="7"/>
      <c r="P4" s="6"/>
      <c r="Q4" s="77" t="s">
        <v>83</v>
      </c>
      <c r="R4" s="81">
        <f t="shared" ref="R4:Z4" si="3">R2+R3</f>
        <v>150</v>
      </c>
      <c r="S4" s="81">
        <f t="shared" si="3"/>
        <v>15</v>
      </c>
      <c r="T4" s="81">
        <f t="shared" si="3"/>
        <v>9</v>
      </c>
      <c r="U4" s="81">
        <f t="shared" si="3"/>
        <v>0</v>
      </c>
      <c r="V4" s="81">
        <f t="shared" si="3"/>
        <v>4</v>
      </c>
      <c r="W4" s="81">
        <f t="shared" si="3"/>
        <v>2</v>
      </c>
      <c r="X4" s="81">
        <f t="shared" si="3"/>
        <v>163</v>
      </c>
      <c r="Y4" s="81">
        <f t="shared" si="3"/>
        <v>171</v>
      </c>
      <c r="Z4" s="79">
        <f t="shared" si="3"/>
        <v>180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46" ht="75" x14ac:dyDescent="0.35">
      <c r="A5" s="82" t="s">
        <v>14</v>
      </c>
      <c r="B5" s="82" t="s">
        <v>91</v>
      </c>
      <c r="C5" s="82" t="s">
        <v>92</v>
      </c>
      <c r="D5" s="82" t="s">
        <v>93</v>
      </c>
      <c r="E5" s="82" t="s">
        <v>94</v>
      </c>
      <c r="F5" s="82" t="s">
        <v>95</v>
      </c>
      <c r="G5" s="83" t="s">
        <v>96</v>
      </c>
      <c r="H5" s="83" t="s">
        <v>97</v>
      </c>
      <c r="I5" s="83" t="s">
        <v>98</v>
      </c>
      <c r="J5" s="83" t="s">
        <v>99</v>
      </c>
      <c r="K5" s="82" t="s">
        <v>100</v>
      </c>
      <c r="L5" s="82" t="s">
        <v>101</v>
      </c>
      <c r="M5" s="82" t="s">
        <v>102</v>
      </c>
      <c r="N5" s="82" t="s">
        <v>103</v>
      </c>
      <c r="O5" s="82" t="s">
        <v>104</v>
      </c>
      <c r="P5" s="84"/>
      <c r="Q5" s="84"/>
      <c r="R5" s="84"/>
      <c r="S5" s="84">
        <f>S4+W4-T4</f>
        <v>8</v>
      </c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</row>
    <row r="6" spans="1:46" s="265" customFormat="1" ht="16.5" customHeight="1" x14ac:dyDescent="0.35">
      <c r="A6" s="259">
        <v>1</v>
      </c>
      <c r="B6" s="259" t="s">
        <v>49</v>
      </c>
      <c r="C6" s="259" t="s">
        <v>105</v>
      </c>
      <c r="D6" s="259" t="s">
        <v>106</v>
      </c>
      <c r="E6" s="259">
        <v>7</v>
      </c>
      <c r="F6" s="260">
        <v>40533</v>
      </c>
      <c r="G6" s="261" t="s">
        <v>107</v>
      </c>
      <c r="H6" s="261">
        <v>6506461428</v>
      </c>
      <c r="I6" s="261" t="s">
        <v>108</v>
      </c>
      <c r="J6" s="262">
        <v>45161</v>
      </c>
      <c r="K6" s="259" t="s">
        <v>109</v>
      </c>
      <c r="L6" s="259" t="s">
        <v>110</v>
      </c>
      <c r="M6" s="259" t="s">
        <v>1731</v>
      </c>
      <c r="N6" s="259" t="s">
        <v>35</v>
      </c>
      <c r="O6" s="263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4"/>
      <c r="AD6" s="264"/>
      <c r="AE6" s="264"/>
      <c r="AF6" s="264"/>
      <c r="AG6" s="264"/>
      <c r="AH6" s="264"/>
      <c r="AI6" s="264"/>
      <c r="AJ6" s="264"/>
      <c r="AK6" s="264"/>
      <c r="AL6" s="264"/>
      <c r="AM6" s="264"/>
      <c r="AN6" s="264"/>
      <c r="AO6" s="264"/>
      <c r="AP6" s="264"/>
      <c r="AQ6" s="264"/>
      <c r="AR6" s="264"/>
      <c r="AS6" s="264"/>
      <c r="AT6" s="264"/>
    </row>
    <row r="7" spans="1:46" s="265" customFormat="1" ht="16.5" customHeight="1" x14ac:dyDescent="0.35">
      <c r="A7" s="259">
        <v>2</v>
      </c>
      <c r="B7" s="259" t="s">
        <v>49</v>
      </c>
      <c r="C7" s="259" t="s">
        <v>105</v>
      </c>
      <c r="D7" s="259" t="s">
        <v>111</v>
      </c>
      <c r="E7" s="259">
        <v>6</v>
      </c>
      <c r="F7" s="260">
        <v>41075</v>
      </c>
      <c r="G7" s="261" t="s">
        <v>107</v>
      </c>
      <c r="H7" s="261">
        <v>6506461428</v>
      </c>
      <c r="I7" s="261" t="s">
        <v>108</v>
      </c>
      <c r="J7" s="262">
        <v>45161</v>
      </c>
      <c r="K7" s="259" t="s">
        <v>112</v>
      </c>
      <c r="L7" s="259" t="s">
        <v>113</v>
      </c>
      <c r="M7" s="259" t="s">
        <v>1731</v>
      </c>
      <c r="N7" s="259" t="s">
        <v>35</v>
      </c>
      <c r="O7" s="263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264"/>
      <c r="AC7" s="264"/>
      <c r="AD7" s="264"/>
      <c r="AE7" s="264"/>
      <c r="AF7" s="264"/>
      <c r="AG7" s="264"/>
      <c r="AH7" s="264"/>
      <c r="AI7" s="264"/>
      <c r="AJ7" s="264"/>
      <c r="AK7" s="264"/>
      <c r="AL7" s="264"/>
      <c r="AM7" s="264"/>
      <c r="AN7" s="264"/>
      <c r="AO7" s="264"/>
      <c r="AP7" s="264"/>
      <c r="AQ7" s="264"/>
      <c r="AR7" s="264"/>
      <c r="AS7" s="264"/>
      <c r="AT7" s="264"/>
    </row>
    <row r="8" spans="1:46" ht="16.5" customHeight="1" x14ac:dyDescent="0.35">
      <c r="A8" s="85">
        <v>3</v>
      </c>
      <c r="B8" s="85" t="s">
        <v>49</v>
      </c>
      <c r="C8" s="85" t="s">
        <v>114</v>
      </c>
      <c r="D8" s="85" t="s">
        <v>115</v>
      </c>
      <c r="E8" s="85">
        <v>3</v>
      </c>
      <c r="F8" s="86">
        <v>42218</v>
      </c>
      <c r="G8" s="87" t="s">
        <v>116</v>
      </c>
      <c r="H8" s="87">
        <v>4089069262</v>
      </c>
      <c r="I8" s="87" t="s">
        <v>117</v>
      </c>
      <c r="J8" s="88">
        <v>45154</v>
      </c>
      <c r="K8" s="85" t="s">
        <v>118</v>
      </c>
      <c r="L8" s="85" t="s">
        <v>119</v>
      </c>
      <c r="M8" s="85"/>
      <c r="N8" s="85" t="s">
        <v>41</v>
      </c>
      <c r="O8" s="89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</row>
    <row r="9" spans="1:46" ht="16.5" customHeight="1" x14ac:dyDescent="0.35">
      <c r="A9" s="85">
        <v>4</v>
      </c>
      <c r="B9" s="85" t="s">
        <v>89</v>
      </c>
      <c r="C9" s="85" t="s">
        <v>114</v>
      </c>
      <c r="D9" s="85" t="s">
        <v>115</v>
      </c>
      <c r="E9" s="85">
        <v>3</v>
      </c>
      <c r="F9" s="86">
        <v>42218</v>
      </c>
      <c r="G9" s="87" t="s">
        <v>116</v>
      </c>
      <c r="H9" s="87">
        <v>4089069262</v>
      </c>
      <c r="I9" s="87" t="s">
        <v>117</v>
      </c>
      <c r="J9" s="88">
        <v>45154</v>
      </c>
      <c r="K9" s="85" t="s">
        <v>120</v>
      </c>
      <c r="L9" s="85" t="s">
        <v>121</v>
      </c>
      <c r="M9" s="85"/>
      <c r="N9" s="85" t="s">
        <v>41</v>
      </c>
      <c r="O9" s="89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</row>
    <row r="10" spans="1:46" ht="16.5" customHeight="1" x14ac:dyDescent="0.35">
      <c r="A10" s="85">
        <v>5</v>
      </c>
      <c r="B10" s="85" t="s">
        <v>49</v>
      </c>
      <c r="C10" s="85" t="s">
        <v>114</v>
      </c>
      <c r="D10" s="85" t="s">
        <v>122</v>
      </c>
      <c r="E10" s="85">
        <v>2</v>
      </c>
      <c r="F10" s="86">
        <v>42606</v>
      </c>
      <c r="G10" s="87" t="s">
        <v>116</v>
      </c>
      <c r="H10" s="87">
        <v>4089069262</v>
      </c>
      <c r="I10" s="87" t="s">
        <v>117</v>
      </c>
      <c r="J10" s="88">
        <v>45154</v>
      </c>
      <c r="K10" s="85" t="s">
        <v>118</v>
      </c>
      <c r="L10" s="85" t="s">
        <v>123</v>
      </c>
      <c r="M10" s="85"/>
      <c r="N10" s="85" t="s">
        <v>41</v>
      </c>
      <c r="O10" s="89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</row>
    <row r="11" spans="1:46" ht="16.5" customHeight="1" x14ac:dyDescent="0.35">
      <c r="A11" s="85">
        <v>6</v>
      </c>
      <c r="B11" s="85" t="s">
        <v>89</v>
      </c>
      <c r="C11" s="85" t="s">
        <v>114</v>
      </c>
      <c r="D11" s="85" t="s">
        <v>122</v>
      </c>
      <c r="E11" s="85">
        <v>2</v>
      </c>
      <c r="F11" s="86">
        <v>42606</v>
      </c>
      <c r="G11" s="87" t="s">
        <v>116</v>
      </c>
      <c r="H11" s="87">
        <v>4089069262</v>
      </c>
      <c r="I11" s="87" t="s">
        <v>117</v>
      </c>
      <c r="J11" s="88">
        <v>45154</v>
      </c>
      <c r="K11" s="85" t="s">
        <v>124</v>
      </c>
      <c r="L11" s="85" t="s">
        <v>125</v>
      </c>
      <c r="M11" s="85"/>
      <c r="N11" s="85" t="s">
        <v>41</v>
      </c>
      <c r="O11" s="89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</row>
    <row r="12" spans="1:46" ht="16.5" customHeight="1" x14ac:dyDescent="0.35">
      <c r="A12" s="85">
        <v>7</v>
      </c>
      <c r="B12" s="91" t="s">
        <v>49</v>
      </c>
      <c r="C12" s="91" t="s">
        <v>1727</v>
      </c>
      <c r="D12" s="91" t="s">
        <v>127</v>
      </c>
      <c r="E12" s="91">
        <v>4</v>
      </c>
      <c r="F12" s="92">
        <v>41883</v>
      </c>
      <c r="G12" s="93" t="s">
        <v>128</v>
      </c>
      <c r="H12" s="93">
        <v>6502658854</v>
      </c>
      <c r="I12" s="93" t="s">
        <v>129</v>
      </c>
      <c r="J12" s="94">
        <v>45154</v>
      </c>
      <c r="K12" s="91" t="s">
        <v>130</v>
      </c>
      <c r="L12" s="91" t="s">
        <v>131</v>
      </c>
      <c r="M12" s="91"/>
      <c r="N12" s="91" t="s">
        <v>41</v>
      </c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</row>
    <row r="13" spans="1:46" ht="16.5" customHeight="1" x14ac:dyDescent="0.35">
      <c r="A13" s="85">
        <v>8</v>
      </c>
      <c r="B13" s="91" t="s">
        <v>89</v>
      </c>
      <c r="C13" s="91" t="s">
        <v>126</v>
      </c>
      <c r="D13" s="91" t="s">
        <v>127</v>
      </c>
      <c r="E13" s="91">
        <v>4</v>
      </c>
      <c r="F13" s="92">
        <v>41883</v>
      </c>
      <c r="G13" s="93" t="s">
        <v>128</v>
      </c>
      <c r="H13" s="93">
        <v>6502658854</v>
      </c>
      <c r="I13" s="93" t="s">
        <v>129</v>
      </c>
      <c r="J13" s="94">
        <v>45154</v>
      </c>
      <c r="K13" s="91" t="s">
        <v>132</v>
      </c>
      <c r="L13" s="91" t="s">
        <v>133</v>
      </c>
      <c r="M13" s="91"/>
      <c r="N13" s="91" t="s">
        <v>41</v>
      </c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</row>
    <row r="14" spans="1:46" ht="16.5" customHeight="1" x14ac:dyDescent="0.35">
      <c r="A14" s="85">
        <v>9</v>
      </c>
      <c r="B14" s="97" t="s">
        <v>49</v>
      </c>
      <c r="C14" s="97" t="s">
        <v>134</v>
      </c>
      <c r="D14" s="97" t="s">
        <v>135</v>
      </c>
      <c r="E14" s="97">
        <v>5</v>
      </c>
      <c r="F14" s="98">
        <v>41393</v>
      </c>
      <c r="G14" s="99" t="s">
        <v>136</v>
      </c>
      <c r="H14" s="99" t="s">
        <v>137</v>
      </c>
      <c r="I14" s="99" t="s">
        <v>138</v>
      </c>
      <c r="J14" s="100">
        <v>45174</v>
      </c>
      <c r="K14" s="97" t="s">
        <v>130</v>
      </c>
      <c r="L14" s="97" t="s">
        <v>139</v>
      </c>
      <c r="M14" s="97"/>
      <c r="N14" s="85" t="s">
        <v>41</v>
      </c>
      <c r="O14" s="101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</row>
    <row r="15" spans="1:46" ht="16.5" customHeight="1" x14ac:dyDescent="0.35">
      <c r="A15" s="85">
        <v>10</v>
      </c>
      <c r="B15" s="97" t="s">
        <v>89</v>
      </c>
      <c r="C15" s="97" t="s">
        <v>134</v>
      </c>
      <c r="D15" s="97" t="s">
        <v>135</v>
      </c>
      <c r="E15" s="97">
        <v>5</v>
      </c>
      <c r="F15" s="98">
        <v>41393</v>
      </c>
      <c r="G15" s="99" t="s">
        <v>136</v>
      </c>
      <c r="H15" s="99" t="s">
        <v>137</v>
      </c>
      <c r="I15" s="99" t="s">
        <v>138</v>
      </c>
      <c r="J15" s="100">
        <v>45174</v>
      </c>
      <c r="K15" s="97" t="s">
        <v>132</v>
      </c>
      <c r="L15" s="97" t="s">
        <v>140</v>
      </c>
      <c r="M15" s="97"/>
      <c r="N15" s="85" t="s">
        <v>41</v>
      </c>
      <c r="O15" s="101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</row>
    <row r="16" spans="1:46" ht="16.5" customHeight="1" x14ac:dyDescent="0.35">
      <c r="A16" s="85">
        <v>11</v>
      </c>
      <c r="B16" s="85" t="s">
        <v>49</v>
      </c>
      <c r="C16" s="85" t="s">
        <v>141</v>
      </c>
      <c r="D16" s="85" t="s">
        <v>142</v>
      </c>
      <c r="E16" s="85">
        <v>1</v>
      </c>
      <c r="F16" s="86">
        <v>42879</v>
      </c>
      <c r="G16" s="87" t="s">
        <v>143</v>
      </c>
      <c r="H16" s="87">
        <v>4086600798</v>
      </c>
      <c r="I16" s="87" t="s">
        <v>144</v>
      </c>
      <c r="J16" s="88">
        <v>45082</v>
      </c>
      <c r="K16" s="85" t="s">
        <v>145</v>
      </c>
      <c r="L16" s="85" t="s">
        <v>121</v>
      </c>
      <c r="M16" s="85"/>
      <c r="N16" s="85" t="s">
        <v>41</v>
      </c>
      <c r="O16" s="89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</row>
    <row r="17" spans="1:46" ht="16.5" customHeight="1" x14ac:dyDescent="0.35">
      <c r="A17" s="85">
        <v>12</v>
      </c>
      <c r="B17" s="85" t="s">
        <v>89</v>
      </c>
      <c r="C17" s="85" t="s">
        <v>141</v>
      </c>
      <c r="D17" s="85" t="s">
        <v>142</v>
      </c>
      <c r="E17" s="85">
        <v>1</v>
      </c>
      <c r="F17" s="86">
        <v>42879</v>
      </c>
      <c r="G17" s="87" t="s">
        <v>143</v>
      </c>
      <c r="H17" s="87">
        <v>4086600798</v>
      </c>
      <c r="I17" s="87" t="s">
        <v>144</v>
      </c>
      <c r="J17" s="88">
        <v>45082</v>
      </c>
      <c r="K17" s="85" t="s">
        <v>146</v>
      </c>
      <c r="L17" s="85">
        <v>21</v>
      </c>
      <c r="M17" s="85"/>
      <c r="N17" s="85" t="s">
        <v>41</v>
      </c>
      <c r="O17" s="89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</row>
    <row r="18" spans="1:46" ht="16.5" customHeight="1" x14ac:dyDescent="0.35">
      <c r="A18" s="85">
        <v>13</v>
      </c>
      <c r="B18" s="91" t="s">
        <v>49</v>
      </c>
      <c r="C18" s="91" t="s">
        <v>147</v>
      </c>
      <c r="D18" s="91" t="s">
        <v>148</v>
      </c>
      <c r="E18" s="91" t="s">
        <v>149</v>
      </c>
      <c r="F18" s="92">
        <v>41461</v>
      </c>
      <c r="G18" s="93" t="s">
        <v>150</v>
      </c>
      <c r="H18" s="93" t="s">
        <v>151</v>
      </c>
      <c r="I18" s="93" t="s">
        <v>152</v>
      </c>
      <c r="J18" s="94">
        <v>44354</v>
      </c>
      <c r="K18" s="91" t="s">
        <v>153</v>
      </c>
      <c r="L18" s="91" t="s">
        <v>154</v>
      </c>
      <c r="M18" s="91"/>
      <c r="N18" s="91" t="s">
        <v>41</v>
      </c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</row>
    <row r="19" spans="1:46" ht="16.5" customHeight="1" x14ac:dyDescent="0.35">
      <c r="A19" s="85">
        <v>14</v>
      </c>
      <c r="B19" s="91" t="s">
        <v>89</v>
      </c>
      <c r="C19" s="91" t="s">
        <v>147</v>
      </c>
      <c r="D19" s="91" t="s">
        <v>148</v>
      </c>
      <c r="E19" s="91" t="s">
        <v>149</v>
      </c>
      <c r="F19" s="92">
        <v>41461</v>
      </c>
      <c r="G19" s="93" t="s">
        <v>150</v>
      </c>
      <c r="H19" s="93" t="s">
        <v>151</v>
      </c>
      <c r="I19" s="93" t="s">
        <v>152</v>
      </c>
      <c r="J19" s="94">
        <v>43651</v>
      </c>
      <c r="K19" s="91" t="s">
        <v>155</v>
      </c>
      <c r="L19" s="91" t="s">
        <v>156</v>
      </c>
      <c r="M19" s="91"/>
      <c r="N19" s="91" t="s">
        <v>41</v>
      </c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</row>
    <row r="20" spans="1:46" ht="16.5" customHeight="1" x14ac:dyDescent="0.35">
      <c r="A20" s="85">
        <v>15</v>
      </c>
      <c r="B20" s="91" t="s">
        <v>49</v>
      </c>
      <c r="C20" s="91" t="s">
        <v>157</v>
      </c>
      <c r="D20" s="91" t="s">
        <v>158</v>
      </c>
      <c r="E20" s="91">
        <v>4</v>
      </c>
      <c r="F20" s="92">
        <v>41674</v>
      </c>
      <c r="G20" s="93" t="s">
        <v>159</v>
      </c>
      <c r="H20" s="93">
        <v>4088358131</v>
      </c>
      <c r="I20" s="93" t="s">
        <v>160</v>
      </c>
      <c r="J20" s="94">
        <v>45160</v>
      </c>
      <c r="K20" s="91" t="s">
        <v>161</v>
      </c>
      <c r="L20" s="91" t="s">
        <v>162</v>
      </c>
      <c r="M20" s="91"/>
      <c r="N20" s="91" t="s">
        <v>41</v>
      </c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</row>
    <row r="21" spans="1:46" ht="16.5" customHeight="1" x14ac:dyDescent="0.35">
      <c r="A21" s="85">
        <v>16</v>
      </c>
      <c r="B21" s="91" t="s">
        <v>89</v>
      </c>
      <c r="C21" s="91" t="s">
        <v>157</v>
      </c>
      <c r="D21" s="91" t="s">
        <v>158</v>
      </c>
      <c r="E21" s="91">
        <v>4</v>
      </c>
      <c r="F21" s="92">
        <v>41674</v>
      </c>
      <c r="G21" s="93" t="s">
        <v>159</v>
      </c>
      <c r="H21" s="93">
        <v>4088358131</v>
      </c>
      <c r="I21" s="93" t="s">
        <v>160</v>
      </c>
      <c r="J21" s="94">
        <v>45160</v>
      </c>
      <c r="K21" s="91" t="s">
        <v>163</v>
      </c>
      <c r="L21" s="91" t="s">
        <v>140</v>
      </c>
      <c r="M21" s="91"/>
      <c r="N21" s="91" t="s">
        <v>41</v>
      </c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</row>
    <row r="22" spans="1:46" ht="16.5" customHeight="1" x14ac:dyDescent="0.35">
      <c r="A22" s="85">
        <v>17</v>
      </c>
      <c r="B22" s="91" t="s">
        <v>49</v>
      </c>
      <c r="C22" s="91" t="s">
        <v>157</v>
      </c>
      <c r="D22" s="91" t="s">
        <v>164</v>
      </c>
      <c r="E22" s="91">
        <v>7</v>
      </c>
      <c r="F22" s="92">
        <v>40912</v>
      </c>
      <c r="G22" s="93" t="s">
        <v>159</v>
      </c>
      <c r="H22" s="93">
        <v>4088358131</v>
      </c>
      <c r="I22" s="93" t="s">
        <v>160</v>
      </c>
      <c r="J22" s="94">
        <v>45160</v>
      </c>
      <c r="K22" s="91" t="s">
        <v>153</v>
      </c>
      <c r="L22" s="91" t="s">
        <v>165</v>
      </c>
      <c r="M22" s="91"/>
      <c r="N22" s="91" t="s">
        <v>41</v>
      </c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</row>
    <row r="23" spans="1:46" ht="16.5" customHeight="1" x14ac:dyDescent="0.35">
      <c r="A23" s="85">
        <v>18</v>
      </c>
      <c r="B23" s="91" t="s">
        <v>89</v>
      </c>
      <c r="C23" s="91" t="s">
        <v>157</v>
      </c>
      <c r="D23" s="91" t="s">
        <v>166</v>
      </c>
      <c r="E23" s="91">
        <v>7</v>
      </c>
      <c r="F23" s="92">
        <v>40912</v>
      </c>
      <c r="G23" s="93" t="s">
        <v>159</v>
      </c>
      <c r="H23" s="93">
        <v>4088358131</v>
      </c>
      <c r="I23" s="93" t="s">
        <v>160</v>
      </c>
      <c r="J23" s="94">
        <v>45160</v>
      </c>
      <c r="K23" s="91" t="s">
        <v>167</v>
      </c>
      <c r="L23" s="91" t="s">
        <v>125</v>
      </c>
      <c r="M23" s="91"/>
      <c r="N23" s="91" t="s">
        <v>41</v>
      </c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</row>
    <row r="24" spans="1:46" ht="16.5" customHeight="1" x14ac:dyDescent="0.35">
      <c r="A24" s="85">
        <v>19</v>
      </c>
      <c r="B24" s="85" t="s">
        <v>49</v>
      </c>
      <c r="C24" s="85" t="s">
        <v>168</v>
      </c>
      <c r="D24" s="85" t="s">
        <v>169</v>
      </c>
      <c r="E24" s="85">
        <v>2</v>
      </c>
      <c r="F24" s="86">
        <v>42627</v>
      </c>
      <c r="G24" s="87" t="s">
        <v>159</v>
      </c>
      <c r="H24" s="87">
        <v>4088358131</v>
      </c>
      <c r="I24" s="87" t="s">
        <v>160</v>
      </c>
      <c r="J24" s="88">
        <v>45160</v>
      </c>
      <c r="K24" s="85" t="s">
        <v>118</v>
      </c>
      <c r="L24" s="85" t="s">
        <v>170</v>
      </c>
      <c r="M24" s="85"/>
      <c r="N24" s="85" t="s">
        <v>41</v>
      </c>
      <c r="O24" s="89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</row>
    <row r="25" spans="1:46" ht="16.5" customHeight="1" x14ac:dyDescent="0.35">
      <c r="A25" s="85">
        <v>20</v>
      </c>
      <c r="B25" s="85" t="s">
        <v>89</v>
      </c>
      <c r="C25" s="85" t="s">
        <v>168</v>
      </c>
      <c r="D25" s="85" t="s">
        <v>169</v>
      </c>
      <c r="E25" s="85">
        <v>2</v>
      </c>
      <c r="F25" s="86">
        <v>42627</v>
      </c>
      <c r="G25" s="87" t="s">
        <v>159</v>
      </c>
      <c r="H25" s="87">
        <v>4088358131</v>
      </c>
      <c r="I25" s="87" t="s">
        <v>160</v>
      </c>
      <c r="J25" s="88">
        <v>45160</v>
      </c>
      <c r="K25" s="85" t="s">
        <v>171</v>
      </c>
      <c r="L25" s="85" t="s">
        <v>139</v>
      </c>
      <c r="M25" s="85"/>
      <c r="N25" s="85" t="s">
        <v>41</v>
      </c>
      <c r="O25" s="89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</row>
    <row r="26" spans="1:46" ht="16.5" customHeight="1" x14ac:dyDescent="0.35">
      <c r="A26" s="85">
        <v>21</v>
      </c>
      <c r="B26" s="85" t="s">
        <v>49</v>
      </c>
      <c r="C26" s="85" t="s">
        <v>168</v>
      </c>
      <c r="D26" s="85" t="s">
        <v>172</v>
      </c>
      <c r="E26" s="85">
        <v>2</v>
      </c>
      <c r="F26" s="86">
        <v>42627</v>
      </c>
      <c r="G26" s="87" t="s">
        <v>159</v>
      </c>
      <c r="H26" s="87">
        <v>4088358131</v>
      </c>
      <c r="I26" s="87" t="s">
        <v>160</v>
      </c>
      <c r="J26" s="88">
        <v>45160</v>
      </c>
      <c r="K26" s="85" t="s">
        <v>118</v>
      </c>
      <c r="L26" s="85" t="s">
        <v>173</v>
      </c>
      <c r="M26" s="85"/>
      <c r="N26" s="85" t="s">
        <v>41</v>
      </c>
      <c r="O26" s="89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</row>
    <row r="27" spans="1:46" ht="16.5" customHeight="1" x14ac:dyDescent="0.35">
      <c r="A27" s="85">
        <v>22</v>
      </c>
      <c r="B27" s="85" t="s">
        <v>89</v>
      </c>
      <c r="C27" s="85" t="s">
        <v>168</v>
      </c>
      <c r="D27" s="85" t="s">
        <v>172</v>
      </c>
      <c r="E27" s="85">
        <v>2</v>
      </c>
      <c r="F27" s="86">
        <v>42627</v>
      </c>
      <c r="G27" s="87" t="s">
        <v>159</v>
      </c>
      <c r="H27" s="87">
        <v>4088358131</v>
      </c>
      <c r="I27" s="87" t="s">
        <v>160</v>
      </c>
      <c r="J27" s="88">
        <v>45160</v>
      </c>
      <c r="K27" s="85" t="s">
        <v>171</v>
      </c>
      <c r="L27" s="85" t="s">
        <v>162</v>
      </c>
      <c r="M27" s="85"/>
      <c r="N27" s="85" t="s">
        <v>41</v>
      </c>
      <c r="O27" s="89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</row>
    <row r="28" spans="1:46" ht="16.5" customHeight="1" x14ac:dyDescent="0.35">
      <c r="A28" s="85">
        <v>23</v>
      </c>
      <c r="B28" s="91" t="s">
        <v>49</v>
      </c>
      <c r="C28" s="91" t="s">
        <v>174</v>
      </c>
      <c r="D28" s="91" t="s">
        <v>175</v>
      </c>
      <c r="E28" s="91">
        <v>1</v>
      </c>
      <c r="F28" s="92">
        <v>42277</v>
      </c>
      <c r="G28" s="93" t="s">
        <v>176</v>
      </c>
      <c r="H28" s="93">
        <v>3472777326</v>
      </c>
      <c r="I28" s="93" t="s">
        <v>177</v>
      </c>
      <c r="J28" s="94">
        <v>45139</v>
      </c>
      <c r="K28" s="91" t="s">
        <v>161</v>
      </c>
      <c r="L28" s="91" t="s">
        <v>154</v>
      </c>
      <c r="M28" s="91"/>
      <c r="N28" s="91" t="s">
        <v>41</v>
      </c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</row>
    <row r="29" spans="1:46" ht="16.5" customHeight="1" x14ac:dyDescent="0.35">
      <c r="A29" s="85">
        <v>24</v>
      </c>
      <c r="B29" s="85" t="s">
        <v>89</v>
      </c>
      <c r="C29" s="85" t="s">
        <v>174</v>
      </c>
      <c r="D29" s="85" t="s">
        <v>175</v>
      </c>
      <c r="E29" s="85">
        <v>1</v>
      </c>
      <c r="F29" s="86">
        <v>42277</v>
      </c>
      <c r="G29" s="87" t="s">
        <v>176</v>
      </c>
      <c r="H29" s="87">
        <v>3472777326</v>
      </c>
      <c r="I29" s="87" t="s">
        <v>177</v>
      </c>
      <c r="J29" s="88">
        <v>45139</v>
      </c>
      <c r="K29" s="85" t="s">
        <v>163</v>
      </c>
      <c r="L29" s="85" t="s">
        <v>178</v>
      </c>
      <c r="M29" s="85"/>
      <c r="N29" s="85" t="s">
        <v>41</v>
      </c>
      <c r="O29" s="89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</row>
    <row r="30" spans="1:46" ht="16.5" customHeight="1" x14ac:dyDescent="0.35">
      <c r="A30" s="85">
        <v>25</v>
      </c>
      <c r="B30" s="85" t="s">
        <v>49</v>
      </c>
      <c r="C30" s="85" t="s">
        <v>174</v>
      </c>
      <c r="D30" s="85" t="s">
        <v>179</v>
      </c>
      <c r="E30" s="85" t="s">
        <v>180</v>
      </c>
      <c r="F30" s="86">
        <v>43431</v>
      </c>
      <c r="G30" s="87" t="s">
        <v>181</v>
      </c>
      <c r="H30" s="87">
        <v>3472777326</v>
      </c>
      <c r="I30" s="87" t="s">
        <v>177</v>
      </c>
      <c r="J30" s="88">
        <v>45154</v>
      </c>
      <c r="K30" s="85" t="s">
        <v>182</v>
      </c>
      <c r="L30" s="85" t="s">
        <v>183</v>
      </c>
      <c r="M30" s="85"/>
      <c r="N30" s="85" t="s">
        <v>41</v>
      </c>
      <c r="O30" s="89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</row>
    <row r="31" spans="1:46" ht="16.5" customHeight="1" x14ac:dyDescent="0.35">
      <c r="A31" s="85">
        <v>26</v>
      </c>
      <c r="B31" s="85" t="s">
        <v>89</v>
      </c>
      <c r="C31" s="85" t="s">
        <v>174</v>
      </c>
      <c r="D31" s="85" t="s">
        <v>179</v>
      </c>
      <c r="E31" s="85" t="s">
        <v>180</v>
      </c>
      <c r="F31" s="86">
        <v>43431</v>
      </c>
      <c r="G31" s="87" t="s">
        <v>181</v>
      </c>
      <c r="H31" s="87">
        <v>3472777326</v>
      </c>
      <c r="I31" s="87" t="s">
        <v>177</v>
      </c>
      <c r="J31" s="88">
        <v>45154</v>
      </c>
      <c r="K31" s="85" t="s">
        <v>184</v>
      </c>
      <c r="L31" s="85" t="s">
        <v>185</v>
      </c>
      <c r="M31" s="85"/>
      <c r="N31" s="85" t="s">
        <v>41</v>
      </c>
      <c r="O31" s="89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</row>
    <row r="32" spans="1:46" ht="16.5" customHeight="1" x14ac:dyDescent="0.35">
      <c r="A32" s="85">
        <v>27</v>
      </c>
      <c r="B32" s="103" t="s">
        <v>49</v>
      </c>
      <c r="C32" s="104" t="s">
        <v>186</v>
      </c>
      <c r="D32" s="104" t="s">
        <v>187</v>
      </c>
      <c r="E32" s="104">
        <v>4</v>
      </c>
      <c r="F32" s="105">
        <v>41677</v>
      </c>
      <c r="G32" s="106" t="s">
        <v>188</v>
      </c>
      <c r="H32" s="106">
        <v>4089213041</v>
      </c>
      <c r="I32" s="106" t="s">
        <v>189</v>
      </c>
      <c r="J32" s="107">
        <v>45196</v>
      </c>
      <c r="K32" s="104" t="s">
        <v>190</v>
      </c>
      <c r="L32" s="104" t="s">
        <v>162</v>
      </c>
      <c r="M32" s="104"/>
      <c r="N32" s="91" t="s">
        <v>41</v>
      </c>
      <c r="O32" s="108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</row>
    <row r="33" spans="1:46" ht="16.5" customHeight="1" x14ac:dyDescent="0.35">
      <c r="A33" s="85">
        <v>28</v>
      </c>
      <c r="B33" s="103" t="s">
        <v>89</v>
      </c>
      <c r="C33" s="104" t="s">
        <v>186</v>
      </c>
      <c r="D33" s="104" t="s">
        <v>187</v>
      </c>
      <c r="E33" s="104">
        <v>4</v>
      </c>
      <c r="F33" s="105">
        <v>41677</v>
      </c>
      <c r="G33" s="106" t="s">
        <v>188</v>
      </c>
      <c r="H33" s="106">
        <v>4089213041</v>
      </c>
      <c r="I33" s="106" t="s">
        <v>189</v>
      </c>
      <c r="J33" s="107">
        <v>45196</v>
      </c>
      <c r="K33" s="104" t="s">
        <v>120</v>
      </c>
      <c r="L33" s="104" t="s">
        <v>140</v>
      </c>
      <c r="M33" s="104"/>
      <c r="N33" s="91" t="s">
        <v>41</v>
      </c>
      <c r="O33" s="108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</row>
    <row r="34" spans="1:46" ht="16.5" customHeight="1" x14ac:dyDescent="0.35">
      <c r="A34" s="85">
        <v>29</v>
      </c>
      <c r="B34" s="85" t="s">
        <v>49</v>
      </c>
      <c r="C34" s="85" t="s">
        <v>191</v>
      </c>
      <c r="D34" s="85" t="s">
        <v>192</v>
      </c>
      <c r="E34" s="85">
        <v>5</v>
      </c>
      <c r="F34" s="86">
        <v>41164</v>
      </c>
      <c r="G34" s="87" t="s">
        <v>193</v>
      </c>
      <c r="H34" s="87" t="s">
        <v>194</v>
      </c>
      <c r="I34" s="87" t="s">
        <v>195</v>
      </c>
      <c r="J34" s="88">
        <v>45154</v>
      </c>
      <c r="K34" s="85" t="s">
        <v>109</v>
      </c>
      <c r="L34" s="85" t="s">
        <v>196</v>
      </c>
      <c r="M34" s="85"/>
      <c r="N34" s="85" t="s">
        <v>41</v>
      </c>
      <c r="O34" s="89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</row>
    <row r="35" spans="1:46" ht="16.5" customHeight="1" x14ac:dyDescent="0.35">
      <c r="A35" s="85">
        <v>30</v>
      </c>
      <c r="B35" s="91" t="s">
        <v>89</v>
      </c>
      <c r="C35" s="91" t="s">
        <v>191</v>
      </c>
      <c r="D35" s="91" t="s">
        <v>192</v>
      </c>
      <c r="E35" s="91">
        <v>5</v>
      </c>
      <c r="F35" s="92">
        <v>41164</v>
      </c>
      <c r="G35" s="93" t="s">
        <v>193</v>
      </c>
      <c r="H35" s="93" t="s">
        <v>194</v>
      </c>
      <c r="I35" s="93" t="s">
        <v>195</v>
      </c>
      <c r="J35" s="94">
        <v>45154</v>
      </c>
      <c r="K35" s="91" t="s">
        <v>155</v>
      </c>
      <c r="L35" s="91" t="s">
        <v>197</v>
      </c>
      <c r="M35" s="91"/>
      <c r="N35" s="91" t="s">
        <v>41</v>
      </c>
      <c r="O35" s="95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</row>
    <row r="36" spans="1:46" ht="16.5" customHeight="1" x14ac:dyDescent="0.35">
      <c r="A36" s="85">
        <v>31</v>
      </c>
      <c r="B36" s="85" t="s">
        <v>49</v>
      </c>
      <c r="C36" s="85" t="s">
        <v>198</v>
      </c>
      <c r="D36" s="85" t="s">
        <v>199</v>
      </c>
      <c r="E36" s="85">
        <v>2</v>
      </c>
      <c r="F36" s="86">
        <v>42461</v>
      </c>
      <c r="G36" s="87" t="s">
        <v>200</v>
      </c>
      <c r="H36" s="87">
        <v>2012684169</v>
      </c>
      <c r="I36" s="87" t="s">
        <v>201</v>
      </c>
      <c r="J36" s="88">
        <v>45159</v>
      </c>
      <c r="K36" s="85" t="s">
        <v>202</v>
      </c>
      <c r="L36" s="85" t="s">
        <v>119</v>
      </c>
      <c r="M36" s="85"/>
      <c r="N36" s="85" t="s">
        <v>41</v>
      </c>
      <c r="O36" s="89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</row>
    <row r="37" spans="1:46" ht="16.5" customHeight="1" x14ac:dyDescent="0.35">
      <c r="A37" s="85">
        <v>32</v>
      </c>
      <c r="B37" s="85" t="s">
        <v>89</v>
      </c>
      <c r="C37" s="85" t="s">
        <v>198</v>
      </c>
      <c r="D37" s="85" t="s">
        <v>199</v>
      </c>
      <c r="E37" s="85">
        <v>2</v>
      </c>
      <c r="F37" s="86">
        <v>42461</v>
      </c>
      <c r="G37" s="87" t="s">
        <v>200</v>
      </c>
      <c r="H37" s="87">
        <v>2012684169</v>
      </c>
      <c r="I37" s="87" t="s">
        <v>201</v>
      </c>
      <c r="J37" s="88">
        <v>45159</v>
      </c>
      <c r="K37" s="85" t="s">
        <v>163</v>
      </c>
      <c r="L37" s="85" t="s">
        <v>123</v>
      </c>
      <c r="M37" s="85"/>
      <c r="N37" s="85" t="s">
        <v>41</v>
      </c>
      <c r="O37" s="89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</row>
    <row r="38" spans="1:46" ht="16.5" customHeight="1" x14ac:dyDescent="0.35">
      <c r="A38" s="85">
        <v>33</v>
      </c>
      <c r="B38" s="85" t="s">
        <v>49</v>
      </c>
      <c r="C38" s="85" t="s">
        <v>198</v>
      </c>
      <c r="D38" s="85" t="s">
        <v>203</v>
      </c>
      <c r="E38" s="85" t="s">
        <v>180</v>
      </c>
      <c r="F38" s="86">
        <v>43230</v>
      </c>
      <c r="G38" s="87" t="s">
        <v>200</v>
      </c>
      <c r="H38" s="87">
        <v>2012684169</v>
      </c>
      <c r="I38" s="87" t="s">
        <v>201</v>
      </c>
      <c r="J38" s="88">
        <v>45159</v>
      </c>
      <c r="K38" s="85" t="s">
        <v>118</v>
      </c>
      <c r="L38" s="85" t="s">
        <v>123</v>
      </c>
      <c r="M38" s="85"/>
      <c r="N38" s="85" t="s">
        <v>41</v>
      </c>
      <c r="O38" s="89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</row>
    <row r="39" spans="1:46" ht="16.5" customHeight="1" x14ac:dyDescent="0.35">
      <c r="A39" s="85">
        <v>34</v>
      </c>
      <c r="B39" s="85" t="s">
        <v>89</v>
      </c>
      <c r="C39" s="85" t="s">
        <v>198</v>
      </c>
      <c r="D39" s="85" t="s">
        <v>203</v>
      </c>
      <c r="E39" s="85" t="s">
        <v>180</v>
      </c>
      <c r="F39" s="86">
        <v>43230</v>
      </c>
      <c r="G39" s="87" t="s">
        <v>200</v>
      </c>
      <c r="H39" s="87">
        <v>2012684169</v>
      </c>
      <c r="I39" s="87" t="s">
        <v>201</v>
      </c>
      <c r="J39" s="88">
        <v>45159</v>
      </c>
      <c r="K39" s="85" t="s">
        <v>124</v>
      </c>
      <c r="L39" s="85" t="s">
        <v>113</v>
      </c>
      <c r="M39" s="85"/>
      <c r="N39" s="85" t="s">
        <v>41</v>
      </c>
      <c r="O39" s="89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</row>
    <row r="40" spans="1:46" ht="16.5" customHeight="1" x14ac:dyDescent="0.35">
      <c r="A40" s="85">
        <v>35</v>
      </c>
      <c r="B40" s="91" t="s">
        <v>49</v>
      </c>
      <c r="C40" s="91" t="s">
        <v>204</v>
      </c>
      <c r="D40" s="91" t="s">
        <v>205</v>
      </c>
      <c r="E40" s="91">
        <v>2</v>
      </c>
      <c r="F40" s="92">
        <v>42196</v>
      </c>
      <c r="G40" s="93" t="s">
        <v>206</v>
      </c>
      <c r="H40" s="93">
        <v>4696488922</v>
      </c>
      <c r="I40" s="93" t="s">
        <v>207</v>
      </c>
      <c r="J40" s="94">
        <v>45154</v>
      </c>
      <c r="K40" s="91" t="s">
        <v>109</v>
      </c>
      <c r="L40" s="91" t="s">
        <v>123</v>
      </c>
      <c r="M40" s="91"/>
      <c r="N40" s="91" t="s">
        <v>41</v>
      </c>
      <c r="O40" s="95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</row>
    <row r="41" spans="1:46" ht="16.5" customHeight="1" x14ac:dyDescent="0.35">
      <c r="A41" s="85">
        <v>36</v>
      </c>
      <c r="B41" s="91" t="s">
        <v>89</v>
      </c>
      <c r="C41" s="91" t="s">
        <v>204</v>
      </c>
      <c r="D41" s="91" t="s">
        <v>205</v>
      </c>
      <c r="E41" s="91">
        <v>2</v>
      </c>
      <c r="F41" s="92">
        <v>42196</v>
      </c>
      <c r="G41" s="93" t="s">
        <v>206</v>
      </c>
      <c r="H41" s="93">
        <v>4696488922</v>
      </c>
      <c r="I41" s="93" t="s">
        <v>207</v>
      </c>
      <c r="J41" s="94">
        <v>45154</v>
      </c>
      <c r="K41" s="91" t="s">
        <v>155</v>
      </c>
      <c r="L41" s="91" t="s">
        <v>173</v>
      </c>
      <c r="M41" s="91"/>
      <c r="N41" s="91" t="s">
        <v>41</v>
      </c>
      <c r="O41" s="95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</row>
    <row r="42" spans="1:46" ht="16.5" customHeight="1" x14ac:dyDescent="0.35">
      <c r="A42" s="85">
        <v>37</v>
      </c>
      <c r="B42" s="103" t="s">
        <v>49</v>
      </c>
      <c r="C42" s="104" t="s">
        <v>208</v>
      </c>
      <c r="D42" s="104" t="s">
        <v>209</v>
      </c>
      <c r="E42" s="104">
        <v>6</v>
      </c>
      <c r="F42" s="105">
        <v>40830</v>
      </c>
      <c r="G42" s="106" t="s">
        <v>210</v>
      </c>
      <c r="H42" s="106">
        <v>4156768789</v>
      </c>
      <c r="I42" s="106" t="s">
        <v>211</v>
      </c>
      <c r="J42" s="107">
        <v>45197</v>
      </c>
      <c r="K42" s="104" t="s">
        <v>212</v>
      </c>
      <c r="L42" s="104" t="s">
        <v>133</v>
      </c>
      <c r="M42" s="104"/>
      <c r="N42" s="91" t="s">
        <v>41</v>
      </c>
      <c r="O42" s="108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</row>
    <row r="43" spans="1:46" ht="16.5" customHeight="1" x14ac:dyDescent="0.35">
      <c r="A43" s="85">
        <v>38</v>
      </c>
      <c r="B43" s="103" t="s">
        <v>89</v>
      </c>
      <c r="C43" s="104" t="s">
        <v>208</v>
      </c>
      <c r="D43" s="104" t="s">
        <v>209</v>
      </c>
      <c r="E43" s="104">
        <v>6</v>
      </c>
      <c r="F43" s="105">
        <v>40830</v>
      </c>
      <c r="G43" s="106" t="s">
        <v>210</v>
      </c>
      <c r="H43" s="106">
        <v>4156768789</v>
      </c>
      <c r="I43" s="106" t="s">
        <v>211</v>
      </c>
      <c r="J43" s="107">
        <v>45197</v>
      </c>
      <c r="K43" s="104" t="s">
        <v>132</v>
      </c>
      <c r="L43" s="104" t="s">
        <v>156</v>
      </c>
      <c r="M43" s="104"/>
      <c r="N43" s="91" t="s">
        <v>41</v>
      </c>
      <c r="O43" s="108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</row>
    <row r="44" spans="1:46" ht="16.5" customHeight="1" x14ac:dyDescent="0.35">
      <c r="A44" s="85">
        <v>39</v>
      </c>
      <c r="B44" s="103" t="s">
        <v>49</v>
      </c>
      <c r="C44" s="104" t="s">
        <v>208</v>
      </c>
      <c r="D44" s="104" t="s">
        <v>213</v>
      </c>
      <c r="E44" s="104" t="s">
        <v>180</v>
      </c>
      <c r="F44" s="105">
        <v>39554</v>
      </c>
      <c r="G44" s="106" t="s">
        <v>210</v>
      </c>
      <c r="H44" s="106">
        <v>4156768789</v>
      </c>
      <c r="I44" s="106" t="s">
        <v>211</v>
      </c>
      <c r="J44" s="107">
        <v>45197</v>
      </c>
      <c r="K44" s="104" t="s">
        <v>214</v>
      </c>
      <c r="L44" s="104" t="s">
        <v>215</v>
      </c>
      <c r="M44" s="104"/>
      <c r="N44" s="91" t="s">
        <v>41</v>
      </c>
      <c r="O44" s="108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</row>
    <row r="45" spans="1:46" ht="16.5" customHeight="1" x14ac:dyDescent="0.35">
      <c r="A45" s="85">
        <v>40</v>
      </c>
      <c r="B45" s="103" t="s">
        <v>89</v>
      </c>
      <c r="C45" s="104" t="s">
        <v>208</v>
      </c>
      <c r="D45" s="104" t="s">
        <v>213</v>
      </c>
      <c r="E45" s="104" t="s">
        <v>180</v>
      </c>
      <c r="F45" s="105">
        <v>39554</v>
      </c>
      <c r="G45" s="106" t="s">
        <v>210</v>
      </c>
      <c r="H45" s="106">
        <v>4156768789</v>
      </c>
      <c r="I45" s="106" t="s">
        <v>211</v>
      </c>
      <c r="J45" s="107">
        <v>45197</v>
      </c>
      <c r="K45" s="104" t="s">
        <v>216</v>
      </c>
      <c r="L45" s="104" t="s">
        <v>215</v>
      </c>
      <c r="M45" s="104"/>
      <c r="N45" s="91" t="s">
        <v>41</v>
      </c>
      <c r="O45" s="108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</row>
    <row r="46" spans="1:46" ht="16.5" customHeight="1" x14ac:dyDescent="0.35">
      <c r="A46" s="85">
        <v>41</v>
      </c>
      <c r="B46" s="91" t="s">
        <v>49</v>
      </c>
      <c r="C46" s="91" t="s">
        <v>217</v>
      </c>
      <c r="D46" s="91" t="s">
        <v>218</v>
      </c>
      <c r="E46" s="91">
        <v>7</v>
      </c>
      <c r="F46" s="92">
        <v>40423</v>
      </c>
      <c r="G46" s="93" t="s">
        <v>219</v>
      </c>
      <c r="H46" s="93">
        <v>5202412076</v>
      </c>
      <c r="I46" s="93" t="s">
        <v>220</v>
      </c>
      <c r="J46" s="94">
        <v>45139</v>
      </c>
      <c r="K46" s="91" t="s">
        <v>153</v>
      </c>
      <c r="L46" s="91" t="s">
        <v>162</v>
      </c>
      <c r="M46" s="91"/>
      <c r="N46" s="91" t="s">
        <v>41</v>
      </c>
      <c r="O46" s="95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</row>
    <row r="47" spans="1:46" ht="16.5" customHeight="1" x14ac:dyDescent="0.35">
      <c r="A47" s="85">
        <v>42</v>
      </c>
      <c r="B47" s="91" t="s">
        <v>89</v>
      </c>
      <c r="C47" s="91" t="s">
        <v>217</v>
      </c>
      <c r="D47" s="91" t="s">
        <v>218</v>
      </c>
      <c r="E47" s="91">
        <v>6</v>
      </c>
      <c r="F47" s="92">
        <v>40423</v>
      </c>
      <c r="G47" s="93" t="s">
        <v>219</v>
      </c>
      <c r="H47" s="93">
        <v>5202412076</v>
      </c>
      <c r="I47" s="93" t="s">
        <v>220</v>
      </c>
      <c r="J47" s="94">
        <v>44942</v>
      </c>
      <c r="K47" s="91" t="s">
        <v>216</v>
      </c>
      <c r="L47" s="91" t="s">
        <v>140</v>
      </c>
      <c r="M47" s="91"/>
      <c r="N47" s="91" t="s">
        <v>41</v>
      </c>
      <c r="O47" s="95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</row>
    <row r="48" spans="1:46" ht="16.5" customHeight="1" x14ac:dyDescent="0.35">
      <c r="A48" s="85">
        <v>43</v>
      </c>
      <c r="B48" s="85" t="s">
        <v>49</v>
      </c>
      <c r="C48" s="85" t="s">
        <v>217</v>
      </c>
      <c r="D48" s="85" t="s">
        <v>221</v>
      </c>
      <c r="E48" s="85">
        <v>1</v>
      </c>
      <c r="F48" s="86">
        <v>42988</v>
      </c>
      <c r="G48" s="87" t="s">
        <v>222</v>
      </c>
      <c r="H48" s="87">
        <v>5104568792</v>
      </c>
      <c r="I48" s="87" t="s">
        <v>223</v>
      </c>
      <c r="J48" s="88">
        <v>45157</v>
      </c>
      <c r="K48" s="85" t="s">
        <v>190</v>
      </c>
      <c r="L48" s="85" t="s">
        <v>224</v>
      </c>
      <c r="M48" s="85"/>
      <c r="N48" s="85" t="s">
        <v>41</v>
      </c>
      <c r="O48" s="89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</row>
    <row r="49" spans="1:46" ht="16.5" customHeight="1" x14ac:dyDescent="0.35">
      <c r="A49" s="85">
        <v>44</v>
      </c>
      <c r="B49" s="85" t="s">
        <v>89</v>
      </c>
      <c r="C49" s="85" t="s">
        <v>217</v>
      </c>
      <c r="D49" s="85" t="s">
        <v>221</v>
      </c>
      <c r="E49" s="85">
        <v>1</v>
      </c>
      <c r="F49" s="86">
        <v>42988</v>
      </c>
      <c r="G49" s="87" t="s">
        <v>222</v>
      </c>
      <c r="H49" s="87">
        <v>5104568792</v>
      </c>
      <c r="I49" s="87" t="s">
        <v>223</v>
      </c>
      <c r="J49" s="88">
        <v>45157</v>
      </c>
      <c r="K49" s="85" t="s">
        <v>225</v>
      </c>
      <c r="L49" s="85" t="s">
        <v>131</v>
      </c>
      <c r="M49" s="85"/>
      <c r="N49" s="85" t="s">
        <v>41</v>
      </c>
      <c r="O49" s="89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</row>
    <row r="50" spans="1:46" ht="16.5" customHeight="1" x14ac:dyDescent="0.35">
      <c r="A50" s="85">
        <v>45</v>
      </c>
      <c r="B50" s="91" t="s">
        <v>49</v>
      </c>
      <c r="C50" s="91" t="s">
        <v>217</v>
      </c>
      <c r="D50" s="91" t="s">
        <v>226</v>
      </c>
      <c r="E50" s="91">
        <v>4</v>
      </c>
      <c r="F50" s="92">
        <v>41613</v>
      </c>
      <c r="G50" s="93" t="s">
        <v>219</v>
      </c>
      <c r="H50" s="93">
        <v>5202412076</v>
      </c>
      <c r="I50" s="93" t="s">
        <v>220</v>
      </c>
      <c r="J50" s="94">
        <v>45139</v>
      </c>
      <c r="K50" s="91" t="s">
        <v>130</v>
      </c>
      <c r="L50" s="91" t="s">
        <v>154</v>
      </c>
      <c r="M50" s="91"/>
      <c r="N50" s="91" t="s">
        <v>41</v>
      </c>
      <c r="O50" s="95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</row>
    <row r="51" spans="1:46" ht="16.5" customHeight="1" x14ac:dyDescent="0.35">
      <c r="A51" s="85">
        <v>46</v>
      </c>
      <c r="B51" s="91" t="s">
        <v>89</v>
      </c>
      <c r="C51" s="91" t="s">
        <v>217</v>
      </c>
      <c r="D51" s="91" t="s">
        <v>226</v>
      </c>
      <c r="E51" s="91">
        <v>3</v>
      </c>
      <c r="F51" s="92">
        <v>41613</v>
      </c>
      <c r="G51" s="93" t="s">
        <v>219</v>
      </c>
      <c r="H51" s="93">
        <v>5202412076</v>
      </c>
      <c r="I51" s="93" t="s">
        <v>220</v>
      </c>
      <c r="J51" s="94">
        <v>44942</v>
      </c>
      <c r="K51" s="91" t="s">
        <v>155</v>
      </c>
      <c r="L51" s="91" t="s">
        <v>125</v>
      </c>
      <c r="M51" s="91"/>
      <c r="N51" s="91" t="s">
        <v>41</v>
      </c>
      <c r="O51" s="95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</row>
    <row r="52" spans="1:46" ht="16.5" customHeight="1" x14ac:dyDescent="0.35">
      <c r="A52" s="85">
        <v>47</v>
      </c>
      <c r="B52" s="91" t="s">
        <v>49</v>
      </c>
      <c r="C52" s="91" t="s">
        <v>227</v>
      </c>
      <c r="D52" s="91" t="s">
        <v>228</v>
      </c>
      <c r="E52" s="91">
        <v>2</v>
      </c>
      <c r="F52" s="92">
        <v>41773</v>
      </c>
      <c r="G52" s="93" t="s">
        <v>229</v>
      </c>
      <c r="H52" s="93">
        <v>5103585251</v>
      </c>
      <c r="I52" s="93" t="s">
        <v>230</v>
      </c>
      <c r="J52" s="94">
        <v>44767</v>
      </c>
      <c r="K52" s="91" t="s">
        <v>212</v>
      </c>
      <c r="L52" s="91" t="s">
        <v>231</v>
      </c>
      <c r="M52" s="91"/>
      <c r="N52" s="91" t="s">
        <v>41</v>
      </c>
      <c r="O52" s="95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</row>
    <row r="53" spans="1:46" ht="16.5" customHeight="1" x14ac:dyDescent="0.35">
      <c r="A53" s="85">
        <v>48</v>
      </c>
      <c r="B53" s="91" t="s">
        <v>89</v>
      </c>
      <c r="C53" s="91" t="s">
        <v>227</v>
      </c>
      <c r="D53" s="91" t="s">
        <v>228</v>
      </c>
      <c r="E53" s="91">
        <v>2</v>
      </c>
      <c r="F53" s="92">
        <v>41773</v>
      </c>
      <c r="G53" s="93" t="s">
        <v>229</v>
      </c>
      <c r="H53" s="93">
        <v>5103585251</v>
      </c>
      <c r="I53" s="93" t="s">
        <v>230</v>
      </c>
      <c r="J53" s="94">
        <v>44767</v>
      </c>
      <c r="K53" s="91" t="s">
        <v>167</v>
      </c>
      <c r="L53" s="91" t="s">
        <v>232</v>
      </c>
      <c r="M53" s="91"/>
      <c r="N53" s="91" t="s">
        <v>41</v>
      </c>
      <c r="O53" s="95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</row>
    <row r="54" spans="1:46" s="278" customFormat="1" ht="16.5" customHeight="1" x14ac:dyDescent="0.35">
      <c r="A54" s="85">
        <v>49</v>
      </c>
      <c r="B54" s="272" t="s">
        <v>49</v>
      </c>
      <c r="C54" s="272" t="s">
        <v>227</v>
      </c>
      <c r="D54" s="272" t="s">
        <v>233</v>
      </c>
      <c r="E54" s="272">
        <v>6</v>
      </c>
      <c r="F54" s="273">
        <v>40088</v>
      </c>
      <c r="G54" s="274" t="s">
        <v>234</v>
      </c>
      <c r="H54" s="274" t="s">
        <v>235</v>
      </c>
      <c r="I54" s="274" t="s">
        <v>236</v>
      </c>
      <c r="J54" s="275">
        <v>44713</v>
      </c>
      <c r="K54" s="272" t="s">
        <v>237</v>
      </c>
      <c r="L54" s="272" t="s">
        <v>238</v>
      </c>
      <c r="M54" s="272" t="s">
        <v>239</v>
      </c>
      <c r="N54" s="272" t="s">
        <v>53</v>
      </c>
      <c r="O54" s="276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  <c r="AF54" s="277"/>
      <c r="AG54" s="277"/>
      <c r="AH54" s="277"/>
      <c r="AI54" s="277"/>
      <c r="AJ54" s="277"/>
      <c r="AK54" s="277"/>
      <c r="AL54" s="277"/>
      <c r="AM54" s="277"/>
      <c r="AN54" s="277"/>
      <c r="AO54" s="277"/>
      <c r="AP54" s="277"/>
      <c r="AQ54" s="277"/>
      <c r="AR54" s="277"/>
      <c r="AS54" s="277"/>
      <c r="AT54" s="277"/>
    </row>
    <row r="55" spans="1:46" s="278" customFormat="1" ht="16.5" customHeight="1" x14ac:dyDescent="0.35">
      <c r="A55" s="85">
        <v>50</v>
      </c>
      <c r="B55" s="272" t="s">
        <v>89</v>
      </c>
      <c r="C55" s="272" t="s">
        <v>227</v>
      </c>
      <c r="D55" s="272" t="s">
        <v>233</v>
      </c>
      <c r="E55" s="272">
        <v>6</v>
      </c>
      <c r="F55" s="273">
        <v>40088</v>
      </c>
      <c r="G55" s="274" t="s">
        <v>234</v>
      </c>
      <c r="H55" s="274" t="s">
        <v>235</v>
      </c>
      <c r="I55" s="274" t="s">
        <v>236</v>
      </c>
      <c r="J55" s="275">
        <v>44713</v>
      </c>
      <c r="K55" s="272" t="s">
        <v>240</v>
      </c>
      <c r="L55" s="272" t="s">
        <v>241</v>
      </c>
      <c r="M55" s="272" t="s">
        <v>239</v>
      </c>
      <c r="N55" s="272" t="s">
        <v>53</v>
      </c>
      <c r="O55" s="276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  <c r="AG55" s="277"/>
      <c r="AH55" s="277"/>
      <c r="AI55" s="277"/>
      <c r="AJ55" s="277"/>
      <c r="AK55" s="277"/>
      <c r="AL55" s="277"/>
      <c r="AM55" s="277"/>
      <c r="AN55" s="277"/>
      <c r="AO55" s="277"/>
      <c r="AP55" s="277"/>
      <c r="AQ55" s="277"/>
      <c r="AR55" s="277"/>
      <c r="AS55" s="277"/>
      <c r="AT55" s="277"/>
    </row>
    <row r="56" spans="1:46" s="278" customFormat="1" ht="16.5" customHeight="1" x14ac:dyDescent="0.35">
      <c r="A56" s="85">
        <v>51</v>
      </c>
      <c r="B56" s="272" t="s">
        <v>49</v>
      </c>
      <c r="C56" s="272" t="s">
        <v>227</v>
      </c>
      <c r="D56" s="272" t="s">
        <v>242</v>
      </c>
      <c r="E56" s="272">
        <v>2</v>
      </c>
      <c r="F56" s="273">
        <v>41761</v>
      </c>
      <c r="G56" s="274" t="s">
        <v>234</v>
      </c>
      <c r="H56" s="274" t="s">
        <v>235</v>
      </c>
      <c r="I56" s="274" t="s">
        <v>236</v>
      </c>
      <c r="J56" s="275">
        <v>44348</v>
      </c>
      <c r="K56" s="272" t="s">
        <v>109</v>
      </c>
      <c r="L56" s="272" t="s">
        <v>178</v>
      </c>
      <c r="M56" s="272" t="s">
        <v>239</v>
      </c>
      <c r="N56" s="272" t="s">
        <v>53</v>
      </c>
      <c r="O56" s="276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  <c r="AA56" s="277"/>
      <c r="AB56" s="277"/>
      <c r="AC56" s="277"/>
      <c r="AD56" s="277"/>
      <c r="AE56" s="277"/>
      <c r="AF56" s="277"/>
      <c r="AG56" s="277"/>
      <c r="AH56" s="277"/>
      <c r="AI56" s="277"/>
      <c r="AJ56" s="277"/>
      <c r="AK56" s="277"/>
      <c r="AL56" s="277"/>
      <c r="AM56" s="277"/>
      <c r="AN56" s="277"/>
      <c r="AO56" s="277"/>
      <c r="AP56" s="277"/>
      <c r="AQ56" s="277"/>
      <c r="AR56" s="277"/>
      <c r="AS56" s="277"/>
      <c r="AT56" s="277"/>
    </row>
    <row r="57" spans="1:46" s="278" customFormat="1" ht="16.5" customHeight="1" x14ac:dyDescent="0.35">
      <c r="A57" s="85">
        <v>52</v>
      </c>
      <c r="B57" s="272" t="s">
        <v>89</v>
      </c>
      <c r="C57" s="272" t="s">
        <v>227</v>
      </c>
      <c r="D57" s="272" t="s">
        <v>242</v>
      </c>
      <c r="E57" s="272">
        <v>2</v>
      </c>
      <c r="F57" s="273">
        <v>41761</v>
      </c>
      <c r="G57" s="274" t="s">
        <v>234</v>
      </c>
      <c r="H57" s="274" t="s">
        <v>235</v>
      </c>
      <c r="I57" s="274" t="s">
        <v>236</v>
      </c>
      <c r="J57" s="275">
        <v>44348</v>
      </c>
      <c r="K57" s="272" t="s">
        <v>167</v>
      </c>
      <c r="L57" s="272" t="s">
        <v>243</v>
      </c>
      <c r="M57" s="272" t="s">
        <v>239</v>
      </c>
      <c r="N57" s="272" t="s">
        <v>53</v>
      </c>
      <c r="O57" s="276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  <c r="AG57" s="277"/>
      <c r="AH57" s="277"/>
      <c r="AI57" s="277"/>
      <c r="AJ57" s="277"/>
      <c r="AK57" s="277"/>
      <c r="AL57" s="277"/>
      <c r="AM57" s="277"/>
      <c r="AN57" s="277"/>
      <c r="AO57" s="277"/>
      <c r="AP57" s="277"/>
      <c r="AQ57" s="277"/>
      <c r="AR57" s="277"/>
      <c r="AS57" s="277"/>
      <c r="AT57" s="277"/>
    </row>
    <row r="58" spans="1:46" ht="16.5" customHeight="1" x14ac:dyDescent="0.35">
      <c r="A58" s="85">
        <v>53</v>
      </c>
      <c r="B58" s="91" t="s">
        <v>49</v>
      </c>
      <c r="C58" s="91" t="s">
        <v>244</v>
      </c>
      <c r="D58" s="91" t="s">
        <v>245</v>
      </c>
      <c r="E58" s="91">
        <v>2</v>
      </c>
      <c r="F58" s="92">
        <v>42157</v>
      </c>
      <c r="G58" s="93" t="s">
        <v>246</v>
      </c>
      <c r="H58" s="93">
        <v>4088027689</v>
      </c>
      <c r="I58" s="93" t="s">
        <v>247</v>
      </c>
      <c r="J58" s="94">
        <v>45108</v>
      </c>
      <c r="K58" s="91" t="s">
        <v>161</v>
      </c>
      <c r="L58" s="91" t="s">
        <v>121</v>
      </c>
      <c r="M58" s="91"/>
      <c r="N58" s="91" t="s">
        <v>41</v>
      </c>
      <c r="O58" s="95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</row>
    <row r="59" spans="1:46" ht="16.5" customHeight="1" x14ac:dyDescent="0.35">
      <c r="A59" s="85">
        <v>54</v>
      </c>
      <c r="B59" s="91" t="s">
        <v>89</v>
      </c>
      <c r="C59" s="91" t="s">
        <v>244</v>
      </c>
      <c r="D59" s="91" t="s">
        <v>245</v>
      </c>
      <c r="E59" s="91">
        <v>2</v>
      </c>
      <c r="F59" s="92">
        <v>42157</v>
      </c>
      <c r="G59" s="93" t="s">
        <v>246</v>
      </c>
      <c r="H59" s="93">
        <v>4088027689</v>
      </c>
      <c r="I59" s="93" t="s">
        <v>247</v>
      </c>
      <c r="J59" s="94">
        <v>45108</v>
      </c>
      <c r="K59" s="91" t="s">
        <v>163</v>
      </c>
      <c r="L59" s="91" t="s">
        <v>156</v>
      </c>
      <c r="M59" s="91"/>
      <c r="N59" s="91" t="s">
        <v>41</v>
      </c>
      <c r="O59" s="95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</row>
    <row r="60" spans="1:46" ht="16.5" customHeight="1" x14ac:dyDescent="0.35">
      <c r="A60" s="85">
        <v>55</v>
      </c>
      <c r="B60" s="91" t="s">
        <v>49</v>
      </c>
      <c r="C60" s="91" t="s">
        <v>248</v>
      </c>
      <c r="D60" s="91" t="s">
        <v>245</v>
      </c>
      <c r="E60" s="91" t="s">
        <v>149</v>
      </c>
      <c r="F60" s="92">
        <v>42525</v>
      </c>
      <c r="G60" s="93" t="s">
        <v>249</v>
      </c>
      <c r="H60" s="93">
        <v>9547296096</v>
      </c>
      <c r="I60" s="109" t="s">
        <v>250</v>
      </c>
      <c r="J60" s="94">
        <v>44424</v>
      </c>
      <c r="K60" s="91" t="s">
        <v>212</v>
      </c>
      <c r="L60" s="91" t="s">
        <v>178</v>
      </c>
      <c r="M60" s="91"/>
      <c r="N60" s="91" t="s">
        <v>41</v>
      </c>
      <c r="O60" s="95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</row>
    <row r="61" spans="1:46" ht="16.5" customHeight="1" x14ac:dyDescent="0.35">
      <c r="A61" s="85">
        <v>56</v>
      </c>
      <c r="B61" s="85" t="s">
        <v>89</v>
      </c>
      <c r="C61" s="85" t="s">
        <v>248</v>
      </c>
      <c r="D61" s="85" t="s">
        <v>245</v>
      </c>
      <c r="E61" s="85" t="s">
        <v>149</v>
      </c>
      <c r="F61" s="86">
        <v>42525</v>
      </c>
      <c r="G61" s="87" t="s">
        <v>249</v>
      </c>
      <c r="H61" s="87">
        <v>9547296096</v>
      </c>
      <c r="I61" s="87" t="s">
        <v>250</v>
      </c>
      <c r="J61" s="88">
        <v>44424</v>
      </c>
      <c r="K61" s="85" t="s">
        <v>251</v>
      </c>
      <c r="L61" s="85" t="s">
        <v>133</v>
      </c>
      <c r="M61" s="85"/>
      <c r="N61" s="85" t="s">
        <v>41</v>
      </c>
      <c r="O61" s="89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</row>
    <row r="62" spans="1:46" ht="16.5" customHeight="1" x14ac:dyDescent="0.35">
      <c r="A62" s="85">
        <v>57</v>
      </c>
      <c r="B62" s="85" t="s">
        <v>49</v>
      </c>
      <c r="C62" s="85" t="s">
        <v>252</v>
      </c>
      <c r="D62" s="85" t="s">
        <v>253</v>
      </c>
      <c r="E62" s="85">
        <v>5</v>
      </c>
      <c r="F62" s="86">
        <v>41060</v>
      </c>
      <c r="G62" s="87" t="s">
        <v>254</v>
      </c>
      <c r="H62" s="87">
        <v>5106299188</v>
      </c>
      <c r="I62" s="87" t="s">
        <v>255</v>
      </c>
      <c r="J62" s="88">
        <v>45139</v>
      </c>
      <c r="K62" s="85" t="s">
        <v>256</v>
      </c>
      <c r="L62" s="85" t="s">
        <v>162</v>
      </c>
      <c r="M62" s="85"/>
      <c r="N62" s="85" t="s">
        <v>41</v>
      </c>
      <c r="O62" s="89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</row>
    <row r="63" spans="1:46" ht="16.5" customHeight="1" x14ac:dyDescent="0.35">
      <c r="A63" s="85">
        <v>58</v>
      </c>
      <c r="B63" s="85" t="s">
        <v>49</v>
      </c>
      <c r="C63" s="85" t="s">
        <v>252</v>
      </c>
      <c r="D63" s="293" t="s">
        <v>245</v>
      </c>
      <c r="E63" s="85">
        <v>2</v>
      </c>
      <c r="F63" s="86">
        <v>42102</v>
      </c>
      <c r="G63" s="87" t="s">
        <v>254</v>
      </c>
      <c r="H63" s="87">
        <v>5106299188</v>
      </c>
      <c r="I63" s="87" t="s">
        <v>255</v>
      </c>
      <c r="J63" s="88">
        <v>45139</v>
      </c>
      <c r="K63" s="85" t="s">
        <v>212</v>
      </c>
      <c r="L63" s="85" t="s">
        <v>125</v>
      </c>
      <c r="M63" s="85"/>
      <c r="N63" s="85" t="s">
        <v>41</v>
      </c>
      <c r="O63" s="89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</row>
    <row r="64" spans="1:46" ht="16.5" customHeight="1" x14ac:dyDescent="0.35">
      <c r="A64" s="85">
        <v>59</v>
      </c>
      <c r="B64" s="91" t="s">
        <v>49</v>
      </c>
      <c r="C64" s="91" t="s">
        <v>257</v>
      </c>
      <c r="D64" s="91" t="s">
        <v>245</v>
      </c>
      <c r="E64" s="91">
        <v>4</v>
      </c>
      <c r="F64" s="92">
        <v>41082</v>
      </c>
      <c r="G64" s="93" t="s">
        <v>258</v>
      </c>
      <c r="H64" s="93">
        <v>5122175106</v>
      </c>
      <c r="I64" s="93" t="s">
        <v>259</v>
      </c>
      <c r="J64" s="94">
        <v>44621</v>
      </c>
      <c r="K64" s="91" t="s">
        <v>214</v>
      </c>
      <c r="L64" s="91" t="s">
        <v>260</v>
      </c>
      <c r="M64" s="91"/>
      <c r="N64" s="91" t="s">
        <v>41</v>
      </c>
      <c r="O64" s="95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</row>
    <row r="65" spans="1:46" ht="16.5" customHeight="1" x14ac:dyDescent="0.35">
      <c r="A65" s="85">
        <v>60</v>
      </c>
      <c r="B65" s="91" t="s">
        <v>89</v>
      </c>
      <c r="C65" s="91" t="s">
        <v>257</v>
      </c>
      <c r="D65" s="91" t="s">
        <v>245</v>
      </c>
      <c r="E65" s="91">
        <v>4</v>
      </c>
      <c r="F65" s="92">
        <v>41082</v>
      </c>
      <c r="G65" s="93" t="s">
        <v>258</v>
      </c>
      <c r="H65" s="93">
        <v>5122175106</v>
      </c>
      <c r="I65" s="93" t="s">
        <v>259</v>
      </c>
      <c r="J65" s="94">
        <v>44621</v>
      </c>
      <c r="K65" s="91" t="s">
        <v>261</v>
      </c>
      <c r="L65" s="91" t="s">
        <v>262</v>
      </c>
      <c r="M65" s="91"/>
      <c r="N65" s="91" t="s">
        <v>41</v>
      </c>
      <c r="O65" s="95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</row>
    <row r="66" spans="1:46" ht="16.5" customHeight="1" x14ac:dyDescent="0.35">
      <c r="A66" s="85">
        <v>61</v>
      </c>
      <c r="B66" s="91" t="s">
        <v>49</v>
      </c>
      <c r="C66" s="91" t="s">
        <v>257</v>
      </c>
      <c r="D66" s="91" t="s">
        <v>263</v>
      </c>
      <c r="E66" s="91">
        <v>6</v>
      </c>
      <c r="F66" s="92">
        <v>40387</v>
      </c>
      <c r="G66" s="93" t="s">
        <v>258</v>
      </c>
      <c r="H66" s="93">
        <v>5122175106</v>
      </c>
      <c r="I66" s="93" t="s">
        <v>259</v>
      </c>
      <c r="J66" s="94">
        <v>44621</v>
      </c>
      <c r="K66" s="91" t="s">
        <v>264</v>
      </c>
      <c r="L66" s="91" t="s">
        <v>183</v>
      </c>
      <c r="M66" s="91"/>
      <c r="N66" s="91" t="s">
        <v>41</v>
      </c>
      <c r="O66" s="95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</row>
    <row r="67" spans="1:46" ht="16.5" customHeight="1" x14ac:dyDescent="0.35">
      <c r="A67" s="85">
        <v>62</v>
      </c>
      <c r="B67" s="91" t="s">
        <v>89</v>
      </c>
      <c r="C67" s="91" t="s">
        <v>257</v>
      </c>
      <c r="D67" s="91" t="s">
        <v>263</v>
      </c>
      <c r="E67" s="91">
        <v>6</v>
      </c>
      <c r="F67" s="92">
        <v>40387</v>
      </c>
      <c r="G67" s="93" t="s">
        <v>258</v>
      </c>
      <c r="H67" s="93">
        <v>5122175106</v>
      </c>
      <c r="I67" s="93" t="s">
        <v>259</v>
      </c>
      <c r="J67" s="94">
        <v>44621</v>
      </c>
      <c r="K67" s="91" t="s">
        <v>265</v>
      </c>
      <c r="L67" s="91" t="s">
        <v>178</v>
      </c>
      <c r="M67" s="91"/>
      <c r="N67" s="91" t="s">
        <v>41</v>
      </c>
      <c r="O67" s="95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</row>
    <row r="68" spans="1:46" ht="16.5" customHeight="1" x14ac:dyDescent="0.35">
      <c r="A68" s="85">
        <v>63</v>
      </c>
      <c r="B68" s="91" t="s">
        <v>49</v>
      </c>
      <c r="C68" s="91" t="s">
        <v>266</v>
      </c>
      <c r="D68" s="91" t="s">
        <v>267</v>
      </c>
      <c r="E68" s="91">
        <v>3</v>
      </c>
      <c r="F68" s="92">
        <v>41328</v>
      </c>
      <c r="G68" s="93" t="s">
        <v>268</v>
      </c>
      <c r="H68" s="93">
        <v>4086464862</v>
      </c>
      <c r="I68" s="93" t="s">
        <v>269</v>
      </c>
      <c r="J68" s="94">
        <v>44928</v>
      </c>
      <c r="K68" s="91" t="s">
        <v>214</v>
      </c>
      <c r="L68" s="91" t="s">
        <v>270</v>
      </c>
      <c r="M68" s="91"/>
      <c r="N68" s="91" t="s">
        <v>41</v>
      </c>
      <c r="O68" s="95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</row>
    <row r="69" spans="1:46" ht="16.5" customHeight="1" x14ac:dyDescent="0.35">
      <c r="A69" s="85">
        <v>64</v>
      </c>
      <c r="B69" s="91" t="s">
        <v>89</v>
      </c>
      <c r="C69" s="91" t="s">
        <v>266</v>
      </c>
      <c r="D69" s="91" t="s">
        <v>267</v>
      </c>
      <c r="E69" s="91">
        <v>3</v>
      </c>
      <c r="F69" s="92">
        <v>41328</v>
      </c>
      <c r="G69" s="93" t="s">
        <v>268</v>
      </c>
      <c r="H69" s="93">
        <v>4086464862</v>
      </c>
      <c r="I69" s="93" t="s">
        <v>269</v>
      </c>
      <c r="J69" s="94">
        <v>44928</v>
      </c>
      <c r="K69" s="91" t="s">
        <v>261</v>
      </c>
      <c r="L69" s="91" t="s">
        <v>271</v>
      </c>
      <c r="M69" s="91"/>
      <c r="N69" s="91" t="s">
        <v>41</v>
      </c>
      <c r="O69" s="95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</row>
    <row r="70" spans="1:46" ht="16.5" customHeight="1" x14ac:dyDescent="0.35">
      <c r="A70" s="85">
        <v>65</v>
      </c>
      <c r="B70" s="110" t="s">
        <v>49</v>
      </c>
      <c r="C70" s="110" t="s">
        <v>266</v>
      </c>
      <c r="D70" s="110" t="s">
        <v>272</v>
      </c>
      <c r="E70" s="110" t="s">
        <v>273</v>
      </c>
      <c r="F70" s="111">
        <v>43277</v>
      </c>
      <c r="G70" s="112" t="s">
        <v>274</v>
      </c>
      <c r="H70" s="112">
        <v>7142305311</v>
      </c>
      <c r="I70" s="112" t="s">
        <v>275</v>
      </c>
      <c r="J70" s="113">
        <v>45170</v>
      </c>
      <c r="K70" s="112" t="s">
        <v>182</v>
      </c>
      <c r="L70" s="112" t="s">
        <v>276</v>
      </c>
      <c r="M70" s="112"/>
      <c r="N70" s="85" t="s">
        <v>41</v>
      </c>
      <c r="O70" s="111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</row>
    <row r="71" spans="1:46" ht="16.5" customHeight="1" x14ac:dyDescent="0.35">
      <c r="A71" s="85">
        <v>66</v>
      </c>
      <c r="B71" s="110" t="s">
        <v>89</v>
      </c>
      <c r="C71" s="110" t="s">
        <v>266</v>
      </c>
      <c r="D71" s="110" t="s">
        <v>272</v>
      </c>
      <c r="E71" s="110" t="s">
        <v>273</v>
      </c>
      <c r="F71" s="111">
        <v>43277</v>
      </c>
      <c r="G71" s="112" t="s">
        <v>274</v>
      </c>
      <c r="H71" s="112">
        <v>7142305311</v>
      </c>
      <c r="I71" s="112" t="s">
        <v>275</v>
      </c>
      <c r="J71" s="113">
        <v>45170</v>
      </c>
      <c r="K71" s="112" t="s">
        <v>277</v>
      </c>
      <c r="L71" s="112" t="s">
        <v>154</v>
      </c>
      <c r="M71" s="112"/>
      <c r="N71" s="85" t="s">
        <v>41</v>
      </c>
      <c r="O71" s="111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</row>
    <row r="72" spans="1:46" ht="16.5" customHeight="1" x14ac:dyDescent="0.35">
      <c r="A72" s="85">
        <v>67</v>
      </c>
      <c r="B72" s="91" t="s">
        <v>49</v>
      </c>
      <c r="C72" s="91" t="s">
        <v>266</v>
      </c>
      <c r="D72" s="91" t="s">
        <v>278</v>
      </c>
      <c r="E72" s="91">
        <v>3</v>
      </c>
      <c r="F72" s="92">
        <v>41516</v>
      </c>
      <c r="G72" s="93" t="s">
        <v>279</v>
      </c>
      <c r="H72" s="93">
        <v>4083342322</v>
      </c>
      <c r="I72" s="93" t="s">
        <v>280</v>
      </c>
      <c r="J72" s="94">
        <v>44928</v>
      </c>
      <c r="K72" s="91" t="s">
        <v>281</v>
      </c>
      <c r="L72" s="91" t="s">
        <v>282</v>
      </c>
      <c r="M72" s="91"/>
      <c r="N72" s="91" t="s">
        <v>41</v>
      </c>
      <c r="O72" s="95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  <c r="AT72" s="96"/>
    </row>
    <row r="73" spans="1:46" ht="16.5" customHeight="1" x14ac:dyDescent="0.35">
      <c r="A73" s="85">
        <v>68</v>
      </c>
      <c r="B73" s="91" t="s">
        <v>89</v>
      </c>
      <c r="C73" s="91" t="s">
        <v>266</v>
      </c>
      <c r="D73" s="91" t="s">
        <v>278</v>
      </c>
      <c r="E73" s="91">
        <v>3</v>
      </c>
      <c r="F73" s="92">
        <v>41516</v>
      </c>
      <c r="G73" s="93" t="s">
        <v>279</v>
      </c>
      <c r="H73" s="93">
        <v>4083342322</v>
      </c>
      <c r="I73" s="93" t="s">
        <v>280</v>
      </c>
      <c r="J73" s="94">
        <v>44928</v>
      </c>
      <c r="K73" s="91" t="s">
        <v>216</v>
      </c>
      <c r="L73" s="91" t="s">
        <v>283</v>
      </c>
      <c r="M73" s="91"/>
      <c r="N73" s="91" t="s">
        <v>41</v>
      </c>
      <c r="O73" s="95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6"/>
      <c r="AR73" s="96"/>
      <c r="AS73" s="96"/>
      <c r="AT73" s="96"/>
    </row>
    <row r="74" spans="1:46" ht="16.5" customHeight="1" x14ac:dyDescent="0.35">
      <c r="A74" s="85">
        <v>69</v>
      </c>
      <c r="B74" s="103" t="s">
        <v>49</v>
      </c>
      <c r="C74" s="104" t="s">
        <v>266</v>
      </c>
      <c r="D74" s="104" t="s">
        <v>284</v>
      </c>
      <c r="E74" s="104">
        <v>9</v>
      </c>
      <c r="F74" s="105">
        <v>39905</v>
      </c>
      <c r="G74" s="106" t="s">
        <v>285</v>
      </c>
      <c r="H74" s="106">
        <v>4084991702</v>
      </c>
      <c r="I74" s="106" t="s">
        <v>286</v>
      </c>
      <c r="J74" s="107">
        <v>45196</v>
      </c>
      <c r="K74" s="104" t="s">
        <v>212</v>
      </c>
      <c r="L74" s="104" t="s">
        <v>162</v>
      </c>
      <c r="M74" s="104" t="s">
        <v>1728</v>
      </c>
      <c r="N74" s="91" t="s">
        <v>41</v>
      </c>
      <c r="O74" s="108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96"/>
      <c r="AS74" s="96"/>
      <c r="AT74" s="96"/>
    </row>
    <row r="75" spans="1:46" ht="16.5" customHeight="1" x14ac:dyDescent="0.35">
      <c r="A75" s="85">
        <v>70</v>
      </c>
      <c r="B75" s="103" t="s">
        <v>89</v>
      </c>
      <c r="C75" s="104" t="s">
        <v>266</v>
      </c>
      <c r="D75" s="104" t="s">
        <v>284</v>
      </c>
      <c r="E75" s="104">
        <v>9</v>
      </c>
      <c r="F75" s="105">
        <v>39905</v>
      </c>
      <c r="G75" s="106" t="s">
        <v>285</v>
      </c>
      <c r="H75" s="106">
        <v>4084991702</v>
      </c>
      <c r="I75" s="106" t="s">
        <v>286</v>
      </c>
      <c r="J75" s="107">
        <v>45196</v>
      </c>
      <c r="K75" s="104" t="s">
        <v>132</v>
      </c>
      <c r="L75" s="104" t="s">
        <v>224</v>
      </c>
      <c r="M75" s="104" t="s">
        <v>1728</v>
      </c>
      <c r="N75" s="91" t="s">
        <v>41</v>
      </c>
      <c r="O75" s="108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  <c r="AT75" s="96"/>
    </row>
    <row r="76" spans="1:46" ht="16.5" customHeight="1" x14ac:dyDescent="0.35">
      <c r="A76" s="85">
        <v>71</v>
      </c>
      <c r="B76" s="103" t="s">
        <v>49</v>
      </c>
      <c r="C76" s="104" t="s">
        <v>266</v>
      </c>
      <c r="D76" s="104" t="s">
        <v>287</v>
      </c>
      <c r="E76" s="104">
        <v>10</v>
      </c>
      <c r="F76" s="105">
        <v>39488</v>
      </c>
      <c r="G76" s="106" t="s">
        <v>285</v>
      </c>
      <c r="H76" s="106">
        <v>4084991702</v>
      </c>
      <c r="I76" s="106" t="s">
        <v>286</v>
      </c>
      <c r="J76" s="107">
        <v>45196</v>
      </c>
      <c r="K76" s="104" t="s">
        <v>237</v>
      </c>
      <c r="L76" s="104" t="s">
        <v>288</v>
      </c>
      <c r="M76" s="104" t="s">
        <v>1728</v>
      </c>
      <c r="N76" s="91" t="s">
        <v>41</v>
      </c>
      <c r="O76" s="108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96"/>
      <c r="AR76" s="96"/>
      <c r="AS76" s="96"/>
      <c r="AT76" s="96"/>
    </row>
    <row r="77" spans="1:46" ht="16.5" customHeight="1" x14ac:dyDescent="0.35">
      <c r="A77" s="85">
        <v>72</v>
      </c>
      <c r="B77" s="103" t="s">
        <v>89</v>
      </c>
      <c r="C77" s="104" t="s">
        <v>266</v>
      </c>
      <c r="D77" s="104" t="s">
        <v>287</v>
      </c>
      <c r="E77" s="104">
        <v>10</v>
      </c>
      <c r="F77" s="105">
        <v>39488</v>
      </c>
      <c r="G77" s="106" t="s">
        <v>285</v>
      </c>
      <c r="H77" s="106">
        <v>4084991702</v>
      </c>
      <c r="I77" s="106" t="s">
        <v>286</v>
      </c>
      <c r="J77" s="107">
        <v>45196</v>
      </c>
      <c r="K77" s="104" t="s">
        <v>261</v>
      </c>
      <c r="L77" s="104" t="s">
        <v>288</v>
      </c>
      <c r="M77" s="104" t="s">
        <v>1728</v>
      </c>
      <c r="N77" s="91" t="s">
        <v>41</v>
      </c>
      <c r="O77" s="108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6"/>
      <c r="AR77" s="96"/>
      <c r="AS77" s="96"/>
      <c r="AT77" s="96"/>
    </row>
    <row r="78" spans="1:46" ht="16.5" customHeight="1" x14ac:dyDescent="0.35">
      <c r="A78" s="85">
        <v>73</v>
      </c>
      <c r="B78" s="114" t="s">
        <v>49</v>
      </c>
      <c r="C78" s="110" t="s">
        <v>289</v>
      </c>
      <c r="D78" s="110" t="s">
        <v>290</v>
      </c>
      <c r="E78" s="110">
        <v>6</v>
      </c>
      <c r="F78" s="98">
        <v>41041</v>
      </c>
      <c r="G78" s="112" t="s">
        <v>291</v>
      </c>
      <c r="H78" s="112">
        <v>4082293998</v>
      </c>
      <c r="I78" s="112" t="s">
        <v>292</v>
      </c>
      <c r="J78" s="100">
        <v>45170</v>
      </c>
      <c r="K78" s="110" t="s">
        <v>237</v>
      </c>
      <c r="L78" s="110" t="s">
        <v>183</v>
      </c>
      <c r="M78" s="110"/>
      <c r="N78" s="85" t="s">
        <v>41</v>
      </c>
      <c r="O78" s="111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</row>
    <row r="79" spans="1:46" ht="16.5" customHeight="1" x14ac:dyDescent="0.35">
      <c r="A79" s="85">
        <v>74</v>
      </c>
      <c r="B79" s="114" t="s">
        <v>89</v>
      </c>
      <c r="C79" s="110" t="s">
        <v>289</v>
      </c>
      <c r="D79" s="110" t="s">
        <v>290</v>
      </c>
      <c r="E79" s="110">
        <v>6</v>
      </c>
      <c r="F79" s="98">
        <v>41041</v>
      </c>
      <c r="G79" s="112" t="s">
        <v>291</v>
      </c>
      <c r="H79" s="112">
        <v>4082293998</v>
      </c>
      <c r="I79" s="112" t="s">
        <v>292</v>
      </c>
      <c r="J79" s="100">
        <v>45170</v>
      </c>
      <c r="K79" s="110" t="s">
        <v>261</v>
      </c>
      <c r="L79" s="110" t="s">
        <v>293</v>
      </c>
      <c r="M79" s="110"/>
      <c r="N79" s="85" t="s">
        <v>41</v>
      </c>
      <c r="O79" s="111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</row>
    <row r="80" spans="1:46" ht="16.5" customHeight="1" x14ac:dyDescent="0.35">
      <c r="A80" s="85">
        <v>75</v>
      </c>
      <c r="B80" s="85" t="s">
        <v>49</v>
      </c>
      <c r="C80" s="85" t="s">
        <v>289</v>
      </c>
      <c r="D80" s="85" t="s">
        <v>294</v>
      </c>
      <c r="E80" s="85">
        <v>1</v>
      </c>
      <c r="F80" s="86">
        <v>42838</v>
      </c>
      <c r="G80" s="87" t="s">
        <v>295</v>
      </c>
      <c r="H80" s="87">
        <v>4087573431</v>
      </c>
      <c r="I80" s="87" t="s">
        <v>296</v>
      </c>
      <c r="J80" s="88">
        <v>45084</v>
      </c>
      <c r="K80" s="85" t="s">
        <v>145</v>
      </c>
      <c r="L80" s="85" t="s">
        <v>165</v>
      </c>
      <c r="M80" s="85"/>
      <c r="N80" s="85" t="s">
        <v>41</v>
      </c>
      <c r="O80" s="89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</row>
    <row r="81" spans="1:46" ht="16.5" customHeight="1" x14ac:dyDescent="0.35">
      <c r="A81" s="85">
        <v>76</v>
      </c>
      <c r="B81" s="85" t="s">
        <v>89</v>
      </c>
      <c r="C81" s="85" t="s">
        <v>289</v>
      </c>
      <c r="D81" s="85" t="s">
        <v>294</v>
      </c>
      <c r="E81" s="85">
        <v>1</v>
      </c>
      <c r="F81" s="86">
        <v>42838</v>
      </c>
      <c r="G81" s="87" t="s">
        <v>295</v>
      </c>
      <c r="H81" s="87">
        <v>4087573431</v>
      </c>
      <c r="I81" s="87" t="s">
        <v>296</v>
      </c>
      <c r="J81" s="88">
        <v>45084</v>
      </c>
      <c r="K81" s="85" t="s">
        <v>120</v>
      </c>
      <c r="L81" s="85" t="s">
        <v>131</v>
      </c>
      <c r="M81" s="85"/>
      <c r="N81" s="85" t="s">
        <v>41</v>
      </c>
      <c r="O81" s="89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</row>
    <row r="82" spans="1:46" ht="16.5" customHeight="1" x14ac:dyDescent="0.35">
      <c r="A82" s="85">
        <v>77</v>
      </c>
      <c r="B82" s="91" t="s">
        <v>49</v>
      </c>
      <c r="C82" s="91" t="s">
        <v>289</v>
      </c>
      <c r="D82" s="91" t="s">
        <v>297</v>
      </c>
      <c r="E82" s="91">
        <v>7</v>
      </c>
      <c r="F82" s="92">
        <v>40874</v>
      </c>
      <c r="G82" s="93" t="s">
        <v>298</v>
      </c>
      <c r="H82" s="93">
        <v>5102200081</v>
      </c>
      <c r="I82" s="93" t="s">
        <v>299</v>
      </c>
      <c r="J82" s="94">
        <v>44958</v>
      </c>
      <c r="K82" s="91" t="s">
        <v>153</v>
      </c>
      <c r="L82" s="91" t="s">
        <v>300</v>
      </c>
      <c r="M82" s="91"/>
      <c r="N82" s="91" t="s">
        <v>41</v>
      </c>
      <c r="O82" s="95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</row>
    <row r="83" spans="1:46" ht="16.5" customHeight="1" x14ac:dyDescent="0.35">
      <c r="A83" s="85">
        <v>78</v>
      </c>
      <c r="B83" s="91" t="s">
        <v>89</v>
      </c>
      <c r="C83" s="91" t="s">
        <v>289</v>
      </c>
      <c r="D83" s="91" t="s">
        <v>297</v>
      </c>
      <c r="E83" s="91">
        <v>7</v>
      </c>
      <c r="F83" s="92">
        <v>40874</v>
      </c>
      <c r="G83" s="93" t="s">
        <v>298</v>
      </c>
      <c r="H83" s="93">
        <v>5102200081</v>
      </c>
      <c r="I83" s="93" t="s">
        <v>299</v>
      </c>
      <c r="J83" s="94">
        <v>44958</v>
      </c>
      <c r="K83" s="91" t="s">
        <v>301</v>
      </c>
      <c r="L83" s="91" t="s">
        <v>133</v>
      </c>
      <c r="M83" s="91"/>
      <c r="N83" s="91" t="s">
        <v>41</v>
      </c>
      <c r="O83" s="95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  <c r="AT83" s="96"/>
    </row>
    <row r="84" spans="1:46" ht="16.5" customHeight="1" x14ac:dyDescent="0.35">
      <c r="A84" s="85">
        <v>79</v>
      </c>
      <c r="B84" s="110" t="s">
        <v>49</v>
      </c>
      <c r="C84" s="110" t="s">
        <v>302</v>
      </c>
      <c r="D84" s="110" t="s">
        <v>303</v>
      </c>
      <c r="E84" s="110" t="s">
        <v>180</v>
      </c>
      <c r="F84" s="111">
        <v>42270</v>
      </c>
      <c r="G84" s="112" t="s">
        <v>304</v>
      </c>
      <c r="H84" s="112">
        <v>14152727469</v>
      </c>
      <c r="I84" s="112" t="s">
        <v>305</v>
      </c>
      <c r="J84" s="113">
        <v>45170</v>
      </c>
      <c r="K84" s="112" t="s">
        <v>212</v>
      </c>
      <c r="L84" s="112" t="s">
        <v>173</v>
      </c>
      <c r="M84" s="112"/>
      <c r="N84" s="85" t="s">
        <v>41</v>
      </c>
      <c r="O84" s="111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</row>
    <row r="85" spans="1:46" ht="16.5" customHeight="1" x14ac:dyDescent="0.35">
      <c r="A85" s="85">
        <v>80</v>
      </c>
      <c r="B85" s="110" t="s">
        <v>89</v>
      </c>
      <c r="C85" s="110" t="s">
        <v>302</v>
      </c>
      <c r="D85" s="110" t="s">
        <v>303</v>
      </c>
      <c r="E85" s="110" t="s">
        <v>180</v>
      </c>
      <c r="F85" s="111">
        <v>42270</v>
      </c>
      <c r="G85" s="112" t="s">
        <v>304</v>
      </c>
      <c r="H85" s="112">
        <v>14152727469</v>
      </c>
      <c r="I85" s="112" t="s">
        <v>305</v>
      </c>
      <c r="J85" s="113">
        <v>45170</v>
      </c>
      <c r="K85" s="112" t="s">
        <v>301</v>
      </c>
      <c r="L85" s="112" t="s">
        <v>241</v>
      </c>
      <c r="M85" s="112"/>
      <c r="N85" s="85" t="s">
        <v>41</v>
      </c>
      <c r="O85" s="111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</row>
    <row r="86" spans="1:46" ht="16.5" customHeight="1" x14ac:dyDescent="0.35">
      <c r="A86" s="85">
        <v>81</v>
      </c>
      <c r="B86" s="91" t="s">
        <v>49</v>
      </c>
      <c r="C86" s="91" t="s">
        <v>306</v>
      </c>
      <c r="D86" s="91" t="s">
        <v>307</v>
      </c>
      <c r="E86" s="91">
        <v>3</v>
      </c>
      <c r="F86" s="92">
        <v>41701</v>
      </c>
      <c r="G86" s="93" t="s">
        <v>308</v>
      </c>
      <c r="H86" s="93">
        <v>4086096820</v>
      </c>
      <c r="I86" s="109" t="s">
        <v>309</v>
      </c>
      <c r="J86" s="94">
        <v>44958</v>
      </c>
      <c r="K86" s="91" t="s">
        <v>130</v>
      </c>
      <c r="L86" s="91" t="s">
        <v>183</v>
      </c>
      <c r="M86" s="91"/>
      <c r="N86" s="91" t="s">
        <v>41</v>
      </c>
      <c r="O86" s="95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6"/>
      <c r="AR86" s="96"/>
      <c r="AS86" s="96"/>
      <c r="AT86" s="96"/>
    </row>
    <row r="87" spans="1:46" ht="16.5" customHeight="1" x14ac:dyDescent="0.35">
      <c r="A87" s="85">
        <v>82</v>
      </c>
      <c r="B87" s="91" t="s">
        <v>89</v>
      </c>
      <c r="C87" s="91" t="s">
        <v>306</v>
      </c>
      <c r="D87" s="91" t="s">
        <v>307</v>
      </c>
      <c r="E87" s="91">
        <v>3</v>
      </c>
      <c r="F87" s="92">
        <v>41701</v>
      </c>
      <c r="G87" s="93" t="s">
        <v>308</v>
      </c>
      <c r="H87" s="93">
        <v>4086096820</v>
      </c>
      <c r="I87" s="109" t="s">
        <v>309</v>
      </c>
      <c r="J87" s="94">
        <v>44958</v>
      </c>
      <c r="K87" s="91" t="s">
        <v>167</v>
      </c>
      <c r="L87" s="91" t="s">
        <v>283</v>
      </c>
      <c r="M87" s="91"/>
      <c r="N87" s="91" t="s">
        <v>41</v>
      </c>
      <c r="O87" s="95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</row>
    <row r="88" spans="1:46" ht="16.5" customHeight="1" x14ac:dyDescent="0.35">
      <c r="A88" s="85">
        <v>83</v>
      </c>
      <c r="B88" s="91" t="s">
        <v>49</v>
      </c>
      <c r="C88" s="91" t="s">
        <v>306</v>
      </c>
      <c r="D88" s="91" t="s">
        <v>310</v>
      </c>
      <c r="E88" s="91">
        <v>4</v>
      </c>
      <c r="F88" s="92">
        <v>41470</v>
      </c>
      <c r="G88" s="93" t="s">
        <v>311</v>
      </c>
      <c r="H88" s="93">
        <v>5105652958</v>
      </c>
      <c r="I88" s="93" t="s">
        <v>312</v>
      </c>
      <c r="J88" s="94">
        <v>44959</v>
      </c>
      <c r="K88" s="91" t="s">
        <v>256</v>
      </c>
      <c r="L88" s="91" t="s">
        <v>288</v>
      </c>
      <c r="M88" s="91"/>
      <c r="N88" s="91" t="s">
        <v>41</v>
      </c>
      <c r="O88" s="95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6"/>
      <c r="AR88" s="96"/>
      <c r="AS88" s="96"/>
      <c r="AT88" s="96"/>
    </row>
    <row r="89" spans="1:46" ht="16.5" customHeight="1" x14ac:dyDescent="0.35">
      <c r="A89" s="85">
        <v>84</v>
      </c>
      <c r="B89" s="91" t="s">
        <v>89</v>
      </c>
      <c r="C89" s="91" t="s">
        <v>306</v>
      </c>
      <c r="D89" s="91" t="s">
        <v>310</v>
      </c>
      <c r="E89" s="91">
        <v>4</v>
      </c>
      <c r="F89" s="92">
        <v>41470</v>
      </c>
      <c r="G89" s="93" t="s">
        <v>311</v>
      </c>
      <c r="H89" s="93">
        <v>5105652958</v>
      </c>
      <c r="I89" s="93" t="s">
        <v>312</v>
      </c>
      <c r="J89" s="94">
        <v>44959</v>
      </c>
      <c r="K89" s="91" t="s">
        <v>251</v>
      </c>
      <c r="L89" s="91" t="s">
        <v>125</v>
      </c>
      <c r="M89" s="91"/>
      <c r="N89" s="91" t="s">
        <v>41</v>
      </c>
      <c r="O89" s="95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</row>
    <row r="90" spans="1:46" ht="16.5" customHeight="1" x14ac:dyDescent="0.35">
      <c r="A90" s="85">
        <v>85</v>
      </c>
      <c r="B90" s="91" t="s">
        <v>89</v>
      </c>
      <c r="C90" s="91" t="s">
        <v>313</v>
      </c>
      <c r="D90" s="91" t="s">
        <v>314</v>
      </c>
      <c r="E90" s="91">
        <v>8</v>
      </c>
      <c r="F90" s="92">
        <v>39775</v>
      </c>
      <c r="G90" s="93" t="s">
        <v>315</v>
      </c>
      <c r="H90" s="93" t="s">
        <v>316</v>
      </c>
      <c r="I90" s="93" t="s">
        <v>317</v>
      </c>
      <c r="J90" s="94">
        <v>44838</v>
      </c>
      <c r="K90" s="91" t="s">
        <v>318</v>
      </c>
      <c r="L90" s="91" t="s">
        <v>288</v>
      </c>
      <c r="M90" s="91"/>
      <c r="N90" s="91" t="s">
        <v>41</v>
      </c>
      <c r="O90" s="95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</row>
    <row r="91" spans="1:46" s="265" customFormat="1" ht="16.5" customHeight="1" x14ac:dyDescent="0.35">
      <c r="A91" s="85">
        <v>86</v>
      </c>
      <c r="B91" s="259" t="s">
        <v>49</v>
      </c>
      <c r="C91" s="259" t="s">
        <v>319</v>
      </c>
      <c r="D91" s="259" t="s">
        <v>320</v>
      </c>
      <c r="E91" s="259">
        <v>3</v>
      </c>
      <c r="F91" s="260">
        <v>41427</v>
      </c>
      <c r="G91" s="261" t="s">
        <v>321</v>
      </c>
      <c r="H91" s="261">
        <v>9253514314</v>
      </c>
      <c r="I91" s="261" t="s">
        <v>322</v>
      </c>
      <c r="J91" s="262">
        <v>44571</v>
      </c>
      <c r="K91" s="259" t="s">
        <v>323</v>
      </c>
      <c r="L91" s="259" t="s">
        <v>154</v>
      </c>
      <c r="M91" s="259" t="s">
        <v>1729</v>
      </c>
      <c r="N91" s="259" t="s">
        <v>35</v>
      </c>
      <c r="O91" s="263"/>
      <c r="P91" s="264"/>
      <c r="Q91" s="264"/>
      <c r="R91" s="264"/>
      <c r="S91" s="264"/>
      <c r="T91" s="264"/>
      <c r="U91" s="264"/>
      <c r="V91" s="264"/>
      <c r="W91" s="264"/>
      <c r="X91" s="264"/>
      <c r="Y91" s="264"/>
      <c r="Z91" s="264"/>
      <c r="AA91" s="264"/>
      <c r="AB91" s="264"/>
      <c r="AC91" s="264"/>
      <c r="AD91" s="264"/>
      <c r="AE91" s="264"/>
      <c r="AF91" s="264"/>
      <c r="AG91" s="264"/>
      <c r="AH91" s="264"/>
      <c r="AI91" s="264"/>
      <c r="AJ91" s="264"/>
      <c r="AK91" s="264"/>
      <c r="AL91" s="264"/>
      <c r="AM91" s="264"/>
      <c r="AN91" s="264"/>
      <c r="AO91" s="264"/>
      <c r="AP91" s="264"/>
      <c r="AQ91" s="264"/>
      <c r="AR91" s="264"/>
      <c r="AS91" s="264"/>
      <c r="AT91" s="264"/>
    </row>
    <row r="92" spans="1:46" s="265" customFormat="1" ht="16.5" customHeight="1" x14ac:dyDescent="0.35">
      <c r="A92" s="85">
        <v>87</v>
      </c>
      <c r="B92" s="259" t="s">
        <v>89</v>
      </c>
      <c r="C92" s="259" t="s">
        <v>319</v>
      </c>
      <c r="D92" s="259" t="s">
        <v>320</v>
      </c>
      <c r="E92" s="259">
        <v>3</v>
      </c>
      <c r="F92" s="260">
        <v>41427</v>
      </c>
      <c r="G92" s="261" t="s">
        <v>321</v>
      </c>
      <c r="H92" s="261">
        <v>9253514314</v>
      </c>
      <c r="I92" s="261" t="s">
        <v>322</v>
      </c>
      <c r="J92" s="262">
        <v>44571</v>
      </c>
      <c r="K92" s="259" t="s">
        <v>324</v>
      </c>
      <c r="L92" s="259" t="s">
        <v>325</v>
      </c>
      <c r="M92" s="259" t="s">
        <v>1729</v>
      </c>
      <c r="N92" s="259" t="s">
        <v>35</v>
      </c>
      <c r="O92" s="263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  <c r="AA92" s="264"/>
      <c r="AB92" s="264"/>
      <c r="AC92" s="264"/>
      <c r="AD92" s="264"/>
      <c r="AE92" s="264"/>
      <c r="AF92" s="264"/>
      <c r="AG92" s="264"/>
      <c r="AH92" s="264"/>
      <c r="AI92" s="264"/>
      <c r="AJ92" s="264"/>
      <c r="AK92" s="264"/>
      <c r="AL92" s="264"/>
      <c r="AM92" s="264"/>
      <c r="AN92" s="264"/>
      <c r="AO92" s="264"/>
      <c r="AP92" s="264"/>
      <c r="AQ92" s="264"/>
      <c r="AR92" s="264"/>
      <c r="AS92" s="264"/>
      <c r="AT92" s="264"/>
    </row>
    <row r="93" spans="1:46" ht="16.5" customHeight="1" x14ac:dyDescent="0.35">
      <c r="A93" s="85">
        <v>88</v>
      </c>
      <c r="B93" s="91" t="s">
        <v>49</v>
      </c>
      <c r="C93" s="91" t="s">
        <v>326</v>
      </c>
      <c r="D93" s="91" t="s">
        <v>327</v>
      </c>
      <c r="E93" s="91">
        <v>6</v>
      </c>
      <c r="F93" s="92">
        <v>41250</v>
      </c>
      <c r="G93" s="93" t="s">
        <v>328</v>
      </c>
      <c r="H93" s="93" t="s">
        <v>329</v>
      </c>
      <c r="I93" s="93" t="s">
        <v>330</v>
      </c>
      <c r="J93" s="94">
        <v>44795</v>
      </c>
      <c r="K93" s="91" t="s">
        <v>331</v>
      </c>
      <c r="L93" s="91" t="s">
        <v>224</v>
      </c>
      <c r="M93" s="91"/>
      <c r="N93" s="91" t="s">
        <v>41</v>
      </c>
      <c r="O93" s="95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/>
      <c r="AS93" s="96"/>
      <c r="AT93" s="96"/>
    </row>
    <row r="94" spans="1:46" ht="16.5" customHeight="1" x14ac:dyDescent="0.35">
      <c r="A94" s="85">
        <v>89</v>
      </c>
      <c r="B94" s="91" t="s">
        <v>89</v>
      </c>
      <c r="C94" s="91" t="s">
        <v>326</v>
      </c>
      <c r="D94" s="91" t="s">
        <v>327</v>
      </c>
      <c r="E94" s="91">
        <v>6</v>
      </c>
      <c r="F94" s="92">
        <v>41250</v>
      </c>
      <c r="G94" s="93" t="s">
        <v>328</v>
      </c>
      <c r="H94" s="93" t="s">
        <v>329</v>
      </c>
      <c r="I94" s="93" t="s">
        <v>330</v>
      </c>
      <c r="J94" s="94">
        <v>44795</v>
      </c>
      <c r="K94" s="91" t="s">
        <v>332</v>
      </c>
      <c r="L94" s="91" t="s">
        <v>173</v>
      </c>
      <c r="M94" s="91"/>
      <c r="N94" s="91" t="s">
        <v>41</v>
      </c>
      <c r="O94" s="95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</row>
    <row r="95" spans="1:46" ht="16.5" customHeight="1" x14ac:dyDescent="0.35">
      <c r="A95" s="85">
        <v>90</v>
      </c>
      <c r="B95" s="91" t="s">
        <v>89</v>
      </c>
      <c r="C95" s="91" t="s">
        <v>333</v>
      </c>
      <c r="D95" s="91" t="s">
        <v>334</v>
      </c>
      <c r="E95" s="91">
        <v>7</v>
      </c>
      <c r="F95" s="92">
        <v>40035</v>
      </c>
      <c r="G95" s="93" t="s">
        <v>335</v>
      </c>
      <c r="H95" s="93">
        <v>4083328281</v>
      </c>
      <c r="I95" s="93" t="s">
        <v>336</v>
      </c>
      <c r="J95" s="94">
        <v>44621</v>
      </c>
      <c r="K95" s="91" t="s">
        <v>261</v>
      </c>
      <c r="L95" s="91" t="s">
        <v>162</v>
      </c>
      <c r="M95" s="91"/>
      <c r="N95" s="91" t="s">
        <v>41</v>
      </c>
      <c r="O95" s="95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</row>
    <row r="96" spans="1:46" ht="16.5" customHeight="1" x14ac:dyDescent="0.35">
      <c r="A96" s="85">
        <v>91</v>
      </c>
      <c r="B96" s="91" t="s">
        <v>49</v>
      </c>
      <c r="C96" s="91" t="s">
        <v>333</v>
      </c>
      <c r="D96" s="91" t="s">
        <v>337</v>
      </c>
      <c r="E96" s="91">
        <v>5</v>
      </c>
      <c r="F96" s="92">
        <v>40522</v>
      </c>
      <c r="G96" s="93" t="s">
        <v>335</v>
      </c>
      <c r="H96" s="93">
        <v>4083328281</v>
      </c>
      <c r="I96" s="93" t="s">
        <v>336</v>
      </c>
      <c r="J96" s="94">
        <v>44621</v>
      </c>
      <c r="K96" s="91" t="s">
        <v>109</v>
      </c>
      <c r="L96" s="91" t="s">
        <v>113</v>
      </c>
      <c r="M96" s="91"/>
      <c r="N96" s="91" t="s">
        <v>41</v>
      </c>
      <c r="O96" s="95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</row>
    <row r="97" spans="1:46" ht="16.5" customHeight="1" x14ac:dyDescent="0.35">
      <c r="A97" s="85">
        <v>92</v>
      </c>
      <c r="B97" s="91" t="s">
        <v>89</v>
      </c>
      <c r="C97" s="91" t="s">
        <v>333</v>
      </c>
      <c r="D97" s="91" t="s">
        <v>337</v>
      </c>
      <c r="E97" s="91">
        <v>5</v>
      </c>
      <c r="F97" s="92">
        <v>40522</v>
      </c>
      <c r="G97" s="93" t="s">
        <v>335</v>
      </c>
      <c r="H97" s="93">
        <v>4083328281</v>
      </c>
      <c r="I97" s="93" t="s">
        <v>336</v>
      </c>
      <c r="J97" s="94">
        <v>44621</v>
      </c>
      <c r="K97" s="91" t="s">
        <v>301</v>
      </c>
      <c r="L97" s="91" t="s">
        <v>165</v>
      </c>
      <c r="M97" s="91"/>
      <c r="N97" s="91" t="s">
        <v>41</v>
      </c>
      <c r="O97" s="95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  <c r="AT97" s="96"/>
    </row>
    <row r="98" spans="1:46" ht="16.5" customHeight="1" x14ac:dyDescent="0.35">
      <c r="A98" s="85">
        <v>93</v>
      </c>
      <c r="B98" s="115" t="s">
        <v>49</v>
      </c>
      <c r="C98" s="116" t="s">
        <v>338</v>
      </c>
      <c r="D98" s="116" t="s">
        <v>339</v>
      </c>
      <c r="E98" s="116" t="s">
        <v>180</v>
      </c>
      <c r="F98" s="117">
        <v>43050</v>
      </c>
      <c r="G98" s="118" t="s">
        <v>340</v>
      </c>
      <c r="H98" s="118">
        <v>4252864464</v>
      </c>
      <c r="I98" s="118" t="s">
        <v>341</v>
      </c>
      <c r="J98" s="119">
        <v>45170</v>
      </c>
      <c r="K98" s="116" t="s">
        <v>182</v>
      </c>
      <c r="L98" s="116" t="s">
        <v>183</v>
      </c>
      <c r="M98" s="116"/>
      <c r="N98" s="85" t="s">
        <v>41</v>
      </c>
      <c r="O98" s="12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</row>
    <row r="99" spans="1:46" ht="16.5" customHeight="1" x14ac:dyDescent="0.35">
      <c r="A99" s="85">
        <v>94</v>
      </c>
      <c r="B99" s="115" t="s">
        <v>89</v>
      </c>
      <c r="C99" s="116" t="s">
        <v>342</v>
      </c>
      <c r="D99" s="116" t="s">
        <v>339</v>
      </c>
      <c r="E99" s="116" t="s">
        <v>180</v>
      </c>
      <c r="F99" s="117">
        <v>43050</v>
      </c>
      <c r="G99" s="118" t="s">
        <v>340</v>
      </c>
      <c r="H99" s="118">
        <v>4252864464</v>
      </c>
      <c r="I99" s="118" t="s">
        <v>341</v>
      </c>
      <c r="J99" s="119">
        <v>45170</v>
      </c>
      <c r="K99" s="116" t="s">
        <v>343</v>
      </c>
      <c r="L99" s="116" t="s">
        <v>288</v>
      </c>
      <c r="M99" s="116"/>
      <c r="N99" s="85" t="s">
        <v>41</v>
      </c>
      <c r="O99" s="12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</row>
    <row r="100" spans="1:46" ht="16.5" customHeight="1" x14ac:dyDescent="0.35">
      <c r="A100" s="85">
        <v>95</v>
      </c>
      <c r="B100" s="115" t="s">
        <v>49</v>
      </c>
      <c r="C100" s="116" t="s">
        <v>342</v>
      </c>
      <c r="D100" s="116" t="s">
        <v>344</v>
      </c>
      <c r="E100" s="116">
        <v>4</v>
      </c>
      <c r="F100" s="117">
        <v>41685</v>
      </c>
      <c r="G100" s="118" t="s">
        <v>340</v>
      </c>
      <c r="H100" s="118">
        <v>4252864464</v>
      </c>
      <c r="I100" s="118" t="s">
        <v>341</v>
      </c>
      <c r="J100" s="119">
        <v>45170</v>
      </c>
      <c r="K100" s="116" t="s">
        <v>130</v>
      </c>
      <c r="L100" s="116" t="s">
        <v>125</v>
      </c>
      <c r="M100" s="116"/>
      <c r="N100" s="85" t="s">
        <v>41</v>
      </c>
      <c r="O100" s="12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</row>
    <row r="101" spans="1:46" ht="16.5" customHeight="1" x14ac:dyDescent="0.35">
      <c r="A101" s="85">
        <v>96</v>
      </c>
      <c r="B101" s="115" t="s">
        <v>89</v>
      </c>
      <c r="C101" s="116" t="s">
        <v>342</v>
      </c>
      <c r="D101" s="116" t="s">
        <v>344</v>
      </c>
      <c r="E101" s="116">
        <v>4</v>
      </c>
      <c r="F101" s="117">
        <v>41685</v>
      </c>
      <c r="G101" s="118" t="s">
        <v>340</v>
      </c>
      <c r="H101" s="118">
        <v>4252864464</v>
      </c>
      <c r="I101" s="118" t="s">
        <v>341</v>
      </c>
      <c r="J101" s="119">
        <v>45170</v>
      </c>
      <c r="K101" s="116" t="s">
        <v>167</v>
      </c>
      <c r="L101" s="116" t="s">
        <v>125</v>
      </c>
      <c r="M101" s="116"/>
      <c r="N101" s="85" t="s">
        <v>41</v>
      </c>
      <c r="O101" s="12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</row>
    <row r="102" spans="1:46" ht="16.5" customHeight="1" x14ac:dyDescent="0.35">
      <c r="A102" s="85">
        <v>97</v>
      </c>
      <c r="B102" s="85" t="s">
        <v>49</v>
      </c>
      <c r="C102" s="85" t="s">
        <v>345</v>
      </c>
      <c r="D102" s="85" t="s">
        <v>346</v>
      </c>
      <c r="E102" s="85">
        <v>4</v>
      </c>
      <c r="F102" s="86">
        <v>41360</v>
      </c>
      <c r="G102" s="87" t="s">
        <v>347</v>
      </c>
      <c r="H102" s="87">
        <v>4084253980</v>
      </c>
      <c r="I102" s="87" t="s">
        <v>348</v>
      </c>
      <c r="J102" s="88">
        <v>44728</v>
      </c>
      <c r="K102" s="85" t="s">
        <v>130</v>
      </c>
      <c r="L102" s="85" t="s">
        <v>133</v>
      </c>
      <c r="M102" s="85"/>
      <c r="N102" s="85" t="s">
        <v>41</v>
      </c>
      <c r="O102" s="89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</row>
    <row r="103" spans="1:46" ht="16.5" customHeight="1" x14ac:dyDescent="0.35">
      <c r="A103" s="85">
        <v>98</v>
      </c>
      <c r="B103" s="85" t="s">
        <v>89</v>
      </c>
      <c r="C103" s="85" t="s">
        <v>345</v>
      </c>
      <c r="D103" s="85" t="s">
        <v>346</v>
      </c>
      <c r="E103" s="85">
        <v>4</v>
      </c>
      <c r="F103" s="86">
        <v>41360</v>
      </c>
      <c r="G103" s="87" t="s">
        <v>347</v>
      </c>
      <c r="H103" s="87">
        <v>4084253980</v>
      </c>
      <c r="I103" s="87" t="s">
        <v>348</v>
      </c>
      <c r="J103" s="88">
        <v>44728</v>
      </c>
      <c r="K103" s="85" t="s">
        <v>167</v>
      </c>
      <c r="L103" s="85" t="s">
        <v>224</v>
      </c>
      <c r="M103" s="85"/>
      <c r="N103" s="85" t="s">
        <v>41</v>
      </c>
      <c r="O103" s="89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</row>
    <row r="104" spans="1:46" ht="16.5" customHeight="1" x14ac:dyDescent="0.35">
      <c r="A104" s="85">
        <v>99</v>
      </c>
      <c r="B104" s="91" t="s">
        <v>49</v>
      </c>
      <c r="C104" s="91" t="s">
        <v>349</v>
      </c>
      <c r="D104" s="91" t="s">
        <v>350</v>
      </c>
      <c r="E104" s="91">
        <v>4</v>
      </c>
      <c r="F104" s="92">
        <v>41818</v>
      </c>
      <c r="G104" s="93" t="s">
        <v>351</v>
      </c>
      <c r="H104" s="93">
        <v>4083386396</v>
      </c>
      <c r="I104" s="93" t="s">
        <v>352</v>
      </c>
      <c r="J104" s="94">
        <v>45139</v>
      </c>
      <c r="K104" s="91" t="s">
        <v>212</v>
      </c>
      <c r="L104" s="91" t="s">
        <v>353</v>
      </c>
      <c r="M104" s="91"/>
      <c r="N104" s="91" t="s">
        <v>41</v>
      </c>
      <c r="O104" s="95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</row>
    <row r="105" spans="1:46" ht="16.5" customHeight="1" x14ac:dyDescent="0.35">
      <c r="A105" s="85">
        <v>100</v>
      </c>
      <c r="B105" s="91" t="s">
        <v>89</v>
      </c>
      <c r="C105" s="91" t="s">
        <v>349</v>
      </c>
      <c r="D105" s="91" t="s">
        <v>350</v>
      </c>
      <c r="E105" s="91">
        <v>4</v>
      </c>
      <c r="F105" s="92">
        <v>41818</v>
      </c>
      <c r="G105" s="93" t="s">
        <v>351</v>
      </c>
      <c r="H105" s="93">
        <v>4083386396</v>
      </c>
      <c r="I105" s="93" t="s">
        <v>352</v>
      </c>
      <c r="J105" s="94">
        <v>45139</v>
      </c>
      <c r="K105" s="91" t="s">
        <v>167</v>
      </c>
      <c r="L105" s="91" t="s">
        <v>162</v>
      </c>
      <c r="M105" s="91"/>
      <c r="N105" s="91" t="s">
        <v>41</v>
      </c>
      <c r="O105" s="95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</row>
    <row r="106" spans="1:46" ht="16.5" customHeight="1" x14ac:dyDescent="0.35">
      <c r="A106" s="85">
        <v>101</v>
      </c>
      <c r="B106" s="91" t="s">
        <v>49</v>
      </c>
      <c r="C106" s="91" t="s">
        <v>354</v>
      </c>
      <c r="D106" s="91" t="s">
        <v>355</v>
      </c>
      <c r="E106" s="91">
        <v>2</v>
      </c>
      <c r="F106" s="92">
        <v>42454</v>
      </c>
      <c r="G106" s="93" t="s">
        <v>356</v>
      </c>
      <c r="H106" s="93">
        <v>5743398769</v>
      </c>
      <c r="I106" s="93" t="s">
        <v>357</v>
      </c>
      <c r="J106" s="94">
        <v>45154</v>
      </c>
      <c r="K106" s="91" t="s">
        <v>161</v>
      </c>
      <c r="L106" s="91" t="s">
        <v>113</v>
      </c>
      <c r="M106" s="91"/>
      <c r="N106" s="91" t="s">
        <v>41</v>
      </c>
      <c r="O106" s="95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</row>
    <row r="107" spans="1:46" ht="16.5" customHeight="1" x14ac:dyDescent="0.35">
      <c r="A107" s="85">
        <v>102</v>
      </c>
      <c r="B107" s="91" t="s">
        <v>89</v>
      </c>
      <c r="C107" s="91" t="s">
        <v>354</v>
      </c>
      <c r="D107" s="91" t="s">
        <v>355</v>
      </c>
      <c r="E107" s="91">
        <v>2</v>
      </c>
      <c r="F107" s="92">
        <v>42454</v>
      </c>
      <c r="G107" s="93" t="s">
        <v>356</v>
      </c>
      <c r="H107" s="93">
        <v>5743398769</v>
      </c>
      <c r="I107" s="93" t="s">
        <v>357</v>
      </c>
      <c r="J107" s="94">
        <v>45154</v>
      </c>
      <c r="K107" s="91" t="s">
        <v>163</v>
      </c>
      <c r="L107" s="91" t="s">
        <v>288</v>
      </c>
      <c r="M107" s="91"/>
      <c r="N107" s="91" t="s">
        <v>41</v>
      </c>
      <c r="O107" s="95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</row>
    <row r="108" spans="1:46" s="265" customFormat="1" ht="16.5" customHeight="1" x14ac:dyDescent="0.35">
      <c r="A108" s="85">
        <v>103</v>
      </c>
      <c r="B108" s="259" t="s">
        <v>49</v>
      </c>
      <c r="C108" s="259" t="s">
        <v>358</v>
      </c>
      <c r="D108" s="259" t="s">
        <v>359</v>
      </c>
      <c r="E108" s="259">
        <v>7</v>
      </c>
      <c r="F108" s="260">
        <v>40565</v>
      </c>
      <c r="G108" s="261" t="s">
        <v>360</v>
      </c>
      <c r="H108" s="261">
        <v>6692908853</v>
      </c>
      <c r="I108" s="261" t="s">
        <v>361</v>
      </c>
      <c r="J108" s="262">
        <v>45078</v>
      </c>
      <c r="K108" s="259" t="s">
        <v>214</v>
      </c>
      <c r="L108" s="259" t="s">
        <v>121</v>
      </c>
      <c r="M108" s="259" t="s">
        <v>1730</v>
      </c>
      <c r="N108" s="259" t="s">
        <v>35</v>
      </c>
      <c r="O108" s="263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64"/>
      <c r="AG108" s="264"/>
      <c r="AH108" s="264"/>
      <c r="AI108" s="264"/>
      <c r="AJ108" s="264"/>
      <c r="AK108" s="264"/>
      <c r="AL108" s="264"/>
      <c r="AM108" s="264"/>
      <c r="AN108" s="264"/>
      <c r="AO108" s="264"/>
      <c r="AP108" s="264"/>
      <c r="AQ108" s="264"/>
      <c r="AR108" s="264"/>
      <c r="AS108" s="264"/>
      <c r="AT108" s="264"/>
    </row>
    <row r="109" spans="1:46" s="265" customFormat="1" ht="16.5" customHeight="1" x14ac:dyDescent="0.35">
      <c r="A109" s="85">
        <v>104</v>
      </c>
      <c r="B109" s="259" t="s">
        <v>89</v>
      </c>
      <c r="C109" s="259" t="s">
        <v>358</v>
      </c>
      <c r="D109" s="259" t="s">
        <v>359</v>
      </c>
      <c r="E109" s="259">
        <v>7</v>
      </c>
      <c r="F109" s="260">
        <v>40565</v>
      </c>
      <c r="G109" s="261" t="s">
        <v>360</v>
      </c>
      <c r="H109" s="261">
        <v>6692908853</v>
      </c>
      <c r="I109" s="261" t="s">
        <v>361</v>
      </c>
      <c r="J109" s="262">
        <v>45078</v>
      </c>
      <c r="K109" s="259" t="s">
        <v>301</v>
      </c>
      <c r="L109" s="259" t="s">
        <v>123</v>
      </c>
      <c r="M109" s="259" t="s">
        <v>1730</v>
      </c>
      <c r="N109" s="259" t="s">
        <v>35</v>
      </c>
      <c r="O109" s="263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  <c r="Z109" s="264"/>
      <c r="AA109" s="264"/>
      <c r="AB109" s="264"/>
      <c r="AC109" s="264"/>
      <c r="AD109" s="264"/>
      <c r="AE109" s="264"/>
      <c r="AF109" s="264"/>
      <c r="AG109" s="264"/>
      <c r="AH109" s="264"/>
      <c r="AI109" s="264"/>
      <c r="AJ109" s="264"/>
      <c r="AK109" s="264"/>
      <c r="AL109" s="264"/>
      <c r="AM109" s="264"/>
      <c r="AN109" s="264"/>
      <c r="AO109" s="264"/>
      <c r="AP109" s="264"/>
      <c r="AQ109" s="264"/>
      <c r="AR109" s="264"/>
      <c r="AS109" s="264"/>
      <c r="AT109" s="264"/>
    </row>
    <row r="110" spans="1:46" ht="16.5" customHeight="1" x14ac:dyDescent="0.35">
      <c r="A110" s="85">
        <v>105</v>
      </c>
      <c r="B110" s="91" t="s">
        <v>89</v>
      </c>
      <c r="C110" s="91" t="s">
        <v>358</v>
      </c>
      <c r="D110" s="91" t="s">
        <v>362</v>
      </c>
      <c r="E110" s="91">
        <v>1</v>
      </c>
      <c r="F110" s="92">
        <v>42231</v>
      </c>
      <c r="G110" s="93" t="s">
        <v>363</v>
      </c>
      <c r="H110" s="93" t="s">
        <v>364</v>
      </c>
      <c r="I110" s="93" t="s">
        <v>365</v>
      </c>
      <c r="J110" s="94">
        <v>45139</v>
      </c>
      <c r="K110" s="91" t="s">
        <v>163</v>
      </c>
      <c r="L110" s="91" t="s">
        <v>140</v>
      </c>
      <c r="N110" s="91" t="s">
        <v>41</v>
      </c>
      <c r="O110" s="95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</row>
    <row r="111" spans="1:46" ht="16.5" customHeight="1" x14ac:dyDescent="0.35">
      <c r="A111" s="85">
        <v>106</v>
      </c>
      <c r="B111" s="91" t="s">
        <v>49</v>
      </c>
      <c r="C111" s="91" t="s">
        <v>358</v>
      </c>
      <c r="D111" s="91" t="s">
        <v>366</v>
      </c>
      <c r="E111" s="91">
        <v>4</v>
      </c>
      <c r="F111" s="92">
        <v>41480</v>
      </c>
      <c r="G111" s="93" t="s">
        <v>367</v>
      </c>
      <c r="H111" s="93" t="s">
        <v>368</v>
      </c>
      <c r="I111" s="93" t="s">
        <v>369</v>
      </c>
      <c r="J111" s="94">
        <v>44914</v>
      </c>
      <c r="K111" s="91" t="s">
        <v>153</v>
      </c>
      <c r="L111" s="91" t="s">
        <v>215</v>
      </c>
      <c r="M111" s="91"/>
      <c r="N111" s="91" t="s">
        <v>41</v>
      </c>
      <c r="O111" s="95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</row>
    <row r="112" spans="1:46" ht="16.5" customHeight="1" x14ac:dyDescent="0.35">
      <c r="A112" s="85">
        <v>107</v>
      </c>
      <c r="B112" s="91" t="s">
        <v>89</v>
      </c>
      <c r="C112" s="91" t="s">
        <v>358</v>
      </c>
      <c r="D112" s="91" t="s">
        <v>366</v>
      </c>
      <c r="E112" s="91">
        <v>4</v>
      </c>
      <c r="F112" s="92">
        <v>41480</v>
      </c>
      <c r="G112" s="93" t="s">
        <v>367</v>
      </c>
      <c r="H112" s="93" t="s">
        <v>368</v>
      </c>
      <c r="I112" s="93" t="s">
        <v>369</v>
      </c>
      <c r="J112" s="94">
        <v>44914</v>
      </c>
      <c r="K112" s="91" t="s">
        <v>167</v>
      </c>
      <c r="L112" s="91" t="s">
        <v>183</v>
      </c>
      <c r="M112" s="91" t="s">
        <v>370</v>
      </c>
      <c r="N112" s="91" t="s">
        <v>41</v>
      </c>
      <c r="O112" s="95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</row>
    <row r="113" spans="1:46" ht="16.5" customHeight="1" x14ac:dyDescent="0.35">
      <c r="A113" s="85">
        <v>108</v>
      </c>
      <c r="B113" s="91" t="s">
        <v>49</v>
      </c>
      <c r="C113" s="91" t="s">
        <v>358</v>
      </c>
      <c r="D113" s="91" t="s">
        <v>371</v>
      </c>
      <c r="E113" s="91" t="s">
        <v>149</v>
      </c>
      <c r="F113" s="92" t="s">
        <v>372</v>
      </c>
      <c r="G113" s="93" t="s">
        <v>373</v>
      </c>
      <c r="H113" s="93" t="s">
        <v>374</v>
      </c>
      <c r="I113" s="93" t="s">
        <v>375</v>
      </c>
      <c r="J113" s="94">
        <v>45139</v>
      </c>
      <c r="K113" s="91" t="s">
        <v>331</v>
      </c>
      <c r="L113" s="91" t="s">
        <v>376</v>
      </c>
      <c r="M113" s="91"/>
      <c r="N113" s="91" t="s">
        <v>41</v>
      </c>
      <c r="O113" s="95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</row>
    <row r="114" spans="1:46" ht="16.5" customHeight="1" x14ac:dyDescent="0.35">
      <c r="A114" s="85">
        <v>109</v>
      </c>
      <c r="B114" s="91" t="s">
        <v>89</v>
      </c>
      <c r="C114" s="91" t="s">
        <v>358</v>
      </c>
      <c r="D114" s="91" t="s">
        <v>371</v>
      </c>
      <c r="E114" s="91" t="s">
        <v>149</v>
      </c>
      <c r="F114" s="92" t="s">
        <v>372</v>
      </c>
      <c r="G114" s="93" t="s">
        <v>373</v>
      </c>
      <c r="H114" s="93" t="s">
        <v>374</v>
      </c>
      <c r="I114" s="93" t="s">
        <v>377</v>
      </c>
      <c r="J114" s="94">
        <v>45139</v>
      </c>
      <c r="K114" s="91" t="s">
        <v>265</v>
      </c>
      <c r="L114" s="91" t="s">
        <v>378</v>
      </c>
      <c r="M114" s="91"/>
      <c r="N114" s="91" t="s">
        <v>41</v>
      </c>
      <c r="O114" s="95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</row>
    <row r="115" spans="1:46" s="265" customFormat="1" ht="16.5" customHeight="1" x14ac:dyDescent="0.35">
      <c r="A115" s="85">
        <v>110</v>
      </c>
      <c r="B115" s="259" t="s">
        <v>49</v>
      </c>
      <c r="C115" s="259" t="s">
        <v>358</v>
      </c>
      <c r="D115" s="259" t="s">
        <v>379</v>
      </c>
      <c r="E115" s="259">
        <v>4</v>
      </c>
      <c r="F115" s="260">
        <v>41781</v>
      </c>
      <c r="G115" s="261" t="s">
        <v>380</v>
      </c>
      <c r="H115" s="261">
        <v>9168657621</v>
      </c>
      <c r="I115" s="261" t="s">
        <v>381</v>
      </c>
      <c r="J115" s="262">
        <v>45154</v>
      </c>
      <c r="K115" s="259" t="s">
        <v>109</v>
      </c>
      <c r="L115" s="259" t="s">
        <v>133</v>
      </c>
      <c r="M115" s="259" t="s">
        <v>1730</v>
      </c>
      <c r="N115" s="259" t="s">
        <v>35</v>
      </c>
      <c r="O115" s="263"/>
      <c r="P115" s="264"/>
      <c r="Q115" s="264"/>
      <c r="R115" s="264"/>
      <c r="S115" s="264"/>
      <c r="T115" s="264"/>
      <c r="U115" s="264"/>
      <c r="V115" s="264"/>
      <c r="W115" s="264"/>
      <c r="X115" s="264"/>
      <c r="Y115" s="264"/>
      <c r="Z115" s="264"/>
      <c r="AA115" s="264"/>
      <c r="AB115" s="264"/>
      <c r="AC115" s="264"/>
      <c r="AD115" s="264"/>
      <c r="AE115" s="264"/>
      <c r="AF115" s="264"/>
      <c r="AG115" s="264"/>
      <c r="AH115" s="264"/>
      <c r="AI115" s="264"/>
      <c r="AJ115" s="264"/>
      <c r="AK115" s="264"/>
      <c r="AL115" s="264"/>
      <c r="AM115" s="264"/>
      <c r="AN115" s="264"/>
      <c r="AO115" s="264"/>
      <c r="AP115" s="264"/>
      <c r="AQ115" s="264"/>
      <c r="AR115" s="264"/>
      <c r="AS115" s="264"/>
      <c r="AT115" s="264"/>
    </row>
    <row r="116" spans="1:46" s="265" customFormat="1" ht="16.5" customHeight="1" x14ac:dyDescent="0.35">
      <c r="A116" s="85">
        <v>111</v>
      </c>
      <c r="B116" s="259" t="s">
        <v>89</v>
      </c>
      <c r="C116" s="259" t="s">
        <v>358</v>
      </c>
      <c r="D116" s="259" t="s">
        <v>382</v>
      </c>
      <c r="E116" s="259">
        <v>4</v>
      </c>
      <c r="F116" s="260">
        <v>41781</v>
      </c>
      <c r="G116" s="261" t="s">
        <v>380</v>
      </c>
      <c r="H116" s="261">
        <v>9168657621</v>
      </c>
      <c r="I116" s="261" t="s">
        <v>381</v>
      </c>
      <c r="J116" s="262">
        <v>45154</v>
      </c>
      <c r="K116" s="259" t="s">
        <v>132</v>
      </c>
      <c r="L116" s="259" t="s">
        <v>173</v>
      </c>
      <c r="M116" s="259" t="s">
        <v>1730</v>
      </c>
      <c r="N116" s="259" t="s">
        <v>35</v>
      </c>
      <c r="O116" s="263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  <c r="Z116" s="264"/>
      <c r="AA116" s="264"/>
      <c r="AB116" s="264"/>
      <c r="AC116" s="264"/>
      <c r="AD116" s="264"/>
      <c r="AE116" s="264"/>
      <c r="AF116" s="264"/>
      <c r="AG116" s="264"/>
      <c r="AH116" s="264"/>
      <c r="AI116" s="264"/>
      <c r="AJ116" s="264"/>
      <c r="AK116" s="264"/>
      <c r="AL116" s="264"/>
      <c r="AM116" s="264"/>
      <c r="AN116" s="264"/>
      <c r="AO116" s="264"/>
      <c r="AP116" s="264"/>
      <c r="AQ116" s="264"/>
      <c r="AR116" s="264"/>
      <c r="AS116" s="264"/>
      <c r="AT116" s="264"/>
    </row>
    <row r="117" spans="1:46" ht="16.5" customHeight="1" x14ac:dyDescent="0.35">
      <c r="A117" s="85">
        <v>112</v>
      </c>
      <c r="B117" s="91" t="s">
        <v>89</v>
      </c>
      <c r="C117" s="91" t="s">
        <v>358</v>
      </c>
      <c r="D117" s="91" t="s">
        <v>383</v>
      </c>
      <c r="E117" s="91">
        <v>6</v>
      </c>
      <c r="F117" s="92">
        <v>40070</v>
      </c>
      <c r="G117" s="93" t="s">
        <v>363</v>
      </c>
      <c r="H117" s="93" t="s">
        <v>364</v>
      </c>
      <c r="I117" s="93" t="s">
        <v>365</v>
      </c>
      <c r="J117" s="94">
        <v>44866</v>
      </c>
      <c r="K117" s="91" t="s">
        <v>384</v>
      </c>
      <c r="L117" s="91" t="s">
        <v>156</v>
      </c>
      <c r="M117" s="91" t="s">
        <v>385</v>
      </c>
      <c r="N117" s="91" t="s">
        <v>41</v>
      </c>
      <c r="O117" s="95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</row>
    <row r="118" spans="1:46" ht="16.5" customHeight="1" x14ac:dyDescent="0.35">
      <c r="A118" s="85">
        <v>113</v>
      </c>
      <c r="B118" s="91" t="s">
        <v>89</v>
      </c>
      <c r="C118" s="91" t="s">
        <v>358</v>
      </c>
      <c r="D118" s="91" t="s">
        <v>111</v>
      </c>
      <c r="E118" s="91">
        <v>1</v>
      </c>
      <c r="F118" s="92">
        <v>42231</v>
      </c>
      <c r="G118" s="93" t="s">
        <v>363</v>
      </c>
      <c r="H118" s="93" t="s">
        <v>364</v>
      </c>
      <c r="I118" s="93" t="s">
        <v>365</v>
      </c>
      <c r="J118" s="94">
        <v>44682</v>
      </c>
      <c r="K118" s="91" t="s">
        <v>132</v>
      </c>
      <c r="L118" s="91" t="s">
        <v>386</v>
      </c>
      <c r="M118" s="91"/>
      <c r="N118" s="91" t="s">
        <v>41</v>
      </c>
      <c r="O118" s="95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</row>
    <row r="119" spans="1:46" ht="16.5" customHeight="1" x14ac:dyDescent="0.35">
      <c r="A119" s="85">
        <v>114</v>
      </c>
      <c r="B119" s="85" t="s">
        <v>49</v>
      </c>
      <c r="C119" s="85" t="s">
        <v>387</v>
      </c>
      <c r="D119" s="85" t="s">
        <v>388</v>
      </c>
      <c r="E119" s="85">
        <v>1</v>
      </c>
      <c r="F119" s="86">
        <v>42908</v>
      </c>
      <c r="G119" s="87" t="s">
        <v>389</v>
      </c>
      <c r="H119" s="87" t="s">
        <v>368</v>
      </c>
      <c r="I119" s="87" t="s">
        <v>369</v>
      </c>
      <c r="J119" s="88">
        <v>45139</v>
      </c>
      <c r="K119" s="85" t="s">
        <v>182</v>
      </c>
      <c r="L119" s="85" t="s">
        <v>173</v>
      </c>
      <c r="M119" s="85"/>
      <c r="N119" s="85" t="s">
        <v>41</v>
      </c>
      <c r="O119" s="89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</row>
    <row r="120" spans="1:46" ht="16.5" customHeight="1" x14ac:dyDescent="0.35">
      <c r="A120" s="85">
        <v>115</v>
      </c>
      <c r="B120" s="91" t="s">
        <v>49</v>
      </c>
      <c r="C120" s="91" t="s">
        <v>390</v>
      </c>
      <c r="D120" s="91" t="s">
        <v>391</v>
      </c>
      <c r="E120" s="91">
        <v>4</v>
      </c>
      <c r="F120" s="92">
        <v>41123</v>
      </c>
      <c r="G120" s="93" t="s">
        <v>392</v>
      </c>
      <c r="H120" s="93">
        <v>9255779286</v>
      </c>
      <c r="I120" s="93" t="s">
        <v>393</v>
      </c>
      <c r="J120" s="94">
        <v>44928</v>
      </c>
      <c r="K120" s="91" t="s">
        <v>281</v>
      </c>
      <c r="L120" s="91" t="s">
        <v>394</v>
      </c>
      <c r="M120" s="91"/>
      <c r="N120" s="91" t="s">
        <v>41</v>
      </c>
      <c r="O120" s="95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</row>
    <row r="121" spans="1:46" ht="16.5" customHeight="1" x14ac:dyDescent="0.35">
      <c r="A121" s="85">
        <v>116</v>
      </c>
      <c r="B121" s="91" t="s">
        <v>89</v>
      </c>
      <c r="C121" s="91" t="s">
        <v>390</v>
      </c>
      <c r="D121" s="91" t="s">
        <v>391</v>
      </c>
      <c r="E121" s="91">
        <v>4</v>
      </c>
      <c r="F121" s="92">
        <v>41123</v>
      </c>
      <c r="G121" s="93" t="s">
        <v>392</v>
      </c>
      <c r="H121" s="93">
        <v>9255779286</v>
      </c>
      <c r="I121" s="93" t="s">
        <v>393</v>
      </c>
      <c r="J121" s="94">
        <v>44928</v>
      </c>
      <c r="K121" s="91" t="s">
        <v>251</v>
      </c>
      <c r="L121" s="91" t="s">
        <v>183</v>
      </c>
      <c r="M121" s="91"/>
      <c r="N121" s="91" t="s">
        <v>41</v>
      </c>
      <c r="O121" s="95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</row>
    <row r="122" spans="1:46" ht="16.5" customHeight="1" x14ac:dyDescent="0.35">
      <c r="A122" s="85">
        <v>117</v>
      </c>
      <c r="B122" s="91" t="s">
        <v>49</v>
      </c>
      <c r="C122" s="91" t="s">
        <v>395</v>
      </c>
      <c r="D122" s="91" t="s">
        <v>396</v>
      </c>
      <c r="E122" s="91">
        <v>2</v>
      </c>
      <c r="F122" s="92">
        <v>41791</v>
      </c>
      <c r="G122" s="93" t="s">
        <v>397</v>
      </c>
      <c r="H122" s="93">
        <v>9493027553</v>
      </c>
      <c r="I122" s="93" t="s">
        <v>398</v>
      </c>
      <c r="J122" s="94">
        <v>44621</v>
      </c>
      <c r="K122" s="91" t="s">
        <v>109</v>
      </c>
      <c r="L122" s="91" t="s">
        <v>183</v>
      </c>
      <c r="M122" s="91"/>
      <c r="N122" s="91" t="s">
        <v>41</v>
      </c>
      <c r="O122" s="95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</row>
    <row r="123" spans="1:46" ht="16.5" customHeight="1" x14ac:dyDescent="0.35">
      <c r="A123" s="85">
        <v>118</v>
      </c>
      <c r="B123" s="91" t="s">
        <v>89</v>
      </c>
      <c r="C123" s="91" t="s">
        <v>395</v>
      </c>
      <c r="D123" s="91" t="s">
        <v>396</v>
      </c>
      <c r="E123" s="91">
        <v>2</v>
      </c>
      <c r="F123" s="92">
        <v>41791</v>
      </c>
      <c r="G123" s="93" t="s">
        <v>397</v>
      </c>
      <c r="H123" s="93">
        <v>9493027553</v>
      </c>
      <c r="I123" s="93" t="s">
        <v>398</v>
      </c>
      <c r="J123" s="94">
        <v>44621</v>
      </c>
      <c r="K123" s="91" t="s">
        <v>155</v>
      </c>
      <c r="L123" s="91" t="s">
        <v>283</v>
      </c>
      <c r="M123" s="91"/>
      <c r="N123" s="91" t="s">
        <v>41</v>
      </c>
      <c r="O123" s="95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</row>
    <row r="124" spans="1:46" ht="16.5" customHeight="1" x14ac:dyDescent="0.35">
      <c r="A124" s="85">
        <v>119</v>
      </c>
      <c r="B124" s="85" t="s">
        <v>49</v>
      </c>
      <c r="C124" s="85" t="s">
        <v>399</v>
      </c>
      <c r="D124" s="85" t="s">
        <v>400</v>
      </c>
      <c r="E124" s="85">
        <v>2</v>
      </c>
      <c r="F124" s="86">
        <v>42444</v>
      </c>
      <c r="G124" s="87" t="s">
        <v>401</v>
      </c>
      <c r="H124" s="87" t="s">
        <v>402</v>
      </c>
      <c r="I124" s="87" t="s">
        <v>403</v>
      </c>
      <c r="J124" s="88">
        <v>44974</v>
      </c>
      <c r="K124" s="85" t="s">
        <v>118</v>
      </c>
      <c r="L124" s="85" t="s">
        <v>283</v>
      </c>
      <c r="M124" s="85"/>
      <c r="N124" s="85" t="s">
        <v>41</v>
      </c>
      <c r="O124" s="89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</row>
    <row r="125" spans="1:46" ht="16.5" customHeight="1" x14ac:dyDescent="0.35">
      <c r="A125" s="85">
        <v>120</v>
      </c>
      <c r="B125" s="85" t="s">
        <v>89</v>
      </c>
      <c r="C125" s="85" t="s">
        <v>399</v>
      </c>
      <c r="D125" s="85" t="s">
        <v>400</v>
      </c>
      <c r="E125" s="85">
        <v>2</v>
      </c>
      <c r="F125" s="86">
        <v>42444</v>
      </c>
      <c r="G125" s="87" t="s">
        <v>401</v>
      </c>
      <c r="H125" s="87" t="s">
        <v>402</v>
      </c>
      <c r="I125" s="87" t="s">
        <v>403</v>
      </c>
      <c r="J125" s="88">
        <v>44974</v>
      </c>
      <c r="K125" s="85" t="s">
        <v>124</v>
      </c>
      <c r="L125" s="85" t="s">
        <v>131</v>
      </c>
      <c r="M125" s="85"/>
      <c r="N125" s="85" t="s">
        <v>41</v>
      </c>
      <c r="O125" s="89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</row>
    <row r="126" spans="1:46" ht="16.5" customHeight="1" x14ac:dyDescent="0.35">
      <c r="A126" s="85">
        <v>121</v>
      </c>
      <c r="B126" s="91" t="s">
        <v>89</v>
      </c>
      <c r="C126" s="91" t="s">
        <v>404</v>
      </c>
      <c r="D126" s="91" t="s">
        <v>405</v>
      </c>
      <c r="E126" s="91">
        <v>3</v>
      </c>
      <c r="F126" s="92">
        <v>41766</v>
      </c>
      <c r="G126" s="93" t="s">
        <v>406</v>
      </c>
      <c r="H126" s="93">
        <v>4086076664</v>
      </c>
      <c r="I126" s="93" t="s">
        <v>407</v>
      </c>
      <c r="J126" s="94">
        <v>44928</v>
      </c>
      <c r="K126" s="91" t="s">
        <v>155</v>
      </c>
      <c r="L126" s="91" t="s">
        <v>224</v>
      </c>
      <c r="M126" s="91"/>
      <c r="N126" s="91" t="s">
        <v>41</v>
      </c>
      <c r="O126" s="95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</row>
    <row r="127" spans="1:46" ht="16.5" customHeight="1" x14ac:dyDescent="0.35">
      <c r="A127" s="85">
        <v>122</v>
      </c>
      <c r="B127" s="121" t="s">
        <v>49</v>
      </c>
      <c r="C127" s="121" t="s">
        <v>404</v>
      </c>
      <c r="D127" s="121" t="s">
        <v>405</v>
      </c>
      <c r="E127" s="121">
        <v>3</v>
      </c>
      <c r="F127" s="105">
        <v>41766</v>
      </c>
      <c r="G127" s="122" t="s">
        <v>406</v>
      </c>
      <c r="H127" s="122">
        <v>4086076664</v>
      </c>
      <c r="I127" s="122" t="s">
        <v>407</v>
      </c>
      <c r="J127" s="107">
        <v>45170</v>
      </c>
      <c r="K127" s="121" t="s">
        <v>109</v>
      </c>
      <c r="L127" s="121" t="s">
        <v>131</v>
      </c>
      <c r="M127" s="121"/>
      <c r="N127" s="91" t="s">
        <v>41</v>
      </c>
      <c r="O127" s="104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  <c r="AC127" s="123"/>
      <c r="AD127" s="123"/>
      <c r="AE127" s="123"/>
      <c r="AF127" s="123"/>
      <c r="AG127" s="123"/>
      <c r="AH127" s="123"/>
      <c r="AI127" s="123"/>
      <c r="AJ127" s="123"/>
      <c r="AK127" s="123"/>
      <c r="AL127" s="123"/>
      <c r="AM127" s="123"/>
      <c r="AN127" s="123"/>
      <c r="AO127" s="123"/>
      <c r="AP127" s="123"/>
      <c r="AQ127" s="123"/>
      <c r="AR127" s="123"/>
      <c r="AS127" s="123"/>
      <c r="AT127" s="123"/>
    </row>
    <row r="128" spans="1:46" ht="16.5" customHeight="1" x14ac:dyDescent="0.35">
      <c r="A128" s="85">
        <v>123</v>
      </c>
      <c r="B128" s="91" t="s">
        <v>49</v>
      </c>
      <c r="C128" s="91" t="s">
        <v>408</v>
      </c>
      <c r="D128" s="91" t="s">
        <v>409</v>
      </c>
      <c r="E128" s="91">
        <v>4</v>
      </c>
      <c r="F128" s="92">
        <v>41305</v>
      </c>
      <c r="G128" s="93" t="s">
        <v>410</v>
      </c>
      <c r="H128" s="93">
        <v>14083966159</v>
      </c>
      <c r="I128" s="93" t="s">
        <v>411</v>
      </c>
      <c r="J128" s="94">
        <v>44790</v>
      </c>
      <c r="K128" s="91" t="s">
        <v>212</v>
      </c>
      <c r="L128" s="91" t="s">
        <v>113</v>
      </c>
      <c r="M128" s="91"/>
      <c r="N128" s="91" t="s">
        <v>41</v>
      </c>
      <c r="O128" s="95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  <c r="AR128" s="96"/>
      <c r="AS128" s="96"/>
      <c r="AT128" s="96"/>
    </row>
    <row r="129" spans="1:46" ht="16.5" customHeight="1" x14ac:dyDescent="0.35">
      <c r="A129" s="85">
        <v>124</v>
      </c>
      <c r="B129" s="91" t="s">
        <v>89</v>
      </c>
      <c r="C129" s="91" t="s">
        <v>408</v>
      </c>
      <c r="D129" s="91" t="s">
        <v>409</v>
      </c>
      <c r="E129" s="91">
        <v>4</v>
      </c>
      <c r="F129" s="92">
        <v>41305</v>
      </c>
      <c r="G129" s="93" t="s">
        <v>410</v>
      </c>
      <c r="H129" s="93">
        <v>14083966159</v>
      </c>
      <c r="I129" s="93" t="s">
        <v>411</v>
      </c>
      <c r="J129" s="94">
        <v>44790</v>
      </c>
      <c r="K129" s="91" t="s">
        <v>155</v>
      </c>
      <c r="L129" s="91" t="s">
        <v>288</v>
      </c>
      <c r="M129" s="91"/>
      <c r="N129" s="91" t="s">
        <v>41</v>
      </c>
      <c r="O129" s="95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  <c r="AT129" s="96"/>
    </row>
    <row r="130" spans="1:46" ht="16.5" customHeight="1" x14ac:dyDescent="0.35">
      <c r="A130" s="85">
        <v>125</v>
      </c>
      <c r="B130" s="91" t="s">
        <v>49</v>
      </c>
      <c r="C130" s="91" t="s">
        <v>412</v>
      </c>
      <c r="D130" s="91" t="s">
        <v>413</v>
      </c>
      <c r="E130" s="91">
        <v>2</v>
      </c>
      <c r="F130" s="92">
        <v>41026</v>
      </c>
      <c r="G130" s="93" t="s">
        <v>414</v>
      </c>
      <c r="H130" s="93" t="s">
        <v>415</v>
      </c>
      <c r="I130" s="93" t="s">
        <v>416</v>
      </c>
      <c r="J130" s="94">
        <v>43633</v>
      </c>
      <c r="K130" s="91" t="s">
        <v>417</v>
      </c>
      <c r="L130" s="91" t="s">
        <v>123</v>
      </c>
      <c r="M130" s="91"/>
      <c r="N130" s="91" t="s">
        <v>41</v>
      </c>
      <c r="O130" s="95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  <c r="AT130" s="96"/>
    </row>
    <row r="131" spans="1:46" ht="16.5" customHeight="1" x14ac:dyDescent="0.35">
      <c r="A131" s="85">
        <v>126</v>
      </c>
      <c r="B131" s="91" t="s">
        <v>89</v>
      </c>
      <c r="C131" s="91" t="s">
        <v>412</v>
      </c>
      <c r="D131" s="91" t="s">
        <v>413</v>
      </c>
      <c r="E131" s="91">
        <v>2</v>
      </c>
      <c r="F131" s="92">
        <v>41026</v>
      </c>
      <c r="G131" s="93" t="s">
        <v>414</v>
      </c>
      <c r="H131" s="93" t="s">
        <v>415</v>
      </c>
      <c r="I131" s="93" t="s">
        <v>416</v>
      </c>
      <c r="J131" s="94">
        <v>43633</v>
      </c>
      <c r="K131" s="91" t="s">
        <v>216</v>
      </c>
      <c r="L131" s="91" t="s">
        <v>376</v>
      </c>
      <c r="M131" s="91"/>
      <c r="N131" s="91" t="s">
        <v>41</v>
      </c>
      <c r="O131" s="95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</row>
    <row r="132" spans="1:46" ht="16.5" customHeight="1" x14ac:dyDescent="0.35">
      <c r="A132" s="85">
        <v>127</v>
      </c>
      <c r="B132" s="91" t="s">
        <v>49</v>
      </c>
      <c r="C132" s="91" t="s">
        <v>412</v>
      </c>
      <c r="D132" s="91" t="s">
        <v>418</v>
      </c>
      <c r="E132" s="91" t="s">
        <v>180</v>
      </c>
      <c r="F132" s="92">
        <v>44562</v>
      </c>
      <c r="G132" s="93" t="s">
        <v>419</v>
      </c>
      <c r="H132" s="93" t="s">
        <v>415</v>
      </c>
      <c r="I132" s="93" t="s">
        <v>420</v>
      </c>
      <c r="J132" s="94">
        <v>44440</v>
      </c>
      <c r="K132" s="91" t="s">
        <v>109</v>
      </c>
      <c r="L132" s="91" t="s">
        <v>125</v>
      </c>
      <c r="M132" s="91"/>
      <c r="N132" s="91" t="s">
        <v>41</v>
      </c>
      <c r="O132" s="95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</row>
    <row r="133" spans="1:46" ht="16.5" customHeight="1" x14ac:dyDescent="0.35">
      <c r="A133" s="85">
        <v>128</v>
      </c>
      <c r="B133" s="91" t="s">
        <v>89</v>
      </c>
      <c r="C133" s="91" t="s">
        <v>412</v>
      </c>
      <c r="D133" s="91" t="s">
        <v>418</v>
      </c>
      <c r="E133" s="91" t="s">
        <v>180</v>
      </c>
      <c r="F133" s="92">
        <v>44562</v>
      </c>
      <c r="G133" s="93" t="s">
        <v>419</v>
      </c>
      <c r="H133" s="93" t="s">
        <v>415</v>
      </c>
      <c r="I133" s="93" t="s">
        <v>420</v>
      </c>
      <c r="J133" s="94">
        <v>44440</v>
      </c>
      <c r="K133" s="91" t="s">
        <v>167</v>
      </c>
      <c r="L133" s="91" t="s">
        <v>325</v>
      </c>
      <c r="M133" s="91"/>
      <c r="N133" s="91" t="s">
        <v>41</v>
      </c>
      <c r="O133" s="95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</row>
    <row r="134" spans="1:46" ht="16.5" customHeight="1" x14ac:dyDescent="0.35">
      <c r="A134" s="85">
        <v>129</v>
      </c>
      <c r="B134" s="85" t="s">
        <v>49</v>
      </c>
      <c r="C134" s="85" t="s">
        <v>421</v>
      </c>
      <c r="D134" s="85" t="s">
        <v>422</v>
      </c>
      <c r="E134" s="85">
        <v>2</v>
      </c>
      <c r="F134" s="86">
        <v>42368</v>
      </c>
      <c r="G134" s="87" t="s">
        <v>423</v>
      </c>
      <c r="H134" s="87">
        <v>4088306997</v>
      </c>
      <c r="I134" s="87" t="s">
        <v>424</v>
      </c>
      <c r="J134" s="88">
        <v>45160</v>
      </c>
      <c r="K134" s="85" t="s">
        <v>161</v>
      </c>
      <c r="L134" s="85" t="s">
        <v>154</v>
      </c>
      <c r="M134" s="85"/>
      <c r="N134" s="85" t="s">
        <v>41</v>
      </c>
      <c r="O134" s="89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</row>
    <row r="135" spans="1:46" ht="16.5" customHeight="1" x14ac:dyDescent="0.35">
      <c r="A135" s="85">
        <v>130</v>
      </c>
      <c r="B135" s="85" t="s">
        <v>89</v>
      </c>
      <c r="C135" s="85" t="s">
        <v>421</v>
      </c>
      <c r="D135" s="85" t="s">
        <v>422</v>
      </c>
      <c r="E135" s="85">
        <v>2</v>
      </c>
      <c r="F135" s="86">
        <v>42368</v>
      </c>
      <c r="G135" s="87" t="s">
        <v>423</v>
      </c>
      <c r="H135" s="87">
        <v>4088306997</v>
      </c>
      <c r="I135" s="87" t="s">
        <v>424</v>
      </c>
      <c r="J135" s="88">
        <v>45160</v>
      </c>
      <c r="K135" s="85" t="s">
        <v>132</v>
      </c>
      <c r="L135" s="85" t="s">
        <v>215</v>
      </c>
      <c r="M135" s="85"/>
      <c r="N135" s="85" t="s">
        <v>41</v>
      </c>
      <c r="O135" s="89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</row>
    <row r="136" spans="1:46" ht="16.5" customHeight="1" x14ac:dyDescent="0.35">
      <c r="A136" s="85">
        <v>131</v>
      </c>
      <c r="B136" s="91" t="s">
        <v>49</v>
      </c>
      <c r="C136" s="91" t="s">
        <v>425</v>
      </c>
      <c r="D136" s="91" t="s">
        <v>426</v>
      </c>
      <c r="E136" s="91">
        <v>8</v>
      </c>
      <c r="F136" s="92">
        <v>40097</v>
      </c>
      <c r="G136" s="93" t="s">
        <v>427</v>
      </c>
      <c r="H136" s="93">
        <v>6502158888</v>
      </c>
      <c r="I136" s="93" t="s">
        <v>428</v>
      </c>
      <c r="J136" s="94">
        <v>45157</v>
      </c>
      <c r="K136" s="91" t="s">
        <v>130</v>
      </c>
      <c r="L136" s="91" t="s">
        <v>125</v>
      </c>
      <c r="M136" s="91"/>
      <c r="N136" s="91" t="s">
        <v>41</v>
      </c>
      <c r="O136" s="95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  <c r="AT136" s="96"/>
    </row>
    <row r="137" spans="1:46" s="265" customFormat="1" ht="16.5" customHeight="1" x14ac:dyDescent="0.35">
      <c r="A137" s="85">
        <v>132</v>
      </c>
      <c r="B137" s="259" t="s">
        <v>49</v>
      </c>
      <c r="C137" s="259" t="s">
        <v>429</v>
      </c>
      <c r="D137" s="259" t="s">
        <v>430</v>
      </c>
      <c r="E137" s="259">
        <v>3</v>
      </c>
      <c r="F137" s="260">
        <v>41899</v>
      </c>
      <c r="G137" s="261" t="s">
        <v>431</v>
      </c>
      <c r="H137" s="261">
        <v>5103165128</v>
      </c>
      <c r="I137" s="261" t="s">
        <v>432</v>
      </c>
      <c r="J137" s="262">
        <v>44844</v>
      </c>
      <c r="K137" s="259" t="s">
        <v>190</v>
      </c>
      <c r="L137" s="259" t="s">
        <v>178</v>
      </c>
      <c r="M137" s="259"/>
      <c r="N137" s="259" t="s">
        <v>35</v>
      </c>
      <c r="O137" s="263"/>
      <c r="P137" s="264"/>
      <c r="Q137" s="264"/>
      <c r="R137" s="264"/>
      <c r="S137" s="264"/>
      <c r="T137" s="264"/>
      <c r="U137" s="264"/>
      <c r="V137" s="264"/>
      <c r="W137" s="264"/>
      <c r="X137" s="264"/>
      <c r="Y137" s="264"/>
      <c r="Z137" s="264"/>
      <c r="AA137" s="264"/>
      <c r="AB137" s="264"/>
      <c r="AC137" s="264"/>
      <c r="AD137" s="264"/>
      <c r="AE137" s="264"/>
      <c r="AF137" s="264"/>
      <c r="AG137" s="264"/>
      <c r="AH137" s="264"/>
      <c r="AI137" s="264"/>
      <c r="AJ137" s="264"/>
      <c r="AK137" s="264"/>
      <c r="AL137" s="264"/>
      <c r="AM137" s="264"/>
      <c r="AN137" s="264"/>
      <c r="AO137" s="264"/>
      <c r="AP137" s="264"/>
      <c r="AQ137" s="264"/>
      <c r="AR137" s="264"/>
      <c r="AS137" s="264"/>
      <c r="AT137" s="264"/>
    </row>
    <row r="138" spans="1:46" ht="16.5" customHeight="1" x14ac:dyDescent="0.35">
      <c r="A138" s="85">
        <v>133</v>
      </c>
      <c r="B138" s="91" t="s">
        <v>49</v>
      </c>
      <c r="C138" s="91" t="s">
        <v>433</v>
      </c>
      <c r="D138" s="91" t="s">
        <v>434</v>
      </c>
      <c r="E138" s="91">
        <v>2</v>
      </c>
      <c r="F138" s="92">
        <v>42300</v>
      </c>
      <c r="G138" s="93" t="s">
        <v>435</v>
      </c>
      <c r="H138" s="93">
        <v>3375296156</v>
      </c>
      <c r="I138" s="93" t="s">
        <v>436</v>
      </c>
      <c r="J138" s="94">
        <v>45166</v>
      </c>
      <c r="K138" s="91" t="s">
        <v>190</v>
      </c>
      <c r="L138" s="91" t="s">
        <v>178</v>
      </c>
      <c r="M138" s="91"/>
      <c r="N138" s="91" t="s">
        <v>41</v>
      </c>
      <c r="O138" s="95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6"/>
      <c r="AR138" s="96"/>
      <c r="AS138" s="96"/>
      <c r="AT138" s="96"/>
    </row>
    <row r="139" spans="1:46" ht="16.5" customHeight="1" x14ac:dyDescent="0.35">
      <c r="A139" s="85">
        <v>134</v>
      </c>
      <c r="B139" s="91" t="s">
        <v>49</v>
      </c>
      <c r="C139" s="91" t="s">
        <v>437</v>
      </c>
      <c r="D139" s="91" t="s">
        <v>438</v>
      </c>
      <c r="E139" s="91">
        <v>6</v>
      </c>
      <c r="F139" s="92">
        <v>40841</v>
      </c>
      <c r="G139" s="93" t="s">
        <v>439</v>
      </c>
      <c r="H139" s="93">
        <v>3364303270</v>
      </c>
      <c r="I139" s="93" t="s">
        <v>440</v>
      </c>
      <c r="J139" s="94">
        <v>45154</v>
      </c>
      <c r="K139" s="91" t="s">
        <v>281</v>
      </c>
      <c r="L139" s="91" t="s">
        <v>123</v>
      </c>
      <c r="M139" s="91"/>
      <c r="N139" s="91" t="s">
        <v>41</v>
      </c>
      <c r="O139" s="95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96"/>
      <c r="AS139" s="96"/>
      <c r="AT139" s="96"/>
    </row>
    <row r="140" spans="1:46" ht="16.5" customHeight="1" x14ac:dyDescent="0.35">
      <c r="A140" s="85">
        <v>135</v>
      </c>
      <c r="B140" s="91" t="s">
        <v>89</v>
      </c>
      <c r="C140" s="91" t="s">
        <v>437</v>
      </c>
      <c r="D140" s="91" t="s">
        <v>438</v>
      </c>
      <c r="E140" s="91">
        <v>5</v>
      </c>
      <c r="F140" s="92">
        <v>40841</v>
      </c>
      <c r="G140" s="93" t="s">
        <v>439</v>
      </c>
      <c r="H140" s="93">
        <v>3364303270</v>
      </c>
      <c r="I140" s="93" t="s">
        <v>440</v>
      </c>
      <c r="J140" s="94">
        <v>44805</v>
      </c>
      <c r="K140" s="91" t="s">
        <v>261</v>
      </c>
      <c r="L140" s="91" t="s">
        <v>288</v>
      </c>
      <c r="M140" s="91"/>
      <c r="N140" s="91" t="s">
        <v>41</v>
      </c>
      <c r="O140" s="95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96"/>
      <c r="AS140" s="96"/>
      <c r="AT140" s="96"/>
    </row>
    <row r="141" spans="1:46" ht="16.5" customHeight="1" x14ac:dyDescent="0.35">
      <c r="A141" s="85">
        <v>136</v>
      </c>
      <c r="B141" s="91" t="s">
        <v>49</v>
      </c>
      <c r="C141" s="91" t="s">
        <v>437</v>
      </c>
      <c r="D141" s="91" t="s">
        <v>441</v>
      </c>
      <c r="E141" s="91">
        <v>2</v>
      </c>
      <c r="F141" s="92">
        <v>42381</v>
      </c>
      <c r="G141" s="93" t="s">
        <v>442</v>
      </c>
      <c r="H141" s="93">
        <v>4083290431</v>
      </c>
      <c r="I141" s="93" t="s">
        <v>443</v>
      </c>
      <c r="J141" s="94">
        <v>44896</v>
      </c>
      <c r="K141" s="91" t="s">
        <v>130</v>
      </c>
      <c r="L141" s="91" t="s">
        <v>444</v>
      </c>
      <c r="M141" s="91"/>
      <c r="N141" s="91" t="s">
        <v>41</v>
      </c>
      <c r="O141" s="95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  <c r="AR141" s="96"/>
      <c r="AS141" s="96"/>
      <c r="AT141" s="96"/>
    </row>
    <row r="142" spans="1:46" ht="16.5" customHeight="1" x14ac:dyDescent="0.35">
      <c r="A142" s="85">
        <v>137</v>
      </c>
      <c r="B142" s="91" t="s">
        <v>89</v>
      </c>
      <c r="C142" s="91" t="s">
        <v>437</v>
      </c>
      <c r="D142" s="91" t="s">
        <v>441</v>
      </c>
      <c r="E142" s="91">
        <v>2</v>
      </c>
      <c r="F142" s="92">
        <v>42381</v>
      </c>
      <c r="G142" s="93" t="s">
        <v>442</v>
      </c>
      <c r="H142" s="93">
        <v>4083290431</v>
      </c>
      <c r="I142" s="93" t="s">
        <v>443</v>
      </c>
      <c r="J142" s="94">
        <v>44896</v>
      </c>
      <c r="K142" s="91" t="s">
        <v>120</v>
      </c>
      <c r="L142" s="91" t="s">
        <v>288</v>
      </c>
      <c r="M142" s="91"/>
      <c r="N142" s="91" t="s">
        <v>41</v>
      </c>
      <c r="O142" s="95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6"/>
      <c r="AR142" s="96"/>
      <c r="AS142" s="96"/>
      <c r="AT142" s="96"/>
    </row>
    <row r="143" spans="1:46" ht="16.5" customHeight="1" x14ac:dyDescent="0.35">
      <c r="A143" s="85">
        <v>138</v>
      </c>
      <c r="B143" s="85" t="s">
        <v>49</v>
      </c>
      <c r="C143" s="85" t="s">
        <v>437</v>
      </c>
      <c r="D143" s="85" t="s">
        <v>445</v>
      </c>
      <c r="E143" s="85">
        <v>2</v>
      </c>
      <c r="F143" s="86">
        <v>42608</v>
      </c>
      <c r="G143" s="87" t="s">
        <v>439</v>
      </c>
      <c r="H143" s="87">
        <v>3364303270</v>
      </c>
      <c r="I143" s="87" t="s">
        <v>440</v>
      </c>
      <c r="J143" s="88">
        <v>45154</v>
      </c>
      <c r="K143" s="85" t="s">
        <v>112</v>
      </c>
      <c r="L143" s="85" t="s">
        <v>131</v>
      </c>
      <c r="M143" s="85"/>
      <c r="N143" s="85" t="s">
        <v>41</v>
      </c>
      <c r="O143" s="89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</row>
    <row r="144" spans="1:46" ht="16.5" customHeight="1" x14ac:dyDescent="0.35">
      <c r="A144" s="85">
        <v>139</v>
      </c>
      <c r="B144" s="85" t="s">
        <v>89</v>
      </c>
      <c r="C144" s="85" t="s">
        <v>437</v>
      </c>
      <c r="D144" s="85" t="s">
        <v>445</v>
      </c>
      <c r="E144" s="85">
        <v>1</v>
      </c>
      <c r="F144" s="86">
        <v>42608</v>
      </c>
      <c r="G144" s="87" t="s">
        <v>439</v>
      </c>
      <c r="H144" s="87">
        <v>3364303270</v>
      </c>
      <c r="I144" s="87" t="s">
        <v>440</v>
      </c>
      <c r="J144" s="88">
        <v>44805</v>
      </c>
      <c r="K144" s="85" t="s">
        <v>132</v>
      </c>
      <c r="L144" s="85" t="s">
        <v>288</v>
      </c>
      <c r="M144" s="85"/>
      <c r="N144" s="85" t="s">
        <v>41</v>
      </c>
      <c r="O144" s="89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</row>
    <row r="145" spans="1:46" ht="15.75" customHeight="1" x14ac:dyDescent="0.35">
      <c r="A145" s="85">
        <v>140</v>
      </c>
      <c r="B145" s="91" t="s">
        <v>49</v>
      </c>
      <c r="C145" s="91" t="s">
        <v>437</v>
      </c>
      <c r="D145" s="91" t="s">
        <v>446</v>
      </c>
      <c r="E145" s="91">
        <v>1</v>
      </c>
      <c r="F145" s="92">
        <v>42125</v>
      </c>
      <c r="G145" s="93" t="s">
        <v>447</v>
      </c>
      <c r="H145" s="93">
        <v>6266790497</v>
      </c>
      <c r="I145" s="93" t="s">
        <v>448</v>
      </c>
      <c r="J145" s="94">
        <v>44562</v>
      </c>
      <c r="K145" s="91" t="s">
        <v>212</v>
      </c>
      <c r="L145" s="91" t="s">
        <v>139</v>
      </c>
      <c r="M145" s="91"/>
      <c r="N145" s="91" t="s">
        <v>41</v>
      </c>
      <c r="O145" s="95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/>
      <c r="AS145" s="96"/>
      <c r="AT145" s="96"/>
    </row>
    <row r="146" spans="1:46" ht="15.75" customHeight="1" x14ac:dyDescent="0.35">
      <c r="A146" s="85">
        <v>141</v>
      </c>
      <c r="B146" s="91" t="s">
        <v>89</v>
      </c>
      <c r="C146" s="91" t="s">
        <v>437</v>
      </c>
      <c r="D146" s="91" t="s">
        <v>446</v>
      </c>
      <c r="E146" s="91">
        <v>1</v>
      </c>
      <c r="F146" s="92">
        <v>42125</v>
      </c>
      <c r="G146" s="93" t="s">
        <v>447</v>
      </c>
      <c r="H146" s="93">
        <v>6266790497</v>
      </c>
      <c r="I146" s="93" t="s">
        <v>448</v>
      </c>
      <c r="J146" s="94">
        <v>44562</v>
      </c>
      <c r="K146" s="91" t="s">
        <v>167</v>
      </c>
      <c r="L146" s="91" t="s">
        <v>449</v>
      </c>
      <c r="M146" s="91"/>
      <c r="N146" s="91" t="s">
        <v>41</v>
      </c>
      <c r="O146" s="95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</row>
    <row r="147" spans="1:46" ht="16.5" customHeight="1" x14ac:dyDescent="0.35">
      <c r="A147" s="85">
        <v>142</v>
      </c>
      <c r="B147" s="85" t="s">
        <v>49</v>
      </c>
      <c r="C147" s="85" t="s">
        <v>437</v>
      </c>
      <c r="D147" s="85" t="s">
        <v>450</v>
      </c>
      <c r="E147" s="85">
        <v>1</v>
      </c>
      <c r="F147" s="86">
        <v>42736</v>
      </c>
      <c r="G147" s="87" t="s">
        <v>451</v>
      </c>
      <c r="H147" s="87">
        <v>6266790497</v>
      </c>
      <c r="I147" s="87" t="s">
        <v>448</v>
      </c>
      <c r="J147" s="88">
        <v>45151</v>
      </c>
      <c r="K147" s="85" t="s">
        <v>452</v>
      </c>
      <c r="L147" s="85" t="s">
        <v>283</v>
      </c>
      <c r="M147" s="85"/>
      <c r="N147" s="85" t="s">
        <v>41</v>
      </c>
      <c r="O147" s="89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</row>
    <row r="148" spans="1:46" ht="16.5" customHeight="1" x14ac:dyDescent="0.35">
      <c r="A148" s="85">
        <v>143</v>
      </c>
      <c r="B148" s="85" t="s">
        <v>89</v>
      </c>
      <c r="C148" s="85" t="s">
        <v>437</v>
      </c>
      <c r="D148" s="85" t="s">
        <v>450</v>
      </c>
      <c r="E148" s="85">
        <v>1</v>
      </c>
      <c r="F148" s="86">
        <v>42736</v>
      </c>
      <c r="G148" s="87" t="s">
        <v>451</v>
      </c>
      <c r="H148" s="87">
        <v>6266790497</v>
      </c>
      <c r="I148" s="87" t="s">
        <v>448</v>
      </c>
      <c r="J148" s="88">
        <v>45151</v>
      </c>
      <c r="K148" s="85" t="s">
        <v>146</v>
      </c>
      <c r="L148" s="85" t="s">
        <v>131</v>
      </c>
      <c r="M148" s="85"/>
      <c r="N148" s="85" t="s">
        <v>41</v>
      </c>
      <c r="O148" s="89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</row>
    <row r="149" spans="1:46" ht="16.5" customHeight="1" x14ac:dyDescent="0.35">
      <c r="A149" s="85">
        <v>144</v>
      </c>
      <c r="B149" s="91" t="s">
        <v>49</v>
      </c>
      <c r="C149" s="91" t="s">
        <v>453</v>
      </c>
      <c r="D149" s="91" t="s">
        <v>454</v>
      </c>
      <c r="E149" s="91">
        <v>4</v>
      </c>
      <c r="F149" s="92">
        <v>41501</v>
      </c>
      <c r="G149" s="93" t="s">
        <v>455</v>
      </c>
      <c r="H149" s="93" t="s">
        <v>456</v>
      </c>
      <c r="I149" s="93" t="s">
        <v>457</v>
      </c>
      <c r="J149" s="94">
        <v>44959</v>
      </c>
      <c r="K149" s="91" t="s">
        <v>256</v>
      </c>
      <c r="L149" s="91" t="s">
        <v>131</v>
      </c>
      <c r="M149" s="91"/>
      <c r="N149" s="91" t="s">
        <v>41</v>
      </c>
      <c r="O149" s="95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96"/>
      <c r="AS149" s="96"/>
      <c r="AT149" s="96"/>
    </row>
    <row r="150" spans="1:46" ht="16.5" customHeight="1" x14ac:dyDescent="0.35">
      <c r="A150" s="85">
        <v>145</v>
      </c>
      <c r="B150" s="91" t="s">
        <v>89</v>
      </c>
      <c r="C150" s="91" t="s">
        <v>453</v>
      </c>
      <c r="D150" s="91" t="s">
        <v>454</v>
      </c>
      <c r="E150" s="91">
        <v>4</v>
      </c>
      <c r="F150" s="92">
        <v>41501</v>
      </c>
      <c r="G150" s="93" t="s">
        <v>455</v>
      </c>
      <c r="H150" s="93" t="s">
        <v>456</v>
      </c>
      <c r="I150" s="93" t="s">
        <v>457</v>
      </c>
      <c r="J150" s="94">
        <v>44959</v>
      </c>
      <c r="K150" s="91" t="s">
        <v>155</v>
      </c>
      <c r="L150" s="91" t="s">
        <v>139</v>
      </c>
      <c r="M150" s="91"/>
      <c r="N150" s="91" t="s">
        <v>41</v>
      </c>
      <c r="O150" s="95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96"/>
      <c r="AS150" s="96"/>
      <c r="AT150" s="96"/>
    </row>
    <row r="151" spans="1:46" ht="16.5" customHeight="1" x14ac:dyDescent="0.35">
      <c r="A151" s="85">
        <v>146</v>
      </c>
      <c r="B151" s="91" t="s">
        <v>49</v>
      </c>
      <c r="C151" s="91" t="s">
        <v>453</v>
      </c>
      <c r="D151" s="91" t="s">
        <v>242</v>
      </c>
      <c r="E151" s="91">
        <v>6</v>
      </c>
      <c r="F151" s="92">
        <v>40940</v>
      </c>
      <c r="G151" s="93" t="s">
        <v>455</v>
      </c>
      <c r="H151" s="93" t="s">
        <v>456</v>
      </c>
      <c r="I151" s="93" t="s">
        <v>457</v>
      </c>
      <c r="J151" s="94">
        <v>44988</v>
      </c>
      <c r="K151" s="91" t="s">
        <v>256</v>
      </c>
      <c r="L151" s="91" t="s">
        <v>178</v>
      </c>
      <c r="M151" s="91"/>
      <c r="N151" s="91" t="s">
        <v>41</v>
      </c>
      <c r="O151" s="95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</row>
    <row r="152" spans="1:46" ht="16.5" customHeight="1" x14ac:dyDescent="0.35">
      <c r="A152" s="85">
        <v>147</v>
      </c>
      <c r="B152" s="91" t="s">
        <v>89</v>
      </c>
      <c r="C152" s="91" t="s">
        <v>453</v>
      </c>
      <c r="D152" s="91" t="s">
        <v>242</v>
      </c>
      <c r="E152" s="91">
        <v>6</v>
      </c>
      <c r="F152" s="92">
        <v>40940</v>
      </c>
      <c r="G152" s="93" t="s">
        <v>455</v>
      </c>
      <c r="H152" s="93" t="s">
        <v>456</v>
      </c>
      <c r="I152" s="93" t="s">
        <v>457</v>
      </c>
      <c r="J152" s="94">
        <v>44988</v>
      </c>
      <c r="K152" s="91" t="s">
        <v>155</v>
      </c>
      <c r="L152" s="91" t="s">
        <v>288</v>
      </c>
      <c r="M152" s="91"/>
      <c r="N152" s="91" t="s">
        <v>41</v>
      </c>
      <c r="O152" s="95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</row>
    <row r="153" spans="1:46" ht="16.5" customHeight="1" x14ac:dyDescent="0.35">
      <c r="A153" s="85">
        <v>148</v>
      </c>
      <c r="B153" s="91" t="s">
        <v>49</v>
      </c>
      <c r="C153" s="91" t="s">
        <v>458</v>
      </c>
      <c r="D153" s="91" t="s">
        <v>459</v>
      </c>
      <c r="E153" s="91">
        <v>9</v>
      </c>
      <c r="F153" s="92">
        <v>39272</v>
      </c>
      <c r="G153" s="93" t="s">
        <v>460</v>
      </c>
      <c r="H153" s="93">
        <v>4085683605</v>
      </c>
      <c r="I153" s="93" t="s">
        <v>461</v>
      </c>
      <c r="J153" s="94">
        <v>44610</v>
      </c>
      <c r="K153" s="91" t="s">
        <v>264</v>
      </c>
      <c r="L153" s="91" t="s">
        <v>394</v>
      </c>
      <c r="M153" s="91"/>
      <c r="N153" s="91" t="s">
        <v>41</v>
      </c>
      <c r="O153" s="95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96"/>
      <c r="AS153" s="96"/>
      <c r="AT153" s="96"/>
    </row>
    <row r="154" spans="1:46" ht="16.5" customHeight="1" x14ac:dyDescent="0.35">
      <c r="A154" s="85">
        <v>149</v>
      </c>
      <c r="B154" s="91" t="s">
        <v>89</v>
      </c>
      <c r="C154" s="91" t="s">
        <v>458</v>
      </c>
      <c r="D154" s="91" t="s">
        <v>459</v>
      </c>
      <c r="E154" s="91">
        <v>9</v>
      </c>
      <c r="F154" s="92">
        <v>39272</v>
      </c>
      <c r="G154" s="93" t="s">
        <v>460</v>
      </c>
      <c r="H154" s="93">
        <v>4085683605</v>
      </c>
      <c r="I154" s="93" t="s">
        <v>461</v>
      </c>
      <c r="J154" s="94">
        <v>44621</v>
      </c>
      <c r="K154" s="91" t="s">
        <v>462</v>
      </c>
      <c r="L154" s="91" t="s">
        <v>156</v>
      </c>
      <c r="M154" s="91"/>
      <c r="N154" s="91" t="s">
        <v>41</v>
      </c>
      <c r="O154" s="95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</row>
    <row r="155" spans="1:46" ht="16.5" customHeight="1" x14ac:dyDescent="0.35">
      <c r="A155" s="85">
        <v>150</v>
      </c>
      <c r="B155" s="91" t="s">
        <v>49</v>
      </c>
      <c r="C155" s="91" t="s">
        <v>458</v>
      </c>
      <c r="D155" s="91" t="s">
        <v>463</v>
      </c>
      <c r="E155" s="91">
        <v>9</v>
      </c>
      <c r="F155" s="92">
        <v>39083</v>
      </c>
      <c r="G155" s="93" t="s">
        <v>464</v>
      </c>
      <c r="H155" s="93">
        <v>4085683605</v>
      </c>
      <c r="I155" s="109" t="s">
        <v>461</v>
      </c>
      <c r="J155" s="94">
        <v>44728</v>
      </c>
      <c r="K155" s="91" t="s">
        <v>109</v>
      </c>
      <c r="L155" s="91" t="s">
        <v>140</v>
      </c>
      <c r="M155" s="91"/>
      <c r="N155" s="91" t="s">
        <v>41</v>
      </c>
      <c r="O155" s="95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96"/>
      <c r="AS155" s="96"/>
      <c r="AT155" s="96"/>
    </row>
    <row r="156" spans="1:46" ht="16.5" customHeight="1" x14ac:dyDescent="0.35">
      <c r="A156" s="85">
        <v>151</v>
      </c>
      <c r="B156" s="91" t="s">
        <v>89</v>
      </c>
      <c r="C156" s="91" t="s">
        <v>458</v>
      </c>
      <c r="D156" s="91" t="s">
        <v>463</v>
      </c>
      <c r="E156" s="91">
        <v>9</v>
      </c>
      <c r="F156" s="92">
        <v>39083</v>
      </c>
      <c r="G156" s="93" t="s">
        <v>464</v>
      </c>
      <c r="H156" s="93">
        <v>4085683605</v>
      </c>
      <c r="I156" s="109" t="s">
        <v>461</v>
      </c>
      <c r="J156" s="94">
        <v>44728</v>
      </c>
      <c r="K156" s="91" t="s">
        <v>132</v>
      </c>
      <c r="L156" s="91" t="s">
        <v>125</v>
      </c>
      <c r="M156" s="91"/>
      <c r="N156" s="91" t="s">
        <v>41</v>
      </c>
      <c r="O156" s="95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  <c r="AT156" s="96"/>
    </row>
    <row r="157" spans="1:46" ht="16.5" customHeight="1" x14ac:dyDescent="0.35">
      <c r="A157" s="85">
        <v>152</v>
      </c>
      <c r="B157" s="91" t="s">
        <v>49</v>
      </c>
      <c r="C157" s="91" t="s">
        <v>465</v>
      </c>
      <c r="D157" s="91" t="s">
        <v>466</v>
      </c>
      <c r="E157" s="91">
        <v>4</v>
      </c>
      <c r="F157" s="92">
        <v>40999</v>
      </c>
      <c r="G157" s="93" t="s">
        <v>467</v>
      </c>
      <c r="H157" s="93">
        <v>5103047872</v>
      </c>
      <c r="I157" s="93" t="s">
        <v>468</v>
      </c>
      <c r="J157" s="94">
        <v>44790</v>
      </c>
      <c r="K157" s="91" t="s">
        <v>417</v>
      </c>
      <c r="L157" s="91" t="s">
        <v>173</v>
      </c>
      <c r="M157" s="91"/>
      <c r="N157" s="91" t="s">
        <v>41</v>
      </c>
      <c r="O157" s="95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  <c r="AT157" s="96"/>
    </row>
    <row r="158" spans="1:46" ht="16.5" customHeight="1" x14ac:dyDescent="0.35">
      <c r="A158" s="85">
        <v>153</v>
      </c>
      <c r="B158" s="91" t="s">
        <v>89</v>
      </c>
      <c r="C158" s="91" t="s">
        <v>465</v>
      </c>
      <c r="D158" s="91" t="s">
        <v>466</v>
      </c>
      <c r="E158" s="91">
        <v>4</v>
      </c>
      <c r="F158" s="92">
        <v>40999</v>
      </c>
      <c r="G158" s="93" t="s">
        <v>467</v>
      </c>
      <c r="H158" s="93">
        <v>5103047872</v>
      </c>
      <c r="I158" s="93" t="s">
        <v>468</v>
      </c>
      <c r="J158" s="94">
        <v>44790</v>
      </c>
      <c r="K158" s="91" t="s">
        <v>216</v>
      </c>
      <c r="L158" s="91" t="s">
        <v>123</v>
      </c>
      <c r="M158" s="91"/>
      <c r="N158" s="91" t="s">
        <v>41</v>
      </c>
      <c r="O158" s="95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96"/>
      <c r="AP158" s="96"/>
      <c r="AQ158" s="96"/>
      <c r="AR158" s="96"/>
      <c r="AS158" s="96"/>
      <c r="AT158" s="96"/>
    </row>
    <row r="159" spans="1:46" ht="16.5" customHeight="1" x14ac:dyDescent="0.35">
      <c r="A159" s="85">
        <v>154</v>
      </c>
      <c r="B159" s="85" t="s">
        <v>49</v>
      </c>
      <c r="C159" s="85" t="s">
        <v>469</v>
      </c>
      <c r="D159" s="85" t="s">
        <v>470</v>
      </c>
      <c r="E159" s="85">
        <v>1</v>
      </c>
      <c r="F159" s="86">
        <v>42937</v>
      </c>
      <c r="G159" s="87" t="s">
        <v>471</v>
      </c>
      <c r="H159" s="87">
        <v>6692926335</v>
      </c>
      <c r="I159" s="87" t="s">
        <v>472</v>
      </c>
      <c r="J159" s="88">
        <v>45157</v>
      </c>
      <c r="K159" s="85" t="s">
        <v>118</v>
      </c>
      <c r="L159" s="85" t="s">
        <v>133</v>
      </c>
      <c r="M159" s="85"/>
      <c r="N159" s="85" t="s">
        <v>41</v>
      </c>
      <c r="O159" s="89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</row>
    <row r="160" spans="1:46" ht="16.5" customHeight="1" x14ac:dyDescent="0.35">
      <c r="A160" s="85">
        <v>155</v>
      </c>
      <c r="B160" s="91" t="s">
        <v>49</v>
      </c>
      <c r="C160" s="91" t="s">
        <v>469</v>
      </c>
      <c r="D160" s="91" t="s">
        <v>473</v>
      </c>
      <c r="E160" s="91">
        <v>4</v>
      </c>
      <c r="F160" s="92">
        <v>41254</v>
      </c>
      <c r="G160" s="93" t="s">
        <v>474</v>
      </c>
      <c r="H160" s="93">
        <v>6268617089</v>
      </c>
      <c r="I160" s="93" t="s">
        <v>475</v>
      </c>
      <c r="J160" s="94">
        <v>44790</v>
      </c>
      <c r="K160" s="91" t="s">
        <v>130</v>
      </c>
      <c r="L160" s="91" t="s">
        <v>288</v>
      </c>
      <c r="M160" s="91"/>
      <c r="N160" s="91" t="s">
        <v>41</v>
      </c>
      <c r="O160" s="95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6"/>
      <c r="AR160" s="96"/>
      <c r="AS160" s="96"/>
      <c r="AT160" s="96"/>
    </row>
    <row r="161" spans="1:46" ht="16.5" customHeight="1" x14ac:dyDescent="0.35">
      <c r="A161" s="85">
        <v>156</v>
      </c>
      <c r="B161" s="91" t="s">
        <v>49</v>
      </c>
      <c r="C161" s="91" t="s">
        <v>476</v>
      </c>
      <c r="D161" s="91" t="s">
        <v>477</v>
      </c>
      <c r="E161" s="91">
        <v>5</v>
      </c>
      <c r="F161" s="92">
        <v>40962</v>
      </c>
      <c r="G161" s="93" t="s">
        <v>478</v>
      </c>
      <c r="H161" s="93">
        <v>6262137236</v>
      </c>
      <c r="I161" s="93" t="s">
        <v>479</v>
      </c>
      <c r="J161" s="94">
        <v>44805</v>
      </c>
      <c r="K161" s="91" t="s">
        <v>452</v>
      </c>
      <c r="L161" s="91" t="s">
        <v>133</v>
      </c>
      <c r="M161" s="91"/>
      <c r="N161" s="91" t="s">
        <v>41</v>
      </c>
      <c r="O161" s="95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</row>
    <row r="162" spans="1:46" ht="16.5" customHeight="1" x14ac:dyDescent="0.35">
      <c r="A162" s="85">
        <v>157</v>
      </c>
      <c r="B162" s="91" t="s">
        <v>49</v>
      </c>
      <c r="C162" s="91" t="s">
        <v>480</v>
      </c>
      <c r="D162" s="91" t="s">
        <v>481</v>
      </c>
      <c r="E162" s="91" t="s">
        <v>180</v>
      </c>
      <c r="F162" s="92">
        <v>42409</v>
      </c>
      <c r="G162" s="93" t="s">
        <v>482</v>
      </c>
      <c r="H162" s="93">
        <v>4088292099</v>
      </c>
      <c r="I162" s="93" t="s">
        <v>483</v>
      </c>
      <c r="J162" s="94">
        <v>44645</v>
      </c>
      <c r="K162" s="91" t="s">
        <v>130</v>
      </c>
      <c r="L162" s="91" t="s">
        <v>131</v>
      </c>
      <c r="M162" s="91"/>
      <c r="N162" s="91" t="s">
        <v>41</v>
      </c>
      <c r="O162" s="95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</row>
    <row r="163" spans="1:46" ht="16.5" customHeight="1" x14ac:dyDescent="0.35">
      <c r="A163" s="85">
        <v>158</v>
      </c>
      <c r="B163" s="91" t="s">
        <v>89</v>
      </c>
      <c r="C163" s="91" t="s">
        <v>480</v>
      </c>
      <c r="D163" s="91" t="s">
        <v>481</v>
      </c>
      <c r="E163" s="91" t="s">
        <v>180</v>
      </c>
      <c r="F163" s="92">
        <v>42409</v>
      </c>
      <c r="G163" s="93" t="s">
        <v>482</v>
      </c>
      <c r="H163" s="93">
        <v>4088292099</v>
      </c>
      <c r="I163" s="93" t="s">
        <v>483</v>
      </c>
      <c r="J163" s="94">
        <v>44866</v>
      </c>
      <c r="K163" s="91" t="s">
        <v>132</v>
      </c>
      <c r="L163" s="91" t="s">
        <v>243</v>
      </c>
      <c r="M163" s="91"/>
      <c r="N163" s="91" t="s">
        <v>41</v>
      </c>
      <c r="O163" s="95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96"/>
      <c r="AS163" s="96"/>
      <c r="AT163" s="96"/>
    </row>
    <row r="164" spans="1:46" ht="15.75" customHeight="1" x14ac:dyDescent="0.35">
      <c r="A164" s="85">
        <v>159</v>
      </c>
      <c r="B164" s="116" t="s">
        <v>89</v>
      </c>
      <c r="C164" s="116" t="s">
        <v>484</v>
      </c>
      <c r="D164" s="116" t="s">
        <v>409</v>
      </c>
      <c r="E164" s="116">
        <v>3</v>
      </c>
      <c r="F164" s="120">
        <v>41885</v>
      </c>
      <c r="G164" s="118" t="s">
        <v>485</v>
      </c>
      <c r="H164" s="118">
        <v>4087187827</v>
      </c>
      <c r="I164" s="118" t="s">
        <v>486</v>
      </c>
      <c r="J164" s="124">
        <v>43724</v>
      </c>
      <c r="K164" s="118" t="s">
        <v>225</v>
      </c>
      <c r="L164" s="118" t="s">
        <v>173</v>
      </c>
      <c r="M164" s="118"/>
      <c r="N164" s="85" t="s">
        <v>41</v>
      </c>
      <c r="O164" s="120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5"/>
      <c r="AL164" s="125"/>
      <c r="AM164" s="125"/>
      <c r="AN164" s="125"/>
      <c r="AO164" s="125"/>
      <c r="AP164" s="125"/>
      <c r="AQ164" s="125"/>
      <c r="AR164" s="125"/>
      <c r="AS164" s="125"/>
      <c r="AT164" s="125"/>
    </row>
    <row r="165" spans="1:46" ht="16.5" customHeight="1" x14ac:dyDescent="0.35">
      <c r="A165" s="85">
        <v>160</v>
      </c>
      <c r="B165" s="85" t="s">
        <v>49</v>
      </c>
      <c r="C165" s="85" t="s">
        <v>487</v>
      </c>
      <c r="D165" s="85" t="s">
        <v>480</v>
      </c>
      <c r="E165" s="85">
        <v>2</v>
      </c>
      <c r="F165" s="86">
        <v>42576</v>
      </c>
      <c r="G165" s="87" t="s">
        <v>488</v>
      </c>
      <c r="H165" s="87">
        <v>4087805111</v>
      </c>
      <c r="I165" s="87" t="s">
        <v>489</v>
      </c>
      <c r="J165" s="88">
        <v>45161</v>
      </c>
      <c r="K165" s="85" t="s">
        <v>490</v>
      </c>
      <c r="L165" s="85" t="s">
        <v>288</v>
      </c>
      <c r="M165" s="85"/>
      <c r="N165" s="85" t="s">
        <v>41</v>
      </c>
      <c r="O165" s="89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</row>
    <row r="166" spans="1:46" ht="15.75" customHeight="1" x14ac:dyDescent="0.35">
      <c r="A166" s="85">
        <v>161</v>
      </c>
      <c r="B166" s="115" t="s">
        <v>49</v>
      </c>
      <c r="C166" s="116" t="s">
        <v>491</v>
      </c>
      <c r="D166" s="116" t="s">
        <v>446</v>
      </c>
      <c r="E166" s="116" t="s">
        <v>180</v>
      </c>
      <c r="F166" s="117">
        <v>43126</v>
      </c>
      <c r="G166" s="118" t="s">
        <v>492</v>
      </c>
      <c r="H166" s="118">
        <v>4089666236</v>
      </c>
      <c r="I166" s="118" t="s">
        <v>493</v>
      </c>
      <c r="J166" s="119">
        <v>45186</v>
      </c>
      <c r="K166" s="116" t="s">
        <v>182</v>
      </c>
      <c r="L166" s="116" t="s">
        <v>165</v>
      </c>
      <c r="M166" s="116"/>
      <c r="N166" s="85" t="s">
        <v>41</v>
      </c>
      <c r="O166" s="12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</row>
    <row r="167" spans="1:46" ht="15.75" customHeight="1" x14ac:dyDescent="0.35">
      <c r="A167" s="85">
        <v>162</v>
      </c>
      <c r="B167" s="91" t="s">
        <v>49</v>
      </c>
      <c r="C167" s="91" t="s">
        <v>494</v>
      </c>
      <c r="D167" s="91" t="s">
        <v>495</v>
      </c>
      <c r="E167" s="91">
        <v>6</v>
      </c>
      <c r="F167" s="92">
        <v>40167</v>
      </c>
      <c r="G167" s="93" t="s">
        <v>496</v>
      </c>
      <c r="H167" s="93">
        <v>4089168838</v>
      </c>
      <c r="I167" s="93" t="s">
        <v>497</v>
      </c>
      <c r="J167" s="94">
        <v>44562</v>
      </c>
      <c r="K167" s="91" t="s">
        <v>323</v>
      </c>
      <c r="L167" s="91" t="s">
        <v>113</v>
      </c>
      <c r="M167" s="91"/>
      <c r="N167" s="91" t="s">
        <v>41</v>
      </c>
      <c r="O167" s="95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/>
    </row>
    <row r="168" spans="1:46" ht="15.75" customHeight="1" x14ac:dyDescent="0.35">
      <c r="A168" s="85">
        <v>163</v>
      </c>
      <c r="B168" s="91" t="s">
        <v>89</v>
      </c>
      <c r="C168" s="91" t="s">
        <v>494</v>
      </c>
      <c r="D168" s="91" t="s">
        <v>495</v>
      </c>
      <c r="E168" s="91">
        <v>6</v>
      </c>
      <c r="F168" s="92">
        <v>40167</v>
      </c>
      <c r="G168" s="93" t="s">
        <v>496</v>
      </c>
      <c r="H168" s="93">
        <v>4089168838</v>
      </c>
      <c r="I168" s="93" t="s">
        <v>497</v>
      </c>
      <c r="J168" s="94">
        <v>44562</v>
      </c>
      <c r="K168" s="91" t="s">
        <v>498</v>
      </c>
      <c r="L168" s="91" t="s">
        <v>499</v>
      </c>
      <c r="M168" s="91"/>
      <c r="N168" s="91" t="s">
        <v>41</v>
      </c>
      <c r="O168" s="95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/>
    </row>
    <row r="169" spans="1:46" s="285" customFormat="1" ht="16.5" customHeight="1" x14ac:dyDescent="0.35">
      <c r="A169" s="85">
        <v>164</v>
      </c>
      <c r="B169" s="280" t="s">
        <v>49</v>
      </c>
      <c r="C169" s="279" t="s">
        <v>1732</v>
      </c>
      <c r="D169" s="279" t="s">
        <v>1733</v>
      </c>
      <c r="E169" s="279">
        <v>2</v>
      </c>
      <c r="F169" s="281">
        <v>42536</v>
      </c>
      <c r="G169" s="282" t="s">
        <v>1734</v>
      </c>
      <c r="H169" s="282" t="s">
        <v>1735</v>
      </c>
      <c r="I169" s="282" t="s">
        <v>1736</v>
      </c>
      <c r="J169" s="283">
        <v>45210</v>
      </c>
      <c r="K169" s="279" t="s">
        <v>691</v>
      </c>
      <c r="L169" s="279" t="s">
        <v>801</v>
      </c>
      <c r="M169" s="279"/>
      <c r="N169" s="279" t="s">
        <v>82</v>
      </c>
      <c r="O169" s="280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284"/>
      <c r="AB169" s="284"/>
      <c r="AC169" s="284"/>
      <c r="AD169" s="284"/>
      <c r="AE169" s="284"/>
      <c r="AF169" s="284"/>
      <c r="AG169" s="284"/>
      <c r="AH169" s="284"/>
      <c r="AI169" s="284"/>
      <c r="AJ169" s="284"/>
      <c r="AK169" s="284"/>
      <c r="AL169" s="284"/>
      <c r="AM169" s="284"/>
      <c r="AN169" s="284"/>
      <c r="AO169" s="284"/>
      <c r="AP169" s="284"/>
      <c r="AQ169" s="284"/>
      <c r="AR169" s="284"/>
      <c r="AS169" s="284"/>
      <c r="AT169" s="284"/>
    </row>
    <row r="170" spans="1:46" s="292" customFormat="1" ht="16.5" customHeight="1" x14ac:dyDescent="0.35">
      <c r="A170" s="85">
        <v>165</v>
      </c>
      <c r="B170" s="286" t="s">
        <v>89</v>
      </c>
      <c r="C170" s="287" t="s">
        <v>1732</v>
      </c>
      <c r="D170" s="287" t="s">
        <v>1733</v>
      </c>
      <c r="E170" s="287">
        <v>2</v>
      </c>
      <c r="F170" s="288">
        <v>42536</v>
      </c>
      <c r="G170" s="289" t="s">
        <v>1734</v>
      </c>
      <c r="H170" s="289" t="s">
        <v>1735</v>
      </c>
      <c r="I170" s="289" t="s">
        <v>1736</v>
      </c>
      <c r="J170" s="290">
        <v>45210</v>
      </c>
      <c r="K170" s="287" t="s">
        <v>171</v>
      </c>
      <c r="L170" s="287" t="s">
        <v>994</v>
      </c>
      <c r="M170" s="287" t="s">
        <v>385</v>
      </c>
      <c r="N170" s="287" t="s">
        <v>82</v>
      </c>
      <c r="O170" s="286"/>
      <c r="P170" s="291"/>
      <c r="Q170" s="291"/>
      <c r="R170" s="291"/>
      <c r="S170" s="291"/>
      <c r="T170" s="291"/>
      <c r="U170" s="291"/>
      <c r="V170" s="291"/>
      <c r="W170" s="291"/>
      <c r="X170" s="291"/>
      <c r="Y170" s="291"/>
      <c r="Z170" s="291"/>
      <c r="AA170" s="291"/>
      <c r="AB170" s="291"/>
      <c r="AC170" s="291"/>
      <c r="AD170" s="291"/>
      <c r="AE170" s="291"/>
      <c r="AF170" s="291"/>
      <c r="AG170" s="291"/>
      <c r="AH170" s="291"/>
      <c r="AI170" s="291"/>
      <c r="AJ170" s="291"/>
      <c r="AK170" s="291"/>
      <c r="AL170" s="291"/>
      <c r="AM170" s="291"/>
      <c r="AN170" s="291"/>
      <c r="AO170" s="291"/>
      <c r="AP170" s="291"/>
      <c r="AQ170" s="291"/>
      <c r="AR170" s="291"/>
      <c r="AS170" s="291"/>
      <c r="AT170" s="291"/>
    </row>
    <row r="171" spans="1:46" s="285" customFormat="1" ht="16.5" customHeight="1" x14ac:dyDescent="0.35">
      <c r="A171" s="85">
        <v>166</v>
      </c>
      <c r="B171" s="280" t="s">
        <v>49</v>
      </c>
      <c r="C171" s="279" t="s">
        <v>1737</v>
      </c>
      <c r="D171" s="279" t="s">
        <v>1738</v>
      </c>
      <c r="E171" s="279">
        <v>5</v>
      </c>
      <c r="F171" s="281">
        <v>41332</v>
      </c>
      <c r="G171" s="282" t="s">
        <v>1734</v>
      </c>
      <c r="H171" s="282" t="s">
        <v>1735</v>
      </c>
      <c r="I171" s="282" t="s">
        <v>1736</v>
      </c>
      <c r="J171" s="283">
        <v>45210</v>
      </c>
      <c r="K171" s="279" t="s">
        <v>161</v>
      </c>
      <c r="L171" s="279" t="s">
        <v>994</v>
      </c>
      <c r="M171" s="279"/>
      <c r="N171" s="279" t="s">
        <v>82</v>
      </c>
      <c r="O171" s="280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84"/>
      <c r="AB171" s="284"/>
      <c r="AC171" s="284"/>
      <c r="AD171" s="284"/>
      <c r="AE171" s="284"/>
      <c r="AF171" s="284"/>
      <c r="AG171" s="284"/>
      <c r="AH171" s="284"/>
      <c r="AI171" s="284"/>
      <c r="AJ171" s="284"/>
      <c r="AK171" s="284"/>
      <c r="AL171" s="284"/>
      <c r="AM171" s="284"/>
      <c r="AN171" s="284"/>
      <c r="AO171" s="284"/>
      <c r="AP171" s="284"/>
      <c r="AQ171" s="284"/>
      <c r="AR171" s="284"/>
      <c r="AS171" s="284"/>
      <c r="AT171" s="284"/>
    </row>
    <row r="172" spans="1:46" s="292" customFormat="1" ht="16.5" customHeight="1" x14ac:dyDescent="0.35">
      <c r="A172" s="85">
        <v>167</v>
      </c>
      <c r="B172" s="286" t="s">
        <v>89</v>
      </c>
      <c r="C172" s="287" t="s">
        <v>1737</v>
      </c>
      <c r="D172" s="287" t="s">
        <v>1738</v>
      </c>
      <c r="E172" s="287">
        <v>5</v>
      </c>
      <c r="F172" s="288">
        <v>41332</v>
      </c>
      <c r="G172" s="289" t="s">
        <v>1734</v>
      </c>
      <c r="H172" s="289" t="s">
        <v>1735</v>
      </c>
      <c r="I172" s="289" t="s">
        <v>1736</v>
      </c>
      <c r="J172" s="290">
        <v>45210</v>
      </c>
      <c r="K172" s="287" t="s">
        <v>163</v>
      </c>
      <c r="L172" s="287" t="s">
        <v>1199</v>
      </c>
      <c r="M172" s="287" t="s">
        <v>385</v>
      </c>
      <c r="N172" s="287" t="s">
        <v>82</v>
      </c>
      <c r="O172" s="286"/>
      <c r="P172" s="291"/>
      <c r="Q172" s="291"/>
      <c r="R172" s="291"/>
      <c r="S172" s="291"/>
      <c r="T172" s="291"/>
      <c r="U172" s="291"/>
      <c r="V172" s="291"/>
      <c r="W172" s="291"/>
      <c r="X172" s="291"/>
      <c r="Y172" s="291"/>
      <c r="Z172" s="291"/>
      <c r="AA172" s="291"/>
      <c r="AB172" s="291"/>
      <c r="AC172" s="291"/>
      <c r="AD172" s="291"/>
      <c r="AE172" s="291"/>
      <c r="AF172" s="291"/>
      <c r="AG172" s="291"/>
      <c r="AH172" s="291"/>
      <c r="AI172" s="291"/>
      <c r="AJ172" s="291"/>
      <c r="AK172" s="291"/>
      <c r="AL172" s="291"/>
      <c r="AM172" s="291"/>
      <c r="AN172" s="291"/>
      <c r="AO172" s="291"/>
      <c r="AP172" s="291"/>
      <c r="AQ172" s="291"/>
      <c r="AR172" s="291"/>
      <c r="AS172" s="291"/>
      <c r="AT172" s="291"/>
    </row>
    <row r="173" spans="1:46" s="285" customFormat="1" ht="16.5" customHeight="1" x14ac:dyDescent="0.35">
      <c r="A173" s="85">
        <v>168</v>
      </c>
      <c r="B173" s="280" t="s">
        <v>49</v>
      </c>
      <c r="C173" s="279" t="s">
        <v>1739</v>
      </c>
      <c r="D173" s="279" t="s">
        <v>1740</v>
      </c>
      <c r="E173" s="279">
        <v>1</v>
      </c>
      <c r="F173" s="281">
        <v>43009</v>
      </c>
      <c r="G173" s="282" t="s">
        <v>1741</v>
      </c>
      <c r="H173" s="282">
        <v>4085966329</v>
      </c>
      <c r="I173" s="282" t="s">
        <v>1742</v>
      </c>
      <c r="J173" s="283">
        <v>45208</v>
      </c>
      <c r="K173" s="279" t="s">
        <v>1158</v>
      </c>
      <c r="L173" s="279" t="s">
        <v>1097</v>
      </c>
      <c r="M173" s="279"/>
      <c r="N173" s="279" t="s">
        <v>82</v>
      </c>
      <c r="O173" s="280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  <c r="AA173" s="284"/>
      <c r="AB173" s="284"/>
      <c r="AC173" s="284"/>
      <c r="AD173" s="284"/>
      <c r="AE173" s="284"/>
      <c r="AF173" s="284"/>
      <c r="AG173" s="284"/>
      <c r="AH173" s="284"/>
      <c r="AI173" s="284"/>
      <c r="AJ173" s="284"/>
      <c r="AK173" s="284"/>
      <c r="AL173" s="284"/>
      <c r="AM173" s="284"/>
      <c r="AN173" s="284"/>
      <c r="AO173" s="284"/>
      <c r="AP173" s="284"/>
      <c r="AQ173" s="284"/>
      <c r="AR173" s="284"/>
      <c r="AS173" s="284"/>
      <c r="AT173" s="284"/>
    </row>
    <row r="174" spans="1:46" s="292" customFormat="1" ht="16.5" customHeight="1" x14ac:dyDescent="0.35">
      <c r="A174" s="85">
        <v>169</v>
      </c>
      <c r="B174" s="286" t="s">
        <v>89</v>
      </c>
      <c r="C174" s="287" t="s">
        <v>1739</v>
      </c>
      <c r="D174" s="287" t="s">
        <v>1740</v>
      </c>
      <c r="E174" s="287">
        <v>1</v>
      </c>
      <c r="F174" s="288">
        <v>43009</v>
      </c>
      <c r="G174" s="289" t="s">
        <v>1741</v>
      </c>
      <c r="H174" s="289">
        <v>4085966329</v>
      </c>
      <c r="I174" s="289" t="s">
        <v>1742</v>
      </c>
      <c r="J174" s="290">
        <v>45208</v>
      </c>
      <c r="K174" s="287" t="s">
        <v>225</v>
      </c>
      <c r="L174" s="287" t="s">
        <v>758</v>
      </c>
      <c r="M174" s="287" t="s">
        <v>385</v>
      </c>
      <c r="N174" s="287" t="s">
        <v>82</v>
      </c>
      <c r="O174" s="286"/>
      <c r="P174" s="291"/>
      <c r="Q174" s="291"/>
      <c r="R174" s="291"/>
      <c r="S174" s="291"/>
      <c r="T174" s="291"/>
      <c r="U174" s="291"/>
      <c r="V174" s="291"/>
      <c r="W174" s="291"/>
      <c r="X174" s="291"/>
      <c r="Y174" s="291"/>
      <c r="Z174" s="291"/>
      <c r="AA174" s="291"/>
      <c r="AB174" s="291"/>
      <c r="AC174" s="291"/>
      <c r="AD174" s="291"/>
      <c r="AE174" s="291"/>
      <c r="AF174" s="291"/>
      <c r="AG174" s="291"/>
      <c r="AH174" s="291"/>
      <c r="AI174" s="291"/>
      <c r="AJ174" s="291"/>
      <c r="AK174" s="291"/>
      <c r="AL174" s="291"/>
      <c r="AM174" s="291"/>
      <c r="AN174" s="291"/>
      <c r="AO174" s="291"/>
      <c r="AP174" s="291"/>
      <c r="AQ174" s="291"/>
      <c r="AR174" s="291"/>
      <c r="AS174" s="291"/>
      <c r="AT174" s="291"/>
    </row>
    <row r="175" spans="1:46" s="285" customFormat="1" ht="16.5" customHeight="1" x14ac:dyDescent="0.35">
      <c r="A175" s="85">
        <v>170</v>
      </c>
      <c r="B175" s="280" t="s">
        <v>49</v>
      </c>
      <c r="C175" s="279" t="s">
        <v>1743</v>
      </c>
      <c r="D175" s="279" t="s">
        <v>1744</v>
      </c>
      <c r="E175" s="279">
        <v>2</v>
      </c>
      <c r="F175" s="281">
        <v>42541</v>
      </c>
      <c r="G175" s="282" t="s">
        <v>1745</v>
      </c>
      <c r="H175" s="282" t="s">
        <v>1746</v>
      </c>
      <c r="I175" s="282" t="s">
        <v>1747</v>
      </c>
      <c r="J175" s="283">
        <v>45200</v>
      </c>
      <c r="K175" s="279" t="s">
        <v>202</v>
      </c>
      <c r="L175" s="279" t="s">
        <v>732</v>
      </c>
      <c r="M175" s="279"/>
      <c r="N175" s="279" t="s">
        <v>82</v>
      </c>
      <c r="O175" s="280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284"/>
      <c r="AB175" s="284"/>
      <c r="AC175" s="284"/>
      <c r="AD175" s="284"/>
      <c r="AE175" s="284"/>
      <c r="AF175" s="284"/>
      <c r="AG175" s="284"/>
      <c r="AH175" s="284"/>
      <c r="AI175" s="284"/>
      <c r="AJ175" s="284"/>
      <c r="AK175" s="284"/>
      <c r="AL175" s="284"/>
      <c r="AM175" s="284"/>
      <c r="AN175" s="284"/>
      <c r="AO175" s="284"/>
      <c r="AP175" s="284"/>
      <c r="AQ175" s="284"/>
      <c r="AR175" s="284"/>
      <c r="AS175" s="284"/>
      <c r="AT175" s="284"/>
    </row>
    <row r="176" spans="1:46" s="292" customFormat="1" ht="16.5" customHeight="1" x14ac:dyDescent="0.35">
      <c r="A176" s="85">
        <v>171</v>
      </c>
      <c r="B176" s="286" t="s">
        <v>89</v>
      </c>
      <c r="C176" s="287" t="s">
        <v>1743</v>
      </c>
      <c r="D176" s="287" t="s">
        <v>1744</v>
      </c>
      <c r="E176" s="287">
        <v>2</v>
      </c>
      <c r="F176" s="288">
        <v>42541</v>
      </c>
      <c r="G176" s="289" t="s">
        <v>1745</v>
      </c>
      <c r="H176" s="289" t="s">
        <v>1746</v>
      </c>
      <c r="I176" s="289" t="s">
        <v>1747</v>
      </c>
      <c r="J176" s="290">
        <v>45200</v>
      </c>
      <c r="K176" s="287" t="s">
        <v>120</v>
      </c>
      <c r="L176" s="287" t="s">
        <v>758</v>
      </c>
      <c r="M176" s="287" t="s">
        <v>385</v>
      </c>
      <c r="N176" s="287" t="s">
        <v>82</v>
      </c>
      <c r="O176" s="286"/>
      <c r="P176" s="291"/>
      <c r="Q176" s="291"/>
      <c r="R176" s="291"/>
      <c r="S176" s="291"/>
      <c r="T176" s="291"/>
      <c r="U176" s="291"/>
      <c r="V176" s="291"/>
      <c r="W176" s="291"/>
      <c r="X176" s="291"/>
      <c r="Y176" s="291"/>
      <c r="Z176" s="291"/>
      <c r="AA176" s="291"/>
      <c r="AB176" s="291"/>
      <c r="AC176" s="291"/>
      <c r="AD176" s="291"/>
      <c r="AE176" s="291"/>
      <c r="AF176" s="291"/>
      <c r="AG176" s="291"/>
      <c r="AH176" s="291"/>
      <c r="AI176" s="291"/>
      <c r="AJ176" s="291"/>
      <c r="AK176" s="291"/>
      <c r="AL176" s="291"/>
      <c r="AM176" s="291"/>
      <c r="AN176" s="291"/>
      <c r="AO176" s="291"/>
      <c r="AP176" s="291"/>
      <c r="AQ176" s="291"/>
      <c r="AR176" s="291"/>
      <c r="AS176" s="291"/>
      <c r="AT176" s="291"/>
    </row>
    <row r="177" spans="1:46" s="285" customFormat="1" ht="16.5" customHeight="1" x14ac:dyDescent="0.35">
      <c r="A177" s="85">
        <v>172</v>
      </c>
      <c r="B177" s="280" t="s">
        <v>49</v>
      </c>
      <c r="C177" s="279" t="s">
        <v>1748</v>
      </c>
      <c r="D177" s="279" t="s">
        <v>1749</v>
      </c>
      <c r="E177" s="279">
        <v>3</v>
      </c>
      <c r="F177" s="281">
        <v>42128</v>
      </c>
      <c r="G177" s="282" t="s">
        <v>1750</v>
      </c>
      <c r="H177" s="282">
        <v>4088591620</v>
      </c>
      <c r="I177" s="282" t="s">
        <v>1751</v>
      </c>
      <c r="J177" s="283">
        <v>45208</v>
      </c>
      <c r="K177" s="279" t="s">
        <v>167</v>
      </c>
      <c r="L177" s="279" t="s">
        <v>1764</v>
      </c>
      <c r="M177" s="279"/>
      <c r="N177" s="279" t="s">
        <v>82</v>
      </c>
      <c r="O177" s="280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84"/>
      <c r="AB177" s="284"/>
      <c r="AC177" s="284"/>
      <c r="AD177" s="284"/>
      <c r="AE177" s="284"/>
      <c r="AF177" s="284"/>
      <c r="AG177" s="284"/>
      <c r="AH177" s="284"/>
      <c r="AI177" s="284"/>
      <c r="AJ177" s="284"/>
      <c r="AK177" s="284"/>
      <c r="AL177" s="284"/>
      <c r="AM177" s="284"/>
      <c r="AN177" s="284"/>
      <c r="AO177" s="284"/>
      <c r="AP177" s="284"/>
      <c r="AQ177" s="284"/>
      <c r="AR177" s="284"/>
      <c r="AS177" s="284"/>
      <c r="AT177" s="284"/>
    </row>
    <row r="178" spans="1:46" s="285" customFormat="1" ht="16.5" customHeight="1" x14ac:dyDescent="0.35">
      <c r="A178" s="85">
        <v>173</v>
      </c>
      <c r="B178" s="280" t="s">
        <v>49</v>
      </c>
      <c r="C178" s="279" t="s">
        <v>1763</v>
      </c>
      <c r="D178" s="279" t="s">
        <v>1752</v>
      </c>
      <c r="E178" s="279">
        <v>7</v>
      </c>
      <c r="F178" s="281">
        <v>42699</v>
      </c>
      <c r="G178" s="282" t="s">
        <v>1753</v>
      </c>
      <c r="H178" s="282">
        <v>6506303836</v>
      </c>
      <c r="I178" s="282" t="s">
        <v>1754</v>
      </c>
      <c r="J178" s="283">
        <v>45215</v>
      </c>
      <c r="K178" s="279" t="s">
        <v>118</v>
      </c>
      <c r="L178" s="279" t="s">
        <v>801</v>
      </c>
      <c r="M178" s="279"/>
      <c r="N178" s="279" t="s">
        <v>82</v>
      </c>
      <c r="O178" s="280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84"/>
      <c r="AB178" s="284"/>
      <c r="AC178" s="284"/>
      <c r="AD178" s="284"/>
      <c r="AE178" s="284"/>
      <c r="AF178" s="284"/>
      <c r="AG178" s="284"/>
      <c r="AH178" s="284"/>
      <c r="AI178" s="284"/>
      <c r="AJ178" s="284"/>
      <c r="AK178" s="284"/>
      <c r="AL178" s="284"/>
      <c r="AM178" s="284"/>
      <c r="AN178" s="284"/>
      <c r="AO178" s="284"/>
      <c r="AP178" s="284"/>
      <c r="AQ178" s="284"/>
      <c r="AR178" s="284"/>
      <c r="AS178" s="284"/>
      <c r="AT178" s="284"/>
    </row>
    <row r="179" spans="1:46" s="285" customFormat="1" ht="16.5" customHeight="1" x14ac:dyDescent="0.35">
      <c r="A179" s="85">
        <v>174</v>
      </c>
      <c r="B179" s="280" t="s">
        <v>49</v>
      </c>
      <c r="C179" s="279" t="s">
        <v>1607</v>
      </c>
      <c r="D179" s="279" t="s">
        <v>1755</v>
      </c>
      <c r="E179" s="279">
        <v>2</v>
      </c>
      <c r="F179" s="281">
        <v>42526</v>
      </c>
      <c r="G179" s="282" t="s">
        <v>1756</v>
      </c>
      <c r="H179" s="282">
        <v>4082158017</v>
      </c>
      <c r="I179" s="282" t="s">
        <v>1610</v>
      </c>
      <c r="J179" s="283">
        <v>45202</v>
      </c>
      <c r="K179" s="279" t="s">
        <v>145</v>
      </c>
      <c r="L179" s="279" t="s">
        <v>508</v>
      </c>
      <c r="M179" s="279"/>
      <c r="N179" s="279" t="s">
        <v>82</v>
      </c>
      <c r="O179" s="280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84"/>
      <c r="AB179" s="284"/>
      <c r="AC179" s="284"/>
      <c r="AD179" s="284"/>
      <c r="AE179" s="284"/>
      <c r="AF179" s="284"/>
      <c r="AG179" s="284"/>
      <c r="AH179" s="284"/>
      <c r="AI179" s="284"/>
      <c r="AJ179" s="284"/>
      <c r="AK179" s="284"/>
      <c r="AL179" s="284"/>
      <c r="AM179" s="284"/>
      <c r="AN179" s="284"/>
      <c r="AO179" s="284"/>
      <c r="AP179" s="284"/>
      <c r="AQ179" s="284"/>
      <c r="AR179" s="284"/>
      <c r="AS179" s="284"/>
      <c r="AT179" s="284"/>
    </row>
    <row r="180" spans="1:46" s="292" customFormat="1" ht="16.5" customHeight="1" x14ac:dyDescent="0.35">
      <c r="A180" s="85">
        <v>175</v>
      </c>
      <c r="B180" s="286" t="s">
        <v>89</v>
      </c>
      <c r="C180" s="287" t="s">
        <v>1607</v>
      </c>
      <c r="D180" s="287" t="s">
        <v>1755</v>
      </c>
      <c r="E180" s="287">
        <v>2</v>
      </c>
      <c r="F180" s="288">
        <v>42526</v>
      </c>
      <c r="G180" s="289" t="s">
        <v>1756</v>
      </c>
      <c r="H180" s="289">
        <v>4082158017</v>
      </c>
      <c r="I180" s="289" t="s">
        <v>1610</v>
      </c>
      <c r="J180" s="290">
        <v>45202</v>
      </c>
      <c r="K180" s="287" t="s">
        <v>146</v>
      </c>
      <c r="L180" s="287" t="s">
        <v>1762</v>
      </c>
      <c r="M180" s="287" t="s">
        <v>385</v>
      </c>
      <c r="N180" s="287" t="s">
        <v>82</v>
      </c>
      <c r="O180" s="286"/>
      <c r="P180" s="291"/>
      <c r="Q180" s="291"/>
      <c r="R180" s="291"/>
      <c r="S180" s="291"/>
      <c r="T180" s="291"/>
      <c r="U180" s="291"/>
      <c r="V180" s="291"/>
      <c r="W180" s="291"/>
      <c r="X180" s="291"/>
      <c r="Y180" s="291"/>
      <c r="Z180" s="291"/>
      <c r="AA180" s="291"/>
      <c r="AB180" s="291"/>
      <c r="AC180" s="291"/>
      <c r="AD180" s="291"/>
      <c r="AE180" s="291"/>
      <c r="AF180" s="291"/>
      <c r="AG180" s="291"/>
      <c r="AH180" s="291"/>
      <c r="AI180" s="291"/>
      <c r="AJ180" s="291"/>
      <c r="AK180" s="291"/>
      <c r="AL180" s="291"/>
      <c r="AM180" s="291"/>
      <c r="AN180" s="291"/>
      <c r="AO180" s="291"/>
      <c r="AP180" s="291"/>
      <c r="AQ180" s="291"/>
      <c r="AR180" s="291"/>
      <c r="AS180" s="291"/>
      <c r="AT180" s="291"/>
    </row>
    <row r="181" spans="1:46" s="285" customFormat="1" ht="16.5" customHeight="1" x14ac:dyDescent="0.35">
      <c r="A181" s="85">
        <v>176</v>
      </c>
      <c r="B181" s="280" t="s">
        <v>49</v>
      </c>
      <c r="C181" s="279" t="s">
        <v>983</v>
      </c>
      <c r="D181" s="279" t="s">
        <v>267</v>
      </c>
      <c r="E181" s="279" t="s">
        <v>180</v>
      </c>
      <c r="F181" s="281">
        <v>41884</v>
      </c>
      <c r="G181" s="282" t="s">
        <v>1757</v>
      </c>
      <c r="H181" s="282">
        <v>5104027791</v>
      </c>
      <c r="I181" s="282" t="s">
        <v>1758</v>
      </c>
      <c r="J181" s="283">
        <v>45229</v>
      </c>
      <c r="K181" s="279" t="s">
        <v>212</v>
      </c>
      <c r="L181" s="279" t="s">
        <v>1762</v>
      </c>
      <c r="M181" s="279"/>
      <c r="N181" s="279" t="s">
        <v>82</v>
      </c>
      <c r="O181" s="280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  <c r="AA181" s="284"/>
      <c r="AB181" s="284"/>
      <c r="AC181" s="284"/>
      <c r="AD181" s="284"/>
      <c r="AE181" s="284"/>
      <c r="AF181" s="284"/>
      <c r="AG181" s="284"/>
      <c r="AH181" s="284"/>
      <c r="AI181" s="284"/>
      <c r="AJ181" s="284"/>
      <c r="AK181" s="284"/>
      <c r="AL181" s="284"/>
      <c r="AM181" s="284"/>
      <c r="AN181" s="284"/>
      <c r="AO181" s="284"/>
      <c r="AP181" s="284"/>
      <c r="AQ181" s="284"/>
      <c r="AR181" s="284"/>
      <c r="AS181" s="284"/>
      <c r="AT181" s="284"/>
    </row>
    <row r="182" spans="1:46" s="292" customFormat="1" ht="16.5" customHeight="1" x14ac:dyDescent="0.35">
      <c r="A182" s="85">
        <v>177</v>
      </c>
      <c r="B182" s="286" t="s">
        <v>89</v>
      </c>
      <c r="C182" s="287" t="s">
        <v>983</v>
      </c>
      <c r="D182" s="287" t="s">
        <v>267</v>
      </c>
      <c r="E182" s="287" t="s">
        <v>180</v>
      </c>
      <c r="F182" s="288">
        <v>41884</v>
      </c>
      <c r="G182" s="289" t="s">
        <v>1757</v>
      </c>
      <c r="H182" s="289">
        <v>5104027791</v>
      </c>
      <c r="I182" s="289" t="s">
        <v>1758</v>
      </c>
      <c r="J182" s="290">
        <v>45229</v>
      </c>
      <c r="K182" s="287" t="s">
        <v>167</v>
      </c>
      <c r="L182" s="287" t="s">
        <v>754</v>
      </c>
      <c r="M182" s="287" t="s">
        <v>385</v>
      </c>
      <c r="N182" s="287" t="s">
        <v>82</v>
      </c>
      <c r="O182" s="286"/>
      <c r="P182" s="291"/>
      <c r="Q182" s="291"/>
      <c r="R182" s="291"/>
      <c r="S182" s="291"/>
      <c r="T182" s="291"/>
      <c r="U182" s="291"/>
      <c r="V182" s="291"/>
      <c r="W182" s="291"/>
      <c r="X182" s="291"/>
      <c r="Y182" s="291"/>
      <c r="Z182" s="291"/>
      <c r="AA182" s="291"/>
      <c r="AB182" s="291"/>
      <c r="AC182" s="291"/>
      <c r="AD182" s="291"/>
      <c r="AE182" s="291"/>
      <c r="AF182" s="291"/>
      <c r="AG182" s="291"/>
      <c r="AH182" s="291"/>
      <c r="AI182" s="291"/>
      <c r="AJ182" s="291"/>
      <c r="AK182" s="291"/>
      <c r="AL182" s="291"/>
      <c r="AM182" s="291"/>
      <c r="AN182" s="291"/>
      <c r="AO182" s="291"/>
      <c r="AP182" s="291"/>
      <c r="AQ182" s="291"/>
      <c r="AR182" s="291"/>
      <c r="AS182" s="291"/>
      <c r="AT182" s="291"/>
    </row>
    <row r="183" spans="1:46" s="285" customFormat="1" ht="16.5" customHeight="1" x14ac:dyDescent="0.35">
      <c r="A183" s="85">
        <v>178</v>
      </c>
      <c r="B183" s="280" t="s">
        <v>49</v>
      </c>
      <c r="C183" s="279" t="s">
        <v>487</v>
      </c>
      <c r="D183" s="279" t="s">
        <v>1759</v>
      </c>
      <c r="E183" s="279">
        <v>6</v>
      </c>
      <c r="F183" s="281">
        <v>41149</v>
      </c>
      <c r="G183" s="282" t="s">
        <v>1760</v>
      </c>
      <c r="H183" s="282">
        <v>9257898247</v>
      </c>
      <c r="I183" s="282" t="s">
        <v>1761</v>
      </c>
      <c r="J183" s="283">
        <v>45200</v>
      </c>
      <c r="K183" s="279" t="s">
        <v>1158</v>
      </c>
      <c r="L183" s="279" t="s">
        <v>508</v>
      </c>
      <c r="M183" s="279"/>
      <c r="N183" s="279" t="s">
        <v>82</v>
      </c>
      <c r="O183" s="280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84"/>
      <c r="AB183" s="284"/>
      <c r="AC183" s="284"/>
      <c r="AD183" s="284"/>
      <c r="AE183" s="284"/>
      <c r="AF183" s="284"/>
      <c r="AG183" s="284"/>
      <c r="AH183" s="284"/>
      <c r="AI183" s="284"/>
      <c r="AJ183" s="284"/>
      <c r="AK183" s="284"/>
      <c r="AL183" s="284"/>
      <c r="AM183" s="284"/>
      <c r="AN183" s="284"/>
      <c r="AO183" s="284"/>
      <c r="AP183" s="284"/>
      <c r="AQ183" s="284"/>
      <c r="AR183" s="284"/>
      <c r="AS183" s="284"/>
      <c r="AT183" s="284"/>
    </row>
    <row r="184" spans="1:46" s="271" customFormat="1" ht="16.5" customHeight="1" x14ac:dyDescent="0.35">
      <c r="A184" s="85">
        <v>179</v>
      </c>
      <c r="B184" s="294" t="s">
        <v>49</v>
      </c>
      <c r="C184" s="266" t="s">
        <v>1611</v>
      </c>
      <c r="D184" s="266" t="s">
        <v>1612</v>
      </c>
      <c r="E184" s="266">
        <v>2</v>
      </c>
      <c r="F184" s="267">
        <v>42185</v>
      </c>
      <c r="G184" s="268" t="s">
        <v>1613</v>
      </c>
      <c r="H184" s="268">
        <v>6077279968</v>
      </c>
      <c r="I184" s="268" t="s">
        <v>1614</v>
      </c>
      <c r="J184" s="269">
        <v>45200</v>
      </c>
      <c r="K184" s="266" t="s">
        <v>202</v>
      </c>
      <c r="L184" s="266" t="s">
        <v>231</v>
      </c>
      <c r="M184" s="266" t="s">
        <v>1710</v>
      </c>
      <c r="N184" s="266" t="s">
        <v>84</v>
      </c>
      <c r="O184" s="295">
        <v>45170</v>
      </c>
      <c r="P184" s="270"/>
      <c r="Q184" s="270"/>
      <c r="R184" s="270"/>
      <c r="S184" s="270"/>
      <c r="T184" s="270"/>
      <c r="U184" s="270"/>
      <c r="V184" s="270"/>
      <c r="W184" s="270"/>
      <c r="X184" s="270"/>
      <c r="Y184" s="270"/>
      <c r="Z184" s="270"/>
      <c r="AA184" s="270"/>
      <c r="AB184" s="270"/>
      <c r="AC184" s="270"/>
      <c r="AD184" s="270"/>
      <c r="AE184" s="270"/>
      <c r="AF184" s="270"/>
      <c r="AG184" s="270"/>
      <c r="AH184" s="270"/>
      <c r="AI184" s="270"/>
      <c r="AJ184" s="270"/>
      <c r="AK184" s="270"/>
      <c r="AL184" s="270"/>
      <c r="AM184" s="270"/>
      <c r="AN184" s="270"/>
      <c r="AO184" s="270"/>
      <c r="AP184" s="270"/>
      <c r="AQ184" s="270"/>
      <c r="AR184" s="270"/>
      <c r="AS184" s="270"/>
      <c r="AT184" s="270"/>
    </row>
    <row r="185" spans="1:46" s="271" customFormat="1" ht="16.5" customHeight="1" x14ac:dyDescent="0.35">
      <c r="A185" s="85">
        <v>180</v>
      </c>
      <c r="B185" s="294" t="s">
        <v>89</v>
      </c>
      <c r="C185" s="266" t="s">
        <v>1611</v>
      </c>
      <c r="D185" s="266" t="s">
        <v>1612</v>
      </c>
      <c r="E185" s="266">
        <v>2</v>
      </c>
      <c r="F185" s="267">
        <v>42185</v>
      </c>
      <c r="G185" s="268" t="s">
        <v>1613</v>
      </c>
      <c r="H185" s="268">
        <v>6077279968</v>
      </c>
      <c r="I185" s="268" t="s">
        <v>1614</v>
      </c>
      <c r="J185" s="269">
        <v>45200</v>
      </c>
      <c r="K185" s="266" t="s">
        <v>163</v>
      </c>
      <c r="L185" s="266" t="s">
        <v>669</v>
      </c>
      <c r="M185" s="266" t="s">
        <v>1710</v>
      </c>
      <c r="N185" s="266" t="s">
        <v>84</v>
      </c>
      <c r="O185" s="295">
        <v>45170</v>
      </c>
      <c r="P185" s="270"/>
      <c r="Q185" s="270"/>
      <c r="R185" s="270"/>
      <c r="S185" s="270"/>
      <c r="T185" s="270"/>
      <c r="U185" s="270"/>
      <c r="V185" s="270"/>
      <c r="W185" s="270"/>
      <c r="X185" s="270"/>
      <c r="Y185" s="270"/>
      <c r="Z185" s="270"/>
      <c r="AA185" s="270"/>
      <c r="AB185" s="270"/>
      <c r="AC185" s="270"/>
      <c r="AD185" s="270"/>
      <c r="AE185" s="270"/>
      <c r="AF185" s="270"/>
      <c r="AG185" s="270"/>
      <c r="AH185" s="270"/>
      <c r="AI185" s="270"/>
      <c r="AJ185" s="270"/>
      <c r="AK185" s="270"/>
      <c r="AL185" s="270"/>
      <c r="AM185" s="270"/>
      <c r="AN185" s="270"/>
      <c r="AO185" s="270"/>
      <c r="AP185" s="270"/>
      <c r="AQ185" s="270"/>
      <c r="AR185" s="270"/>
      <c r="AS185" s="270"/>
      <c r="AT185" s="270"/>
    </row>
    <row r="186" spans="1:46" ht="16.5" customHeight="1" x14ac:dyDescent="0.35">
      <c r="A186" s="91"/>
      <c r="B186" s="103"/>
      <c r="C186" s="91"/>
      <c r="D186" s="91"/>
      <c r="E186" s="91"/>
      <c r="F186" s="92"/>
      <c r="G186" s="93"/>
      <c r="H186" s="93"/>
      <c r="I186" s="93"/>
      <c r="J186" s="94"/>
      <c r="K186" s="91"/>
      <c r="L186" s="91"/>
      <c r="M186" s="91"/>
      <c r="N186" s="91"/>
      <c r="O186" s="126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</row>
    <row r="187" spans="1:46" ht="16.5" customHeight="1" x14ac:dyDescent="0.35">
      <c r="A187" s="91"/>
      <c r="B187" s="103"/>
      <c r="C187" s="91"/>
      <c r="D187" s="91"/>
      <c r="E187" s="91"/>
      <c r="F187" s="92"/>
      <c r="G187" s="93"/>
      <c r="H187" s="93"/>
      <c r="I187" s="93"/>
      <c r="J187" s="94"/>
      <c r="K187" s="91"/>
      <c r="L187" s="91"/>
      <c r="M187" s="91"/>
      <c r="N187" s="91"/>
      <c r="O187" s="126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</row>
    <row r="188" spans="1:46" ht="16.5" customHeight="1" x14ac:dyDescent="0.35">
      <c r="A188" s="91"/>
      <c r="B188" s="103"/>
      <c r="C188" s="91"/>
      <c r="D188" s="91"/>
      <c r="E188" s="91"/>
      <c r="F188" s="92"/>
      <c r="G188" s="93"/>
      <c r="H188" s="93"/>
      <c r="I188" s="93"/>
      <c r="J188" s="94"/>
      <c r="K188" s="91"/>
      <c r="L188" s="91"/>
      <c r="M188" s="91"/>
      <c r="N188" s="91"/>
      <c r="O188" s="126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</row>
    <row r="189" spans="1:46" ht="16.5" customHeight="1" x14ac:dyDescent="0.35">
      <c r="A189" s="91"/>
      <c r="B189" s="103"/>
      <c r="C189" s="91"/>
      <c r="D189" s="91"/>
      <c r="E189" s="91"/>
      <c r="F189" s="92"/>
      <c r="G189" s="93"/>
      <c r="H189" s="93"/>
      <c r="I189" s="93"/>
      <c r="J189" s="94"/>
      <c r="K189" s="91"/>
      <c r="L189" s="91"/>
      <c r="M189" s="91"/>
      <c r="N189" s="91"/>
      <c r="O189" s="126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</row>
    <row r="190" spans="1:46" ht="16.5" customHeight="1" x14ac:dyDescent="0.35">
      <c r="A190" s="91"/>
      <c r="B190" s="103"/>
      <c r="C190" s="91"/>
      <c r="D190" s="91"/>
      <c r="E190" s="91"/>
      <c r="F190" s="92"/>
      <c r="G190" s="93"/>
      <c r="H190" s="93"/>
      <c r="I190" s="93"/>
      <c r="J190" s="94"/>
      <c r="K190" s="91"/>
      <c r="L190" s="91"/>
      <c r="M190" s="91"/>
      <c r="N190" s="91"/>
      <c r="O190" s="126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</row>
    <row r="191" spans="1:46" ht="16.5" customHeight="1" x14ac:dyDescent="0.35">
      <c r="A191" s="91"/>
      <c r="B191" s="103"/>
      <c r="C191" s="91"/>
      <c r="D191" s="91"/>
      <c r="E191" s="91"/>
      <c r="F191" s="92"/>
      <c r="G191" s="93"/>
      <c r="H191" s="93"/>
      <c r="I191" s="93"/>
      <c r="J191" s="94"/>
      <c r="K191" s="91"/>
      <c r="L191" s="91"/>
      <c r="M191" s="91"/>
      <c r="N191" s="91"/>
      <c r="O191" s="126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</row>
    <row r="192" spans="1:46" ht="16.5" customHeight="1" x14ac:dyDescent="0.35">
      <c r="A192" s="91"/>
      <c r="B192" s="103"/>
      <c r="C192" s="91"/>
      <c r="D192" s="91"/>
      <c r="E192" s="91"/>
      <c r="F192" s="92"/>
      <c r="G192" s="93"/>
      <c r="H192" s="93"/>
      <c r="I192" s="93"/>
      <c r="J192" s="94"/>
      <c r="K192" s="91"/>
      <c r="L192" s="91"/>
      <c r="M192" s="91"/>
      <c r="N192" s="91"/>
      <c r="O192" s="126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</row>
    <row r="193" spans="1:46" ht="16.5" customHeight="1" x14ac:dyDescent="0.35">
      <c r="A193" s="91"/>
      <c r="B193" s="103"/>
      <c r="C193" s="91"/>
      <c r="D193" s="91"/>
      <c r="E193" s="91"/>
      <c r="F193" s="92"/>
      <c r="G193" s="93"/>
      <c r="H193" s="93"/>
      <c r="I193" s="93"/>
      <c r="J193" s="94"/>
      <c r="K193" s="91"/>
      <c r="L193" s="91"/>
      <c r="M193" s="91"/>
      <c r="N193" s="91"/>
      <c r="O193" s="126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</row>
    <row r="194" spans="1:46" ht="16.5" customHeight="1" x14ac:dyDescent="0.35">
      <c r="A194" s="91"/>
      <c r="B194" s="103"/>
      <c r="C194" s="91"/>
      <c r="D194" s="91"/>
      <c r="E194" s="91"/>
      <c r="F194" s="92"/>
      <c r="G194" s="93"/>
      <c r="H194" s="93"/>
      <c r="I194" s="93"/>
      <c r="J194" s="94"/>
      <c r="K194" s="91"/>
      <c r="L194" s="91"/>
      <c r="M194" s="91"/>
      <c r="N194" s="91"/>
      <c r="O194" s="126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</row>
    <row r="195" spans="1:46" ht="16.5" customHeight="1" x14ac:dyDescent="0.35">
      <c r="A195" s="91"/>
      <c r="B195" s="103"/>
      <c r="C195" s="91"/>
      <c r="D195" s="91"/>
      <c r="E195" s="91"/>
      <c r="F195" s="92"/>
      <c r="G195" s="93"/>
      <c r="H195" s="93"/>
      <c r="I195" s="93"/>
      <c r="J195" s="94"/>
      <c r="K195" s="91"/>
      <c r="L195" s="91"/>
      <c r="M195" s="91"/>
      <c r="N195" s="91"/>
      <c r="O195" s="126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</row>
    <row r="196" spans="1:46" ht="16.5" customHeight="1" x14ac:dyDescent="0.35">
      <c r="A196" s="91"/>
      <c r="B196" s="103"/>
      <c r="C196" s="91"/>
      <c r="D196" s="91"/>
      <c r="E196" s="91"/>
      <c r="F196" s="92"/>
      <c r="G196" s="93"/>
      <c r="H196" s="93"/>
      <c r="I196" s="93"/>
      <c r="J196" s="94"/>
      <c r="K196" s="91"/>
      <c r="L196" s="91"/>
      <c r="M196" s="91"/>
      <c r="N196" s="91"/>
      <c r="O196" s="126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</row>
    <row r="197" spans="1:46" ht="16.5" customHeight="1" x14ac:dyDescent="0.35">
      <c r="A197" s="91"/>
      <c r="B197" s="103"/>
      <c r="C197" s="91"/>
      <c r="D197" s="91"/>
      <c r="E197" s="91"/>
      <c r="F197" s="92"/>
      <c r="G197" s="93"/>
      <c r="H197" s="93"/>
      <c r="I197" s="93"/>
      <c r="J197" s="94"/>
      <c r="K197" s="91"/>
      <c r="L197" s="91"/>
      <c r="M197" s="91"/>
      <c r="N197" s="91"/>
      <c r="O197" s="126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</row>
    <row r="198" spans="1:46" ht="16.5" customHeight="1" x14ac:dyDescent="0.35">
      <c r="A198" s="91"/>
      <c r="B198" s="103"/>
      <c r="C198" s="91"/>
      <c r="D198" s="91"/>
      <c r="E198" s="91"/>
      <c r="F198" s="92"/>
      <c r="G198" s="93"/>
      <c r="H198" s="93"/>
      <c r="I198" s="93"/>
      <c r="J198" s="94"/>
      <c r="K198" s="91"/>
      <c r="L198" s="91"/>
      <c r="M198" s="91"/>
      <c r="N198" s="91"/>
      <c r="O198" s="126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</row>
    <row r="199" spans="1:46" ht="16.5" customHeight="1" x14ac:dyDescent="0.35">
      <c r="A199" s="91"/>
      <c r="B199" s="103"/>
      <c r="C199" s="91"/>
      <c r="D199" s="91"/>
      <c r="E199" s="91"/>
      <c r="F199" s="92"/>
      <c r="G199" s="93"/>
      <c r="H199" s="93"/>
      <c r="I199" s="93"/>
      <c r="J199" s="94"/>
      <c r="K199" s="91"/>
      <c r="L199" s="91"/>
      <c r="M199" s="91"/>
      <c r="N199" s="91"/>
      <c r="O199" s="126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</row>
    <row r="200" spans="1:46" ht="16.5" customHeight="1" x14ac:dyDescent="0.35">
      <c r="A200" s="91"/>
      <c r="B200" s="103"/>
      <c r="C200" s="91"/>
      <c r="D200" s="91"/>
      <c r="E200" s="91"/>
      <c r="F200" s="92"/>
      <c r="G200" s="93"/>
      <c r="H200" s="93"/>
      <c r="I200" s="93"/>
      <c r="J200" s="94"/>
      <c r="K200" s="91"/>
      <c r="L200" s="91"/>
      <c r="M200" s="91"/>
      <c r="N200" s="91"/>
      <c r="O200" s="126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</row>
    <row r="201" spans="1:46" ht="16.5" customHeight="1" x14ac:dyDescent="0.35">
      <c r="A201" s="91"/>
      <c r="B201" s="103"/>
      <c r="C201" s="91"/>
      <c r="D201" s="91"/>
      <c r="E201" s="91"/>
      <c r="F201" s="92"/>
      <c r="G201" s="93"/>
      <c r="H201" s="93"/>
      <c r="I201" s="93"/>
      <c r="J201" s="94"/>
      <c r="K201" s="91"/>
      <c r="L201" s="91"/>
      <c r="M201" s="91"/>
      <c r="N201" s="91"/>
      <c r="O201" s="126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</row>
    <row r="202" spans="1:46" ht="16.5" customHeight="1" x14ac:dyDescent="0.35">
      <c r="A202" s="91"/>
      <c r="B202" s="103"/>
      <c r="C202" s="91"/>
      <c r="D202" s="91"/>
      <c r="E202" s="91"/>
      <c r="F202" s="92"/>
      <c r="G202" s="93"/>
      <c r="H202" s="93"/>
      <c r="I202" s="93"/>
      <c r="J202" s="94"/>
      <c r="K202" s="91"/>
      <c r="L202" s="91"/>
      <c r="M202" s="91"/>
      <c r="N202" s="91"/>
      <c r="O202" s="126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</row>
    <row r="203" spans="1:46" ht="16.5" customHeight="1" x14ac:dyDescent="0.35">
      <c r="A203" s="91"/>
      <c r="B203" s="103"/>
      <c r="C203" s="91"/>
      <c r="D203" s="91"/>
      <c r="E203" s="91"/>
      <c r="F203" s="92"/>
      <c r="G203" s="93"/>
      <c r="H203" s="93"/>
      <c r="I203" s="93"/>
      <c r="J203" s="94"/>
      <c r="K203" s="91"/>
      <c r="L203" s="91"/>
      <c r="M203" s="91"/>
      <c r="N203" s="91"/>
      <c r="O203" s="126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</row>
    <row r="204" spans="1:46" ht="16.5" customHeight="1" x14ac:dyDescent="0.35">
      <c r="A204" s="91"/>
      <c r="B204" s="103"/>
      <c r="C204" s="91"/>
      <c r="D204" s="91"/>
      <c r="E204" s="91"/>
      <c r="F204" s="92"/>
      <c r="G204" s="93"/>
      <c r="H204" s="93"/>
      <c r="I204" s="93"/>
      <c r="J204" s="94"/>
      <c r="K204" s="91"/>
      <c r="L204" s="91"/>
      <c r="M204" s="91"/>
      <c r="N204" s="91"/>
      <c r="O204" s="126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</row>
    <row r="205" spans="1:46" ht="16.5" customHeight="1" x14ac:dyDescent="0.35">
      <c r="A205" s="91"/>
      <c r="B205" s="103"/>
      <c r="C205" s="91"/>
      <c r="D205" s="91"/>
      <c r="E205" s="91"/>
      <c r="F205" s="92"/>
      <c r="G205" s="93"/>
      <c r="H205" s="93"/>
      <c r="I205" s="93"/>
      <c r="J205" s="94"/>
      <c r="K205" s="91"/>
      <c r="L205" s="91"/>
      <c r="M205" s="91"/>
      <c r="N205" s="91"/>
      <c r="O205" s="126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</row>
    <row r="206" spans="1:46" ht="16.5" customHeight="1" x14ac:dyDescent="0.35">
      <c r="A206" s="91"/>
      <c r="B206" s="103"/>
      <c r="C206" s="91"/>
      <c r="D206" s="91"/>
      <c r="E206" s="91"/>
      <c r="F206" s="92"/>
      <c r="G206" s="93"/>
      <c r="H206" s="93"/>
      <c r="I206" s="93"/>
      <c r="J206" s="94"/>
      <c r="K206" s="91"/>
      <c r="L206" s="91"/>
      <c r="M206" s="91"/>
      <c r="N206" s="91"/>
      <c r="O206" s="126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</row>
    <row r="207" spans="1:46" ht="16.5" customHeight="1" x14ac:dyDescent="0.35">
      <c r="A207" s="91"/>
      <c r="B207" s="103"/>
      <c r="C207" s="91"/>
      <c r="D207" s="91"/>
      <c r="E207" s="91"/>
      <c r="F207" s="92"/>
      <c r="G207" s="93"/>
      <c r="H207" s="93"/>
      <c r="I207" s="93"/>
      <c r="J207" s="94"/>
      <c r="K207" s="91"/>
      <c r="L207" s="91"/>
      <c r="M207" s="91"/>
      <c r="N207" s="91"/>
      <c r="O207" s="126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</row>
    <row r="208" spans="1:46" ht="16.5" customHeight="1" x14ac:dyDescent="0.35">
      <c r="A208" s="91"/>
      <c r="B208" s="103"/>
      <c r="C208" s="91"/>
      <c r="D208" s="91"/>
      <c r="E208" s="91"/>
      <c r="F208" s="92"/>
      <c r="G208" s="93"/>
      <c r="H208" s="93"/>
      <c r="I208" s="93"/>
      <c r="J208" s="94"/>
      <c r="K208" s="91"/>
      <c r="L208" s="91"/>
      <c r="M208" s="91"/>
      <c r="N208" s="91"/>
      <c r="O208" s="126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</row>
    <row r="209" spans="1:46" ht="16.5" customHeight="1" x14ac:dyDescent="0.35">
      <c r="A209" s="91"/>
      <c r="B209" s="103"/>
      <c r="C209" s="91"/>
      <c r="D209" s="91"/>
      <c r="E209" s="91"/>
      <c r="F209" s="92"/>
      <c r="G209" s="93"/>
      <c r="H209" s="93"/>
      <c r="I209" s="93"/>
      <c r="J209" s="94"/>
      <c r="K209" s="91"/>
      <c r="L209" s="91"/>
      <c r="M209" s="91"/>
      <c r="N209" s="91"/>
      <c r="O209" s="126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</row>
    <row r="210" spans="1:46" ht="16.5" customHeight="1" x14ac:dyDescent="0.35">
      <c r="A210" s="91"/>
      <c r="B210" s="103"/>
      <c r="C210" s="91"/>
      <c r="D210" s="91"/>
      <c r="E210" s="91"/>
      <c r="F210" s="92"/>
      <c r="G210" s="93"/>
      <c r="H210" s="93"/>
      <c r="I210" s="93"/>
      <c r="J210" s="94"/>
      <c r="K210" s="91"/>
      <c r="L210" s="91"/>
      <c r="M210" s="91"/>
      <c r="N210" s="91"/>
      <c r="O210" s="126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</row>
    <row r="211" spans="1:46" ht="16.5" customHeight="1" x14ac:dyDescent="0.35">
      <c r="A211" s="91"/>
      <c r="B211" s="103"/>
      <c r="C211" s="91"/>
      <c r="D211" s="91"/>
      <c r="E211" s="91"/>
      <c r="F211" s="92"/>
      <c r="G211" s="93"/>
      <c r="H211" s="93"/>
      <c r="I211" s="93"/>
      <c r="J211" s="94"/>
      <c r="K211" s="91"/>
      <c r="L211" s="91"/>
      <c r="M211" s="91"/>
      <c r="N211" s="91"/>
      <c r="O211" s="126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</row>
    <row r="212" spans="1:46" ht="16.5" customHeight="1" x14ac:dyDescent="0.35">
      <c r="A212" s="91"/>
      <c r="B212" s="103"/>
      <c r="C212" s="91"/>
      <c r="D212" s="91"/>
      <c r="E212" s="91"/>
      <c r="F212" s="92"/>
      <c r="G212" s="93"/>
      <c r="H212" s="93"/>
      <c r="I212" s="93"/>
      <c r="J212" s="94"/>
      <c r="K212" s="91"/>
      <c r="L212" s="91"/>
      <c r="M212" s="91"/>
      <c r="N212" s="91"/>
      <c r="O212" s="126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</row>
    <row r="213" spans="1:46" ht="16.5" customHeight="1" x14ac:dyDescent="0.35">
      <c r="A213" s="128"/>
      <c r="B213" s="129"/>
      <c r="C213" s="130"/>
      <c r="D213" s="130"/>
      <c r="E213" s="130"/>
      <c r="F213" s="131"/>
      <c r="G213" s="132"/>
      <c r="H213" s="132"/>
      <c r="I213" s="132"/>
      <c r="J213" s="133"/>
      <c r="K213" s="130"/>
      <c r="L213" s="130"/>
      <c r="M213" s="130"/>
      <c r="N213" s="130"/>
      <c r="O213" s="134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</row>
    <row r="214" spans="1:46" ht="16.5" customHeight="1" x14ac:dyDescent="0.35">
      <c r="A214" s="128"/>
      <c r="B214" s="129"/>
      <c r="C214" s="130"/>
      <c r="D214" s="130"/>
      <c r="E214" s="130"/>
      <c r="F214" s="131"/>
      <c r="G214" s="132"/>
      <c r="H214" s="132"/>
      <c r="I214" s="132"/>
      <c r="J214" s="133"/>
      <c r="K214" s="130"/>
      <c r="L214" s="130"/>
      <c r="M214" s="130"/>
      <c r="N214" s="130"/>
      <c r="O214" s="134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</row>
    <row r="215" spans="1:46" ht="16.5" customHeight="1" x14ac:dyDescent="0.35">
      <c r="A215" s="128"/>
      <c r="B215" s="129"/>
      <c r="C215" s="130"/>
      <c r="D215" s="130"/>
      <c r="E215" s="130"/>
      <c r="F215" s="131"/>
      <c r="G215" s="132"/>
      <c r="H215" s="132"/>
      <c r="I215" s="132"/>
      <c r="J215" s="133"/>
      <c r="K215" s="130"/>
      <c r="L215" s="130"/>
      <c r="M215" s="130"/>
      <c r="N215" s="130"/>
      <c r="O215" s="134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</row>
    <row r="216" spans="1:46" ht="16.5" customHeight="1" x14ac:dyDescent="0.35">
      <c r="A216" s="128"/>
      <c r="B216" s="129"/>
      <c r="C216" s="130"/>
      <c r="D216" s="130"/>
      <c r="E216" s="130"/>
      <c r="F216" s="131"/>
      <c r="G216" s="132"/>
      <c r="H216" s="132"/>
      <c r="I216" s="132"/>
      <c r="J216" s="133"/>
      <c r="K216" s="130"/>
      <c r="L216" s="130"/>
      <c r="M216" s="130"/>
      <c r="N216" s="130"/>
      <c r="O216" s="134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</row>
    <row r="217" spans="1:46" ht="16.5" customHeight="1" x14ac:dyDescent="0.35">
      <c r="A217" s="128"/>
      <c r="B217" s="129"/>
      <c r="C217" s="130"/>
      <c r="D217" s="130"/>
      <c r="E217" s="130"/>
      <c r="F217" s="131"/>
      <c r="G217" s="132"/>
      <c r="H217" s="132"/>
      <c r="I217" s="132"/>
      <c r="J217" s="133"/>
      <c r="K217" s="130"/>
      <c r="L217" s="130"/>
      <c r="M217" s="130"/>
      <c r="N217" s="130"/>
      <c r="O217" s="134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</row>
    <row r="218" spans="1:46" ht="16.5" customHeight="1" x14ac:dyDescent="0.35">
      <c r="A218" s="128"/>
      <c r="B218" s="129"/>
      <c r="C218" s="130"/>
      <c r="D218" s="130"/>
      <c r="E218" s="130"/>
      <c r="F218" s="131"/>
      <c r="G218" s="132"/>
      <c r="H218" s="132"/>
      <c r="I218" s="132"/>
      <c r="J218" s="133"/>
      <c r="K218" s="130"/>
      <c r="L218" s="130"/>
      <c r="M218" s="130"/>
      <c r="N218" s="130"/>
      <c r="O218" s="134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</row>
    <row r="219" spans="1:46" ht="16.5" customHeight="1" x14ac:dyDescent="0.35">
      <c r="A219" s="128"/>
      <c r="B219" s="129"/>
      <c r="C219" s="130"/>
      <c r="D219" s="130"/>
      <c r="E219" s="130"/>
      <c r="F219" s="131"/>
      <c r="G219" s="132"/>
      <c r="H219" s="132"/>
      <c r="I219" s="132"/>
      <c r="J219" s="133"/>
      <c r="K219" s="130"/>
      <c r="L219" s="130"/>
      <c r="M219" s="130"/>
      <c r="N219" s="130"/>
      <c r="O219" s="134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</row>
    <row r="220" spans="1:46" ht="16.5" customHeight="1" x14ac:dyDescent="0.35">
      <c r="A220" s="128"/>
      <c r="B220" s="129"/>
      <c r="C220" s="130"/>
      <c r="D220" s="130"/>
      <c r="E220" s="130"/>
      <c r="F220" s="131"/>
      <c r="G220" s="132"/>
      <c r="H220" s="132"/>
      <c r="I220" s="132"/>
      <c r="J220" s="133"/>
      <c r="K220" s="130"/>
      <c r="L220" s="130"/>
      <c r="M220" s="130"/>
      <c r="N220" s="130"/>
      <c r="O220" s="134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</row>
    <row r="221" spans="1:46" ht="16.5" customHeight="1" x14ac:dyDescent="0.35">
      <c r="A221" s="128"/>
      <c r="B221" s="129"/>
      <c r="C221" s="130"/>
      <c r="D221" s="130"/>
      <c r="E221" s="130"/>
      <c r="F221" s="131"/>
      <c r="G221" s="132"/>
      <c r="H221" s="132"/>
      <c r="I221" s="132"/>
      <c r="J221" s="133"/>
      <c r="K221" s="130"/>
      <c r="L221" s="130"/>
      <c r="M221" s="130"/>
      <c r="N221" s="130"/>
      <c r="O221" s="134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</row>
    <row r="222" spans="1:46" ht="15.75" customHeight="1" x14ac:dyDescent="0.35">
      <c r="A222" s="1"/>
      <c r="B222" s="134"/>
      <c r="C222" s="11"/>
      <c r="D222" s="11"/>
      <c r="E222" s="11"/>
      <c r="F222" s="11"/>
      <c r="G222" s="135"/>
      <c r="H222" s="135"/>
      <c r="I222" s="135"/>
      <c r="J222" s="135"/>
      <c r="K222" s="135"/>
      <c r="L222" s="135"/>
      <c r="M222" s="135"/>
      <c r="N222" s="11"/>
      <c r="O222" s="11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5.75" customHeight="1" x14ac:dyDescent="0.35">
      <c r="A223" s="1"/>
      <c r="B223" s="134"/>
      <c r="C223" s="11"/>
      <c r="D223" s="11"/>
      <c r="E223" s="11"/>
      <c r="F223" s="11"/>
      <c r="G223" s="135"/>
      <c r="H223" s="135"/>
      <c r="I223" s="135"/>
      <c r="J223" s="135"/>
      <c r="K223" s="135"/>
      <c r="L223" s="135"/>
      <c r="M223" s="135"/>
      <c r="N223" s="11"/>
      <c r="O223" s="11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5.75" customHeight="1" x14ac:dyDescent="0.35">
      <c r="A224" s="1"/>
      <c r="B224" s="134"/>
      <c r="C224" s="11"/>
      <c r="D224" s="11"/>
      <c r="E224" s="11"/>
      <c r="F224" s="11"/>
      <c r="G224" s="135"/>
      <c r="H224" s="135"/>
      <c r="I224" s="135"/>
      <c r="J224" s="135"/>
      <c r="K224" s="135"/>
      <c r="L224" s="135"/>
      <c r="M224" s="135"/>
      <c r="N224" s="11"/>
      <c r="O224" s="11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5.75" customHeight="1" x14ac:dyDescent="0.35">
      <c r="A225" s="1" t="s">
        <v>500</v>
      </c>
      <c r="B225" s="134"/>
      <c r="C225" s="11"/>
      <c r="D225" s="11"/>
      <c r="E225" s="11"/>
      <c r="F225" s="11"/>
      <c r="G225" s="135"/>
      <c r="H225" s="135"/>
      <c r="I225" s="135"/>
      <c r="J225" s="135"/>
      <c r="K225" s="135"/>
      <c r="L225" s="135"/>
      <c r="M225" s="135"/>
      <c r="N225" s="11"/>
      <c r="O225" s="11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.75" hidden="1" customHeight="1" x14ac:dyDescent="0.35">
      <c r="A226" s="134">
        <v>1</v>
      </c>
      <c r="B226" s="134" t="s">
        <v>49</v>
      </c>
      <c r="C226" s="11" t="s">
        <v>501</v>
      </c>
      <c r="D226" s="11" t="s">
        <v>502</v>
      </c>
      <c r="E226" s="11">
        <v>1</v>
      </c>
      <c r="F226" s="136">
        <v>40701</v>
      </c>
      <c r="G226" s="135" t="s">
        <v>503</v>
      </c>
      <c r="H226" s="135" t="s">
        <v>504</v>
      </c>
      <c r="I226" s="135" t="s">
        <v>505</v>
      </c>
      <c r="J226" s="137">
        <v>43328</v>
      </c>
      <c r="K226" s="135" t="s">
        <v>112</v>
      </c>
      <c r="L226" s="135" t="s">
        <v>506</v>
      </c>
      <c r="M226" s="135" t="s">
        <v>507</v>
      </c>
      <c r="N226" s="11" t="s">
        <v>35</v>
      </c>
      <c r="O226" s="136">
        <v>43647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.75" hidden="1" customHeight="1" x14ac:dyDescent="0.35">
      <c r="A227" s="134">
        <v>2</v>
      </c>
      <c r="B227" s="134" t="s">
        <v>89</v>
      </c>
      <c r="C227" s="11" t="s">
        <v>501</v>
      </c>
      <c r="D227" s="11" t="s">
        <v>502</v>
      </c>
      <c r="E227" s="11">
        <v>1</v>
      </c>
      <c r="F227" s="136">
        <v>40701</v>
      </c>
      <c r="G227" s="135" t="s">
        <v>503</v>
      </c>
      <c r="H227" s="135" t="s">
        <v>504</v>
      </c>
      <c r="I227" s="135" t="s">
        <v>505</v>
      </c>
      <c r="J227" s="137">
        <v>43328</v>
      </c>
      <c r="K227" s="135" t="s">
        <v>120</v>
      </c>
      <c r="L227" s="135" t="s">
        <v>508</v>
      </c>
      <c r="M227" s="135" t="s">
        <v>507</v>
      </c>
      <c r="N227" s="11" t="s">
        <v>35</v>
      </c>
      <c r="O227" s="136">
        <v>43647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.75" hidden="1" customHeight="1" x14ac:dyDescent="0.35">
      <c r="A228" s="134">
        <v>3</v>
      </c>
      <c r="B228" s="134" t="s">
        <v>89</v>
      </c>
      <c r="C228" s="11" t="s">
        <v>509</v>
      </c>
      <c r="D228" s="11" t="s">
        <v>510</v>
      </c>
      <c r="E228" s="11">
        <v>1</v>
      </c>
      <c r="F228" s="136" t="s">
        <v>511</v>
      </c>
      <c r="G228" s="135" t="s">
        <v>512</v>
      </c>
      <c r="H228" s="135" t="s">
        <v>513</v>
      </c>
      <c r="I228" s="135" t="s">
        <v>514</v>
      </c>
      <c r="J228" s="137" t="s">
        <v>515</v>
      </c>
      <c r="K228" s="135" t="s">
        <v>120</v>
      </c>
      <c r="L228" s="135" t="s">
        <v>516</v>
      </c>
      <c r="M228" s="135" t="s">
        <v>517</v>
      </c>
      <c r="N228" s="11" t="s">
        <v>35</v>
      </c>
      <c r="O228" s="136">
        <v>43647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5.75" hidden="1" customHeight="1" x14ac:dyDescent="0.35">
      <c r="A229" s="134">
        <v>4</v>
      </c>
      <c r="B229" s="134" t="s">
        <v>49</v>
      </c>
      <c r="C229" s="11" t="s">
        <v>518</v>
      </c>
      <c r="D229" s="11" t="s">
        <v>519</v>
      </c>
      <c r="E229" s="11">
        <v>7</v>
      </c>
      <c r="F229" s="136" t="s">
        <v>520</v>
      </c>
      <c r="G229" s="135" t="s">
        <v>521</v>
      </c>
      <c r="H229" s="135" t="s">
        <v>522</v>
      </c>
      <c r="I229" s="135" t="s">
        <v>523</v>
      </c>
      <c r="J229" s="135" t="s">
        <v>524</v>
      </c>
      <c r="K229" s="135" t="s">
        <v>109</v>
      </c>
      <c r="L229" s="135" t="s">
        <v>525</v>
      </c>
      <c r="M229" s="135" t="s">
        <v>526</v>
      </c>
      <c r="N229" s="11" t="s">
        <v>35</v>
      </c>
      <c r="O229" s="136">
        <v>43647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5.75" hidden="1" customHeight="1" x14ac:dyDescent="0.35">
      <c r="A230" s="134">
        <v>5</v>
      </c>
      <c r="B230" s="134" t="s">
        <v>89</v>
      </c>
      <c r="C230" s="11" t="s">
        <v>518</v>
      </c>
      <c r="D230" s="11" t="s">
        <v>519</v>
      </c>
      <c r="E230" s="11">
        <v>7</v>
      </c>
      <c r="F230" s="136" t="s">
        <v>520</v>
      </c>
      <c r="G230" s="135" t="s">
        <v>521</v>
      </c>
      <c r="H230" s="135" t="s">
        <v>522</v>
      </c>
      <c r="I230" s="135" t="s">
        <v>523</v>
      </c>
      <c r="J230" s="135" t="s">
        <v>524</v>
      </c>
      <c r="K230" s="135" t="s">
        <v>132</v>
      </c>
      <c r="L230" s="135" t="s">
        <v>527</v>
      </c>
      <c r="M230" s="135" t="s">
        <v>526</v>
      </c>
      <c r="N230" s="11" t="s">
        <v>35</v>
      </c>
      <c r="O230" s="136">
        <v>43647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5.75" hidden="1" customHeight="1" x14ac:dyDescent="0.35">
      <c r="A231" s="134">
        <v>6</v>
      </c>
      <c r="B231" s="134" t="s">
        <v>49</v>
      </c>
      <c r="C231" s="11" t="s">
        <v>528</v>
      </c>
      <c r="D231" s="11" t="s">
        <v>510</v>
      </c>
      <c r="E231" s="11">
        <v>3</v>
      </c>
      <c r="F231" s="136" t="s">
        <v>529</v>
      </c>
      <c r="G231" s="135" t="s">
        <v>512</v>
      </c>
      <c r="H231" s="135" t="s">
        <v>513</v>
      </c>
      <c r="I231" s="135" t="s">
        <v>514</v>
      </c>
      <c r="J231" s="137" t="s">
        <v>515</v>
      </c>
      <c r="K231" s="135" t="s">
        <v>153</v>
      </c>
      <c r="L231" s="135" t="s">
        <v>530</v>
      </c>
      <c r="M231" s="137" t="s">
        <v>531</v>
      </c>
      <c r="N231" s="11" t="s">
        <v>35</v>
      </c>
      <c r="O231" s="136">
        <v>43647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5.75" hidden="1" customHeight="1" x14ac:dyDescent="0.35">
      <c r="A232" s="134">
        <v>7</v>
      </c>
      <c r="B232" s="134" t="s">
        <v>89</v>
      </c>
      <c r="C232" s="11" t="s">
        <v>266</v>
      </c>
      <c r="D232" s="11" t="s">
        <v>532</v>
      </c>
      <c r="E232" s="11">
        <v>5</v>
      </c>
      <c r="F232" s="136" t="s">
        <v>533</v>
      </c>
      <c r="G232" s="135" t="s">
        <v>534</v>
      </c>
      <c r="H232" s="135">
        <v>4085136899</v>
      </c>
      <c r="I232" s="135" t="s">
        <v>535</v>
      </c>
      <c r="J232" s="137">
        <v>43313</v>
      </c>
      <c r="K232" s="135" t="s">
        <v>251</v>
      </c>
      <c r="L232" s="135" t="s">
        <v>183</v>
      </c>
      <c r="M232" s="137" t="s">
        <v>536</v>
      </c>
      <c r="N232" s="11" t="s">
        <v>35</v>
      </c>
      <c r="O232" s="136">
        <v>43647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5.75" hidden="1" customHeight="1" x14ac:dyDescent="0.35">
      <c r="A233" s="134">
        <v>8</v>
      </c>
      <c r="B233" s="134" t="s">
        <v>49</v>
      </c>
      <c r="C233" s="11" t="s">
        <v>537</v>
      </c>
      <c r="D233" s="11" t="s">
        <v>538</v>
      </c>
      <c r="E233" s="11">
        <v>1</v>
      </c>
      <c r="F233" s="136">
        <v>40867</v>
      </c>
      <c r="G233" s="135" t="s">
        <v>539</v>
      </c>
      <c r="H233" s="135" t="s">
        <v>540</v>
      </c>
      <c r="I233" s="135" t="s">
        <v>541</v>
      </c>
      <c r="J233" s="137">
        <v>43525</v>
      </c>
      <c r="K233" s="135" t="s">
        <v>161</v>
      </c>
      <c r="L233" s="135" t="s">
        <v>276</v>
      </c>
      <c r="M233" s="135" t="s">
        <v>542</v>
      </c>
      <c r="N233" s="11" t="s">
        <v>35</v>
      </c>
      <c r="O233" s="136">
        <v>43647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5.75" hidden="1" customHeight="1" x14ac:dyDescent="0.35">
      <c r="A234" s="134">
        <v>9</v>
      </c>
      <c r="B234" s="134" t="s">
        <v>89</v>
      </c>
      <c r="C234" s="11" t="s">
        <v>537</v>
      </c>
      <c r="D234" s="11" t="s">
        <v>538</v>
      </c>
      <c r="E234" s="11">
        <v>1</v>
      </c>
      <c r="F234" s="136">
        <v>40867</v>
      </c>
      <c r="G234" s="135" t="s">
        <v>539</v>
      </c>
      <c r="H234" s="135" t="s">
        <v>540</v>
      </c>
      <c r="I234" s="135" t="s">
        <v>541</v>
      </c>
      <c r="J234" s="137">
        <v>43525</v>
      </c>
      <c r="K234" s="135" t="s">
        <v>225</v>
      </c>
      <c r="L234" s="135" t="s">
        <v>543</v>
      </c>
      <c r="M234" s="135" t="s">
        <v>542</v>
      </c>
      <c r="N234" s="11" t="s">
        <v>35</v>
      </c>
      <c r="O234" s="136">
        <v>43647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5.75" hidden="1" customHeight="1" x14ac:dyDescent="0.35">
      <c r="A235" s="134">
        <v>10</v>
      </c>
      <c r="B235" s="134" t="s">
        <v>89</v>
      </c>
      <c r="C235" s="11" t="s">
        <v>537</v>
      </c>
      <c r="D235" s="11" t="s">
        <v>544</v>
      </c>
      <c r="E235" s="11">
        <v>6</v>
      </c>
      <c r="F235" s="136">
        <v>39287</v>
      </c>
      <c r="G235" s="135" t="s">
        <v>539</v>
      </c>
      <c r="H235" s="135" t="s">
        <v>540</v>
      </c>
      <c r="I235" s="135" t="s">
        <v>541</v>
      </c>
      <c r="J235" s="137">
        <v>43497</v>
      </c>
      <c r="K235" s="135" t="s">
        <v>261</v>
      </c>
      <c r="L235" s="135" t="s">
        <v>543</v>
      </c>
      <c r="M235" s="135" t="s">
        <v>542</v>
      </c>
      <c r="N235" s="11" t="s">
        <v>35</v>
      </c>
      <c r="O235" s="136">
        <v>43647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5.75" hidden="1" customHeight="1" x14ac:dyDescent="0.35">
      <c r="A236" s="134">
        <v>11</v>
      </c>
      <c r="B236" s="134" t="s">
        <v>49</v>
      </c>
      <c r="C236" s="11" t="s">
        <v>545</v>
      </c>
      <c r="D236" s="11" t="s">
        <v>546</v>
      </c>
      <c r="E236" s="11" t="s">
        <v>180</v>
      </c>
      <c r="F236" s="136" t="s">
        <v>547</v>
      </c>
      <c r="G236" s="135" t="s">
        <v>548</v>
      </c>
      <c r="H236" s="135" t="s">
        <v>549</v>
      </c>
      <c r="I236" s="135" t="s">
        <v>550</v>
      </c>
      <c r="J236" s="137">
        <v>43586</v>
      </c>
      <c r="K236" s="135" t="s">
        <v>120</v>
      </c>
      <c r="L236" s="135" t="s">
        <v>551</v>
      </c>
      <c r="M236" s="135" t="s">
        <v>552</v>
      </c>
      <c r="N236" s="11" t="s">
        <v>35</v>
      </c>
      <c r="O236" s="136">
        <v>43647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5.75" hidden="1" customHeight="1" x14ac:dyDescent="0.35">
      <c r="A237" s="134">
        <v>12</v>
      </c>
      <c r="B237" s="134" t="s">
        <v>49</v>
      </c>
      <c r="C237" s="11" t="s">
        <v>545</v>
      </c>
      <c r="D237" s="11" t="s">
        <v>553</v>
      </c>
      <c r="E237" s="11" t="s">
        <v>180</v>
      </c>
      <c r="F237" s="136" t="s">
        <v>547</v>
      </c>
      <c r="G237" s="135" t="s">
        <v>548</v>
      </c>
      <c r="H237" s="135" t="s">
        <v>549</v>
      </c>
      <c r="I237" s="135" t="s">
        <v>550</v>
      </c>
      <c r="J237" s="137">
        <v>43586</v>
      </c>
      <c r="K237" s="135" t="s">
        <v>120</v>
      </c>
      <c r="L237" s="135" t="s">
        <v>224</v>
      </c>
      <c r="M237" s="135" t="s">
        <v>552</v>
      </c>
      <c r="N237" s="11" t="s">
        <v>35</v>
      </c>
      <c r="O237" s="136">
        <v>43647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5.75" hidden="1" customHeight="1" x14ac:dyDescent="0.35">
      <c r="A238" s="134">
        <v>13</v>
      </c>
      <c r="B238" s="134" t="s">
        <v>49</v>
      </c>
      <c r="C238" s="11" t="s">
        <v>545</v>
      </c>
      <c r="D238" s="11" t="s">
        <v>554</v>
      </c>
      <c r="E238" s="11" t="s">
        <v>180</v>
      </c>
      <c r="F238" s="136" t="s">
        <v>547</v>
      </c>
      <c r="G238" s="135" t="s">
        <v>548</v>
      </c>
      <c r="H238" s="135" t="s">
        <v>549</v>
      </c>
      <c r="I238" s="135" t="s">
        <v>550</v>
      </c>
      <c r="J238" s="137">
        <v>43586</v>
      </c>
      <c r="K238" s="135" t="s">
        <v>146</v>
      </c>
      <c r="L238" s="135" t="s">
        <v>178</v>
      </c>
      <c r="M238" s="135" t="s">
        <v>552</v>
      </c>
      <c r="N238" s="11" t="s">
        <v>35</v>
      </c>
      <c r="O238" s="136">
        <v>43647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5.75" hidden="1" customHeight="1" x14ac:dyDescent="0.35">
      <c r="A239" s="134">
        <v>14</v>
      </c>
      <c r="B239" s="134" t="s">
        <v>49</v>
      </c>
      <c r="C239" s="11" t="s">
        <v>555</v>
      </c>
      <c r="D239" s="11" t="s">
        <v>556</v>
      </c>
      <c r="E239" s="11">
        <v>3</v>
      </c>
      <c r="F239" s="136">
        <v>40335</v>
      </c>
      <c r="G239" s="135" t="s">
        <v>557</v>
      </c>
      <c r="H239" s="135" t="s">
        <v>558</v>
      </c>
      <c r="I239" s="135" t="s">
        <v>559</v>
      </c>
      <c r="J239" s="137">
        <v>43391</v>
      </c>
      <c r="K239" s="135" t="s">
        <v>202</v>
      </c>
      <c r="L239" s="135" t="s">
        <v>560</v>
      </c>
      <c r="M239" s="135" t="s">
        <v>507</v>
      </c>
      <c r="N239" s="11" t="s">
        <v>35</v>
      </c>
      <c r="O239" s="136">
        <v>43647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5.75" hidden="1" customHeight="1" x14ac:dyDescent="0.35">
      <c r="A240" s="134">
        <v>15</v>
      </c>
      <c r="B240" s="134" t="s">
        <v>89</v>
      </c>
      <c r="C240" s="11" t="s">
        <v>555</v>
      </c>
      <c r="D240" s="11" t="s">
        <v>556</v>
      </c>
      <c r="E240" s="11">
        <v>3</v>
      </c>
      <c r="F240" s="136">
        <v>40335</v>
      </c>
      <c r="G240" s="135" t="s">
        <v>557</v>
      </c>
      <c r="H240" s="135" t="s">
        <v>558</v>
      </c>
      <c r="I240" s="135" t="s">
        <v>559</v>
      </c>
      <c r="J240" s="137">
        <v>43466</v>
      </c>
      <c r="K240" s="135" t="s">
        <v>163</v>
      </c>
      <c r="L240" s="135" t="s">
        <v>288</v>
      </c>
      <c r="M240" s="135" t="s">
        <v>507</v>
      </c>
      <c r="N240" s="11" t="s">
        <v>35</v>
      </c>
      <c r="O240" s="136">
        <v>43647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5.75" hidden="1" customHeight="1" x14ac:dyDescent="0.35">
      <c r="A241" s="134">
        <v>16</v>
      </c>
      <c r="B241" s="134" t="s">
        <v>89</v>
      </c>
      <c r="C241" s="11" t="s">
        <v>555</v>
      </c>
      <c r="D241" s="11" t="s">
        <v>561</v>
      </c>
      <c r="E241" s="11" t="s">
        <v>562</v>
      </c>
      <c r="F241" s="136">
        <v>41667</v>
      </c>
      <c r="G241" s="135" t="s">
        <v>557</v>
      </c>
      <c r="H241" s="135" t="s">
        <v>558</v>
      </c>
      <c r="I241" s="135" t="s">
        <v>559</v>
      </c>
      <c r="J241" s="137">
        <v>43391</v>
      </c>
      <c r="K241" s="135" t="s">
        <v>182</v>
      </c>
      <c r="L241" s="135" t="s">
        <v>376</v>
      </c>
      <c r="M241" s="135" t="s">
        <v>507</v>
      </c>
      <c r="N241" s="11" t="s">
        <v>35</v>
      </c>
      <c r="O241" s="136">
        <v>43647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5.75" hidden="1" customHeight="1" x14ac:dyDescent="0.35">
      <c r="A242" s="134">
        <v>17</v>
      </c>
      <c r="B242" s="134" t="s">
        <v>49</v>
      </c>
      <c r="C242" s="11" t="s">
        <v>437</v>
      </c>
      <c r="D242" s="11" t="s">
        <v>563</v>
      </c>
      <c r="E242" s="11">
        <v>2</v>
      </c>
      <c r="F242" s="136">
        <v>40788</v>
      </c>
      <c r="G242" s="135" t="s">
        <v>564</v>
      </c>
      <c r="H242" s="135" t="s">
        <v>565</v>
      </c>
      <c r="I242" s="135" t="s">
        <v>566</v>
      </c>
      <c r="J242" s="137">
        <v>43349</v>
      </c>
      <c r="K242" s="135" t="s">
        <v>109</v>
      </c>
      <c r="L242" s="135" t="s">
        <v>276</v>
      </c>
      <c r="M242" s="135" t="s">
        <v>567</v>
      </c>
      <c r="N242" s="11" t="s">
        <v>35</v>
      </c>
      <c r="O242" s="136">
        <v>43647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5.75" hidden="1" customHeight="1" x14ac:dyDescent="0.35">
      <c r="A243" s="134">
        <v>18</v>
      </c>
      <c r="B243" s="134" t="s">
        <v>89</v>
      </c>
      <c r="C243" s="11" t="s">
        <v>437</v>
      </c>
      <c r="D243" s="11" t="s">
        <v>563</v>
      </c>
      <c r="E243" s="11">
        <v>2</v>
      </c>
      <c r="F243" s="136">
        <v>40788</v>
      </c>
      <c r="G243" s="135" t="s">
        <v>564</v>
      </c>
      <c r="H243" s="135" t="s">
        <v>565</v>
      </c>
      <c r="I243" s="135" t="s">
        <v>566</v>
      </c>
      <c r="J243" s="137">
        <v>43349</v>
      </c>
      <c r="K243" s="135" t="s">
        <v>132</v>
      </c>
      <c r="L243" s="135" t="s">
        <v>260</v>
      </c>
      <c r="M243" s="135" t="s">
        <v>567</v>
      </c>
      <c r="N243" s="11" t="s">
        <v>35</v>
      </c>
      <c r="O243" s="136">
        <v>43647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5.75" hidden="1" customHeight="1" x14ac:dyDescent="0.35">
      <c r="A244" s="134">
        <v>19</v>
      </c>
      <c r="B244" s="134" t="s">
        <v>49</v>
      </c>
      <c r="C244" s="11" t="s">
        <v>437</v>
      </c>
      <c r="D244" s="11" t="s">
        <v>245</v>
      </c>
      <c r="E244" s="11">
        <v>4</v>
      </c>
      <c r="F244" s="136" t="s">
        <v>568</v>
      </c>
      <c r="G244" s="135" t="s">
        <v>569</v>
      </c>
      <c r="H244" s="135" t="s">
        <v>570</v>
      </c>
      <c r="I244" s="135" t="s">
        <v>571</v>
      </c>
      <c r="J244" s="137">
        <v>43328</v>
      </c>
      <c r="K244" s="135" t="s">
        <v>212</v>
      </c>
      <c r="L244" s="135" t="s">
        <v>260</v>
      </c>
      <c r="M244" s="137" t="s">
        <v>572</v>
      </c>
      <c r="N244" s="11" t="s">
        <v>35</v>
      </c>
      <c r="O244" s="136">
        <v>43647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5.75" hidden="1" customHeight="1" x14ac:dyDescent="0.35">
      <c r="A245" s="134">
        <v>20</v>
      </c>
      <c r="B245" s="134" t="s">
        <v>89</v>
      </c>
      <c r="C245" s="11" t="s">
        <v>437</v>
      </c>
      <c r="D245" s="11" t="s">
        <v>245</v>
      </c>
      <c r="E245" s="11">
        <v>4</v>
      </c>
      <c r="F245" s="136" t="s">
        <v>568</v>
      </c>
      <c r="G245" s="135" t="s">
        <v>569</v>
      </c>
      <c r="H245" s="135" t="s">
        <v>570</v>
      </c>
      <c r="I245" s="135" t="s">
        <v>571</v>
      </c>
      <c r="J245" s="137">
        <v>43328</v>
      </c>
      <c r="K245" s="135" t="s">
        <v>301</v>
      </c>
      <c r="L245" s="135" t="s">
        <v>231</v>
      </c>
      <c r="M245" s="137" t="s">
        <v>572</v>
      </c>
      <c r="N245" s="11" t="s">
        <v>35</v>
      </c>
      <c r="O245" s="136">
        <v>43647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5.75" hidden="1" customHeight="1" x14ac:dyDescent="0.35">
      <c r="A246" s="134">
        <v>21</v>
      </c>
      <c r="B246" s="134" t="s">
        <v>89</v>
      </c>
      <c r="C246" s="11" t="s">
        <v>573</v>
      </c>
      <c r="D246" s="11" t="s">
        <v>574</v>
      </c>
      <c r="E246" s="11">
        <v>6</v>
      </c>
      <c r="F246" s="136">
        <v>39175</v>
      </c>
      <c r="G246" s="135" t="s">
        <v>575</v>
      </c>
      <c r="H246" s="135" t="s">
        <v>576</v>
      </c>
      <c r="I246" s="135" t="s">
        <v>577</v>
      </c>
      <c r="J246" s="137">
        <v>43497</v>
      </c>
      <c r="K246" s="135" t="s">
        <v>251</v>
      </c>
      <c r="L246" s="135" t="s">
        <v>543</v>
      </c>
      <c r="M246" s="135" t="s">
        <v>578</v>
      </c>
      <c r="N246" s="11" t="s">
        <v>35</v>
      </c>
      <c r="O246" s="136">
        <v>43647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5.75" hidden="1" customHeight="1" x14ac:dyDescent="0.35">
      <c r="A247" s="134">
        <v>22</v>
      </c>
      <c r="B247" s="134" t="s">
        <v>49</v>
      </c>
      <c r="C247" s="11" t="s">
        <v>579</v>
      </c>
      <c r="D247" s="11" t="s">
        <v>580</v>
      </c>
      <c r="E247" s="11">
        <v>5</v>
      </c>
      <c r="F247" s="136">
        <v>39854</v>
      </c>
      <c r="G247" s="135" t="s">
        <v>581</v>
      </c>
      <c r="H247" s="135" t="s">
        <v>582</v>
      </c>
      <c r="I247" s="135" t="s">
        <v>583</v>
      </c>
      <c r="J247" s="137">
        <v>43497</v>
      </c>
      <c r="K247" s="135" t="s">
        <v>109</v>
      </c>
      <c r="L247" s="135" t="s">
        <v>156</v>
      </c>
      <c r="M247" s="135"/>
      <c r="N247" s="11" t="s">
        <v>35</v>
      </c>
      <c r="O247" s="136">
        <v>43647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5.75" hidden="1" customHeight="1" x14ac:dyDescent="0.35">
      <c r="A248" s="134">
        <v>23</v>
      </c>
      <c r="B248" s="134" t="s">
        <v>49</v>
      </c>
      <c r="C248" s="11" t="s">
        <v>584</v>
      </c>
      <c r="D248" s="11" t="s">
        <v>585</v>
      </c>
      <c r="E248" s="11">
        <v>3</v>
      </c>
      <c r="F248" s="136">
        <v>40173</v>
      </c>
      <c r="G248" s="135" t="s">
        <v>586</v>
      </c>
      <c r="H248" s="135">
        <v>6504479461</v>
      </c>
      <c r="I248" s="135" t="s">
        <v>587</v>
      </c>
      <c r="J248" s="137">
        <v>43605</v>
      </c>
      <c r="K248" s="135" t="s">
        <v>112</v>
      </c>
      <c r="L248" s="135" t="s">
        <v>394</v>
      </c>
      <c r="M248" s="135" t="s">
        <v>588</v>
      </c>
      <c r="N248" s="11" t="s">
        <v>35</v>
      </c>
      <c r="O248" s="136">
        <v>43647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5.75" hidden="1" customHeight="1" x14ac:dyDescent="0.35">
      <c r="A249" s="134">
        <v>24</v>
      </c>
      <c r="B249" s="134" t="s">
        <v>89</v>
      </c>
      <c r="C249" s="11" t="s">
        <v>584</v>
      </c>
      <c r="D249" s="11" t="s">
        <v>585</v>
      </c>
      <c r="E249" s="11">
        <v>3</v>
      </c>
      <c r="F249" s="136">
        <v>40173</v>
      </c>
      <c r="G249" s="135" t="s">
        <v>586</v>
      </c>
      <c r="H249" s="135">
        <v>6504479461</v>
      </c>
      <c r="I249" s="135" t="s">
        <v>587</v>
      </c>
      <c r="J249" s="137">
        <v>43605</v>
      </c>
      <c r="K249" s="135" t="s">
        <v>146</v>
      </c>
      <c r="L249" s="135" t="s">
        <v>589</v>
      </c>
      <c r="M249" s="135" t="s">
        <v>588</v>
      </c>
      <c r="N249" s="11" t="s">
        <v>35</v>
      </c>
      <c r="O249" s="136">
        <v>43647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5.75" hidden="1" customHeight="1" x14ac:dyDescent="0.35">
      <c r="A250" s="134">
        <v>1</v>
      </c>
      <c r="B250" s="134" t="s">
        <v>49</v>
      </c>
      <c r="C250" s="11" t="s">
        <v>590</v>
      </c>
      <c r="D250" s="11" t="s">
        <v>358</v>
      </c>
      <c r="E250" s="11">
        <v>1</v>
      </c>
      <c r="F250" s="136">
        <v>41165</v>
      </c>
      <c r="G250" s="135" t="s">
        <v>591</v>
      </c>
      <c r="H250" s="135">
        <v>4085505781</v>
      </c>
      <c r="I250" s="135" t="s">
        <v>592</v>
      </c>
      <c r="J250" s="137">
        <v>43633</v>
      </c>
      <c r="K250" s="135" t="s">
        <v>161</v>
      </c>
      <c r="L250" s="135" t="s">
        <v>593</v>
      </c>
      <c r="M250" s="135"/>
      <c r="N250" s="11" t="s">
        <v>35</v>
      </c>
      <c r="O250" s="136">
        <v>43678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5.75" hidden="1" customHeight="1" x14ac:dyDescent="0.35">
      <c r="A251" s="134">
        <v>2</v>
      </c>
      <c r="B251" s="134" t="s">
        <v>89</v>
      </c>
      <c r="C251" s="11" t="s">
        <v>590</v>
      </c>
      <c r="D251" s="11" t="s">
        <v>358</v>
      </c>
      <c r="E251" s="11">
        <v>1</v>
      </c>
      <c r="F251" s="136">
        <v>41165</v>
      </c>
      <c r="G251" s="135" t="s">
        <v>591</v>
      </c>
      <c r="H251" s="135">
        <v>4085505781</v>
      </c>
      <c r="I251" s="135" t="s">
        <v>592</v>
      </c>
      <c r="J251" s="137">
        <v>43633</v>
      </c>
      <c r="K251" s="135" t="s">
        <v>225</v>
      </c>
      <c r="L251" s="135" t="s">
        <v>183</v>
      </c>
      <c r="M251" s="135"/>
      <c r="N251" s="11" t="s">
        <v>35</v>
      </c>
      <c r="O251" s="136">
        <v>43678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5.75" hidden="1" customHeight="1" x14ac:dyDescent="0.35">
      <c r="A252" s="134">
        <v>3</v>
      </c>
      <c r="B252" s="134" t="s">
        <v>89</v>
      </c>
      <c r="C252" s="11" t="s">
        <v>594</v>
      </c>
      <c r="D252" s="11" t="s">
        <v>595</v>
      </c>
      <c r="E252" s="11">
        <v>1</v>
      </c>
      <c r="F252" s="136">
        <v>40994</v>
      </c>
      <c r="G252" s="135" t="s">
        <v>596</v>
      </c>
      <c r="H252" s="135" t="s">
        <v>597</v>
      </c>
      <c r="I252" s="135" t="s">
        <v>152</v>
      </c>
      <c r="J252" s="137">
        <v>43633</v>
      </c>
      <c r="K252" s="135" t="s">
        <v>120</v>
      </c>
      <c r="L252" s="135" t="s">
        <v>288</v>
      </c>
      <c r="M252" s="135" t="s">
        <v>598</v>
      </c>
      <c r="N252" s="11" t="s">
        <v>35</v>
      </c>
      <c r="O252" s="136">
        <v>43678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5.75" hidden="1" customHeight="1" x14ac:dyDescent="0.35">
      <c r="A253" s="134">
        <v>4</v>
      </c>
      <c r="B253" s="134" t="s">
        <v>89</v>
      </c>
      <c r="C253" s="11" t="s">
        <v>599</v>
      </c>
      <c r="D253" s="11" t="s">
        <v>600</v>
      </c>
      <c r="E253" s="11">
        <v>5</v>
      </c>
      <c r="F253" s="136" t="s">
        <v>601</v>
      </c>
      <c r="G253" s="135" t="s">
        <v>602</v>
      </c>
      <c r="H253" s="135" t="s">
        <v>603</v>
      </c>
      <c r="I253" s="135" t="s">
        <v>604</v>
      </c>
      <c r="J253" s="137">
        <v>43633</v>
      </c>
      <c r="K253" s="135" t="s">
        <v>301</v>
      </c>
      <c r="L253" s="135" t="s">
        <v>605</v>
      </c>
      <c r="M253" s="135" t="s">
        <v>65</v>
      </c>
      <c r="N253" s="11" t="s">
        <v>35</v>
      </c>
      <c r="O253" s="136">
        <v>43678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5.75" hidden="1" customHeight="1" x14ac:dyDescent="0.35">
      <c r="A254" s="134">
        <v>5</v>
      </c>
      <c r="B254" s="134" t="s">
        <v>49</v>
      </c>
      <c r="C254" s="11" t="s">
        <v>606</v>
      </c>
      <c r="D254" s="11" t="s">
        <v>314</v>
      </c>
      <c r="E254" s="11">
        <v>6</v>
      </c>
      <c r="F254" s="136">
        <v>39202</v>
      </c>
      <c r="G254" s="135" t="s">
        <v>607</v>
      </c>
      <c r="H254" s="135" t="s">
        <v>608</v>
      </c>
      <c r="I254" s="135" t="s">
        <v>609</v>
      </c>
      <c r="J254" s="137">
        <v>43344</v>
      </c>
      <c r="K254" s="135" t="s">
        <v>214</v>
      </c>
      <c r="L254" s="135" t="s">
        <v>231</v>
      </c>
      <c r="M254" s="135" t="s">
        <v>610</v>
      </c>
      <c r="N254" s="11" t="s">
        <v>35</v>
      </c>
      <c r="O254" s="136">
        <v>43678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5.75" hidden="1" customHeight="1" x14ac:dyDescent="0.35">
      <c r="A255" s="134">
        <v>6</v>
      </c>
      <c r="B255" s="134" t="s">
        <v>89</v>
      </c>
      <c r="C255" s="11" t="s">
        <v>606</v>
      </c>
      <c r="D255" s="11" t="s">
        <v>314</v>
      </c>
      <c r="E255" s="11">
        <v>6</v>
      </c>
      <c r="F255" s="136">
        <v>39202</v>
      </c>
      <c r="G255" s="135" t="s">
        <v>607</v>
      </c>
      <c r="H255" s="135" t="s">
        <v>608</v>
      </c>
      <c r="I255" s="135" t="s">
        <v>609</v>
      </c>
      <c r="J255" s="137">
        <v>43344</v>
      </c>
      <c r="K255" s="135" t="s">
        <v>251</v>
      </c>
      <c r="L255" s="135" t="s">
        <v>224</v>
      </c>
      <c r="M255" s="135" t="s">
        <v>610</v>
      </c>
      <c r="N255" s="11" t="s">
        <v>35</v>
      </c>
      <c r="O255" s="136">
        <v>43678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5.75" hidden="1" customHeight="1" x14ac:dyDescent="0.35">
      <c r="A256" s="134">
        <v>7</v>
      </c>
      <c r="B256" s="134" t="s">
        <v>49</v>
      </c>
      <c r="C256" s="11" t="s">
        <v>611</v>
      </c>
      <c r="D256" s="11" t="s">
        <v>453</v>
      </c>
      <c r="E256" s="11">
        <v>2</v>
      </c>
      <c r="F256" s="136">
        <v>40492</v>
      </c>
      <c r="G256" s="135" t="s">
        <v>612</v>
      </c>
      <c r="H256" s="135">
        <v>5103863740</v>
      </c>
      <c r="I256" s="135" t="s">
        <v>613</v>
      </c>
      <c r="J256" s="137">
        <v>43633</v>
      </c>
      <c r="K256" s="135" t="s">
        <v>161</v>
      </c>
      <c r="L256" s="135" t="s">
        <v>140</v>
      </c>
      <c r="M256" s="135"/>
      <c r="N256" s="11" t="s">
        <v>35</v>
      </c>
      <c r="O256" s="136">
        <v>43678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5.75" hidden="1" customHeight="1" x14ac:dyDescent="0.35">
      <c r="A257" s="134">
        <v>8</v>
      </c>
      <c r="B257" s="134" t="s">
        <v>89</v>
      </c>
      <c r="C257" s="11" t="s">
        <v>611</v>
      </c>
      <c r="D257" s="11" t="s">
        <v>453</v>
      </c>
      <c r="E257" s="11">
        <v>2</v>
      </c>
      <c r="F257" s="136">
        <v>40492</v>
      </c>
      <c r="G257" s="135" t="s">
        <v>612</v>
      </c>
      <c r="H257" s="135">
        <v>5103863740</v>
      </c>
      <c r="I257" s="135" t="s">
        <v>613</v>
      </c>
      <c r="J257" s="137">
        <v>43633</v>
      </c>
      <c r="K257" s="135" t="s">
        <v>225</v>
      </c>
      <c r="L257" s="135" t="s">
        <v>178</v>
      </c>
      <c r="M257" s="135"/>
      <c r="N257" s="11" t="s">
        <v>35</v>
      </c>
      <c r="O257" s="136">
        <v>43678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5.75" hidden="1" customHeight="1" x14ac:dyDescent="0.35">
      <c r="A258" s="134">
        <v>9</v>
      </c>
      <c r="B258" s="134" t="s">
        <v>49</v>
      </c>
      <c r="C258" s="11" t="s">
        <v>614</v>
      </c>
      <c r="D258" s="11" t="s">
        <v>615</v>
      </c>
      <c r="E258" s="11" t="s">
        <v>149</v>
      </c>
      <c r="F258" s="136" t="s">
        <v>616</v>
      </c>
      <c r="G258" s="135" t="s">
        <v>617</v>
      </c>
      <c r="H258" s="135" t="s">
        <v>618</v>
      </c>
      <c r="I258" s="135" t="s">
        <v>619</v>
      </c>
      <c r="J258" s="137">
        <v>43633</v>
      </c>
      <c r="K258" s="135" t="s">
        <v>490</v>
      </c>
      <c r="L258" s="135" t="s">
        <v>620</v>
      </c>
      <c r="M258" s="135" t="s">
        <v>621</v>
      </c>
      <c r="N258" s="11" t="s">
        <v>35</v>
      </c>
      <c r="O258" s="136">
        <v>43678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5.75" hidden="1" customHeight="1" x14ac:dyDescent="0.35">
      <c r="A259" s="134">
        <v>10</v>
      </c>
      <c r="B259" s="134" t="s">
        <v>89</v>
      </c>
      <c r="C259" s="11" t="s">
        <v>614</v>
      </c>
      <c r="D259" s="11" t="s">
        <v>615</v>
      </c>
      <c r="E259" s="11" t="s">
        <v>149</v>
      </c>
      <c r="F259" s="136" t="s">
        <v>616</v>
      </c>
      <c r="G259" s="135" t="s">
        <v>617</v>
      </c>
      <c r="H259" s="135" t="s">
        <v>618</v>
      </c>
      <c r="I259" s="135" t="s">
        <v>619</v>
      </c>
      <c r="J259" s="137">
        <v>43633</v>
      </c>
      <c r="K259" s="135" t="s">
        <v>171</v>
      </c>
      <c r="L259" s="135" t="s">
        <v>508</v>
      </c>
      <c r="M259" s="135" t="s">
        <v>621</v>
      </c>
      <c r="N259" s="11" t="s">
        <v>35</v>
      </c>
      <c r="O259" s="136">
        <v>43678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5.75" hidden="1" customHeight="1" x14ac:dyDescent="0.35">
      <c r="A260" s="134">
        <v>11</v>
      </c>
      <c r="B260" s="134" t="s">
        <v>49</v>
      </c>
      <c r="C260" s="11" t="s">
        <v>614</v>
      </c>
      <c r="D260" s="11" t="s">
        <v>622</v>
      </c>
      <c r="E260" s="11">
        <v>1</v>
      </c>
      <c r="F260" s="136" t="s">
        <v>623</v>
      </c>
      <c r="G260" s="135" t="s">
        <v>617</v>
      </c>
      <c r="H260" s="135" t="s">
        <v>618</v>
      </c>
      <c r="I260" s="135" t="s">
        <v>619</v>
      </c>
      <c r="J260" s="137">
        <v>43633</v>
      </c>
      <c r="K260" s="135" t="s">
        <v>112</v>
      </c>
      <c r="L260" s="135" t="s">
        <v>154</v>
      </c>
      <c r="M260" s="135" t="s">
        <v>621</v>
      </c>
      <c r="N260" s="11" t="s">
        <v>35</v>
      </c>
      <c r="O260" s="136">
        <v>43678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5.75" hidden="1" customHeight="1" x14ac:dyDescent="0.35">
      <c r="A261" s="134">
        <v>12</v>
      </c>
      <c r="B261" s="134" t="s">
        <v>89</v>
      </c>
      <c r="C261" s="11" t="s">
        <v>614</v>
      </c>
      <c r="D261" s="11" t="s">
        <v>622</v>
      </c>
      <c r="E261" s="11">
        <v>1</v>
      </c>
      <c r="F261" s="136" t="s">
        <v>623</v>
      </c>
      <c r="G261" s="135" t="s">
        <v>617</v>
      </c>
      <c r="H261" s="135" t="s">
        <v>618</v>
      </c>
      <c r="I261" s="135" t="s">
        <v>619</v>
      </c>
      <c r="J261" s="137">
        <v>43633</v>
      </c>
      <c r="K261" s="135" t="s">
        <v>163</v>
      </c>
      <c r="L261" s="135" t="s">
        <v>624</v>
      </c>
      <c r="M261" s="135" t="s">
        <v>621</v>
      </c>
      <c r="N261" s="11" t="s">
        <v>35</v>
      </c>
      <c r="O261" s="136">
        <v>43678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5.75" hidden="1" customHeight="1" x14ac:dyDescent="0.35">
      <c r="A262" s="134">
        <v>13</v>
      </c>
      <c r="B262" s="134" t="s">
        <v>89</v>
      </c>
      <c r="C262" s="11" t="s">
        <v>625</v>
      </c>
      <c r="D262" s="11" t="s">
        <v>626</v>
      </c>
      <c r="E262" s="11">
        <v>6</v>
      </c>
      <c r="F262" s="136">
        <v>43878</v>
      </c>
      <c r="G262" s="135" t="s">
        <v>627</v>
      </c>
      <c r="H262" s="135" t="s">
        <v>628</v>
      </c>
      <c r="I262" s="135" t="s">
        <v>629</v>
      </c>
      <c r="J262" s="137">
        <v>43497</v>
      </c>
      <c r="K262" s="135" t="s">
        <v>261</v>
      </c>
      <c r="L262" s="135" t="s">
        <v>154</v>
      </c>
      <c r="M262" s="135" t="s">
        <v>630</v>
      </c>
      <c r="N262" s="11" t="s">
        <v>35</v>
      </c>
      <c r="O262" s="136">
        <v>43678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5.75" hidden="1" customHeight="1" x14ac:dyDescent="0.35">
      <c r="A263" s="134">
        <v>14</v>
      </c>
      <c r="B263" s="134" t="s">
        <v>49</v>
      </c>
      <c r="C263" s="11" t="s">
        <v>631</v>
      </c>
      <c r="D263" s="11" t="s">
        <v>358</v>
      </c>
      <c r="E263" s="11" t="s">
        <v>180</v>
      </c>
      <c r="F263" s="136">
        <v>41802</v>
      </c>
      <c r="G263" s="135" t="s">
        <v>591</v>
      </c>
      <c r="H263" s="135">
        <v>4085505781</v>
      </c>
      <c r="I263" s="135" t="s">
        <v>592</v>
      </c>
      <c r="J263" s="137">
        <v>43633</v>
      </c>
      <c r="K263" s="135" t="s">
        <v>182</v>
      </c>
      <c r="L263" s="135" t="s">
        <v>632</v>
      </c>
      <c r="M263" s="135"/>
      <c r="N263" s="11" t="s">
        <v>35</v>
      </c>
      <c r="O263" s="136">
        <v>43678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5.75" hidden="1" customHeight="1" x14ac:dyDescent="0.35">
      <c r="A264" s="134">
        <v>15</v>
      </c>
      <c r="B264" s="134" t="s">
        <v>89</v>
      </c>
      <c r="C264" s="11" t="s">
        <v>631</v>
      </c>
      <c r="D264" s="11" t="s">
        <v>358</v>
      </c>
      <c r="E264" s="11" t="s">
        <v>180</v>
      </c>
      <c r="F264" s="136">
        <v>41802</v>
      </c>
      <c r="G264" s="135" t="s">
        <v>591</v>
      </c>
      <c r="H264" s="135">
        <v>4085505781</v>
      </c>
      <c r="I264" s="135" t="s">
        <v>592</v>
      </c>
      <c r="J264" s="137">
        <v>43633</v>
      </c>
      <c r="K264" s="135" t="s">
        <v>343</v>
      </c>
      <c r="L264" s="135" t="s">
        <v>386</v>
      </c>
      <c r="M264" s="135"/>
      <c r="N264" s="11" t="s">
        <v>35</v>
      </c>
      <c r="O264" s="136">
        <v>43678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5.75" hidden="1" customHeight="1" x14ac:dyDescent="0.35">
      <c r="A265" s="134">
        <v>16</v>
      </c>
      <c r="B265" s="134" t="s">
        <v>49</v>
      </c>
      <c r="C265" s="11" t="s">
        <v>633</v>
      </c>
      <c r="D265" s="11" t="s">
        <v>252</v>
      </c>
      <c r="E265" s="11">
        <v>7</v>
      </c>
      <c r="F265" s="136">
        <v>38853</v>
      </c>
      <c r="G265" s="135" t="s">
        <v>634</v>
      </c>
      <c r="H265" s="135">
        <v>4089423050</v>
      </c>
      <c r="I265" s="135" t="s">
        <v>635</v>
      </c>
      <c r="J265" s="137">
        <v>43640</v>
      </c>
      <c r="K265" s="135" t="s">
        <v>212</v>
      </c>
      <c r="L265" s="135" t="s">
        <v>215</v>
      </c>
      <c r="M265" s="135"/>
      <c r="N265" s="11" t="s">
        <v>35</v>
      </c>
      <c r="O265" s="136">
        <v>43678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5.75" hidden="1" customHeight="1" x14ac:dyDescent="0.35">
      <c r="A266" s="134">
        <v>17</v>
      </c>
      <c r="B266" s="134" t="s">
        <v>89</v>
      </c>
      <c r="C266" s="11" t="s">
        <v>633</v>
      </c>
      <c r="D266" s="11" t="s">
        <v>252</v>
      </c>
      <c r="E266" s="11">
        <v>7</v>
      </c>
      <c r="F266" s="136">
        <v>38853</v>
      </c>
      <c r="G266" s="135" t="s">
        <v>634</v>
      </c>
      <c r="H266" s="135">
        <v>4089423050</v>
      </c>
      <c r="I266" s="135" t="s">
        <v>635</v>
      </c>
      <c r="J266" s="137">
        <v>43640</v>
      </c>
      <c r="K266" s="135" t="s">
        <v>167</v>
      </c>
      <c r="L266" s="135" t="s">
        <v>183</v>
      </c>
      <c r="M266" s="135"/>
      <c r="N266" s="11" t="s">
        <v>35</v>
      </c>
      <c r="O266" s="136">
        <v>43678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5.75" hidden="1" customHeight="1" x14ac:dyDescent="0.35">
      <c r="A267" s="134">
        <v>18</v>
      </c>
      <c r="B267" s="134" t="s">
        <v>49</v>
      </c>
      <c r="C267" s="11" t="s">
        <v>636</v>
      </c>
      <c r="D267" s="11" t="s">
        <v>637</v>
      </c>
      <c r="E267" s="11" t="s">
        <v>180</v>
      </c>
      <c r="F267" s="136">
        <v>41186</v>
      </c>
      <c r="G267" s="135" t="s">
        <v>638</v>
      </c>
      <c r="H267" s="135">
        <v>4144583227</v>
      </c>
      <c r="I267" s="135" t="s">
        <v>639</v>
      </c>
      <c r="J267" s="137">
        <v>43586</v>
      </c>
      <c r="K267" s="135" t="s">
        <v>490</v>
      </c>
      <c r="L267" s="135" t="s">
        <v>640</v>
      </c>
      <c r="M267" s="135" t="s">
        <v>641</v>
      </c>
      <c r="N267" s="11" t="s">
        <v>35</v>
      </c>
      <c r="O267" s="136">
        <v>43678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5.75" hidden="1" customHeight="1" x14ac:dyDescent="0.35">
      <c r="A268" s="134">
        <v>19</v>
      </c>
      <c r="B268" s="134" t="s">
        <v>89</v>
      </c>
      <c r="C268" s="11" t="s">
        <v>636</v>
      </c>
      <c r="D268" s="11" t="s">
        <v>637</v>
      </c>
      <c r="E268" s="11" t="s">
        <v>180</v>
      </c>
      <c r="F268" s="136">
        <v>41186</v>
      </c>
      <c r="G268" s="135" t="s">
        <v>638</v>
      </c>
      <c r="H268" s="135">
        <v>4144583227</v>
      </c>
      <c r="I268" s="135" t="s">
        <v>639</v>
      </c>
      <c r="J268" s="137">
        <v>43586</v>
      </c>
      <c r="K268" s="135" t="s">
        <v>124</v>
      </c>
      <c r="L268" s="135" t="s">
        <v>620</v>
      </c>
      <c r="M268" s="135" t="s">
        <v>641</v>
      </c>
      <c r="N268" s="11" t="s">
        <v>35</v>
      </c>
      <c r="O268" s="136">
        <v>43678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5.75" hidden="1" customHeight="1" x14ac:dyDescent="0.35">
      <c r="A269" s="134">
        <v>20</v>
      </c>
      <c r="B269" s="134" t="s">
        <v>89</v>
      </c>
      <c r="C269" s="11" t="s">
        <v>358</v>
      </c>
      <c r="D269" s="11" t="s">
        <v>642</v>
      </c>
      <c r="E269" s="11">
        <v>3</v>
      </c>
      <c r="F269" s="136" t="s">
        <v>643</v>
      </c>
      <c r="G269" s="135" t="s">
        <v>644</v>
      </c>
      <c r="H269" s="135" t="s">
        <v>645</v>
      </c>
      <c r="I269" s="135" t="s">
        <v>646</v>
      </c>
      <c r="J269" s="137" t="s">
        <v>647</v>
      </c>
      <c r="K269" s="135" t="s">
        <v>132</v>
      </c>
      <c r="L269" s="135" t="s">
        <v>119</v>
      </c>
      <c r="M269" s="135"/>
      <c r="N269" s="11" t="s">
        <v>35</v>
      </c>
      <c r="O269" s="136">
        <v>43678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5.75" hidden="1" customHeight="1" x14ac:dyDescent="0.35">
      <c r="A270" s="134">
        <v>21</v>
      </c>
      <c r="B270" s="134" t="s">
        <v>49</v>
      </c>
      <c r="C270" s="11" t="s">
        <v>358</v>
      </c>
      <c r="D270" s="11" t="s">
        <v>642</v>
      </c>
      <c r="E270" s="11">
        <v>3</v>
      </c>
      <c r="F270" s="136" t="s">
        <v>643</v>
      </c>
      <c r="G270" s="135" t="s">
        <v>644</v>
      </c>
      <c r="H270" s="135" t="s">
        <v>645</v>
      </c>
      <c r="I270" s="135" t="s">
        <v>646</v>
      </c>
      <c r="J270" s="137" t="s">
        <v>647</v>
      </c>
      <c r="K270" s="135" t="s">
        <v>161</v>
      </c>
      <c r="L270" s="135" t="s">
        <v>123</v>
      </c>
      <c r="M270" s="135"/>
      <c r="N270" s="11" t="s">
        <v>35</v>
      </c>
      <c r="O270" s="136">
        <v>43678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5.75" hidden="1" customHeight="1" x14ac:dyDescent="0.35">
      <c r="A271" s="134">
        <v>22</v>
      </c>
      <c r="B271" s="134" t="s">
        <v>49</v>
      </c>
      <c r="C271" s="11" t="s">
        <v>648</v>
      </c>
      <c r="D271" s="11" t="s">
        <v>649</v>
      </c>
      <c r="E271" s="11">
        <v>4</v>
      </c>
      <c r="F271" s="136" t="s">
        <v>650</v>
      </c>
      <c r="G271" s="135" t="s">
        <v>651</v>
      </c>
      <c r="H271" s="135">
        <v>4086234879</v>
      </c>
      <c r="I271" s="135" t="s">
        <v>652</v>
      </c>
      <c r="J271" s="137" t="s">
        <v>653</v>
      </c>
      <c r="K271" s="135" t="s">
        <v>112</v>
      </c>
      <c r="L271" s="135" t="s">
        <v>605</v>
      </c>
      <c r="M271" s="135"/>
      <c r="N271" s="11" t="s">
        <v>35</v>
      </c>
      <c r="O271" s="136">
        <v>43678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5.75" hidden="1" customHeight="1" x14ac:dyDescent="0.35">
      <c r="A272" s="134">
        <v>23</v>
      </c>
      <c r="B272" s="134" t="s">
        <v>89</v>
      </c>
      <c r="C272" s="11" t="s">
        <v>648</v>
      </c>
      <c r="D272" s="11" t="s">
        <v>649</v>
      </c>
      <c r="E272" s="11">
        <v>4</v>
      </c>
      <c r="F272" s="136" t="s">
        <v>650</v>
      </c>
      <c r="G272" s="135" t="s">
        <v>651</v>
      </c>
      <c r="H272" s="135">
        <v>4086234879</v>
      </c>
      <c r="I272" s="135" t="s">
        <v>652</v>
      </c>
      <c r="J272" s="137" t="s">
        <v>653</v>
      </c>
      <c r="K272" s="135" t="s">
        <v>163</v>
      </c>
      <c r="L272" s="135" t="s">
        <v>640</v>
      </c>
      <c r="M272" s="135"/>
      <c r="N272" s="11" t="s">
        <v>35</v>
      </c>
      <c r="O272" s="136">
        <v>43678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5.75" hidden="1" customHeight="1" x14ac:dyDescent="0.35">
      <c r="A273" s="134">
        <v>1</v>
      </c>
      <c r="B273" s="134" t="s">
        <v>89</v>
      </c>
      <c r="C273" s="11" t="s">
        <v>654</v>
      </c>
      <c r="D273" s="11" t="s">
        <v>409</v>
      </c>
      <c r="E273" s="11">
        <v>6</v>
      </c>
      <c r="F273" s="136" t="s">
        <v>655</v>
      </c>
      <c r="G273" s="135" t="s">
        <v>656</v>
      </c>
      <c r="H273" s="135">
        <v>4088900316</v>
      </c>
      <c r="I273" s="135">
        <v>0</v>
      </c>
      <c r="J273" s="137" t="s">
        <v>657</v>
      </c>
      <c r="K273" s="135" t="s">
        <v>251</v>
      </c>
      <c r="L273" s="135" t="s">
        <v>232</v>
      </c>
      <c r="M273" s="135" t="s">
        <v>658</v>
      </c>
      <c r="N273" s="11" t="s">
        <v>35</v>
      </c>
      <c r="O273" s="136">
        <v>43709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5.75" hidden="1" customHeight="1" x14ac:dyDescent="0.35">
      <c r="A274" s="134">
        <v>2</v>
      </c>
      <c r="B274" s="134" t="s">
        <v>49</v>
      </c>
      <c r="C274" s="11" t="s">
        <v>594</v>
      </c>
      <c r="D274" s="11" t="s">
        <v>595</v>
      </c>
      <c r="E274" s="11">
        <v>1</v>
      </c>
      <c r="F274" s="136">
        <v>40994</v>
      </c>
      <c r="G274" s="135" t="s">
        <v>596</v>
      </c>
      <c r="H274" s="135" t="s">
        <v>597</v>
      </c>
      <c r="I274" s="135" t="s">
        <v>152</v>
      </c>
      <c r="J274" s="137">
        <v>43633</v>
      </c>
      <c r="K274" s="135" t="s">
        <v>112</v>
      </c>
      <c r="L274" s="135" t="s">
        <v>325</v>
      </c>
      <c r="M274" s="135" t="s">
        <v>659</v>
      </c>
      <c r="N274" s="11" t="s">
        <v>35</v>
      </c>
      <c r="O274" s="136">
        <v>43709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5.75" hidden="1" customHeight="1" x14ac:dyDescent="0.35">
      <c r="A275" s="134">
        <v>3</v>
      </c>
      <c r="B275" s="134" t="s">
        <v>49</v>
      </c>
      <c r="C275" s="11" t="s">
        <v>660</v>
      </c>
      <c r="D275" s="11" t="s">
        <v>661</v>
      </c>
      <c r="E275" s="11">
        <v>4</v>
      </c>
      <c r="F275" s="136">
        <v>39671</v>
      </c>
      <c r="G275" s="135" t="s">
        <v>662</v>
      </c>
      <c r="H275" s="135">
        <v>2083401970</v>
      </c>
      <c r="I275" s="135" t="s">
        <v>663</v>
      </c>
      <c r="J275" s="137">
        <v>43633</v>
      </c>
      <c r="K275" s="135" t="s">
        <v>256</v>
      </c>
      <c r="L275" s="135" t="s">
        <v>178</v>
      </c>
      <c r="M275" s="135" t="s">
        <v>664</v>
      </c>
      <c r="N275" s="11" t="s">
        <v>35</v>
      </c>
      <c r="O275" s="136">
        <v>43709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5.75" hidden="1" customHeight="1" x14ac:dyDescent="0.35">
      <c r="A276" s="134">
        <v>4</v>
      </c>
      <c r="B276" s="134" t="s">
        <v>89</v>
      </c>
      <c r="C276" s="11" t="s">
        <v>660</v>
      </c>
      <c r="D276" s="11" t="s">
        <v>661</v>
      </c>
      <c r="E276" s="11">
        <v>4</v>
      </c>
      <c r="F276" s="136">
        <v>39671</v>
      </c>
      <c r="G276" s="135" t="s">
        <v>662</v>
      </c>
      <c r="H276" s="135">
        <v>2083401970</v>
      </c>
      <c r="I276" s="135" t="s">
        <v>663</v>
      </c>
      <c r="J276" s="137">
        <v>43633</v>
      </c>
      <c r="K276" s="135" t="s">
        <v>261</v>
      </c>
      <c r="L276" s="135" t="s">
        <v>173</v>
      </c>
      <c r="M276" s="135" t="s">
        <v>664</v>
      </c>
      <c r="N276" s="11" t="s">
        <v>35</v>
      </c>
      <c r="O276" s="136">
        <v>43709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5.75" hidden="1" customHeight="1" x14ac:dyDescent="0.35">
      <c r="A277" s="134">
        <v>1</v>
      </c>
      <c r="B277" s="134" t="s">
        <v>89</v>
      </c>
      <c r="C277" s="11" t="s">
        <v>358</v>
      </c>
      <c r="D277" s="11" t="s">
        <v>362</v>
      </c>
      <c r="E277" s="11">
        <v>1</v>
      </c>
      <c r="F277" s="136">
        <v>40886</v>
      </c>
      <c r="G277" s="135" t="s">
        <v>363</v>
      </c>
      <c r="H277" s="135" t="s">
        <v>364</v>
      </c>
      <c r="I277" s="135" t="s">
        <v>375</v>
      </c>
      <c r="J277" s="137">
        <v>43313</v>
      </c>
      <c r="K277" s="135" t="s">
        <v>146</v>
      </c>
      <c r="L277" s="135" t="s">
        <v>156</v>
      </c>
      <c r="M277" s="135" t="s">
        <v>665</v>
      </c>
      <c r="N277" s="11" t="s">
        <v>35</v>
      </c>
      <c r="O277" s="136">
        <v>43739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5.75" hidden="1" customHeight="1" x14ac:dyDescent="0.35">
      <c r="A278" s="134">
        <v>2</v>
      </c>
      <c r="B278" s="134" t="s">
        <v>49</v>
      </c>
      <c r="C278" s="11" t="s">
        <v>666</v>
      </c>
      <c r="D278" s="11" t="s">
        <v>554</v>
      </c>
      <c r="E278" s="11">
        <v>4</v>
      </c>
      <c r="F278" s="136">
        <v>40415</v>
      </c>
      <c r="G278" s="135" t="s">
        <v>667</v>
      </c>
      <c r="H278" s="135" t="s">
        <v>668</v>
      </c>
      <c r="I278" s="135" t="s">
        <v>236</v>
      </c>
      <c r="J278" s="137">
        <v>43696</v>
      </c>
      <c r="K278" s="135" t="s">
        <v>112</v>
      </c>
      <c r="L278" s="135" t="s">
        <v>669</v>
      </c>
      <c r="M278" s="135"/>
      <c r="N278" s="11" t="s">
        <v>35</v>
      </c>
      <c r="O278" s="136">
        <v>43739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5.75" hidden="1" customHeight="1" x14ac:dyDescent="0.35">
      <c r="A279" s="134">
        <v>3</v>
      </c>
      <c r="B279" s="134" t="s">
        <v>89</v>
      </c>
      <c r="C279" s="11" t="s">
        <v>666</v>
      </c>
      <c r="D279" s="11" t="s">
        <v>554</v>
      </c>
      <c r="E279" s="11">
        <v>4</v>
      </c>
      <c r="F279" s="136">
        <v>40415</v>
      </c>
      <c r="G279" s="135" t="s">
        <v>667</v>
      </c>
      <c r="H279" s="135" t="s">
        <v>668</v>
      </c>
      <c r="I279" s="135" t="s">
        <v>236</v>
      </c>
      <c r="J279" s="137">
        <v>43696</v>
      </c>
      <c r="K279" s="135" t="s">
        <v>163</v>
      </c>
      <c r="L279" s="135" t="s">
        <v>378</v>
      </c>
      <c r="M279" s="135"/>
      <c r="N279" s="11" t="s">
        <v>35</v>
      </c>
      <c r="O279" s="136">
        <v>43739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5.75" hidden="1" customHeight="1" x14ac:dyDescent="0.35">
      <c r="A280" s="134">
        <v>4</v>
      </c>
      <c r="B280" s="134" t="s">
        <v>49</v>
      </c>
      <c r="C280" s="11" t="s">
        <v>670</v>
      </c>
      <c r="D280" s="11" t="s">
        <v>671</v>
      </c>
      <c r="E280" s="11">
        <v>7</v>
      </c>
      <c r="F280" s="136">
        <v>39143</v>
      </c>
      <c r="G280" s="135" t="s">
        <v>672</v>
      </c>
      <c r="H280" s="135">
        <v>6507144355</v>
      </c>
      <c r="I280" s="135" t="s">
        <v>673</v>
      </c>
      <c r="J280" s="137">
        <v>43693</v>
      </c>
      <c r="K280" s="135" t="s">
        <v>130</v>
      </c>
      <c r="L280" s="135" t="s">
        <v>178</v>
      </c>
      <c r="M280" s="135" t="s">
        <v>674</v>
      </c>
      <c r="N280" s="11" t="s">
        <v>35</v>
      </c>
      <c r="O280" s="136">
        <v>43739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5.75" hidden="1" customHeight="1" x14ac:dyDescent="0.35">
      <c r="A281" s="134">
        <v>5</v>
      </c>
      <c r="B281" s="134" t="s">
        <v>89</v>
      </c>
      <c r="C281" s="11" t="s">
        <v>670</v>
      </c>
      <c r="D281" s="11" t="s">
        <v>671</v>
      </c>
      <c r="E281" s="11">
        <v>7</v>
      </c>
      <c r="F281" s="136">
        <v>39143</v>
      </c>
      <c r="G281" s="135" t="s">
        <v>672</v>
      </c>
      <c r="H281" s="135">
        <v>6507144355</v>
      </c>
      <c r="I281" s="135" t="s">
        <v>673</v>
      </c>
      <c r="J281" s="137">
        <v>43693</v>
      </c>
      <c r="K281" s="135" t="s">
        <v>155</v>
      </c>
      <c r="L281" s="135" t="s">
        <v>283</v>
      </c>
      <c r="M281" s="135" t="s">
        <v>674</v>
      </c>
      <c r="N281" s="11" t="s">
        <v>35</v>
      </c>
      <c r="O281" s="136">
        <v>43739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5.75" hidden="1" customHeight="1" x14ac:dyDescent="0.35">
      <c r="A282" s="134">
        <v>6</v>
      </c>
      <c r="B282" s="134" t="s">
        <v>89</v>
      </c>
      <c r="C282" s="11" t="s">
        <v>358</v>
      </c>
      <c r="D282" s="11" t="s">
        <v>383</v>
      </c>
      <c r="E282" s="11">
        <v>2</v>
      </c>
      <c r="F282" s="136">
        <v>40070</v>
      </c>
      <c r="G282" s="135" t="s">
        <v>363</v>
      </c>
      <c r="H282" s="135" t="s">
        <v>364</v>
      </c>
      <c r="I282" s="135" t="s">
        <v>330</v>
      </c>
      <c r="J282" s="137">
        <v>43313</v>
      </c>
      <c r="K282" s="135" t="s">
        <v>146</v>
      </c>
      <c r="L282" s="135" t="s">
        <v>215</v>
      </c>
      <c r="M282" s="135" t="s">
        <v>665</v>
      </c>
      <c r="N282" s="11" t="s">
        <v>35</v>
      </c>
      <c r="O282" s="136">
        <v>43739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5.75" hidden="1" customHeight="1" x14ac:dyDescent="0.35">
      <c r="A283" s="134">
        <v>1</v>
      </c>
      <c r="B283" s="134" t="s">
        <v>89</v>
      </c>
      <c r="C283" s="11" t="s">
        <v>675</v>
      </c>
      <c r="D283" s="11" t="s">
        <v>676</v>
      </c>
      <c r="E283" s="11">
        <v>0</v>
      </c>
      <c r="F283" s="136">
        <v>41792</v>
      </c>
      <c r="G283" s="135" t="s">
        <v>9</v>
      </c>
      <c r="H283" s="135">
        <v>4084208238</v>
      </c>
      <c r="I283" s="135" t="s">
        <v>677</v>
      </c>
      <c r="J283" s="137">
        <v>43718</v>
      </c>
      <c r="K283" s="135" t="s">
        <v>118</v>
      </c>
      <c r="L283" s="135" t="s">
        <v>123</v>
      </c>
      <c r="M283" s="135" t="s">
        <v>678</v>
      </c>
      <c r="N283" s="11" t="s">
        <v>35</v>
      </c>
      <c r="O283" s="136">
        <v>43770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5.75" hidden="1" customHeight="1" x14ac:dyDescent="0.35">
      <c r="A284" s="134">
        <v>2</v>
      </c>
      <c r="B284" s="134" t="s">
        <v>49</v>
      </c>
      <c r="C284" s="11" t="s">
        <v>675</v>
      </c>
      <c r="D284" s="11" t="s">
        <v>676</v>
      </c>
      <c r="E284" s="11">
        <v>0</v>
      </c>
      <c r="F284" s="136">
        <v>41792</v>
      </c>
      <c r="G284" s="135" t="s">
        <v>9</v>
      </c>
      <c r="H284" s="135">
        <v>4084208238</v>
      </c>
      <c r="I284" s="135" t="s">
        <v>677</v>
      </c>
      <c r="J284" s="137">
        <v>43718</v>
      </c>
      <c r="K284" s="135" t="s">
        <v>679</v>
      </c>
      <c r="L284" s="135" t="s">
        <v>394</v>
      </c>
      <c r="M284" s="135" t="s">
        <v>678</v>
      </c>
      <c r="N284" s="11" t="s">
        <v>35</v>
      </c>
      <c r="O284" s="136">
        <v>43770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5.75" hidden="1" customHeight="1" x14ac:dyDescent="0.35">
      <c r="A285" s="134">
        <v>3</v>
      </c>
      <c r="B285" s="134" t="s">
        <v>89</v>
      </c>
      <c r="C285" s="11" t="s">
        <v>675</v>
      </c>
      <c r="D285" s="11" t="s">
        <v>680</v>
      </c>
      <c r="E285" s="11">
        <v>2</v>
      </c>
      <c r="F285" s="136">
        <v>41050</v>
      </c>
      <c r="G285" s="135" t="s">
        <v>9</v>
      </c>
      <c r="H285" s="135">
        <v>4084208238</v>
      </c>
      <c r="I285" s="135" t="s">
        <v>677</v>
      </c>
      <c r="J285" s="137">
        <v>43718</v>
      </c>
      <c r="K285" s="135" t="s">
        <v>161</v>
      </c>
      <c r="L285" s="135" t="s">
        <v>640</v>
      </c>
      <c r="M285" s="135" t="s">
        <v>678</v>
      </c>
      <c r="N285" s="11" t="s">
        <v>35</v>
      </c>
      <c r="O285" s="136">
        <v>43770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5.75" hidden="1" customHeight="1" x14ac:dyDescent="0.35">
      <c r="A286" s="134">
        <v>4</v>
      </c>
      <c r="B286" s="134" t="s">
        <v>49</v>
      </c>
      <c r="C286" s="11" t="s">
        <v>675</v>
      </c>
      <c r="D286" s="11" t="s">
        <v>680</v>
      </c>
      <c r="E286" s="11">
        <v>2</v>
      </c>
      <c r="F286" s="136">
        <v>41050</v>
      </c>
      <c r="G286" s="135" t="s">
        <v>9</v>
      </c>
      <c r="H286" s="135">
        <v>4084208238</v>
      </c>
      <c r="I286" s="135" t="s">
        <v>677</v>
      </c>
      <c r="J286" s="137">
        <v>43718</v>
      </c>
      <c r="K286" s="135" t="s">
        <v>225</v>
      </c>
      <c r="L286" s="135" t="s">
        <v>288</v>
      </c>
      <c r="M286" s="135" t="s">
        <v>678</v>
      </c>
      <c r="N286" s="11" t="s">
        <v>35</v>
      </c>
      <c r="O286" s="136">
        <v>43770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5.75" hidden="1" customHeight="1" x14ac:dyDescent="0.35">
      <c r="A287" s="134">
        <v>5</v>
      </c>
      <c r="B287" s="134" t="s">
        <v>49</v>
      </c>
      <c r="C287" s="11" t="s">
        <v>614</v>
      </c>
      <c r="D287" s="11" t="s">
        <v>615</v>
      </c>
      <c r="E287" s="11" t="s">
        <v>149</v>
      </c>
      <c r="F287" s="136" t="s">
        <v>616</v>
      </c>
      <c r="G287" s="135" t="s">
        <v>617</v>
      </c>
      <c r="H287" s="135" t="s">
        <v>618</v>
      </c>
      <c r="I287" s="135" t="s">
        <v>619</v>
      </c>
      <c r="J287" s="137">
        <v>43709</v>
      </c>
      <c r="K287" s="135" t="s">
        <v>681</v>
      </c>
      <c r="L287" s="135" t="s">
        <v>162</v>
      </c>
      <c r="M287" s="135"/>
      <c r="N287" s="11" t="s">
        <v>35</v>
      </c>
      <c r="O287" s="136">
        <v>43770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5.75" hidden="1" customHeight="1" x14ac:dyDescent="0.35">
      <c r="A288" s="134">
        <v>6</v>
      </c>
      <c r="B288" s="134" t="s">
        <v>89</v>
      </c>
      <c r="C288" s="11" t="s">
        <v>614</v>
      </c>
      <c r="D288" s="11" t="s">
        <v>615</v>
      </c>
      <c r="E288" s="11" t="s">
        <v>149</v>
      </c>
      <c r="F288" s="136" t="s">
        <v>616</v>
      </c>
      <c r="G288" s="135" t="s">
        <v>617</v>
      </c>
      <c r="H288" s="135" t="s">
        <v>618</v>
      </c>
      <c r="I288" s="135" t="s">
        <v>619</v>
      </c>
      <c r="J288" s="137">
        <v>43709</v>
      </c>
      <c r="K288" s="135" t="s">
        <v>124</v>
      </c>
      <c r="L288" s="135" t="s">
        <v>173</v>
      </c>
      <c r="M288" s="135"/>
      <c r="N288" s="11" t="s">
        <v>35</v>
      </c>
      <c r="O288" s="136">
        <v>43770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5.75" hidden="1" customHeight="1" x14ac:dyDescent="0.35">
      <c r="A289" s="134">
        <v>7</v>
      </c>
      <c r="B289" s="134" t="s">
        <v>49</v>
      </c>
      <c r="C289" s="11" t="s">
        <v>614</v>
      </c>
      <c r="D289" s="11" t="s">
        <v>622</v>
      </c>
      <c r="E289" s="11">
        <v>1</v>
      </c>
      <c r="F289" s="136" t="s">
        <v>623</v>
      </c>
      <c r="G289" s="135" t="s">
        <v>617</v>
      </c>
      <c r="H289" s="135" t="s">
        <v>618</v>
      </c>
      <c r="I289" s="135" t="s">
        <v>619</v>
      </c>
      <c r="J289" s="137">
        <v>43709</v>
      </c>
      <c r="K289" s="135" t="s">
        <v>130</v>
      </c>
      <c r="L289" s="135" t="s">
        <v>183</v>
      </c>
      <c r="M289" s="135"/>
      <c r="N289" s="11" t="s">
        <v>35</v>
      </c>
      <c r="O289" s="136">
        <v>43770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5.75" hidden="1" customHeight="1" x14ac:dyDescent="0.35">
      <c r="A290" s="134">
        <v>8</v>
      </c>
      <c r="B290" s="134" t="s">
        <v>89</v>
      </c>
      <c r="C290" s="11" t="s">
        <v>614</v>
      </c>
      <c r="D290" s="11" t="s">
        <v>622</v>
      </c>
      <c r="E290" s="11">
        <v>1</v>
      </c>
      <c r="F290" s="136" t="s">
        <v>623</v>
      </c>
      <c r="G290" s="135" t="s">
        <v>617</v>
      </c>
      <c r="H290" s="135" t="s">
        <v>618</v>
      </c>
      <c r="I290" s="135" t="s">
        <v>619</v>
      </c>
      <c r="J290" s="137">
        <v>43709</v>
      </c>
      <c r="K290" s="135" t="s">
        <v>132</v>
      </c>
      <c r="L290" s="135" t="s">
        <v>215</v>
      </c>
      <c r="M290" s="135"/>
      <c r="N290" s="11" t="s">
        <v>35</v>
      </c>
      <c r="O290" s="136">
        <v>43770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5.75" hidden="1" customHeight="1" x14ac:dyDescent="0.35">
      <c r="A291" s="134">
        <v>9</v>
      </c>
      <c r="B291" s="134" t="s">
        <v>49</v>
      </c>
      <c r="C291" s="11" t="s">
        <v>682</v>
      </c>
      <c r="D291" s="11" t="s">
        <v>683</v>
      </c>
      <c r="E291" s="11">
        <v>11</v>
      </c>
      <c r="F291" s="136">
        <v>37747</v>
      </c>
      <c r="G291" s="135" t="s">
        <v>684</v>
      </c>
      <c r="H291" s="135">
        <v>4086675285</v>
      </c>
      <c r="I291" s="135" t="s">
        <v>685</v>
      </c>
      <c r="J291" s="137">
        <v>43727</v>
      </c>
      <c r="K291" s="135" t="s">
        <v>202</v>
      </c>
      <c r="L291" s="135" t="s">
        <v>640</v>
      </c>
      <c r="M291" s="135" t="s">
        <v>686</v>
      </c>
      <c r="N291" s="11" t="s">
        <v>35</v>
      </c>
      <c r="O291" s="136">
        <v>43770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5.75" hidden="1" customHeight="1" x14ac:dyDescent="0.35">
      <c r="A292" s="134">
        <v>10</v>
      </c>
      <c r="B292" s="134" t="s">
        <v>49</v>
      </c>
      <c r="C292" s="11" t="s">
        <v>358</v>
      </c>
      <c r="D292" s="11" t="s">
        <v>687</v>
      </c>
      <c r="E292" s="11">
        <v>3</v>
      </c>
      <c r="F292" s="136">
        <v>40760</v>
      </c>
      <c r="G292" s="135" t="s">
        <v>688</v>
      </c>
      <c r="H292" s="135">
        <v>4088070062</v>
      </c>
      <c r="I292" s="135" t="s">
        <v>689</v>
      </c>
      <c r="J292" s="135" t="s">
        <v>690</v>
      </c>
      <c r="K292" s="135" t="s">
        <v>691</v>
      </c>
      <c r="L292" s="135" t="s">
        <v>288</v>
      </c>
      <c r="M292" s="135" t="s">
        <v>686</v>
      </c>
      <c r="N292" s="11" t="s">
        <v>35</v>
      </c>
      <c r="O292" s="136">
        <v>43770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5.75" hidden="1" customHeight="1" x14ac:dyDescent="0.35">
      <c r="A293" s="134">
        <v>11</v>
      </c>
      <c r="B293" s="134" t="s">
        <v>89</v>
      </c>
      <c r="C293" s="11" t="s">
        <v>555</v>
      </c>
      <c r="D293" s="11" t="s">
        <v>561</v>
      </c>
      <c r="E293" s="11">
        <v>0</v>
      </c>
      <c r="F293" s="136">
        <v>41667</v>
      </c>
      <c r="G293" s="135" t="s">
        <v>692</v>
      </c>
      <c r="H293" s="135" t="s">
        <v>558</v>
      </c>
      <c r="I293" s="135" t="s">
        <v>365</v>
      </c>
      <c r="J293" s="137">
        <v>43678</v>
      </c>
      <c r="K293" s="135" t="s">
        <v>679</v>
      </c>
      <c r="L293" s="135" t="s">
        <v>140</v>
      </c>
      <c r="M293" s="135" t="s">
        <v>693</v>
      </c>
      <c r="N293" s="11" t="s">
        <v>35</v>
      </c>
      <c r="O293" s="136">
        <v>43770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5.75" hidden="1" customHeight="1" x14ac:dyDescent="0.35">
      <c r="A294" s="134">
        <v>12</v>
      </c>
      <c r="B294" s="134" t="s">
        <v>49</v>
      </c>
      <c r="C294" s="11" t="s">
        <v>555</v>
      </c>
      <c r="D294" s="11" t="s">
        <v>561</v>
      </c>
      <c r="E294" s="11">
        <v>0</v>
      </c>
      <c r="F294" s="136">
        <v>41667</v>
      </c>
      <c r="G294" s="135" t="s">
        <v>692</v>
      </c>
      <c r="H294" s="135" t="s">
        <v>558</v>
      </c>
      <c r="I294" s="135" t="s">
        <v>365</v>
      </c>
      <c r="J294" s="137">
        <v>43678</v>
      </c>
      <c r="K294" s="135" t="s">
        <v>182</v>
      </c>
      <c r="L294" s="135" t="s">
        <v>640</v>
      </c>
      <c r="M294" s="135" t="s">
        <v>693</v>
      </c>
      <c r="N294" s="11" t="s">
        <v>35</v>
      </c>
      <c r="O294" s="136">
        <v>43770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5.75" hidden="1" customHeight="1" x14ac:dyDescent="0.35">
      <c r="A295" s="134">
        <v>13</v>
      </c>
      <c r="B295" s="134" t="s">
        <v>89</v>
      </c>
      <c r="C295" s="11" t="s">
        <v>694</v>
      </c>
      <c r="D295" s="11" t="s">
        <v>695</v>
      </c>
      <c r="E295" s="11">
        <v>1</v>
      </c>
      <c r="F295" s="136" t="s">
        <v>696</v>
      </c>
      <c r="G295" s="135" t="s">
        <v>697</v>
      </c>
      <c r="H295" s="135" t="s">
        <v>698</v>
      </c>
      <c r="I295" s="135" t="s">
        <v>699</v>
      </c>
      <c r="J295" s="137">
        <v>43313</v>
      </c>
      <c r="K295" s="135" t="s">
        <v>251</v>
      </c>
      <c r="L295" s="135" t="s">
        <v>527</v>
      </c>
      <c r="M295" s="135"/>
      <c r="N295" s="11" t="s">
        <v>35</v>
      </c>
      <c r="O295" s="136">
        <v>43770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5.75" hidden="1" customHeight="1" x14ac:dyDescent="0.35">
      <c r="A296" s="134">
        <v>1</v>
      </c>
      <c r="B296" s="134" t="s">
        <v>49</v>
      </c>
      <c r="C296" s="11" t="s">
        <v>537</v>
      </c>
      <c r="D296" s="11" t="s">
        <v>538</v>
      </c>
      <c r="E296" s="11">
        <v>1</v>
      </c>
      <c r="F296" s="136">
        <v>40867</v>
      </c>
      <c r="G296" s="135" t="s">
        <v>539</v>
      </c>
      <c r="H296" s="135" t="s">
        <v>540</v>
      </c>
      <c r="I296" s="135" t="s">
        <v>541</v>
      </c>
      <c r="J296" s="137">
        <v>43710</v>
      </c>
      <c r="K296" s="135" t="s">
        <v>130</v>
      </c>
      <c r="L296" s="135" t="s">
        <v>140</v>
      </c>
      <c r="M296" s="135"/>
      <c r="N296" s="11" t="s">
        <v>35</v>
      </c>
      <c r="O296" s="136">
        <v>43800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5.75" hidden="1" customHeight="1" x14ac:dyDescent="0.35">
      <c r="A297" s="134">
        <v>2</v>
      </c>
      <c r="B297" s="134" t="s">
        <v>89</v>
      </c>
      <c r="C297" s="11" t="s">
        <v>537</v>
      </c>
      <c r="D297" s="11" t="s">
        <v>538</v>
      </c>
      <c r="E297" s="11">
        <v>1</v>
      </c>
      <c r="F297" s="136">
        <v>40867</v>
      </c>
      <c r="G297" s="135" t="s">
        <v>539</v>
      </c>
      <c r="H297" s="135" t="s">
        <v>540</v>
      </c>
      <c r="I297" s="135" t="s">
        <v>541</v>
      </c>
      <c r="J297" s="137">
        <v>43710</v>
      </c>
      <c r="K297" s="135" t="s">
        <v>120</v>
      </c>
      <c r="L297" s="135" t="s">
        <v>140</v>
      </c>
      <c r="M297" s="135"/>
      <c r="N297" s="11" t="s">
        <v>35</v>
      </c>
      <c r="O297" s="136">
        <v>43800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5.75" hidden="1" customHeight="1" x14ac:dyDescent="0.35">
      <c r="A298" s="134">
        <v>3</v>
      </c>
      <c r="B298" s="134" t="s">
        <v>49</v>
      </c>
      <c r="C298" s="11" t="s">
        <v>700</v>
      </c>
      <c r="D298" s="11" t="s">
        <v>701</v>
      </c>
      <c r="E298" s="11">
        <v>4</v>
      </c>
      <c r="F298" s="136">
        <v>40283</v>
      </c>
      <c r="G298" s="135" t="s">
        <v>702</v>
      </c>
      <c r="H298" s="135" t="s">
        <v>703</v>
      </c>
      <c r="I298" s="135" t="s">
        <v>704</v>
      </c>
      <c r="J298" s="137">
        <v>43696</v>
      </c>
      <c r="K298" s="135" t="s">
        <v>212</v>
      </c>
      <c r="L298" s="135" t="s">
        <v>276</v>
      </c>
      <c r="M298" s="135" t="s">
        <v>705</v>
      </c>
      <c r="N298" s="11" t="s">
        <v>35</v>
      </c>
      <c r="O298" s="136">
        <v>43800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5.75" hidden="1" customHeight="1" x14ac:dyDescent="0.35">
      <c r="A299" s="134">
        <v>4</v>
      </c>
      <c r="B299" s="134" t="s">
        <v>89</v>
      </c>
      <c r="C299" s="11" t="s">
        <v>700</v>
      </c>
      <c r="D299" s="11" t="s">
        <v>701</v>
      </c>
      <c r="E299" s="11">
        <v>4</v>
      </c>
      <c r="F299" s="136">
        <v>40283</v>
      </c>
      <c r="G299" s="135" t="s">
        <v>702</v>
      </c>
      <c r="H299" s="135" t="s">
        <v>703</v>
      </c>
      <c r="I299" s="135" t="s">
        <v>704</v>
      </c>
      <c r="J299" s="137">
        <v>43696</v>
      </c>
      <c r="K299" s="135" t="s">
        <v>167</v>
      </c>
      <c r="L299" s="135" t="s">
        <v>376</v>
      </c>
      <c r="M299" s="135" t="s">
        <v>705</v>
      </c>
      <c r="N299" s="11" t="s">
        <v>35</v>
      </c>
      <c r="O299" s="136">
        <v>43800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5.75" hidden="1" customHeight="1" x14ac:dyDescent="0.35">
      <c r="A300" s="134">
        <v>5</v>
      </c>
      <c r="B300" s="134" t="s">
        <v>49</v>
      </c>
      <c r="C300" s="11" t="s">
        <v>458</v>
      </c>
      <c r="D300" s="11" t="s">
        <v>459</v>
      </c>
      <c r="E300" s="11">
        <v>5</v>
      </c>
      <c r="F300" s="136"/>
      <c r="G300" s="135" t="s">
        <v>464</v>
      </c>
      <c r="H300" s="135">
        <v>4085683605</v>
      </c>
      <c r="I300" s="135" t="s">
        <v>461</v>
      </c>
      <c r="J300" s="137">
        <v>43591</v>
      </c>
      <c r="K300" s="135" t="s">
        <v>212</v>
      </c>
      <c r="L300" s="135" t="s">
        <v>156</v>
      </c>
      <c r="M300" s="135" t="s">
        <v>706</v>
      </c>
      <c r="N300" s="11" t="s">
        <v>35</v>
      </c>
      <c r="O300" s="136">
        <v>43800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5.75" hidden="1" customHeight="1" x14ac:dyDescent="0.35">
      <c r="A301" s="134">
        <v>6</v>
      </c>
      <c r="B301" s="134" t="s">
        <v>89</v>
      </c>
      <c r="C301" s="11" t="s">
        <v>458</v>
      </c>
      <c r="D301" s="11" t="s">
        <v>459</v>
      </c>
      <c r="E301" s="11">
        <v>5</v>
      </c>
      <c r="F301" s="136"/>
      <c r="G301" s="135" t="s">
        <v>464</v>
      </c>
      <c r="H301" s="135">
        <v>4085683605</v>
      </c>
      <c r="I301" s="135" t="s">
        <v>461</v>
      </c>
      <c r="J301" s="137">
        <v>43591</v>
      </c>
      <c r="K301" s="135" t="s">
        <v>301</v>
      </c>
      <c r="L301" s="135" t="s">
        <v>449</v>
      </c>
      <c r="M301" s="135" t="s">
        <v>706</v>
      </c>
      <c r="N301" s="11" t="s">
        <v>35</v>
      </c>
      <c r="O301" s="136">
        <v>43800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5.75" hidden="1" customHeight="1" x14ac:dyDescent="0.35">
      <c r="A302" s="134">
        <v>7</v>
      </c>
      <c r="B302" s="134" t="s">
        <v>49</v>
      </c>
      <c r="C302" s="11" t="s">
        <v>458</v>
      </c>
      <c r="D302" s="11" t="s">
        <v>463</v>
      </c>
      <c r="E302" s="11">
        <v>5</v>
      </c>
      <c r="F302" s="136"/>
      <c r="G302" s="135" t="s">
        <v>464</v>
      </c>
      <c r="H302" s="135">
        <v>4085683605</v>
      </c>
      <c r="I302" s="135" t="s">
        <v>461</v>
      </c>
      <c r="J302" s="137">
        <v>43586</v>
      </c>
      <c r="K302" s="135" t="s">
        <v>161</v>
      </c>
      <c r="L302" s="135" t="s">
        <v>139</v>
      </c>
      <c r="M302" s="135" t="s">
        <v>706</v>
      </c>
      <c r="N302" s="11" t="s">
        <v>35</v>
      </c>
      <c r="O302" s="136">
        <v>43800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5.75" hidden="1" customHeight="1" x14ac:dyDescent="0.35">
      <c r="A303" s="134">
        <v>8</v>
      </c>
      <c r="B303" s="134" t="s">
        <v>89</v>
      </c>
      <c r="C303" s="11" t="s">
        <v>458</v>
      </c>
      <c r="D303" s="11" t="s">
        <v>463</v>
      </c>
      <c r="E303" s="11">
        <v>5</v>
      </c>
      <c r="F303" s="136"/>
      <c r="G303" s="135" t="s">
        <v>464</v>
      </c>
      <c r="H303" s="135">
        <v>4085683605</v>
      </c>
      <c r="I303" s="135" t="s">
        <v>461</v>
      </c>
      <c r="J303" s="137">
        <v>43586</v>
      </c>
      <c r="K303" s="135" t="s">
        <v>124</v>
      </c>
      <c r="L303" s="135" t="s">
        <v>123</v>
      </c>
      <c r="M303" s="135" t="s">
        <v>706</v>
      </c>
      <c r="N303" s="11" t="s">
        <v>35</v>
      </c>
      <c r="O303" s="136">
        <v>43800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5.75" hidden="1" customHeight="1" x14ac:dyDescent="0.35">
      <c r="A304" s="134">
        <v>9</v>
      </c>
      <c r="B304" s="134" t="s">
        <v>49</v>
      </c>
      <c r="C304" s="11" t="s">
        <v>700</v>
      </c>
      <c r="D304" s="11" t="s">
        <v>707</v>
      </c>
      <c r="E304" s="11">
        <v>2</v>
      </c>
      <c r="F304" s="136">
        <v>40918</v>
      </c>
      <c r="G304" s="135" t="s">
        <v>702</v>
      </c>
      <c r="H304" s="135" t="s">
        <v>703</v>
      </c>
      <c r="I304" s="135" t="s">
        <v>236</v>
      </c>
      <c r="J304" s="137">
        <v>43696</v>
      </c>
      <c r="K304" s="135" t="s">
        <v>109</v>
      </c>
      <c r="L304" s="135" t="s">
        <v>288</v>
      </c>
      <c r="M304" s="135" t="s">
        <v>705</v>
      </c>
      <c r="N304" s="11" t="s">
        <v>35</v>
      </c>
      <c r="O304" s="136">
        <v>43800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5.75" hidden="1" customHeight="1" x14ac:dyDescent="0.35">
      <c r="A305" s="134">
        <v>10</v>
      </c>
      <c r="B305" s="134" t="s">
        <v>89</v>
      </c>
      <c r="C305" s="11" t="s">
        <v>700</v>
      </c>
      <c r="D305" s="11" t="s">
        <v>707</v>
      </c>
      <c r="E305" s="11">
        <v>2</v>
      </c>
      <c r="F305" s="136">
        <v>40918</v>
      </c>
      <c r="G305" s="135" t="s">
        <v>702</v>
      </c>
      <c r="H305" s="135" t="s">
        <v>703</v>
      </c>
      <c r="I305" s="135" t="s">
        <v>236</v>
      </c>
      <c r="J305" s="137">
        <v>43696</v>
      </c>
      <c r="K305" s="135" t="s">
        <v>120</v>
      </c>
      <c r="L305" s="135" t="s">
        <v>215</v>
      </c>
      <c r="M305" s="135" t="s">
        <v>705</v>
      </c>
      <c r="N305" s="11" t="s">
        <v>35</v>
      </c>
      <c r="O305" s="136">
        <v>43800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5.75" hidden="1" customHeight="1" x14ac:dyDescent="0.35">
      <c r="A306" s="134">
        <v>11</v>
      </c>
      <c r="B306" s="134" t="s">
        <v>49</v>
      </c>
      <c r="C306" s="11" t="s">
        <v>708</v>
      </c>
      <c r="D306" s="11" t="s">
        <v>709</v>
      </c>
      <c r="E306" s="11">
        <v>2</v>
      </c>
      <c r="F306" s="136">
        <v>41040</v>
      </c>
      <c r="G306" s="135" t="s">
        <v>710</v>
      </c>
      <c r="H306" s="135">
        <v>4086368305</v>
      </c>
      <c r="I306" s="135" t="s">
        <v>711</v>
      </c>
      <c r="J306" s="137">
        <v>43693</v>
      </c>
      <c r="K306" s="135" t="s">
        <v>112</v>
      </c>
      <c r="L306" s="135" t="s">
        <v>620</v>
      </c>
      <c r="M306" s="135" t="s">
        <v>712</v>
      </c>
      <c r="N306" s="11" t="s">
        <v>35</v>
      </c>
      <c r="O306" s="136">
        <v>43800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5.75" hidden="1" customHeight="1" x14ac:dyDescent="0.35">
      <c r="A307" s="134">
        <v>12</v>
      </c>
      <c r="B307" s="134" t="s">
        <v>89</v>
      </c>
      <c r="C307" s="11" t="s">
        <v>708</v>
      </c>
      <c r="D307" s="11" t="s">
        <v>709</v>
      </c>
      <c r="E307" s="11">
        <v>2</v>
      </c>
      <c r="F307" s="136">
        <v>41040</v>
      </c>
      <c r="G307" s="135" t="s">
        <v>710</v>
      </c>
      <c r="H307" s="135">
        <v>4086368305</v>
      </c>
      <c r="I307" s="135" t="s">
        <v>711</v>
      </c>
      <c r="J307" s="137">
        <v>43693</v>
      </c>
      <c r="K307" s="135" t="s">
        <v>163</v>
      </c>
      <c r="L307" s="135" t="s">
        <v>165</v>
      </c>
      <c r="M307" s="135" t="s">
        <v>712</v>
      </c>
      <c r="N307" s="11" t="s">
        <v>35</v>
      </c>
      <c r="O307" s="136">
        <v>43800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5.75" hidden="1" customHeight="1" x14ac:dyDescent="0.35">
      <c r="A308" s="134">
        <v>13</v>
      </c>
      <c r="B308" s="134" t="s">
        <v>49</v>
      </c>
      <c r="C308" s="11" t="s">
        <v>437</v>
      </c>
      <c r="D308" s="11" t="s">
        <v>242</v>
      </c>
      <c r="E308" s="11" t="s">
        <v>180</v>
      </c>
      <c r="F308" s="136" t="s">
        <v>713</v>
      </c>
      <c r="G308" s="135" t="s">
        <v>714</v>
      </c>
      <c r="H308" s="135" t="s">
        <v>715</v>
      </c>
      <c r="I308" s="135" t="s">
        <v>716</v>
      </c>
      <c r="J308" s="137" t="s">
        <v>653</v>
      </c>
      <c r="K308" s="135" t="s">
        <v>118</v>
      </c>
      <c r="L308" s="135" t="s">
        <v>717</v>
      </c>
      <c r="M308" s="135" t="s">
        <v>705</v>
      </c>
      <c r="N308" s="11" t="s">
        <v>35</v>
      </c>
      <c r="O308" s="136">
        <v>43800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5.75" hidden="1" customHeight="1" x14ac:dyDescent="0.35">
      <c r="A309" s="134">
        <v>14</v>
      </c>
      <c r="B309" s="134" t="s">
        <v>89</v>
      </c>
      <c r="C309" s="11" t="s">
        <v>437</v>
      </c>
      <c r="D309" s="11" t="s">
        <v>242</v>
      </c>
      <c r="E309" s="11">
        <v>1</v>
      </c>
      <c r="F309" s="136">
        <v>41264</v>
      </c>
      <c r="G309" s="135" t="s">
        <v>718</v>
      </c>
      <c r="H309" s="135" t="s">
        <v>715</v>
      </c>
      <c r="I309" s="135" t="s">
        <v>716</v>
      </c>
      <c r="J309" s="137">
        <v>43714</v>
      </c>
      <c r="K309" s="135" t="s">
        <v>171</v>
      </c>
      <c r="L309" s="135" t="s">
        <v>283</v>
      </c>
      <c r="M309" s="135" t="s">
        <v>705</v>
      </c>
      <c r="N309" s="11" t="s">
        <v>35</v>
      </c>
      <c r="O309" s="136">
        <v>43800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5.75" hidden="1" customHeight="1" x14ac:dyDescent="0.35">
      <c r="A310" s="134">
        <v>1</v>
      </c>
      <c r="B310" s="134" t="s">
        <v>49</v>
      </c>
      <c r="C310" s="11" t="s">
        <v>606</v>
      </c>
      <c r="D310" s="11" t="s">
        <v>314</v>
      </c>
      <c r="E310" s="11">
        <v>6</v>
      </c>
      <c r="F310" s="136">
        <v>39202</v>
      </c>
      <c r="G310" s="135" t="s">
        <v>607</v>
      </c>
      <c r="H310" s="135" t="s">
        <v>608</v>
      </c>
      <c r="I310" s="135" t="s">
        <v>609</v>
      </c>
      <c r="J310" s="137">
        <v>43709</v>
      </c>
      <c r="K310" s="135" t="s">
        <v>214</v>
      </c>
      <c r="L310" s="135" t="s">
        <v>719</v>
      </c>
      <c r="M310" s="135" t="s">
        <v>720</v>
      </c>
      <c r="N310" s="11" t="s">
        <v>35</v>
      </c>
      <c r="O310" s="136">
        <v>43831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5.75" hidden="1" customHeight="1" x14ac:dyDescent="0.35">
      <c r="A311" s="134">
        <v>2</v>
      </c>
      <c r="B311" s="134" t="s">
        <v>89</v>
      </c>
      <c r="C311" s="11" t="s">
        <v>606</v>
      </c>
      <c r="D311" s="11" t="s">
        <v>314</v>
      </c>
      <c r="E311" s="11">
        <v>6</v>
      </c>
      <c r="F311" s="136">
        <v>39202</v>
      </c>
      <c r="G311" s="135" t="s">
        <v>607</v>
      </c>
      <c r="H311" s="135" t="s">
        <v>608</v>
      </c>
      <c r="I311" s="135" t="s">
        <v>609</v>
      </c>
      <c r="J311" s="137">
        <v>43709</v>
      </c>
      <c r="K311" s="135" t="s">
        <v>251</v>
      </c>
      <c r="L311" s="135" t="s">
        <v>721</v>
      </c>
      <c r="M311" s="135" t="s">
        <v>720</v>
      </c>
      <c r="N311" s="11" t="s">
        <v>35</v>
      </c>
      <c r="O311" s="136">
        <v>43831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5.75" hidden="1" customHeight="1" x14ac:dyDescent="0.35">
      <c r="A312" s="134">
        <v>3</v>
      </c>
      <c r="B312" s="134" t="s">
        <v>89</v>
      </c>
      <c r="C312" s="11" t="s">
        <v>722</v>
      </c>
      <c r="D312" s="11" t="s">
        <v>723</v>
      </c>
      <c r="E312" s="11">
        <v>8</v>
      </c>
      <c r="F312" s="136">
        <v>39002</v>
      </c>
      <c r="G312" s="135" t="s">
        <v>724</v>
      </c>
      <c r="H312" s="135">
        <v>8325127040</v>
      </c>
      <c r="I312" s="135" t="s">
        <v>725</v>
      </c>
      <c r="J312" s="137">
        <v>43709</v>
      </c>
      <c r="K312" s="135" t="s">
        <v>112</v>
      </c>
      <c r="L312" s="135" t="s">
        <v>178</v>
      </c>
      <c r="M312" s="135" t="s">
        <v>726</v>
      </c>
      <c r="N312" s="11" t="s">
        <v>35</v>
      </c>
      <c r="O312" s="136">
        <v>43831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5.75" hidden="1" customHeight="1" x14ac:dyDescent="0.35">
      <c r="A313" s="134">
        <v>4</v>
      </c>
      <c r="B313" s="134" t="s">
        <v>49</v>
      </c>
      <c r="C313" s="11" t="s">
        <v>722</v>
      </c>
      <c r="D313" s="11" t="s">
        <v>723</v>
      </c>
      <c r="E313" s="11">
        <v>8</v>
      </c>
      <c r="F313" s="136">
        <v>39002</v>
      </c>
      <c r="G313" s="135" t="s">
        <v>724</v>
      </c>
      <c r="H313" s="135">
        <v>8325127040</v>
      </c>
      <c r="I313" s="135" t="s">
        <v>725</v>
      </c>
      <c r="J313" s="137">
        <v>43709</v>
      </c>
      <c r="K313" s="135" t="s">
        <v>163</v>
      </c>
      <c r="L313" s="135" t="s">
        <v>113</v>
      </c>
      <c r="M313" s="135" t="s">
        <v>726</v>
      </c>
      <c r="N313" s="11" t="s">
        <v>35</v>
      </c>
      <c r="O313" s="136">
        <v>43831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5.75" hidden="1" customHeight="1" x14ac:dyDescent="0.35">
      <c r="A314" s="134">
        <v>5</v>
      </c>
      <c r="B314" s="134" t="s">
        <v>49</v>
      </c>
      <c r="C314" s="11" t="s">
        <v>727</v>
      </c>
      <c r="D314" s="11" t="s">
        <v>728</v>
      </c>
      <c r="E314" s="11" t="s">
        <v>180</v>
      </c>
      <c r="F314" s="136">
        <v>41841</v>
      </c>
      <c r="G314" s="135" t="s">
        <v>729</v>
      </c>
      <c r="H314" s="135">
        <v>6506450741</v>
      </c>
      <c r="I314" s="135" t="s">
        <v>730</v>
      </c>
      <c r="J314" s="137">
        <v>43727</v>
      </c>
      <c r="K314" s="135" t="s">
        <v>182</v>
      </c>
      <c r="L314" s="135" t="s">
        <v>731</v>
      </c>
      <c r="M314" s="135"/>
      <c r="N314" s="11" t="s">
        <v>35</v>
      </c>
      <c r="O314" s="136">
        <v>43831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5.75" hidden="1" customHeight="1" x14ac:dyDescent="0.35">
      <c r="A315" s="134">
        <v>6</v>
      </c>
      <c r="B315" s="134" t="s">
        <v>89</v>
      </c>
      <c r="C315" s="11" t="s">
        <v>727</v>
      </c>
      <c r="D315" s="11" t="s">
        <v>728</v>
      </c>
      <c r="E315" s="11" t="s">
        <v>180</v>
      </c>
      <c r="F315" s="136">
        <v>41841</v>
      </c>
      <c r="G315" s="135" t="s">
        <v>729</v>
      </c>
      <c r="H315" s="135">
        <v>6506450741</v>
      </c>
      <c r="I315" s="135" t="s">
        <v>730</v>
      </c>
      <c r="J315" s="137">
        <v>43727</v>
      </c>
      <c r="K315" s="135" t="s">
        <v>277</v>
      </c>
      <c r="L315" s="135" t="s">
        <v>732</v>
      </c>
      <c r="M315" s="135"/>
      <c r="N315" s="11" t="s">
        <v>35</v>
      </c>
      <c r="O315" s="136">
        <v>43831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5.75" hidden="1" customHeight="1" x14ac:dyDescent="0.35">
      <c r="A316" s="134">
        <v>7</v>
      </c>
      <c r="B316" s="134" t="s">
        <v>49</v>
      </c>
      <c r="C316" s="11" t="s">
        <v>733</v>
      </c>
      <c r="D316" s="11" t="s">
        <v>734</v>
      </c>
      <c r="E316" s="11">
        <v>1</v>
      </c>
      <c r="F316" s="136">
        <v>41036</v>
      </c>
      <c r="G316" s="135" t="s">
        <v>735</v>
      </c>
      <c r="H316" s="135" t="s">
        <v>736</v>
      </c>
      <c r="I316" s="135" t="s">
        <v>737</v>
      </c>
      <c r="J316" s="137" t="s">
        <v>738</v>
      </c>
      <c r="K316" s="135" t="s">
        <v>112</v>
      </c>
      <c r="L316" s="135" t="s">
        <v>162</v>
      </c>
      <c r="M316" s="135" t="s">
        <v>739</v>
      </c>
      <c r="N316" s="11" t="s">
        <v>35</v>
      </c>
      <c r="O316" s="136">
        <v>43831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5.75" hidden="1" customHeight="1" x14ac:dyDescent="0.35">
      <c r="A317" s="134">
        <v>8</v>
      </c>
      <c r="B317" s="134" t="s">
        <v>49</v>
      </c>
      <c r="C317" s="11" t="s">
        <v>437</v>
      </c>
      <c r="D317" s="11" t="s">
        <v>563</v>
      </c>
      <c r="E317" s="11">
        <v>3</v>
      </c>
      <c r="F317" s="136">
        <v>40788</v>
      </c>
      <c r="G317" s="135" t="s">
        <v>740</v>
      </c>
      <c r="H317" s="135" t="s">
        <v>565</v>
      </c>
      <c r="I317" s="135" t="e">
        <v>#VALUE!</v>
      </c>
      <c r="J317" s="137">
        <v>43690</v>
      </c>
      <c r="K317" s="135" t="s">
        <v>212</v>
      </c>
      <c r="L317" s="135" t="s">
        <v>527</v>
      </c>
      <c r="M317" s="135" t="s">
        <v>741</v>
      </c>
      <c r="N317" s="11" t="s">
        <v>35</v>
      </c>
      <c r="O317" s="136">
        <v>43831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5.75" hidden="1" customHeight="1" x14ac:dyDescent="0.35">
      <c r="A318" s="134">
        <v>9</v>
      </c>
      <c r="B318" s="134" t="s">
        <v>89</v>
      </c>
      <c r="C318" s="11" t="s">
        <v>437</v>
      </c>
      <c r="D318" s="11" t="s">
        <v>563</v>
      </c>
      <c r="E318" s="11">
        <v>3</v>
      </c>
      <c r="F318" s="136">
        <v>40788</v>
      </c>
      <c r="G318" s="135" t="s">
        <v>740</v>
      </c>
      <c r="H318" s="135" t="s">
        <v>565</v>
      </c>
      <c r="I318" s="135" t="e">
        <v>#VALUE!</v>
      </c>
      <c r="J318" s="137">
        <v>43690</v>
      </c>
      <c r="K318" s="135" t="s">
        <v>167</v>
      </c>
      <c r="L318" s="135" t="s">
        <v>742</v>
      </c>
      <c r="M318" s="135" t="s">
        <v>741</v>
      </c>
      <c r="N318" s="11" t="s">
        <v>35</v>
      </c>
      <c r="O318" s="136">
        <v>43831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5.75" hidden="1" customHeight="1" x14ac:dyDescent="0.35">
      <c r="A319" s="134">
        <v>10</v>
      </c>
      <c r="B319" s="134" t="s">
        <v>49</v>
      </c>
      <c r="C319" s="11" t="s">
        <v>437</v>
      </c>
      <c r="D319" s="11" t="s">
        <v>743</v>
      </c>
      <c r="E319" s="11">
        <v>4</v>
      </c>
      <c r="F319" s="136">
        <v>40270</v>
      </c>
      <c r="G319" s="135" t="s">
        <v>740</v>
      </c>
      <c r="H319" s="135" t="s">
        <v>565</v>
      </c>
      <c r="I319" s="135" t="e">
        <v>#VALUE!</v>
      </c>
      <c r="J319" s="137">
        <v>43682</v>
      </c>
      <c r="K319" s="135" t="s">
        <v>212</v>
      </c>
      <c r="L319" s="135" t="s">
        <v>154</v>
      </c>
      <c r="M319" s="135" t="s">
        <v>741</v>
      </c>
      <c r="N319" s="11" t="s">
        <v>35</v>
      </c>
      <c r="O319" s="136">
        <v>43831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5.75" hidden="1" customHeight="1" x14ac:dyDescent="0.35">
      <c r="A320" s="134">
        <v>11</v>
      </c>
      <c r="B320" s="134" t="s">
        <v>89</v>
      </c>
      <c r="C320" s="11" t="s">
        <v>437</v>
      </c>
      <c r="D320" s="11" t="s">
        <v>743</v>
      </c>
      <c r="E320" s="11">
        <v>4</v>
      </c>
      <c r="F320" s="136">
        <v>40270</v>
      </c>
      <c r="G320" s="135" t="s">
        <v>740</v>
      </c>
      <c r="H320" s="135" t="s">
        <v>565</v>
      </c>
      <c r="I320" s="135" t="e">
        <v>#VALUE!</v>
      </c>
      <c r="J320" s="137">
        <v>43682</v>
      </c>
      <c r="K320" s="135" t="s">
        <v>167</v>
      </c>
      <c r="L320" s="135" t="s">
        <v>744</v>
      </c>
      <c r="M320" s="135" t="s">
        <v>741</v>
      </c>
      <c r="N320" s="11" t="s">
        <v>35</v>
      </c>
      <c r="O320" s="136">
        <v>43831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5.75" hidden="1" customHeight="1" x14ac:dyDescent="0.35">
      <c r="A321" s="134">
        <v>12</v>
      </c>
      <c r="B321" s="134" t="s">
        <v>49</v>
      </c>
      <c r="C321" s="11" t="s">
        <v>484</v>
      </c>
      <c r="D321" s="11" t="s">
        <v>409</v>
      </c>
      <c r="E321" s="11" t="s">
        <v>562</v>
      </c>
      <c r="F321" s="136">
        <v>41885</v>
      </c>
      <c r="G321" s="135" t="s">
        <v>485</v>
      </c>
      <c r="H321" s="135">
        <v>4087187827</v>
      </c>
      <c r="I321" s="135" t="s">
        <v>486</v>
      </c>
      <c r="J321" s="137">
        <v>43609</v>
      </c>
      <c r="K321" s="135" t="s">
        <v>182</v>
      </c>
      <c r="L321" s="135" t="s">
        <v>745</v>
      </c>
      <c r="M321" s="135" t="s">
        <v>746</v>
      </c>
      <c r="N321" s="11" t="s">
        <v>35</v>
      </c>
      <c r="O321" s="136">
        <v>43831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5.75" hidden="1" customHeight="1" x14ac:dyDescent="0.35">
      <c r="A322" s="134">
        <v>13</v>
      </c>
      <c r="B322" s="134" t="s">
        <v>89</v>
      </c>
      <c r="C322" s="11" t="s">
        <v>484</v>
      </c>
      <c r="D322" s="11" t="s">
        <v>409</v>
      </c>
      <c r="E322" s="11">
        <v>0</v>
      </c>
      <c r="F322" s="136">
        <v>41885</v>
      </c>
      <c r="G322" s="135" t="s">
        <v>485</v>
      </c>
      <c r="H322" s="135">
        <v>4087187827</v>
      </c>
      <c r="I322" s="135" t="s">
        <v>486</v>
      </c>
      <c r="J322" s="137">
        <v>43724</v>
      </c>
      <c r="K322" s="135" t="s">
        <v>343</v>
      </c>
      <c r="L322" s="135" t="s">
        <v>747</v>
      </c>
      <c r="M322" s="135" t="s">
        <v>746</v>
      </c>
      <c r="N322" s="11" t="s">
        <v>35</v>
      </c>
      <c r="O322" s="136">
        <v>43831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5.75" hidden="1" customHeight="1" x14ac:dyDescent="0.35">
      <c r="A323" s="134">
        <v>1</v>
      </c>
      <c r="B323" s="134" t="s">
        <v>49</v>
      </c>
      <c r="C323" s="11" t="s">
        <v>748</v>
      </c>
      <c r="D323" s="11" t="s">
        <v>749</v>
      </c>
      <c r="E323" s="11">
        <v>3</v>
      </c>
      <c r="F323" s="136">
        <v>40852</v>
      </c>
      <c r="G323" s="135" t="s">
        <v>750</v>
      </c>
      <c r="H323" s="135">
        <v>4087170854</v>
      </c>
      <c r="I323" s="135" t="s">
        <v>751</v>
      </c>
      <c r="J323" s="137">
        <v>43754</v>
      </c>
      <c r="K323" s="135" t="s">
        <v>161</v>
      </c>
      <c r="L323" s="135" t="s">
        <v>752</v>
      </c>
      <c r="M323" s="135" t="s">
        <v>753</v>
      </c>
      <c r="N323" s="11" t="s">
        <v>35</v>
      </c>
      <c r="O323" s="136">
        <v>43862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5.75" hidden="1" customHeight="1" x14ac:dyDescent="0.35">
      <c r="A324" s="134">
        <v>2</v>
      </c>
      <c r="B324" s="134" t="s">
        <v>89</v>
      </c>
      <c r="C324" s="11" t="s">
        <v>748</v>
      </c>
      <c r="D324" s="11" t="s">
        <v>749</v>
      </c>
      <c r="E324" s="11">
        <v>3</v>
      </c>
      <c r="F324" s="136">
        <v>40852</v>
      </c>
      <c r="G324" s="135" t="s">
        <v>750</v>
      </c>
      <c r="H324" s="135">
        <v>4087170854</v>
      </c>
      <c r="I324" s="135" t="s">
        <v>751</v>
      </c>
      <c r="J324" s="137">
        <v>43754</v>
      </c>
      <c r="K324" s="135" t="s">
        <v>171</v>
      </c>
      <c r="L324" s="135" t="s">
        <v>754</v>
      </c>
      <c r="M324" s="135" t="s">
        <v>753</v>
      </c>
      <c r="N324" s="11" t="s">
        <v>35</v>
      </c>
      <c r="O324" s="136">
        <v>43862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5.75" hidden="1" customHeight="1" x14ac:dyDescent="0.35">
      <c r="A325" s="134">
        <v>3</v>
      </c>
      <c r="B325" s="134" t="s">
        <v>49</v>
      </c>
      <c r="C325" s="11" t="s">
        <v>755</v>
      </c>
      <c r="D325" s="11" t="s">
        <v>509</v>
      </c>
      <c r="E325" s="11">
        <v>2</v>
      </c>
      <c r="F325" s="136" t="s">
        <v>756</v>
      </c>
      <c r="G325" s="135" t="s">
        <v>757</v>
      </c>
      <c r="H325" s="135" t="s">
        <v>513</v>
      </c>
      <c r="I325" s="135" t="s">
        <v>514</v>
      </c>
      <c r="J325" s="137" t="s">
        <v>690</v>
      </c>
      <c r="K325" s="135" t="s">
        <v>130</v>
      </c>
      <c r="L325" s="135" t="s">
        <v>758</v>
      </c>
      <c r="M325" s="135" t="s">
        <v>759</v>
      </c>
      <c r="N325" s="11" t="s">
        <v>35</v>
      </c>
      <c r="O325" s="136">
        <v>43862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5.75" hidden="1" customHeight="1" x14ac:dyDescent="0.35">
      <c r="A326" s="134">
        <v>4</v>
      </c>
      <c r="B326" s="134" t="s">
        <v>89</v>
      </c>
      <c r="C326" s="11" t="s">
        <v>313</v>
      </c>
      <c r="D326" s="11" t="s">
        <v>760</v>
      </c>
      <c r="E326" s="11">
        <v>10</v>
      </c>
      <c r="F326" s="136">
        <v>37953</v>
      </c>
      <c r="G326" s="135" t="s">
        <v>761</v>
      </c>
      <c r="H326" s="135" t="s">
        <v>762</v>
      </c>
      <c r="I326" s="135" t="s">
        <v>763</v>
      </c>
      <c r="J326" s="137">
        <v>43710</v>
      </c>
      <c r="K326" s="135" t="s">
        <v>318</v>
      </c>
      <c r="L326" s="135" t="s">
        <v>224</v>
      </c>
      <c r="M326" s="135" t="s">
        <v>764</v>
      </c>
      <c r="N326" s="11" t="s">
        <v>35</v>
      </c>
      <c r="O326" s="136">
        <v>43862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5.75" hidden="1" customHeight="1" x14ac:dyDescent="0.35">
      <c r="A327" s="134">
        <v>5</v>
      </c>
      <c r="B327" s="134" t="s">
        <v>49</v>
      </c>
      <c r="C327" s="11" t="s">
        <v>765</v>
      </c>
      <c r="D327" s="11" t="s">
        <v>766</v>
      </c>
      <c r="E327" s="11">
        <v>3</v>
      </c>
      <c r="F327" s="136">
        <v>40480</v>
      </c>
      <c r="G327" s="135" t="s">
        <v>767</v>
      </c>
      <c r="H327" s="135" t="s">
        <v>768</v>
      </c>
      <c r="I327" s="135" t="s">
        <v>769</v>
      </c>
      <c r="J327" s="137" t="s">
        <v>690</v>
      </c>
      <c r="K327" s="135" t="s">
        <v>153</v>
      </c>
      <c r="L327" s="135" t="s">
        <v>506</v>
      </c>
      <c r="M327" s="135" t="s">
        <v>753</v>
      </c>
      <c r="N327" s="11" t="s">
        <v>35</v>
      </c>
      <c r="O327" s="136">
        <v>43862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5.75" hidden="1" customHeight="1" x14ac:dyDescent="0.35">
      <c r="A328" s="134">
        <v>6</v>
      </c>
      <c r="B328" s="134" t="s">
        <v>89</v>
      </c>
      <c r="C328" s="11" t="s">
        <v>765</v>
      </c>
      <c r="D328" s="11" t="s">
        <v>766</v>
      </c>
      <c r="E328" s="11">
        <v>3</v>
      </c>
      <c r="F328" s="136">
        <v>40480</v>
      </c>
      <c r="G328" s="135" t="s">
        <v>767</v>
      </c>
      <c r="H328" s="135" t="s">
        <v>768</v>
      </c>
      <c r="I328" s="135" t="s">
        <v>769</v>
      </c>
      <c r="J328" s="137" t="s">
        <v>690</v>
      </c>
      <c r="K328" s="135" t="s">
        <v>167</v>
      </c>
      <c r="L328" s="135" t="s">
        <v>770</v>
      </c>
      <c r="M328" s="135" t="s">
        <v>753</v>
      </c>
      <c r="N328" s="11" t="s">
        <v>35</v>
      </c>
      <c r="O328" s="136">
        <v>43862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5.75" hidden="1" customHeight="1" x14ac:dyDescent="0.35">
      <c r="A329" s="134">
        <v>7</v>
      </c>
      <c r="B329" s="134" t="s">
        <v>89</v>
      </c>
      <c r="C329" s="11" t="s">
        <v>755</v>
      </c>
      <c r="D329" s="11" t="s">
        <v>528</v>
      </c>
      <c r="E329" s="11">
        <v>5</v>
      </c>
      <c r="F329" s="136" t="s">
        <v>771</v>
      </c>
      <c r="G329" s="135" t="s">
        <v>757</v>
      </c>
      <c r="H329" s="135" t="s">
        <v>513</v>
      </c>
      <c r="I329" s="135" t="s">
        <v>514</v>
      </c>
      <c r="J329" s="137" t="s">
        <v>690</v>
      </c>
      <c r="K329" s="135" t="s">
        <v>155</v>
      </c>
      <c r="L329" s="135" t="s">
        <v>772</v>
      </c>
      <c r="M329" s="135" t="s">
        <v>759</v>
      </c>
      <c r="N329" s="11" t="s">
        <v>35</v>
      </c>
      <c r="O329" s="136">
        <v>43862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5.75" hidden="1" customHeight="1" x14ac:dyDescent="0.35">
      <c r="A330" s="134">
        <v>8</v>
      </c>
      <c r="B330" s="134" t="s">
        <v>89</v>
      </c>
      <c r="C330" s="11" t="s">
        <v>773</v>
      </c>
      <c r="D330" s="11" t="s">
        <v>774</v>
      </c>
      <c r="E330" s="11">
        <v>5</v>
      </c>
      <c r="F330" s="136">
        <v>39964</v>
      </c>
      <c r="G330" s="135" t="s">
        <v>775</v>
      </c>
      <c r="H330" s="135">
        <v>4086240995</v>
      </c>
      <c r="I330" s="135" t="s">
        <v>776</v>
      </c>
      <c r="J330" s="137">
        <v>43714</v>
      </c>
      <c r="K330" s="135" t="s">
        <v>167</v>
      </c>
      <c r="L330" s="135" t="s">
        <v>506</v>
      </c>
      <c r="M330" s="135" t="s">
        <v>753</v>
      </c>
      <c r="N330" s="11" t="s">
        <v>35</v>
      </c>
      <c r="O330" s="136">
        <v>43862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5.75" hidden="1" customHeight="1" x14ac:dyDescent="0.35">
      <c r="A331" s="134">
        <v>9</v>
      </c>
      <c r="B331" s="134" t="s">
        <v>49</v>
      </c>
      <c r="C331" s="11" t="s">
        <v>777</v>
      </c>
      <c r="D331" s="11" t="s">
        <v>778</v>
      </c>
      <c r="E331" s="11">
        <v>1</v>
      </c>
      <c r="F331" s="136">
        <v>41228</v>
      </c>
      <c r="G331" s="135" t="s">
        <v>779</v>
      </c>
      <c r="H331" s="135" t="s">
        <v>780</v>
      </c>
      <c r="I331" s="135" t="s">
        <v>781</v>
      </c>
      <c r="J331" s="137">
        <v>43743</v>
      </c>
      <c r="K331" s="135" t="s">
        <v>112</v>
      </c>
      <c r="L331" s="135" t="s">
        <v>560</v>
      </c>
      <c r="M331" s="135" t="s">
        <v>753</v>
      </c>
      <c r="N331" s="11" t="s">
        <v>35</v>
      </c>
      <c r="O331" s="136">
        <v>43862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5.75" hidden="1" customHeight="1" x14ac:dyDescent="0.35">
      <c r="A332" s="134">
        <v>10</v>
      </c>
      <c r="B332" s="134" t="s">
        <v>89</v>
      </c>
      <c r="C332" s="11" t="s">
        <v>777</v>
      </c>
      <c r="D332" s="11" t="s">
        <v>778</v>
      </c>
      <c r="E332" s="11">
        <v>1</v>
      </c>
      <c r="F332" s="136">
        <v>41228</v>
      </c>
      <c r="G332" s="135" t="s">
        <v>779</v>
      </c>
      <c r="H332" s="135" t="s">
        <v>780</v>
      </c>
      <c r="I332" s="135" t="s">
        <v>781</v>
      </c>
      <c r="J332" s="137">
        <v>43743</v>
      </c>
      <c r="K332" s="135" t="s">
        <v>120</v>
      </c>
      <c r="L332" s="135" t="s">
        <v>782</v>
      </c>
      <c r="M332" s="135" t="s">
        <v>753</v>
      </c>
      <c r="N332" s="11" t="s">
        <v>35</v>
      </c>
      <c r="O332" s="136">
        <v>43862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5.75" hidden="1" customHeight="1" x14ac:dyDescent="0.35">
      <c r="A333" s="134">
        <v>11</v>
      </c>
      <c r="B333" s="134" t="s">
        <v>89</v>
      </c>
      <c r="C333" s="11" t="s">
        <v>733</v>
      </c>
      <c r="D333" s="11" t="s">
        <v>734</v>
      </c>
      <c r="E333" s="11">
        <v>1</v>
      </c>
      <c r="F333" s="136">
        <v>41036</v>
      </c>
      <c r="G333" s="135" t="s">
        <v>735</v>
      </c>
      <c r="H333" s="135" t="s">
        <v>736</v>
      </c>
      <c r="I333" s="135" t="s">
        <v>737</v>
      </c>
      <c r="J333" s="137" t="s">
        <v>738</v>
      </c>
      <c r="K333" s="135" t="s">
        <v>120</v>
      </c>
      <c r="L333" s="135" t="s">
        <v>508</v>
      </c>
      <c r="M333" s="135" t="s">
        <v>753</v>
      </c>
      <c r="N333" s="11" t="s">
        <v>35</v>
      </c>
      <c r="O333" s="136">
        <v>43862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5.75" hidden="1" customHeight="1" x14ac:dyDescent="0.35">
      <c r="A334" s="134">
        <v>12</v>
      </c>
      <c r="B334" s="134" t="s">
        <v>49</v>
      </c>
      <c r="C334" s="11" t="s">
        <v>783</v>
      </c>
      <c r="D334" s="11" t="s">
        <v>784</v>
      </c>
      <c r="E334" s="11">
        <v>1</v>
      </c>
      <c r="F334" s="136">
        <v>41228</v>
      </c>
      <c r="G334" s="135" t="s">
        <v>779</v>
      </c>
      <c r="H334" s="135" t="s">
        <v>780</v>
      </c>
      <c r="I334" s="135" t="s">
        <v>781</v>
      </c>
      <c r="J334" s="137">
        <v>43743</v>
      </c>
      <c r="K334" s="135" t="s">
        <v>112</v>
      </c>
      <c r="L334" s="135" t="s">
        <v>785</v>
      </c>
      <c r="M334" s="135" t="s">
        <v>753</v>
      </c>
      <c r="N334" s="11" t="s">
        <v>35</v>
      </c>
      <c r="O334" s="136">
        <v>43862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5.75" hidden="1" customHeight="1" x14ac:dyDescent="0.35">
      <c r="A335" s="134">
        <v>13</v>
      </c>
      <c r="B335" s="134" t="s">
        <v>89</v>
      </c>
      <c r="C335" s="11" t="s">
        <v>783</v>
      </c>
      <c r="D335" s="11" t="s">
        <v>784</v>
      </c>
      <c r="E335" s="11">
        <v>1</v>
      </c>
      <c r="F335" s="136">
        <v>41228</v>
      </c>
      <c r="G335" s="135" t="s">
        <v>779</v>
      </c>
      <c r="H335" s="135" t="s">
        <v>780</v>
      </c>
      <c r="I335" s="135" t="s">
        <v>781</v>
      </c>
      <c r="J335" s="137">
        <v>43743</v>
      </c>
      <c r="K335" s="135" t="s">
        <v>120</v>
      </c>
      <c r="L335" s="135" t="s">
        <v>125</v>
      </c>
      <c r="M335" s="135" t="s">
        <v>753</v>
      </c>
      <c r="N335" s="11" t="s">
        <v>35</v>
      </c>
      <c r="O335" s="136">
        <v>43862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5.75" hidden="1" customHeight="1" x14ac:dyDescent="0.35">
      <c r="A336" s="134">
        <v>14</v>
      </c>
      <c r="B336" s="134" t="s">
        <v>49</v>
      </c>
      <c r="C336" s="11" t="s">
        <v>786</v>
      </c>
      <c r="D336" s="11" t="s">
        <v>787</v>
      </c>
      <c r="E336" s="11">
        <v>2</v>
      </c>
      <c r="F336" s="136">
        <v>41068</v>
      </c>
      <c r="G336" s="135" t="s">
        <v>788</v>
      </c>
      <c r="H336" s="135">
        <v>5106746800</v>
      </c>
      <c r="I336" s="135" t="s">
        <v>789</v>
      </c>
      <c r="J336" s="137">
        <v>43711</v>
      </c>
      <c r="K336" s="135" t="s">
        <v>112</v>
      </c>
      <c r="L336" s="135" t="s">
        <v>732</v>
      </c>
      <c r="M336" s="135" t="s">
        <v>764</v>
      </c>
      <c r="N336" s="11" t="s">
        <v>35</v>
      </c>
      <c r="O336" s="136">
        <v>43862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5.75" hidden="1" customHeight="1" x14ac:dyDescent="0.35">
      <c r="A337" s="134">
        <v>15</v>
      </c>
      <c r="B337" s="134" t="s">
        <v>49</v>
      </c>
      <c r="C337" s="11" t="s">
        <v>786</v>
      </c>
      <c r="D337" s="11" t="s">
        <v>790</v>
      </c>
      <c r="E337" s="11" t="s">
        <v>273</v>
      </c>
      <c r="F337" s="136">
        <v>41948</v>
      </c>
      <c r="G337" s="135" t="s">
        <v>788</v>
      </c>
      <c r="H337" s="135">
        <v>5106746800</v>
      </c>
      <c r="I337" s="135" t="s">
        <v>789</v>
      </c>
      <c r="J337" s="137">
        <v>43711</v>
      </c>
      <c r="K337" s="135" t="s">
        <v>691</v>
      </c>
      <c r="L337" s="135" t="s">
        <v>791</v>
      </c>
      <c r="M337" s="135" t="s">
        <v>764</v>
      </c>
      <c r="N337" s="11" t="s">
        <v>35</v>
      </c>
      <c r="O337" s="136">
        <v>43862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5.75" hidden="1" customHeight="1" x14ac:dyDescent="0.35">
      <c r="A338" s="134">
        <v>16</v>
      </c>
      <c r="B338" s="134" t="s">
        <v>49</v>
      </c>
      <c r="C338" s="11" t="s">
        <v>682</v>
      </c>
      <c r="D338" s="11" t="s">
        <v>683</v>
      </c>
      <c r="E338" s="11">
        <v>11</v>
      </c>
      <c r="F338" s="136">
        <v>37747</v>
      </c>
      <c r="G338" s="135" t="s">
        <v>792</v>
      </c>
      <c r="H338" s="135">
        <v>4086675285</v>
      </c>
      <c r="I338" s="135" t="s">
        <v>685</v>
      </c>
      <c r="J338" s="137">
        <v>43727</v>
      </c>
      <c r="K338" s="135" t="s">
        <v>112</v>
      </c>
      <c r="L338" s="135" t="s">
        <v>224</v>
      </c>
      <c r="M338" s="135" t="s">
        <v>759</v>
      </c>
      <c r="N338" s="11" t="s">
        <v>35</v>
      </c>
      <c r="O338" s="136">
        <v>43862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5.75" hidden="1" customHeight="1" x14ac:dyDescent="0.35">
      <c r="A339" s="134">
        <v>17</v>
      </c>
      <c r="B339" s="134" t="s">
        <v>89</v>
      </c>
      <c r="C339" s="11" t="s">
        <v>487</v>
      </c>
      <c r="D339" s="11" t="s">
        <v>793</v>
      </c>
      <c r="E339" s="11">
        <v>9</v>
      </c>
      <c r="F339" s="136">
        <v>38480</v>
      </c>
      <c r="G339" s="135" t="s">
        <v>794</v>
      </c>
      <c r="H339" s="135">
        <v>6262329231</v>
      </c>
      <c r="I339" s="135" t="s">
        <v>795</v>
      </c>
      <c r="J339" s="137">
        <v>43591</v>
      </c>
      <c r="K339" s="135" t="s">
        <v>240</v>
      </c>
      <c r="L339" s="135" t="s">
        <v>173</v>
      </c>
      <c r="M339" s="135" t="s">
        <v>796</v>
      </c>
      <c r="N339" s="11" t="s">
        <v>35</v>
      </c>
      <c r="O339" s="136">
        <v>43862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5.75" hidden="1" customHeight="1" x14ac:dyDescent="0.35">
      <c r="A340" s="134">
        <v>1</v>
      </c>
      <c r="B340" s="134" t="s">
        <v>49</v>
      </c>
      <c r="C340" s="11" t="s">
        <v>797</v>
      </c>
      <c r="D340" s="11" t="s">
        <v>798</v>
      </c>
      <c r="E340" s="11">
        <v>1</v>
      </c>
      <c r="F340" s="136">
        <v>41072</v>
      </c>
      <c r="G340" s="135" t="s">
        <v>799</v>
      </c>
      <c r="H340" s="135">
        <v>4084318229</v>
      </c>
      <c r="I340" s="135" t="s">
        <v>800</v>
      </c>
      <c r="J340" s="137">
        <v>43775</v>
      </c>
      <c r="K340" s="135" t="s">
        <v>681</v>
      </c>
      <c r="L340" s="135" t="s">
        <v>801</v>
      </c>
      <c r="M340" s="135" t="s">
        <v>802</v>
      </c>
      <c r="N340" s="11" t="s">
        <v>35</v>
      </c>
      <c r="O340" s="136">
        <v>43891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5.75" hidden="1" customHeight="1" x14ac:dyDescent="0.35">
      <c r="A341" s="134">
        <v>2</v>
      </c>
      <c r="B341" s="134" t="s">
        <v>89</v>
      </c>
      <c r="C341" s="11" t="s">
        <v>797</v>
      </c>
      <c r="D341" s="11" t="s">
        <v>798</v>
      </c>
      <c r="E341" s="11">
        <v>1</v>
      </c>
      <c r="F341" s="136">
        <v>41072</v>
      </c>
      <c r="G341" s="135" t="s">
        <v>799</v>
      </c>
      <c r="H341" s="135">
        <v>4084318229</v>
      </c>
      <c r="I341" s="135" t="s">
        <v>800</v>
      </c>
      <c r="J341" s="137">
        <v>43775</v>
      </c>
      <c r="K341" s="135" t="s">
        <v>120</v>
      </c>
      <c r="L341" s="135" t="s">
        <v>238</v>
      </c>
      <c r="M341" s="135"/>
      <c r="N341" s="11" t="s">
        <v>35</v>
      </c>
      <c r="O341" s="136">
        <v>43891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5.75" hidden="1" customHeight="1" x14ac:dyDescent="0.35">
      <c r="A342" s="134">
        <v>3</v>
      </c>
      <c r="B342" s="134" t="s">
        <v>49</v>
      </c>
      <c r="C342" s="11" t="s">
        <v>437</v>
      </c>
      <c r="D342" s="11" t="s">
        <v>245</v>
      </c>
      <c r="E342" s="11">
        <v>5</v>
      </c>
      <c r="F342" s="136">
        <v>39719</v>
      </c>
      <c r="G342" s="135" t="s">
        <v>803</v>
      </c>
      <c r="H342" s="135" t="s">
        <v>570</v>
      </c>
      <c r="I342" s="135" t="e">
        <v>#VALUE!</v>
      </c>
      <c r="J342" s="137">
        <v>43690</v>
      </c>
      <c r="K342" s="135" t="s">
        <v>153</v>
      </c>
      <c r="L342" s="135" t="s">
        <v>804</v>
      </c>
      <c r="M342" s="135"/>
      <c r="N342" s="11" t="s">
        <v>35</v>
      </c>
      <c r="O342" s="136">
        <v>43891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5.75" hidden="1" customHeight="1" x14ac:dyDescent="0.35">
      <c r="A343" s="134">
        <v>4</v>
      </c>
      <c r="B343" s="134" t="s">
        <v>89</v>
      </c>
      <c r="C343" s="11" t="s">
        <v>437</v>
      </c>
      <c r="D343" s="11" t="s">
        <v>245</v>
      </c>
      <c r="E343" s="11">
        <v>5</v>
      </c>
      <c r="F343" s="136">
        <v>39719</v>
      </c>
      <c r="G343" s="135" t="s">
        <v>803</v>
      </c>
      <c r="H343" s="135" t="s">
        <v>570</v>
      </c>
      <c r="I343" s="135" t="e">
        <v>#VALUE!</v>
      </c>
      <c r="J343" s="137">
        <v>43690</v>
      </c>
      <c r="K343" s="135" t="s">
        <v>301</v>
      </c>
      <c r="L343" s="135" t="s">
        <v>119</v>
      </c>
      <c r="M343" s="135"/>
      <c r="N343" s="11" t="s">
        <v>35</v>
      </c>
      <c r="O343" s="136">
        <v>43891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5.75" hidden="1" customHeight="1" x14ac:dyDescent="0.35">
      <c r="A344" s="134">
        <v>5</v>
      </c>
      <c r="B344" s="134" t="s">
        <v>49</v>
      </c>
      <c r="C344" s="11" t="s">
        <v>805</v>
      </c>
      <c r="D344" s="11" t="s">
        <v>228</v>
      </c>
      <c r="E344" s="11">
        <v>4</v>
      </c>
      <c r="F344" s="136" t="s">
        <v>806</v>
      </c>
      <c r="G344" s="135" t="s">
        <v>807</v>
      </c>
      <c r="H344" s="135" t="s">
        <v>808</v>
      </c>
      <c r="I344" s="135" t="s">
        <v>809</v>
      </c>
      <c r="J344" s="137" t="s">
        <v>810</v>
      </c>
      <c r="K344" s="135" t="s">
        <v>109</v>
      </c>
      <c r="L344" s="135" t="s">
        <v>811</v>
      </c>
      <c r="M344" s="135" t="s">
        <v>802</v>
      </c>
      <c r="N344" s="11" t="s">
        <v>35</v>
      </c>
      <c r="O344" s="136">
        <v>43891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5.75" hidden="1" customHeight="1" x14ac:dyDescent="0.35">
      <c r="A345" s="134">
        <v>6</v>
      </c>
      <c r="B345" s="134" t="s">
        <v>89</v>
      </c>
      <c r="C345" s="11" t="s">
        <v>805</v>
      </c>
      <c r="D345" s="11" t="s">
        <v>228</v>
      </c>
      <c r="E345" s="11">
        <v>4</v>
      </c>
      <c r="F345" s="136" t="s">
        <v>806</v>
      </c>
      <c r="G345" s="135" t="s">
        <v>807</v>
      </c>
      <c r="H345" s="135" t="s">
        <v>808</v>
      </c>
      <c r="I345" s="135" t="s">
        <v>809</v>
      </c>
      <c r="J345" s="137" t="s">
        <v>810</v>
      </c>
      <c r="K345" s="135" t="s">
        <v>132</v>
      </c>
      <c r="L345" s="135" t="s">
        <v>624</v>
      </c>
      <c r="M345" s="135" t="s">
        <v>802</v>
      </c>
      <c r="N345" s="11" t="s">
        <v>35</v>
      </c>
      <c r="O345" s="136">
        <v>43891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5.75" hidden="1" customHeight="1" x14ac:dyDescent="0.35">
      <c r="A346" s="134">
        <v>7</v>
      </c>
      <c r="B346" s="134" t="s">
        <v>49</v>
      </c>
      <c r="C346" s="11" t="s">
        <v>812</v>
      </c>
      <c r="D346" s="11" t="s">
        <v>233</v>
      </c>
      <c r="E346" s="11">
        <v>3</v>
      </c>
      <c r="F346" s="136">
        <v>40337</v>
      </c>
      <c r="G346" s="135" t="s">
        <v>813</v>
      </c>
      <c r="H346" s="135" t="s">
        <v>814</v>
      </c>
      <c r="I346" s="135" t="s">
        <v>138</v>
      </c>
      <c r="J346" s="137" t="s">
        <v>653</v>
      </c>
      <c r="K346" s="135" t="s">
        <v>153</v>
      </c>
      <c r="L346" s="135" t="s">
        <v>731</v>
      </c>
      <c r="M346" s="135" t="s">
        <v>65</v>
      </c>
      <c r="N346" s="11" t="s">
        <v>35</v>
      </c>
      <c r="O346" s="136">
        <v>43891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5.75" hidden="1" customHeight="1" x14ac:dyDescent="0.35">
      <c r="A347" s="134">
        <v>8</v>
      </c>
      <c r="B347" s="134" t="s">
        <v>89</v>
      </c>
      <c r="C347" s="11" t="s">
        <v>812</v>
      </c>
      <c r="D347" s="11" t="s">
        <v>233</v>
      </c>
      <c r="E347" s="11">
        <v>3</v>
      </c>
      <c r="F347" s="136">
        <v>40337</v>
      </c>
      <c r="G347" s="135" t="s">
        <v>813</v>
      </c>
      <c r="H347" s="135" t="s">
        <v>814</v>
      </c>
      <c r="I347" s="135" t="s">
        <v>138</v>
      </c>
      <c r="J347" s="137" t="s">
        <v>653</v>
      </c>
      <c r="K347" s="135" t="s">
        <v>155</v>
      </c>
      <c r="L347" s="135" t="s">
        <v>624</v>
      </c>
      <c r="M347" s="135" t="s">
        <v>65</v>
      </c>
      <c r="N347" s="11" t="s">
        <v>35</v>
      </c>
      <c r="O347" s="136">
        <v>43891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5.75" hidden="1" customHeight="1" x14ac:dyDescent="0.35">
      <c r="A348" s="134">
        <v>9</v>
      </c>
      <c r="B348" s="134" t="s">
        <v>49</v>
      </c>
      <c r="C348" s="11" t="s">
        <v>694</v>
      </c>
      <c r="D348" s="11" t="s">
        <v>815</v>
      </c>
      <c r="E348" s="11">
        <v>4</v>
      </c>
      <c r="F348" s="136" t="s">
        <v>696</v>
      </c>
      <c r="G348" s="135" t="s">
        <v>697</v>
      </c>
      <c r="H348" s="135" t="s">
        <v>698</v>
      </c>
      <c r="I348" s="135" t="s">
        <v>699</v>
      </c>
      <c r="J348" s="137" t="s">
        <v>816</v>
      </c>
      <c r="K348" s="135" t="s">
        <v>384</v>
      </c>
      <c r="L348" s="135" t="s">
        <v>817</v>
      </c>
      <c r="M348" s="135"/>
      <c r="N348" s="11" t="s">
        <v>35</v>
      </c>
      <c r="O348" s="136">
        <v>43891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5.75" hidden="1" customHeight="1" x14ac:dyDescent="0.35">
      <c r="A349" s="134">
        <v>10</v>
      </c>
      <c r="B349" s="134" t="s">
        <v>89</v>
      </c>
      <c r="C349" s="11" t="s">
        <v>694</v>
      </c>
      <c r="D349" s="11" t="s">
        <v>815</v>
      </c>
      <c r="E349" s="11">
        <v>4</v>
      </c>
      <c r="F349" s="136" t="s">
        <v>696</v>
      </c>
      <c r="G349" s="135" t="s">
        <v>697</v>
      </c>
      <c r="H349" s="135" t="s">
        <v>698</v>
      </c>
      <c r="I349" s="135" t="s">
        <v>699</v>
      </c>
      <c r="J349" s="137" t="s">
        <v>816</v>
      </c>
      <c r="K349" s="135" t="s">
        <v>251</v>
      </c>
      <c r="L349" s="135" t="s">
        <v>791</v>
      </c>
      <c r="M349" s="135"/>
      <c r="N349" s="11" t="s">
        <v>35</v>
      </c>
      <c r="O349" s="136">
        <v>43891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5.75" hidden="1" customHeight="1" x14ac:dyDescent="0.35">
      <c r="A350" s="134">
        <v>11</v>
      </c>
      <c r="B350" s="134" t="s">
        <v>49</v>
      </c>
      <c r="C350" s="11" t="s">
        <v>812</v>
      </c>
      <c r="D350" s="11" t="s">
        <v>818</v>
      </c>
      <c r="E350" s="11">
        <v>2</v>
      </c>
      <c r="F350" s="136">
        <v>40689</v>
      </c>
      <c r="G350" s="135" t="s">
        <v>813</v>
      </c>
      <c r="H350" s="135" t="s">
        <v>814</v>
      </c>
      <c r="I350" s="135" t="s">
        <v>819</v>
      </c>
      <c r="J350" s="137" t="s">
        <v>653</v>
      </c>
      <c r="K350" s="135" t="s">
        <v>212</v>
      </c>
      <c r="L350" s="135" t="s">
        <v>820</v>
      </c>
      <c r="M350" s="135" t="s">
        <v>65</v>
      </c>
      <c r="N350" s="11" t="s">
        <v>35</v>
      </c>
      <c r="O350" s="136">
        <v>43891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5.75" hidden="1" customHeight="1" x14ac:dyDescent="0.35">
      <c r="A351" s="134">
        <v>12</v>
      </c>
      <c r="B351" s="134" t="s">
        <v>89</v>
      </c>
      <c r="C351" s="11" t="s">
        <v>812</v>
      </c>
      <c r="D351" s="11" t="s">
        <v>818</v>
      </c>
      <c r="E351" s="11">
        <v>2</v>
      </c>
      <c r="F351" s="136">
        <v>40689</v>
      </c>
      <c r="G351" s="135" t="s">
        <v>813</v>
      </c>
      <c r="H351" s="135" t="s">
        <v>814</v>
      </c>
      <c r="I351" s="135" t="s">
        <v>819</v>
      </c>
      <c r="J351" s="137" t="s">
        <v>653</v>
      </c>
      <c r="K351" s="135" t="s">
        <v>167</v>
      </c>
      <c r="L351" s="135" t="s">
        <v>113</v>
      </c>
      <c r="M351" s="135" t="s">
        <v>65</v>
      </c>
      <c r="N351" s="11" t="s">
        <v>35</v>
      </c>
      <c r="O351" s="136">
        <v>43891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5.75" hidden="1" customHeight="1" x14ac:dyDescent="0.35">
      <c r="A352" s="134">
        <v>13</v>
      </c>
      <c r="B352" s="134" t="s">
        <v>49</v>
      </c>
      <c r="C352" s="11" t="s">
        <v>748</v>
      </c>
      <c r="D352" s="11" t="s">
        <v>821</v>
      </c>
      <c r="E352" s="11">
        <v>5</v>
      </c>
      <c r="F352" s="136">
        <v>39917</v>
      </c>
      <c r="G352" s="135" t="s">
        <v>822</v>
      </c>
      <c r="H352" s="135">
        <v>4087866787</v>
      </c>
      <c r="I352" s="135" t="s">
        <v>823</v>
      </c>
      <c r="J352" s="137">
        <v>43832</v>
      </c>
      <c r="K352" s="135" t="s">
        <v>130</v>
      </c>
      <c r="L352" s="135" t="s">
        <v>527</v>
      </c>
      <c r="M352" s="135"/>
      <c r="N352" s="11" t="s">
        <v>35</v>
      </c>
      <c r="O352" s="136">
        <v>43891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5.75" hidden="1" customHeight="1" x14ac:dyDescent="0.35">
      <c r="A353" s="134">
        <v>14</v>
      </c>
      <c r="B353" s="134" t="s">
        <v>89</v>
      </c>
      <c r="C353" s="11" t="s">
        <v>748</v>
      </c>
      <c r="D353" s="11" t="s">
        <v>821</v>
      </c>
      <c r="E353" s="11">
        <v>5</v>
      </c>
      <c r="F353" s="136">
        <v>39917</v>
      </c>
      <c r="G353" s="135" t="s">
        <v>822</v>
      </c>
      <c r="H353" s="135">
        <v>4087866787</v>
      </c>
      <c r="I353" s="135" t="s">
        <v>823</v>
      </c>
      <c r="J353" s="137">
        <v>43832</v>
      </c>
      <c r="K353" s="135" t="s">
        <v>163</v>
      </c>
      <c r="L353" s="135" t="s">
        <v>731</v>
      </c>
      <c r="M353" s="135"/>
      <c r="N353" s="11" t="s">
        <v>35</v>
      </c>
      <c r="O353" s="136">
        <v>43891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5.75" hidden="1" customHeight="1" x14ac:dyDescent="0.35">
      <c r="A354" s="134">
        <v>15</v>
      </c>
      <c r="B354" s="134" t="s">
        <v>49</v>
      </c>
      <c r="C354" s="11" t="s">
        <v>358</v>
      </c>
      <c r="D354" s="11" t="s">
        <v>642</v>
      </c>
      <c r="E354" s="11">
        <v>5</v>
      </c>
      <c r="F354" s="136">
        <v>39962</v>
      </c>
      <c r="G354" s="135" t="s">
        <v>824</v>
      </c>
      <c r="H354" s="135">
        <v>6696009086</v>
      </c>
      <c r="I354" s="135" t="s">
        <v>646</v>
      </c>
      <c r="J354" s="137">
        <v>43727</v>
      </c>
      <c r="K354" s="135" t="s">
        <v>130</v>
      </c>
      <c r="L354" s="135" t="s">
        <v>732</v>
      </c>
      <c r="M354" s="135"/>
      <c r="N354" s="11" t="s">
        <v>35</v>
      </c>
      <c r="O354" s="136">
        <v>43891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5.75" hidden="1" customHeight="1" x14ac:dyDescent="0.35">
      <c r="A355" s="134">
        <v>16</v>
      </c>
      <c r="B355" s="134" t="s">
        <v>49</v>
      </c>
      <c r="C355" s="11" t="s">
        <v>748</v>
      </c>
      <c r="D355" s="11" t="s">
        <v>294</v>
      </c>
      <c r="E355" s="11" t="s">
        <v>149</v>
      </c>
      <c r="F355" s="136" t="s">
        <v>825</v>
      </c>
      <c r="G355" s="135" t="s">
        <v>826</v>
      </c>
      <c r="H355" s="135">
        <v>6268985588</v>
      </c>
      <c r="I355" s="135" t="s">
        <v>827</v>
      </c>
      <c r="J355" s="137" t="s">
        <v>690</v>
      </c>
      <c r="K355" s="135" t="s">
        <v>109</v>
      </c>
      <c r="L355" s="135" t="s">
        <v>772</v>
      </c>
      <c r="M355" s="135"/>
      <c r="N355" s="11" t="s">
        <v>35</v>
      </c>
      <c r="O355" s="136">
        <v>43891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5.75" hidden="1" customHeight="1" x14ac:dyDescent="0.35">
      <c r="A356" s="134">
        <v>17</v>
      </c>
      <c r="B356" s="134" t="s">
        <v>89</v>
      </c>
      <c r="C356" s="11" t="s">
        <v>748</v>
      </c>
      <c r="D356" s="11" t="s">
        <v>294</v>
      </c>
      <c r="E356" s="11" t="s">
        <v>149</v>
      </c>
      <c r="F356" s="136" t="s">
        <v>825</v>
      </c>
      <c r="G356" s="135" t="s">
        <v>826</v>
      </c>
      <c r="H356" s="135">
        <v>6268985588</v>
      </c>
      <c r="I356" s="135" t="s">
        <v>827</v>
      </c>
      <c r="J356" s="137" t="s">
        <v>690</v>
      </c>
      <c r="K356" s="135" t="s">
        <v>120</v>
      </c>
      <c r="L356" s="135" t="s">
        <v>828</v>
      </c>
      <c r="M356" s="135"/>
      <c r="N356" s="11" t="s">
        <v>35</v>
      </c>
      <c r="O356" s="136">
        <v>43891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5.75" hidden="1" customHeight="1" x14ac:dyDescent="0.35">
      <c r="A357" s="134">
        <v>18</v>
      </c>
      <c r="B357" s="134" t="s">
        <v>49</v>
      </c>
      <c r="C357" s="11" t="s">
        <v>584</v>
      </c>
      <c r="D357" s="11" t="s">
        <v>829</v>
      </c>
      <c r="E357" s="11">
        <v>3</v>
      </c>
      <c r="F357" s="136" t="s">
        <v>830</v>
      </c>
      <c r="G357" s="135" t="s">
        <v>831</v>
      </c>
      <c r="H357" s="135">
        <v>4086740184</v>
      </c>
      <c r="I357" s="135" t="s">
        <v>832</v>
      </c>
      <c r="J357" s="137" t="s">
        <v>653</v>
      </c>
      <c r="K357" s="135" t="s">
        <v>202</v>
      </c>
      <c r="L357" s="135" t="s">
        <v>156</v>
      </c>
      <c r="M357" s="135" t="s">
        <v>833</v>
      </c>
      <c r="N357" s="11" t="s">
        <v>35</v>
      </c>
      <c r="O357" s="136">
        <v>43891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5.75" hidden="1" customHeight="1" x14ac:dyDescent="0.35">
      <c r="A358" s="134">
        <v>19</v>
      </c>
      <c r="B358" s="134" t="s">
        <v>89</v>
      </c>
      <c r="C358" s="11" t="s">
        <v>584</v>
      </c>
      <c r="D358" s="11" t="s">
        <v>829</v>
      </c>
      <c r="E358" s="11">
        <v>4</v>
      </c>
      <c r="F358" s="136">
        <v>40227</v>
      </c>
      <c r="G358" s="135" t="s">
        <v>831</v>
      </c>
      <c r="H358" s="135">
        <v>4086740184</v>
      </c>
      <c r="I358" s="135" t="s">
        <v>832</v>
      </c>
      <c r="J358" s="137" t="s">
        <v>690</v>
      </c>
      <c r="K358" s="135" t="s">
        <v>132</v>
      </c>
      <c r="L358" s="135" t="s">
        <v>834</v>
      </c>
      <c r="M358" s="135" t="s">
        <v>833</v>
      </c>
      <c r="N358" s="11" t="s">
        <v>35</v>
      </c>
      <c r="O358" s="136">
        <v>43891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5.75" hidden="1" customHeight="1" x14ac:dyDescent="0.35">
      <c r="A359" s="134">
        <v>20</v>
      </c>
      <c r="B359" s="134" t="s">
        <v>49</v>
      </c>
      <c r="C359" s="11" t="s">
        <v>748</v>
      </c>
      <c r="D359" s="11" t="s">
        <v>835</v>
      </c>
      <c r="E359" s="11">
        <v>3</v>
      </c>
      <c r="F359" s="136" t="s">
        <v>836</v>
      </c>
      <c r="G359" s="135" t="s">
        <v>826</v>
      </c>
      <c r="H359" s="135">
        <v>6268985588</v>
      </c>
      <c r="I359" s="135" t="s">
        <v>827</v>
      </c>
      <c r="J359" s="137" t="s">
        <v>690</v>
      </c>
      <c r="K359" s="135" t="s">
        <v>256</v>
      </c>
      <c r="L359" s="135" t="s">
        <v>530</v>
      </c>
      <c r="M359" s="135"/>
      <c r="N359" s="11" t="s">
        <v>35</v>
      </c>
      <c r="O359" s="136">
        <v>43891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5.75" hidden="1" customHeight="1" x14ac:dyDescent="0.35">
      <c r="A360" s="134">
        <v>21</v>
      </c>
      <c r="B360" s="134" t="s">
        <v>89</v>
      </c>
      <c r="C360" s="11" t="s">
        <v>748</v>
      </c>
      <c r="D360" s="11" t="s">
        <v>835</v>
      </c>
      <c r="E360" s="11">
        <v>3</v>
      </c>
      <c r="F360" s="136" t="s">
        <v>836</v>
      </c>
      <c r="G360" s="135" t="s">
        <v>826</v>
      </c>
      <c r="H360" s="135">
        <v>6268985588</v>
      </c>
      <c r="I360" s="135" t="s">
        <v>827</v>
      </c>
      <c r="J360" s="137" t="s">
        <v>690</v>
      </c>
      <c r="K360" s="135" t="s">
        <v>261</v>
      </c>
      <c r="L360" s="135" t="s">
        <v>238</v>
      </c>
      <c r="M360" s="135"/>
      <c r="N360" s="11" t="s">
        <v>35</v>
      </c>
      <c r="O360" s="136">
        <v>43891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5.75" hidden="1" customHeight="1" x14ac:dyDescent="0.35">
      <c r="A361" s="134">
        <v>22</v>
      </c>
      <c r="B361" s="134" t="s">
        <v>49</v>
      </c>
      <c r="C361" s="11" t="s">
        <v>465</v>
      </c>
      <c r="D361" s="11" t="s">
        <v>837</v>
      </c>
      <c r="E361" s="11">
        <v>1</v>
      </c>
      <c r="F361" s="136">
        <v>41009</v>
      </c>
      <c r="G361" s="135" t="s">
        <v>838</v>
      </c>
      <c r="H361" s="135" t="s">
        <v>839</v>
      </c>
      <c r="I361" s="135" t="s">
        <v>840</v>
      </c>
      <c r="J361" s="137">
        <v>43525</v>
      </c>
      <c r="K361" s="135" t="s">
        <v>120</v>
      </c>
      <c r="L361" s="135" t="s">
        <v>527</v>
      </c>
      <c r="M361" s="135"/>
      <c r="N361" s="11" t="s">
        <v>35</v>
      </c>
      <c r="O361" s="136">
        <v>43891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5.75" hidden="1" customHeight="1" x14ac:dyDescent="0.35">
      <c r="A362" s="134">
        <v>23</v>
      </c>
      <c r="B362" s="134" t="s">
        <v>89</v>
      </c>
      <c r="C362" s="11" t="s">
        <v>841</v>
      </c>
      <c r="D362" s="11" t="s">
        <v>842</v>
      </c>
      <c r="E362" s="11">
        <v>9</v>
      </c>
      <c r="F362" s="136" t="s">
        <v>843</v>
      </c>
      <c r="G362" s="135" t="s">
        <v>844</v>
      </c>
      <c r="H362" s="135">
        <v>5108965652</v>
      </c>
      <c r="I362" s="135" t="s">
        <v>845</v>
      </c>
      <c r="J362" s="137" t="s">
        <v>846</v>
      </c>
      <c r="K362" s="135" t="s">
        <v>163</v>
      </c>
      <c r="L362" s="135" t="s">
        <v>731</v>
      </c>
      <c r="M362" s="135"/>
      <c r="N362" s="11" t="s">
        <v>35</v>
      </c>
      <c r="O362" s="136">
        <v>43891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5.75" hidden="1" customHeight="1" x14ac:dyDescent="0.35">
      <c r="A363" s="134">
        <v>24</v>
      </c>
      <c r="B363" s="134" t="s">
        <v>89</v>
      </c>
      <c r="C363" s="11" t="s">
        <v>606</v>
      </c>
      <c r="D363" s="11" t="s">
        <v>847</v>
      </c>
      <c r="E363" s="11">
        <v>11</v>
      </c>
      <c r="F363" s="136">
        <v>37781</v>
      </c>
      <c r="G363" s="135" t="s">
        <v>848</v>
      </c>
      <c r="H363" s="135" t="s">
        <v>849</v>
      </c>
      <c r="I363" s="135" t="s">
        <v>850</v>
      </c>
      <c r="J363" s="137">
        <v>43709</v>
      </c>
      <c r="K363" s="135" t="s">
        <v>240</v>
      </c>
      <c r="L363" s="135" t="s">
        <v>238</v>
      </c>
      <c r="M363" s="135"/>
      <c r="N363" s="11" t="s">
        <v>35</v>
      </c>
      <c r="O363" s="136">
        <v>43891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5.75" hidden="1" customHeight="1" x14ac:dyDescent="0.35">
      <c r="A364" s="134">
        <v>25</v>
      </c>
      <c r="B364" s="134" t="s">
        <v>49</v>
      </c>
      <c r="C364" s="11" t="s">
        <v>851</v>
      </c>
      <c r="D364" s="11" t="s">
        <v>852</v>
      </c>
      <c r="E364" s="11">
        <v>5</v>
      </c>
      <c r="F364" s="136" t="s">
        <v>65</v>
      </c>
      <c r="G364" s="135" t="s">
        <v>853</v>
      </c>
      <c r="H364" s="135" t="s">
        <v>854</v>
      </c>
      <c r="I364" s="135" t="s">
        <v>855</v>
      </c>
      <c r="J364" s="137">
        <v>43348</v>
      </c>
      <c r="K364" s="135" t="s">
        <v>212</v>
      </c>
      <c r="L364" s="135" t="s">
        <v>856</v>
      </c>
      <c r="M364" s="135" t="s">
        <v>65</v>
      </c>
      <c r="N364" s="11" t="s">
        <v>35</v>
      </c>
      <c r="O364" s="136">
        <v>43891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5.75" hidden="1" customHeight="1" x14ac:dyDescent="0.35">
      <c r="A365" s="134">
        <v>26</v>
      </c>
      <c r="B365" s="134" t="s">
        <v>49</v>
      </c>
      <c r="C365" s="11" t="s">
        <v>805</v>
      </c>
      <c r="D365" s="11" t="s">
        <v>857</v>
      </c>
      <c r="E365" s="11" t="s">
        <v>149</v>
      </c>
      <c r="F365" s="136" t="s">
        <v>858</v>
      </c>
      <c r="G365" s="135" t="s">
        <v>807</v>
      </c>
      <c r="H365" s="135" t="s">
        <v>808</v>
      </c>
      <c r="I365" s="135" t="s">
        <v>809</v>
      </c>
      <c r="J365" s="137" t="s">
        <v>810</v>
      </c>
      <c r="K365" s="135" t="s">
        <v>161</v>
      </c>
      <c r="L365" s="135" t="s">
        <v>758</v>
      </c>
      <c r="M365" s="135" t="s">
        <v>802</v>
      </c>
      <c r="N365" s="11" t="s">
        <v>35</v>
      </c>
      <c r="O365" s="136">
        <v>43891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5.75" hidden="1" customHeight="1" x14ac:dyDescent="0.35">
      <c r="A366" s="134">
        <v>27</v>
      </c>
      <c r="B366" s="134" t="s">
        <v>89</v>
      </c>
      <c r="C366" s="11" t="s">
        <v>805</v>
      </c>
      <c r="D366" s="11" t="s">
        <v>857</v>
      </c>
      <c r="E366" s="11" t="s">
        <v>149</v>
      </c>
      <c r="F366" s="136" t="s">
        <v>858</v>
      </c>
      <c r="G366" s="135" t="s">
        <v>807</v>
      </c>
      <c r="H366" s="135" t="s">
        <v>808</v>
      </c>
      <c r="I366" s="135" t="s">
        <v>809</v>
      </c>
      <c r="J366" s="137" t="s">
        <v>810</v>
      </c>
      <c r="K366" s="135" t="s">
        <v>146</v>
      </c>
      <c r="L366" s="135" t="s">
        <v>527</v>
      </c>
      <c r="M366" s="135"/>
      <c r="N366" s="11" t="s">
        <v>35</v>
      </c>
      <c r="O366" s="136">
        <v>43891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5.75" hidden="1" customHeight="1" x14ac:dyDescent="0.35">
      <c r="A367" s="134">
        <v>28</v>
      </c>
      <c r="B367" s="134" t="s">
        <v>49</v>
      </c>
      <c r="C367" s="11" t="s">
        <v>437</v>
      </c>
      <c r="D367" s="11" t="s">
        <v>450</v>
      </c>
      <c r="E367" s="11" t="s">
        <v>180</v>
      </c>
      <c r="F367" s="136" t="s">
        <v>859</v>
      </c>
      <c r="G367" s="135" t="s">
        <v>860</v>
      </c>
      <c r="H367" s="135">
        <v>4082057865</v>
      </c>
      <c r="I367" s="135" t="s">
        <v>861</v>
      </c>
      <c r="J367" s="137" t="s">
        <v>862</v>
      </c>
      <c r="K367" s="135" t="s">
        <v>384</v>
      </c>
      <c r="L367" s="135" t="s">
        <v>624</v>
      </c>
      <c r="M367" s="135"/>
      <c r="N367" s="11" t="s">
        <v>35</v>
      </c>
      <c r="O367" s="136">
        <v>43891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5.75" hidden="1" customHeight="1" x14ac:dyDescent="0.35">
      <c r="A368" s="134">
        <v>29</v>
      </c>
      <c r="B368" s="134" t="s">
        <v>89</v>
      </c>
      <c r="C368" s="11" t="s">
        <v>437</v>
      </c>
      <c r="D368" s="11" t="s">
        <v>450</v>
      </c>
      <c r="E368" s="11" t="s">
        <v>180</v>
      </c>
      <c r="F368" s="136" t="s">
        <v>859</v>
      </c>
      <c r="G368" s="135" t="s">
        <v>860</v>
      </c>
      <c r="H368" s="135">
        <v>4082057865</v>
      </c>
      <c r="I368" s="135" t="s">
        <v>861</v>
      </c>
      <c r="J368" s="137" t="s">
        <v>862</v>
      </c>
      <c r="K368" s="135" t="s">
        <v>251</v>
      </c>
      <c r="L368" s="135" t="s">
        <v>863</v>
      </c>
      <c r="M368" s="135"/>
      <c r="N368" s="11" t="s">
        <v>35</v>
      </c>
      <c r="O368" s="136">
        <v>43891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5.75" hidden="1" customHeight="1" x14ac:dyDescent="0.35">
      <c r="A369" s="134">
        <v>30</v>
      </c>
      <c r="B369" s="134" t="s">
        <v>49</v>
      </c>
      <c r="C369" s="11" t="s">
        <v>252</v>
      </c>
      <c r="D369" s="11" t="s">
        <v>864</v>
      </c>
      <c r="E369" s="11">
        <v>3</v>
      </c>
      <c r="F369" s="136" t="s">
        <v>865</v>
      </c>
      <c r="G369" s="135" t="s">
        <v>866</v>
      </c>
      <c r="H369" s="135" t="s">
        <v>867</v>
      </c>
      <c r="I369" s="135" t="s">
        <v>868</v>
      </c>
      <c r="J369" s="137" t="s">
        <v>869</v>
      </c>
      <c r="K369" s="135" t="s">
        <v>202</v>
      </c>
      <c r="L369" s="135" t="s">
        <v>820</v>
      </c>
      <c r="M369" s="135"/>
      <c r="N369" s="11" t="s">
        <v>35</v>
      </c>
      <c r="O369" s="136">
        <v>43891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5.75" hidden="1" customHeight="1" x14ac:dyDescent="0.35">
      <c r="A370" s="134">
        <v>31</v>
      </c>
      <c r="B370" s="134" t="s">
        <v>89</v>
      </c>
      <c r="C370" s="11" t="s">
        <v>252</v>
      </c>
      <c r="D370" s="11" t="s">
        <v>864</v>
      </c>
      <c r="E370" s="11">
        <v>3</v>
      </c>
      <c r="F370" s="136" t="s">
        <v>865</v>
      </c>
      <c r="G370" s="135" t="s">
        <v>866</v>
      </c>
      <c r="H370" s="135" t="s">
        <v>867</v>
      </c>
      <c r="I370" s="135" t="s">
        <v>868</v>
      </c>
      <c r="J370" s="137" t="s">
        <v>869</v>
      </c>
      <c r="K370" s="135" t="s">
        <v>132</v>
      </c>
      <c r="L370" s="135" t="s">
        <v>820</v>
      </c>
      <c r="M370" s="135"/>
      <c r="N370" s="11" t="s">
        <v>35</v>
      </c>
      <c r="O370" s="136">
        <v>43891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5.75" hidden="1" customHeight="1" x14ac:dyDescent="0.35">
      <c r="A371" s="134">
        <v>1</v>
      </c>
      <c r="B371" s="134" t="s">
        <v>49</v>
      </c>
      <c r="C371" s="11" t="s">
        <v>358</v>
      </c>
      <c r="D371" s="11" t="s">
        <v>687</v>
      </c>
      <c r="E371" s="11">
        <v>3</v>
      </c>
      <c r="F371" s="136">
        <v>40760</v>
      </c>
      <c r="G371" s="135" t="s">
        <v>870</v>
      </c>
      <c r="H371" s="135">
        <v>4088070062</v>
      </c>
      <c r="I371" s="135" t="s">
        <v>689</v>
      </c>
      <c r="J371" s="137" t="s">
        <v>690</v>
      </c>
      <c r="K371" s="135" t="s">
        <v>691</v>
      </c>
      <c r="L371" s="135" t="s">
        <v>640</v>
      </c>
      <c r="M371" s="135" t="s">
        <v>871</v>
      </c>
      <c r="N371" s="11" t="s">
        <v>35</v>
      </c>
      <c r="O371" s="136">
        <v>43922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5.75" hidden="1" customHeight="1" x14ac:dyDescent="0.35">
      <c r="A372" s="134">
        <v>2</v>
      </c>
      <c r="B372" s="134" t="s">
        <v>49</v>
      </c>
      <c r="C372" s="11" t="s">
        <v>358</v>
      </c>
      <c r="D372" s="11" t="s">
        <v>872</v>
      </c>
      <c r="E372" s="11">
        <v>2</v>
      </c>
      <c r="F372" s="136">
        <v>40477</v>
      </c>
      <c r="G372" s="135" t="s">
        <v>873</v>
      </c>
      <c r="H372" s="135" t="s">
        <v>874</v>
      </c>
      <c r="I372" s="135" t="s">
        <v>875</v>
      </c>
      <c r="J372" s="137" t="s">
        <v>653</v>
      </c>
      <c r="K372" s="135" t="s">
        <v>130</v>
      </c>
      <c r="L372" s="135" t="s">
        <v>640</v>
      </c>
      <c r="M372" s="135" t="s">
        <v>871</v>
      </c>
      <c r="N372" s="11" t="s">
        <v>35</v>
      </c>
      <c r="O372" s="136">
        <v>43922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5.75" hidden="1" customHeight="1" x14ac:dyDescent="0.35">
      <c r="A373" s="134">
        <v>3</v>
      </c>
      <c r="B373" s="134" t="s">
        <v>89</v>
      </c>
      <c r="C373" s="11" t="s">
        <v>358</v>
      </c>
      <c r="D373" s="11" t="s">
        <v>872</v>
      </c>
      <c r="E373" s="11">
        <v>2</v>
      </c>
      <c r="F373" s="136">
        <v>40477</v>
      </c>
      <c r="G373" s="135" t="s">
        <v>873</v>
      </c>
      <c r="H373" s="135" t="s">
        <v>874</v>
      </c>
      <c r="I373" s="135" t="s">
        <v>876</v>
      </c>
      <c r="J373" s="137" t="s">
        <v>653</v>
      </c>
      <c r="K373" s="135" t="s">
        <v>301</v>
      </c>
      <c r="L373" s="135" t="s">
        <v>640</v>
      </c>
      <c r="M373" s="135" t="s">
        <v>871</v>
      </c>
      <c r="N373" s="11" t="s">
        <v>35</v>
      </c>
      <c r="O373" s="136">
        <v>43922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5.75" hidden="1" customHeight="1" x14ac:dyDescent="0.35">
      <c r="A374" s="134">
        <v>4</v>
      </c>
      <c r="B374" s="134" t="s">
        <v>89</v>
      </c>
      <c r="C374" s="11" t="s">
        <v>877</v>
      </c>
      <c r="D374" s="11" t="s">
        <v>878</v>
      </c>
      <c r="E374" s="11" t="s">
        <v>180</v>
      </c>
      <c r="F374" s="136" t="s">
        <v>879</v>
      </c>
      <c r="G374" s="135" t="s">
        <v>880</v>
      </c>
      <c r="H374" s="135" t="s">
        <v>881</v>
      </c>
      <c r="I374" s="135" t="s">
        <v>855</v>
      </c>
      <c r="J374" s="137">
        <v>43556</v>
      </c>
      <c r="K374" s="135" t="s">
        <v>167</v>
      </c>
      <c r="L374" s="135" t="s">
        <v>605</v>
      </c>
      <c r="M374" s="135" t="s">
        <v>871</v>
      </c>
      <c r="N374" s="11" t="s">
        <v>35</v>
      </c>
      <c r="O374" s="136">
        <v>43922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5.75" hidden="1" customHeight="1" x14ac:dyDescent="0.35">
      <c r="A375" s="134">
        <v>5</v>
      </c>
      <c r="B375" s="134" t="s">
        <v>49</v>
      </c>
      <c r="C375" s="11" t="s">
        <v>584</v>
      </c>
      <c r="D375" s="11" t="s">
        <v>882</v>
      </c>
      <c r="E375" s="11" t="s">
        <v>180</v>
      </c>
      <c r="F375" s="136">
        <v>41793</v>
      </c>
      <c r="G375" s="135" t="s">
        <v>883</v>
      </c>
      <c r="H375" s="135">
        <v>4086246532</v>
      </c>
      <c r="I375" s="135" t="s">
        <v>884</v>
      </c>
      <c r="J375" s="137">
        <v>43849</v>
      </c>
      <c r="K375" s="135" t="s">
        <v>182</v>
      </c>
      <c r="L375" s="135" t="s">
        <v>640</v>
      </c>
      <c r="M375" s="135" t="s">
        <v>871</v>
      </c>
      <c r="N375" s="11" t="s">
        <v>35</v>
      </c>
      <c r="O375" s="136">
        <v>43922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5.75" hidden="1" customHeight="1" x14ac:dyDescent="0.35">
      <c r="A376" s="134">
        <v>6</v>
      </c>
      <c r="B376" s="134" t="s">
        <v>89</v>
      </c>
      <c r="C376" s="11" t="s">
        <v>134</v>
      </c>
      <c r="D376" s="11" t="s">
        <v>885</v>
      </c>
      <c r="E376" s="11">
        <v>5</v>
      </c>
      <c r="F376" s="136" t="s">
        <v>886</v>
      </c>
      <c r="G376" s="135" t="s">
        <v>887</v>
      </c>
      <c r="H376" s="135" t="s">
        <v>888</v>
      </c>
      <c r="I376" s="135" t="s">
        <v>819</v>
      </c>
      <c r="J376" s="137">
        <v>43101</v>
      </c>
      <c r="K376" s="135" t="s">
        <v>261</v>
      </c>
      <c r="L376" s="135" t="s">
        <v>863</v>
      </c>
      <c r="M376" s="135" t="s">
        <v>871</v>
      </c>
      <c r="N376" s="11" t="s">
        <v>35</v>
      </c>
      <c r="O376" s="136">
        <v>43922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5.75" hidden="1" customHeight="1" x14ac:dyDescent="0.35">
      <c r="A377" s="134">
        <v>7</v>
      </c>
      <c r="B377" s="134" t="s">
        <v>49</v>
      </c>
      <c r="C377" s="11" t="s">
        <v>134</v>
      </c>
      <c r="D377" s="11" t="s">
        <v>885</v>
      </c>
      <c r="E377" s="11">
        <v>5</v>
      </c>
      <c r="F377" s="136" t="s">
        <v>886</v>
      </c>
      <c r="G377" s="135" t="s">
        <v>887</v>
      </c>
      <c r="H377" s="135" t="s">
        <v>888</v>
      </c>
      <c r="I377" s="135" t="s">
        <v>819</v>
      </c>
      <c r="J377" s="137" t="s">
        <v>647</v>
      </c>
      <c r="K377" s="135" t="s">
        <v>153</v>
      </c>
      <c r="L377" s="135" t="s">
        <v>620</v>
      </c>
      <c r="M377" s="135" t="s">
        <v>871</v>
      </c>
      <c r="N377" s="11" t="s">
        <v>35</v>
      </c>
      <c r="O377" s="136">
        <v>43922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5.75" hidden="1" customHeight="1" x14ac:dyDescent="0.35">
      <c r="A378" s="134">
        <v>8</v>
      </c>
      <c r="B378" s="134" t="s">
        <v>49</v>
      </c>
      <c r="C378" s="11" t="s">
        <v>889</v>
      </c>
      <c r="D378" s="11" t="s">
        <v>890</v>
      </c>
      <c r="E378" s="11">
        <v>1</v>
      </c>
      <c r="F378" s="136">
        <v>41245</v>
      </c>
      <c r="G378" s="135" t="s">
        <v>891</v>
      </c>
      <c r="H378" s="135">
        <v>3523281504</v>
      </c>
      <c r="I378" s="135" t="s">
        <v>892</v>
      </c>
      <c r="J378" s="137">
        <v>43836</v>
      </c>
      <c r="K378" s="135" t="s">
        <v>161</v>
      </c>
      <c r="L378" s="135" t="s">
        <v>640</v>
      </c>
      <c r="M378" s="135" t="s">
        <v>871</v>
      </c>
      <c r="N378" s="11" t="s">
        <v>35</v>
      </c>
      <c r="O378" s="136">
        <v>43922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5.75" hidden="1" customHeight="1" x14ac:dyDescent="0.35">
      <c r="A379" s="134">
        <v>9</v>
      </c>
      <c r="B379" s="134" t="s">
        <v>89</v>
      </c>
      <c r="C379" s="11" t="s">
        <v>889</v>
      </c>
      <c r="D379" s="11" t="s">
        <v>890</v>
      </c>
      <c r="E379" s="11">
        <v>1</v>
      </c>
      <c r="F379" s="136">
        <v>41245</v>
      </c>
      <c r="G379" s="135" t="s">
        <v>891</v>
      </c>
      <c r="H379" s="135">
        <v>3523281504</v>
      </c>
      <c r="I379" s="135" t="s">
        <v>892</v>
      </c>
      <c r="J379" s="137">
        <v>43836</v>
      </c>
      <c r="K379" s="135" t="s">
        <v>132</v>
      </c>
      <c r="L379" s="135" t="s">
        <v>640</v>
      </c>
      <c r="M379" s="135" t="s">
        <v>871</v>
      </c>
      <c r="N379" s="11" t="s">
        <v>35</v>
      </c>
      <c r="O379" s="136">
        <v>43922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5.75" hidden="1" customHeight="1" x14ac:dyDescent="0.35">
      <c r="A380" s="134">
        <v>10</v>
      </c>
      <c r="B380" s="134" t="s">
        <v>49</v>
      </c>
      <c r="C380" s="11" t="s">
        <v>545</v>
      </c>
      <c r="D380" s="11" t="s">
        <v>546</v>
      </c>
      <c r="E380" s="11" t="s">
        <v>180</v>
      </c>
      <c r="F380" s="136" t="s">
        <v>547</v>
      </c>
      <c r="G380" s="135" t="s">
        <v>548</v>
      </c>
      <c r="H380" s="135" t="s">
        <v>549</v>
      </c>
      <c r="I380" s="135" t="s">
        <v>550</v>
      </c>
      <c r="J380" s="137" t="s">
        <v>690</v>
      </c>
      <c r="K380" s="135" t="s">
        <v>130</v>
      </c>
      <c r="L380" s="135" t="s">
        <v>640</v>
      </c>
      <c r="M380" s="135" t="s">
        <v>871</v>
      </c>
      <c r="N380" s="11" t="s">
        <v>35</v>
      </c>
      <c r="O380" s="136">
        <v>43922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5.75" hidden="1" customHeight="1" x14ac:dyDescent="0.35">
      <c r="A381" s="134">
        <v>11</v>
      </c>
      <c r="B381" s="134" t="s">
        <v>49</v>
      </c>
      <c r="C381" s="11" t="s">
        <v>545</v>
      </c>
      <c r="D381" s="11" t="s">
        <v>553</v>
      </c>
      <c r="E381" s="11" t="s">
        <v>180</v>
      </c>
      <c r="F381" s="136" t="s">
        <v>547</v>
      </c>
      <c r="G381" s="135" t="s">
        <v>548</v>
      </c>
      <c r="H381" s="135" t="s">
        <v>549</v>
      </c>
      <c r="I381" s="135" t="s">
        <v>550</v>
      </c>
      <c r="J381" s="137" t="s">
        <v>690</v>
      </c>
      <c r="K381" s="135" t="s">
        <v>109</v>
      </c>
      <c r="L381" s="135" t="s">
        <v>640</v>
      </c>
      <c r="M381" s="135" t="s">
        <v>871</v>
      </c>
      <c r="N381" s="11" t="s">
        <v>35</v>
      </c>
      <c r="O381" s="136">
        <v>43922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5.75" hidden="1" customHeight="1" x14ac:dyDescent="0.35">
      <c r="A382" s="134">
        <v>12</v>
      </c>
      <c r="B382" s="134" t="s">
        <v>49</v>
      </c>
      <c r="C382" s="11" t="s">
        <v>893</v>
      </c>
      <c r="D382" s="11" t="s">
        <v>894</v>
      </c>
      <c r="E382" s="11">
        <v>4</v>
      </c>
      <c r="F382" s="136" t="s">
        <v>895</v>
      </c>
      <c r="G382" s="135" t="s">
        <v>896</v>
      </c>
      <c r="H382" s="135">
        <v>5104900280</v>
      </c>
      <c r="I382" s="135" t="s">
        <v>868</v>
      </c>
      <c r="J382" s="137" t="s">
        <v>653</v>
      </c>
      <c r="K382" s="135" t="s">
        <v>384</v>
      </c>
      <c r="L382" s="135" t="s">
        <v>640</v>
      </c>
      <c r="M382" s="135" t="s">
        <v>871</v>
      </c>
      <c r="N382" s="11" t="s">
        <v>35</v>
      </c>
      <c r="O382" s="136">
        <v>43922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5.75" hidden="1" customHeight="1" x14ac:dyDescent="0.35">
      <c r="A383" s="134">
        <v>13</v>
      </c>
      <c r="B383" s="134" t="s">
        <v>89</v>
      </c>
      <c r="C383" s="11" t="s">
        <v>893</v>
      </c>
      <c r="D383" s="11" t="s">
        <v>894</v>
      </c>
      <c r="E383" s="11">
        <v>4</v>
      </c>
      <c r="F383" s="136" t="s">
        <v>895</v>
      </c>
      <c r="G383" s="135" t="s">
        <v>896</v>
      </c>
      <c r="H383" s="135">
        <v>5104900280</v>
      </c>
      <c r="I383" s="135" t="s">
        <v>868</v>
      </c>
      <c r="J383" s="137" t="s">
        <v>653</v>
      </c>
      <c r="K383" s="135" t="s">
        <v>251</v>
      </c>
      <c r="L383" s="135" t="s">
        <v>288</v>
      </c>
      <c r="M383" s="135" t="s">
        <v>871</v>
      </c>
      <c r="N383" s="11" t="s">
        <v>35</v>
      </c>
      <c r="O383" s="136">
        <v>43922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5.75" hidden="1" customHeight="1" x14ac:dyDescent="0.35">
      <c r="A384" s="134">
        <v>14</v>
      </c>
      <c r="B384" s="134" t="s">
        <v>49</v>
      </c>
      <c r="C384" s="11" t="s">
        <v>573</v>
      </c>
      <c r="D384" s="11" t="s">
        <v>574</v>
      </c>
      <c r="E384" s="11">
        <v>7</v>
      </c>
      <c r="F384" s="136">
        <v>39175</v>
      </c>
      <c r="G384" s="135" t="s">
        <v>897</v>
      </c>
      <c r="H384" s="135" t="s">
        <v>576</v>
      </c>
      <c r="I384" s="135" t="e">
        <v>#REF!</v>
      </c>
      <c r="J384" s="137">
        <v>43689</v>
      </c>
      <c r="K384" s="135" t="s">
        <v>237</v>
      </c>
      <c r="L384" s="135" t="s">
        <v>640</v>
      </c>
      <c r="M384" s="135" t="s">
        <v>898</v>
      </c>
      <c r="N384" s="11" t="s">
        <v>35</v>
      </c>
      <c r="O384" s="136">
        <v>43922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5.75" hidden="1" customHeight="1" x14ac:dyDescent="0.35">
      <c r="A385" s="134">
        <v>15</v>
      </c>
      <c r="B385" s="134" t="s">
        <v>89</v>
      </c>
      <c r="C385" s="11" t="s">
        <v>573</v>
      </c>
      <c r="D385" s="11" t="s">
        <v>574</v>
      </c>
      <c r="E385" s="11">
        <v>7</v>
      </c>
      <c r="F385" s="136">
        <v>39175</v>
      </c>
      <c r="G385" s="135" t="s">
        <v>897</v>
      </c>
      <c r="H385" s="135" t="s">
        <v>576</v>
      </c>
      <c r="I385" s="135" t="e">
        <v>#REF!</v>
      </c>
      <c r="J385" s="137">
        <v>43689</v>
      </c>
      <c r="K385" s="135" t="s">
        <v>216</v>
      </c>
      <c r="L385" s="135" t="s">
        <v>640</v>
      </c>
      <c r="M385" s="135" t="s">
        <v>898</v>
      </c>
      <c r="N385" s="11" t="s">
        <v>35</v>
      </c>
      <c r="O385" s="136">
        <v>43922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5.75" hidden="1" customHeight="1" x14ac:dyDescent="0.35">
      <c r="A386" s="134">
        <v>16</v>
      </c>
      <c r="B386" s="134" t="s">
        <v>49</v>
      </c>
      <c r="C386" s="11" t="s">
        <v>545</v>
      </c>
      <c r="D386" s="11" t="s">
        <v>554</v>
      </c>
      <c r="E386" s="11" t="s">
        <v>180</v>
      </c>
      <c r="F386" s="136" t="s">
        <v>547</v>
      </c>
      <c r="G386" s="135" t="s">
        <v>548</v>
      </c>
      <c r="H386" s="135" t="s">
        <v>549</v>
      </c>
      <c r="I386" s="135" t="s">
        <v>550</v>
      </c>
      <c r="J386" s="137" t="s">
        <v>690</v>
      </c>
      <c r="K386" s="135" t="s">
        <v>130</v>
      </c>
      <c r="L386" s="135" t="s">
        <v>640</v>
      </c>
      <c r="M386" s="135" t="s">
        <v>871</v>
      </c>
      <c r="N386" s="11" t="s">
        <v>35</v>
      </c>
      <c r="O386" s="136">
        <v>43922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5.75" hidden="1" customHeight="1" x14ac:dyDescent="0.35">
      <c r="A387" s="134">
        <v>17</v>
      </c>
      <c r="B387" s="134" t="s">
        <v>49</v>
      </c>
      <c r="C387" s="11" t="s">
        <v>625</v>
      </c>
      <c r="D387" s="11" t="s">
        <v>626</v>
      </c>
      <c r="E387" s="11">
        <v>6</v>
      </c>
      <c r="F387" s="136">
        <v>43878</v>
      </c>
      <c r="G387" s="135" t="s">
        <v>627</v>
      </c>
      <c r="H387" s="135" t="s">
        <v>628</v>
      </c>
      <c r="I387" s="135" t="s">
        <v>629</v>
      </c>
      <c r="J387" s="137" t="s">
        <v>690</v>
      </c>
      <c r="K387" s="135" t="s">
        <v>153</v>
      </c>
      <c r="L387" s="135" t="s">
        <v>640</v>
      </c>
      <c r="M387" s="135" t="s">
        <v>871</v>
      </c>
      <c r="N387" s="11" t="s">
        <v>35</v>
      </c>
      <c r="O387" s="136">
        <v>43922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5.75" hidden="1" customHeight="1" x14ac:dyDescent="0.35">
      <c r="A388" s="134">
        <v>18</v>
      </c>
      <c r="B388" s="134" t="s">
        <v>89</v>
      </c>
      <c r="C388" s="11" t="s">
        <v>625</v>
      </c>
      <c r="D388" s="11" t="s">
        <v>626</v>
      </c>
      <c r="E388" s="11">
        <v>6</v>
      </c>
      <c r="F388" s="136">
        <v>43878</v>
      </c>
      <c r="G388" s="135" t="s">
        <v>627</v>
      </c>
      <c r="H388" s="135" t="s">
        <v>628</v>
      </c>
      <c r="I388" s="135" t="s">
        <v>629</v>
      </c>
      <c r="J388" s="137" t="s">
        <v>690</v>
      </c>
      <c r="K388" s="135" t="s">
        <v>261</v>
      </c>
      <c r="L388" s="135" t="s">
        <v>605</v>
      </c>
      <c r="M388" s="135" t="s">
        <v>871</v>
      </c>
      <c r="N388" s="11" t="s">
        <v>35</v>
      </c>
      <c r="O388" s="136">
        <v>43922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5.75" hidden="1" customHeight="1" x14ac:dyDescent="0.35">
      <c r="A389" s="134">
        <v>19</v>
      </c>
      <c r="B389" s="134" t="s">
        <v>49</v>
      </c>
      <c r="C389" s="11" t="s">
        <v>501</v>
      </c>
      <c r="D389" s="11" t="s">
        <v>502</v>
      </c>
      <c r="E389" s="11">
        <v>1</v>
      </c>
      <c r="F389" s="136">
        <v>40701</v>
      </c>
      <c r="G389" s="135" t="s">
        <v>503</v>
      </c>
      <c r="H389" s="135" t="s">
        <v>504</v>
      </c>
      <c r="I389" s="135" t="s">
        <v>505</v>
      </c>
      <c r="J389" s="137">
        <v>43313</v>
      </c>
      <c r="K389" s="135" t="s">
        <v>130</v>
      </c>
      <c r="L389" s="135" t="s">
        <v>506</v>
      </c>
      <c r="M389" s="135" t="s">
        <v>871</v>
      </c>
      <c r="N389" s="11" t="s">
        <v>35</v>
      </c>
      <c r="O389" s="136">
        <v>43922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5.75" hidden="1" customHeight="1" x14ac:dyDescent="0.35">
      <c r="A390" s="134">
        <v>20</v>
      </c>
      <c r="B390" s="134" t="s">
        <v>89</v>
      </c>
      <c r="C390" s="11" t="s">
        <v>501</v>
      </c>
      <c r="D390" s="11" t="s">
        <v>502</v>
      </c>
      <c r="E390" s="11">
        <v>1</v>
      </c>
      <c r="F390" s="136">
        <v>40701</v>
      </c>
      <c r="G390" s="135" t="s">
        <v>503</v>
      </c>
      <c r="H390" s="135" t="s">
        <v>504</v>
      </c>
      <c r="I390" s="135" t="s">
        <v>505</v>
      </c>
      <c r="J390" s="137">
        <v>43313</v>
      </c>
      <c r="K390" s="135" t="s">
        <v>132</v>
      </c>
      <c r="L390" s="135" t="s">
        <v>899</v>
      </c>
      <c r="M390" s="135" t="s">
        <v>871</v>
      </c>
      <c r="N390" s="11" t="s">
        <v>35</v>
      </c>
      <c r="O390" s="136">
        <v>43922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5.75" hidden="1" customHeight="1" x14ac:dyDescent="0.35">
      <c r="A391" s="134">
        <v>21</v>
      </c>
      <c r="B391" s="134" t="s">
        <v>49</v>
      </c>
      <c r="C391" s="11" t="s">
        <v>889</v>
      </c>
      <c r="D391" s="11" t="s">
        <v>900</v>
      </c>
      <c r="E391" s="11">
        <v>6</v>
      </c>
      <c r="F391" s="136">
        <v>39615</v>
      </c>
      <c r="G391" s="135" t="s">
        <v>891</v>
      </c>
      <c r="H391" s="135">
        <v>3523281504</v>
      </c>
      <c r="I391" s="135" t="s">
        <v>892</v>
      </c>
      <c r="J391" s="137">
        <v>43836</v>
      </c>
      <c r="K391" s="135" t="s">
        <v>109</v>
      </c>
      <c r="L391" s="135" t="s">
        <v>640</v>
      </c>
      <c r="M391" s="135" t="s">
        <v>871</v>
      </c>
      <c r="N391" s="11" t="s">
        <v>35</v>
      </c>
      <c r="O391" s="136">
        <v>43922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5.75" hidden="1" customHeight="1" x14ac:dyDescent="0.35">
      <c r="A392" s="134">
        <v>22</v>
      </c>
      <c r="B392" s="134" t="s">
        <v>89</v>
      </c>
      <c r="C392" s="11" t="s">
        <v>889</v>
      </c>
      <c r="D392" s="11" t="s">
        <v>900</v>
      </c>
      <c r="E392" s="11">
        <v>6</v>
      </c>
      <c r="F392" s="136">
        <v>39615</v>
      </c>
      <c r="G392" s="135" t="s">
        <v>891</v>
      </c>
      <c r="H392" s="135">
        <v>3523281504</v>
      </c>
      <c r="I392" s="135" t="s">
        <v>892</v>
      </c>
      <c r="J392" s="137">
        <v>43836</v>
      </c>
      <c r="K392" s="135" t="s">
        <v>132</v>
      </c>
      <c r="L392" s="135" t="s">
        <v>640</v>
      </c>
      <c r="M392" s="135" t="s">
        <v>871</v>
      </c>
      <c r="N392" s="11" t="s">
        <v>35</v>
      </c>
      <c r="O392" s="136">
        <v>43922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5.75" hidden="1" customHeight="1" x14ac:dyDescent="0.35">
      <c r="A393" s="134">
        <v>23</v>
      </c>
      <c r="B393" s="134" t="s">
        <v>89</v>
      </c>
      <c r="C393" s="11" t="s">
        <v>901</v>
      </c>
      <c r="D393" s="11" t="s">
        <v>902</v>
      </c>
      <c r="E393" s="11" t="s">
        <v>180</v>
      </c>
      <c r="F393" s="136" t="s">
        <v>903</v>
      </c>
      <c r="G393" s="135" t="s">
        <v>904</v>
      </c>
      <c r="H393" s="135">
        <v>4087247835</v>
      </c>
      <c r="I393" s="135" t="s">
        <v>905</v>
      </c>
      <c r="J393" s="137" t="s">
        <v>906</v>
      </c>
      <c r="K393" s="135" t="s">
        <v>167</v>
      </c>
      <c r="L393" s="135" t="s">
        <v>605</v>
      </c>
      <c r="M393" s="135" t="s">
        <v>907</v>
      </c>
      <c r="N393" s="11" t="s">
        <v>35</v>
      </c>
      <c r="O393" s="136">
        <v>43922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5.75" hidden="1" customHeight="1" x14ac:dyDescent="0.35">
      <c r="A394" s="134">
        <v>24</v>
      </c>
      <c r="B394" s="134" t="s">
        <v>49</v>
      </c>
      <c r="C394" s="11" t="s">
        <v>595</v>
      </c>
      <c r="D394" s="11" t="s">
        <v>908</v>
      </c>
      <c r="E394" s="11">
        <v>3</v>
      </c>
      <c r="F394" s="136">
        <v>40736</v>
      </c>
      <c r="G394" s="135" t="s">
        <v>909</v>
      </c>
      <c r="H394" s="135">
        <v>4083321491</v>
      </c>
      <c r="I394" s="135" t="s">
        <v>910</v>
      </c>
      <c r="J394" s="137">
        <v>43760</v>
      </c>
      <c r="K394" s="135" t="s">
        <v>109</v>
      </c>
      <c r="L394" s="135" t="s">
        <v>640</v>
      </c>
      <c r="M394" s="135" t="s">
        <v>911</v>
      </c>
      <c r="N394" s="11" t="s">
        <v>35</v>
      </c>
      <c r="O394" s="136">
        <v>43922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5.75" hidden="1" customHeight="1" x14ac:dyDescent="0.35">
      <c r="A395" s="134">
        <v>25</v>
      </c>
      <c r="B395" s="134" t="s">
        <v>89</v>
      </c>
      <c r="C395" s="11" t="s">
        <v>595</v>
      </c>
      <c r="D395" s="11" t="s">
        <v>908</v>
      </c>
      <c r="E395" s="11">
        <v>3</v>
      </c>
      <c r="F395" s="136">
        <v>40736</v>
      </c>
      <c r="G395" s="135" t="s">
        <v>909</v>
      </c>
      <c r="H395" s="135">
        <v>4083321491</v>
      </c>
      <c r="I395" s="135" t="s">
        <v>910</v>
      </c>
      <c r="J395" s="137">
        <v>43760</v>
      </c>
      <c r="K395" s="135" t="s">
        <v>132</v>
      </c>
      <c r="L395" s="135" t="s">
        <v>605</v>
      </c>
      <c r="M395" s="135" t="s">
        <v>911</v>
      </c>
      <c r="N395" s="11" t="s">
        <v>35</v>
      </c>
      <c r="O395" s="136">
        <v>43922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5.75" hidden="1" customHeight="1" x14ac:dyDescent="0.35">
      <c r="A396" s="134">
        <v>26</v>
      </c>
      <c r="B396" s="134" t="s">
        <v>49</v>
      </c>
      <c r="C396" s="11" t="s">
        <v>682</v>
      </c>
      <c r="D396" s="11" t="s">
        <v>912</v>
      </c>
      <c r="E396" s="11">
        <v>1</v>
      </c>
      <c r="F396" s="136">
        <v>41084</v>
      </c>
      <c r="G396" s="135" t="s">
        <v>883</v>
      </c>
      <c r="H396" s="135">
        <v>5109497979</v>
      </c>
      <c r="I396" s="135" t="s">
        <v>913</v>
      </c>
      <c r="J396" s="137">
        <v>43849</v>
      </c>
      <c r="K396" s="135" t="s">
        <v>118</v>
      </c>
      <c r="L396" s="135" t="s">
        <v>640</v>
      </c>
      <c r="M396" s="135" t="s">
        <v>871</v>
      </c>
      <c r="N396" s="11" t="s">
        <v>35</v>
      </c>
      <c r="O396" s="136">
        <v>43922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5.75" hidden="1" customHeight="1" x14ac:dyDescent="0.35">
      <c r="A397" s="134">
        <v>27</v>
      </c>
      <c r="B397" s="134" t="s">
        <v>89</v>
      </c>
      <c r="C397" s="11" t="s">
        <v>914</v>
      </c>
      <c r="D397" s="11" t="s">
        <v>915</v>
      </c>
      <c r="E397" s="11">
        <v>5</v>
      </c>
      <c r="F397" s="136">
        <v>39793</v>
      </c>
      <c r="G397" s="135" t="s">
        <v>916</v>
      </c>
      <c r="H397" s="135">
        <v>5105174358</v>
      </c>
      <c r="I397" s="135" t="s">
        <v>917</v>
      </c>
      <c r="J397" s="137">
        <v>43746</v>
      </c>
      <c r="K397" s="135" t="s">
        <v>167</v>
      </c>
      <c r="L397" s="135" t="s">
        <v>731</v>
      </c>
      <c r="M397" s="135" t="s">
        <v>871</v>
      </c>
      <c r="N397" s="11" t="s">
        <v>35</v>
      </c>
      <c r="O397" s="136">
        <v>43922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5.75" hidden="1" customHeight="1" x14ac:dyDescent="0.35">
      <c r="A398" s="134">
        <v>28</v>
      </c>
      <c r="B398" s="134" t="s">
        <v>49</v>
      </c>
      <c r="C398" s="11" t="s">
        <v>708</v>
      </c>
      <c r="D398" s="11" t="s">
        <v>709</v>
      </c>
      <c r="E398" s="11">
        <v>2</v>
      </c>
      <c r="F398" s="136">
        <v>41040</v>
      </c>
      <c r="G398" s="135" t="s">
        <v>710</v>
      </c>
      <c r="H398" s="135">
        <v>4086368305</v>
      </c>
      <c r="I398" s="135" t="s">
        <v>711</v>
      </c>
      <c r="J398" s="137">
        <v>43836</v>
      </c>
      <c r="K398" s="135" t="s">
        <v>109</v>
      </c>
      <c r="L398" s="135" t="s">
        <v>506</v>
      </c>
      <c r="M398" s="135" t="s">
        <v>871</v>
      </c>
      <c r="N398" s="11" t="s">
        <v>35</v>
      </c>
      <c r="O398" s="136">
        <v>43922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5.75" hidden="1" customHeight="1" x14ac:dyDescent="0.35">
      <c r="A399" s="134">
        <v>29</v>
      </c>
      <c r="B399" s="134" t="s">
        <v>89</v>
      </c>
      <c r="C399" s="11" t="s">
        <v>708</v>
      </c>
      <c r="D399" s="11" t="s">
        <v>709</v>
      </c>
      <c r="E399" s="11">
        <v>2</v>
      </c>
      <c r="F399" s="136">
        <v>41040</v>
      </c>
      <c r="G399" s="135" t="s">
        <v>710</v>
      </c>
      <c r="H399" s="135">
        <v>4086368305</v>
      </c>
      <c r="I399" s="135" t="s">
        <v>711</v>
      </c>
      <c r="J399" s="137">
        <v>43836</v>
      </c>
      <c r="K399" s="135" t="s">
        <v>167</v>
      </c>
      <c r="L399" s="135" t="s">
        <v>288</v>
      </c>
      <c r="M399" s="135" t="s">
        <v>871</v>
      </c>
      <c r="N399" s="11" t="s">
        <v>35</v>
      </c>
      <c r="O399" s="136">
        <v>43922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5.75" hidden="1" customHeight="1" x14ac:dyDescent="0.35">
      <c r="A400" s="134">
        <v>30</v>
      </c>
      <c r="B400" s="134" t="s">
        <v>49</v>
      </c>
      <c r="C400" s="11" t="s">
        <v>918</v>
      </c>
      <c r="D400" s="11" t="s">
        <v>919</v>
      </c>
      <c r="E400" s="11">
        <v>2</v>
      </c>
      <c r="F400" s="136">
        <v>40894</v>
      </c>
      <c r="G400" s="135" t="s">
        <v>920</v>
      </c>
      <c r="H400" s="135">
        <v>5103969616</v>
      </c>
      <c r="I400" s="135" t="s">
        <v>921</v>
      </c>
      <c r="J400" s="137">
        <v>43755</v>
      </c>
      <c r="K400" s="135" t="s">
        <v>112</v>
      </c>
      <c r="L400" s="135" t="s">
        <v>640</v>
      </c>
      <c r="M400" s="135" t="s">
        <v>871</v>
      </c>
      <c r="N400" s="11" t="s">
        <v>35</v>
      </c>
      <c r="O400" s="136">
        <v>43922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5.75" hidden="1" customHeight="1" x14ac:dyDescent="0.35">
      <c r="A401" s="134">
        <v>31</v>
      </c>
      <c r="B401" s="134" t="s">
        <v>89</v>
      </c>
      <c r="C401" s="11" t="s">
        <v>918</v>
      </c>
      <c r="D401" s="11" t="s">
        <v>919</v>
      </c>
      <c r="E401" s="11">
        <v>2</v>
      </c>
      <c r="F401" s="136">
        <v>40894</v>
      </c>
      <c r="G401" s="135" t="s">
        <v>920</v>
      </c>
      <c r="H401" s="135">
        <v>5103969616</v>
      </c>
      <c r="I401" s="135" t="s">
        <v>921</v>
      </c>
      <c r="J401" s="137">
        <v>43755</v>
      </c>
      <c r="K401" s="135" t="s">
        <v>132</v>
      </c>
      <c r="L401" s="135" t="s">
        <v>640</v>
      </c>
      <c r="M401" s="135" t="s">
        <v>871</v>
      </c>
      <c r="N401" s="11" t="s">
        <v>35</v>
      </c>
      <c r="O401" s="136">
        <v>43922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5.75" hidden="1" customHeight="1" x14ac:dyDescent="0.35">
      <c r="A402" s="134">
        <v>32</v>
      </c>
      <c r="B402" s="134" t="s">
        <v>49</v>
      </c>
      <c r="C402" s="11" t="s">
        <v>537</v>
      </c>
      <c r="D402" s="11" t="s">
        <v>544</v>
      </c>
      <c r="E402" s="11">
        <v>6</v>
      </c>
      <c r="F402" s="136">
        <v>39287</v>
      </c>
      <c r="G402" s="135" t="s">
        <v>539</v>
      </c>
      <c r="H402" s="135" t="s">
        <v>540</v>
      </c>
      <c r="I402" s="135" t="s">
        <v>541</v>
      </c>
      <c r="J402" s="137">
        <v>43710</v>
      </c>
      <c r="K402" s="135" t="s">
        <v>256</v>
      </c>
      <c r="L402" s="135" t="s">
        <v>640</v>
      </c>
      <c r="M402" s="135" t="s">
        <v>871</v>
      </c>
      <c r="N402" s="11" t="s">
        <v>35</v>
      </c>
      <c r="O402" s="136">
        <v>43922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5.75" hidden="1" customHeight="1" x14ac:dyDescent="0.35">
      <c r="A403" s="134">
        <v>33</v>
      </c>
      <c r="B403" s="134" t="s">
        <v>89</v>
      </c>
      <c r="C403" s="11" t="s">
        <v>537</v>
      </c>
      <c r="D403" s="11" t="s">
        <v>544</v>
      </c>
      <c r="E403" s="11">
        <v>6</v>
      </c>
      <c r="F403" s="136">
        <v>39287</v>
      </c>
      <c r="G403" s="135" t="s">
        <v>539</v>
      </c>
      <c r="H403" s="135" t="s">
        <v>540</v>
      </c>
      <c r="I403" s="135" t="s">
        <v>541</v>
      </c>
      <c r="J403" s="137">
        <v>43710</v>
      </c>
      <c r="K403" s="135" t="s">
        <v>216</v>
      </c>
      <c r="L403" s="135" t="s">
        <v>640</v>
      </c>
      <c r="M403" s="135" t="s">
        <v>871</v>
      </c>
      <c r="N403" s="11" t="s">
        <v>35</v>
      </c>
      <c r="O403" s="136">
        <v>43922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5.75" hidden="1" customHeight="1" x14ac:dyDescent="0.35">
      <c r="A404" s="134">
        <v>34</v>
      </c>
      <c r="B404" s="134" t="s">
        <v>49</v>
      </c>
      <c r="C404" s="11" t="s">
        <v>469</v>
      </c>
      <c r="D404" s="11" t="s">
        <v>922</v>
      </c>
      <c r="E404" s="11">
        <v>8</v>
      </c>
      <c r="F404" s="136">
        <v>38929</v>
      </c>
      <c r="G404" s="135" t="s">
        <v>923</v>
      </c>
      <c r="H404" s="135" t="s">
        <v>924</v>
      </c>
      <c r="I404" s="135" t="s">
        <v>925</v>
      </c>
      <c r="J404" s="137" t="s">
        <v>690</v>
      </c>
      <c r="K404" s="135" t="s">
        <v>212</v>
      </c>
      <c r="L404" s="135" t="s">
        <v>640</v>
      </c>
      <c r="M404" s="135" t="s">
        <v>926</v>
      </c>
      <c r="N404" s="11" t="s">
        <v>35</v>
      </c>
      <c r="O404" s="136">
        <v>43922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5.75" hidden="1" customHeight="1" x14ac:dyDescent="0.35">
      <c r="A405" s="134">
        <v>35</v>
      </c>
      <c r="B405" s="134" t="s">
        <v>89</v>
      </c>
      <c r="C405" s="11" t="s">
        <v>469</v>
      </c>
      <c r="D405" s="11" t="s">
        <v>922</v>
      </c>
      <c r="E405" s="11">
        <v>8</v>
      </c>
      <c r="F405" s="136">
        <v>38929</v>
      </c>
      <c r="G405" s="135" t="s">
        <v>923</v>
      </c>
      <c r="H405" s="135" t="s">
        <v>924</v>
      </c>
      <c r="I405" s="135" t="s">
        <v>925</v>
      </c>
      <c r="J405" s="137" t="s">
        <v>690</v>
      </c>
      <c r="K405" s="135" t="s">
        <v>261</v>
      </c>
      <c r="L405" s="135" t="s">
        <v>640</v>
      </c>
      <c r="M405" s="135" t="s">
        <v>926</v>
      </c>
      <c r="N405" s="11" t="s">
        <v>35</v>
      </c>
      <c r="O405" s="136">
        <v>43922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5.75" hidden="1" customHeight="1" x14ac:dyDescent="0.35">
      <c r="A406" s="134">
        <v>36</v>
      </c>
      <c r="B406" s="134" t="s">
        <v>49</v>
      </c>
      <c r="C406" s="11" t="s">
        <v>927</v>
      </c>
      <c r="D406" s="11" t="s">
        <v>928</v>
      </c>
      <c r="E406" s="11">
        <v>3</v>
      </c>
      <c r="F406" s="136">
        <v>40494</v>
      </c>
      <c r="G406" s="135" t="s">
        <v>929</v>
      </c>
      <c r="H406" s="135">
        <v>4086133805</v>
      </c>
      <c r="I406" s="135" t="s">
        <v>930</v>
      </c>
      <c r="J406" s="137">
        <v>43698</v>
      </c>
      <c r="K406" s="135" t="s">
        <v>130</v>
      </c>
      <c r="L406" s="135" t="s">
        <v>640</v>
      </c>
      <c r="M406" s="135" t="s">
        <v>871</v>
      </c>
      <c r="N406" s="11" t="s">
        <v>35</v>
      </c>
      <c r="O406" s="136">
        <v>43922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5.75" hidden="1" customHeight="1" x14ac:dyDescent="0.35">
      <c r="A407" s="134">
        <v>37</v>
      </c>
      <c r="B407" s="134" t="s">
        <v>89</v>
      </c>
      <c r="C407" s="11" t="s">
        <v>927</v>
      </c>
      <c r="D407" s="11" t="s">
        <v>928</v>
      </c>
      <c r="E407" s="11">
        <v>3</v>
      </c>
      <c r="F407" s="136">
        <v>40494</v>
      </c>
      <c r="G407" s="135" t="s">
        <v>929</v>
      </c>
      <c r="H407" s="135">
        <v>4086133805</v>
      </c>
      <c r="I407" s="135" t="s">
        <v>930</v>
      </c>
      <c r="J407" s="137">
        <v>43698</v>
      </c>
      <c r="K407" s="135" t="s">
        <v>167</v>
      </c>
      <c r="L407" s="135" t="s">
        <v>640</v>
      </c>
      <c r="M407" s="135" t="s">
        <v>871</v>
      </c>
      <c r="N407" s="11" t="s">
        <v>35</v>
      </c>
      <c r="O407" s="136">
        <v>43922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5.75" hidden="1" customHeight="1" x14ac:dyDescent="0.35">
      <c r="A408" s="134">
        <v>38</v>
      </c>
      <c r="B408" s="134" t="s">
        <v>49</v>
      </c>
      <c r="C408" s="11" t="s">
        <v>927</v>
      </c>
      <c r="D408" s="11" t="s">
        <v>931</v>
      </c>
      <c r="E408" s="11">
        <v>7</v>
      </c>
      <c r="F408" s="136">
        <v>39115</v>
      </c>
      <c r="G408" s="135" t="s">
        <v>929</v>
      </c>
      <c r="H408" s="135">
        <v>4086133805</v>
      </c>
      <c r="I408" s="135" t="s">
        <v>365</v>
      </c>
      <c r="J408" s="137">
        <v>43698</v>
      </c>
      <c r="K408" s="135" t="s">
        <v>256</v>
      </c>
      <c r="L408" s="135" t="s">
        <v>640</v>
      </c>
      <c r="M408" s="135" t="s">
        <v>871</v>
      </c>
      <c r="N408" s="11" t="s">
        <v>35</v>
      </c>
      <c r="O408" s="136">
        <v>43922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5.75" hidden="1" customHeight="1" x14ac:dyDescent="0.35">
      <c r="A409" s="134">
        <v>39</v>
      </c>
      <c r="B409" s="134" t="s">
        <v>89</v>
      </c>
      <c r="C409" s="11" t="s">
        <v>927</v>
      </c>
      <c r="D409" s="11" t="s">
        <v>931</v>
      </c>
      <c r="E409" s="11">
        <v>7</v>
      </c>
      <c r="F409" s="136">
        <v>39115</v>
      </c>
      <c r="G409" s="135" t="s">
        <v>929</v>
      </c>
      <c r="H409" s="135">
        <v>4086133805</v>
      </c>
      <c r="I409" s="135" t="s">
        <v>365</v>
      </c>
      <c r="J409" s="137">
        <v>43698</v>
      </c>
      <c r="K409" s="135" t="s">
        <v>261</v>
      </c>
      <c r="L409" s="135" t="s">
        <v>640</v>
      </c>
      <c r="M409" s="135" t="s">
        <v>871</v>
      </c>
      <c r="N409" s="11" t="s">
        <v>35</v>
      </c>
      <c r="O409" s="136">
        <v>43922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5.75" hidden="1" customHeight="1" x14ac:dyDescent="0.35">
      <c r="A410" s="134">
        <v>40</v>
      </c>
      <c r="B410" s="134" t="s">
        <v>89</v>
      </c>
      <c r="C410" s="11" t="s">
        <v>877</v>
      </c>
      <c r="D410" s="11" t="s">
        <v>450</v>
      </c>
      <c r="E410" s="11">
        <v>5</v>
      </c>
      <c r="F410" s="136" t="s">
        <v>932</v>
      </c>
      <c r="G410" s="135" t="s">
        <v>880</v>
      </c>
      <c r="H410" s="135" t="s">
        <v>881</v>
      </c>
      <c r="I410" s="135" t="s">
        <v>809</v>
      </c>
      <c r="J410" s="137">
        <v>43466</v>
      </c>
      <c r="K410" s="135" t="s">
        <v>301</v>
      </c>
      <c r="L410" s="135" t="s">
        <v>640</v>
      </c>
      <c r="M410" s="135" t="s">
        <v>871</v>
      </c>
      <c r="N410" s="11" t="s">
        <v>35</v>
      </c>
      <c r="O410" s="136">
        <v>43922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5.75" hidden="1" customHeight="1" x14ac:dyDescent="0.35">
      <c r="A411" s="134">
        <v>41</v>
      </c>
      <c r="B411" s="134" t="s">
        <v>49</v>
      </c>
      <c r="C411" s="11" t="s">
        <v>358</v>
      </c>
      <c r="D411" s="11" t="s">
        <v>111</v>
      </c>
      <c r="E411" s="11" t="s">
        <v>273</v>
      </c>
      <c r="F411" s="136">
        <v>42231</v>
      </c>
      <c r="G411" s="135" t="s">
        <v>363</v>
      </c>
      <c r="H411" s="135" t="s">
        <v>364</v>
      </c>
      <c r="I411" s="135" t="s">
        <v>365</v>
      </c>
      <c r="J411" s="137">
        <v>43852</v>
      </c>
      <c r="K411" s="135" t="s">
        <v>182</v>
      </c>
      <c r="L411" s="135" t="s">
        <v>640</v>
      </c>
      <c r="M411" s="135" t="s">
        <v>871</v>
      </c>
      <c r="N411" s="11" t="s">
        <v>35</v>
      </c>
      <c r="O411" s="136">
        <v>43922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5.75" hidden="1" customHeight="1" x14ac:dyDescent="0.35">
      <c r="A412" s="134">
        <v>42</v>
      </c>
      <c r="B412" s="134" t="s">
        <v>49</v>
      </c>
      <c r="C412" s="11" t="s">
        <v>563</v>
      </c>
      <c r="D412" s="11" t="s">
        <v>458</v>
      </c>
      <c r="E412" s="11">
        <v>1</v>
      </c>
      <c r="F412" s="136" t="s">
        <v>933</v>
      </c>
      <c r="G412" s="135" t="s">
        <v>934</v>
      </c>
      <c r="H412" s="135">
        <v>4157124727</v>
      </c>
      <c r="I412" s="135" t="s">
        <v>935</v>
      </c>
      <c r="J412" s="137" t="s">
        <v>936</v>
      </c>
      <c r="K412" s="135" t="s">
        <v>182</v>
      </c>
      <c r="L412" s="135" t="s">
        <v>758</v>
      </c>
      <c r="M412" s="135" t="s">
        <v>871</v>
      </c>
      <c r="N412" s="11" t="s">
        <v>35</v>
      </c>
      <c r="O412" s="136">
        <v>43922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5.75" hidden="1" customHeight="1" x14ac:dyDescent="0.35">
      <c r="A413" s="134">
        <v>1</v>
      </c>
      <c r="B413" s="134" t="s">
        <v>49</v>
      </c>
      <c r="C413" s="11" t="s">
        <v>358</v>
      </c>
      <c r="D413" s="11" t="s">
        <v>253</v>
      </c>
      <c r="E413" s="11">
        <v>4</v>
      </c>
      <c r="F413" s="136" t="s">
        <v>937</v>
      </c>
      <c r="G413" s="135" t="s">
        <v>373</v>
      </c>
      <c r="H413" s="135" t="s">
        <v>374</v>
      </c>
      <c r="I413" s="135" t="s">
        <v>375</v>
      </c>
      <c r="J413" s="137" t="s">
        <v>938</v>
      </c>
      <c r="K413" s="135" t="s">
        <v>331</v>
      </c>
      <c r="L413" s="135" t="s">
        <v>939</v>
      </c>
      <c r="M413" s="135" t="s">
        <v>940</v>
      </c>
      <c r="N413" s="11" t="s">
        <v>35</v>
      </c>
      <c r="O413" s="136">
        <v>43952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5.75" hidden="1" customHeight="1" x14ac:dyDescent="0.35">
      <c r="A414" s="134">
        <v>2</v>
      </c>
      <c r="B414" s="134" t="s">
        <v>49</v>
      </c>
      <c r="C414" s="11" t="s">
        <v>437</v>
      </c>
      <c r="D414" s="11" t="s">
        <v>941</v>
      </c>
      <c r="E414" s="11">
        <v>7</v>
      </c>
      <c r="F414" s="136">
        <v>39334</v>
      </c>
      <c r="G414" s="135" t="s">
        <v>942</v>
      </c>
      <c r="H414" s="135" t="s">
        <v>943</v>
      </c>
      <c r="I414" s="135" t="s">
        <v>944</v>
      </c>
      <c r="J414" s="137">
        <v>43836</v>
      </c>
      <c r="K414" s="135" t="s">
        <v>237</v>
      </c>
      <c r="L414" s="135" t="s">
        <v>640</v>
      </c>
      <c r="M414" s="135" t="s">
        <v>945</v>
      </c>
      <c r="N414" s="11" t="s">
        <v>35</v>
      </c>
      <c r="O414" s="136">
        <v>43952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5.75" hidden="1" customHeight="1" x14ac:dyDescent="0.35">
      <c r="A415" s="134">
        <v>3</v>
      </c>
      <c r="B415" s="134" t="s">
        <v>89</v>
      </c>
      <c r="C415" s="11" t="s">
        <v>437</v>
      </c>
      <c r="D415" s="11" t="s">
        <v>941</v>
      </c>
      <c r="E415" s="11">
        <v>7</v>
      </c>
      <c r="F415" s="136">
        <v>39334</v>
      </c>
      <c r="G415" s="135" t="s">
        <v>942</v>
      </c>
      <c r="H415" s="135" t="s">
        <v>943</v>
      </c>
      <c r="I415" s="135" t="s">
        <v>944</v>
      </c>
      <c r="J415" s="137">
        <v>43836</v>
      </c>
      <c r="K415" s="135" t="s">
        <v>261</v>
      </c>
      <c r="L415" s="135" t="s">
        <v>939</v>
      </c>
      <c r="M415" s="135" t="s">
        <v>945</v>
      </c>
      <c r="N415" s="11" t="s">
        <v>35</v>
      </c>
      <c r="O415" s="136">
        <v>43952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5.75" hidden="1" customHeight="1" x14ac:dyDescent="0.35">
      <c r="A416" s="134">
        <v>4</v>
      </c>
      <c r="B416" s="134" t="s">
        <v>49</v>
      </c>
      <c r="C416" s="11" t="s">
        <v>946</v>
      </c>
      <c r="D416" s="11" t="s">
        <v>947</v>
      </c>
      <c r="E416" s="11">
        <v>4</v>
      </c>
      <c r="F416" s="136">
        <v>40170</v>
      </c>
      <c r="G416" s="135" t="s">
        <v>948</v>
      </c>
      <c r="H416" s="135" t="s">
        <v>949</v>
      </c>
      <c r="I416" s="135" t="s">
        <v>711</v>
      </c>
      <c r="J416" s="137">
        <v>43696</v>
      </c>
      <c r="K416" s="135" t="s">
        <v>130</v>
      </c>
      <c r="L416" s="135" t="s">
        <v>950</v>
      </c>
      <c r="M416" s="135" t="s">
        <v>951</v>
      </c>
      <c r="N416" s="11" t="s">
        <v>35</v>
      </c>
      <c r="O416" s="136">
        <v>43952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5.75" hidden="1" customHeight="1" x14ac:dyDescent="0.35">
      <c r="A417" s="134">
        <v>5</v>
      </c>
      <c r="B417" s="134" t="s">
        <v>89</v>
      </c>
      <c r="C417" s="11" t="s">
        <v>946</v>
      </c>
      <c r="D417" s="11" t="s">
        <v>947</v>
      </c>
      <c r="E417" s="11">
        <v>4</v>
      </c>
      <c r="F417" s="136">
        <v>40170</v>
      </c>
      <c r="G417" s="135" t="s">
        <v>948</v>
      </c>
      <c r="H417" s="135" t="s">
        <v>949</v>
      </c>
      <c r="I417" s="135" t="s">
        <v>711</v>
      </c>
      <c r="J417" s="137">
        <v>43696</v>
      </c>
      <c r="K417" s="135" t="s">
        <v>132</v>
      </c>
      <c r="L417" s="135" t="s">
        <v>950</v>
      </c>
      <c r="M417" s="135" t="s">
        <v>951</v>
      </c>
      <c r="N417" s="11" t="s">
        <v>35</v>
      </c>
      <c r="O417" s="136">
        <v>43952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5.75" hidden="1" customHeight="1" x14ac:dyDescent="0.35">
      <c r="A418" s="134">
        <v>6</v>
      </c>
      <c r="B418" s="134" t="s">
        <v>49</v>
      </c>
      <c r="C418" s="11" t="s">
        <v>952</v>
      </c>
      <c r="D418" s="11" t="s">
        <v>743</v>
      </c>
      <c r="E418" s="11">
        <v>3</v>
      </c>
      <c r="F418" s="136">
        <v>40644</v>
      </c>
      <c r="G418" s="135" t="s">
        <v>953</v>
      </c>
      <c r="H418" s="135">
        <v>4084214334</v>
      </c>
      <c r="I418" s="135" t="s">
        <v>954</v>
      </c>
      <c r="J418" s="137">
        <v>43836</v>
      </c>
      <c r="K418" s="135" t="s">
        <v>130</v>
      </c>
      <c r="L418" s="135" t="s">
        <v>605</v>
      </c>
      <c r="M418" s="135" t="s">
        <v>955</v>
      </c>
      <c r="N418" s="11" t="s">
        <v>35</v>
      </c>
      <c r="O418" s="136">
        <v>43952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5.75" hidden="1" customHeight="1" x14ac:dyDescent="0.35">
      <c r="A419" s="134">
        <v>7</v>
      </c>
      <c r="B419" s="134" t="s">
        <v>89</v>
      </c>
      <c r="C419" s="11" t="s">
        <v>952</v>
      </c>
      <c r="D419" s="11" t="s">
        <v>743</v>
      </c>
      <c r="E419" s="11">
        <v>3</v>
      </c>
      <c r="F419" s="136">
        <v>40644</v>
      </c>
      <c r="G419" s="135" t="s">
        <v>953</v>
      </c>
      <c r="H419" s="135">
        <v>4084214334</v>
      </c>
      <c r="I419" s="135" t="s">
        <v>954</v>
      </c>
      <c r="J419" s="137">
        <v>43836</v>
      </c>
      <c r="K419" s="135" t="s">
        <v>163</v>
      </c>
      <c r="L419" s="135" t="s">
        <v>605</v>
      </c>
      <c r="M419" s="135" t="s">
        <v>955</v>
      </c>
      <c r="N419" s="11" t="s">
        <v>35</v>
      </c>
      <c r="O419" s="136">
        <v>43952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5.75" hidden="1" customHeight="1" x14ac:dyDescent="0.35">
      <c r="A420" s="134">
        <v>8</v>
      </c>
      <c r="B420" s="134" t="s">
        <v>49</v>
      </c>
      <c r="C420" s="11" t="s">
        <v>437</v>
      </c>
      <c r="D420" s="11" t="s">
        <v>956</v>
      </c>
      <c r="E420" s="11">
        <v>4</v>
      </c>
      <c r="F420" s="136">
        <v>39972</v>
      </c>
      <c r="G420" s="135" t="s">
        <v>942</v>
      </c>
      <c r="H420" s="135" t="s">
        <v>943</v>
      </c>
      <c r="I420" s="135" t="s">
        <v>944</v>
      </c>
      <c r="J420" s="137">
        <v>43836</v>
      </c>
      <c r="K420" s="135" t="s">
        <v>153</v>
      </c>
      <c r="L420" s="135" t="s">
        <v>939</v>
      </c>
      <c r="M420" s="135" t="s">
        <v>945</v>
      </c>
      <c r="N420" s="11" t="s">
        <v>35</v>
      </c>
      <c r="O420" s="136">
        <v>43952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5.75" hidden="1" customHeight="1" x14ac:dyDescent="0.35">
      <c r="A421" s="134">
        <v>9</v>
      </c>
      <c r="B421" s="134" t="s">
        <v>89</v>
      </c>
      <c r="C421" s="11" t="s">
        <v>437</v>
      </c>
      <c r="D421" s="11" t="s">
        <v>956</v>
      </c>
      <c r="E421" s="11">
        <v>4</v>
      </c>
      <c r="F421" s="136">
        <v>39972</v>
      </c>
      <c r="G421" s="135" t="s">
        <v>942</v>
      </c>
      <c r="H421" s="135" t="s">
        <v>943</v>
      </c>
      <c r="I421" s="135" t="s">
        <v>944</v>
      </c>
      <c r="J421" s="137">
        <v>43836</v>
      </c>
      <c r="K421" s="135" t="s">
        <v>155</v>
      </c>
      <c r="L421" s="135" t="s">
        <v>939</v>
      </c>
      <c r="M421" s="135" t="s">
        <v>945</v>
      </c>
      <c r="N421" s="11" t="s">
        <v>35</v>
      </c>
      <c r="O421" s="136">
        <v>43952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5.75" hidden="1" customHeight="1" x14ac:dyDescent="0.35">
      <c r="A422" s="134">
        <v>10</v>
      </c>
      <c r="B422" s="134" t="s">
        <v>49</v>
      </c>
      <c r="C422" s="11" t="s">
        <v>957</v>
      </c>
      <c r="D422" s="11" t="s">
        <v>958</v>
      </c>
      <c r="E422" s="11">
        <v>1</v>
      </c>
      <c r="F422" s="136">
        <v>41108</v>
      </c>
      <c r="G422" s="135" t="s">
        <v>959</v>
      </c>
      <c r="H422" s="135" t="s">
        <v>960</v>
      </c>
      <c r="I422" s="135" t="s">
        <v>961</v>
      </c>
      <c r="J422" s="137">
        <v>43497</v>
      </c>
      <c r="K422" s="135" t="s">
        <v>256</v>
      </c>
      <c r="L422" s="135" t="s">
        <v>640</v>
      </c>
      <c r="M422" s="135" t="s">
        <v>945</v>
      </c>
      <c r="N422" s="11" t="s">
        <v>35</v>
      </c>
      <c r="O422" s="136">
        <v>43952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5.75" hidden="1" customHeight="1" x14ac:dyDescent="0.35">
      <c r="A423" s="134">
        <v>11</v>
      </c>
      <c r="B423" s="134" t="s">
        <v>89</v>
      </c>
      <c r="C423" s="11" t="s">
        <v>957</v>
      </c>
      <c r="D423" s="11" t="s">
        <v>958</v>
      </c>
      <c r="E423" s="11">
        <v>2</v>
      </c>
      <c r="F423" s="136">
        <v>41108</v>
      </c>
      <c r="G423" s="135" t="s">
        <v>962</v>
      </c>
      <c r="H423" s="135" t="s">
        <v>960</v>
      </c>
      <c r="I423" s="135" t="s">
        <v>961</v>
      </c>
      <c r="J423" s="137" t="s">
        <v>690</v>
      </c>
      <c r="K423" s="135" t="s">
        <v>301</v>
      </c>
      <c r="L423" s="135" t="s">
        <v>640</v>
      </c>
      <c r="M423" s="135" t="s">
        <v>945</v>
      </c>
      <c r="N423" s="11" t="s">
        <v>35</v>
      </c>
      <c r="O423" s="136">
        <v>43952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5.75" hidden="1" customHeight="1" x14ac:dyDescent="0.35">
      <c r="A424" s="134">
        <v>12</v>
      </c>
      <c r="B424" s="134" t="s">
        <v>49</v>
      </c>
      <c r="C424" s="11" t="s">
        <v>963</v>
      </c>
      <c r="D424" s="11" t="s">
        <v>964</v>
      </c>
      <c r="E424" s="11">
        <v>1</v>
      </c>
      <c r="F424" s="136">
        <v>41522</v>
      </c>
      <c r="G424" s="135" t="s">
        <v>965</v>
      </c>
      <c r="H424" s="135" t="s">
        <v>966</v>
      </c>
      <c r="I424" s="135" t="e">
        <v>#VALUE!</v>
      </c>
      <c r="J424" s="137">
        <v>43693</v>
      </c>
      <c r="K424" s="135" t="s">
        <v>202</v>
      </c>
      <c r="L424" s="135" t="s">
        <v>640</v>
      </c>
      <c r="M424" s="135" t="s">
        <v>945</v>
      </c>
      <c r="N424" s="11" t="s">
        <v>35</v>
      </c>
      <c r="O424" s="136">
        <v>43952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5.75" hidden="1" customHeight="1" x14ac:dyDescent="0.35">
      <c r="A425" s="134">
        <v>13</v>
      </c>
      <c r="B425" s="134" t="s">
        <v>89</v>
      </c>
      <c r="C425" s="11" t="s">
        <v>963</v>
      </c>
      <c r="D425" s="11" t="s">
        <v>964</v>
      </c>
      <c r="E425" s="11">
        <v>1</v>
      </c>
      <c r="F425" s="136">
        <v>41522</v>
      </c>
      <c r="G425" s="135" t="s">
        <v>965</v>
      </c>
      <c r="H425" s="135" t="s">
        <v>966</v>
      </c>
      <c r="I425" s="135" t="e">
        <v>#VALUE!</v>
      </c>
      <c r="J425" s="137">
        <v>43693</v>
      </c>
      <c r="K425" s="135" t="s">
        <v>163</v>
      </c>
      <c r="L425" s="135" t="s">
        <v>640</v>
      </c>
      <c r="M425" s="135" t="s">
        <v>945</v>
      </c>
      <c r="N425" s="11" t="s">
        <v>35</v>
      </c>
      <c r="O425" s="136">
        <v>43952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5.75" hidden="1" customHeight="1" x14ac:dyDescent="0.35">
      <c r="A426" s="134">
        <v>14</v>
      </c>
      <c r="B426" s="134" t="s">
        <v>49</v>
      </c>
      <c r="C426" s="11" t="s">
        <v>963</v>
      </c>
      <c r="D426" s="11" t="s">
        <v>967</v>
      </c>
      <c r="E426" s="11">
        <v>3</v>
      </c>
      <c r="F426" s="136">
        <v>40436</v>
      </c>
      <c r="G426" s="135" t="s">
        <v>965</v>
      </c>
      <c r="H426" s="135" t="s">
        <v>966</v>
      </c>
      <c r="I426" s="135" t="e">
        <v>#VALUE!</v>
      </c>
      <c r="J426" s="137">
        <v>43693</v>
      </c>
      <c r="K426" s="135" t="s">
        <v>109</v>
      </c>
      <c r="L426" s="135" t="s">
        <v>640</v>
      </c>
      <c r="M426" s="135" t="s">
        <v>945</v>
      </c>
      <c r="N426" s="11" t="s">
        <v>35</v>
      </c>
      <c r="O426" s="136">
        <v>43952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5.75" hidden="1" customHeight="1" x14ac:dyDescent="0.35">
      <c r="A427" s="134">
        <v>15</v>
      </c>
      <c r="B427" s="134" t="s">
        <v>89</v>
      </c>
      <c r="C427" s="11" t="s">
        <v>963</v>
      </c>
      <c r="D427" s="11" t="s">
        <v>967</v>
      </c>
      <c r="E427" s="11">
        <v>3</v>
      </c>
      <c r="F427" s="136">
        <v>40436</v>
      </c>
      <c r="G427" s="135" t="s">
        <v>965</v>
      </c>
      <c r="H427" s="135" t="s">
        <v>966</v>
      </c>
      <c r="I427" s="135" t="e">
        <v>#VALUE!</v>
      </c>
      <c r="J427" s="137">
        <v>43693</v>
      </c>
      <c r="K427" s="135" t="s">
        <v>155</v>
      </c>
      <c r="L427" s="135" t="s">
        <v>640</v>
      </c>
      <c r="M427" s="135" t="s">
        <v>945</v>
      </c>
      <c r="N427" s="11" t="s">
        <v>35</v>
      </c>
      <c r="O427" s="136">
        <v>43952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5.75" hidden="1" customHeight="1" x14ac:dyDescent="0.35">
      <c r="A428" s="134">
        <v>1</v>
      </c>
      <c r="B428" s="134" t="s">
        <v>49</v>
      </c>
      <c r="C428" s="11" t="s">
        <v>217</v>
      </c>
      <c r="D428" s="11" t="s">
        <v>968</v>
      </c>
      <c r="E428" s="11">
        <v>4</v>
      </c>
      <c r="F428" s="136">
        <v>40260</v>
      </c>
      <c r="G428" s="135" t="s">
        <v>969</v>
      </c>
      <c r="H428" s="135">
        <v>8183246751</v>
      </c>
      <c r="I428" s="135" t="s">
        <v>970</v>
      </c>
      <c r="J428" s="137">
        <v>43851</v>
      </c>
      <c r="K428" s="135" t="s">
        <v>214</v>
      </c>
      <c r="L428" s="135" t="s">
        <v>950</v>
      </c>
      <c r="M428" s="135" t="s">
        <v>971</v>
      </c>
      <c r="N428" s="11" t="s">
        <v>35</v>
      </c>
      <c r="O428" s="136">
        <v>43983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5.75" hidden="1" customHeight="1" x14ac:dyDescent="0.35">
      <c r="A429" s="134">
        <v>2</v>
      </c>
      <c r="B429" s="134" t="s">
        <v>89</v>
      </c>
      <c r="C429" s="11" t="s">
        <v>217</v>
      </c>
      <c r="D429" s="11" t="s">
        <v>968</v>
      </c>
      <c r="E429" s="11">
        <v>4</v>
      </c>
      <c r="F429" s="136">
        <v>40260</v>
      </c>
      <c r="G429" s="135" t="s">
        <v>969</v>
      </c>
      <c r="H429" s="135">
        <v>8183246751</v>
      </c>
      <c r="I429" s="135" t="s">
        <v>970</v>
      </c>
      <c r="J429" s="137">
        <v>43851</v>
      </c>
      <c r="K429" s="135" t="s">
        <v>261</v>
      </c>
      <c r="L429" s="135" t="s">
        <v>624</v>
      </c>
      <c r="M429" s="135" t="s">
        <v>971</v>
      </c>
      <c r="N429" s="11" t="s">
        <v>35</v>
      </c>
      <c r="O429" s="136">
        <v>43983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5.75" hidden="1" customHeight="1" x14ac:dyDescent="0.35">
      <c r="A430" s="134">
        <v>3</v>
      </c>
      <c r="B430" s="134" t="s">
        <v>49</v>
      </c>
      <c r="C430" s="11" t="s">
        <v>537</v>
      </c>
      <c r="D430" s="11" t="s">
        <v>538</v>
      </c>
      <c r="E430" s="11">
        <v>1</v>
      </c>
      <c r="F430" s="136">
        <v>40867</v>
      </c>
      <c r="G430" s="135" t="s">
        <v>539</v>
      </c>
      <c r="H430" s="135" t="s">
        <v>540</v>
      </c>
      <c r="I430" s="135" t="s">
        <v>541</v>
      </c>
      <c r="J430" s="137">
        <v>43836</v>
      </c>
      <c r="K430" s="135" t="s">
        <v>109</v>
      </c>
      <c r="L430" s="135" t="s">
        <v>640</v>
      </c>
      <c r="M430" s="135" t="s">
        <v>972</v>
      </c>
      <c r="N430" s="11" t="s">
        <v>35</v>
      </c>
      <c r="O430" s="136">
        <v>43983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5.75" hidden="1" customHeight="1" x14ac:dyDescent="0.35">
      <c r="A431" s="134">
        <v>4</v>
      </c>
      <c r="B431" s="134" t="s">
        <v>89</v>
      </c>
      <c r="C431" s="11" t="s">
        <v>537</v>
      </c>
      <c r="D431" s="11" t="s">
        <v>538</v>
      </c>
      <c r="E431" s="11">
        <v>1</v>
      </c>
      <c r="F431" s="136">
        <v>40867</v>
      </c>
      <c r="G431" s="135" t="s">
        <v>539</v>
      </c>
      <c r="H431" s="135" t="s">
        <v>540</v>
      </c>
      <c r="I431" s="135" t="s">
        <v>541</v>
      </c>
      <c r="J431" s="137">
        <v>43836</v>
      </c>
      <c r="K431" s="135" t="s">
        <v>163</v>
      </c>
      <c r="L431" s="135" t="s">
        <v>939</v>
      </c>
      <c r="M431" s="135" t="s">
        <v>972</v>
      </c>
      <c r="N431" s="11" t="s">
        <v>35</v>
      </c>
      <c r="O431" s="136">
        <v>43983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5.75" hidden="1" customHeight="1" x14ac:dyDescent="0.35">
      <c r="A432" s="134">
        <v>5</v>
      </c>
      <c r="B432" s="134" t="s">
        <v>49</v>
      </c>
      <c r="C432" s="11" t="s">
        <v>973</v>
      </c>
      <c r="D432" s="11" t="s">
        <v>974</v>
      </c>
      <c r="E432" s="11">
        <v>5</v>
      </c>
      <c r="F432" s="136">
        <v>39827</v>
      </c>
      <c r="G432" s="135" t="s">
        <v>975</v>
      </c>
      <c r="H432" s="135">
        <v>16504830611</v>
      </c>
      <c r="I432" s="135" t="s">
        <v>663</v>
      </c>
      <c r="J432" s="137">
        <v>43696</v>
      </c>
      <c r="K432" s="135" t="s">
        <v>323</v>
      </c>
      <c r="L432" s="135" t="s">
        <v>950</v>
      </c>
      <c r="M432" s="135" t="s">
        <v>945</v>
      </c>
      <c r="N432" s="11" t="s">
        <v>35</v>
      </c>
      <c r="O432" s="136">
        <v>43983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5.75" hidden="1" customHeight="1" x14ac:dyDescent="0.35">
      <c r="A433" s="134">
        <v>6</v>
      </c>
      <c r="B433" s="134" t="s">
        <v>89</v>
      </c>
      <c r="C433" s="11" t="s">
        <v>973</v>
      </c>
      <c r="D433" s="11" t="s">
        <v>974</v>
      </c>
      <c r="E433" s="11">
        <v>5</v>
      </c>
      <c r="F433" s="136">
        <v>39827</v>
      </c>
      <c r="G433" s="135" t="s">
        <v>975</v>
      </c>
      <c r="H433" s="135">
        <v>16504830611</v>
      </c>
      <c r="I433" s="135" t="s">
        <v>663</v>
      </c>
      <c r="J433" s="137">
        <v>43696</v>
      </c>
      <c r="K433" s="135" t="s">
        <v>240</v>
      </c>
      <c r="L433" s="135" t="s">
        <v>950</v>
      </c>
      <c r="M433" s="135" t="s">
        <v>945</v>
      </c>
      <c r="N433" s="11" t="s">
        <v>35</v>
      </c>
      <c r="O433" s="136">
        <v>43983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5.75" hidden="1" customHeight="1" x14ac:dyDescent="0.35">
      <c r="A434" s="134">
        <v>7</v>
      </c>
      <c r="B434" s="134" t="s">
        <v>49</v>
      </c>
      <c r="C434" s="11" t="s">
        <v>973</v>
      </c>
      <c r="D434" s="11" t="s">
        <v>976</v>
      </c>
      <c r="E434" s="11">
        <v>2</v>
      </c>
      <c r="F434" s="136">
        <v>41059</v>
      </c>
      <c r="G434" s="135" t="s">
        <v>975</v>
      </c>
      <c r="H434" s="135">
        <v>16504830611</v>
      </c>
      <c r="I434" s="135" t="s">
        <v>505</v>
      </c>
      <c r="J434" s="137">
        <v>43696</v>
      </c>
      <c r="K434" s="135" t="s">
        <v>212</v>
      </c>
      <c r="L434" s="135" t="s">
        <v>950</v>
      </c>
      <c r="M434" s="135" t="s">
        <v>977</v>
      </c>
      <c r="N434" s="11" t="s">
        <v>35</v>
      </c>
      <c r="O434" s="136">
        <v>43983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5.75" hidden="1" customHeight="1" x14ac:dyDescent="0.35">
      <c r="A435" s="134">
        <v>8</v>
      </c>
      <c r="B435" s="134" t="s">
        <v>89</v>
      </c>
      <c r="C435" s="11" t="s">
        <v>973</v>
      </c>
      <c r="D435" s="11" t="s">
        <v>976</v>
      </c>
      <c r="E435" s="11">
        <v>2</v>
      </c>
      <c r="F435" s="136">
        <v>41059</v>
      </c>
      <c r="G435" s="135" t="s">
        <v>975</v>
      </c>
      <c r="H435" s="135">
        <v>16504830611</v>
      </c>
      <c r="I435" s="135" t="s">
        <v>505</v>
      </c>
      <c r="J435" s="137">
        <v>43696</v>
      </c>
      <c r="K435" s="135" t="s">
        <v>167</v>
      </c>
      <c r="L435" s="135" t="s">
        <v>950</v>
      </c>
      <c r="M435" s="135" t="s">
        <v>977</v>
      </c>
      <c r="N435" s="11" t="s">
        <v>35</v>
      </c>
      <c r="O435" s="136">
        <v>43983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5.75" hidden="1" customHeight="1" x14ac:dyDescent="0.35">
      <c r="A436" s="134">
        <v>9</v>
      </c>
      <c r="B436" s="134" t="s">
        <v>49</v>
      </c>
      <c r="C436" s="11" t="s">
        <v>487</v>
      </c>
      <c r="D436" s="11" t="s">
        <v>978</v>
      </c>
      <c r="E436" s="11">
        <v>4</v>
      </c>
      <c r="F436" s="136">
        <v>40364</v>
      </c>
      <c r="G436" s="135" t="s">
        <v>794</v>
      </c>
      <c r="H436" s="135">
        <v>6262329231</v>
      </c>
      <c r="I436" s="135" t="s">
        <v>795</v>
      </c>
      <c r="J436" s="137">
        <v>43591</v>
      </c>
      <c r="K436" s="135" t="s">
        <v>256</v>
      </c>
      <c r="L436" s="135" t="s">
        <v>979</v>
      </c>
      <c r="M436" s="135" t="s">
        <v>980</v>
      </c>
      <c r="N436" s="11" t="s">
        <v>35</v>
      </c>
      <c r="O436" s="136">
        <v>43983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5.75" hidden="1" customHeight="1" x14ac:dyDescent="0.35">
      <c r="A437" s="134">
        <v>10</v>
      </c>
      <c r="B437" s="134" t="s">
        <v>89</v>
      </c>
      <c r="C437" s="11" t="s">
        <v>487</v>
      </c>
      <c r="D437" s="11" t="s">
        <v>978</v>
      </c>
      <c r="E437" s="11">
        <v>4</v>
      </c>
      <c r="F437" s="136">
        <v>40364</v>
      </c>
      <c r="G437" s="135" t="s">
        <v>794</v>
      </c>
      <c r="H437" s="135">
        <v>6262329231</v>
      </c>
      <c r="I437" s="135" t="s">
        <v>795</v>
      </c>
      <c r="J437" s="137">
        <v>43591</v>
      </c>
      <c r="K437" s="135" t="s">
        <v>301</v>
      </c>
      <c r="L437" s="135" t="s">
        <v>979</v>
      </c>
      <c r="M437" s="135" t="s">
        <v>981</v>
      </c>
      <c r="N437" s="11" t="s">
        <v>35</v>
      </c>
      <c r="O437" s="136">
        <v>43983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5.75" hidden="1" customHeight="1" x14ac:dyDescent="0.35">
      <c r="A438" s="134">
        <v>11</v>
      </c>
      <c r="B438" s="134" t="s">
        <v>49</v>
      </c>
      <c r="C438" s="11" t="s">
        <v>358</v>
      </c>
      <c r="D438" s="11" t="s">
        <v>362</v>
      </c>
      <c r="E438" s="11">
        <v>1</v>
      </c>
      <c r="F438" s="136">
        <v>40886</v>
      </c>
      <c r="G438" s="135" t="s">
        <v>363</v>
      </c>
      <c r="H438" s="135" t="s">
        <v>364</v>
      </c>
      <c r="I438" s="135" t="s">
        <v>365</v>
      </c>
      <c r="J438" s="137">
        <v>42965</v>
      </c>
      <c r="K438" s="135" t="s">
        <v>130</v>
      </c>
      <c r="L438" s="135" t="s">
        <v>939</v>
      </c>
      <c r="M438" s="135" t="s">
        <v>982</v>
      </c>
      <c r="N438" s="11" t="s">
        <v>35</v>
      </c>
      <c r="O438" s="136">
        <v>43983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5.75" hidden="1" customHeight="1" x14ac:dyDescent="0.35">
      <c r="A439" s="134">
        <v>12</v>
      </c>
      <c r="B439" s="134" t="s">
        <v>49</v>
      </c>
      <c r="C439" s="11" t="s">
        <v>983</v>
      </c>
      <c r="D439" s="11" t="s">
        <v>446</v>
      </c>
      <c r="E439" s="11">
        <v>0</v>
      </c>
      <c r="F439" s="136">
        <v>41628</v>
      </c>
      <c r="G439" s="135" t="s">
        <v>984</v>
      </c>
      <c r="H439" s="135">
        <v>4087189831</v>
      </c>
      <c r="I439" s="135" t="s">
        <v>985</v>
      </c>
      <c r="J439" s="137">
        <v>43743</v>
      </c>
      <c r="K439" s="135" t="s">
        <v>202</v>
      </c>
      <c r="L439" s="135" t="s">
        <v>640</v>
      </c>
      <c r="M439" s="135" t="s">
        <v>986</v>
      </c>
      <c r="N439" s="11" t="s">
        <v>35</v>
      </c>
      <c r="O439" s="136">
        <v>43983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5.75" hidden="1" customHeight="1" x14ac:dyDescent="0.35">
      <c r="A440" s="134">
        <v>13</v>
      </c>
      <c r="B440" s="134" t="s">
        <v>89</v>
      </c>
      <c r="C440" s="11" t="s">
        <v>983</v>
      </c>
      <c r="D440" s="11" t="s">
        <v>446</v>
      </c>
      <c r="E440" s="11">
        <v>0</v>
      </c>
      <c r="F440" s="136">
        <v>41628</v>
      </c>
      <c r="G440" s="135" t="s">
        <v>984</v>
      </c>
      <c r="H440" s="135">
        <v>4087189831</v>
      </c>
      <c r="I440" s="135" t="s">
        <v>985</v>
      </c>
      <c r="J440" s="137">
        <v>43770</v>
      </c>
      <c r="K440" s="135" t="s">
        <v>120</v>
      </c>
      <c r="L440" s="135" t="s">
        <v>605</v>
      </c>
      <c r="M440" s="135" t="s">
        <v>986</v>
      </c>
      <c r="N440" s="11" t="s">
        <v>35</v>
      </c>
      <c r="O440" s="136">
        <v>43983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5.75" hidden="1" customHeight="1" x14ac:dyDescent="0.35">
      <c r="A441" s="134">
        <v>14</v>
      </c>
      <c r="B441" s="134" t="s">
        <v>89</v>
      </c>
      <c r="C441" s="11" t="s">
        <v>354</v>
      </c>
      <c r="D441" s="11" t="s">
        <v>987</v>
      </c>
      <c r="E441" s="11">
        <v>7</v>
      </c>
      <c r="F441" s="136">
        <v>39147</v>
      </c>
      <c r="G441" s="135" t="s">
        <v>988</v>
      </c>
      <c r="H441" s="135">
        <v>4088383737</v>
      </c>
      <c r="I441" s="135" t="s">
        <v>989</v>
      </c>
      <c r="J441" s="137">
        <v>43757</v>
      </c>
      <c r="K441" s="135" t="s">
        <v>261</v>
      </c>
      <c r="L441" s="135" t="s">
        <v>624</v>
      </c>
      <c r="M441" s="135" t="s">
        <v>990</v>
      </c>
      <c r="N441" s="11" t="s">
        <v>35</v>
      </c>
      <c r="O441" s="136">
        <v>43983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5.75" hidden="1" customHeight="1" x14ac:dyDescent="0.35">
      <c r="A442" s="134">
        <v>15</v>
      </c>
      <c r="B442" s="134" t="s">
        <v>49</v>
      </c>
      <c r="C442" s="11" t="s">
        <v>227</v>
      </c>
      <c r="D442" s="11" t="s">
        <v>209</v>
      </c>
      <c r="E442" s="11">
        <v>2</v>
      </c>
      <c r="F442" s="136">
        <v>40886</v>
      </c>
      <c r="G442" s="135" t="s">
        <v>991</v>
      </c>
      <c r="H442" s="135" t="s">
        <v>992</v>
      </c>
      <c r="I442" s="135" t="s">
        <v>993</v>
      </c>
      <c r="J442" s="137">
        <v>43695</v>
      </c>
      <c r="K442" s="135" t="s">
        <v>112</v>
      </c>
      <c r="L442" s="135" t="s">
        <v>994</v>
      </c>
      <c r="M442" s="135" t="s">
        <v>995</v>
      </c>
      <c r="N442" s="11" t="s">
        <v>35</v>
      </c>
      <c r="O442" s="136">
        <v>43983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5.75" hidden="1" customHeight="1" x14ac:dyDescent="0.35">
      <c r="A443" s="134">
        <v>16</v>
      </c>
      <c r="B443" s="134" t="s">
        <v>89</v>
      </c>
      <c r="C443" s="11" t="s">
        <v>227</v>
      </c>
      <c r="D443" s="11" t="s">
        <v>209</v>
      </c>
      <c r="E443" s="11">
        <v>2</v>
      </c>
      <c r="F443" s="136">
        <v>40886</v>
      </c>
      <c r="G443" s="135" t="s">
        <v>991</v>
      </c>
      <c r="H443" s="135" t="s">
        <v>992</v>
      </c>
      <c r="I443" s="135" t="s">
        <v>993</v>
      </c>
      <c r="J443" s="137">
        <v>43695</v>
      </c>
      <c r="K443" s="135" t="s">
        <v>163</v>
      </c>
      <c r="L443" s="135" t="s">
        <v>640</v>
      </c>
      <c r="M443" s="135" t="s">
        <v>995</v>
      </c>
      <c r="N443" s="11" t="s">
        <v>35</v>
      </c>
      <c r="O443" s="136">
        <v>43983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5.75" hidden="1" customHeight="1" x14ac:dyDescent="0.35">
      <c r="A444" s="134">
        <v>17</v>
      </c>
      <c r="B444" s="134" t="s">
        <v>49</v>
      </c>
      <c r="C444" s="11" t="s">
        <v>487</v>
      </c>
      <c r="D444" s="11" t="s">
        <v>574</v>
      </c>
      <c r="E444" s="11">
        <v>1</v>
      </c>
      <c r="F444" s="136">
        <v>41302</v>
      </c>
      <c r="G444" s="135" t="s">
        <v>794</v>
      </c>
      <c r="H444" s="135">
        <v>6262329231</v>
      </c>
      <c r="I444" s="135" t="s">
        <v>795</v>
      </c>
      <c r="J444" s="137">
        <v>43617</v>
      </c>
      <c r="K444" s="135" t="s">
        <v>130</v>
      </c>
      <c r="L444" s="135" t="s">
        <v>979</v>
      </c>
      <c r="M444" s="135" t="s">
        <v>980</v>
      </c>
      <c r="N444" s="11" t="s">
        <v>35</v>
      </c>
      <c r="O444" s="136">
        <v>43983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5.75" hidden="1" customHeight="1" x14ac:dyDescent="0.35">
      <c r="A445" s="134">
        <v>18</v>
      </c>
      <c r="B445" s="134" t="s">
        <v>89</v>
      </c>
      <c r="C445" s="11" t="s">
        <v>487</v>
      </c>
      <c r="D445" s="11" t="s">
        <v>574</v>
      </c>
      <c r="E445" s="11">
        <v>1</v>
      </c>
      <c r="F445" s="136">
        <v>41302</v>
      </c>
      <c r="G445" s="135" t="s">
        <v>794</v>
      </c>
      <c r="H445" s="135">
        <v>6262329231</v>
      </c>
      <c r="I445" s="135" t="s">
        <v>795</v>
      </c>
      <c r="J445" s="137">
        <v>43617</v>
      </c>
      <c r="K445" s="135" t="s">
        <v>132</v>
      </c>
      <c r="L445" s="135" t="s">
        <v>939</v>
      </c>
      <c r="M445" s="135" t="s">
        <v>980</v>
      </c>
      <c r="N445" s="11" t="s">
        <v>35</v>
      </c>
      <c r="O445" s="136">
        <v>43983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5.75" hidden="1" customHeight="1" x14ac:dyDescent="0.35">
      <c r="A446" s="134">
        <v>19</v>
      </c>
      <c r="B446" s="134" t="s">
        <v>89</v>
      </c>
      <c r="C446" s="11" t="s">
        <v>996</v>
      </c>
      <c r="D446" s="11" t="s">
        <v>997</v>
      </c>
      <c r="E446" s="11">
        <v>1</v>
      </c>
      <c r="F446" s="136">
        <v>41377</v>
      </c>
      <c r="G446" s="135" t="s">
        <v>998</v>
      </c>
      <c r="H446" s="135">
        <v>4087759975</v>
      </c>
      <c r="I446" s="135" t="s">
        <v>999</v>
      </c>
      <c r="J446" s="137">
        <v>43709</v>
      </c>
      <c r="K446" s="135" t="s">
        <v>120</v>
      </c>
      <c r="L446" s="135" t="s">
        <v>640</v>
      </c>
      <c r="M446" s="135" t="s">
        <v>972</v>
      </c>
      <c r="N446" s="11" t="s">
        <v>35</v>
      </c>
      <c r="O446" s="136">
        <v>43983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5.75" hidden="1" customHeight="1" x14ac:dyDescent="0.35">
      <c r="A447" s="134">
        <v>20</v>
      </c>
      <c r="B447" s="134" t="s">
        <v>49</v>
      </c>
      <c r="C447" s="11" t="s">
        <v>996</v>
      </c>
      <c r="D447" s="11" t="s">
        <v>997</v>
      </c>
      <c r="E447" s="11">
        <v>1</v>
      </c>
      <c r="F447" s="136">
        <v>41377</v>
      </c>
      <c r="G447" s="135" t="s">
        <v>998</v>
      </c>
      <c r="H447" s="135">
        <v>4087759975</v>
      </c>
      <c r="I447" s="135" t="s">
        <v>999</v>
      </c>
      <c r="J447" s="137">
        <v>43709</v>
      </c>
      <c r="K447" s="135" t="s">
        <v>112</v>
      </c>
      <c r="L447" s="135" t="s">
        <v>605</v>
      </c>
      <c r="M447" s="135" t="s">
        <v>972</v>
      </c>
      <c r="N447" s="11" t="s">
        <v>35</v>
      </c>
      <c r="O447" s="136">
        <v>43983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5.75" hidden="1" customHeight="1" x14ac:dyDescent="0.35">
      <c r="A448" s="134">
        <v>21</v>
      </c>
      <c r="B448" s="134" t="s">
        <v>89</v>
      </c>
      <c r="C448" s="11" t="s">
        <v>996</v>
      </c>
      <c r="D448" s="11" t="s">
        <v>1000</v>
      </c>
      <c r="E448" s="11">
        <v>3</v>
      </c>
      <c r="F448" s="136" t="s">
        <v>1001</v>
      </c>
      <c r="G448" s="135" t="s">
        <v>998</v>
      </c>
      <c r="H448" s="135">
        <v>4087759975</v>
      </c>
      <c r="I448" s="135" t="s">
        <v>999</v>
      </c>
      <c r="J448" s="137">
        <v>43709</v>
      </c>
      <c r="K448" s="135" t="s">
        <v>153</v>
      </c>
      <c r="L448" s="135" t="s">
        <v>979</v>
      </c>
      <c r="M448" s="135" t="s">
        <v>972</v>
      </c>
      <c r="N448" s="11" t="s">
        <v>35</v>
      </c>
      <c r="O448" s="136">
        <v>43983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5.75" hidden="1" customHeight="1" x14ac:dyDescent="0.35">
      <c r="A449" s="134">
        <v>22</v>
      </c>
      <c r="B449" s="134" t="s">
        <v>49</v>
      </c>
      <c r="C449" s="11" t="s">
        <v>996</v>
      </c>
      <c r="D449" s="11" t="s">
        <v>1000</v>
      </c>
      <c r="E449" s="11">
        <v>3</v>
      </c>
      <c r="F449" s="136" t="s">
        <v>1001</v>
      </c>
      <c r="G449" s="135" t="s">
        <v>998</v>
      </c>
      <c r="H449" s="135">
        <v>4087759975</v>
      </c>
      <c r="I449" s="135" t="s">
        <v>999</v>
      </c>
      <c r="J449" s="137">
        <v>43709</v>
      </c>
      <c r="K449" s="135" t="s">
        <v>167</v>
      </c>
      <c r="L449" s="135" t="s">
        <v>605</v>
      </c>
      <c r="M449" s="135" t="s">
        <v>972</v>
      </c>
      <c r="N449" s="11" t="s">
        <v>35</v>
      </c>
      <c r="O449" s="136">
        <v>43983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5.75" hidden="1" customHeight="1" x14ac:dyDescent="0.35">
      <c r="A450" s="134">
        <v>23</v>
      </c>
      <c r="B450" s="134" t="s">
        <v>49</v>
      </c>
      <c r="C450" s="11" t="s">
        <v>358</v>
      </c>
      <c r="D450" s="11" t="s">
        <v>383</v>
      </c>
      <c r="E450" s="11">
        <v>2</v>
      </c>
      <c r="F450" s="136">
        <v>40070</v>
      </c>
      <c r="G450" s="135" t="s">
        <v>363</v>
      </c>
      <c r="H450" s="135" t="s">
        <v>364</v>
      </c>
      <c r="I450" s="135" t="s">
        <v>365</v>
      </c>
      <c r="J450" s="137">
        <v>42965</v>
      </c>
      <c r="K450" s="135" t="s">
        <v>130</v>
      </c>
      <c r="L450" s="135" t="s">
        <v>979</v>
      </c>
      <c r="M450" s="135"/>
      <c r="N450" s="11" t="s">
        <v>35</v>
      </c>
      <c r="O450" s="136">
        <v>43983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5.75" hidden="1" customHeight="1" x14ac:dyDescent="0.35">
      <c r="A451" s="134">
        <v>1</v>
      </c>
      <c r="B451" s="134" t="s">
        <v>89</v>
      </c>
      <c r="C451" s="11" t="s">
        <v>469</v>
      </c>
      <c r="D451" s="11" t="s">
        <v>1002</v>
      </c>
      <c r="E451" s="11" t="s">
        <v>180</v>
      </c>
      <c r="F451" s="136">
        <v>42064</v>
      </c>
      <c r="G451" s="135" t="s">
        <v>1003</v>
      </c>
      <c r="H451" s="135" t="s">
        <v>1004</v>
      </c>
      <c r="I451" s="135" t="s">
        <v>1005</v>
      </c>
      <c r="J451" s="137">
        <v>43985</v>
      </c>
      <c r="K451" s="135" t="s">
        <v>171</v>
      </c>
      <c r="L451" s="135" t="s">
        <v>1006</v>
      </c>
      <c r="M451" s="135"/>
      <c r="N451" s="11" t="s">
        <v>35</v>
      </c>
      <c r="O451" s="136">
        <v>44013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5.75" hidden="1" customHeight="1" x14ac:dyDescent="0.35">
      <c r="A452" s="134">
        <v>2</v>
      </c>
      <c r="B452" s="134" t="s">
        <v>49</v>
      </c>
      <c r="C452" s="11" t="s">
        <v>1007</v>
      </c>
      <c r="D452" s="11" t="s">
        <v>1008</v>
      </c>
      <c r="E452" s="11">
        <v>3</v>
      </c>
      <c r="F452" s="136" t="s">
        <v>1009</v>
      </c>
      <c r="G452" s="135" t="s">
        <v>1010</v>
      </c>
      <c r="H452" s="135" t="s">
        <v>1011</v>
      </c>
      <c r="I452" s="135" t="s">
        <v>1012</v>
      </c>
      <c r="J452" s="137" t="s">
        <v>1013</v>
      </c>
      <c r="K452" s="135" t="s">
        <v>109</v>
      </c>
      <c r="L452" s="135" t="s">
        <v>1014</v>
      </c>
      <c r="M452" s="135" t="s">
        <v>1015</v>
      </c>
      <c r="N452" s="11" t="s">
        <v>35</v>
      </c>
      <c r="O452" s="136">
        <v>44013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5.75" hidden="1" customHeight="1" x14ac:dyDescent="0.35">
      <c r="A453" s="134">
        <v>3</v>
      </c>
      <c r="B453" s="134" t="s">
        <v>89</v>
      </c>
      <c r="C453" s="11" t="s">
        <v>1007</v>
      </c>
      <c r="D453" s="11" t="s">
        <v>1008</v>
      </c>
      <c r="E453" s="11">
        <v>3</v>
      </c>
      <c r="F453" s="136" t="s">
        <v>1009</v>
      </c>
      <c r="G453" s="135" t="s">
        <v>1010</v>
      </c>
      <c r="H453" s="135" t="s">
        <v>1011</v>
      </c>
      <c r="I453" s="135" t="s">
        <v>1012</v>
      </c>
      <c r="J453" s="137" t="s">
        <v>1013</v>
      </c>
      <c r="K453" s="135" t="s">
        <v>167</v>
      </c>
      <c r="L453" s="135" t="s">
        <v>939</v>
      </c>
      <c r="M453" s="135" t="s">
        <v>1015</v>
      </c>
      <c r="N453" s="11" t="s">
        <v>35</v>
      </c>
      <c r="O453" s="136">
        <v>44013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5.75" hidden="1" customHeight="1" x14ac:dyDescent="0.35">
      <c r="A454" s="134">
        <v>1</v>
      </c>
      <c r="B454" s="134" t="s">
        <v>49</v>
      </c>
      <c r="C454" s="11" t="s">
        <v>134</v>
      </c>
      <c r="D454" s="11" t="s">
        <v>135</v>
      </c>
      <c r="E454" s="11" t="s">
        <v>149</v>
      </c>
      <c r="F454" s="136">
        <v>41393</v>
      </c>
      <c r="G454" s="135" t="s">
        <v>1016</v>
      </c>
      <c r="H454" s="135" t="s">
        <v>137</v>
      </c>
      <c r="I454" s="135" t="s">
        <v>138</v>
      </c>
      <c r="J454" s="137">
        <v>43359</v>
      </c>
      <c r="K454" s="135" t="s">
        <v>691</v>
      </c>
      <c r="L454" s="135" t="s">
        <v>238</v>
      </c>
      <c r="M454" s="135" t="s">
        <v>1017</v>
      </c>
      <c r="N454" s="11" t="s">
        <v>35</v>
      </c>
      <c r="O454" s="136">
        <v>44044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5.75" hidden="1" customHeight="1" x14ac:dyDescent="0.35">
      <c r="A455" s="134">
        <v>2</v>
      </c>
      <c r="B455" s="134" t="s">
        <v>49</v>
      </c>
      <c r="C455" s="11" t="s">
        <v>227</v>
      </c>
      <c r="D455" s="11" t="s">
        <v>310</v>
      </c>
      <c r="E455" s="11">
        <v>7</v>
      </c>
      <c r="F455" s="136">
        <v>44197</v>
      </c>
      <c r="G455" s="135" t="s">
        <v>1018</v>
      </c>
      <c r="H455" s="135">
        <v>4085005969</v>
      </c>
      <c r="I455" s="135" t="s">
        <v>1019</v>
      </c>
      <c r="J455" s="137">
        <v>44001</v>
      </c>
      <c r="K455" s="135" t="s">
        <v>384</v>
      </c>
      <c r="L455" s="135" t="s">
        <v>1006</v>
      </c>
      <c r="M455" s="135"/>
      <c r="N455" s="11" t="s">
        <v>35</v>
      </c>
      <c r="O455" s="136">
        <v>44044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5.75" hidden="1" customHeight="1" x14ac:dyDescent="0.35">
      <c r="A456" s="134">
        <v>3</v>
      </c>
      <c r="B456" s="134" t="s">
        <v>49</v>
      </c>
      <c r="C456" s="11" t="s">
        <v>595</v>
      </c>
      <c r="D456" s="11" t="s">
        <v>1020</v>
      </c>
      <c r="E456" s="11" t="s">
        <v>562</v>
      </c>
      <c r="F456" s="136">
        <v>42184</v>
      </c>
      <c r="G456" s="135" t="s">
        <v>1021</v>
      </c>
      <c r="H456" s="135">
        <v>7342623787</v>
      </c>
      <c r="I456" s="135" t="s">
        <v>1022</v>
      </c>
      <c r="J456" s="137">
        <v>44004</v>
      </c>
      <c r="K456" s="135" t="s">
        <v>1023</v>
      </c>
      <c r="L456" s="135" t="s">
        <v>640</v>
      </c>
      <c r="M456" s="135"/>
      <c r="N456" s="11" t="s">
        <v>35</v>
      </c>
      <c r="O456" s="136">
        <v>44044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5.75" hidden="1" customHeight="1" x14ac:dyDescent="0.35">
      <c r="A457" s="134">
        <v>4</v>
      </c>
      <c r="B457" s="134" t="s">
        <v>49</v>
      </c>
      <c r="C457" s="11" t="s">
        <v>694</v>
      </c>
      <c r="D457" s="11" t="s">
        <v>1024</v>
      </c>
      <c r="E457" s="11">
        <v>1</v>
      </c>
      <c r="F457" s="136">
        <v>41326</v>
      </c>
      <c r="G457" s="135" t="s">
        <v>1025</v>
      </c>
      <c r="H457" s="135">
        <v>6502832905</v>
      </c>
      <c r="I457" s="135" t="s">
        <v>1026</v>
      </c>
      <c r="J457" s="137">
        <v>43714</v>
      </c>
      <c r="K457" s="135" t="s">
        <v>112</v>
      </c>
      <c r="L457" s="135" t="s">
        <v>939</v>
      </c>
      <c r="M457" s="135" t="s">
        <v>1027</v>
      </c>
      <c r="N457" s="11" t="s">
        <v>35</v>
      </c>
      <c r="O457" s="136">
        <v>44044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5.75" hidden="1" customHeight="1" x14ac:dyDescent="0.35">
      <c r="A458" s="134">
        <v>5</v>
      </c>
      <c r="B458" s="134" t="s">
        <v>49</v>
      </c>
      <c r="C458" s="11" t="s">
        <v>584</v>
      </c>
      <c r="D458" s="11" t="s">
        <v>198</v>
      </c>
      <c r="E458" s="11">
        <v>4</v>
      </c>
      <c r="F458" s="136">
        <v>40605</v>
      </c>
      <c r="G458" s="135" t="s">
        <v>1028</v>
      </c>
      <c r="H458" s="135" t="s">
        <v>1029</v>
      </c>
      <c r="I458" s="135" t="s">
        <v>1030</v>
      </c>
      <c r="J458" s="137">
        <v>44000</v>
      </c>
      <c r="K458" s="135" t="s">
        <v>153</v>
      </c>
      <c r="L458" s="135" t="s">
        <v>1031</v>
      </c>
      <c r="M458" s="135"/>
      <c r="N458" s="11" t="s">
        <v>35</v>
      </c>
      <c r="O458" s="136">
        <v>44044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5.75" hidden="1" customHeight="1" x14ac:dyDescent="0.35">
      <c r="A459" s="134">
        <v>6</v>
      </c>
      <c r="B459" s="134" t="s">
        <v>49</v>
      </c>
      <c r="C459" s="11" t="s">
        <v>306</v>
      </c>
      <c r="D459" s="11" t="s">
        <v>546</v>
      </c>
      <c r="E459" s="11">
        <v>1</v>
      </c>
      <c r="F459" s="136">
        <v>41303</v>
      </c>
      <c r="G459" s="135" t="s">
        <v>1032</v>
      </c>
      <c r="H459" s="135">
        <v>4085684998</v>
      </c>
      <c r="I459" s="135" t="s">
        <v>1033</v>
      </c>
      <c r="J459" s="137">
        <v>43852</v>
      </c>
      <c r="K459" s="135" t="s">
        <v>681</v>
      </c>
      <c r="L459" s="135" t="s">
        <v>605</v>
      </c>
      <c r="M459" s="135"/>
      <c r="N459" s="11" t="s">
        <v>35</v>
      </c>
      <c r="O459" s="136">
        <v>44044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5.75" hidden="1" customHeight="1" x14ac:dyDescent="0.35">
      <c r="A460" s="134">
        <v>7</v>
      </c>
      <c r="B460" s="134" t="s">
        <v>49</v>
      </c>
      <c r="C460" s="11" t="s">
        <v>901</v>
      </c>
      <c r="D460" s="11" t="s">
        <v>902</v>
      </c>
      <c r="E460" s="11" t="s">
        <v>180</v>
      </c>
      <c r="F460" s="136" t="s">
        <v>903</v>
      </c>
      <c r="G460" s="135" t="s">
        <v>904</v>
      </c>
      <c r="H460" s="135">
        <v>4087247835</v>
      </c>
      <c r="I460" s="135" t="s">
        <v>905</v>
      </c>
      <c r="J460" s="137" t="s">
        <v>906</v>
      </c>
      <c r="K460" s="135" t="s">
        <v>256</v>
      </c>
      <c r="L460" s="135" t="s">
        <v>605</v>
      </c>
      <c r="M460" s="135" t="s">
        <v>1034</v>
      </c>
      <c r="N460" s="11" t="s">
        <v>35</v>
      </c>
      <c r="O460" s="136">
        <v>44044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5.75" hidden="1" customHeight="1" x14ac:dyDescent="0.35">
      <c r="A461" s="134">
        <v>8</v>
      </c>
      <c r="B461" s="134" t="s">
        <v>49</v>
      </c>
      <c r="C461" s="11" t="s">
        <v>1035</v>
      </c>
      <c r="D461" s="11" t="s">
        <v>1036</v>
      </c>
      <c r="E461" s="11">
        <v>5</v>
      </c>
      <c r="F461" s="136">
        <v>40288</v>
      </c>
      <c r="G461" s="135" t="s">
        <v>1037</v>
      </c>
      <c r="H461" s="135">
        <v>5102990900</v>
      </c>
      <c r="I461" s="135" t="s">
        <v>1038</v>
      </c>
      <c r="J461" s="137">
        <v>44006</v>
      </c>
      <c r="K461" s="135" t="s">
        <v>109</v>
      </c>
      <c r="L461" s="135" t="s">
        <v>1039</v>
      </c>
      <c r="M461" s="135" t="s">
        <v>1040</v>
      </c>
      <c r="N461" s="11" t="s">
        <v>35</v>
      </c>
      <c r="O461" s="136">
        <v>44044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5.75" hidden="1" customHeight="1" x14ac:dyDescent="0.35">
      <c r="A462" s="134">
        <v>9</v>
      </c>
      <c r="B462" s="134" t="s">
        <v>49</v>
      </c>
      <c r="C462" s="11" t="s">
        <v>1041</v>
      </c>
      <c r="D462" s="11" t="s">
        <v>1042</v>
      </c>
      <c r="E462" s="11">
        <v>3</v>
      </c>
      <c r="F462" s="136">
        <v>40927</v>
      </c>
      <c r="G462" s="135" t="s">
        <v>1043</v>
      </c>
      <c r="H462" s="135">
        <v>4088194170</v>
      </c>
      <c r="I462" s="135" t="s">
        <v>1044</v>
      </c>
      <c r="J462" s="137">
        <v>44013</v>
      </c>
      <c r="K462" s="135" t="s">
        <v>161</v>
      </c>
      <c r="L462" s="135" t="s">
        <v>1045</v>
      </c>
      <c r="M462" s="135"/>
      <c r="N462" s="11" t="s">
        <v>35</v>
      </c>
      <c r="O462" s="136">
        <v>44044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5.75" hidden="1" customHeight="1" x14ac:dyDescent="0.35">
      <c r="A463" s="134">
        <v>10</v>
      </c>
      <c r="B463" s="134" t="s">
        <v>49</v>
      </c>
      <c r="C463" s="11" t="s">
        <v>1046</v>
      </c>
      <c r="D463" s="11" t="s">
        <v>1047</v>
      </c>
      <c r="E463" s="11">
        <v>5</v>
      </c>
      <c r="F463" s="136">
        <v>40169</v>
      </c>
      <c r="G463" s="135" t="s">
        <v>1048</v>
      </c>
      <c r="H463" s="135">
        <v>5105094994</v>
      </c>
      <c r="I463" s="135" t="s">
        <v>1049</v>
      </c>
      <c r="J463" s="137">
        <v>44000</v>
      </c>
      <c r="K463" s="135" t="s">
        <v>112</v>
      </c>
      <c r="L463" s="135" t="s">
        <v>1039</v>
      </c>
      <c r="M463" s="135"/>
      <c r="N463" s="11" t="s">
        <v>35</v>
      </c>
      <c r="O463" s="136">
        <v>44044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5.75" hidden="1" customHeight="1" x14ac:dyDescent="0.35">
      <c r="A464" s="134">
        <v>11</v>
      </c>
      <c r="B464" s="134" t="s">
        <v>49</v>
      </c>
      <c r="C464" s="11" t="s">
        <v>469</v>
      </c>
      <c r="D464" s="11" t="s">
        <v>1050</v>
      </c>
      <c r="E464" s="11" t="s">
        <v>180</v>
      </c>
      <c r="F464" s="136">
        <v>41953</v>
      </c>
      <c r="G464" s="135" t="s">
        <v>1051</v>
      </c>
      <c r="H464" s="135">
        <v>6464205298</v>
      </c>
      <c r="I464" s="135" t="s">
        <v>1052</v>
      </c>
      <c r="J464" s="137">
        <v>44004</v>
      </c>
      <c r="K464" s="135" t="s">
        <v>145</v>
      </c>
      <c r="L464" s="135" t="s">
        <v>1053</v>
      </c>
      <c r="M464" s="135" t="s">
        <v>1054</v>
      </c>
      <c r="N464" s="11" t="s">
        <v>35</v>
      </c>
      <c r="O464" s="136">
        <v>44044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5.75" hidden="1" customHeight="1" x14ac:dyDescent="0.35">
      <c r="A465" s="134">
        <v>12</v>
      </c>
      <c r="B465" s="134" t="s">
        <v>89</v>
      </c>
      <c r="C465" s="11" t="s">
        <v>134</v>
      </c>
      <c r="D465" s="11" t="s">
        <v>135</v>
      </c>
      <c r="E465" s="11" t="s">
        <v>149</v>
      </c>
      <c r="F465" s="136">
        <v>41393</v>
      </c>
      <c r="G465" s="135" t="s">
        <v>1016</v>
      </c>
      <c r="H465" s="135" t="s">
        <v>137</v>
      </c>
      <c r="I465" s="135" t="s">
        <v>138</v>
      </c>
      <c r="J465" s="137">
        <v>43359</v>
      </c>
      <c r="K465" s="135" t="s">
        <v>225</v>
      </c>
      <c r="L465" s="135" t="s">
        <v>589</v>
      </c>
      <c r="M465" s="135" t="s">
        <v>1017</v>
      </c>
      <c r="N465" s="11" t="s">
        <v>35</v>
      </c>
      <c r="O465" s="136">
        <v>44044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5.75" hidden="1" customHeight="1" x14ac:dyDescent="0.35">
      <c r="A466" s="134">
        <v>13</v>
      </c>
      <c r="B466" s="134" t="s">
        <v>89</v>
      </c>
      <c r="C466" s="11" t="s">
        <v>227</v>
      </c>
      <c r="D466" s="11" t="s">
        <v>310</v>
      </c>
      <c r="E466" s="11">
        <v>7</v>
      </c>
      <c r="F466" s="136">
        <v>44197</v>
      </c>
      <c r="G466" s="135" t="s">
        <v>1018</v>
      </c>
      <c r="H466" s="135">
        <v>4085005969</v>
      </c>
      <c r="I466" s="135" t="s">
        <v>1019</v>
      </c>
      <c r="J466" s="137">
        <v>44001</v>
      </c>
      <c r="K466" s="135" t="s">
        <v>301</v>
      </c>
      <c r="L466" s="135" t="s">
        <v>1006</v>
      </c>
      <c r="M466" s="135"/>
      <c r="N466" s="11" t="s">
        <v>35</v>
      </c>
      <c r="O466" s="136">
        <v>44044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5.75" hidden="1" customHeight="1" x14ac:dyDescent="0.35">
      <c r="A467" s="134">
        <v>14</v>
      </c>
      <c r="B467" s="134" t="s">
        <v>89</v>
      </c>
      <c r="C467" s="11" t="s">
        <v>595</v>
      </c>
      <c r="D467" s="11" t="s">
        <v>1020</v>
      </c>
      <c r="E467" s="11" t="s">
        <v>562</v>
      </c>
      <c r="F467" s="136">
        <v>42184</v>
      </c>
      <c r="G467" s="135" t="s">
        <v>1021</v>
      </c>
      <c r="H467" s="135">
        <v>7342623787</v>
      </c>
      <c r="I467" s="135" t="s">
        <v>1022</v>
      </c>
      <c r="J467" s="137">
        <v>44004</v>
      </c>
      <c r="K467" s="135" t="s">
        <v>679</v>
      </c>
      <c r="L467" s="135" t="s">
        <v>1055</v>
      </c>
      <c r="M467" s="135"/>
      <c r="N467" s="11" t="s">
        <v>35</v>
      </c>
      <c r="O467" s="136">
        <v>44044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5.75" hidden="1" customHeight="1" x14ac:dyDescent="0.35">
      <c r="A468" s="134">
        <v>15</v>
      </c>
      <c r="B468" s="134" t="s">
        <v>89</v>
      </c>
      <c r="C468" s="11" t="s">
        <v>812</v>
      </c>
      <c r="D468" s="11" t="s">
        <v>1056</v>
      </c>
      <c r="E468" s="11">
        <v>4</v>
      </c>
      <c r="F468" s="136">
        <v>40725</v>
      </c>
      <c r="G468" s="135" t="s">
        <v>1057</v>
      </c>
      <c r="H468" s="135">
        <v>4086444827</v>
      </c>
      <c r="I468" s="135" t="s">
        <v>1058</v>
      </c>
      <c r="J468" s="137">
        <v>44018</v>
      </c>
      <c r="K468" s="135" t="s">
        <v>132</v>
      </c>
      <c r="L468" s="135" t="s">
        <v>1045</v>
      </c>
      <c r="M468" s="135"/>
      <c r="N468" s="11" t="s">
        <v>35</v>
      </c>
      <c r="O468" s="136">
        <v>44044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5.75" hidden="1" customHeight="1" x14ac:dyDescent="0.35">
      <c r="A469" s="134">
        <v>16</v>
      </c>
      <c r="B469" s="134" t="s">
        <v>89</v>
      </c>
      <c r="C469" s="11" t="s">
        <v>694</v>
      </c>
      <c r="D469" s="11" t="s">
        <v>1024</v>
      </c>
      <c r="E469" s="11">
        <v>1</v>
      </c>
      <c r="F469" s="136">
        <v>41326</v>
      </c>
      <c r="G469" s="135" t="s">
        <v>1025</v>
      </c>
      <c r="H469" s="135">
        <v>6502832905</v>
      </c>
      <c r="I469" s="135" t="s">
        <v>1026</v>
      </c>
      <c r="J469" s="137">
        <v>43770</v>
      </c>
      <c r="K469" s="135" t="s">
        <v>163</v>
      </c>
      <c r="L469" s="135" t="s">
        <v>1045</v>
      </c>
      <c r="M469" s="135" t="s">
        <v>1027</v>
      </c>
      <c r="N469" s="11" t="s">
        <v>35</v>
      </c>
      <c r="O469" s="136">
        <v>44044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5.75" hidden="1" customHeight="1" x14ac:dyDescent="0.35">
      <c r="A470" s="134">
        <v>17</v>
      </c>
      <c r="B470" s="134" t="s">
        <v>89</v>
      </c>
      <c r="C470" s="11" t="s">
        <v>584</v>
      </c>
      <c r="D470" s="11" t="s">
        <v>198</v>
      </c>
      <c r="E470" s="11">
        <v>4</v>
      </c>
      <c r="F470" s="136">
        <v>40605</v>
      </c>
      <c r="G470" s="135" t="s">
        <v>1028</v>
      </c>
      <c r="H470" s="135" t="s">
        <v>1029</v>
      </c>
      <c r="I470" s="135" t="s">
        <v>1030</v>
      </c>
      <c r="J470" s="137">
        <v>44000</v>
      </c>
      <c r="K470" s="135" t="s">
        <v>167</v>
      </c>
      <c r="L470" s="135" t="s">
        <v>1059</v>
      </c>
      <c r="M470" s="135"/>
      <c r="N470" s="11" t="s">
        <v>35</v>
      </c>
      <c r="O470" s="136">
        <v>44044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5.75" hidden="1" customHeight="1" x14ac:dyDescent="0.35">
      <c r="A471" s="134">
        <v>18</v>
      </c>
      <c r="B471" s="134" t="s">
        <v>89</v>
      </c>
      <c r="C471" s="11" t="s">
        <v>1035</v>
      </c>
      <c r="D471" s="11" t="s">
        <v>1036</v>
      </c>
      <c r="E471" s="11">
        <v>5</v>
      </c>
      <c r="F471" s="136">
        <v>40288</v>
      </c>
      <c r="G471" s="135" t="s">
        <v>1037</v>
      </c>
      <c r="H471" s="135">
        <v>5102990900</v>
      </c>
      <c r="I471" s="135" t="s">
        <v>1038</v>
      </c>
      <c r="J471" s="137">
        <v>44006</v>
      </c>
      <c r="K471" s="135" t="s">
        <v>155</v>
      </c>
      <c r="L471" s="135" t="s">
        <v>1059</v>
      </c>
      <c r="M471" s="135" t="s">
        <v>1040</v>
      </c>
      <c r="N471" s="11" t="s">
        <v>35</v>
      </c>
      <c r="O471" s="136">
        <v>44044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5.75" hidden="1" customHeight="1" x14ac:dyDescent="0.35">
      <c r="A472" s="134">
        <v>19</v>
      </c>
      <c r="B472" s="134" t="s">
        <v>89</v>
      </c>
      <c r="C472" s="11" t="s">
        <v>914</v>
      </c>
      <c r="D472" s="11" t="s">
        <v>915</v>
      </c>
      <c r="E472" s="11">
        <v>6</v>
      </c>
      <c r="F472" s="136">
        <v>39793</v>
      </c>
      <c r="G472" s="135" t="s">
        <v>1060</v>
      </c>
      <c r="H472" s="135">
        <v>5105174358</v>
      </c>
      <c r="I472" s="135" t="s">
        <v>917</v>
      </c>
      <c r="J472" s="137">
        <v>44032</v>
      </c>
      <c r="K472" s="135" t="s">
        <v>1061</v>
      </c>
      <c r="L472" s="135" t="s">
        <v>1045</v>
      </c>
      <c r="M472" s="135" t="s">
        <v>1062</v>
      </c>
      <c r="N472" s="11" t="s">
        <v>35</v>
      </c>
      <c r="O472" s="136">
        <v>44044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5.75" hidden="1" customHeight="1" x14ac:dyDescent="0.35">
      <c r="A473" s="134">
        <v>20</v>
      </c>
      <c r="B473" s="134" t="s">
        <v>89</v>
      </c>
      <c r="C473" s="11" t="s">
        <v>1041</v>
      </c>
      <c r="D473" s="11" t="s">
        <v>1042</v>
      </c>
      <c r="E473" s="11">
        <v>3</v>
      </c>
      <c r="F473" s="136">
        <v>40927</v>
      </c>
      <c r="G473" s="135" t="s">
        <v>1043</v>
      </c>
      <c r="H473" s="135">
        <v>4088194170</v>
      </c>
      <c r="I473" s="135" t="s">
        <v>1044</v>
      </c>
      <c r="J473" s="137">
        <v>44013</v>
      </c>
      <c r="K473" s="135" t="s">
        <v>163</v>
      </c>
      <c r="L473" s="135" t="s">
        <v>1014</v>
      </c>
      <c r="M473" s="135"/>
      <c r="N473" s="11" t="s">
        <v>35</v>
      </c>
      <c r="O473" s="136">
        <v>44044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5.75" hidden="1" customHeight="1" x14ac:dyDescent="0.35">
      <c r="A474" s="134">
        <v>21</v>
      </c>
      <c r="B474" s="134" t="s">
        <v>89</v>
      </c>
      <c r="C474" s="11" t="s">
        <v>1046</v>
      </c>
      <c r="D474" s="11" t="s">
        <v>1047</v>
      </c>
      <c r="E474" s="11">
        <v>5</v>
      </c>
      <c r="F474" s="136">
        <v>40169</v>
      </c>
      <c r="G474" s="135" t="s">
        <v>1048</v>
      </c>
      <c r="H474" s="135">
        <v>5105094994</v>
      </c>
      <c r="I474" s="135" t="s">
        <v>1049</v>
      </c>
      <c r="J474" s="137">
        <v>44000</v>
      </c>
      <c r="K474" s="135" t="s">
        <v>163</v>
      </c>
      <c r="L474" s="135" t="s">
        <v>1039</v>
      </c>
      <c r="M474" s="135"/>
      <c r="N474" s="11" t="s">
        <v>35</v>
      </c>
      <c r="O474" s="136">
        <v>44044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5.75" hidden="1" customHeight="1" x14ac:dyDescent="0.35">
      <c r="A475" s="134">
        <v>22</v>
      </c>
      <c r="B475" s="134" t="s">
        <v>89</v>
      </c>
      <c r="C475" s="11" t="s">
        <v>469</v>
      </c>
      <c r="D475" s="11" t="s">
        <v>1050</v>
      </c>
      <c r="E475" s="11" t="s">
        <v>180</v>
      </c>
      <c r="F475" s="136">
        <v>41953</v>
      </c>
      <c r="G475" s="135" t="s">
        <v>1051</v>
      </c>
      <c r="H475" s="135">
        <v>6464205298</v>
      </c>
      <c r="I475" s="135" t="s">
        <v>1052</v>
      </c>
      <c r="J475" s="137">
        <v>44004</v>
      </c>
      <c r="K475" s="135" t="s">
        <v>120</v>
      </c>
      <c r="L475" s="135" t="s">
        <v>1059</v>
      </c>
      <c r="M475" s="135" t="s">
        <v>1054</v>
      </c>
      <c r="N475" s="11" t="s">
        <v>35</v>
      </c>
      <c r="O475" s="136">
        <v>44044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5.75" hidden="1" customHeight="1" x14ac:dyDescent="0.35">
      <c r="A476" s="134">
        <v>1</v>
      </c>
      <c r="B476" s="134" t="s">
        <v>89</v>
      </c>
      <c r="C476" s="11" t="s">
        <v>1063</v>
      </c>
      <c r="D476" s="11" t="s">
        <v>1064</v>
      </c>
      <c r="E476" s="11">
        <v>1</v>
      </c>
      <c r="F476" s="136">
        <v>41692</v>
      </c>
      <c r="G476" s="135" t="s">
        <v>1065</v>
      </c>
      <c r="H476" s="135">
        <v>5182859738</v>
      </c>
      <c r="I476" s="135" t="s">
        <v>1066</v>
      </c>
      <c r="J476" s="137">
        <v>44004</v>
      </c>
      <c r="K476" s="135" t="s">
        <v>120</v>
      </c>
      <c r="L476" s="135" t="s">
        <v>1039</v>
      </c>
      <c r="M476" s="135"/>
      <c r="N476" s="11" t="s">
        <v>35</v>
      </c>
      <c r="O476" s="136">
        <v>44075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5.75" hidden="1" customHeight="1" x14ac:dyDescent="0.35">
      <c r="A477" s="134">
        <v>2</v>
      </c>
      <c r="B477" s="134" t="s">
        <v>89</v>
      </c>
      <c r="C477" s="11" t="s">
        <v>625</v>
      </c>
      <c r="D477" s="11" t="s">
        <v>1067</v>
      </c>
      <c r="E477" s="11">
        <v>1</v>
      </c>
      <c r="F477" s="136">
        <v>41713</v>
      </c>
      <c r="G477" s="135" t="s">
        <v>1068</v>
      </c>
      <c r="H477" s="135">
        <v>2164827105</v>
      </c>
      <c r="I477" s="135" t="s">
        <v>1069</v>
      </c>
      <c r="J477" s="137">
        <v>43985</v>
      </c>
      <c r="K477" s="135" t="s">
        <v>1070</v>
      </c>
      <c r="L477" s="135" t="s">
        <v>1059</v>
      </c>
      <c r="M477" s="135"/>
      <c r="N477" s="11" t="s">
        <v>35</v>
      </c>
      <c r="O477" s="136">
        <v>44075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5.75" hidden="1" customHeight="1" x14ac:dyDescent="0.35">
      <c r="A478" s="134">
        <v>3</v>
      </c>
      <c r="B478" s="134" t="s">
        <v>89</v>
      </c>
      <c r="C478" s="11" t="s">
        <v>1071</v>
      </c>
      <c r="D478" s="11" t="s">
        <v>446</v>
      </c>
      <c r="E478" s="11">
        <v>4</v>
      </c>
      <c r="F478" s="136">
        <v>40447</v>
      </c>
      <c r="G478" s="135" t="s">
        <v>1018</v>
      </c>
      <c r="H478" s="135">
        <v>4085005969</v>
      </c>
      <c r="I478" s="135" t="s">
        <v>1019</v>
      </c>
      <c r="J478" s="137">
        <v>44019</v>
      </c>
      <c r="K478" s="135" t="s">
        <v>163</v>
      </c>
      <c r="L478" s="135" t="s">
        <v>1039</v>
      </c>
      <c r="M478" s="135"/>
      <c r="N478" s="11" t="s">
        <v>35</v>
      </c>
      <c r="O478" s="136">
        <v>44075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5.75" hidden="1" customHeight="1" x14ac:dyDescent="0.35">
      <c r="A479" s="134">
        <v>4</v>
      </c>
      <c r="B479" s="134" t="s">
        <v>49</v>
      </c>
      <c r="C479" s="11" t="s">
        <v>306</v>
      </c>
      <c r="D479" s="11" t="s">
        <v>1072</v>
      </c>
      <c r="E479" s="11">
        <v>3</v>
      </c>
      <c r="F479" s="136" t="s">
        <v>1073</v>
      </c>
      <c r="G479" s="135" t="s">
        <v>1074</v>
      </c>
      <c r="H479" s="135" t="s">
        <v>1075</v>
      </c>
      <c r="I479" s="135" t="s">
        <v>1076</v>
      </c>
      <c r="J479" s="137">
        <v>43617</v>
      </c>
      <c r="K479" s="135" t="s">
        <v>264</v>
      </c>
      <c r="L479" s="135" t="s">
        <v>1039</v>
      </c>
      <c r="M479" s="135" t="s">
        <v>1077</v>
      </c>
      <c r="N479" s="11" t="s">
        <v>35</v>
      </c>
      <c r="O479" s="136">
        <v>44075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5.75" hidden="1" customHeight="1" x14ac:dyDescent="0.35">
      <c r="A480" s="134">
        <v>5</v>
      </c>
      <c r="B480" s="134" t="s">
        <v>89</v>
      </c>
      <c r="C480" s="11" t="s">
        <v>306</v>
      </c>
      <c r="D480" s="11" t="s">
        <v>1072</v>
      </c>
      <c r="E480" s="11">
        <v>3</v>
      </c>
      <c r="F480" s="136" t="s">
        <v>1073</v>
      </c>
      <c r="G480" s="135" t="s">
        <v>1074</v>
      </c>
      <c r="H480" s="135" t="s">
        <v>1075</v>
      </c>
      <c r="I480" s="135" t="s">
        <v>1076</v>
      </c>
      <c r="J480" s="137">
        <v>43617</v>
      </c>
      <c r="K480" s="135" t="s">
        <v>251</v>
      </c>
      <c r="L480" s="135" t="s">
        <v>640</v>
      </c>
      <c r="M480" s="135" t="s">
        <v>1077</v>
      </c>
      <c r="N480" s="11" t="s">
        <v>35</v>
      </c>
      <c r="O480" s="136">
        <v>44075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5.75" hidden="1" customHeight="1" x14ac:dyDescent="0.35">
      <c r="A481" s="134">
        <v>6</v>
      </c>
      <c r="B481" s="134" t="s">
        <v>49</v>
      </c>
      <c r="C481" s="11" t="s">
        <v>306</v>
      </c>
      <c r="D481" s="11" t="s">
        <v>847</v>
      </c>
      <c r="E481" s="11" t="s">
        <v>180</v>
      </c>
      <c r="F481" s="136" t="s">
        <v>1078</v>
      </c>
      <c r="G481" s="135" t="s">
        <v>1074</v>
      </c>
      <c r="H481" s="135" t="s">
        <v>1075</v>
      </c>
      <c r="I481" s="135" t="s">
        <v>1079</v>
      </c>
      <c r="J481" s="137">
        <v>43617</v>
      </c>
      <c r="K481" s="135" t="s">
        <v>130</v>
      </c>
      <c r="L481" s="135" t="s">
        <v>979</v>
      </c>
      <c r="M481" s="135" t="s">
        <v>1077</v>
      </c>
      <c r="N481" s="11" t="s">
        <v>35</v>
      </c>
      <c r="O481" s="136">
        <v>44075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5.75" hidden="1" customHeight="1" x14ac:dyDescent="0.35">
      <c r="A482" s="134">
        <v>7</v>
      </c>
      <c r="B482" s="134" t="s">
        <v>89</v>
      </c>
      <c r="C482" s="11" t="s">
        <v>306</v>
      </c>
      <c r="D482" s="11" t="s">
        <v>847</v>
      </c>
      <c r="E482" s="11" t="s">
        <v>180</v>
      </c>
      <c r="F482" s="136" t="s">
        <v>1078</v>
      </c>
      <c r="G482" s="135" t="s">
        <v>1074</v>
      </c>
      <c r="H482" s="135" t="s">
        <v>1075</v>
      </c>
      <c r="I482" s="135" t="s">
        <v>1079</v>
      </c>
      <c r="J482" s="137">
        <v>43617</v>
      </c>
      <c r="K482" s="135" t="s">
        <v>167</v>
      </c>
      <c r="L482" s="135" t="s">
        <v>1014</v>
      </c>
      <c r="M482" s="135" t="s">
        <v>1077</v>
      </c>
      <c r="N482" s="11" t="s">
        <v>35</v>
      </c>
      <c r="O482" s="136">
        <v>44075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5.75" hidden="1" customHeight="1" x14ac:dyDescent="0.35">
      <c r="A483" s="134">
        <v>8</v>
      </c>
      <c r="B483" s="134" t="s">
        <v>89</v>
      </c>
      <c r="C483" s="11" t="s">
        <v>1080</v>
      </c>
      <c r="D483" s="11" t="s">
        <v>1081</v>
      </c>
      <c r="E483" s="11" t="s">
        <v>273</v>
      </c>
      <c r="F483" s="136">
        <v>41914</v>
      </c>
      <c r="G483" s="135" t="s">
        <v>1082</v>
      </c>
      <c r="H483" s="135">
        <v>5102606448</v>
      </c>
      <c r="I483" s="135" t="s">
        <v>1083</v>
      </c>
      <c r="J483" s="137">
        <v>44004</v>
      </c>
      <c r="K483" s="135" t="s">
        <v>171</v>
      </c>
      <c r="L483" s="135" t="s">
        <v>1059</v>
      </c>
      <c r="M483" s="135"/>
      <c r="N483" s="11" t="s">
        <v>35</v>
      </c>
      <c r="O483" s="136">
        <v>44075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5.75" hidden="1" customHeight="1" x14ac:dyDescent="0.35">
      <c r="A484" s="134">
        <v>9</v>
      </c>
      <c r="B484" s="134" t="s">
        <v>49</v>
      </c>
      <c r="C484" s="11" t="s">
        <v>458</v>
      </c>
      <c r="D484" s="11" t="s">
        <v>459</v>
      </c>
      <c r="E484" s="11">
        <v>5</v>
      </c>
      <c r="F484" s="136"/>
      <c r="G484" s="135" t="s">
        <v>464</v>
      </c>
      <c r="H484" s="135">
        <v>4085683605</v>
      </c>
      <c r="I484" s="135" t="s">
        <v>461</v>
      </c>
      <c r="J484" s="137">
        <v>43831</v>
      </c>
      <c r="K484" s="135" t="s">
        <v>153</v>
      </c>
      <c r="L484" s="135" t="s">
        <v>950</v>
      </c>
      <c r="M484" s="135" t="s">
        <v>1084</v>
      </c>
      <c r="N484" s="11" t="s">
        <v>35</v>
      </c>
      <c r="O484" s="136">
        <v>44075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5.75" hidden="1" customHeight="1" x14ac:dyDescent="0.35">
      <c r="A485" s="134">
        <v>10</v>
      </c>
      <c r="B485" s="134" t="s">
        <v>89</v>
      </c>
      <c r="C485" s="11" t="s">
        <v>458</v>
      </c>
      <c r="D485" s="11" t="s">
        <v>459</v>
      </c>
      <c r="E485" s="11">
        <v>5</v>
      </c>
      <c r="F485" s="136"/>
      <c r="G485" s="135" t="s">
        <v>464</v>
      </c>
      <c r="H485" s="135">
        <v>4085683605</v>
      </c>
      <c r="I485" s="135" t="s">
        <v>461</v>
      </c>
      <c r="J485" s="137">
        <v>43831</v>
      </c>
      <c r="K485" s="135" t="s">
        <v>261</v>
      </c>
      <c r="L485" s="135" t="s">
        <v>950</v>
      </c>
      <c r="M485" s="135" t="s">
        <v>1084</v>
      </c>
      <c r="N485" s="11" t="s">
        <v>35</v>
      </c>
      <c r="O485" s="136">
        <v>44075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5.75" hidden="1" customHeight="1" x14ac:dyDescent="0.35">
      <c r="A486" s="134">
        <v>11</v>
      </c>
      <c r="B486" s="134" t="s">
        <v>49</v>
      </c>
      <c r="C486" s="11" t="s">
        <v>458</v>
      </c>
      <c r="D486" s="11" t="s">
        <v>463</v>
      </c>
      <c r="E486" s="11">
        <v>5</v>
      </c>
      <c r="F486" s="136"/>
      <c r="G486" s="135" t="s">
        <v>464</v>
      </c>
      <c r="H486" s="135">
        <v>4085683605</v>
      </c>
      <c r="I486" s="135" t="s">
        <v>461</v>
      </c>
      <c r="J486" s="137">
        <v>43831</v>
      </c>
      <c r="K486" s="135" t="s">
        <v>112</v>
      </c>
      <c r="L486" s="135" t="s">
        <v>1039</v>
      </c>
      <c r="M486" s="135" t="s">
        <v>1084</v>
      </c>
      <c r="N486" s="11" t="s">
        <v>35</v>
      </c>
      <c r="O486" s="136">
        <v>44075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5.75" hidden="1" customHeight="1" x14ac:dyDescent="0.35">
      <c r="A487" s="134">
        <v>12</v>
      </c>
      <c r="B487" s="134" t="s">
        <v>89</v>
      </c>
      <c r="C487" s="11" t="s">
        <v>458</v>
      </c>
      <c r="D487" s="11" t="s">
        <v>463</v>
      </c>
      <c r="E487" s="11">
        <v>5</v>
      </c>
      <c r="F487" s="136"/>
      <c r="G487" s="135" t="s">
        <v>464</v>
      </c>
      <c r="H487" s="135">
        <v>4085683605</v>
      </c>
      <c r="I487" s="135" t="s">
        <v>461</v>
      </c>
      <c r="J487" s="137">
        <v>43831</v>
      </c>
      <c r="K487" s="135" t="s">
        <v>120</v>
      </c>
      <c r="L487" s="135" t="s">
        <v>1039</v>
      </c>
      <c r="M487" s="135" t="s">
        <v>1084</v>
      </c>
      <c r="N487" s="11" t="s">
        <v>35</v>
      </c>
      <c r="O487" s="136">
        <v>44075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5.75" hidden="1" customHeight="1" x14ac:dyDescent="0.35">
      <c r="A488" s="134">
        <v>13</v>
      </c>
      <c r="B488" s="134" t="s">
        <v>89</v>
      </c>
      <c r="C488" s="11" t="s">
        <v>1035</v>
      </c>
      <c r="D488" s="11" t="s">
        <v>1085</v>
      </c>
      <c r="E488" s="11">
        <v>1</v>
      </c>
      <c r="F488" s="136">
        <v>41663</v>
      </c>
      <c r="G488" s="135" t="s">
        <v>1086</v>
      </c>
      <c r="H488" s="135">
        <v>4083903175</v>
      </c>
      <c r="I488" s="135" t="s">
        <v>1087</v>
      </c>
      <c r="J488" s="137">
        <v>44004</v>
      </c>
      <c r="K488" s="135" t="s">
        <v>120</v>
      </c>
      <c r="L488" s="135" t="s">
        <v>1059</v>
      </c>
      <c r="M488" s="135"/>
      <c r="N488" s="11" t="s">
        <v>35</v>
      </c>
      <c r="O488" s="136">
        <v>44075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5.75" hidden="1" customHeight="1" x14ac:dyDescent="0.35">
      <c r="A489" s="134">
        <v>14</v>
      </c>
      <c r="B489" s="134" t="s">
        <v>49</v>
      </c>
      <c r="C489" s="11" t="s">
        <v>983</v>
      </c>
      <c r="D489" s="11" t="s">
        <v>1088</v>
      </c>
      <c r="E489" s="11" t="s">
        <v>562</v>
      </c>
      <c r="F489" s="136">
        <v>42474</v>
      </c>
      <c r="G489" s="135" t="s">
        <v>1089</v>
      </c>
      <c r="H489" s="135">
        <v>4087189831</v>
      </c>
      <c r="I489" s="135" t="s">
        <v>985</v>
      </c>
      <c r="J489" s="137">
        <v>44013</v>
      </c>
      <c r="K489" s="135" t="s">
        <v>182</v>
      </c>
      <c r="L489" s="135" t="s">
        <v>1031</v>
      </c>
      <c r="M489" s="135" t="s">
        <v>1077</v>
      </c>
      <c r="N489" s="11" t="s">
        <v>35</v>
      </c>
      <c r="O489" s="136">
        <v>44075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5.75" hidden="1" customHeight="1" x14ac:dyDescent="0.35">
      <c r="A490" s="134">
        <v>1</v>
      </c>
      <c r="B490" s="134" t="s">
        <v>49</v>
      </c>
      <c r="C490" s="11" t="s">
        <v>147</v>
      </c>
      <c r="D490" s="11" t="s">
        <v>148</v>
      </c>
      <c r="E490" s="11" t="s">
        <v>149</v>
      </c>
      <c r="F490" s="136">
        <v>41461</v>
      </c>
      <c r="G490" s="135" t="s">
        <v>150</v>
      </c>
      <c r="H490" s="135" t="s">
        <v>151</v>
      </c>
      <c r="I490" s="135" t="s">
        <v>993</v>
      </c>
      <c r="J490" s="137" t="s">
        <v>1090</v>
      </c>
      <c r="K490" s="135" t="s">
        <v>161</v>
      </c>
      <c r="L490" s="135" t="s">
        <v>640</v>
      </c>
      <c r="M490" s="135" t="s">
        <v>1091</v>
      </c>
      <c r="N490" s="11" t="s">
        <v>35</v>
      </c>
      <c r="O490" s="136">
        <v>44105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5.75" hidden="1" customHeight="1" x14ac:dyDescent="0.35">
      <c r="A491" s="134">
        <v>2</v>
      </c>
      <c r="B491" s="134" t="s">
        <v>89</v>
      </c>
      <c r="C491" s="11" t="s">
        <v>147</v>
      </c>
      <c r="D491" s="11" t="s">
        <v>148</v>
      </c>
      <c r="E491" s="11" t="s">
        <v>149</v>
      </c>
      <c r="F491" s="136">
        <v>41461</v>
      </c>
      <c r="G491" s="135" t="s">
        <v>150</v>
      </c>
      <c r="H491" s="135" t="s">
        <v>151</v>
      </c>
      <c r="I491" s="135" t="s">
        <v>152</v>
      </c>
      <c r="J491" s="137" t="s">
        <v>1090</v>
      </c>
      <c r="K491" s="135" t="s">
        <v>120</v>
      </c>
      <c r="L491" s="135" t="s">
        <v>950</v>
      </c>
      <c r="M491" s="135" t="s">
        <v>1091</v>
      </c>
      <c r="N491" s="11" t="s">
        <v>35</v>
      </c>
      <c r="O491" s="136">
        <v>44105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5.75" hidden="1" customHeight="1" x14ac:dyDescent="0.35">
      <c r="A492" s="134">
        <v>3</v>
      </c>
      <c r="B492" s="134" t="s">
        <v>49</v>
      </c>
      <c r="C492" s="11" t="s">
        <v>555</v>
      </c>
      <c r="D492" s="11" t="s">
        <v>561</v>
      </c>
      <c r="E492" s="11">
        <v>0</v>
      </c>
      <c r="F492" s="136">
        <v>41667</v>
      </c>
      <c r="G492" s="135" t="s">
        <v>692</v>
      </c>
      <c r="H492" s="135" t="s">
        <v>558</v>
      </c>
      <c r="I492" s="135" t="s">
        <v>365</v>
      </c>
      <c r="J492" s="137">
        <v>43877</v>
      </c>
      <c r="K492" s="135" t="s">
        <v>124</v>
      </c>
      <c r="L492" s="135" t="s">
        <v>939</v>
      </c>
      <c r="M492" s="135" t="s">
        <v>1092</v>
      </c>
      <c r="N492" s="11" t="s">
        <v>35</v>
      </c>
      <c r="O492" s="136">
        <v>44105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5.75" hidden="1" customHeight="1" x14ac:dyDescent="0.35">
      <c r="A493" s="134">
        <v>4</v>
      </c>
      <c r="B493" s="134" t="s">
        <v>89</v>
      </c>
      <c r="C493" s="11" t="s">
        <v>555</v>
      </c>
      <c r="D493" s="11" t="s">
        <v>561</v>
      </c>
      <c r="E493" s="11">
        <v>0</v>
      </c>
      <c r="F493" s="136">
        <v>41667</v>
      </c>
      <c r="G493" s="135" t="s">
        <v>692</v>
      </c>
      <c r="H493" s="135" t="s">
        <v>558</v>
      </c>
      <c r="I493" s="135" t="s">
        <v>365</v>
      </c>
      <c r="J493" s="137">
        <v>43877</v>
      </c>
      <c r="K493" s="135" t="s">
        <v>691</v>
      </c>
      <c r="L493" s="135" t="s">
        <v>1045</v>
      </c>
      <c r="M493" s="135" t="s">
        <v>1092</v>
      </c>
      <c r="N493" s="11" t="s">
        <v>35</v>
      </c>
      <c r="O493" s="136">
        <v>44105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5.75" hidden="1" customHeight="1" x14ac:dyDescent="0.35">
      <c r="A494" s="134">
        <v>1</v>
      </c>
      <c r="B494" s="134" t="s">
        <v>49</v>
      </c>
      <c r="C494" s="11" t="s">
        <v>1093</v>
      </c>
      <c r="D494" s="11" t="s">
        <v>1094</v>
      </c>
      <c r="E494" s="11">
        <v>1</v>
      </c>
      <c r="F494" s="136">
        <v>41656</v>
      </c>
      <c r="G494" s="135" t="s">
        <v>1095</v>
      </c>
      <c r="H494" s="135">
        <v>4084218174</v>
      </c>
      <c r="I494" s="135" t="s">
        <v>1096</v>
      </c>
      <c r="J494" s="137">
        <v>44059</v>
      </c>
      <c r="K494" s="135" t="s">
        <v>691</v>
      </c>
      <c r="L494" s="135" t="s">
        <v>1059</v>
      </c>
      <c r="M494" s="135" t="s">
        <v>1091</v>
      </c>
      <c r="N494" s="11" t="s">
        <v>35</v>
      </c>
      <c r="O494" s="136">
        <v>44136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5.75" hidden="1" customHeight="1" x14ac:dyDescent="0.35">
      <c r="A495" s="134">
        <v>2</v>
      </c>
      <c r="B495" s="134" t="s">
        <v>89</v>
      </c>
      <c r="C495" s="11" t="s">
        <v>1093</v>
      </c>
      <c r="D495" s="11" t="s">
        <v>1094</v>
      </c>
      <c r="E495" s="11">
        <v>1</v>
      </c>
      <c r="F495" s="136">
        <v>41656</v>
      </c>
      <c r="G495" s="135" t="s">
        <v>1095</v>
      </c>
      <c r="H495" s="135">
        <v>4084218174</v>
      </c>
      <c r="I495" s="135" t="s">
        <v>1096</v>
      </c>
      <c r="J495" s="137">
        <v>44059</v>
      </c>
      <c r="K495" s="135" t="s">
        <v>225</v>
      </c>
      <c r="L495" s="135" t="s">
        <v>1006</v>
      </c>
      <c r="M495" s="135" t="s">
        <v>1091</v>
      </c>
      <c r="N495" s="11" t="s">
        <v>35</v>
      </c>
      <c r="O495" s="136">
        <v>44136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5.75" hidden="1" customHeight="1" x14ac:dyDescent="0.35">
      <c r="A496" s="134">
        <v>3</v>
      </c>
      <c r="B496" s="134" t="s">
        <v>49</v>
      </c>
      <c r="C496" s="11" t="s">
        <v>983</v>
      </c>
      <c r="D496" s="11" t="s">
        <v>446</v>
      </c>
      <c r="E496" s="11">
        <v>0</v>
      </c>
      <c r="F496" s="136">
        <v>41628</v>
      </c>
      <c r="G496" s="135" t="s">
        <v>984</v>
      </c>
      <c r="H496" s="135">
        <v>4087189831</v>
      </c>
      <c r="I496" s="135" t="s">
        <v>985</v>
      </c>
      <c r="J496" s="137">
        <v>44013</v>
      </c>
      <c r="K496" s="135" t="s">
        <v>112</v>
      </c>
      <c r="L496" s="135" t="s">
        <v>994</v>
      </c>
      <c r="M496" s="135" t="s">
        <v>1091</v>
      </c>
      <c r="N496" s="11" t="s">
        <v>35</v>
      </c>
      <c r="O496" s="136">
        <v>44136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5.75" hidden="1" customHeight="1" x14ac:dyDescent="0.35">
      <c r="A497" s="134">
        <v>1</v>
      </c>
      <c r="B497" s="134" t="s">
        <v>49</v>
      </c>
      <c r="C497" s="11" t="s">
        <v>358</v>
      </c>
      <c r="D497" s="11" t="s">
        <v>590</v>
      </c>
      <c r="E497" s="11">
        <v>1</v>
      </c>
      <c r="F497" s="136">
        <v>41165</v>
      </c>
      <c r="G497" s="135" t="s">
        <v>591</v>
      </c>
      <c r="H497" s="135">
        <v>4085505781</v>
      </c>
      <c r="I497" s="135" t="s">
        <v>592</v>
      </c>
      <c r="J497" s="137">
        <v>43862</v>
      </c>
      <c r="K497" s="135" t="s">
        <v>130</v>
      </c>
      <c r="L497" s="135" t="s">
        <v>1097</v>
      </c>
      <c r="M497" s="135" t="s">
        <v>1098</v>
      </c>
      <c r="N497" s="11" t="s">
        <v>35</v>
      </c>
      <c r="O497" s="136">
        <v>44166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5.75" hidden="1" customHeight="1" x14ac:dyDescent="0.35">
      <c r="A498" s="134">
        <v>2</v>
      </c>
      <c r="B498" s="134" t="s">
        <v>89</v>
      </c>
      <c r="C498" s="11" t="s">
        <v>358</v>
      </c>
      <c r="D498" s="11" t="s">
        <v>590</v>
      </c>
      <c r="E498" s="11">
        <v>1</v>
      </c>
      <c r="F498" s="136">
        <v>41165</v>
      </c>
      <c r="G498" s="135" t="s">
        <v>591</v>
      </c>
      <c r="H498" s="135">
        <v>4085505781</v>
      </c>
      <c r="I498" s="135" t="s">
        <v>592</v>
      </c>
      <c r="J498" s="137">
        <v>43862</v>
      </c>
      <c r="K498" s="135" t="s">
        <v>132</v>
      </c>
      <c r="L498" s="135" t="s">
        <v>994</v>
      </c>
      <c r="M498" s="135" t="s">
        <v>1098</v>
      </c>
      <c r="N498" s="11" t="s">
        <v>35</v>
      </c>
      <c r="O498" s="136">
        <v>44166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5.75" hidden="1" customHeight="1" x14ac:dyDescent="0.35">
      <c r="A499" s="134">
        <v>3</v>
      </c>
      <c r="B499" s="134" t="s">
        <v>49</v>
      </c>
      <c r="C499" s="11" t="s">
        <v>973</v>
      </c>
      <c r="D499" s="11" t="s">
        <v>974</v>
      </c>
      <c r="E499" s="11">
        <v>6</v>
      </c>
      <c r="F499" s="136">
        <v>39827</v>
      </c>
      <c r="G499" s="135" t="s">
        <v>1099</v>
      </c>
      <c r="H499" s="135">
        <v>16504830611</v>
      </c>
      <c r="I499" s="135" t="s">
        <v>1100</v>
      </c>
      <c r="J499" s="137">
        <v>44060</v>
      </c>
      <c r="K499" s="135" t="s">
        <v>331</v>
      </c>
      <c r="L499" s="135" t="s">
        <v>744</v>
      </c>
      <c r="M499" s="135" t="s">
        <v>1101</v>
      </c>
      <c r="N499" s="11" t="s">
        <v>35</v>
      </c>
      <c r="O499" s="136">
        <v>44166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5.75" hidden="1" customHeight="1" x14ac:dyDescent="0.35">
      <c r="A500" s="134">
        <v>4</v>
      </c>
      <c r="B500" s="134" t="s">
        <v>49</v>
      </c>
      <c r="C500" s="11" t="s">
        <v>358</v>
      </c>
      <c r="D500" s="11" t="s">
        <v>362</v>
      </c>
      <c r="E500" s="11">
        <v>3</v>
      </c>
      <c r="F500" s="136">
        <v>40886</v>
      </c>
      <c r="G500" s="135" t="s">
        <v>363</v>
      </c>
      <c r="H500" s="135" t="s">
        <v>364</v>
      </c>
      <c r="I500" s="135" t="s">
        <v>365</v>
      </c>
      <c r="J500" s="137">
        <v>44013</v>
      </c>
      <c r="K500" s="135" t="s">
        <v>130</v>
      </c>
      <c r="L500" s="135" t="s">
        <v>939</v>
      </c>
      <c r="M500" s="135" t="s">
        <v>1102</v>
      </c>
      <c r="N500" s="11" t="s">
        <v>35</v>
      </c>
      <c r="O500" s="136">
        <v>44166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5.75" hidden="1" customHeight="1" x14ac:dyDescent="0.35">
      <c r="A501" s="134">
        <v>5</v>
      </c>
      <c r="B501" s="134" t="s">
        <v>49</v>
      </c>
      <c r="C501" s="11" t="s">
        <v>1103</v>
      </c>
      <c r="D501" s="11" t="s">
        <v>1104</v>
      </c>
      <c r="E501" s="11">
        <v>3</v>
      </c>
      <c r="F501" s="136">
        <v>40857</v>
      </c>
      <c r="G501" s="135" t="s">
        <v>1105</v>
      </c>
      <c r="H501" s="135">
        <v>4086462300</v>
      </c>
      <c r="I501" s="135" t="s">
        <v>1106</v>
      </c>
      <c r="J501" s="137">
        <v>44074</v>
      </c>
      <c r="K501" s="135" t="s">
        <v>130</v>
      </c>
      <c r="L501" s="135" t="s">
        <v>801</v>
      </c>
      <c r="M501" s="135" t="s">
        <v>1107</v>
      </c>
      <c r="N501" s="11" t="s">
        <v>35</v>
      </c>
      <c r="O501" s="136">
        <v>44166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5.75" hidden="1" customHeight="1" x14ac:dyDescent="0.35">
      <c r="A502" s="134">
        <v>6</v>
      </c>
      <c r="B502" s="134" t="s">
        <v>89</v>
      </c>
      <c r="C502" s="11" t="s">
        <v>1103</v>
      </c>
      <c r="D502" s="11" t="s">
        <v>1104</v>
      </c>
      <c r="E502" s="11">
        <v>3</v>
      </c>
      <c r="F502" s="136">
        <v>40857</v>
      </c>
      <c r="G502" s="135" t="s">
        <v>1105</v>
      </c>
      <c r="H502" s="135">
        <v>4086462300</v>
      </c>
      <c r="I502" s="135" t="s">
        <v>1106</v>
      </c>
      <c r="J502" s="137">
        <v>44074</v>
      </c>
      <c r="K502" s="135" t="s">
        <v>167</v>
      </c>
      <c r="L502" s="135" t="s">
        <v>801</v>
      </c>
      <c r="M502" s="135" t="s">
        <v>1107</v>
      </c>
      <c r="N502" s="11" t="s">
        <v>35</v>
      </c>
      <c r="O502" s="136">
        <v>44166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5.75" hidden="1" customHeight="1" x14ac:dyDescent="0.35">
      <c r="A503" s="134">
        <v>7</v>
      </c>
      <c r="B503" s="134" t="s">
        <v>49</v>
      </c>
      <c r="C503" s="11" t="s">
        <v>358</v>
      </c>
      <c r="D503" s="11" t="s">
        <v>631</v>
      </c>
      <c r="E503" s="11" t="s">
        <v>180</v>
      </c>
      <c r="F503" s="136">
        <v>41802</v>
      </c>
      <c r="G503" s="135" t="s">
        <v>591</v>
      </c>
      <c r="H503" s="135">
        <v>4085505781</v>
      </c>
      <c r="I503" s="135" t="s">
        <v>592</v>
      </c>
      <c r="J503" s="137">
        <v>43862</v>
      </c>
      <c r="K503" s="135" t="s">
        <v>161</v>
      </c>
      <c r="L503" s="135" t="s">
        <v>1097</v>
      </c>
      <c r="M503" s="135" t="s">
        <v>1098</v>
      </c>
      <c r="N503" s="11" t="s">
        <v>35</v>
      </c>
      <c r="O503" s="136">
        <v>44166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5.75" hidden="1" customHeight="1" x14ac:dyDescent="0.35">
      <c r="A504" s="134">
        <v>8</v>
      </c>
      <c r="B504" s="134" t="s">
        <v>89</v>
      </c>
      <c r="C504" s="11" t="s">
        <v>358</v>
      </c>
      <c r="D504" s="11" t="s">
        <v>631</v>
      </c>
      <c r="E504" s="11" t="s">
        <v>180</v>
      </c>
      <c r="F504" s="136">
        <v>41802</v>
      </c>
      <c r="G504" s="135" t="s">
        <v>591</v>
      </c>
      <c r="H504" s="135">
        <v>4085505781</v>
      </c>
      <c r="I504" s="135" t="s">
        <v>592</v>
      </c>
      <c r="J504" s="137">
        <v>43862</v>
      </c>
      <c r="K504" s="135" t="s">
        <v>120</v>
      </c>
      <c r="L504" s="135" t="s">
        <v>994</v>
      </c>
      <c r="M504" s="135" t="s">
        <v>1098</v>
      </c>
      <c r="N504" s="11" t="s">
        <v>35</v>
      </c>
      <c r="O504" s="136">
        <v>44166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5.75" hidden="1" customHeight="1" x14ac:dyDescent="0.35">
      <c r="A505" s="134">
        <v>9</v>
      </c>
      <c r="B505" s="134" t="s">
        <v>49</v>
      </c>
      <c r="C505" s="11" t="s">
        <v>1108</v>
      </c>
      <c r="D505" s="11" t="s">
        <v>1109</v>
      </c>
      <c r="E505" s="11" t="s">
        <v>180</v>
      </c>
      <c r="F505" s="136">
        <v>42071</v>
      </c>
      <c r="G505" s="135"/>
      <c r="H505" s="135" t="s">
        <v>1110</v>
      </c>
      <c r="I505" s="135" t="s">
        <v>1111</v>
      </c>
      <c r="J505" s="137">
        <v>44105</v>
      </c>
      <c r="K505" s="135" t="s">
        <v>118</v>
      </c>
      <c r="L505" s="135" t="s">
        <v>1059</v>
      </c>
      <c r="M505" s="135" t="s">
        <v>1091</v>
      </c>
      <c r="N505" s="11" t="s">
        <v>35</v>
      </c>
      <c r="O505" s="136">
        <v>44166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5.75" hidden="1" customHeight="1" x14ac:dyDescent="0.35">
      <c r="A506" s="134">
        <v>10</v>
      </c>
      <c r="B506" s="134" t="s">
        <v>89</v>
      </c>
      <c r="C506" s="11" t="s">
        <v>1108</v>
      </c>
      <c r="D506" s="11" t="s">
        <v>1109</v>
      </c>
      <c r="E506" s="11" t="s">
        <v>180</v>
      </c>
      <c r="F506" s="136">
        <v>42071</v>
      </c>
      <c r="G506" s="135"/>
      <c r="H506" s="135" t="s">
        <v>1110</v>
      </c>
      <c r="I506" s="135" t="s">
        <v>1111</v>
      </c>
      <c r="J506" s="137">
        <v>44105</v>
      </c>
      <c r="K506" s="135" t="s">
        <v>343</v>
      </c>
      <c r="L506" s="135" t="s">
        <v>1006</v>
      </c>
      <c r="M506" s="135" t="s">
        <v>1091</v>
      </c>
      <c r="N506" s="11" t="s">
        <v>35</v>
      </c>
      <c r="O506" s="136">
        <v>44166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5.75" hidden="1" customHeight="1" x14ac:dyDescent="0.35">
      <c r="A507" s="134">
        <v>11</v>
      </c>
      <c r="B507" s="134" t="s">
        <v>49</v>
      </c>
      <c r="C507" s="11" t="s">
        <v>358</v>
      </c>
      <c r="D507" s="11" t="s">
        <v>383</v>
      </c>
      <c r="E507" s="11">
        <v>4</v>
      </c>
      <c r="F507" s="136">
        <v>40070</v>
      </c>
      <c r="G507" s="135" t="s">
        <v>363</v>
      </c>
      <c r="H507" s="135" t="s">
        <v>364</v>
      </c>
      <c r="I507" s="135" t="s">
        <v>365</v>
      </c>
      <c r="J507" s="137">
        <v>44013</v>
      </c>
      <c r="K507" s="135" t="s">
        <v>130</v>
      </c>
      <c r="L507" s="135" t="s">
        <v>640</v>
      </c>
      <c r="M507" s="135" t="s">
        <v>1102</v>
      </c>
      <c r="N507" s="11" t="s">
        <v>35</v>
      </c>
      <c r="O507" s="136">
        <v>44166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5.75" hidden="1" customHeight="1" x14ac:dyDescent="0.35">
      <c r="A508" s="134">
        <v>12</v>
      </c>
      <c r="B508" s="134" t="s">
        <v>49</v>
      </c>
      <c r="C508" s="11" t="s">
        <v>358</v>
      </c>
      <c r="D508" s="11" t="s">
        <v>111</v>
      </c>
      <c r="E508" s="11" t="s">
        <v>149</v>
      </c>
      <c r="F508" s="136">
        <v>42221</v>
      </c>
      <c r="G508" s="135" t="s">
        <v>363</v>
      </c>
      <c r="H508" s="135" t="s">
        <v>364</v>
      </c>
      <c r="I508" s="135" t="s">
        <v>365</v>
      </c>
      <c r="J508" s="137">
        <v>44013</v>
      </c>
      <c r="K508" s="135" t="s">
        <v>118</v>
      </c>
      <c r="L508" s="135" t="s">
        <v>1097</v>
      </c>
      <c r="M508" s="135" t="s">
        <v>1102</v>
      </c>
      <c r="N508" s="11" t="s">
        <v>35</v>
      </c>
      <c r="O508" s="136">
        <v>44166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5.75" hidden="1" customHeight="1" x14ac:dyDescent="0.35">
      <c r="A509" s="134">
        <v>1</v>
      </c>
      <c r="B509" s="134" t="s">
        <v>49</v>
      </c>
      <c r="C509" s="11" t="s">
        <v>458</v>
      </c>
      <c r="D509" s="11" t="s">
        <v>563</v>
      </c>
      <c r="E509" s="11">
        <v>1</v>
      </c>
      <c r="F509" s="136">
        <v>43831</v>
      </c>
      <c r="G509" s="135" t="s">
        <v>1112</v>
      </c>
      <c r="H509" s="135">
        <v>4157124727</v>
      </c>
      <c r="I509" s="135" t="s">
        <v>935</v>
      </c>
      <c r="J509" s="137">
        <v>43983</v>
      </c>
      <c r="K509" s="135" t="s">
        <v>691</v>
      </c>
      <c r="L509" s="135" t="s">
        <v>1006</v>
      </c>
      <c r="M509" s="135" t="s">
        <v>1113</v>
      </c>
      <c r="N509" s="11" t="s">
        <v>35</v>
      </c>
      <c r="O509" s="136">
        <v>44197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5.75" hidden="1" customHeight="1" x14ac:dyDescent="0.35">
      <c r="A510" s="134">
        <v>2</v>
      </c>
      <c r="B510" s="134" t="s">
        <v>49</v>
      </c>
      <c r="C510" s="11" t="s">
        <v>469</v>
      </c>
      <c r="D510" s="11" t="s">
        <v>1002</v>
      </c>
      <c r="E510" s="11" t="s">
        <v>180</v>
      </c>
      <c r="F510" s="136">
        <v>42064</v>
      </c>
      <c r="G510" s="135" t="s">
        <v>1003</v>
      </c>
      <c r="H510" s="135" t="s">
        <v>1004</v>
      </c>
      <c r="I510" s="135" t="s">
        <v>1005</v>
      </c>
      <c r="J510" s="137">
        <v>43985</v>
      </c>
      <c r="K510" s="135" t="s">
        <v>161</v>
      </c>
      <c r="L510" s="135" t="s">
        <v>1006</v>
      </c>
      <c r="M510" s="135" t="s">
        <v>1113</v>
      </c>
      <c r="N510" s="11" t="s">
        <v>35</v>
      </c>
      <c r="O510" s="136">
        <v>44197</v>
      </c>
      <c r="P510" s="2"/>
      <c r="Q510" s="2"/>
      <c r="R510" s="2" t="s">
        <v>1114</v>
      </c>
      <c r="S510" s="2">
        <v>1</v>
      </c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5.75" hidden="1" customHeight="1" x14ac:dyDescent="0.35">
      <c r="A511" s="134">
        <v>3</v>
      </c>
      <c r="B511" s="134" t="s">
        <v>89</v>
      </c>
      <c r="C511" s="11" t="s">
        <v>1115</v>
      </c>
      <c r="D511" s="11" t="s">
        <v>1116</v>
      </c>
      <c r="E511" s="11">
        <v>4</v>
      </c>
      <c r="F511" s="136">
        <v>40831</v>
      </c>
      <c r="G511" s="135" t="s">
        <v>1117</v>
      </c>
      <c r="H511" s="135">
        <v>6503390856</v>
      </c>
      <c r="I511" s="135" t="s">
        <v>1118</v>
      </c>
      <c r="J511" s="137">
        <v>44077</v>
      </c>
      <c r="K511" s="135" t="s">
        <v>155</v>
      </c>
      <c r="L511" s="135" t="s">
        <v>994</v>
      </c>
      <c r="M511" s="135" t="s">
        <v>1091</v>
      </c>
      <c r="N511" s="11" t="s">
        <v>35</v>
      </c>
      <c r="O511" s="136">
        <v>44197</v>
      </c>
      <c r="P511" s="2"/>
      <c r="Q511" s="2"/>
      <c r="R511" s="2" t="s">
        <v>1119</v>
      </c>
      <c r="S511" s="2">
        <v>1</v>
      </c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5.75" hidden="1" customHeight="1" x14ac:dyDescent="0.35">
      <c r="A512" s="134">
        <v>4</v>
      </c>
      <c r="B512" s="134" t="s">
        <v>89</v>
      </c>
      <c r="C512" s="11" t="s">
        <v>1115</v>
      </c>
      <c r="D512" s="11" t="s">
        <v>1120</v>
      </c>
      <c r="E512" s="11">
        <v>1</v>
      </c>
      <c r="F512" s="136">
        <v>41663</v>
      </c>
      <c r="G512" s="135"/>
      <c r="H512" s="135">
        <v>6503390856</v>
      </c>
      <c r="I512" s="135" t="s">
        <v>1118</v>
      </c>
      <c r="J512" s="137">
        <v>44136</v>
      </c>
      <c r="K512" s="135" t="s">
        <v>120</v>
      </c>
      <c r="L512" s="135" t="s">
        <v>994</v>
      </c>
      <c r="M512" s="135" t="s">
        <v>1091</v>
      </c>
      <c r="N512" s="11" t="s">
        <v>35</v>
      </c>
      <c r="O512" s="136">
        <v>44197</v>
      </c>
      <c r="P512" s="2"/>
      <c r="Q512" s="2"/>
      <c r="R512" s="2" t="s">
        <v>1121</v>
      </c>
      <c r="S512" s="2">
        <v>3</v>
      </c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5.75" hidden="1" customHeight="1" x14ac:dyDescent="0.35">
      <c r="A513" s="134">
        <v>5</v>
      </c>
      <c r="B513" s="134" t="s">
        <v>89</v>
      </c>
      <c r="C513" s="11" t="s">
        <v>1122</v>
      </c>
      <c r="D513" s="11" t="s">
        <v>1123</v>
      </c>
      <c r="E513" s="11">
        <v>1</v>
      </c>
      <c r="F513" s="136">
        <v>41687</v>
      </c>
      <c r="G513" s="135"/>
      <c r="H513" s="135">
        <v>4084900266</v>
      </c>
      <c r="I513" s="135" t="s">
        <v>1124</v>
      </c>
      <c r="J513" s="137">
        <v>44136</v>
      </c>
      <c r="K513" s="135" t="s">
        <v>146</v>
      </c>
      <c r="L513" s="135" t="s">
        <v>1006</v>
      </c>
      <c r="M513" s="135" t="s">
        <v>1125</v>
      </c>
      <c r="N513" s="11" t="s">
        <v>35</v>
      </c>
      <c r="O513" s="136">
        <v>44197</v>
      </c>
      <c r="P513" s="2"/>
      <c r="Q513" s="2"/>
      <c r="R513" s="2" t="s">
        <v>1126</v>
      </c>
      <c r="S513" s="2">
        <v>2</v>
      </c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5.75" hidden="1" customHeight="1" x14ac:dyDescent="0.35">
      <c r="A514" s="134">
        <v>1</v>
      </c>
      <c r="B514" s="134" t="s">
        <v>49</v>
      </c>
      <c r="C514" s="11" t="s">
        <v>1127</v>
      </c>
      <c r="D514" s="11" t="s">
        <v>532</v>
      </c>
      <c r="E514" s="11">
        <v>3</v>
      </c>
      <c r="F514" s="136">
        <v>40878</v>
      </c>
      <c r="G514" s="135"/>
      <c r="H514" s="135">
        <v>4083148206</v>
      </c>
      <c r="I514" s="135" t="s">
        <v>1128</v>
      </c>
      <c r="J514" s="137">
        <v>44151</v>
      </c>
      <c r="K514" s="135" t="s">
        <v>112</v>
      </c>
      <c r="L514" s="135" t="s">
        <v>589</v>
      </c>
      <c r="M514" s="135" t="s">
        <v>1129</v>
      </c>
      <c r="N514" s="11" t="s">
        <v>35</v>
      </c>
      <c r="O514" s="136">
        <v>44228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5.75" hidden="1" customHeight="1" x14ac:dyDescent="0.35">
      <c r="A515" s="134">
        <v>2</v>
      </c>
      <c r="B515" s="134" t="s">
        <v>49</v>
      </c>
      <c r="C515" s="11" t="s">
        <v>227</v>
      </c>
      <c r="D515" s="11" t="s">
        <v>228</v>
      </c>
      <c r="E515" s="11">
        <v>1</v>
      </c>
      <c r="F515" s="136">
        <v>41773</v>
      </c>
      <c r="G515" s="135"/>
      <c r="H515" s="135">
        <v>5103585251</v>
      </c>
      <c r="I515" s="135" t="s">
        <v>230</v>
      </c>
      <c r="J515" s="137">
        <v>44136</v>
      </c>
      <c r="K515" s="135" t="s">
        <v>202</v>
      </c>
      <c r="L515" s="135" t="s">
        <v>994</v>
      </c>
      <c r="M515" s="135" t="s">
        <v>1130</v>
      </c>
      <c r="N515" s="11" t="s">
        <v>35</v>
      </c>
      <c r="O515" s="136">
        <v>44228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5.75" hidden="1" customHeight="1" x14ac:dyDescent="0.35">
      <c r="A516" s="134">
        <v>3</v>
      </c>
      <c r="B516" s="134" t="s">
        <v>89</v>
      </c>
      <c r="C516" s="11" t="s">
        <v>227</v>
      </c>
      <c r="D516" s="11" t="s">
        <v>228</v>
      </c>
      <c r="E516" s="11">
        <v>1</v>
      </c>
      <c r="F516" s="136">
        <v>41773</v>
      </c>
      <c r="G516" s="135"/>
      <c r="H516" s="135">
        <v>5103585251</v>
      </c>
      <c r="I516" s="135" t="s">
        <v>230</v>
      </c>
      <c r="J516" s="137">
        <v>44136</v>
      </c>
      <c r="K516" s="135" t="s">
        <v>120</v>
      </c>
      <c r="L516" s="135" t="s">
        <v>994</v>
      </c>
      <c r="M516" s="135" t="s">
        <v>1130</v>
      </c>
      <c r="N516" s="11" t="s">
        <v>35</v>
      </c>
      <c r="O516" s="136">
        <v>44228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5.75" hidden="1" customHeight="1" x14ac:dyDescent="0.35">
      <c r="A517" s="134">
        <v>1</v>
      </c>
      <c r="B517" s="134" t="s">
        <v>49</v>
      </c>
      <c r="C517" s="11" t="s">
        <v>227</v>
      </c>
      <c r="D517" s="11" t="s">
        <v>233</v>
      </c>
      <c r="E517" s="11" t="s">
        <v>180</v>
      </c>
      <c r="F517" s="136" t="s">
        <v>1131</v>
      </c>
      <c r="G517" s="135" t="s">
        <v>234</v>
      </c>
      <c r="H517" s="135" t="s">
        <v>235</v>
      </c>
      <c r="I517" s="135" t="s">
        <v>1100</v>
      </c>
      <c r="J517" s="135" t="s">
        <v>1132</v>
      </c>
      <c r="K517" s="135" t="s">
        <v>153</v>
      </c>
      <c r="L517" s="135" t="s">
        <v>994</v>
      </c>
      <c r="M517" s="135" t="s">
        <v>239</v>
      </c>
      <c r="N517" s="11" t="s">
        <v>35</v>
      </c>
      <c r="O517" s="136">
        <v>44256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5.75" hidden="1" customHeight="1" x14ac:dyDescent="0.35">
      <c r="A518" s="134">
        <v>2</v>
      </c>
      <c r="B518" s="134" t="s">
        <v>89</v>
      </c>
      <c r="C518" s="11" t="s">
        <v>227</v>
      </c>
      <c r="D518" s="11" t="s">
        <v>233</v>
      </c>
      <c r="E518" s="11" t="s">
        <v>180</v>
      </c>
      <c r="F518" s="136" t="s">
        <v>1131</v>
      </c>
      <c r="G518" s="135" t="s">
        <v>234</v>
      </c>
      <c r="H518" s="135" t="s">
        <v>235</v>
      </c>
      <c r="I518" s="135" t="s">
        <v>1100</v>
      </c>
      <c r="J518" s="135" t="s">
        <v>1132</v>
      </c>
      <c r="K518" s="135" t="s">
        <v>251</v>
      </c>
      <c r="L518" s="135" t="s">
        <v>640</v>
      </c>
      <c r="M518" s="135" t="s">
        <v>239</v>
      </c>
      <c r="N518" s="11" t="s">
        <v>35</v>
      </c>
      <c r="O518" s="136">
        <v>44256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5.75" hidden="1" customHeight="1" x14ac:dyDescent="0.35">
      <c r="A519" s="134">
        <v>3</v>
      </c>
      <c r="B519" s="134" t="s">
        <v>49</v>
      </c>
      <c r="C519" s="11" t="s">
        <v>227</v>
      </c>
      <c r="D519" s="11" t="s">
        <v>242</v>
      </c>
      <c r="E519" s="11" t="s">
        <v>273</v>
      </c>
      <c r="F519" s="136">
        <v>41761</v>
      </c>
      <c r="G519" s="135" t="s">
        <v>234</v>
      </c>
      <c r="H519" s="135" t="s">
        <v>235</v>
      </c>
      <c r="I519" s="135" t="s">
        <v>1100</v>
      </c>
      <c r="J519" s="137">
        <v>43339</v>
      </c>
      <c r="K519" s="135" t="s">
        <v>681</v>
      </c>
      <c r="L519" s="135" t="s">
        <v>950</v>
      </c>
      <c r="M519" s="135" t="s">
        <v>239</v>
      </c>
      <c r="N519" s="11" t="s">
        <v>35</v>
      </c>
      <c r="O519" s="136">
        <v>44256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5.75" hidden="1" customHeight="1" x14ac:dyDescent="0.35">
      <c r="A520" s="134">
        <v>4</v>
      </c>
      <c r="B520" s="134" t="s">
        <v>89</v>
      </c>
      <c r="C520" s="11" t="s">
        <v>227</v>
      </c>
      <c r="D520" s="11" t="s">
        <v>242</v>
      </c>
      <c r="E520" s="11" t="s">
        <v>273</v>
      </c>
      <c r="F520" s="136">
        <v>41761</v>
      </c>
      <c r="G520" s="135" t="s">
        <v>234</v>
      </c>
      <c r="H520" s="135" t="s">
        <v>235</v>
      </c>
      <c r="I520" s="135" t="s">
        <v>1100</v>
      </c>
      <c r="J520" s="137">
        <v>43339</v>
      </c>
      <c r="K520" s="135" t="s">
        <v>146</v>
      </c>
      <c r="L520" s="135" t="s">
        <v>950</v>
      </c>
      <c r="M520" s="135" t="s">
        <v>239</v>
      </c>
      <c r="N520" s="11" t="s">
        <v>35</v>
      </c>
      <c r="O520" s="136">
        <v>44256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5.75" hidden="1" customHeight="1" x14ac:dyDescent="0.35">
      <c r="A521" s="134">
        <v>1</v>
      </c>
      <c r="B521" s="134" t="s">
        <v>89</v>
      </c>
      <c r="C521" s="11" t="s">
        <v>973</v>
      </c>
      <c r="D521" s="11" t="s">
        <v>974</v>
      </c>
      <c r="E521" s="11">
        <v>6</v>
      </c>
      <c r="F521" s="136">
        <v>39827</v>
      </c>
      <c r="G521" s="135" t="s">
        <v>1099</v>
      </c>
      <c r="H521" s="135">
        <v>16504830611</v>
      </c>
      <c r="I521" s="135" t="s">
        <v>1100</v>
      </c>
      <c r="J521" s="137">
        <v>44060</v>
      </c>
      <c r="K521" s="135" t="s">
        <v>498</v>
      </c>
      <c r="L521" s="135" t="s">
        <v>994</v>
      </c>
      <c r="M521" s="135" t="s">
        <v>526</v>
      </c>
      <c r="N521" s="11" t="s">
        <v>35</v>
      </c>
      <c r="O521" s="136">
        <v>44287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5.75" hidden="1" customHeight="1" x14ac:dyDescent="0.35">
      <c r="A522" s="134">
        <v>2</v>
      </c>
      <c r="B522" s="134" t="s">
        <v>49</v>
      </c>
      <c r="C522" s="11" t="s">
        <v>1133</v>
      </c>
      <c r="D522" s="11" t="s">
        <v>1134</v>
      </c>
      <c r="E522" s="11">
        <v>3</v>
      </c>
      <c r="F522" s="136">
        <v>41074</v>
      </c>
      <c r="G522" s="135" t="s">
        <v>1048</v>
      </c>
      <c r="H522" s="135">
        <v>4086200151</v>
      </c>
      <c r="I522" s="135" t="s">
        <v>1135</v>
      </c>
      <c r="J522" s="137">
        <v>44214</v>
      </c>
      <c r="K522" s="135" t="s">
        <v>130</v>
      </c>
      <c r="L522" s="135" t="s">
        <v>994</v>
      </c>
      <c r="M522" s="135" t="s">
        <v>1136</v>
      </c>
      <c r="N522" s="11" t="s">
        <v>35</v>
      </c>
      <c r="O522" s="136">
        <v>44287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5.75" hidden="1" customHeight="1" x14ac:dyDescent="0.35">
      <c r="A523" s="134">
        <v>3</v>
      </c>
      <c r="B523" s="134" t="s">
        <v>89</v>
      </c>
      <c r="C523" s="11" t="s">
        <v>458</v>
      </c>
      <c r="D523" s="11" t="s">
        <v>1137</v>
      </c>
      <c r="E523" s="11">
        <v>2</v>
      </c>
      <c r="F523" s="136">
        <v>41260</v>
      </c>
      <c r="G523" s="135"/>
      <c r="H523" s="135" t="s">
        <v>1138</v>
      </c>
      <c r="I523" s="135" t="s">
        <v>1139</v>
      </c>
      <c r="J523" s="137">
        <v>44075</v>
      </c>
      <c r="K523" s="135" t="s">
        <v>124</v>
      </c>
      <c r="L523" s="135" t="s">
        <v>950</v>
      </c>
      <c r="M523" s="135" t="s">
        <v>1136</v>
      </c>
      <c r="N523" s="11" t="s">
        <v>35</v>
      </c>
      <c r="O523" s="136">
        <v>44287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5.75" hidden="1" customHeight="1" x14ac:dyDescent="0.35">
      <c r="A524" s="134">
        <v>4</v>
      </c>
      <c r="B524" s="134" t="s">
        <v>89</v>
      </c>
      <c r="C524" s="11" t="s">
        <v>1140</v>
      </c>
      <c r="D524" s="11" t="s">
        <v>1141</v>
      </c>
      <c r="E524" s="11">
        <v>2</v>
      </c>
      <c r="F524" s="136">
        <v>41308</v>
      </c>
      <c r="G524" s="135" t="s">
        <v>1142</v>
      </c>
      <c r="H524" s="135" t="s">
        <v>1143</v>
      </c>
      <c r="I524" s="135" t="s">
        <v>1144</v>
      </c>
      <c r="J524" s="137">
        <v>44067</v>
      </c>
      <c r="K524" s="135" t="s">
        <v>167</v>
      </c>
      <c r="L524" s="135" t="s">
        <v>1145</v>
      </c>
      <c r="M524" s="135" t="s">
        <v>1136</v>
      </c>
      <c r="N524" s="11" t="s">
        <v>35</v>
      </c>
      <c r="O524" s="136">
        <v>44287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5.75" hidden="1" customHeight="1" x14ac:dyDescent="0.35">
      <c r="A525" s="134">
        <v>5</v>
      </c>
      <c r="B525" s="134" t="s">
        <v>89</v>
      </c>
      <c r="C525" s="11" t="s">
        <v>1140</v>
      </c>
      <c r="D525" s="11" t="s">
        <v>1146</v>
      </c>
      <c r="E525" s="11">
        <v>6</v>
      </c>
      <c r="F525" s="136">
        <v>40014</v>
      </c>
      <c r="G525" s="135" t="s">
        <v>1142</v>
      </c>
      <c r="H525" s="135" t="s">
        <v>1143</v>
      </c>
      <c r="I525" s="135" t="s">
        <v>1144</v>
      </c>
      <c r="J525" s="137">
        <v>44067</v>
      </c>
      <c r="K525" s="135" t="s">
        <v>251</v>
      </c>
      <c r="L525" s="135" t="s">
        <v>1006</v>
      </c>
      <c r="M525" s="135" t="s">
        <v>1136</v>
      </c>
      <c r="N525" s="11" t="s">
        <v>35</v>
      </c>
      <c r="O525" s="136">
        <v>44287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5.75" hidden="1" customHeight="1" x14ac:dyDescent="0.35">
      <c r="A526" s="134">
        <v>1</v>
      </c>
      <c r="B526" s="134" t="s">
        <v>49</v>
      </c>
      <c r="C526" s="11" t="s">
        <v>1147</v>
      </c>
      <c r="D526" s="11" t="s">
        <v>1148</v>
      </c>
      <c r="E526" s="11">
        <v>5</v>
      </c>
      <c r="F526" s="136">
        <v>40321</v>
      </c>
      <c r="G526" s="135" t="s">
        <v>1149</v>
      </c>
      <c r="H526" s="135">
        <v>4086747847</v>
      </c>
      <c r="I526" s="135" t="s">
        <v>1150</v>
      </c>
      <c r="J526" s="137">
        <v>44060</v>
      </c>
      <c r="K526" s="135" t="s">
        <v>153</v>
      </c>
      <c r="L526" s="135" t="s">
        <v>950</v>
      </c>
      <c r="M526" s="135" t="s">
        <v>1151</v>
      </c>
      <c r="N526" s="11" t="s">
        <v>35</v>
      </c>
      <c r="O526" s="136">
        <v>44348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5.75" hidden="1" customHeight="1" x14ac:dyDescent="0.35">
      <c r="A527" s="134">
        <v>2</v>
      </c>
      <c r="B527" s="134" t="s">
        <v>89</v>
      </c>
      <c r="C527" s="11" t="s">
        <v>1147</v>
      </c>
      <c r="D527" s="11" t="s">
        <v>1148</v>
      </c>
      <c r="E527" s="11">
        <v>5</v>
      </c>
      <c r="F527" s="136">
        <v>40321</v>
      </c>
      <c r="G527" s="135" t="s">
        <v>1149</v>
      </c>
      <c r="H527" s="135">
        <v>4086747847</v>
      </c>
      <c r="I527" s="135" t="s">
        <v>1150</v>
      </c>
      <c r="J527" s="137">
        <v>44060</v>
      </c>
      <c r="K527" s="135" t="s">
        <v>155</v>
      </c>
      <c r="L527" s="135" t="s">
        <v>589</v>
      </c>
      <c r="M527" s="135" t="s">
        <v>1151</v>
      </c>
      <c r="N527" s="11" t="s">
        <v>35</v>
      </c>
      <c r="O527" s="136">
        <v>44348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5.75" hidden="1" customHeight="1" x14ac:dyDescent="0.35">
      <c r="A528" s="134">
        <v>3</v>
      </c>
      <c r="B528" s="134" t="s">
        <v>49</v>
      </c>
      <c r="C528" s="11" t="s">
        <v>453</v>
      </c>
      <c r="D528" s="11" t="s">
        <v>974</v>
      </c>
      <c r="E528" s="11" t="s">
        <v>180</v>
      </c>
      <c r="F528" s="136">
        <v>41870</v>
      </c>
      <c r="G528" s="135" t="s">
        <v>1152</v>
      </c>
      <c r="H528" s="135">
        <v>5103863740</v>
      </c>
      <c r="I528" s="135" t="s">
        <v>613</v>
      </c>
      <c r="J528" s="137">
        <v>43990</v>
      </c>
      <c r="K528" s="135" t="s">
        <v>452</v>
      </c>
      <c r="L528" s="135" t="s">
        <v>950</v>
      </c>
      <c r="M528" s="135" t="s">
        <v>1153</v>
      </c>
      <c r="N528" s="11" t="s">
        <v>35</v>
      </c>
      <c r="O528" s="136">
        <v>44348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5.75" hidden="1" customHeight="1" x14ac:dyDescent="0.35">
      <c r="A529" s="134">
        <v>4</v>
      </c>
      <c r="B529" s="134" t="s">
        <v>89</v>
      </c>
      <c r="C529" s="11" t="s">
        <v>453</v>
      </c>
      <c r="D529" s="11" t="s">
        <v>974</v>
      </c>
      <c r="E529" s="11" t="s">
        <v>180</v>
      </c>
      <c r="F529" s="136">
        <v>41870</v>
      </c>
      <c r="G529" s="135" t="s">
        <v>1152</v>
      </c>
      <c r="H529" s="135">
        <v>5103863740</v>
      </c>
      <c r="I529" s="135" t="s">
        <v>613</v>
      </c>
      <c r="J529" s="137">
        <v>43990</v>
      </c>
      <c r="K529" s="135" t="s">
        <v>146</v>
      </c>
      <c r="L529" s="135" t="s">
        <v>589</v>
      </c>
      <c r="M529" s="135" t="s">
        <v>1153</v>
      </c>
      <c r="N529" s="11" t="s">
        <v>35</v>
      </c>
      <c r="O529" s="136">
        <v>44348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5.75" hidden="1" customHeight="1" x14ac:dyDescent="0.35">
      <c r="A530" s="134">
        <v>5</v>
      </c>
      <c r="B530" s="134" t="s">
        <v>49</v>
      </c>
      <c r="C530" s="11" t="s">
        <v>973</v>
      </c>
      <c r="D530" s="11" t="s">
        <v>976</v>
      </c>
      <c r="E530" s="11">
        <v>3</v>
      </c>
      <c r="F530" s="136">
        <v>41059</v>
      </c>
      <c r="G530" s="135" t="s">
        <v>1099</v>
      </c>
      <c r="H530" s="135">
        <v>16504830611</v>
      </c>
      <c r="I530" s="135" t="s">
        <v>1100</v>
      </c>
      <c r="J530" s="137">
        <v>44060</v>
      </c>
      <c r="K530" s="135" t="s">
        <v>212</v>
      </c>
      <c r="L530" s="135" t="s">
        <v>950</v>
      </c>
      <c r="M530" s="135" t="s">
        <v>1153</v>
      </c>
      <c r="N530" s="11" t="s">
        <v>35</v>
      </c>
      <c r="O530" s="136">
        <v>44348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5.75" hidden="1" customHeight="1" x14ac:dyDescent="0.35">
      <c r="A531" s="134">
        <v>6</v>
      </c>
      <c r="B531" s="134" t="s">
        <v>89</v>
      </c>
      <c r="C531" s="11" t="s">
        <v>973</v>
      </c>
      <c r="D531" s="11" t="s">
        <v>976</v>
      </c>
      <c r="E531" s="11">
        <v>3</v>
      </c>
      <c r="F531" s="136">
        <v>41059</v>
      </c>
      <c r="G531" s="135" t="s">
        <v>1099</v>
      </c>
      <c r="H531" s="135">
        <v>16504830611</v>
      </c>
      <c r="I531" s="135" t="s">
        <v>1100</v>
      </c>
      <c r="J531" s="137">
        <v>44060</v>
      </c>
      <c r="K531" s="135" t="s">
        <v>155</v>
      </c>
      <c r="L531" s="135" t="s">
        <v>589</v>
      </c>
      <c r="M531" s="135" t="s">
        <v>1153</v>
      </c>
      <c r="N531" s="11" t="s">
        <v>35</v>
      </c>
      <c r="O531" s="136">
        <v>44348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5.75" hidden="1" customHeight="1" x14ac:dyDescent="0.35">
      <c r="A532" s="134">
        <v>7</v>
      </c>
      <c r="B532" s="134" t="s">
        <v>49</v>
      </c>
      <c r="C532" s="11" t="s">
        <v>1063</v>
      </c>
      <c r="D532" s="11" t="s">
        <v>1064</v>
      </c>
      <c r="E532" s="11">
        <v>1</v>
      </c>
      <c r="F532" s="136">
        <v>41692</v>
      </c>
      <c r="G532" s="135" t="s">
        <v>1065</v>
      </c>
      <c r="H532" s="135">
        <v>5182859738</v>
      </c>
      <c r="I532" s="135" t="s">
        <v>1066</v>
      </c>
      <c r="J532" s="137">
        <v>44004</v>
      </c>
      <c r="K532" s="135" t="s">
        <v>681</v>
      </c>
      <c r="L532" s="135" t="s">
        <v>1039</v>
      </c>
      <c r="M532" s="135" t="s">
        <v>1153</v>
      </c>
      <c r="N532" s="11" t="s">
        <v>35</v>
      </c>
      <c r="O532" s="136">
        <v>44348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5.75" hidden="1" customHeight="1" x14ac:dyDescent="0.35">
      <c r="A533" s="134">
        <v>8</v>
      </c>
      <c r="B533" s="134" t="s">
        <v>49</v>
      </c>
      <c r="C533" s="11" t="s">
        <v>453</v>
      </c>
      <c r="D533" s="11" t="s">
        <v>611</v>
      </c>
      <c r="E533" s="11">
        <v>4</v>
      </c>
      <c r="F533" s="136">
        <v>40492</v>
      </c>
      <c r="G533" s="135" t="s">
        <v>1152</v>
      </c>
      <c r="H533" s="135">
        <v>5103863740</v>
      </c>
      <c r="I533" s="135" t="s">
        <v>613</v>
      </c>
      <c r="J533" s="137">
        <v>43990</v>
      </c>
      <c r="K533" s="135" t="s">
        <v>212</v>
      </c>
      <c r="L533" s="135" t="s">
        <v>950</v>
      </c>
      <c r="M533" s="135" t="s">
        <v>1153</v>
      </c>
      <c r="N533" s="11" t="s">
        <v>35</v>
      </c>
      <c r="O533" s="136">
        <v>44348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5.75" hidden="1" customHeight="1" x14ac:dyDescent="0.35">
      <c r="A534" s="134">
        <v>9</v>
      </c>
      <c r="B534" s="134" t="s">
        <v>89</v>
      </c>
      <c r="C534" s="11" t="s">
        <v>453</v>
      </c>
      <c r="D534" s="11" t="s">
        <v>611</v>
      </c>
      <c r="E534" s="11">
        <v>4</v>
      </c>
      <c r="F534" s="136">
        <v>40492</v>
      </c>
      <c r="G534" s="135" t="s">
        <v>1152</v>
      </c>
      <c r="H534" s="135">
        <v>5103863740</v>
      </c>
      <c r="I534" s="135" t="s">
        <v>613</v>
      </c>
      <c r="J534" s="137">
        <v>43990</v>
      </c>
      <c r="K534" s="135" t="s">
        <v>132</v>
      </c>
      <c r="L534" s="135" t="s">
        <v>1006</v>
      </c>
      <c r="M534" s="135" t="s">
        <v>1153</v>
      </c>
      <c r="N534" s="11" t="s">
        <v>35</v>
      </c>
      <c r="O534" s="136">
        <v>44348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5.75" hidden="1" customHeight="1" x14ac:dyDescent="0.35">
      <c r="A535" s="134">
        <v>10</v>
      </c>
      <c r="B535" s="134" t="s">
        <v>49</v>
      </c>
      <c r="C535" s="11" t="s">
        <v>555</v>
      </c>
      <c r="D535" s="11" t="s">
        <v>556</v>
      </c>
      <c r="E535" s="11">
        <v>3</v>
      </c>
      <c r="F535" s="136">
        <v>40335</v>
      </c>
      <c r="G535" s="135" t="s">
        <v>557</v>
      </c>
      <c r="H535" s="135" t="s">
        <v>558</v>
      </c>
      <c r="I535" s="135" t="s">
        <v>416</v>
      </c>
      <c r="J535" s="137">
        <v>43678</v>
      </c>
      <c r="K535" s="135" t="s">
        <v>256</v>
      </c>
      <c r="L535" s="135" t="s">
        <v>589</v>
      </c>
      <c r="M535" s="135" t="s">
        <v>1153</v>
      </c>
      <c r="N535" s="11" t="s">
        <v>35</v>
      </c>
      <c r="O535" s="136">
        <v>44348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5.75" hidden="1" customHeight="1" x14ac:dyDescent="0.35">
      <c r="A536" s="134">
        <v>11</v>
      </c>
      <c r="B536" s="134" t="s">
        <v>89</v>
      </c>
      <c r="C536" s="11" t="s">
        <v>555</v>
      </c>
      <c r="D536" s="11" t="s">
        <v>556</v>
      </c>
      <c r="E536" s="11">
        <v>3</v>
      </c>
      <c r="F536" s="136">
        <v>40335</v>
      </c>
      <c r="G536" s="135" t="s">
        <v>557</v>
      </c>
      <c r="H536" s="135" t="s">
        <v>558</v>
      </c>
      <c r="I536" s="135" t="s">
        <v>416</v>
      </c>
      <c r="J536" s="137">
        <v>43678</v>
      </c>
      <c r="K536" s="135" t="s">
        <v>155</v>
      </c>
      <c r="L536" s="135" t="s">
        <v>589</v>
      </c>
      <c r="M536" s="135" t="s">
        <v>1153</v>
      </c>
      <c r="N536" s="11" t="s">
        <v>35</v>
      </c>
      <c r="O536" s="136">
        <v>44348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5.75" hidden="1" customHeight="1" x14ac:dyDescent="0.35">
      <c r="A537" s="134">
        <v>12</v>
      </c>
      <c r="B537" s="134" t="s">
        <v>49</v>
      </c>
      <c r="C537" s="11" t="s">
        <v>395</v>
      </c>
      <c r="D537" s="11" t="s">
        <v>396</v>
      </c>
      <c r="E537" s="11">
        <v>1</v>
      </c>
      <c r="F537" s="136">
        <v>41791</v>
      </c>
      <c r="G537" s="135" t="s">
        <v>397</v>
      </c>
      <c r="H537" s="135">
        <v>9493027553</v>
      </c>
      <c r="I537" s="135" t="s">
        <v>398</v>
      </c>
      <c r="J537" s="137">
        <v>44256</v>
      </c>
      <c r="K537" s="135" t="s">
        <v>182</v>
      </c>
      <c r="L537" s="135" t="s">
        <v>589</v>
      </c>
      <c r="M537" s="135" t="s">
        <v>1154</v>
      </c>
      <c r="N537" s="11" t="s">
        <v>35</v>
      </c>
      <c r="O537" s="136">
        <v>44348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5.75" hidden="1" customHeight="1" x14ac:dyDescent="0.35">
      <c r="A538" s="134">
        <v>13</v>
      </c>
      <c r="B538" s="134" t="s">
        <v>89</v>
      </c>
      <c r="C538" s="11" t="s">
        <v>395</v>
      </c>
      <c r="D538" s="11" t="s">
        <v>396</v>
      </c>
      <c r="E538" s="11">
        <v>1</v>
      </c>
      <c r="F538" s="136">
        <v>41791</v>
      </c>
      <c r="G538" s="135" t="s">
        <v>397</v>
      </c>
      <c r="H538" s="135">
        <v>9493027553</v>
      </c>
      <c r="I538" s="135" t="s">
        <v>398</v>
      </c>
      <c r="J538" s="137">
        <v>44256</v>
      </c>
      <c r="K538" s="135" t="s">
        <v>171</v>
      </c>
      <c r="L538" s="135" t="s">
        <v>950</v>
      </c>
      <c r="M538" s="135"/>
      <c r="N538" s="11" t="s">
        <v>35</v>
      </c>
      <c r="O538" s="136">
        <v>44348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5.75" hidden="1" customHeight="1" x14ac:dyDescent="0.35">
      <c r="A539" s="134">
        <v>14</v>
      </c>
      <c r="B539" s="134" t="s">
        <v>49</v>
      </c>
      <c r="C539" s="11" t="s">
        <v>1155</v>
      </c>
      <c r="D539" s="11" t="s">
        <v>1156</v>
      </c>
      <c r="E539" s="11" t="s">
        <v>149</v>
      </c>
      <c r="F539" s="136">
        <v>42156</v>
      </c>
      <c r="G539" s="135"/>
      <c r="H539" s="135">
        <v>4083731778</v>
      </c>
      <c r="I539" s="135" t="s">
        <v>1157</v>
      </c>
      <c r="J539" s="137">
        <v>44136</v>
      </c>
      <c r="K539" s="135" t="s">
        <v>1158</v>
      </c>
      <c r="L539" s="135" t="s">
        <v>1006</v>
      </c>
      <c r="M539" s="135" t="s">
        <v>1153</v>
      </c>
      <c r="N539" s="11" t="s">
        <v>35</v>
      </c>
      <c r="O539" s="136">
        <v>44348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5.75" hidden="1" customHeight="1" x14ac:dyDescent="0.35">
      <c r="A540" s="134">
        <v>15</v>
      </c>
      <c r="B540" s="134" t="s">
        <v>89</v>
      </c>
      <c r="C540" s="11" t="s">
        <v>1155</v>
      </c>
      <c r="D540" s="11" t="s">
        <v>1156</v>
      </c>
      <c r="E540" s="11" t="s">
        <v>149</v>
      </c>
      <c r="F540" s="136">
        <v>42156</v>
      </c>
      <c r="G540" s="135"/>
      <c r="H540" s="135">
        <v>4083731778</v>
      </c>
      <c r="I540" s="135" t="s">
        <v>1157</v>
      </c>
      <c r="J540" s="137">
        <v>44136</v>
      </c>
      <c r="K540" s="135" t="s">
        <v>146</v>
      </c>
      <c r="L540" s="135" t="s">
        <v>1006</v>
      </c>
      <c r="M540" s="135" t="s">
        <v>1153</v>
      </c>
      <c r="N540" s="11" t="s">
        <v>35</v>
      </c>
      <c r="O540" s="136">
        <v>44348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5.75" hidden="1" customHeight="1" x14ac:dyDescent="0.35">
      <c r="A541" s="134">
        <v>16</v>
      </c>
      <c r="B541" s="134" t="s">
        <v>49</v>
      </c>
      <c r="C541" s="11" t="s">
        <v>1159</v>
      </c>
      <c r="D541" s="11" t="s">
        <v>1160</v>
      </c>
      <c r="E541" s="11">
        <v>5</v>
      </c>
      <c r="F541" s="136">
        <v>40274</v>
      </c>
      <c r="G541" s="135" t="s">
        <v>1161</v>
      </c>
      <c r="H541" s="135">
        <v>4083408636</v>
      </c>
      <c r="I541" s="135" t="s">
        <v>1162</v>
      </c>
      <c r="J541" s="137">
        <v>44060</v>
      </c>
      <c r="K541" s="135" t="s">
        <v>153</v>
      </c>
      <c r="L541" s="135" t="s">
        <v>994</v>
      </c>
      <c r="M541" s="135" t="s">
        <v>1153</v>
      </c>
      <c r="N541" s="11" t="s">
        <v>35</v>
      </c>
      <c r="O541" s="136">
        <v>44348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5.75" hidden="1" customHeight="1" x14ac:dyDescent="0.35">
      <c r="A542" s="134">
        <v>17</v>
      </c>
      <c r="B542" s="134" t="s">
        <v>89</v>
      </c>
      <c r="C542" s="11" t="s">
        <v>1159</v>
      </c>
      <c r="D542" s="11" t="s">
        <v>1160</v>
      </c>
      <c r="E542" s="11">
        <v>5</v>
      </c>
      <c r="F542" s="136">
        <v>40274</v>
      </c>
      <c r="G542" s="135" t="s">
        <v>1161</v>
      </c>
      <c r="H542" s="135">
        <v>4083408636</v>
      </c>
      <c r="I542" s="135" t="s">
        <v>1162</v>
      </c>
      <c r="J542" s="137">
        <v>44060</v>
      </c>
      <c r="K542" s="135" t="s">
        <v>155</v>
      </c>
      <c r="L542" s="135" t="s">
        <v>950</v>
      </c>
      <c r="M542" s="135" t="s">
        <v>1153</v>
      </c>
      <c r="N542" s="11" t="s">
        <v>35</v>
      </c>
      <c r="O542" s="136">
        <v>44348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5.75" hidden="1" customHeight="1" x14ac:dyDescent="0.35">
      <c r="A543" s="134">
        <v>18</v>
      </c>
      <c r="B543" s="134" t="s">
        <v>89</v>
      </c>
      <c r="C543" s="11" t="s">
        <v>694</v>
      </c>
      <c r="D543" s="11" t="s">
        <v>695</v>
      </c>
      <c r="E543" s="11">
        <v>1</v>
      </c>
      <c r="F543" s="136" t="s">
        <v>696</v>
      </c>
      <c r="G543" s="135" t="s">
        <v>697</v>
      </c>
      <c r="H543" s="135" t="s">
        <v>698</v>
      </c>
      <c r="I543" s="135" t="s">
        <v>699</v>
      </c>
      <c r="J543" s="137">
        <v>44136</v>
      </c>
      <c r="K543" s="135" t="s">
        <v>240</v>
      </c>
      <c r="L543" s="135" t="s">
        <v>589</v>
      </c>
      <c r="M543" s="135" t="s">
        <v>1163</v>
      </c>
      <c r="N543" s="11" t="s">
        <v>35</v>
      </c>
      <c r="O543" s="136">
        <v>44348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5.75" hidden="1" customHeight="1" x14ac:dyDescent="0.35">
      <c r="A544" s="134">
        <v>19</v>
      </c>
      <c r="B544" s="134" t="s">
        <v>49</v>
      </c>
      <c r="C544" s="11" t="s">
        <v>625</v>
      </c>
      <c r="D544" s="11" t="s">
        <v>1067</v>
      </c>
      <c r="E544" s="11">
        <v>1</v>
      </c>
      <c r="F544" s="136">
        <v>41713</v>
      </c>
      <c r="G544" s="135" t="s">
        <v>1068</v>
      </c>
      <c r="H544" s="135">
        <v>2164827105</v>
      </c>
      <c r="I544" s="135" t="s">
        <v>1069</v>
      </c>
      <c r="J544" s="137">
        <v>43985</v>
      </c>
      <c r="K544" s="135" t="s">
        <v>681</v>
      </c>
      <c r="L544" s="135" t="s">
        <v>1039</v>
      </c>
      <c r="M544" s="135" t="s">
        <v>1153</v>
      </c>
      <c r="N544" s="11" t="s">
        <v>35</v>
      </c>
      <c r="O544" s="136">
        <v>44348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5.75" hidden="1" customHeight="1" x14ac:dyDescent="0.35">
      <c r="A545" s="134">
        <v>20</v>
      </c>
      <c r="B545" s="134" t="s">
        <v>49</v>
      </c>
      <c r="C545" s="11" t="s">
        <v>326</v>
      </c>
      <c r="D545" s="11" t="s">
        <v>1164</v>
      </c>
      <c r="E545" s="11">
        <v>1</v>
      </c>
      <c r="F545" s="136">
        <v>41250</v>
      </c>
      <c r="G545" s="135" t="s">
        <v>1165</v>
      </c>
      <c r="H545" s="135" t="s">
        <v>329</v>
      </c>
      <c r="I545" s="135" t="s">
        <v>1012</v>
      </c>
      <c r="J545" s="137">
        <v>43693</v>
      </c>
      <c r="K545" s="135" t="s">
        <v>214</v>
      </c>
      <c r="L545" s="135" t="s">
        <v>1006</v>
      </c>
      <c r="M545" s="135" t="s">
        <v>1153</v>
      </c>
      <c r="N545" s="11" t="s">
        <v>35</v>
      </c>
      <c r="O545" s="136">
        <v>44348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5.75" hidden="1" customHeight="1" x14ac:dyDescent="0.35">
      <c r="A546" s="134">
        <v>21</v>
      </c>
      <c r="B546" s="134" t="s">
        <v>89</v>
      </c>
      <c r="C546" s="11" t="s">
        <v>326</v>
      </c>
      <c r="D546" s="11" t="s">
        <v>1164</v>
      </c>
      <c r="E546" s="11">
        <v>1</v>
      </c>
      <c r="F546" s="136">
        <v>41250</v>
      </c>
      <c r="G546" s="135" t="s">
        <v>1165</v>
      </c>
      <c r="H546" s="135" t="s">
        <v>329</v>
      </c>
      <c r="I546" s="135" t="s">
        <v>1012</v>
      </c>
      <c r="J546" s="137">
        <v>43693</v>
      </c>
      <c r="K546" s="135" t="s">
        <v>155</v>
      </c>
      <c r="L546" s="135" t="s">
        <v>589</v>
      </c>
      <c r="M546" s="135" t="s">
        <v>1153</v>
      </c>
      <c r="N546" s="11" t="s">
        <v>35</v>
      </c>
      <c r="O546" s="136">
        <v>44348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5.75" hidden="1" customHeight="1" x14ac:dyDescent="0.35">
      <c r="A547" s="134">
        <v>22</v>
      </c>
      <c r="B547" s="134" t="s">
        <v>49</v>
      </c>
      <c r="C547" s="11" t="s">
        <v>1166</v>
      </c>
      <c r="D547" s="11" t="s">
        <v>1167</v>
      </c>
      <c r="E547" s="11">
        <v>3</v>
      </c>
      <c r="F547" s="136">
        <v>41153</v>
      </c>
      <c r="G547" s="135"/>
      <c r="H547" s="135">
        <v>5108813622</v>
      </c>
      <c r="I547" s="135" t="s">
        <v>1168</v>
      </c>
      <c r="J547" s="137">
        <v>44075</v>
      </c>
      <c r="K547" s="135" t="s">
        <v>112</v>
      </c>
      <c r="L547" s="135" t="s">
        <v>589</v>
      </c>
      <c r="M547" s="135" t="s">
        <v>1163</v>
      </c>
      <c r="N547" s="11" t="s">
        <v>35</v>
      </c>
      <c r="O547" s="136">
        <v>44348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5.75" hidden="1" customHeight="1" x14ac:dyDescent="0.35">
      <c r="A548" s="134">
        <v>23</v>
      </c>
      <c r="B548" s="134" t="s">
        <v>89</v>
      </c>
      <c r="C548" s="11" t="s">
        <v>1166</v>
      </c>
      <c r="D548" s="11" t="s">
        <v>1167</v>
      </c>
      <c r="E548" s="11">
        <v>3</v>
      </c>
      <c r="F548" s="136">
        <v>41153</v>
      </c>
      <c r="G548" s="135"/>
      <c r="H548" s="135">
        <v>5108813622</v>
      </c>
      <c r="I548" s="135" t="s">
        <v>1168</v>
      </c>
      <c r="J548" s="137">
        <v>44075</v>
      </c>
      <c r="K548" s="135" t="s">
        <v>132</v>
      </c>
      <c r="L548" s="135" t="s">
        <v>950</v>
      </c>
      <c r="M548" s="135" t="s">
        <v>1163</v>
      </c>
      <c r="N548" s="11" t="s">
        <v>35</v>
      </c>
      <c r="O548" s="136">
        <v>44348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5.75" hidden="1" customHeight="1" x14ac:dyDescent="0.35">
      <c r="A549" s="134">
        <v>24</v>
      </c>
      <c r="B549" s="134" t="s">
        <v>49</v>
      </c>
      <c r="C549" s="11" t="s">
        <v>469</v>
      </c>
      <c r="D549" s="11" t="s">
        <v>1169</v>
      </c>
      <c r="E549" s="11">
        <v>3</v>
      </c>
      <c r="F549" s="136">
        <v>41214</v>
      </c>
      <c r="G549" s="135"/>
      <c r="H549" s="135">
        <v>4088361728</v>
      </c>
      <c r="I549" s="135" t="s">
        <v>1170</v>
      </c>
      <c r="J549" s="137">
        <v>44214</v>
      </c>
      <c r="K549" s="135" t="s">
        <v>118</v>
      </c>
      <c r="L549" s="135" t="s">
        <v>589</v>
      </c>
      <c r="M549" s="135" t="s">
        <v>1153</v>
      </c>
      <c r="N549" s="11" t="s">
        <v>35</v>
      </c>
      <c r="O549" s="136">
        <v>44348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5.75" hidden="1" customHeight="1" x14ac:dyDescent="0.35">
      <c r="A550" s="134">
        <v>1</v>
      </c>
      <c r="B550" s="134" t="s">
        <v>49</v>
      </c>
      <c r="C550" s="11" t="s">
        <v>1171</v>
      </c>
      <c r="D550" s="11" t="s">
        <v>106</v>
      </c>
      <c r="E550" s="11" t="s">
        <v>149</v>
      </c>
      <c r="F550" s="136">
        <v>42335</v>
      </c>
      <c r="G550" s="135" t="s">
        <v>1172</v>
      </c>
      <c r="H550" s="135">
        <v>4086606354</v>
      </c>
      <c r="I550" s="135" t="s">
        <v>1173</v>
      </c>
      <c r="J550" s="137">
        <v>44257</v>
      </c>
      <c r="K550" s="135" t="s">
        <v>163</v>
      </c>
      <c r="L550" s="135" t="s">
        <v>950</v>
      </c>
      <c r="M550" s="135" t="s">
        <v>1174</v>
      </c>
      <c r="N550" s="11" t="s">
        <v>35</v>
      </c>
      <c r="O550" s="136">
        <v>44378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5.75" hidden="1" customHeight="1" x14ac:dyDescent="0.35">
      <c r="A551" s="134">
        <v>2</v>
      </c>
      <c r="B551" s="134" t="s">
        <v>89</v>
      </c>
      <c r="C551" s="11" t="s">
        <v>996</v>
      </c>
      <c r="D551" s="11" t="s">
        <v>997</v>
      </c>
      <c r="E551" s="11">
        <v>1</v>
      </c>
      <c r="F551" s="136">
        <v>41377</v>
      </c>
      <c r="G551" s="135" t="s">
        <v>998</v>
      </c>
      <c r="H551" s="135">
        <v>4087759975</v>
      </c>
      <c r="I551" s="135" t="s">
        <v>999</v>
      </c>
      <c r="J551" s="137">
        <v>44075</v>
      </c>
      <c r="K551" s="135" t="s">
        <v>132</v>
      </c>
      <c r="L551" s="135" t="s">
        <v>589</v>
      </c>
      <c r="M551" s="135" t="s">
        <v>1175</v>
      </c>
      <c r="N551" s="11" t="s">
        <v>35</v>
      </c>
      <c r="O551" s="136">
        <v>44378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5.75" hidden="1" customHeight="1" x14ac:dyDescent="0.35">
      <c r="A552" s="134">
        <v>3</v>
      </c>
      <c r="B552" s="134" t="s">
        <v>49</v>
      </c>
      <c r="C552" s="11" t="s">
        <v>996</v>
      </c>
      <c r="D552" s="11" t="s">
        <v>997</v>
      </c>
      <c r="E552" s="11">
        <v>1</v>
      </c>
      <c r="F552" s="136">
        <v>41377</v>
      </c>
      <c r="G552" s="135" t="s">
        <v>998</v>
      </c>
      <c r="H552" s="135">
        <v>4087759975</v>
      </c>
      <c r="I552" s="135" t="s">
        <v>999</v>
      </c>
      <c r="J552" s="137">
        <v>44075</v>
      </c>
      <c r="K552" s="135" t="s">
        <v>109</v>
      </c>
      <c r="L552" s="135" t="s">
        <v>1145</v>
      </c>
      <c r="M552" s="135" t="s">
        <v>1175</v>
      </c>
      <c r="N552" s="11" t="s">
        <v>35</v>
      </c>
      <c r="O552" s="136">
        <v>44378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5.75" hidden="1" customHeight="1" x14ac:dyDescent="0.35">
      <c r="A553" s="134">
        <v>4</v>
      </c>
      <c r="B553" s="134" t="s">
        <v>49</v>
      </c>
      <c r="C553" s="11" t="s">
        <v>996</v>
      </c>
      <c r="D553" s="11" t="s">
        <v>1000</v>
      </c>
      <c r="E553" s="11">
        <v>3</v>
      </c>
      <c r="F553" s="136" t="s">
        <v>1001</v>
      </c>
      <c r="G553" s="135" t="s">
        <v>998</v>
      </c>
      <c r="H553" s="135">
        <v>4087759975</v>
      </c>
      <c r="I553" s="135" t="s">
        <v>999</v>
      </c>
      <c r="J553" s="137">
        <v>44105</v>
      </c>
      <c r="K553" s="135" t="s">
        <v>256</v>
      </c>
      <c r="L553" s="135" t="s">
        <v>589</v>
      </c>
      <c r="M553" s="135" t="s">
        <v>1175</v>
      </c>
      <c r="N553" s="11" t="s">
        <v>35</v>
      </c>
      <c r="O553" s="136">
        <v>44378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5.75" hidden="1" customHeight="1" x14ac:dyDescent="0.35">
      <c r="A554" s="134">
        <v>5</v>
      </c>
      <c r="B554" s="134" t="s">
        <v>89</v>
      </c>
      <c r="C554" s="11" t="s">
        <v>996</v>
      </c>
      <c r="D554" s="11" t="s">
        <v>1000</v>
      </c>
      <c r="E554" s="11">
        <v>3</v>
      </c>
      <c r="F554" s="136" t="s">
        <v>1001</v>
      </c>
      <c r="G554" s="135" t="s">
        <v>998</v>
      </c>
      <c r="H554" s="135">
        <v>4087759975</v>
      </c>
      <c r="I554" s="135" t="s">
        <v>999</v>
      </c>
      <c r="J554" s="137">
        <v>44075</v>
      </c>
      <c r="K554" s="135" t="s">
        <v>155</v>
      </c>
      <c r="L554" s="135" t="s">
        <v>589</v>
      </c>
      <c r="M554" s="135" t="s">
        <v>1175</v>
      </c>
      <c r="N554" s="11" t="s">
        <v>35</v>
      </c>
      <c r="O554" s="136">
        <v>44378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5.75" hidden="1" customHeight="1" x14ac:dyDescent="0.35">
      <c r="A555" s="134">
        <v>6</v>
      </c>
      <c r="B555" s="134" t="s">
        <v>89</v>
      </c>
      <c r="C555" s="11" t="s">
        <v>773</v>
      </c>
      <c r="D555" s="11" t="s">
        <v>774</v>
      </c>
      <c r="E555" s="11">
        <v>6</v>
      </c>
      <c r="F555" s="136">
        <v>39964</v>
      </c>
      <c r="G555" s="135" t="s">
        <v>775</v>
      </c>
      <c r="H555" s="135">
        <v>4086240995</v>
      </c>
      <c r="I555" s="135" t="s">
        <v>776</v>
      </c>
      <c r="J555" s="137">
        <v>44230</v>
      </c>
      <c r="K555" s="135" t="s">
        <v>155</v>
      </c>
      <c r="L555" s="135" t="s">
        <v>994</v>
      </c>
      <c r="M555" s="135" t="s">
        <v>1176</v>
      </c>
      <c r="N555" s="11" t="s">
        <v>35</v>
      </c>
      <c r="O555" s="136">
        <v>44378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5.75" hidden="1" customHeight="1" x14ac:dyDescent="0.35">
      <c r="A556" s="134">
        <v>7</v>
      </c>
      <c r="B556" s="134" t="s">
        <v>49</v>
      </c>
      <c r="C556" s="11" t="s">
        <v>773</v>
      </c>
      <c r="D556" s="11" t="s">
        <v>774</v>
      </c>
      <c r="E556" s="11">
        <v>6</v>
      </c>
      <c r="F556" s="136">
        <v>39964</v>
      </c>
      <c r="G556" s="135" t="s">
        <v>775</v>
      </c>
      <c r="H556" s="135">
        <v>4086240995</v>
      </c>
      <c r="I556" s="135" t="s">
        <v>776</v>
      </c>
      <c r="J556" s="137">
        <v>44230</v>
      </c>
      <c r="K556" s="135" t="s">
        <v>256</v>
      </c>
      <c r="L556" s="135" t="s">
        <v>543</v>
      </c>
      <c r="M556" s="135" t="s">
        <v>1176</v>
      </c>
      <c r="N556" s="11" t="s">
        <v>35</v>
      </c>
      <c r="O556" s="136">
        <v>44378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5.75" hidden="1" customHeight="1" x14ac:dyDescent="0.35">
      <c r="A557" s="134">
        <v>8</v>
      </c>
      <c r="B557" s="134" t="s">
        <v>49</v>
      </c>
      <c r="C557" s="11" t="s">
        <v>1177</v>
      </c>
      <c r="D557" s="11" t="s">
        <v>450</v>
      </c>
      <c r="E557" s="11">
        <v>7</v>
      </c>
      <c r="F557" s="136">
        <v>39375</v>
      </c>
      <c r="G557" s="135" t="s">
        <v>1178</v>
      </c>
      <c r="H557" s="135">
        <v>4084062871</v>
      </c>
      <c r="I557" s="135" t="s">
        <v>1179</v>
      </c>
      <c r="J557" s="137">
        <v>44060</v>
      </c>
      <c r="K557" s="135" t="s">
        <v>281</v>
      </c>
      <c r="L557" s="135" t="s">
        <v>1145</v>
      </c>
      <c r="M557" s="135" t="s">
        <v>1180</v>
      </c>
      <c r="N557" s="11" t="s">
        <v>35</v>
      </c>
      <c r="O557" s="136">
        <v>44378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5.75" hidden="1" customHeight="1" x14ac:dyDescent="0.35">
      <c r="A558" s="134">
        <v>9</v>
      </c>
      <c r="B558" s="134" t="s">
        <v>89</v>
      </c>
      <c r="C558" s="11" t="s">
        <v>1177</v>
      </c>
      <c r="D558" s="11" t="s">
        <v>450</v>
      </c>
      <c r="E558" s="11">
        <v>7</v>
      </c>
      <c r="F558" s="136">
        <v>39375</v>
      </c>
      <c r="G558" s="135" t="s">
        <v>1178</v>
      </c>
      <c r="H558" s="135">
        <v>4084062871</v>
      </c>
      <c r="I558" s="135" t="s">
        <v>1179</v>
      </c>
      <c r="J558" s="137">
        <v>44060</v>
      </c>
      <c r="K558" s="135" t="s">
        <v>216</v>
      </c>
      <c r="L558" s="135" t="s">
        <v>994</v>
      </c>
      <c r="M558" s="135" t="s">
        <v>1180</v>
      </c>
      <c r="N558" s="11" t="s">
        <v>35</v>
      </c>
      <c r="O558" s="136">
        <v>44378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5.75" hidden="1" customHeight="1" x14ac:dyDescent="0.35">
      <c r="A559" s="134">
        <v>1</v>
      </c>
      <c r="B559" s="134" t="s">
        <v>49</v>
      </c>
      <c r="C559" s="11" t="s">
        <v>134</v>
      </c>
      <c r="D559" s="11" t="s">
        <v>135</v>
      </c>
      <c r="E559" s="11" t="s">
        <v>149</v>
      </c>
      <c r="F559" s="136">
        <v>41393</v>
      </c>
      <c r="G559" s="135" t="s">
        <v>1016</v>
      </c>
      <c r="H559" s="135" t="s">
        <v>137</v>
      </c>
      <c r="I559" s="135" t="s">
        <v>138</v>
      </c>
      <c r="J559" s="137">
        <v>44075</v>
      </c>
      <c r="K559" s="135" t="s">
        <v>202</v>
      </c>
      <c r="L559" s="135" t="s">
        <v>994</v>
      </c>
      <c r="M559" s="135" t="s">
        <v>1181</v>
      </c>
      <c r="N559" s="11" t="s">
        <v>35</v>
      </c>
      <c r="O559" s="136">
        <v>44409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5.75" hidden="1" customHeight="1" x14ac:dyDescent="0.35">
      <c r="A560" s="134">
        <v>2</v>
      </c>
      <c r="B560" s="134" t="s">
        <v>89</v>
      </c>
      <c r="C560" s="11" t="s">
        <v>134</v>
      </c>
      <c r="D560" s="11" t="s">
        <v>135</v>
      </c>
      <c r="E560" s="11" t="s">
        <v>149</v>
      </c>
      <c r="F560" s="136">
        <v>41393</v>
      </c>
      <c r="G560" s="135" t="s">
        <v>1016</v>
      </c>
      <c r="H560" s="135" t="s">
        <v>137</v>
      </c>
      <c r="I560" s="135" t="s">
        <v>138</v>
      </c>
      <c r="J560" s="137">
        <v>44354</v>
      </c>
      <c r="K560" s="135" t="s">
        <v>120</v>
      </c>
      <c r="L560" s="135" t="s">
        <v>994</v>
      </c>
      <c r="M560" s="135" t="s">
        <v>1181</v>
      </c>
      <c r="N560" s="11" t="s">
        <v>35</v>
      </c>
      <c r="O560" s="136">
        <v>44409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5.75" hidden="1" customHeight="1" x14ac:dyDescent="0.35">
      <c r="A561" s="134">
        <v>3</v>
      </c>
      <c r="B561" s="134" t="s">
        <v>89</v>
      </c>
      <c r="C561" s="11" t="s">
        <v>952</v>
      </c>
      <c r="D561" s="11" t="s">
        <v>743</v>
      </c>
      <c r="E561" s="11">
        <v>3</v>
      </c>
      <c r="F561" s="136">
        <v>40644</v>
      </c>
      <c r="G561" s="135" t="s">
        <v>953</v>
      </c>
      <c r="H561" s="135">
        <v>4084214334</v>
      </c>
      <c r="I561" s="135" t="s">
        <v>954</v>
      </c>
      <c r="J561" s="137">
        <v>43836</v>
      </c>
      <c r="K561" s="135" t="s">
        <v>155</v>
      </c>
      <c r="L561" s="135" t="s">
        <v>950</v>
      </c>
      <c r="M561" s="135" t="s">
        <v>65</v>
      </c>
      <c r="N561" s="11" t="s">
        <v>35</v>
      </c>
      <c r="O561" s="136">
        <v>44409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5.75" hidden="1" customHeight="1" x14ac:dyDescent="0.35">
      <c r="A562" s="134">
        <v>4</v>
      </c>
      <c r="B562" s="134" t="s">
        <v>49</v>
      </c>
      <c r="C562" s="11" t="s">
        <v>952</v>
      </c>
      <c r="D562" s="11" t="s">
        <v>1182</v>
      </c>
      <c r="E562" s="11" t="s">
        <v>273</v>
      </c>
      <c r="F562" s="136">
        <v>42342</v>
      </c>
      <c r="G562" s="135" t="s">
        <v>953</v>
      </c>
      <c r="H562" s="135">
        <v>4084214334</v>
      </c>
      <c r="I562" s="135" t="s">
        <v>954</v>
      </c>
      <c r="J562" s="137">
        <v>43952</v>
      </c>
      <c r="K562" s="135" t="s">
        <v>691</v>
      </c>
      <c r="L562" s="135" t="s">
        <v>589</v>
      </c>
      <c r="M562" s="135" t="s">
        <v>1183</v>
      </c>
      <c r="N562" s="11" t="s">
        <v>35</v>
      </c>
      <c r="O562" s="136">
        <v>44409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5.75" hidden="1" customHeight="1" x14ac:dyDescent="0.35">
      <c r="A563" s="134">
        <v>5</v>
      </c>
      <c r="B563" s="134" t="s">
        <v>89</v>
      </c>
      <c r="C563" s="11" t="s">
        <v>952</v>
      </c>
      <c r="D563" s="11" t="s">
        <v>1182</v>
      </c>
      <c r="E563" s="11" t="s">
        <v>273</v>
      </c>
      <c r="F563" s="136">
        <v>42342</v>
      </c>
      <c r="G563" s="135" t="s">
        <v>953</v>
      </c>
      <c r="H563" s="135">
        <v>4084214334</v>
      </c>
      <c r="I563" s="135" t="s">
        <v>954</v>
      </c>
      <c r="J563" s="137">
        <v>43952</v>
      </c>
      <c r="K563" s="135" t="s">
        <v>225</v>
      </c>
      <c r="L563" s="135" t="s">
        <v>950</v>
      </c>
      <c r="M563" s="135" t="s">
        <v>1183</v>
      </c>
      <c r="N563" s="11" t="s">
        <v>35</v>
      </c>
      <c r="O563" s="136">
        <v>44409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5.75" hidden="1" customHeight="1" x14ac:dyDescent="0.35">
      <c r="A564" s="134">
        <v>6</v>
      </c>
      <c r="B564" s="134" t="s">
        <v>49</v>
      </c>
      <c r="C564" s="11" t="s">
        <v>1071</v>
      </c>
      <c r="D564" s="11" t="s">
        <v>446</v>
      </c>
      <c r="E564" s="11">
        <v>4</v>
      </c>
      <c r="F564" s="136">
        <v>40447</v>
      </c>
      <c r="G564" s="135" t="s">
        <v>1018</v>
      </c>
      <c r="H564" s="135">
        <v>4085005969</v>
      </c>
      <c r="I564" s="135" t="s">
        <v>1019</v>
      </c>
      <c r="J564" s="137">
        <v>44019</v>
      </c>
      <c r="K564" s="135" t="s">
        <v>256</v>
      </c>
      <c r="L564" s="135" t="s">
        <v>589</v>
      </c>
      <c r="M564" s="135" t="s">
        <v>65</v>
      </c>
      <c r="N564" s="11" t="s">
        <v>35</v>
      </c>
      <c r="O564" s="136">
        <v>44409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5.75" hidden="1" customHeight="1" x14ac:dyDescent="0.35">
      <c r="A565" s="134">
        <v>7</v>
      </c>
      <c r="B565" s="134" t="s">
        <v>49</v>
      </c>
      <c r="C565" s="11" t="s">
        <v>227</v>
      </c>
      <c r="D565" s="11" t="s">
        <v>228</v>
      </c>
      <c r="E565" s="11">
        <v>1</v>
      </c>
      <c r="F565" s="136">
        <v>41773</v>
      </c>
      <c r="G565" s="135" t="s">
        <v>1184</v>
      </c>
      <c r="H565" s="135">
        <v>5103585251</v>
      </c>
      <c r="I565" s="135" t="s">
        <v>230</v>
      </c>
      <c r="J565" s="137">
        <v>44351</v>
      </c>
      <c r="K565" s="135" t="s">
        <v>1185</v>
      </c>
      <c r="L565" s="135" t="s">
        <v>994</v>
      </c>
      <c r="M565" s="135" t="s">
        <v>1186</v>
      </c>
      <c r="N565" s="11" t="s">
        <v>35</v>
      </c>
      <c r="O565" s="136">
        <v>44409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5.75" hidden="1" customHeight="1" x14ac:dyDescent="0.35">
      <c r="A566" s="134">
        <v>8</v>
      </c>
      <c r="B566" s="134" t="s">
        <v>89</v>
      </c>
      <c r="C566" s="11" t="s">
        <v>227</v>
      </c>
      <c r="D566" s="11" t="s">
        <v>228</v>
      </c>
      <c r="E566" s="11">
        <v>1</v>
      </c>
      <c r="F566" s="136">
        <v>41773</v>
      </c>
      <c r="G566" s="135" t="s">
        <v>1184</v>
      </c>
      <c r="H566" s="135">
        <v>5103585251</v>
      </c>
      <c r="I566" s="135" t="s">
        <v>230</v>
      </c>
      <c r="J566" s="137">
        <v>44351</v>
      </c>
      <c r="K566" s="135" t="s">
        <v>163</v>
      </c>
      <c r="L566" s="135" t="s">
        <v>994</v>
      </c>
      <c r="M566" s="135" t="s">
        <v>1186</v>
      </c>
      <c r="N566" s="11" t="s">
        <v>35</v>
      </c>
      <c r="O566" s="136">
        <v>44409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5.75" hidden="1" customHeight="1" x14ac:dyDescent="0.35">
      <c r="A567" s="134">
        <v>9</v>
      </c>
      <c r="B567" s="134" t="s">
        <v>49</v>
      </c>
      <c r="C567" s="11" t="s">
        <v>1007</v>
      </c>
      <c r="D567" s="11" t="s">
        <v>1008</v>
      </c>
      <c r="E567" s="11">
        <v>3</v>
      </c>
      <c r="F567" s="136" t="s">
        <v>1009</v>
      </c>
      <c r="G567" s="135" t="s">
        <v>1010</v>
      </c>
      <c r="H567" s="135" t="s">
        <v>1011</v>
      </c>
      <c r="I567" s="135" t="s">
        <v>1012</v>
      </c>
      <c r="J567" s="137">
        <v>44075</v>
      </c>
      <c r="K567" s="135" t="s">
        <v>153</v>
      </c>
      <c r="L567" s="135" t="s">
        <v>950</v>
      </c>
      <c r="M567" s="135"/>
      <c r="N567" s="11" t="s">
        <v>35</v>
      </c>
      <c r="O567" s="136">
        <v>44409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5.75" hidden="1" customHeight="1" x14ac:dyDescent="0.35">
      <c r="A568" s="134">
        <v>10</v>
      </c>
      <c r="B568" s="134" t="s">
        <v>89</v>
      </c>
      <c r="C568" s="11" t="s">
        <v>1007</v>
      </c>
      <c r="D568" s="11" t="s">
        <v>1008</v>
      </c>
      <c r="E568" s="11">
        <v>3</v>
      </c>
      <c r="F568" s="136" t="s">
        <v>1009</v>
      </c>
      <c r="G568" s="135" t="s">
        <v>1010</v>
      </c>
      <c r="H568" s="135" t="s">
        <v>1011</v>
      </c>
      <c r="I568" s="135" t="s">
        <v>1012</v>
      </c>
      <c r="J568" s="137">
        <v>44075</v>
      </c>
      <c r="K568" s="135" t="s">
        <v>301</v>
      </c>
      <c r="L568" s="135" t="s">
        <v>589</v>
      </c>
      <c r="M568" s="135"/>
      <c r="N568" s="11" t="s">
        <v>35</v>
      </c>
      <c r="O568" s="136">
        <v>44409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5.75" hidden="1" customHeight="1" x14ac:dyDescent="0.35">
      <c r="A569" s="134">
        <v>11</v>
      </c>
      <c r="B569" s="134" t="s">
        <v>49</v>
      </c>
      <c r="C569" s="11" t="s">
        <v>1187</v>
      </c>
      <c r="D569" s="11" t="s">
        <v>1188</v>
      </c>
      <c r="E569" s="11">
        <v>1</v>
      </c>
      <c r="F569" s="136">
        <v>42101</v>
      </c>
      <c r="G569" s="135" t="s">
        <v>1189</v>
      </c>
      <c r="H569" s="135">
        <v>4084218639</v>
      </c>
      <c r="I569" s="135" t="s">
        <v>1190</v>
      </c>
      <c r="J569" s="137">
        <v>44363</v>
      </c>
      <c r="K569" s="135" t="s">
        <v>118</v>
      </c>
      <c r="L569" s="135" t="s">
        <v>950</v>
      </c>
      <c r="M569" s="135"/>
      <c r="N569" s="11" t="s">
        <v>35</v>
      </c>
      <c r="O569" s="136">
        <v>44409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5.75" hidden="1" customHeight="1" x14ac:dyDescent="0.35">
      <c r="A570" s="134">
        <v>12</v>
      </c>
      <c r="B570" s="134" t="s">
        <v>89</v>
      </c>
      <c r="C570" s="11" t="s">
        <v>1187</v>
      </c>
      <c r="D570" s="11" t="s">
        <v>1188</v>
      </c>
      <c r="E570" s="11">
        <v>1</v>
      </c>
      <c r="F570" s="136">
        <v>42101</v>
      </c>
      <c r="G570" s="135" t="s">
        <v>1189</v>
      </c>
      <c r="H570" s="135">
        <v>4084218639</v>
      </c>
      <c r="I570" s="135" t="s">
        <v>1190</v>
      </c>
      <c r="J570" s="137">
        <v>44363</v>
      </c>
      <c r="K570" s="135" t="s">
        <v>171</v>
      </c>
      <c r="L570" s="135" t="s">
        <v>950</v>
      </c>
      <c r="M570" s="135"/>
      <c r="N570" s="11" t="s">
        <v>35</v>
      </c>
      <c r="O570" s="136">
        <v>44409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5.75" hidden="1" customHeight="1" x14ac:dyDescent="0.35">
      <c r="A571" s="134">
        <v>13</v>
      </c>
      <c r="B571" s="134" t="s">
        <v>49</v>
      </c>
      <c r="C571" s="11" t="s">
        <v>1191</v>
      </c>
      <c r="D571" s="11" t="s">
        <v>1192</v>
      </c>
      <c r="E571" s="11">
        <v>4</v>
      </c>
      <c r="F571" s="136">
        <v>40760</v>
      </c>
      <c r="G571" s="135" t="s">
        <v>1193</v>
      </c>
      <c r="H571" s="135">
        <v>4088889620</v>
      </c>
      <c r="I571" s="135" t="s">
        <v>1194</v>
      </c>
      <c r="J571" s="137">
        <v>44363</v>
      </c>
      <c r="K571" s="135" t="s">
        <v>109</v>
      </c>
      <c r="L571" s="135" t="s">
        <v>994</v>
      </c>
      <c r="M571" s="135" t="s">
        <v>1195</v>
      </c>
      <c r="N571" s="11" t="s">
        <v>35</v>
      </c>
      <c r="O571" s="136">
        <v>44409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5.75" hidden="1" customHeight="1" x14ac:dyDescent="0.35">
      <c r="A572" s="134">
        <v>14</v>
      </c>
      <c r="B572" s="134" t="s">
        <v>89</v>
      </c>
      <c r="C572" s="11" t="s">
        <v>1191</v>
      </c>
      <c r="D572" s="11" t="s">
        <v>1192</v>
      </c>
      <c r="E572" s="11">
        <v>4</v>
      </c>
      <c r="F572" s="136">
        <v>40760</v>
      </c>
      <c r="G572" s="135" t="s">
        <v>1193</v>
      </c>
      <c r="H572" s="135">
        <v>4088889620</v>
      </c>
      <c r="I572" s="135" t="s">
        <v>1194</v>
      </c>
      <c r="J572" s="137">
        <v>44363</v>
      </c>
      <c r="K572" s="135" t="s">
        <v>167</v>
      </c>
      <c r="L572" s="135" t="s">
        <v>994</v>
      </c>
      <c r="M572" s="135" t="s">
        <v>1195</v>
      </c>
      <c r="N572" s="11" t="s">
        <v>35</v>
      </c>
      <c r="O572" s="136">
        <v>44409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5.75" hidden="1" customHeight="1" x14ac:dyDescent="0.35">
      <c r="A573" s="134">
        <v>15</v>
      </c>
      <c r="B573" s="134" t="s">
        <v>49</v>
      </c>
      <c r="C573" s="11" t="s">
        <v>437</v>
      </c>
      <c r="D573" s="11" t="s">
        <v>441</v>
      </c>
      <c r="E573" s="11" t="s">
        <v>180</v>
      </c>
      <c r="F573" s="136">
        <v>42381</v>
      </c>
      <c r="G573" s="135" t="s">
        <v>442</v>
      </c>
      <c r="H573" s="135">
        <v>4083290431</v>
      </c>
      <c r="I573" s="135" t="s">
        <v>443</v>
      </c>
      <c r="J573" s="137">
        <v>44351</v>
      </c>
      <c r="K573" s="135" t="s">
        <v>118</v>
      </c>
      <c r="L573" s="135" t="s">
        <v>950</v>
      </c>
      <c r="M573" s="135"/>
      <c r="N573" s="11" t="s">
        <v>35</v>
      </c>
      <c r="O573" s="136">
        <v>44409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5.75" hidden="1" customHeight="1" x14ac:dyDescent="0.35">
      <c r="A574" s="134">
        <v>16</v>
      </c>
      <c r="B574" s="134" t="s">
        <v>89</v>
      </c>
      <c r="C574" s="11" t="s">
        <v>437</v>
      </c>
      <c r="D574" s="11" t="s">
        <v>441</v>
      </c>
      <c r="E574" s="11" t="s">
        <v>180</v>
      </c>
      <c r="F574" s="136">
        <v>42381</v>
      </c>
      <c r="G574" s="135" t="s">
        <v>442</v>
      </c>
      <c r="H574" s="135">
        <v>4083290431</v>
      </c>
      <c r="I574" s="135" t="s">
        <v>443</v>
      </c>
      <c r="J574" s="137">
        <v>44351</v>
      </c>
      <c r="K574" s="135" t="s">
        <v>171</v>
      </c>
      <c r="L574" s="135" t="s">
        <v>950</v>
      </c>
      <c r="M574" s="135"/>
      <c r="N574" s="11" t="s">
        <v>35</v>
      </c>
      <c r="O574" s="136">
        <v>44409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5.75" hidden="1" customHeight="1" x14ac:dyDescent="0.35">
      <c r="A575" s="134">
        <v>17</v>
      </c>
      <c r="B575" s="134" t="s">
        <v>49</v>
      </c>
      <c r="C575" s="11" t="s">
        <v>437</v>
      </c>
      <c r="D575" s="11" t="s">
        <v>1196</v>
      </c>
      <c r="E575" s="11">
        <v>4</v>
      </c>
      <c r="F575" s="136">
        <v>40920</v>
      </c>
      <c r="G575" s="135" t="s">
        <v>442</v>
      </c>
      <c r="H575" s="135">
        <v>4083290431</v>
      </c>
      <c r="I575" s="135" t="s">
        <v>443</v>
      </c>
      <c r="J575" s="137">
        <v>44351</v>
      </c>
      <c r="K575" s="135" t="s">
        <v>112</v>
      </c>
      <c r="L575" s="135" t="s">
        <v>950</v>
      </c>
      <c r="M575" s="135"/>
      <c r="N575" s="11" t="s">
        <v>35</v>
      </c>
      <c r="O575" s="136">
        <v>44409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5.75" hidden="1" customHeight="1" x14ac:dyDescent="0.35">
      <c r="A576" s="134">
        <v>18</v>
      </c>
      <c r="B576" s="134" t="s">
        <v>89</v>
      </c>
      <c r="C576" s="11" t="s">
        <v>437</v>
      </c>
      <c r="D576" s="11" t="s">
        <v>1196</v>
      </c>
      <c r="E576" s="11">
        <v>4</v>
      </c>
      <c r="F576" s="136">
        <v>40920</v>
      </c>
      <c r="G576" s="135" t="s">
        <v>442</v>
      </c>
      <c r="H576" s="135">
        <v>4083290431</v>
      </c>
      <c r="I576" s="135" t="s">
        <v>443</v>
      </c>
      <c r="J576" s="137">
        <v>44351</v>
      </c>
      <c r="K576" s="135" t="s">
        <v>163</v>
      </c>
      <c r="L576" s="135" t="s">
        <v>994</v>
      </c>
      <c r="M576" s="135"/>
      <c r="N576" s="11" t="s">
        <v>35</v>
      </c>
      <c r="O576" s="136">
        <v>44409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5.75" hidden="1" customHeight="1" x14ac:dyDescent="0.35">
      <c r="A577" s="134">
        <v>19</v>
      </c>
      <c r="B577" s="134" t="s">
        <v>49</v>
      </c>
      <c r="C577" s="11" t="s">
        <v>453</v>
      </c>
      <c r="D577" s="11" t="s">
        <v>1197</v>
      </c>
      <c r="E577" s="11">
        <v>1</v>
      </c>
      <c r="F577" s="136">
        <v>41870</v>
      </c>
      <c r="G577" s="135"/>
      <c r="H577" s="135">
        <v>4086698065</v>
      </c>
      <c r="I577" s="135" t="s">
        <v>1198</v>
      </c>
      <c r="J577" s="137">
        <v>44091</v>
      </c>
      <c r="K577" s="135" t="s">
        <v>1185</v>
      </c>
      <c r="L577" s="135" t="s">
        <v>1145</v>
      </c>
      <c r="M577" s="135"/>
      <c r="N577" s="11" t="s">
        <v>35</v>
      </c>
      <c r="O577" s="136">
        <v>44409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5.75" hidden="1" customHeight="1" x14ac:dyDescent="0.35">
      <c r="A578" s="134">
        <v>20</v>
      </c>
      <c r="B578" s="134" t="s">
        <v>89</v>
      </c>
      <c r="C578" s="11" t="s">
        <v>453</v>
      </c>
      <c r="D578" s="11" t="s">
        <v>1197</v>
      </c>
      <c r="E578" s="11">
        <v>1</v>
      </c>
      <c r="F578" s="136">
        <v>41870</v>
      </c>
      <c r="G578" s="135"/>
      <c r="H578" s="135">
        <v>4086698065</v>
      </c>
      <c r="I578" s="135" t="s">
        <v>1198</v>
      </c>
      <c r="J578" s="137">
        <v>44091</v>
      </c>
      <c r="K578" s="135" t="s">
        <v>120</v>
      </c>
      <c r="L578" s="135" t="s">
        <v>994</v>
      </c>
      <c r="M578" s="135"/>
      <c r="N578" s="11" t="s">
        <v>35</v>
      </c>
      <c r="O578" s="136">
        <v>44409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5.75" hidden="1" customHeight="1" x14ac:dyDescent="0.35">
      <c r="A579" s="134">
        <v>21</v>
      </c>
      <c r="B579" s="134" t="s">
        <v>49</v>
      </c>
      <c r="C579" s="11" t="s">
        <v>1035</v>
      </c>
      <c r="D579" s="11" t="s">
        <v>1036</v>
      </c>
      <c r="E579" s="11">
        <v>5</v>
      </c>
      <c r="F579" s="136">
        <v>40288</v>
      </c>
      <c r="G579" s="135" t="s">
        <v>1037</v>
      </c>
      <c r="H579" s="135">
        <v>5102990900</v>
      </c>
      <c r="I579" s="135" t="s">
        <v>1038</v>
      </c>
      <c r="J579" s="137">
        <v>44091</v>
      </c>
      <c r="K579" s="135" t="s">
        <v>214</v>
      </c>
      <c r="L579" s="135" t="s">
        <v>1199</v>
      </c>
      <c r="M579" s="135" t="s">
        <v>1195</v>
      </c>
      <c r="N579" s="11" t="s">
        <v>35</v>
      </c>
      <c r="O579" s="136">
        <v>44409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5.75" hidden="1" customHeight="1" x14ac:dyDescent="0.35">
      <c r="A580" s="134">
        <v>22</v>
      </c>
      <c r="B580" s="134" t="s">
        <v>89</v>
      </c>
      <c r="C580" s="11" t="s">
        <v>1035</v>
      </c>
      <c r="D580" s="11" t="s">
        <v>1036</v>
      </c>
      <c r="E580" s="11">
        <v>5</v>
      </c>
      <c r="F580" s="136">
        <v>40288</v>
      </c>
      <c r="G580" s="135" t="s">
        <v>1037</v>
      </c>
      <c r="H580" s="135">
        <v>5102990900</v>
      </c>
      <c r="I580" s="135" t="s">
        <v>1038</v>
      </c>
      <c r="J580" s="137">
        <v>44091</v>
      </c>
      <c r="K580" s="135" t="s">
        <v>251</v>
      </c>
      <c r="L580" s="135" t="s">
        <v>994</v>
      </c>
      <c r="M580" s="135" t="s">
        <v>1195</v>
      </c>
      <c r="N580" s="11" t="s">
        <v>35</v>
      </c>
      <c r="O580" s="136">
        <v>44409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5.75" hidden="1" customHeight="1" x14ac:dyDescent="0.35">
      <c r="A581" s="134">
        <v>1</v>
      </c>
      <c r="B581" s="134" t="s">
        <v>49</v>
      </c>
      <c r="C581" s="11" t="s">
        <v>1200</v>
      </c>
      <c r="D581" s="11" t="s">
        <v>1201</v>
      </c>
      <c r="E581" s="11">
        <v>1</v>
      </c>
      <c r="F581" s="136">
        <v>42067</v>
      </c>
      <c r="G581" s="135" t="s">
        <v>1202</v>
      </c>
      <c r="H581" s="135">
        <v>4085504144</v>
      </c>
      <c r="I581" s="135" t="s">
        <v>1203</v>
      </c>
      <c r="J581" s="137">
        <v>44349</v>
      </c>
      <c r="K581" s="135" t="s">
        <v>118</v>
      </c>
      <c r="L581" s="135" t="s">
        <v>950</v>
      </c>
      <c r="M581" s="135" t="s">
        <v>1204</v>
      </c>
      <c r="N581" s="11" t="s">
        <v>35</v>
      </c>
      <c r="O581" s="136">
        <v>44440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5.75" hidden="1" customHeight="1" x14ac:dyDescent="0.35">
      <c r="A582" s="134">
        <v>2</v>
      </c>
      <c r="B582" s="134" t="s">
        <v>89</v>
      </c>
      <c r="C582" s="11" t="s">
        <v>1171</v>
      </c>
      <c r="D582" s="11" t="s">
        <v>519</v>
      </c>
      <c r="E582" s="11">
        <v>2</v>
      </c>
      <c r="F582" s="136">
        <v>41280</v>
      </c>
      <c r="G582" s="135" t="s">
        <v>1172</v>
      </c>
      <c r="H582" s="135">
        <v>4086606354</v>
      </c>
      <c r="I582" s="135" t="s">
        <v>1173</v>
      </c>
      <c r="J582" s="137">
        <v>44257</v>
      </c>
      <c r="K582" s="135" t="s">
        <v>163</v>
      </c>
      <c r="L582" s="135" t="s">
        <v>589</v>
      </c>
      <c r="M582" s="135" t="s">
        <v>1204</v>
      </c>
      <c r="N582" s="11" t="s">
        <v>35</v>
      </c>
      <c r="O582" s="136">
        <v>44440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5.75" hidden="1" customHeight="1" x14ac:dyDescent="0.35">
      <c r="A583" s="134">
        <v>3</v>
      </c>
      <c r="B583" s="134" t="s">
        <v>89</v>
      </c>
      <c r="C583" s="11" t="s">
        <v>319</v>
      </c>
      <c r="D583" s="11" t="s">
        <v>1205</v>
      </c>
      <c r="E583" s="11">
        <v>4</v>
      </c>
      <c r="F583" s="136">
        <v>40588</v>
      </c>
      <c r="G583" s="135"/>
      <c r="H583" s="135">
        <v>5106765830</v>
      </c>
      <c r="I583" s="135" t="s">
        <v>1206</v>
      </c>
      <c r="J583" s="137">
        <v>44287</v>
      </c>
      <c r="K583" s="135" t="s">
        <v>163</v>
      </c>
      <c r="L583" s="135" t="s">
        <v>1006</v>
      </c>
      <c r="M583" s="135" t="s">
        <v>1204</v>
      </c>
      <c r="N583" s="11" t="s">
        <v>35</v>
      </c>
      <c r="O583" s="136">
        <v>44440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5.75" hidden="1" customHeight="1" x14ac:dyDescent="0.35">
      <c r="A584" s="134">
        <v>4</v>
      </c>
      <c r="B584" s="134" t="s">
        <v>89</v>
      </c>
      <c r="C584" s="11" t="s">
        <v>437</v>
      </c>
      <c r="D584" s="11" t="s">
        <v>450</v>
      </c>
      <c r="E584" s="11">
        <v>5</v>
      </c>
      <c r="F584" s="136">
        <v>40579</v>
      </c>
      <c r="G584" s="135" t="s">
        <v>1207</v>
      </c>
      <c r="H584" s="135">
        <v>4088812688</v>
      </c>
      <c r="I584" s="135" t="s">
        <v>861</v>
      </c>
      <c r="J584" s="137">
        <v>44356</v>
      </c>
      <c r="K584" s="135" t="s">
        <v>261</v>
      </c>
      <c r="L584" s="135" t="s">
        <v>589</v>
      </c>
      <c r="M584" s="135" t="s">
        <v>1208</v>
      </c>
      <c r="N584" s="11" t="s">
        <v>35</v>
      </c>
      <c r="O584" s="136">
        <v>44440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5.75" hidden="1" customHeight="1" x14ac:dyDescent="0.35">
      <c r="A585" s="134">
        <v>1</v>
      </c>
      <c r="B585" s="134" t="s">
        <v>49</v>
      </c>
      <c r="C585" s="11" t="s">
        <v>973</v>
      </c>
      <c r="D585" s="11" t="s">
        <v>976</v>
      </c>
      <c r="E585" s="11">
        <v>3</v>
      </c>
      <c r="F585" s="136">
        <v>41059</v>
      </c>
      <c r="G585" s="135" t="s">
        <v>1099</v>
      </c>
      <c r="H585" s="135">
        <v>16504830611</v>
      </c>
      <c r="I585" s="135" t="s">
        <v>1100</v>
      </c>
      <c r="J585" s="137">
        <v>44440</v>
      </c>
      <c r="K585" s="135" t="s">
        <v>212</v>
      </c>
      <c r="L585" s="135" t="s">
        <v>589</v>
      </c>
      <c r="M585" s="135" t="s">
        <v>1209</v>
      </c>
      <c r="N585" s="11" t="s">
        <v>35</v>
      </c>
      <c r="O585" s="136">
        <v>44470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5.75" hidden="1" customHeight="1" x14ac:dyDescent="0.35">
      <c r="A586" s="134">
        <v>2</v>
      </c>
      <c r="B586" s="134" t="s">
        <v>49</v>
      </c>
      <c r="C586" s="11" t="s">
        <v>358</v>
      </c>
      <c r="D586" s="11" t="s">
        <v>611</v>
      </c>
      <c r="E586" s="11">
        <v>3</v>
      </c>
      <c r="F586" s="136">
        <v>40799</v>
      </c>
      <c r="G586" s="135"/>
      <c r="H586" s="135">
        <v>5105015578</v>
      </c>
      <c r="I586" s="135" t="s">
        <v>1210</v>
      </c>
      <c r="J586" s="137">
        <v>44105</v>
      </c>
      <c r="K586" s="135" t="s">
        <v>153</v>
      </c>
      <c r="L586" s="135" t="s">
        <v>994</v>
      </c>
      <c r="M586" s="135" t="s">
        <v>1211</v>
      </c>
      <c r="N586" s="11" t="s">
        <v>35</v>
      </c>
      <c r="O586" s="136">
        <v>44470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5.75" hidden="1" customHeight="1" x14ac:dyDescent="0.35">
      <c r="A587" s="134">
        <v>3</v>
      </c>
      <c r="B587" s="134" t="s">
        <v>89</v>
      </c>
      <c r="C587" s="11" t="s">
        <v>358</v>
      </c>
      <c r="D587" s="11" t="s">
        <v>611</v>
      </c>
      <c r="E587" s="11">
        <v>3</v>
      </c>
      <c r="F587" s="136">
        <v>40799</v>
      </c>
      <c r="G587" s="135"/>
      <c r="H587" s="135">
        <v>5105015578</v>
      </c>
      <c r="I587" s="135" t="s">
        <v>1210</v>
      </c>
      <c r="J587" s="137">
        <v>44105</v>
      </c>
      <c r="K587" s="135" t="s">
        <v>167</v>
      </c>
      <c r="L587" s="135" t="s">
        <v>589</v>
      </c>
      <c r="M587" s="135" t="s">
        <v>1211</v>
      </c>
      <c r="N587" s="11" t="s">
        <v>35</v>
      </c>
      <c r="O587" s="136">
        <v>44470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5.75" hidden="1" customHeight="1" x14ac:dyDescent="0.35">
      <c r="A588" s="134">
        <v>4</v>
      </c>
      <c r="B588" s="134" t="s">
        <v>89</v>
      </c>
      <c r="C588" s="11" t="s">
        <v>1212</v>
      </c>
      <c r="D588" s="11" t="s">
        <v>1213</v>
      </c>
      <c r="E588" s="11">
        <v>8</v>
      </c>
      <c r="F588" s="136">
        <v>39608</v>
      </c>
      <c r="G588" s="135" t="s">
        <v>1214</v>
      </c>
      <c r="H588" s="135">
        <v>4086637241</v>
      </c>
      <c r="I588" s="135" t="s">
        <v>1215</v>
      </c>
      <c r="J588" s="137">
        <v>44440</v>
      </c>
      <c r="K588" s="135" t="s">
        <v>163</v>
      </c>
      <c r="L588" s="135" t="s">
        <v>1006</v>
      </c>
      <c r="M588" s="135"/>
      <c r="N588" s="11" t="s">
        <v>35</v>
      </c>
      <c r="O588" s="136">
        <v>44470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5.75" hidden="1" customHeight="1" x14ac:dyDescent="0.35">
      <c r="A589" s="134">
        <v>5</v>
      </c>
      <c r="B589" s="134" t="s">
        <v>49</v>
      </c>
      <c r="C589" s="11" t="s">
        <v>437</v>
      </c>
      <c r="D589" s="11" t="s">
        <v>847</v>
      </c>
      <c r="E589" s="11">
        <v>3</v>
      </c>
      <c r="F589" s="136">
        <v>41283</v>
      </c>
      <c r="G589" s="135" t="s">
        <v>1216</v>
      </c>
      <c r="H589" s="135">
        <v>4084313075</v>
      </c>
      <c r="I589" s="135" t="s">
        <v>1217</v>
      </c>
      <c r="J589" s="137">
        <v>44440</v>
      </c>
      <c r="K589" s="135" t="s">
        <v>202</v>
      </c>
      <c r="L589" s="135" t="s">
        <v>589</v>
      </c>
      <c r="M589" s="135" t="s">
        <v>1218</v>
      </c>
      <c r="N589" s="11" t="s">
        <v>35</v>
      </c>
      <c r="O589" s="136">
        <v>44470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5.75" hidden="1" customHeight="1" x14ac:dyDescent="0.35">
      <c r="A590" s="134">
        <v>6</v>
      </c>
      <c r="B590" s="134" t="s">
        <v>89</v>
      </c>
      <c r="C590" s="11" t="s">
        <v>437</v>
      </c>
      <c r="D590" s="11" t="s">
        <v>847</v>
      </c>
      <c r="E590" s="11">
        <v>3</v>
      </c>
      <c r="F590" s="136">
        <v>41283</v>
      </c>
      <c r="G590" s="135" t="s">
        <v>1216</v>
      </c>
      <c r="H590" s="135">
        <v>4084313075</v>
      </c>
      <c r="I590" s="135" t="s">
        <v>1217</v>
      </c>
      <c r="J590" s="137">
        <v>44440</v>
      </c>
      <c r="K590" s="135" t="s">
        <v>163</v>
      </c>
      <c r="L590" s="135" t="s">
        <v>589</v>
      </c>
      <c r="M590" s="135" t="s">
        <v>1218</v>
      </c>
      <c r="N590" s="11" t="s">
        <v>35</v>
      </c>
      <c r="O590" s="136">
        <v>44470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5.75" hidden="1" customHeight="1" x14ac:dyDescent="0.35">
      <c r="A591" s="134">
        <v>7</v>
      </c>
      <c r="B591" s="134" t="s">
        <v>49</v>
      </c>
      <c r="C591" s="11" t="s">
        <v>437</v>
      </c>
      <c r="D591" s="11" t="s">
        <v>450</v>
      </c>
      <c r="E591" s="11">
        <v>5</v>
      </c>
      <c r="F591" s="136">
        <v>40579</v>
      </c>
      <c r="G591" s="135" t="s">
        <v>1207</v>
      </c>
      <c r="H591" s="135">
        <v>4088812688</v>
      </c>
      <c r="I591" s="135" t="s">
        <v>861</v>
      </c>
      <c r="J591" s="137">
        <v>44356</v>
      </c>
      <c r="K591" s="135" t="s">
        <v>214</v>
      </c>
      <c r="L591" s="135" t="s">
        <v>589</v>
      </c>
      <c r="M591" s="135" t="s">
        <v>65</v>
      </c>
      <c r="N591" s="11" t="s">
        <v>35</v>
      </c>
      <c r="O591" s="136">
        <v>44470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5.75" hidden="1" customHeight="1" x14ac:dyDescent="0.35">
      <c r="A592" s="134">
        <v>8</v>
      </c>
      <c r="B592" s="134" t="s">
        <v>49</v>
      </c>
      <c r="C592" s="11" t="s">
        <v>584</v>
      </c>
      <c r="D592" s="11" t="s">
        <v>1219</v>
      </c>
      <c r="E592" s="11">
        <v>3</v>
      </c>
      <c r="F592" s="136">
        <v>40167</v>
      </c>
      <c r="G592" s="135" t="s">
        <v>1220</v>
      </c>
      <c r="H592" s="135" t="s">
        <v>1221</v>
      </c>
      <c r="I592" s="135" t="s">
        <v>1222</v>
      </c>
      <c r="J592" s="137">
        <v>43556</v>
      </c>
      <c r="K592" s="135" t="s">
        <v>1223</v>
      </c>
      <c r="L592" s="135" t="s">
        <v>1145</v>
      </c>
      <c r="M592" s="135" t="s">
        <v>1224</v>
      </c>
      <c r="N592" s="11" t="s">
        <v>35</v>
      </c>
      <c r="O592" s="136">
        <v>44470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5.75" hidden="1" customHeight="1" x14ac:dyDescent="0.35">
      <c r="A593" s="134">
        <v>9</v>
      </c>
      <c r="B593" s="134" t="s">
        <v>89</v>
      </c>
      <c r="C593" s="11" t="s">
        <v>584</v>
      </c>
      <c r="D593" s="11" t="s">
        <v>1219</v>
      </c>
      <c r="E593" s="11">
        <v>3</v>
      </c>
      <c r="F593" s="136">
        <v>40167</v>
      </c>
      <c r="G593" s="135" t="s">
        <v>1220</v>
      </c>
      <c r="H593" s="135" t="s">
        <v>1221</v>
      </c>
      <c r="I593" s="135" t="s">
        <v>1222</v>
      </c>
      <c r="J593" s="137">
        <v>43556</v>
      </c>
      <c r="K593" s="135" t="s">
        <v>251</v>
      </c>
      <c r="L593" s="135" t="s">
        <v>1145</v>
      </c>
      <c r="M593" s="135" t="s">
        <v>1224</v>
      </c>
      <c r="N593" s="11" t="s">
        <v>35</v>
      </c>
      <c r="O593" s="136">
        <v>44470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5.75" hidden="1" customHeight="1" x14ac:dyDescent="0.35">
      <c r="A594" s="134">
        <v>10</v>
      </c>
      <c r="B594" s="134" t="s">
        <v>49</v>
      </c>
      <c r="C594" s="11" t="s">
        <v>584</v>
      </c>
      <c r="D594" s="11" t="s">
        <v>1225</v>
      </c>
      <c r="E594" s="11">
        <v>1</v>
      </c>
      <c r="F594" s="136">
        <v>41138</v>
      </c>
      <c r="G594" s="135" t="s">
        <v>1220</v>
      </c>
      <c r="H594" s="135" t="s">
        <v>1221</v>
      </c>
      <c r="I594" s="135" t="s">
        <v>1222</v>
      </c>
      <c r="J594" s="137">
        <v>43556</v>
      </c>
      <c r="K594" s="135" t="s">
        <v>384</v>
      </c>
      <c r="L594" s="135" t="s">
        <v>589</v>
      </c>
      <c r="M594" s="135" t="s">
        <v>1224</v>
      </c>
      <c r="N594" s="11" t="s">
        <v>35</v>
      </c>
      <c r="O594" s="136">
        <v>44470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5.75" hidden="1" customHeight="1" x14ac:dyDescent="0.35">
      <c r="A595" s="134">
        <v>11</v>
      </c>
      <c r="B595" s="134" t="s">
        <v>89</v>
      </c>
      <c r="C595" s="11" t="s">
        <v>584</v>
      </c>
      <c r="D595" s="11" t="s">
        <v>1225</v>
      </c>
      <c r="E595" s="11">
        <v>1</v>
      </c>
      <c r="F595" s="136">
        <v>41138</v>
      </c>
      <c r="G595" s="135" t="s">
        <v>1220</v>
      </c>
      <c r="H595" s="135" t="s">
        <v>1221</v>
      </c>
      <c r="I595" s="135" t="s">
        <v>1222</v>
      </c>
      <c r="J595" s="137">
        <v>43556</v>
      </c>
      <c r="K595" s="135" t="s">
        <v>155</v>
      </c>
      <c r="L595" s="135" t="s">
        <v>1006</v>
      </c>
      <c r="M595" s="135" t="s">
        <v>1224</v>
      </c>
      <c r="N595" s="11" t="s">
        <v>35</v>
      </c>
      <c r="O595" s="136">
        <v>44470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5.75" hidden="1" customHeight="1" x14ac:dyDescent="0.35">
      <c r="A596" s="134">
        <v>1</v>
      </c>
      <c r="B596" s="134" t="s">
        <v>49</v>
      </c>
      <c r="C596" s="11" t="s">
        <v>134</v>
      </c>
      <c r="D596" s="11" t="s">
        <v>1226</v>
      </c>
      <c r="E596" s="11">
        <v>6</v>
      </c>
      <c r="F596" s="136">
        <v>40217</v>
      </c>
      <c r="G596" s="135" t="s">
        <v>1227</v>
      </c>
      <c r="H596" s="135" t="s">
        <v>1228</v>
      </c>
      <c r="I596" s="135" t="s">
        <v>1229</v>
      </c>
      <c r="J596" s="137">
        <v>44448</v>
      </c>
      <c r="K596" s="135" t="s">
        <v>264</v>
      </c>
      <c r="L596" s="135" t="s">
        <v>589</v>
      </c>
      <c r="M596" s="135" t="s">
        <v>1230</v>
      </c>
      <c r="N596" s="11" t="s">
        <v>35</v>
      </c>
      <c r="O596" s="136">
        <v>44531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5.75" hidden="1" customHeight="1" x14ac:dyDescent="0.35">
      <c r="A597" s="134">
        <v>2</v>
      </c>
      <c r="B597" s="134" t="s">
        <v>89</v>
      </c>
      <c r="C597" s="11" t="s">
        <v>134</v>
      </c>
      <c r="D597" s="11" t="s">
        <v>1226</v>
      </c>
      <c r="E597" s="11">
        <v>6</v>
      </c>
      <c r="F597" s="136">
        <v>40217</v>
      </c>
      <c r="G597" s="135" t="s">
        <v>1227</v>
      </c>
      <c r="H597" s="135" t="s">
        <v>1228</v>
      </c>
      <c r="I597" s="135" t="s">
        <v>1229</v>
      </c>
      <c r="J597" s="137">
        <v>44448</v>
      </c>
      <c r="K597" s="135" t="s">
        <v>240</v>
      </c>
      <c r="L597" s="135" t="s">
        <v>950</v>
      </c>
      <c r="M597" s="135" t="s">
        <v>1230</v>
      </c>
      <c r="N597" s="11" t="s">
        <v>35</v>
      </c>
      <c r="O597" s="136">
        <v>44531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5.75" hidden="1" customHeight="1" x14ac:dyDescent="0.35">
      <c r="A598" s="134">
        <v>3</v>
      </c>
      <c r="B598" s="134" t="s">
        <v>49</v>
      </c>
      <c r="C598" s="11" t="s">
        <v>134</v>
      </c>
      <c r="D598" s="11" t="s">
        <v>1231</v>
      </c>
      <c r="E598" s="11">
        <v>6</v>
      </c>
      <c r="F598" s="136">
        <v>40217</v>
      </c>
      <c r="G598" s="135" t="s">
        <v>1227</v>
      </c>
      <c r="H598" s="135" t="s">
        <v>1228</v>
      </c>
      <c r="I598" s="135" t="s">
        <v>1229</v>
      </c>
      <c r="J598" s="137">
        <v>44448</v>
      </c>
      <c r="K598" s="135" t="s">
        <v>109</v>
      </c>
      <c r="L598" s="135" t="s">
        <v>589</v>
      </c>
      <c r="M598" s="135"/>
      <c r="N598" s="11" t="s">
        <v>35</v>
      </c>
      <c r="O598" s="136">
        <v>44531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5.75" hidden="1" customHeight="1" x14ac:dyDescent="0.35">
      <c r="A599" s="134">
        <v>4</v>
      </c>
      <c r="B599" s="134" t="s">
        <v>89</v>
      </c>
      <c r="C599" s="11" t="s">
        <v>134</v>
      </c>
      <c r="D599" s="11" t="s">
        <v>1231</v>
      </c>
      <c r="E599" s="11">
        <v>6</v>
      </c>
      <c r="F599" s="136">
        <v>40217</v>
      </c>
      <c r="G599" s="135" t="s">
        <v>1227</v>
      </c>
      <c r="H599" s="135" t="s">
        <v>1228</v>
      </c>
      <c r="I599" s="135" t="s">
        <v>1229</v>
      </c>
      <c r="J599" s="137">
        <v>44448</v>
      </c>
      <c r="K599" s="135" t="s">
        <v>301</v>
      </c>
      <c r="L599" s="135" t="s">
        <v>950</v>
      </c>
      <c r="M599" s="135"/>
      <c r="N599" s="11" t="s">
        <v>35</v>
      </c>
      <c r="O599" s="136">
        <v>44531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5.75" hidden="1" customHeight="1" x14ac:dyDescent="0.35">
      <c r="A600" s="134">
        <v>5</v>
      </c>
      <c r="B600" s="134" t="s">
        <v>49</v>
      </c>
      <c r="C600" s="11" t="s">
        <v>1103</v>
      </c>
      <c r="D600" s="11" t="s">
        <v>1232</v>
      </c>
      <c r="E600" s="11">
        <v>8</v>
      </c>
      <c r="F600" s="136">
        <v>39332</v>
      </c>
      <c r="G600" s="135" t="s">
        <v>1105</v>
      </c>
      <c r="H600" s="135">
        <v>4086462300</v>
      </c>
      <c r="I600" s="135" t="s">
        <v>1106</v>
      </c>
      <c r="J600" s="137">
        <v>44074</v>
      </c>
      <c r="K600" s="135" t="s">
        <v>301</v>
      </c>
      <c r="L600" s="135" t="s">
        <v>589</v>
      </c>
      <c r="M600" s="135" t="s">
        <v>1230</v>
      </c>
      <c r="N600" s="11" t="s">
        <v>35</v>
      </c>
      <c r="O600" s="136">
        <v>44531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5.75" hidden="1" customHeight="1" x14ac:dyDescent="0.35">
      <c r="A601" s="134">
        <v>6</v>
      </c>
      <c r="B601" s="134" t="s">
        <v>49</v>
      </c>
      <c r="C601" s="11" t="s">
        <v>227</v>
      </c>
      <c r="D601" s="11" t="s">
        <v>233</v>
      </c>
      <c r="E601" s="11">
        <v>5</v>
      </c>
      <c r="F601" s="136" t="s">
        <v>1131</v>
      </c>
      <c r="G601" s="135" t="s">
        <v>234</v>
      </c>
      <c r="H601" s="135" t="s">
        <v>235</v>
      </c>
      <c r="I601" s="135" t="s">
        <v>1100</v>
      </c>
      <c r="J601" s="137">
        <v>44348</v>
      </c>
      <c r="K601" s="135" t="s">
        <v>256</v>
      </c>
      <c r="L601" s="135" t="s">
        <v>589</v>
      </c>
      <c r="M601" s="135" t="s">
        <v>239</v>
      </c>
      <c r="N601" s="11" t="s">
        <v>35</v>
      </c>
      <c r="O601" s="136">
        <v>44531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5.75" hidden="1" customHeight="1" x14ac:dyDescent="0.35">
      <c r="A602" s="134">
        <v>7</v>
      </c>
      <c r="B602" s="134" t="s">
        <v>89</v>
      </c>
      <c r="C602" s="11" t="s">
        <v>227</v>
      </c>
      <c r="D602" s="11" t="s">
        <v>233</v>
      </c>
      <c r="E602" s="11">
        <v>5</v>
      </c>
      <c r="F602" s="136" t="s">
        <v>1131</v>
      </c>
      <c r="G602" s="135" t="s">
        <v>234</v>
      </c>
      <c r="H602" s="135" t="s">
        <v>235</v>
      </c>
      <c r="I602" s="135" t="s">
        <v>1100</v>
      </c>
      <c r="J602" s="137">
        <v>44348</v>
      </c>
      <c r="K602" s="135" t="s">
        <v>261</v>
      </c>
      <c r="L602" s="135" t="s">
        <v>589</v>
      </c>
      <c r="M602" s="135" t="s">
        <v>239</v>
      </c>
      <c r="N602" s="11" t="s">
        <v>35</v>
      </c>
      <c r="O602" s="136">
        <v>44531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5.75" hidden="1" customHeight="1" x14ac:dyDescent="0.35">
      <c r="A603" s="134">
        <v>8</v>
      </c>
      <c r="B603" s="134" t="s">
        <v>49</v>
      </c>
      <c r="C603" s="11" t="s">
        <v>1080</v>
      </c>
      <c r="D603" s="11" t="s">
        <v>1081</v>
      </c>
      <c r="E603" s="11" t="s">
        <v>273</v>
      </c>
      <c r="F603" s="136">
        <v>41914</v>
      </c>
      <c r="G603" s="135" t="s">
        <v>1082</v>
      </c>
      <c r="H603" s="135">
        <v>5102606448</v>
      </c>
      <c r="I603" s="135" t="s">
        <v>1083</v>
      </c>
      <c r="J603" s="137">
        <v>44004</v>
      </c>
      <c r="K603" s="135" t="s">
        <v>112</v>
      </c>
      <c r="L603" s="135" t="s">
        <v>1145</v>
      </c>
      <c r="M603" s="135" t="s">
        <v>1233</v>
      </c>
      <c r="N603" s="11" t="s">
        <v>35</v>
      </c>
      <c r="O603" s="136">
        <v>44531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5.75" hidden="1" customHeight="1" x14ac:dyDescent="0.35">
      <c r="A604" s="134">
        <v>9</v>
      </c>
      <c r="B604" s="134" t="s">
        <v>89</v>
      </c>
      <c r="C604" s="11" t="s">
        <v>733</v>
      </c>
      <c r="D604" s="11" t="s">
        <v>734</v>
      </c>
      <c r="E604" s="11">
        <v>1</v>
      </c>
      <c r="F604" s="136">
        <v>41036</v>
      </c>
      <c r="G604" s="135" t="s">
        <v>735</v>
      </c>
      <c r="H604" s="135" t="s">
        <v>736</v>
      </c>
      <c r="I604" s="135" t="s">
        <v>737</v>
      </c>
      <c r="J604" s="137">
        <v>44136</v>
      </c>
      <c r="K604" s="135" t="s">
        <v>256</v>
      </c>
      <c r="L604" s="135" t="s">
        <v>1199</v>
      </c>
      <c r="M604" s="135" t="s">
        <v>1234</v>
      </c>
      <c r="N604" s="11" t="s">
        <v>35</v>
      </c>
      <c r="O604" s="136">
        <v>44531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5.75" hidden="1" customHeight="1" x14ac:dyDescent="0.35">
      <c r="A605" s="134">
        <v>10</v>
      </c>
      <c r="B605" s="134" t="s">
        <v>89</v>
      </c>
      <c r="C605" s="11" t="s">
        <v>733</v>
      </c>
      <c r="D605" s="11" t="s">
        <v>734</v>
      </c>
      <c r="E605" s="11">
        <v>1</v>
      </c>
      <c r="F605" s="136">
        <v>41036</v>
      </c>
      <c r="G605" s="135" t="s">
        <v>735</v>
      </c>
      <c r="H605" s="135" t="s">
        <v>736</v>
      </c>
      <c r="I605" s="135" t="s">
        <v>737</v>
      </c>
      <c r="J605" s="137">
        <v>44136</v>
      </c>
      <c r="K605" s="135" t="s">
        <v>301</v>
      </c>
      <c r="L605" s="135" t="s">
        <v>1145</v>
      </c>
      <c r="M605" s="135" t="s">
        <v>1234</v>
      </c>
      <c r="N605" s="11" t="s">
        <v>35</v>
      </c>
      <c r="O605" s="136">
        <v>44531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ht="15.75" hidden="1" customHeight="1" x14ac:dyDescent="0.35">
      <c r="A606" s="134">
        <v>11</v>
      </c>
      <c r="B606" s="134" t="s">
        <v>49</v>
      </c>
      <c r="C606" s="11" t="s">
        <v>1235</v>
      </c>
      <c r="D606" s="11" t="s">
        <v>1236</v>
      </c>
      <c r="E606" s="11">
        <v>8</v>
      </c>
      <c r="F606" s="136">
        <v>39592</v>
      </c>
      <c r="G606" s="135" t="s">
        <v>1237</v>
      </c>
      <c r="H606" s="135">
        <v>6266204470</v>
      </c>
      <c r="I606" s="135" t="s">
        <v>1238</v>
      </c>
      <c r="J606" s="137">
        <v>44365</v>
      </c>
      <c r="K606" s="135" t="s">
        <v>691</v>
      </c>
      <c r="L606" s="135" t="s">
        <v>589</v>
      </c>
      <c r="M606" s="135"/>
      <c r="N606" s="11" t="s">
        <v>35</v>
      </c>
      <c r="O606" s="136">
        <v>44531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ht="15.75" hidden="1" customHeight="1" x14ac:dyDescent="0.35">
      <c r="A607" s="138">
        <v>1</v>
      </c>
      <c r="B607" s="138" t="s">
        <v>49</v>
      </c>
      <c r="C607" s="139" t="s">
        <v>134</v>
      </c>
      <c r="D607" s="139" t="s">
        <v>135</v>
      </c>
      <c r="E607" s="139" t="s">
        <v>149</v>
      </c>
      <c r="F607" s="140">
        <v>41393</v>
      </c>
      <c r="G607" s="141" t="s">
        <v>1016</v>
      </c>
      <c r="H607" s="141" t="s">
        <v>137</v>
      </c>
      <c r="I607" s="141" t="s">
        <v>138</v>
      </c>
      <c r="J607" s="142">
        <v>44440</v>
      </c>
      <c r="K607" s="141" t="s">
        <v>1185</v>
      </c>
      <c r="L607" s="141" t="s">
        <v>801</v>
      </c>
      <c r="M607" s="141" t="s">
        <v>65</v>
      </c>
      <c r="N607" s="139" t="s">
        <v>35</v>
      </c>
      <c r="O607" s="140">
        <v>44561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ht="15.75" hidden="1" customHeight="1" x14ac:dyDescent="0.35">
      <c r="A608" s="138">
        <v>2</v>
      </c>
      <c r="B608" s="138" t="s">
        <v>89</v>
      </c>
      <c r="C608" s="139" t="s">
        <v>501</v>
      </c>
      <c r="D608" s="139" t="s">
        <v>590</v>
      </c>
      <c r="E608" s="139">
        <v>9</v>
      </c>
      <c r="F608" s="140">
        <v>39356</v>
      </c>
      <c r="G608" s="141" t="s">
        <v>1239</v>
      </c>
      <c r="H608" s="141">
        <v>4154253822</v>
      </c>
      <c r="I608" s="141" t="s">
        <v>1240</v>
      </c>
      <c r="J608" s="142">
        <v>44363</v>
      </c>
      <c r="K608" s="141" t="s">
        <v>251</v>
      </c>
      <c r="L608" s="141" t="s">
        <v>994</v>
      </c>
      <c r="M608" s="141"/>
      <c r="N608" s="139" t="s">
        <v>35</v>
      </c>
      <c r="O608" s="140">
        <v>44561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5.75" hidden="1" customHeight="1" x14ac:dyDescent="0.35">
      <c r="A609" s="138">
        <v>3</v>
      </c>
      <c r="B609" s="138" t="s">
        <v>49</v>
      </c>
      <c r="C609" s="139" t="s">
        <v>313</v>
      </c>
      <c r="D609" s="139" t="s">
        <v>1241</v>
      </c>
      <c r="E609" s="139">
        <v>5</v>
      </c>
      <c r="F609" s="140">
        <v>40809</v>
      </c>
      <c r="G609" s="141" t="s">
        <v>1242</v>
      </c>
      <c r="H609" s="141">
        <v>5102060413</v>
      </c>
      <c r="I609" s="141" t="s">
        <v>1243</v>
      </c>
      <c r="J609" s="142" t="s">
        <v>1244</v>
      </c>
      <c r="K609" s="141" t="s">
        <v>112</v>
      </c>
      <c r="L609" s="141" t="s">
        <v>994</v>
      </c>
      <c r="M609" s="141" t="s">
        <v>1245</v>
      </c>
      <c r="N609" s="139" t="s">
        <v>35</v>
      </c>
      <c r="O609" s="140">
        <v>44561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5.75" hidden="1" customHeight="1" x14ac:dyDescent="0.35">
      <c r="A610" s="138">
        <v>4</v>
      </c>
      <c r="B610" s="138" t="s">
        <v>89</v>
      </c>
      <c r="C610" s="139" t="s">
        <v>313</v>
      </c>
      <c r="D610" s="139" t="s">
        <v>1241</v>
      </c>
      <c r="E610" s="139">
        <v>5</v>
      </c>
      <c r="F610" s="140">
        <v>40809</v>
      </c>
      <c r="G610" s="141" t="s">
        <v>1242</v>
      </c>
      <c r="H610" s="141">
        <v>5102060413</v>
      </c>
      <c r="I610" s="141" t="s">
        <v>1243</v>
      </c>
      <c r="J610" s="142" t="s">
        <v>1244</v>
      </c>
      <c r="K610" s="141" t="s">
        <v>132</v>
      </c>
      <c r="L610" s="141" t="s">
        <v>994</v>
      </c>
      <c r="M610" s="141" t="s">
        <v>1245</v>
      </c>
      <c r="N610" s="139" t="s">
        <v>35</v>
      </c>
      <c r="O610" s="140">
        <v>44561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5.75" hidden="1" customHeight="1" x14ac:dyDescent="0.35">
      <c r="A611" s="138">
        <v>5</v>
      </c>
      <c r="B611" s="138" t="s">
        <v>49</v>
      </c>
      <c r="C611" s="139" t="s">
        <v>494</v>
      </c>
      <c r="D611" s="139" t="s">
        <v>1246</v>
      </c>
      <c r="E611" s="139">
        <v>4</v>
      </c>
      <c r="F611" s="140">
        <v>40606</v>
      </c>
      <c r="G611" s="141" t="s">
        <v>1247</v>
      </c>
      <c r="H611" s="141">
        <v>4084317935</v>
      </c>
      <c r="I611" s="141" t="s">
        <v>1248</v>
      </c>
      <c r="J611" s="142">
        <v>43984</v>
      </c>
      <c r="K611" s="141" t="s">
        <v>384</v>
      </c>
      <c r="L611" s="141" t="s">
        <v>950</v>
      </c>
      <c r="M611" s="141"/>
      <c r="N611" s="139" t="s">
        <v>35</v>
      </c>
      <c r="O611" s="140">
        <v>44561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5.75" hidden="1" customHeight="1" x14ac:dyDescent="0.35">
      <c r="A612" s="138">
        <v>6</v>
      </c>
      <c r="B612" s="138" t="s">
        <v>89</v>
      </c>
      <c r="C612" s="139" t="s">
        <v>494</v>
      </c>
      <c r="D612" s="139" t="s">
        <v>1246</v>
      </c>
      <c r="E612" s="139">
        <v>4</v>
      </c>
      <c r="F612" s="140">
        <v>40606</v>
      </c>
      <c r="G612" s="141" t="s">
        <v>1247</v>
      </c>
      <c r="H612" s="141">
        <v>4084317935</v>
      </c>
      <c r="I612" s="141" t="s">
        <v>1248</v>
      </c>
      <c r="J612" s="142">
        <v>44348</v>
      </c>
      <c r="K612" s="141" t="s">
        <v>251</v>
      </c>
      <c r="L612" s="141" t="s">
        <v>1145</v>
      </c>
      <c r="M612" s="141"/>
      <c r="N612" s="139" t="s">
        <v>35</v>
      </c>
      <c r="O612" s="140">
        <v>44561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5.75" hidden="1" customHeight="1" x14ac:dyDescent="0.35">
      <c r="A613" s="138">
        <v>7</v>
      </c>
      <c r="B613" s="138" t="s">
        <v>49</v>
      </c>
      <c r="C613" s="139" t="s">
        <v>313</v>
      </c>
      <c r="D613" s="139" t="s">
        <v>111</v>
      </c>
      <c r="E613" s="139">
        <v>5</v>
      </c>
      <c r="F613" s="140">
        <v>40809</v>
      </c>
      <c r="G613" s="141" t="s">
        <v>1242</v>
      </c>
      <c r="H613" s="141">
        <v>5102060413</v>
      </c>
      <c r="I613" s="141" t="s">
        <v>1243</v>
      </c>
      <c r="J613" s="142" t="s">
        <v>1244</v>
      </c>
      <c r="K613" s="141" t="s">
        <v>112</v>
      </c>
      <c r="L613" s="141" t="s">
        <v>994</v>
      </c>
      <c r="M613" s="141" t="s">
        <v>1245</v>
      </c>
      <c r="N613" s="139" t="s">
        <v>35</v>
      </c>
      <c r="O613" s="140">
        <v>44561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5.75" hidden="1" customHeight="1" x14ac:dyDescent="0.35">
      <c r="A614" s="138">
        <v>8</v>
      </c>
      <c r="B614" s="138" t="s">
        <v>89</v>
      </c>
      <c r="C614" s="139" t="s">
        <v>313</v>
      </c>
      <c r="D614" s="139" t="s">
        <v>111</v>
      </c>
      <c r="E614" s="139">
        <v>5</v>
      </c>
      <c r="F614" s="140">
        <v>40809</v>
      </c>
      <c r="G614" s="141" t="s">
        <v>1242</v>
      </c>
      <c r="H614" s="141">
        <v>5102060413</v>
      </c>
      <c r="I614" s="141" t="s">
        <v>1243</v>
      </c>
      <c r="J614" s="142" t="s">
        <v>1244</v>
      </c>
      <c r="K614" s="141" t="s">
        <v>132</v>
      </c>
      <c r="L614" s="141" t="s">
        <v>994</v>
      </c>
      <c r="M614" s="141" t="s">
        <v>1245</v>
      </c>
      <c r="N614" s="139" t="s">
        <v>35</v>
      </c>
      <c r="O614" s="140">
        <v>44561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5.75" hidden="1" customHeight="1" x14ac:dyDescent="0.35">
      <c r="A615" s="134">
        <v>1</v>
      </c>
      <c r="B615" s="134" t="s">
        <v>49</v>
      </c>
      <c r="C615" s="11" t="s">
        <v>1249</v>
      </c>
      <c r="D615" s="11" t="s">
        <v>1250</v>
      </c>
      <c r="E615" s="11">
        <v>2</v>
      </c>
      <c r="F615" s="136">
        <v>41461</v>
      </c>
      <c r="G615" s="135"/>
      <c r="H615" s="135">
        <v>9132128680</v>
      </c>
      <c r="I615" s="135" t="s">
        <v>1251</v>
      </c>
      <c r="J615" s="137">
        <v>44106</v>
      </c>
      <c r="K615" s="135" t="s">
        <v>112</v>
      </c>
      <c r="L615" s="135" t="s">
        <v>950</v>
      </c>
      <c r="M615" s="135" t="s">
        <v>1252</v>
      </c>
      <c r="N615" s="11" t="s">
        <v>35</v>
      </c>
      <c r="O615" s="136">
        <v>44562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5.75" hidden="1" customHeight="1" x14ac:dyDescent="0.35">
      <c r="A616" s="134">
        <v>2</v>
      </c>
      <c r="B616" s="134" t="s">
        <v>89</v>
      </c>
      <c r="C616" s="11" t="s">
        <v>1249</v>
      </c>
      <c r="D616" s="11" t="s">
        <v>1250</v>
      </c>
      <c r="E616" s="11">
        <v>2</v>
      </c>
      <c r="F616" s="136">
        <v>41461</v>
      </c>
      <c r="G616" s="135"/>
      <c r="H616" s="135">
        <v>9132128680</v>
      </c>
      <c r="I616" s="135" t="s">
        <v>1251</v>
      </c>
      <c r="J616" s="137">
        <v>44106</v>
      </c>
      <c r="K616" s="135" t="s">
        <v>132</v>
      </c>
      <c r="L616" s="135" t="s">
        <v>950</v>
      </c>
      <c r="M616" s="135" t="s">
        <v>1252</v>
      </c>
      <c r="N616" s="11" t="s">
        <v>35</v>
      </c>
      <c r="O616" s="136">
        <v>44562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5.75" hidden="1" customHeight="1" x14ac:dyDescent="0.35">
      <c r="A617" s="134">
        <v>3</v>
      </c>
      <c r="B617" s="134" t="s">
        <v>49</v>
      </c>
      <c r="C617" s="11" t="s">
        <v>1253</v>
      </c>
      <c r="D617" s="11" t="s">
        <v>1254</v>
      </c>
      <c r="E617" s="11">
        <v>2</v>
      </c>
      <c r="F617" s="136">
        <v>41584</v>
      </c>
      <c r="G617" s="135" t="s">
        <v>1255</v>
      </c>
      <c r="H617" s="135">
        <v>3035027611</v>
      </c>
      <c r="I617" s="135" t="s">
        <v>1256</v>
      </c>
      <c r="J617" s="137">
        <v>44351</v>
      </c>
      <c r="K617" s="135" t="s">
        <v>161</v>
      </c>
      <c r="L617" s="135" t="s">
        <v>1006</v>
      </c>
      <c r="M617" s="135" t="s">
        <v>1257</v>
      </c>
      <c r="N617" s="11" t="s">
        <v>35</v>
      </c>
      <c r="O617" s="136">
        <v>44562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5.75" hidden="1" customHeight="1" x14ac:dyDescent="0.35">
      <c r="A618" s="134">
        <v>4</v>
      </c>
      <c r="B618" s="134" t="s">
        <v>89</v>
      </c>
      <c r="C618" s="11" t="s">
        <v>1253</v>
      </c>
      <c r="D618" s="11" t="s">
        <v>1254</v>
      </c>
      <c r="E618" s="11">
        <v>2</v>
      </c>
      <c r="F618" s="136">
        <v>41584</v>
      </c>
      <c r="G618" s="135" t="s">
        <v>1255</v>
      </c>
      <c r="H618" s="135">
        <v>3035027611</v>
      </c>
      <c r="I618" s="135" t="s">
        <v>1256</v>
      </c>
      <c r="J618" s="137">
        <v>44351</v>
      </c>
      <c r="K618" s="135" t="s">
        <v>163</v>
      </c>
      <c r="L618" s="135" t="s">
        <v>994</v>
      </c>
      <c r="M618" s="135" t="s">
        <v>1257</v>
      </c>
      <c r="N618" s="11" t="s">
        <v>35</v>
      </c>
      <c r="O618" s="136">
        <v>44562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5.75" hidden="1" customHeight="1" x14ac:dyDescent="0.35">
      <c r="A619" s="134">
        <v>5</v>
      </c>
      <c r="B619" s="134" t="s">
        <v>49</v>
      </c>
      <c r="C619" s="11" t="s">
        <v>1258</v>
      </c>
      <c r="D619" s="11" t="s">
        <v>1259</v>
      </c>
      <c r="E619" s="11">
        <v>2</v>
      </c>
      <c r="F619" s="136" t="s">
        <v>1260</v>
      </c>
      <c r="G619" s="135" t="s">
        <v>1261</v>
      </c>
      <c r="H619" s="135">
        <v>4082621626</v>
      </c>
      <c r="I619" s="135" t="s">
        <v>1262</v>
      </c>
      <c r="J619" s="137" t="s">
        <v>690</v>
      </c>
      <c r="K619" s="135" t="s">
        <v>212</v>
      </c>
      <c r="L619" s="135" t="s">
        <v>589</v>
      </c>
      <c r="M619" s="135" t="s">
        <v>1263</v>
      </c>
      <c r="N619" s="11" t="s">
        <v>35</v>
      </c>
      <c r="O619" s="136">
        <v>44562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5.75" hidden="1" customHeight="1" x14ac:dyDescent="0.35">
      <c r="A620" s="134">
        <v>6</v>
      </c>
      <c r="B620" s="134" t="s">
        <v>89</v>
      </c>
      <c r="C620" s="11" t="s">
        <v>1258</v>
      </c>
      <c r="D620" s="11" t="s">
        <v>1259</v>
      </c>
      <c r="E620" s="11">
        <v>2</v>
      </c>
      <c r="F620" s="136" t="s">
        <v>1260</v>
      </c>
      <c r="G620" s="135" t="s">
        <v>1261</v>
      </c>
      <c r="H620" s="135">
        <v>4082621626</v>
      </c>
      <c r="I620" s="135" t="s">
        <v>1262</v>
      </c>
      <c r="J620" s="137" t="s">
        <v>690</v>
      </c>
      <c r="K620" s="135" t="s">
        <v>155</v>
      </c>
      <c r="L620" s="135" t="s">
        <v>589</v>
      </c>
      <c r="M620" s="135" t="s">
        <v>1263</v>
      </c>
      <c r="N620" s="11" t="s">
        <v>35</v>
      </c>
      <c r="O620" s="136">
        <v>44562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5.75" hidden="1" customHeight="1" x14ac:dyDescent="0.35">
      <c r="A621" s="134">
        <v>7</v>
      </c>
      <c r="B621" s="134" t="s">
        <v>49</v>
      </c>
      <c r="C621" s="11" t="s">
        <v>266</v>
      </c>
      <c r="D621" s="11" t="s">
        <v>1264</v>
      </c>
      <c r="E621" s="11">
        <v>2</v>
      </c>
      <c r="F621" s="136">
        <v>41947</v>
      </c>
      <c r="G621" s="135" t="s">
        <v>1265</v>
      </c>
      <c r="H621" s="135">
        <v>3107757104</v>
      </c>
      <c r="I621" s="135" t="s">
        <v>1266</v>
      </c>
      <c r="J621" s="137" t="s">
        <v>1244</v>
      </c>
      <c r="K621" s="135" t="s">
        <v>202</v>
      </c>
      <c r="L621" s="135" t="s">
        <v>950</v>
      </c>
      <c r="M621" s="135"/>
      <c r="N621" s="11" t="s">
        <v>35</v>
      </c>
      <c r="O621" s="136">
        <v>44562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5.75" hidden="1" customHeight="1" x14ac:dyDescent="0.35">
      <c r="A622" s="134">
        <v>8</v>
      </c>
      <c r="B622" s="134" t="s">
        <v>89</v>
      </c>
      <c r="C622" s="11" t="s">
        <v>266</v>
      </c>
      <c r="D622" s="11" t="s">
        <v>1264</v>
      </c>
      <c r="E622" s="11">
        <v>2</v>
      </c>
      <c r="F622" s="136">
        <v>41947</v>
      </c>
      <c r="G622" s="135" t="s">
        <v>1265</v>
      </c>
      <c r="H622" s="135">
        <v>3107757104</v>
      </c>
      <c r="I622" s="135" t="s">
        <v>1266</v>
      </c>
      <c r="J622" s="137" t="s">
        <v>1244</v>
      </c>
      <c r="K622" s="135" t="s">
        <v>124</v>
      </c>
      <c r="L622" s="135" t="s">
        <v>950</v>
      </c>
      <c r="M622" s="135"/>
      <c r="N622" s="11" t="s">
        <v>35</v>
      </c>
      <c r="O622" s="136">
        <v>44562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5.75" hidden="1" customHeight="1" x14ac:dyDescent="0.35">
      <c r="A623" s="134">
        <v>9</v>
      </c>
      <c r="B623" s="134" t="s">
        <v>49</v>
      </c>
      <c r="C623" s="11" t="s">
        <v>1267</v>
      </c>
      <c r="D623" s="11" t="s">
        <v>1268</v>
      </c>
      <c r="E623" s="11">
        <v>1</v>
      </c>
      <c r="F623" s="136">
        <v>42178</v>
      </c>
      <c r="G623" s="135" t="s">
        <v>1269</v>
      </c>
      <c r="H623" s="135">
        <v>6692331853</v>
      </c>
      <c r="I623" s="135" t="s">
        <v>1270</v>
      </c>
      <c r="J623" s="137" t="s">
        <v>1244</v>
      </c>
      <c r="K623" s="135" t="s">
        <v>182</v>
      </c>
      <c r="L623" s="135" t="s">
        <v>950</v>
      </c>
      <c r="M623" s="135" t="s">
        <v>1271</v>
      </c>
      <c r="N623" s="11" t="s">
        <v>35</v>
      </c>
      <c r="O623" s="136">
        <v>44562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5.75" hidden="1" customHeight="1" x14ac:dyDescent="0.35">
      <c r="A624" s="143">
        <v>1</v>
      </c>
      <c r="B624" s="143" t="s">
        <v>89</v>
      </c>
      <c r="C624" s="144" t="s">
        <v>191</v>
      </c>
      <c r="D624" s="144" t="s">
        <v>1272</v>
      </c>
      <c r="E624" s="144">
        <v>6</v>
      </c>
      <c r="F624" s="145">
        <v>40461</v>
      </c>
      <c r="G624" s="146" t="s">
        <v>1273</v>
      </c>
      <c r="H624" s="146" t="s">
        <v>1274</v>
      </c>
      <c r="I624" s="146" t="s">
        <v>1275</v>
      </c>
      <c r="J624" s="147">
        <v>44518</v>
      </c>
      <c r="K624" s="146" t="s">
        <v>167</v>
      </c>
      <c r="L624" s="146" t="s">
        <v>950</v>
      </c>
      <c r="M624" s="146"/>
      <c r="N624" s="144" t="s">
        <v>35</v>
      </c>
      <c r="O624" s="145">
        <v>44593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5.75" hidden="1" customHeight="1" x14ac:dyDescent="0.35">
      <c r="A625" s="143">
        <v>2</v>
      </c>
      <c r="B625" s="143" t="s">
        <v>49</v>
      </c>
      <c r="C625" s="144" t="s">
        <v>469</v>
      </c>
      <c r="D625" s="144" t="s">
        <v>1050</v>
      </c>
      <c r="E625" s="144">
        <v>2</v>
      </c>
      <c r="F625" s="145">
        <v>41953</v>
      </c>
      <c r="G625" s="146" t="s">
        <v>1276</v>
      </c>
      <c r="H625" s="146">
        <v>6464205298</v>
      </c>
      <c r="I625" s="146" t="s">
        <v>1052</v>
      </c>
      <c r="J625" s="147">
        <v>44431</v>
      </c>
      <c r="K625" s="146" t="s">
        <v>161</v>
      </c>
      <c r="L625" s="146" t="s">
        <v>939</v>
      </c>
      <c r="M625" s="146"/>
      <c r="N625" s="144" t="s">
        <v>35</v>
      </c>
      <c r="O625" s="145">
        <v>44593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5.75" hidden="1" customHeight="1" x14ac:dyDescent="0.35">
      <c r="A626" s="148">
        <v>1</v>
      </c>
      <c r="B626" s="149" t="s">
        <v>49</v>
      </c>
      <c r="C626" s="150" t="s">
        <v>1277</v>
      </c>
      <c r="D626" s="150" t="s">
        <v>1278</v>
      </c>
      <c r="E626" s="150">
        <v>9</v>
      </c>
      <c r="F626" s="151">
        <v>38959</v>
      </c>
      <c r="G626" s="152" t="s">
        <v>1279</v>
      </c>
      <c r="H626" s="153" t="s">
        <v>1280</v>
      </c>
      <c r="I626" s="153" t="s">
        <v>1281</v>
      </c>
      <c r="J626" s="154">
        <v>44348</v>
      </c>
      <c r="K626" s="153" t="s">
        <v>417</v>
      </c>
      <c r="L626" s="153" t="s">
        <v>950</v>
      </c>
      <c r="M626" s="153"/>
      <c r="N626" s="150" t="s">
        <v>35</v>
      </c>
      <c r="O626" s="151">
        <v>44621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5.75" hidden="1" customHeight="1" x14ac:dyDescent="0.35">
      <c r="A627" s="148">
        <v>2</v>
      </c>
      <c r="B627" s="149" t="s">
        <v>49</v>
      </c>
      <c r="C627" s="150" t="s">
        <v>1282</v>
      </c>
      <c r="D627" s="150" t="s">
        <v>1283</v>
      </c>
      <c r="E627" s="150">
        <v>4</v>
      </c>
      <c r="F627" s="151">
        <v>41089</v>
      </c>
      <c r="G627" s="153" t="s">
        <v>1284</v>
      </c>
      <c r="H627" s="153">
        <v>9168657621</v>
      </c>
      <c r="I627" s="153" t="s">
        <v>1285</v>
      </c>
      <c r="J627" s="154">
        <v>44516</v>
      </c>
      <c r="K627" s="153" t="s">
        <v>112</v>
      </c>
      <c r="L627" s="153" t="s">
        <v>589</v>
      </c>
      <c r="M627" s="153"/>
      <c r="N627" s="150" t="s">
        <v>35</v>
      </c>
      <c r="O627" s="151">
        <v>44621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5.75" hidden="1" customHeight="1" x14ac:dyDescent="0.35">
      <c r="A628" s="148">
        <v>3</v>
      </c>
      <c r="B628" s="149" t="s">
        <v>89</v>
      </c>
      <c r="C628" s="150" t="s">
        <v>1282</v>
      </c>
      <c r="D628" s="150" t="s">
        <v>1283</v>
      </c>
      <c r="E628" s="150">
        <v>4</v>
      </c>
      <c r="F628" s="151">
        <v>41089</v>
      </c>
      <c r="G628" s="153" t="s">
        <v>1284</v>
      </c>
      <c r="H628" s="153">
        <v>9168657621</v>
      </c>
      <c r="I628" s="153" t="s">
        <v>1285</v>
      </c>
      <c r="J628" s="154">
        <v>44516</v>
      </c>
      <c r="K628" s="153" t="s">
        <v>132</v>
      </c>
      <c r="L628" s="153" t="s">
        <v>994</v>
      </c>
      <c r="M628" s="153"/>
      <c r="N628" s="150" t="s">
        <v>35</v>
      </c>
      <c r="O628" s="151">
        <v>44621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5.75" hidden="1" customHeight="1" x14ac:dyDescent="0.35">
      <c r="A629" s="155">
        <v>1</v>
      </c>
      <c r="B629" s="156" t="s">
        <v>89</v>
      </c>
      <c r="C629" s="156" t="s">
        <v>1286</v>
      </c>
      <c r="D629" s="156" t="s">
        <v>1287</v>
      </c>
      <c r="E629" s="157">
        <v>4</v>
      </c>
      <c r="F629" s="158">
        <v>40898</v>
      </c>
      <c r="G629" s="159" t="s">
        <v>1288</v>
      </c>
      <c r="H629" s="160">
        <v>4087991358</v>
      </c>
      <c r="I629" s="160" t="s">
        <v>1289</v>
      </c>
      <c r="J629" s="161">
        <v>44646</v>
      </c>
      <c r="K629" s="162" t="s">
        <v>132</v>
      </c>
      <c r="L629" s="162" t="s">
        <v>801</v>
      </c>
      <c r="M629" s="159"/>
      <c r="N629" s="156" t="s">
        <v>35</v>
      </c>
      <c r="O629" s="158">
        <v>44652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5.75" hidden="1" customHeight="1" x14ac:dyDescent="0.35">
      <c r="A630" s="155">
        <v>2</v>
      </c>
      <c r="B630" s="155" t="s">
        <v>49</v>
      </c>
      <c r="C630" s="156" t="s">
        <v>1290</v>
      </c>
      <c r="D630" s="156" t="s">
        <v>1291</v>
      </c>
      <c r="E630" s="156">
        <v>7</v>
      </c>
      <c r="F630" s="158">
        <v>39731</v>
      </c>
      <c r="G630" s="159" t="s">
        <v>1292</v>
      </c>
      <c r="H630" s="159">
        <v>4088963505</v>
      </c>
      <c r="I630" s="159" t="s">
        <v>1293</v>
      </c>
      <c r="J630" s="161">
        <v>44424</v>
      </c>
      <c r="K630" s="159" t="s">
        <v>130</v>
      </c>
      <c r="L630" s="159" t="s">
        <v>589</v>
      </c>
      <c r="M630" s="159"/>
      <c r="N630" s="156" t="s">
        <v>35</v>
      </c>
      <c r="O630" s="158">
        <v>44652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5.75" hidden="1" customHeight="1" x14ac:dyDescent="0.35">
      <c r="A631" s="155">
        <v>3</v>
      </c>
      <c r="B631" s="155" t="s">
        <v>89</v>
      </c>
      <c r="C631" s="156" t="s">
        <v>1290</v>
      </c>
      <c r="D631" s="156" t="s">
        <v>1291</v>
      </c>
      <c r="E631" s="156">
        <v>7</v>
      </c>
      <c r="F631" s="158">
        <v>39731</v>
      </c>
      <c r="G631" s="159" t="s">
        <v>1292</v>
      </c>
      <c r="H631" s="159">
        <v>4088963505</v>
      </c>
      <c r="I631" s="159" t="s">
        <v>1293</v>
      </c>
      <c r="J631" s="161">
        <v>44424</v>
      </c>
      <c r="K631" s="159" t="s">
        <v>132</v>
      </c>
      <c r="L631" s="159" t="s">
        <v>640</v>
      </c>
      <c r="M631" s="159"/>
      <c r="N631" s="156" t="s">
        <v>35</v>
      </c>
      <c r="O631" s="158">
        <v>44652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5.75" hidden="1" customHeight="1" x14ac:dyDescent="0.35">
      <c r="A632" s="155">
        <v>4</v>
      </c>
      <c r="B632" s="155" t="s">
        <v>49</v>
      </c>
      <c r="C632" s="156" t="s">
        <v>1294</v>
      </c>
      <c r="D632" s="156" t="s">
        <v>1295</v>
      </c>
      <c r="E632" s="156" t="s">
        <v>273</v>
      </c>
      <c r="F632" s="158">
        <v>42901</v>
      </c>
      <c r="G632" s="159" t="s">
        <v>1296</v>
      </c>
      <c r="H632" s="159">
        <v>5109998899</v>
      </c>
      <c r="I632" s="159" t="s">
        <v>1297</v>
      </c>
      <c r="J632" s="161">
        <v>44440</v>
      </c>
      <c r="K632" s="159" t="s">
        <v>182</v>
      </c>
      <c r="L632" s="159" t="s">
        <v>589</v>
      </c>
      <c r="M632" s="159" t="s">
        <v>1298</v>
      </c>
      <c r="N632" s="156" t="s">
        <v>35</v>
      </c>
      <c r="O632" s="158">
        <v>44652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5.75" hidden="1" customHeight="1" x14ac:dyDescent="0.35">
      <c r="A633" s="155">
        <v>5</v>
      </c>
      <c r="B633" s="155" t="s">
        <v>49</v>
      </c>
      <c r="C633" s="156" t="s">
        <v>1299</v>
      </c>
      <c r="D633" s="156" t="s">
        <v>1300</v>
      </c>
      <c r="E633" s="156">
        <v>4</v>
      </c>
      <c r="F633" s="158">
        <v>40925</v>
      </c>
      <c r="G633" s="159" t="s">
        <v>1301</v>
      </c>
      <c r="H633" s="159">
        <v>7133014935</v>
      </c>
      <c r="I633" s="159" t="s">
        <v>1302</v>
      </c>
      <c r="J633" s="161">
        <v>44427</v>
      </c>
      <c r="K633" s="159" t="s">
        <v>130</v>
      </c>
      <c r="L633" s="159" t="s">
        <v>950</v>
      </c>
      <c r="M633" s="159"/>
      <c r="N633" s="156" t="s">
        <v>35</v>
      </c>
      <c r="O633" s="158">
        <v>44652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5.75" hidden="1" customHeight="1" x14ac:dyDescent="0.35">
      <c r="A634" s="155">
        <v>6</v>
      </c>
      <c r="B634" s="155" t="s">
        <v>89</v>
      </c>
      <c r="C634" s="156" t="s">
        <v>1299</v>
      </c>
      <c r="D634" s="156" t="s">
        <v>1300</v>
      </c>
      <c r="E634" s="156">
        <v>4</v>
      </c>
      <c r="F634" s="158">
        <v>40925</v>
      </c>
      <c r="G634" s="159" t="s">
        <v>1301</v>
      </c>
      <c r="H634" s="159">
        <v>7133014935</v>
      </c>
      <c r="I634" s="159" t="s">
        <v>1302</v>
      </c>
      <c r="J634" s="161">
        <v>44427</v>
      </c>
      <c r="K634" s="159" t="s">
        <v>167</v>
      </c>
      <c r="L634" s="159" t="s">
        <v>744</v>
      </c>
      <c r="M634" s="159"/>
      <c r="N634" s="156" t="s">
        <v>35</v>
      </c>
      <c r="O634" s="158">
        <v>44652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5.75" hidden="1" customHeight="1" x14ac:dyDescent="0.35">
      <c r="A635" s="155">
        <v>7</v>
      </c>
      <c r="B635" s="155" t="s">
        <v>49</v>
      </c>
      <c r="C635" s="156" t="s">
        <v>1299</v>
      </c>
      <c r="D635" s="156" t="s">
        <v>1303</v>
      </c>
      <c r="E635" s="156">
        <v>4</v>
      </c>
      <c r="F635" s="158">
        <v>40925</v>
      </c>
      <c r="G635" s="159" t="s">
        <v>1301</v>
      </c>
      <c r="H635" s="159">
        <v>7133014935</v>
      </c>
      <c r="I635" s="159" t="s">
        <v>1302</v>
      </c>
      <c r="J635" s="161">
        <v>44427</v>
      </c>
      <c r="K635" s="159" t="s">
        <v>109</v>
      </c>
      <c r="L635" s="159" t="s">
        <v>1145</v>
      </c>
      <c r="M635" s="159"/>
      <c r="N635" s="156" t="s">
        <v>35</v>
      </c>
      <c r="O635" s="158">
        <v>44652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5.75" hidden="1" customHeight="1" x14ac:dyDescent="0.35">
      <c r="A636" s="155">
        <v>8</v>
      </c>
      <c r="B636" s="155" t="s">
        <v>89</v>
      </c>
      <c r="C636" s="156" t="s">
        <v>1299</v>
      </c>
      <c r="D636" s="156" t="s">
        <v>1303</v>
      </c>
      <c r="E636" s="156">
        <v>4</v>
      </c>
      <c r="F636" s="158">
        <v>40925</v>
      </c>
      <c r="G636" s="159" t="s">
        <v>1301</v>
      </c>
      <c r="H636" s="159">
        <v>7133014935</v>
      </c>
      <c r="I636" s="159" t="s">
        <v>1302</v>
      </c>
      <c r="J636" s="161">
        <v>44427</v>
      </c>
      <c r="K636" s="159" t="s">
        <v>167</v>
      </c>
      <c r="L636" s="159" t="s">
        <v>744</v>
      </c>
      <c r="M636" s="159"/>
      <c r="N636" s="156" t="s">
        <v>35</v>
      </c>
      <c r="O636" s="158">
        <v>44652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5.75" hidden="1" customHeight="1" x14ac:dyDescent="0.35">
      <c r="A637" s="148">
        <v>1</v>
      </c>
      <c r="B637" s="149" t="s">
        <v>49</v>
      </c>
      <c r="C637" s="150" t="s">
        <v>1147</v>
      </c>
      <c r="D637" s="150" t="s">
        <v>1148</v>
      </c>
      <c r="E637" s="150">
        <v>6</v>
      </c>
      <c r="F637" s="151">
        <v>40321</v>
      </c>
      <c r="G637" s="153" t="s">
        <v>1304</v>
      </c>
      <c r="H637" s="153">
        <v>4086747847</v>
      </c>
      <c r="I637" s="153" t="s">
        <v>1150</v>
      </c>
      <c r="J637" s="154" t="s">
        <v>1244</v>
      </c>
      <c r="K637" s="153" t="s">
        <v>384</v>
      </c>
      <c r="L637" s="153" t="s">
        <v>950</v>
      </c>
      <c r="M637" s="153" t="s">
        <v>951</v>
      </c>
      <c r="N637" s="150" t="s">
        <v>35</v>
      </c>
      <c r="O637" s="151">
        <v>44713</v>
      </c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  <c r="AG637" s="163"/>
      <c r="AH637" s="163"/>
      <c r="AI637" s="163"/>
      <c r="AJ637" s="163"/>
      <c r="AK637" s="163"/>
      <c r="AL637" s="163"/>
      <c r="AM637" s="163"/>
      <c r="AN637" s="163"/>
      <c r="AO637" s="163"/>
      <c r="AP637" s="163"/>
      <c r="AQ637" s="163"/>
      <c r="AR637" s="163"/>
      <c r="AS637" s="163"/>
      <c r="AT637" s="163"/>
    </row>
    <row r="638" spans="1:46" ht="15.75" hidden="1" customHeight="1" x14ac:dyDescent="0.35">
      <c r="A638" s="148">
        <v>2</v>
      </c>
      <c r="B638" s="149" t="s">
        <v>89</v>
      </c>
      <c r="C638" s="150" t="s">
        <v>1147</v>
      </c>
      <c r="D638" s="150" t="s">
        <v>1148</v>
      </c>
      <c r="E638" s="150">
        <v>6</v>
      </c>
      <c r="F638" s="151">
        <v>40321</v>
      </c>
      <c r="G638" s="153" t="s">
        <v>1304</v>
      </c>
      <c r="H638" s="153">
        <v>4086747847</v>
      </c>
      <c r="I638" s="153" t="s">
        <v>1150</v>
      </c>
      <c r="J638" s="154" t="s">
        <v>1244</v>
      </c>
      <c r="K638" s="153" t="s">
        <v>301</v>
      </c>
      <c r="L638" s="153" t="s">
        <v>950</v>
      </c>
      <c r="M638" s="153" t="s">
        <v>951</v>
      </c>
      <c r="N638" s="150" t="s">
        <v>35</v>
      </c>
      <c r="O638" s="151">
        <v>44713</v>
      </c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  <c r="AG638" s="163"/>
      <c r="AH638" s="163"/>
      <c r="AI638" s="163"/>
      <c r="AJ638" s="163"/>
      <c r="AK638" s="163"/>
      <c r="AL638" s="163"/>
      <c r="AM638" s="163"/>
      <c r="AN638" s="163"/>
      <c r="AO638" s="163"/>
      <c r="AP638" s="163"/>
      <c r="AQ638" s="163"/>
      <c r="AR638" s="163"/>
      <c r="AS638" s="163"/>
      <c r="AT638" s="163"/>
    </row>
    <row r="639" spans="1:46" ht="15.75" hidden="1" customHeight="1" x14ac:dyDescent="0.35">
      <c r="A639" s="148">
        <v>3</v>
      </c>
      <c r="B639" s="149" t="s">
        <v>49</v>
      </c>
      <c r="C639" s="150" t="s">
        <v>1159</v>
      </c>
      <c r="D639" s="150" t="s">
        <v>1160</v>
      </c>
      <c r="E639" s="150">
        <v>6</v>
      </c>
      <c r="F639" s="151">
        <v>40274</v>
      </c>
      <c r="G639" s="153" t="s">
        <v>1305</v>
      </c>
      <c r="H639" s="153">
        <v>4083408636</v>
      </c>
      <c r="I639" s="153" t="s">
        <v>1162</v>
      </c>
      <c r="J639" s="154" t="s">
        <v>1244</v>
      </c>
      <c r="K639" s="153" t="s">
        <v>109</v>
      </c>
      <c r="L639" s="153" t="s">
        <v>589</v>
      </c>
      <c r="M639" s="153" t="s">
        <v>951</v>
      </c>
      <c r="N639" s="150" t="s">
        <v>35</v>
      </c>
      <c r="O639" s="151">
        <v>44713</v>
      </c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  <c r="AG639" s="163"/>
      <c r="AH639" s="163"/>
      <c r="AI639" s="163"/>
      <c r="AJ639" s="163"/>
      <c r="AK639" s="163"/>
      <c r="AL639" s="163"/>
      <c r="AM639" s="163"/>
      <c r="AN639" s="163"/>
      <c r="AO639" s="163"/>
      <c r="AP639" s="163"/>
      <c r="AQ639" s="163"/>
      <c r="AR639" s="163"/>
      <c r="AS639" s="163"/>
      <c r="AT639" s="163"/>
    </row>
    <row r="640" spans="1:46" ht="15.75" hidden="1" customHeight="1" x14ac:dyDescent="0.35">
      <c r="A640" s="148">
        <v>4</v>
      </c>
      <c r="B640" s="149" t="s">
        <v>89</v>
      </c>
      <c r="C640" s="150" t="s">
        <v>1159</v>
      </c>
      <c r="D640" s="150" t="s">
        <v>1160</v>
      </c>
      <c r="E640" s="150">
        <v>6</v>
      </c>
      <c r="F640" s="151">
        <v>40274</v>
      </c>
      <c r="G640" s="153" t="s">
        <v>1305</v>
      </c>
      <c r="H640" s="153">
        <v>4083408636</v>
      </c>
      <c r="I640" s="153" t="s">
        <v>1162</v>
      </c>
      <c r="J640" s="154" t="s">
        <v>1244</v>
      </c>
      <c r="K640" s="153" t="s">
        <v>155</v>
      </c>
      <c r="L640" s="153" t="s">
        <v>1006</v>
      </c>
      <c r="M640" s="153" t="s">
        <v>951</v>
      </c>
      <c r="N640" s="150" t="s">
        <v>35</v>
      </c>
      <c r="O640" s="151">
        <v>44713</v>
      </c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  <c r="AG640" s="163"/>
      <c r="AH640" s="163"/>
      <c r="AI640" s="163"/>
      <c r="AJ640" s="163"/>
      <c r="AK640" s="163"/>
      <c r="AL640" s="163"/>
      <c r="AM640" s="163"/>
      <c r="AN640" s="163"/>
      <c r="AO640" s="163"/>
      <c r="AP640" s="163"/>
      <c r="AQ640" s="163"/>
      <c r="AR640" s="163"/>
      <c r="AS640" s="163"/>
      <c r="AT640" s="163"/>
    </row>
    <row r="641" spans="1:46" ht="15.75" hidden="1" customHeight="1" x14ac:dyDescent="0.35">
      <c r="A641" s="164">
        <v>1</v>
      </c>
      <c r="B641" s="164" t="s">
        <v>49</v>
      </c>
      <c r="C641" s="165" t="s">
        <v>636</v>
      </c>
      <c r="D641" s="165" t="s">
        <v>637</v>
      </c>
      <c r="E641" s="165">
        <v>4</v>
      </c>
      <c r="F641" s="166">
        <v>41186</v>
      </c>
      <c r="G641" s="167" t="s">
        <v>638</v>
      </c>
      <c r="H641" s="167">
        <v>4144583227</v>
      </c>
      <c r="I641" s="167" t="s">
        <v>639</v>
      </c>
      <c r="J641" s="168">
        <v>44517</v>
      </c>
      <c r="K641" s="167" t="s">
        <v>112</v>
      </c>
      <c r="L641" s="167" t="s">
        <v>950</v>
      </c>
      <c r="M641" s="167" t="s">
        <v>1306</v>
      </c>
      <c r="N641" s="165" t="s">
        <v>35</v>
      </c>
      <c r="O641" s="166">
        <v>44713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5.75" hidden="1" customHeight="1" x14ac:dyDescent="0.35">
      <c r="A642" s="164">
        <v>2</v>
      </c>
      <c r="B642" s="164" t="s">
        <v>89</v>
      </c>
      <c r="C642" s="165" t="s">
        <v>636</v>
      </c>
      <c r="D642" s="165" t="s">
        <v>637</v>
      </c>
      <c r="E642" s="165">
        <v>4</v>
      </c>
      <c r="F642" s="166">
        <v>41186</v>
      </c>
      <c r="G642" s="167" t="s">
        <v>638</v>
      </c>
      <c r="H642" s="167">
        <v>4144583227</v>
      </c>
      <c r="I642" s="167" t="s">
        <v>639</v>
      </c>
      <c r="J642" s="168">
        <v>44517</v>
      </c>
      <c r="K642" s="167" t="s">
        <v>120</v>
      </c>
      <c r="L642" s="167" t="s">
        <v>589</v>
      </c>
      <c r="M642" s="167" t="s">
        <v>1306</v>
      </c>
      <c r="N642" s="165" t="s">
        <v>35</v>
      </c>
      <c r="O642" s="166">
        <v>44713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5.75" hidden="1" customHeight="1" x14ac:dyDescent="0.35">
      <c r="A643" s="164">
        <v>3</v>
      </c>
      <c r="B643" s="164" t="s">
        <v>49</v>
      </c>
      <c r="C643" s="165" t="s">
        <v>1307</v>
      </c>
      <c r="D643" s="165" t="s">
        <v>1308</v>
      </c>
      <c r="E643" s="165">
        <v>1</v>
      </c>
      <c r="F643" s="166">
        <v>41922</v>
      </c>
      <c r="G643" s="167" t="s">
        <v>1309</v>
      </c>
      <c r="H643" s="167" t="s">
        <v>1310</v>
      </c>
      <c r="I643" s="167" t="s">
        <v>1311</v>
      </c>
      <c r="J643" s="168">
        <v>44426</v>
      </c>
      <c r="K643" s="167" t="s">
        <v>681</v>
      </c>
      <c r="L643" s="167" t="s">
        <v>950</v>
      </c>
      <c r="M643" s="167"/>
      <c r="N643" s="165" t="s">
        <v>35</v>
      </c>
      <c r="O643" s="166">
        <v>44713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5.75" hidden="1" customHeight="1" x14ac:dyDescent="0.35">
      <c r="A644" s="164">
        <v>4</v>
      </c>
      <c r="B644" s="164" t="s">
        <v>89</v>
      </c>
      <c r="C644" s="165" t="s">
        <v>1307</v>
      </c>
      <c r="D644" s="165" t="s">
        <v>1308</v>
      </c>
      <c r="E644" s="165">
        <v>1</v>
      </c>
      <c r="F644" s="166">
        <v>41922</v>
      </c>
      <c r="G644" s="167" t="s">
        <v>1309</v>
      </c>
      <c r="H644" s="167" t="s">
        <v>1310</v>
      </c>
      <c r="I644" s="167" t="s">
        <v>1311</v>
      </c>
      <c r="J644" s="168">
        <v>44426</v>
      </c>
      <c r="K644" s="167" t="s">
        <v>120</v>
      </c>
      <c r="L644" s="167" t="s">
        <v>589</v>
      </c>
      <c r="M644" s="167"/>
      <c r="N644" s="165" t="s">
        <v>35</v>
      </c>
      <c r="O644" s="166">
        <v>44713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5.75" hidden="1" customHeight="1" x14ac:dyDescent="0.35">
      <c r="A645" s="164">
        <v>5</v>
      </c>
      <c r="B645" s="164" t="s">
        <v>89</v>
      </c>
      <c r="C645" s="165" t="s">
        <v>973</v>
      </c>
      <c r="D645" s="165" t="s">
        <v>974</v>
      </c>
      <c r="E645" s="165">
        <v>6</v>
      </c>
      <c r="F645" s="166">
        <v>39827</v>
      </c>
      <c r="G645" s="167" t="s">
        <v>1312</v>
      </c>
      <c r="H645" s="167">
        <v>16504830611</v>
      </c>
      <c r="I645" s="167" t="s">
        <v>1100</v>
      </c>
      <c r="J645" s="168">
        <v>44440</v>
      </c>
      <c r="K645" s="167" t="s">
        <v>462</v>
      </c>
      <c r="L645" s="167" t="s">
        <v>589</v>
      </c>
      <c r="M645" s="167"/>
      <c r="N645" s="165" t="s">
        <v>35</v>
      </c>
      <c r="O645" s="166">
        <v>44713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5.75" hidden="1" customHeight="1" x14ac:dyDescent="0.35">
      <c r="A646" s="164">
        <v>6</v>
      </c>
      <c r="B646" s="164" t="s">
        <v>49</v>
      </c>
      <c r="C646" s="165" t="s">
        <v>453</v>
      </c>
      <c r="D646" s="165" t="s">
        <v>974</v>
      </c>
      <c r="E646" s="165" t="s">
        <v>180</v>
      </c>
      <c r="F646" s="166">
        <v>41870</v>
      </c>
      <c r="G646" s="167" t="s">
        <v>1152</v>
      </c>
      <c r="H646" s="167">
        <v>5103863740</v>
      </c>
      <c r="I646" s="167" t="s">
        <v>613</v>
      </c>
      <c r="J646" s="168">
        <v>44426</v>
      </c>
      <c r="K646" s="167" t="s">
        <v>161</v>
      </c>
      <c r="L646" s="167" t="s">
        <v>950</v>
      </c>
      <c r="M646" s="167" t="s">
        <v>1306</v>
      </c>
      <c r="N646" s="165" t="s">
        <v>35</v>
      </c>
      <c r="O646" s="166">
        <v>44713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5.75" hidden="1" customHeight="1" x14ac:dyDescent="0.35">
      <c r="A647" s="164">
        <v>7</v>
      </c>
      <c r="B647" s="164" t="s">
        <v>89</v>
      </c>
      <c r="C647" s="165" t="s">
        <v>453</v>
      </c>
      <c r="D647" s="165" t="s">
        <v>974</v>
      </c>
      <c r="E647" s="165" t="s">
        <v>180</v>
      </c>
      <c r="F647" s="166">
        <v>41870</v>
      </c>
      <c r="G647" s="167" t="s">
        <v>1152</v>
      </c>
      <c r="H647" s="167">
        <v>5103863740</v>
      </c>
      <c r="I647" s="167" t="s">
        <v>613</v>
      </c>
      <c r="J647" s="168">
        <v>44426</v>
      </c>
      <c r="K647" s="167" t="s">
        <v>163</v>
      </c>
      <c r="L647" s="167" t="s">
        <v>994</v>
      </c>
      <c r="M647" s="167" t="s">
        <v>1306</v>
      </c>
      <c r="N647" s="165" t="s">
        <v>35</v>
      </c>
      <c r="O647" s="166">
        <v>44713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5.75" hidden="1" customHeight="1" x14ac:dyDescent="0.35">
      <c r="A648" s="164">
        <v>8</v>
      </c>
      <c r="B648" s="164" t="s">
        <v>49</v>
      </c>
      <c r="C648" s="165" t="s">
        <v>1115</v>
      </c>
      <c r="D648" s="165" t="s">
        <v>1313</v>
      </c>
      <c r="E648" s="165" t="s">
        <v>180</v>
      </c>
      <c r="F648" s="166">
        <v>42633</v>
      </c>
      <c r="G648" s="167" t="s">
        <v>1314</v>
      </c>
      <c r="H648" s="167" t="s">
        <v>1315</v>
      </c>
      <c r="I648" s="167" t="s">
        <v>1316</v>
      </c>
      <c r="J648" s="168">
        <v>44536</v>
      </c>
      <c r="K648" s="167" t="s">
        <v>1317</v>
      </c>
      <c r="L648" s="167" t="s">
        <v>950</v>
      </c>
      <c r="M648" s="167" t="s">
        <v>1306</v>
      </c>
      <c r="N648" s="165" t="s">
        <v>35</v>
      </c>
      <c r="O648" s="166">
        <v>44713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5.75" hidden="1" customHeight="1" x14ac:dyDescent="0.35">
      <c r="A649" s="164">
        <v>9</v>
      </c>
      <c r="B649" s="164" t="s">
        <v>89</v>
      </c>
      <c r="C649" s="165" t="s">
        <v>1115</v>
      </c>
      <c r="D649" s="165" t="s">
        <v>1313</v>
      </c>
      <c r="E649" s="165" t="s">
        <v>180</v>
      </c>
      <c r="F649" s="166">
        <v>42633</v>
      </c>
      <c r="G649" s="167" t="s">
        <v>1314</v>
      </c>
      <c r="H649" s="167" t="s">
        <v>1315</v>
      </c>
      <c r="I649" s="167" t="s">
        <v>1316</v>
      </c>
      <c r="J649" s="168">
        <v>44536</v>
      </c>
      <c r="K649" s="167" t="s">
        <v>1318</v>
      </c>
      <c r="L649" s="167" t="s">
        <v>950</v>
      </c>
      <c r="M649" s="167" t="s">
        <v>1306</v>
      </c>
      <c r="N649" s="165" t="s">
        <v>35</v>
      </c>
      <c r="O649" s="166">
        <v>44713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5.75" hidden="1" customHeight="1" x14ac:dyDescent="0.35">
      <c r="A650" s="164">
        <v>10</v>
      </c>
      <c r="B650" s="164" t="s">
        <v>49</v>
      </c>
      <c r="C650" s="165" t="s">
        <v>358</v>
      </c>
      <c r="D650" s="165" t="s">
        <v>872</v>
      </c>
      <c r="E650" s="165">
        <v>5</v>
      </c>
      <c r="F650" s="166">
        <v>40477</v>
      </c>
      <c r="G650" s="167" t="s">
        <v>873</v>
      </c>
      <c r="H650" s="167" t="s">
        <v>874</v>
      </c>
      <c r="I650" s="167" t="s">
        <v>1319</v>
      </c>
      <c r="J650" s="168">
        <v>44531</v>
      </c>
      <c r="K650" s="167" t="s">
        <v>212</v>
      </c>
      <c r="L650" s="167" t="s">
        <v>640</v>
      </c>
      <c r="M650" s="167" t="s">
        <v>1320</v>
      </c>
      <c r="N650" s="165" t="s">
        <v>35</v>
      </c>
      <c r="O650" s="166">
        <v>44713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5.75" hidden="1" customHeight="1" x14ac:dyDescent="0.35">
      <c r="A651" s="164">
        <v>11</v>
      </c>
      <c r="B651" s="164" t="s">
        <v>89</v>
      </c>
      <c r="C651" s="165" t="s">
        <v>358</v>
      </c>
      <c r="D651" s="165" t="s">
        <v>872</v>
      </c>
      <c r="E651" s="165">
        <v>5</v>
      </c>
      <c r="F651" s="166">
        <v>40477</v>
      </c>
      <c r="G651" s="167" t="s">
        <v>873</v>
      </c>
      <c r="H651" s="167" t="s">
        <v>874</v>
      </c>
      <c r="I651" s="167" t="s">
        <v>1319</v>
      </c>
      <c r="J651" s="168">
        <v>44531</v>
      </c>
      <c r="K651" s="167" t="s">
        <v>251</v>
      </c>
      <c r="L651" s="167" t="s">
        <v>1145</v>
      </c>
      <c r="M651" s="167" t="s">
        <v>1320</v>
      </c>
      <c r="N651" s="165" t="s">
        <v>35</v>
      </c>
      <c r="O651" s="166">
        <v>44713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5.75" hidden="1" customHeight="1" x14ac:dyDescent="0.35">
      <c r="A652" s="164">
        <v>12</v>
      </c>
      <c r="B652" s="164" t="s">
        <v>49</v>
      </c>
      <c r="C652" s="165" t="s">
        <v>453</v>
      </c>
      <c r="D652" s="165" t="s">
        <v>1321</v>
      </c>
      <c r="E652" s="165">
        <v>1</v>
      </c>
      <c r="F652" s="166">
        <v>41684</v>
      </c>
      <c r="G652" s="167" t="s">
        <v>1322</v>
      </c>
      <c r="H652" s="167">
        <v>5102061849</v>
      </c>
      <c r="I652" s="167" t="s">
        <v>1323</v>
      </c>
      <c r="J652" s="168">
        <v>44001</v>
      </c>
      <c r="K652" s="167" t="s">
        <v>109</v>
      </c>
      <c r="L652" s="167" t="s">
        <v>1145</v>
      </c>
      <c r="M652" s="167" t="s">
        <v>1306</v>
      </c>
      <c r="N652" s="165" t="s">
        <v>35</v>
      </c>
      <c r="O652" s="166">
        <v>44713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5.75" hidden="1" customHeight="1" x14ac:dyDescent="0.35">
      <c r="A653" s="164">
        <v>13</v>
      </c>
      <c r="B653" s="164" t="s">
        <v>89</v>
      </c>
      <c r="C653" s="165" t="s">
        <v>453</v>
      </c>
      <c r="D653" s="165" t="s">
        <v>1321</v>
      </c>
      <c r="E653" s="165">
        <v>1</v>
      </c>
      <c r="F653" s="166">
        <v>41684</v>
      </c>
      <c r="G653" s="167" t="s">
        <v>1322</v>
      </c>
      <c r="H653" s="167">
        <v>5102061849</v>
      </c>
      <c r="I653" s="167" t="s">
        <v>1323</v>
      </c>
      <c r="J653" s="168">
        <v>44001</v>
      </c>
      <c r="K653" s="167" t="s">
        <v>167</v>
      </c>
      <c r="L653" s="167" t="s">
        <v>589</v>
      </c>
      <c r="M653" s="167" t="s">
        <v>1306</v>
      </c>
      <c r="N653" s="165" t="s">
        <v>35</v>
      </c>
      <c r="O653" s="166">
        <v>44713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5.75" hidden="1" customHeight="1" x14ac:dyDescent="0.35">
      <c r="A654" s="164">
        <v>14</v>
      </c>
      <c r="B654" s="164" t="s">
        <v>49</v>
      </c>
      <c r="C654" s="165" t="s">
        <v>437</v>
      </c>
      <c r="D654" s="165" t="s">
        <v>253</v>
      </c>
      <c r="E654" s="165">
        <v>2</v>
      </c>
      <c r="F654" s="166">
        <v>41349</v>
      </c>
      <c r="G654" s="167" t="s">
        <v>1324</v>
      </c>
      <c r="H654" s="167">
        <v>4692689535</v>
      </c>
      <c r="I654" s="167" t="s">
        <v>1325</v>
      </c>
      <c r="J654" s="168">
        <v>44038</v>
      </c>
      <c r="K654" s="167" t="s">
        <v>109</v>
      </c>
      <c r="L654" s="167" t="s">
        <v>994</v>
      </c>
      <c r="M654" s="167" t="s">
        <v>1306</v>
      </c>
      <c r="N654" s="165" t="s">
        <v>35</v>
      </c>
      <c r="O654" s="166">
        <v>44713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5.75" hidden="1" customHeight="1" x14ac:dyDescent="0.35">
      <c r="A655" s="164">
        <v>15</v>
      </c>
      <c r="B655" s="164" t="s">
        <v>89</v>
      </c>
      <c r="C655" s="165" t="s">
        <v>437</v>
      </c>
      <c r="D655" s="165" t="s">
        <v>253</v>
      </c>
      <c r="E655" s="165">
        <v>2</v>
      </c>
      <c r="F655" s="166">
        <v>41349</v>
      </c>
      <c r="G655" s="167" t="s">
        <v>1324</v>
      </c>
      <c r="H655" s="167">
        <v>4692689535</v>
      </c>
      <c r="I655" s="167" t="s">
        <v>1325</v>
      </c>
      <c r="J655" s="168">
        <v>44038</v>
      </c>
      <c r="K655" s="167" t="s">
        <v>132</v>
      </c>
      <c r="L655" s="167" t="s">
        <v>589</v>
      </c>
      <c r="M655" s="167" t="s">
        <v>1306</v>
      </c>
      <c r="N655" s="165" t="s">
        <v>35</v>
      </c>
      <c r="O655" s="166">
        <v>44713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5.75" hidden="1" customHeight="1" x14ac:dyDescent="0.35">
      <c r="A656" s="164">
        <v>16</v>
      </c>
      <c r="B656" s="164" t="s">
        <v>49</v>
      </c>
      <c r="C656" s="165" t="s">
        <v>191</v>
      </c>
      <c r="D656" s="165" t="s">
        <v>1272</v>
      </c>
      <c r="E656" s="165">
        <v>6</v>
      </c>
      <c r="F656" s="166">
        <v>40461</v>
      </c>
      <c r="G656" s="167" t="s">
        <v>1273</v>
      </c>
      <c r="H656" s="167" t="s">
        <v>1274</v>
      </c>
      <c r="I656" s="167" t="s">
        <v>1275</v>
      </c>
      <c r="J656" s="168">
        <v>44518</v>
      </c>
      <c r="K656" s="167" t="s">
        <v>130</v>
      </c>
      <c r="L656" s="167" t="s">
        <v>589</v>
      </c>
      <c r="M656" s="167" t="s">
        <v>1326</v>
      </c>
      <c r="N656" s="165" t="s">
        <v>35</v>
      </c>
      <c r="O656" s="166">
        <v>44713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5.75" hidden="1" customHeight="1" x14ac:dyDescent="0.35">
      <c r="A657" s="164">
        <v>17</v>
      </c>
      <c r="B657" s="164" t="s">
        <v>49</v>
      </c>
      <c r="C657" s="165" t="s">
        <v>453</v>
      </c>
      <c r="D657" s="165" t="s">
        <v>611</v>
      </c>
      <c r="E657" s="165">
        <v>4</v>
      </c>
      <c r="F657" s="166">
        <v>40492</v>
      </c>
      <c r="G657" s="167" t="s">
        <v>1152</v>
      </c>
      <c r="H657" s="167">
        <v>5103863740</v>
      </c>
      <c r="I657" s="167" t="s">
        <v>613</v>
      </c>
      <c r="J657" s="168">
        <v>44426</v>
      </c>
      <c r="K657" s="167" t="s">
        <v>153</v>
      </c>
      <c r="L657" s="167" t="s">
        <v>589</v>
      </c>
      <c r="M657" s="167"/>
      <c r="N657" s="165" t="s">
        <v>35</v>
      </c>
      <c r="O657" s="166">
        <v>44713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5.75" hidden="1" customHeight="1" x14ac:dyDescent="0.35">
      <c r="A658" s="164">
        <v>18</v>
      </c>
      <c r="B658" s="164" t="s">
        <v>89</v>
      </c>
      <c r="C658" s="165" t="s">
        <v>453</v>
      </c>
      <c r="D658" s="165" t="s">
        <v>611</v>
      </c>
      <c r="E658" s="165">
        <v>4</v>
      </c>
      <c r="F658" s="166">
        <v>40492</v>
      </c>
      <c r="G658" s="167" t="s">
        <v>1152</v>
      </c>
      <c r="H658" s="167">
        <v>5103863740</v>
      </c>
      <c r="I658" s="167" t="s">
        <v>613</v>
      </c>
      <c r="J658" s="168">
        <v>44426</v>
      </c>
      <c r="K658" s="167" t="s">
        <v>155</v>
      </c>
      <c r="L658" s="167" t="s">
        <v>589</v>
      </c>
      <c r="M658" s="167"/>
      <c r="N658" s="165" t="s">
        <v>35</v>
      </c>
      <c r="O658" s="166">
        <v>44713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ht="15.75" hidden="1" customHeight="1" x14ac:dyDescent="0.35">
      <c r="A659" s="164">
        <v>19</v>
      </c>
      <c r="B659" s="164" t="s">
        <v>49</v>
      </c>
      <c r="C659" s="165" t="s">
        <v>244</v>
      </c>
      <c r="D659" s="165" t="s">
        <v>245</v>
      </c>
      <c r="E659" s="165">
        <v>1</v>
      </c>
      <c r="F659" s="166">
        <v>42157</v>
      </c>
      <c r="G659" s="167" t="s">
        <v>1327</v>
      </c>
      <c r="H659" s="167">
        <v>4088027689</v>
      </c>
      <c r="I659" s="167" t="s">
        <v>247</v>
      </c>
      <c r="J659" s="168">
        <v>44579</v>
      </c>
      <c r="K659" s="167" t="s">
        <v>452</v>
      </c>
      <c r="L659" s="167" t="s">
        <v>994</v>
      </c>
      <c r="M659" s="167" t="s">
        <v>1306</v>
      </c>
      <c r="N659" s="165" t="s">
        <v>35</v>
      </c>
      <c r="O659" s="166">
        <v>44713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ht="15.75" hidden="1" customHeight="1" x14ac:dyDescent="0.35">
      <c r="A660" s="164">
        <v>20</v>
      </c>
      <c r="B660" s="164" t="s">
        <v>89</v>
      </c>
      <c r="C660" s="165" t="s">
        <v>244</v>
      </c>
      <c r="D660" s="165" t="s">
        <v>245</v>
      </c>
      <c r="E660" s="165">
        <v>1</v>
      </c>
      <c r="F660" s="166">
        <v>42157</v>
      </c>
      <c r="G660" s="167" t="s">
        <v>1327</v>
      </c>
      <c r="H660" s="167">
        <v>4088027689</v>
      </c>
      <c r="I660" s="167" t="s">
        <v>247</v>
      </c>
      <c r="J660" s="168">
        <v>44579</v>
      </c>
      <c r="K660" s="167" t="s">
        <v>120</v>
      </c>
      <c r="L660" s="167" t="s">
        <v>994</v>
      </c>
      <c r="M660" s="167" t="s">
        <v>1306</v>
      </c>
      <c r="N660" s="165" t="s">
        <v>35</v>
      </c>
      <c r="O660" s="166">
        <v>44713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ht="15.75" hidden="1" customHeight="1" x14ac:dyDescent="0.35">
      <c r="A661" s="164">
        <v>21</v>
      </c>
      <c r="B661" s="164" t="s">
        <v>49</v>
      </c>
      <c r="C661" s="165" t="s">
        <v>313</v>
      </c>
      <c r="D661" s="165" t="s">
        <v>1241</v>
      </c>
      <c r="E661" s="165">
        <v>5</v>
      </c>
      <c r="F661" s="166">
        <v>40809</v>
      </c>
      <c r="G661" s="167" t="s">
        <v>1242</v>
      </c>
      <c r="H661" s="167">
        <v>5102060413</v>
      </c>
      <c r="I661" s="167" t="s">
        <v>1243</v>
      </c>
      <c r="J661" s="168">
        <v>44593</v>
      </c>
      <c r="K661" s="167" t="s">
        <v>212</v>
      </c>
      <c r="L661" s="167" t="s">
        <v>589</v>
      </c>
      <c r="M661" s="167" t="s">
        <v>1306</v>
      </c>
      <c r="N661" s="165" t="s">
        <v>35</v>
      </c>
      <c r="O661" s="166">
        <v>44713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ht="15.75" hidden="1" customHeight="1" x14ac:dyDescent="0.35">
      <c r="A662" s="164">
        <v>22</v>
      </c>
      <c r="B662" s="164" t="s">
        <v>89</v>
      </c>
      <c r="C662" s="165" t="s">
        <v>313</v>
      </c>
      <c r="D662" s="165" t="s">
        <v>1241</v>
      </c>
      <c r="E662" s="165">
        <v>5</v>
      </c>
      <c r="F662" s="166">
        <v>40809</v>
      </c>
      <c r="G662" s="167" t="s">
        <v>1242</v>
      </c>
      <c r="H662" s="167">
        <v>5102060413</v>
      </c>
      <c r="I662" s="167" t="s">
        <v>1243</v>
      </c>
      <c r="J662" s="168">
        <v>44593</v>
      </c>
      <c r="K662" s="167" t="s">
        <v>155</v>
      </c>
      <c r="L662" s="167" t="s">
        <v>589</v>
      </c>
      <c r="M662" s="167" t="s">
        <v>1306</v>
      </c>
      <c r="N662" s="165" t="s">
        <v>35</v>
      </c>
      <c r="O662" s="166">
        <v>44713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ht="15.75" hidden="1" customHeight="1" x14ac:dyDescent="0.35">
      <c r="A663" s="164">
        <v>23</v>
      </c>
      <c r="B663" s="164" t="s">
        <v>49</v>
      </c>
      <c r="C663" s="165" t="s">
        <v>437</v>
      </c>
      <c r="D663" s="165" t="s">
        <v>1328</v>
      </c>
      <c r="E663" s="165">
        <v>1</v>
      </c>
      <c r="F663" s="166">
        <v>42122</v>
      </c>
      <c r="G663" s="167" t="s">
        <v>1329</v>
      </c>
      <c r="H663" s="167" t="s">
        <v>1330</v>
      </c>
      <c r="I663" s="167" t="s">
        <v>1331</v>
      </c>
      <c r="J663" s="168">
        <v>44519</v>
      </c>
      <c r="K663" s="167" t="s">
        <v>490</v>
      </c>
      <c r="L663" s="167" t="s">
        <v>950</v>
      </c>
      <c r="M663" s="167"/>
      <c r="N663" s="165" t="s">
        <v>35</v>
      </c>
      <c r="O663" s="166">
        <v>44713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ht="15.75" hidden="1" customHeight="1" x14ac:dyDescent="0.35">
      <c r="A664" s="164">
        <v>24</v>
      </c>
      <c r="B664" s="164" t="s">
        <v>89</v>
      </c>
      <c r="C664" s="165" t="s">
        <v>437</v>
      </c>
      <c r="D664" s="165" t="s">
        <v>1328</v>
      </c>
      <c r="E664" s="165">
        <v>1</v>
      </c>
      <c r="F664" s="166">
        <v>42122</v>
      </c>
      <c r="G664" s="167" t="s">
        <v>1329</v>
      </c>
      <c r="H664" s="167" t="s">
        <v>1330</v>
      </c>
      <c r="I664" s="167" t="s">
        <v>1331</v>
      </c>
      <c r="J664" s="168">
        <v>44519</v>
      </c>
      <c r="K664" s="167" t="s">
        <v>146</v>
      </c>
      <c r="L664" s="167" t="s">
        <v>589</v>
      </c>
      <c r="M664" s="167"/>
      <c r="N664" s="165" t="s">
        <v>35</v>
      </c>
      <c r="O664" s="166">
        <v>44713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ht="15.75" hidden="1" customHeight="1" x14ac:dyDescent="0.35">
      <c r="A665" s="164">
        <v>25</v>
      </c>
      <c r="B665" s="164" t="s">
        <v>49</v>
      </c>
      <c r="C665" s="165" t="s">
        <v>889</v>
      </c>
      <c r="D665" s="165" t="s">
        <v>1332</v>
      </c>
      <c r="E665" s="165">
        <v>4</v>
      </c>
      <c r="F665" s="166">
        <v>41061</v>
      </c>
      <c r="G665" s="167" t="s">
        <v>1333</v>
      </c>
      <c r="H665" s="167" t="s">
        <v>1334</v>
      </c>
      <c r="I665" s="167" t="s">
        <v>1335</v>
      </c>
      <c r="J665" s="168">
        <v>44426</v>
      </c>
      <c r="K665" s="167" t="s">
        <v>109</v>
      </c>
      <c r="L665" s="167" t="s">
        <v>589</v>
      </c>
      <c r="M665" s="167" t="s">
        <v>1306</v>
      </c>
      <c r="N665" s="165" t="s">
        <v>35</v>
      </c>
      <c r="O665" s="166">
        <v>44713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ht="15.75" hidden="1" customHeight="1" x14ac:dyDescent="0.35">
      <c r="A666" s="164">
        <v>26</v>
      </c>
      <c r="B666" s="164" t="s">
        <v>89</v>
      </c>
      <c r="C666" s="165" t="s">
        <v>889</v>
      </c>
      <c r="D666" s="165" t="s">
        <v>1332</v>
      </c>
      <c r="E666" s="165">
        <v>4</v>
      </c>
      <c r="F666" s="166">
        <v>41061</v>
      </c>
      <c r="G666" s="167" t="s">
        <v>1333</v>
      </c>
      <c r="H666" s="167" t="s">
        <v>1334</v>
      </c>
      <c r="I666" s="167" t="s">
        <v>1335</v>
      </c>
      <c r="J666" s="168">
        <v>44426</v>
      </c>
      <c r="K666" s="167" t="s">
        <v>167</v>
      </c>
      <c r="L666" s="167" t="s">
        <v>589</v>
      </c>
      <c r="M666" s="167" t="s">
        <v>1306</v>
      </c>
      <c r="N666" s="165" t="s">
        <v>35</v>
      </c>
      <c r="O666" s="166">
        <v>44713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ht="15.75" hidden="1" customHeight="1" x14ac:dyDescent="0.35">
      <c r="A667" s="164">
        <v>27</v>
      </c>
      <c r="B667" s="164" t="s">
        <v>49</v>
      </c>
      <c r="C667" s="165" t="s">
        <v>1171</v>
      </c>
      <c r="D667" s="165" t="s">
        <v>1336</v>
      </c>
      <c r="E667" s="165">
        <v>7</v>
      </c>
      <c r="F667" s="166">
        <v>40182</v>
      </c>
      <c r="G667" s="167" t="s">
        <v>1337</v>
      </c>
      <c r="H667" s="167">
        <v>6692635509</v>
      </c>
      <c r="I667" s="169" t="s">
        <v>1338</v>
      </c>
      <c r="J667" s="168">
        <v>44593</v>
      </c>
      <c r="K667" s="167" t="s">
        <v>681</v>
      </c>
      <c r="L667" s="167" t="s">
        <v>950</v>
      </c>
      <c r="M667" s="167"/>
      <c r="N667" s="165" t="s">
        <v>35</v>
      </c>
      <c r="O667" s="166">
        <v>44713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ht="15.75" hidden="1" customHeight="1" x14ac:dyDescent="0.35">
      <c r="A668" s="164">
        <v>28</v>
      </c>
      <c r="B668" s="164" t="s">
        <v>49</v>
      </c>
      <c r="C668" s="165" t="s">
        <v>266</v>
      </c>
      <c r="D668" s="165" t="s">
        <v>1264</v>
      </c>
      <c r="E668" s="165">
        <v>2</v>
      </c>
      <c r="F668" s="166">
        <v>41947</v>
      </c>
      <c r="G668" s="167" t="s">
        <v>1265</v>
      </c>
      <c r="H668" s="167">
        <v>3107757104</v>
      </c>
      <c r="I668" s="167" t="s">
        <v>1266</v>
      </c>
      <c r="J668" s="168">
        <v>44621</v>
      </c>
      <c r="K668" s="167" t="s">
        <v>202</v>
      </c>
      <c r="L668" s="167" t="s">
        <v>543</v>
      </c>
      <c r="M668" s="167" t="s">
        <v>1306</v>
      </c>
      <c r="N668" s="165" t="s">
        <v>35</v>
      </c>
      <c r="O668" s="166">
        <v>44713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ht="15.75" hidden="1" customHeight="1" x14ac:dyDescent="0.35">
      <c r="A669" s="164">
        <v>29</v>
      </c>
      <c r="B669" s="164" t="s">
        <v>89</v>
      </c>
      <c r="C669" s="165" t="s">
        <v>266</v>
      </c>
      <c r="D669" s="165" t="s">
        <v>1264</v>
      </c>
      <c r="E669" s="165">
        <v>2</v>
      </c>
      <c r="F669" s="166">
        <v>41947</v>
      </c>
      <c r="G669" s="167" t="s">
        <v>1265</v>
      </c>
      <c r="H669" s="167">
        <v>3107757104</v>
      </c>
      <c r="I669" s="167" t="s">
        <v>1266</v>
      </c>
      <c r="J669" s="168">
        <v>44621</v>
      </c>
      <c r="K669" s="167" t="s">
        <v>146</v>
      </c>
      <c r="L669" s="167" t="s">
        <v>589</v>
      </c>
      <c r="M669" s="167" t="s">
        <v>1306</v>
      </c>
      <c r="N669" s="165" t="s">
        <v>35</v>
      </c>
      <c r="O669" s="166">
        <v>44713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ht="15.75" hidden="1" customHeight="1" x14ac:dyDescent="0.35">
      <c r="A670" s="164">
        <v>30</v>
      </c>
      <c r="B670" s="164" t="s">
        <v>89</v>
      </c>
      <c r="C670" s="165" t="s">
        <v>354</v>
      </c>
      <c r="D670" s="165" t="s">
        <v>1339</v>
      </c>
      <c r="E670" s="165">
        <v>6</v>
      </c>
      <c r="F670" s="166">
        <v>40144</v>
      </c>
      <c r="G670" s="167" t="s">
        <v>1340</v>
      </c>
      <c r="H670" s="167">
        <v>4083071798</v>
      </c>
      <c r="I670" s="167" t="s">
        <v>1341</v>
      </c>
      <c r="J670" s="168">
        <v>44562</v>
      </c>
      <c r="K670" s="167" t="s">
        <v>261</v>
      </c>
      <c r="L670" s="167" t="s">
        <v>589</v>
      </c>
      <c r="M670" s="167" t="s">
        <v>1342</v>
      </c>
      <c r="N670" s="165" t="s">
        <v>35</v>
      </c>
      <c r="O670" s="166">
        <v>44713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ht="15.75" hidden="1" customHeight="1" x14ac:dyDescent="0.35">
      <c r="A671" s="164">
        <v>31</v>
      </c>
      <c r="B671" s="164" t="s">
        <v>49</v>
      </c>
      <c r="C671" s="165" t="s">
        <v>918</v>
      </c>
      <c r="D671" s="165" t="s">
        <v>1343</v>
      </c>
      <c r="E671" s="165">
        <v>2</v>
      </c>
      <c r="F671" s="166">
        <v>41849</v>
      </c>
      <c r="G671" s="167" t="s">
        <v>1344</v>
      </c>
      <c r="H671" s="167">
        <v>4082192369</v>
      </c>
      <c r="I671" s="167" t="s">
        <v>1345</v>
      </c>
      <c r="J671" s="168">
        <v>44636</v>
      </c>
      <c r="K671" s="167" t="s">
        <v>1185</v>
      </c>
      <c r="L671" s="167" t="s">
        <v>994</v>
      </c>
      <c r="M671" s="167" t="s">
        <v>1306</v>
      </c>
      <c r="N671" s="165" t="s">
        <v>35</v>
      </c>
      <c r="O671" s="166">
        <v>44713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ht="15.75" hidden="1" customHeight="1" x14ac:dyDescent="0.35">
      <c r="A672" s="164">
        <v>32</v>
      </c>
      <c r="B672" s="164" t="s">
        <v>49</v>
      </c>
      <c r="C672" s="165" t="s">
        <v>1346</v>
      </c>
      <c r="D672" s="165" t="s">
        <v>1347</v>
      </c>
      <c r="E672" s="165">
        <v>1</v>
      </c>
      <c r="F672" s="166">
        <v>42216</v>
      </c>
      <c r="G672" s="167" t="s">
        <v>1348</v>
      </c>
      <c r="H672" s="167">
        <v>4088880339</v>
      </c>
      <c r="I672" s="167" t="s">
        <v>1349</v>
      </c>
      <c r="J672" s="168" t="s">
        <v>1244</v>
      </c>
      <c r="K672" s="167" t="s">
        <v>490</v>
      </c>
      <c r="L672" s="167" t="s">
        <v>1199</v>
      </c>
      <c r="M672" s="167" t="s">
        <v>1306</v>
      </c>
      <c r="N672" s="165" t="s">
        <v>35</v>
      </c>
      <c r="O672" s="166">
        <v>44713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ht="15.75" hidden="1" customHeight="1" x14ac:dyDescent="0.35">
      <c r="A673" s="164">
        <v>33</v>
      </c>
      <c r="B673" s="164" t="s">
        <v>89</v>
      </c>
      <c r="C673" s="165" t="s">
        <v>1346</v>
      </c>
      <c r="D673" s="165" t="s">
        <v>1347</v>
      </c>
      <c r="E673" s="165">
        <v>1</v>
      </c>
      <c r="F673" s="166">
        <v>42216</v>
      </c>
      <c r="G673" s="167" t="s">
        <v>1348</v>
      </c>
      <c r="H673" s="167">
        <v>4088880339</v>
      </c>
      <c r="I673" s="167" t="s">
        <v>1349</v>
      </c>
      <c r="J673" s="168" t="s">
        <v>1244</v>
      </c>
      <c r="K673" s="167" t="s">
        <v>120</v>
      </c>
      <c r="L673" s="167" t="s">
        <v>1145</v>
      </c>
      <c r="M673" s="167" t="s">
        <v>1306</v>
      </c>
      <c r="N673" s="165" t="s">
        <v>35</v>
      </c>
      <c r="O673" s="166">
        <v>44713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ht="15.75" hidden="1" customHeight="1" x14ac:dyDescent="0.35">
      <c r="A674" s="164">
        <v>34</v>
      </c>
      <c r="B674" s="164" t="s">
        <v>49</v>
      </c>
      <c r="C674" s="165" t="s">
        <v>1350</v>
      </c>
      <c r="D674" s="165" t="s">
        <v>1351</v>
      </c>
      <c r="E674" s="165">
        <v>3</v>
      </c>
      <c r="F674" s="166">
        <v>41225</v>
      </c>
      <c r="G674" s="167" t="s">
        <v>1352</v>
      </c>
      <c r="H674" s="167">
        <v>4158238596</v>
      </c>
      <c r="I674" s="167" t="s">
        <v>1353</v>
      </c>
      <c r="J674" s="168">
        <v>44424</v>
      </c>
      <c r="K674" s="167" t="s">
        <v>202</v>
      </c>
      <c r="L674" s="167" t="s">
        <v>589</v>
      </c>
      <c r="M674" s="167" t="s">
        <v>1234</v>
      </c>
      <c r="N674" s="165" t="s">
        <v>35</v>
      </c>
      <c r="O674" s="166">
        <v>44713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ht="15.75" hidden="1" customHeight="1" x14ac:dyDescent="0.35">
      <c r="A675" s="164">
        <v>35</v>
      </c>
      <c r="B675" s="164" t="s">
        <v>89</v>
      </c>
      <c r="C675" s="165" t="s">
        <v>1350</v>
      </c>
      <c r="D675" s="165" t="s">
        <v>1351</v>
      </c>
      <c r="E675" s="165">
        <v>3</v>
      </c>
      <c r="F675" s="166">
        <v>41225</v>
      </c>
      <c r="G675" s="167" t="s">
        <v>1352</v>
      </c>
      <c r="H675" s="167">
        <v>4158238596</v>
      </c>
      <c r="I675" s="167" t="s">
        <v>1353</v>
      </c>
      <c r="J675" s="168">
        <v>44424</v>
      </c>
      <c r="K675" s="167" t="s">
        <v>120</v>
      </c>
      <c r="L675" s="167" t="s">
        <v>589</v>
      </c>
      <c r="M675" s="167" t="s">
        <v>1234</v>
      </c>
      <c r="N675" s="165" t="s">
        <v>35</v>
      </c>
      <c r="O675" s="166">
        <v>44713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ht="15.75" hidden="1" customHeight="1" x14ac:dyDescent="0.35">
      <c r="A676" s="164">
        <v>36</v>
      </c>
      <c r="B676" s="164" t="s">
        <v>49</v>
      </c>
      <c r="C676" s="165" t="s">
        <v>326</v>
      </c>
      <c r="D676" s="165" t="s">
        <v>327</v>
      </c>
      <c r="E676" s="165">
        <v>3</v>
      </c>
      <c r="F676" s="166">
        <v>41250</v>
      </c>
      <c r="G676" s="167" t="s">
        <v>328</v>
      </c>
      <c r="H676" s="167" t="s">
        <v>329</v>
      </c>
      <c r="I676" s="167" t="s">
        <v>330</v>
      </c>
      <c r="J676" s="168">
        <v>44424</v>
      </c>
      <c r="K676" s="167" t="s">
        <v>1354</v>
      </c>
      <c r="L676" s="167" t="s">
        <v>1097</v>
      </c>
      <c r="M676" s="167" t="s">
        <v>1306</v>
      </c>
      <c r="N676" s="165" t="s">
        <v>35</v>
      </c>
      <c r="O676" s="166">
        <v>44713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ht="15.75" hidden="1" customHeight="1" x14ac:dyDescent="0.35">
      <c r="A677" s="164">
        <v>37</v>
      </c>
      <c r="B677" s="164" t="s">
        <v>89</v>
      </c>
      <c r="C677" s="165" t="s">
        <v>326</v>
      </c>
      <c r="D677" s="165" t="s">
        <v>327</v>
      </c>
      <c r="E677" s="165">
        <v>3</v>
      </c>
      <c r="F677" s="166">
        <v>41250</v>
      </c>
      <c r="G677" s="167" t="s">
        <v>328</v>
      </c>
      <c r="H677" s="167" t="s">
        <v>329</v>
      </c>
      <c r="I677" s="167" t="s">
        <v>330</v>
      </c>
      <c r="J677" s="168">
        <v>44424</v>
      </c>
      <c r="K677" s="167" t="s">
        <v>261</v>
      </c>
      <c r="L677" s="167" t="s">
        <v>1145</v>
      </c>
      <c r="M677" s="167" t="s">
        <v>1306</v>
      </c>
      <c r="N677" s="165" t="s">
        <v>35</v>
      </c>
      <c r="O677" s="166">
        <v>44713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ht="15.75" hidden="1" customHeight="1" x14ac:dyDescent="0.35">
      <c r="A678" s="164">
        <v>38</v>
      </c>
      <c r="B678" s="164" t="s">
        <v>49</v>
      </c>
      <c r="C678" s="165" t="s">
        <v>1355</v>
      </c>
      <c r="D678" s="165" t="s">
        <v>1356</v>
      </c>
      <c r="E678" s="165">
        <v>1</v>
      </c>
      <c r="F678" s="166" t="s">
        <v>933</v>
      </c>
      <c r="G678" s="167" t="s">
        <v>9</v>
      </c>
      <c r="H678" s="167">
        <v>4089166618</v>
      </c>
      <c r="I678" s="167" t="s">
        <v>1357</v>
      </c>
      <c r="J678" s="168" t="s">
        <v>1358</v>
      </c>
      <c r="K678" s="167" t="s">
        <v>1185</v>
      </c>
      <c r="L678" s="167" t="s">
        <v>950</v>
      </c>
      <c r="M678" s="167" t="s">
        <v>1359</v>
      </c>
      <c r="N678" s="165" t="s">
        <v>35</v>
      </c>
      <c r="O678" s="166">
        <v>44713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ht="15.75" hidden="1" customHeight="1" x14ac:dyDescent="0.35">
      <c r="A679" s="164">
        <v>39</v>
      </c>
      <c r="B679" s="164" t="s">
        <v>49</v>
      </c>
      <c r="C679" s="165" t="s">
        <v>1360</v>
      </c>
      <c r="D679" s="165" t="s">
        <v>1361</v>
      </c>
      <c r="E679" s="165">
        <v>4</v>
      </c>
      <c r="F679" s="166">
        <v>41155</v>
      </c>
      <c r="G679" s="167" t="s">
        <v>1362</v>
      </c>
      <c r="H679" s="167" t="s">
        <v>1363</v>
      </c>
      <c r="I679" s="167" t="s">
        <v>1364</v>
      </c>
      <c r="J679" s="168">
        <v>44450</v>
      </c>
      <c r="K679" s="167" t="s">
        <v>212</v>
      </c>
      <c r="L679" s="167" t="s">
        <v>950</v>
      </c>
      <c r="M679" s="167" t="s">
        <v>1306</v>
      </c>
      <c r="N679" s="165" t="s">
        <v>35</v>
      </c>
      <c r="O679" s="166">
        <v>44713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ht="15.75" hidden="1" customHeight="1" x14ac:dyDescent="0.35">
      <c r="A680" s="164">
        <v>40</v>
      </c>
      <c r="B680" s="164" t="s">
        <v>89</v>
      </c>
      <c r="C680" s="165" t="s">
        <v>1360</v>
      </c>
      <c r="D680" s="165" t="s">
        <v>1361</v>
      </c>
      <c r="E680" s="165">
        <v>4</v>
      </c>
      <c r="F680" s="166">
        <v>41155</v>
      </c>
      <c r="G680" s="167" t="s">
        <v>1362</v>
      </c>
      <c r="H680" s="167" t="s">
        <v>1363</v>
      </c>
      <c r="I680" s="167" t="s">
        <v>1364</v>
      </c>
      <c r="J680" s="168">
        <v>44450</v>
      </c>
      <c r="K680" s="167" t="s">
        <v>155</v>
      </c>
      <c r="L680" s="167" t="s">
        <v>950</v>
      </c>
      <c r="M680" s="167" t="s">
        <v>1306</v>
      </c>
      <c r="N680" s="165" t="s">
        <v>35</v>
      </c>
      <c r="O680" s="166">
        <v>44713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ht="15.75" hidden="1" customHeight="1" x14ac:dyDescent="0.35">
      <c r="A681" s="164">
        <v>41</v>
      </c>
      <c r="B681" s="164" t="s">
        <v>49</v>
      </c>
      <c r="C681" s="165" t="s">
        <v>1177</v>
      </c>
      <c r="D681" s="165" t="s">
        <v>450</v>
      </c>
      <c r="E681" s="165">
        <v>7</v>
      </c>
      <c r="F681" s="166">
        <v>39375</v>
      </c>
      <c r="G681" s="167" t="s">
        <v>1178</v>
      </c>
      <c r="H681" s="167">
        <v>4084062871</v>
      </c>
      <c r="I681" s="167" t="s">
        <v>1179</v>
      </c>
      <c r="J681" s="168">
        <v>44440</v>
      </c>
      <c r="K681" s="167" t="s">
        <v>1354</v>
      </c>
      <c r="L681" s="167" t="s">
        <v>1145</v>
      </c>
      <c r="M681" s="167" t="s">
        <v>1365</v>
      </c>
      <c r="N681" s="165" t="s">
        <v>35</v>
      </c>
      <c r="O681" s="166">
        <v>44713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ht="15.75" hidden="1" customHeight="1" x14ac:dyDescent="0.35">
      <c r="A682" s="164">
        <v>42</v>
      </c>
      <c r="B682" s="164" t="s">
        <v>89</v>
      </c>
      <c r="C682" s="165" t="s">
        <v>1177</v>
      </c>
      <c r="D682" s="165" t="s">
        <v>450</v>
      </c>
      <c r="E682" s="165">
        <v>7</v>
      </c>
      <c r="F682" s="166">
        <v>39375</v>
      </c>
      <c r="G682" s="167" t="s">
        <v>1178</v>
      </c>
      <c r="H682" s="167">
        <v>4084062871</v>
      </c>
      <c r="I682" s="167" t="s">
        <v>1179</v>
      </c>
      <c r="J682" s="168">
        <v>44440</v>
      </c>
      <c r="K682" s="167" t="s">
        <v>240</v>
      </c>
      <c r="L682" s="167" t="s">
        <v>1097</v>
      </c>
      <c r="M682" s="167" t="s">
        <v>1365</v>
      </c>
      <c r="N682" s="165" t="s">
        <v>35</v>
      </c>
      <c r="O682" s="166">
        <v>44713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ht="15.75" hidden="1" customHeight="1" x14ac:dyDescent="0.35">
      <c r="A683" s="164">
        <v>43</v>
      </c>
      <c r="B683" s="164" t="s">
        <v>49</v>
      </c>
      <c r="C683" s="165" t="s">
        <v>313</v>
      </c>
      <c r="D683" s="165" t="s">
        <v>111</v>
      </c>
      <c r="E683" s="165">
        <v>5</v>
      </c>
      <c r="F683" s="166">
        <v>40809</v>
      </c>
      <c r="G683" s="167" t="s">
        <v>1242</v>
      </c>
      <c r="H683" s="167">
        <v>5102060413</v>
      </c>
      <c r="I683" s="167" t="s">
        <v>1243</v>
      </c>
      <c r="J683" s="168">
        <v>44593</v>
      </c>
      <c r="K683" s="167" t="s">
        <v>212</v>
      </c>
      <c r="L683" s="167" t="s">
        <v>589</v>
      </c>
      <c r="M683" s="167" t="s">
        <v>1306</v>
      </c>
      <c r="N683" s="165" t="s">
        <v>35</v>
      </c>
      <c r="O683" s="166">
        <v>44713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ht="15.75" hidden="1" customHeight="1" x14ac:dyDescent="0.35">
      <c r="A684" s="164">
        <v>44</v>
      </c>
      <c r="B684" s="164" t="s">
        <v>89</v>
      </c>
      <c r="C684" s="165" t="s">
        <v>313</v>
      </c>
      <c r="D684" s="165" t="s">
        <v>111</v>
      </c>
      <c r="E684" s="165">
        <v>5</v>
      </c>
      <c r="F684" s="166">
        <v>40809</v>
      </c>
      <c r="G684" s="167" t="s">
        <v>1242</v>
      </c>
      <c r="H684" s="167">
        <v>5102060413</v>
      </c>
      <c r="I684" s="167" t="s">
        <v>1243</v>
      </c>
      <c r="J684" s="168">
        <v>44593</v>
      </c>
      <c r="K684" s="167" t="s">
        <v>155</v>
      </c>
      <c r="L684" s="167" t="s">
        <v>589</v>
      </c>
      <c r="M684" s="167" t="s">
        <v>1306</v>
      </c>
      <c r="N684" s="165" t="s">
        <v>35</v>
      </c>
      <c r="O684" s="166">
        <v>44713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ht="15.75" hidden="1" customHeight="1" x14ac:dyDescent="0.35">
      <c r="A685" s="164">
        <v>45</v>
      </c>
      <c r="B685" s="164" t="s">
        <v>49</v>
      </c>
      <c r="C685" s="165" t="s">
        <v>191</v>
      </c>
      <c r="D685" s="165" t="s">
        <v>192</v>
      </c>
      <c r="E685" s="165">
        <v>4</v>
      </c>
      <c r="F685" s="166">
        <v>41164</v>
      </c>
      <c r="G685" s="167" t="s">
        <v>193</v>
      </c>
      <c r="H685" s="167" t="s">
        <v>194</v>
      </c>
      <c r="I685" s="167" t="s">
        <v>195</v>
      </c>
      <c r="J685" s="168">
        <v>44518</v>
      </c>
      <c r="K685" s="167" t="s">
        <v>681</v>
      </c>
      <c r="L685" s="167" t="s">
        <v>950</v>
      </c>
      <c r="M685" s="167" t="s">
        <v>1306</v>
      </c>
      <c r="N685" s="165" t="s">
        <v>35</v>
      </c>
      <c r="O685" s="166">
        <v>44713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ht="15.75" hidden="1" customHeight="1" x14ac:dyDescent="0.35">
      <c r="A686" s="164">
        <v>46</v>
      </c>
      <c r="B686" s="164" t="s">
        <v>89</v>
      </c>
      <c r="C686" s="165" t="s">
        <v>191</v>
      </c>
      <c r="D686" s="165" t="s">
        <v>192</v>
      </c>
      <c r="E686" s="165">
        <v>4</v>
      </c>
      <c r="F686" s="166">
        <v>41164</v>
      </c>
      <c r="G686" s="167" t="s">
        <v>193</v>
      </c>
      <c r="H686" s="167" t="s">
        <v>194</v>
      </c>
      <c r="I686" s="167" t="s">
        <v>195</v>
      </c>
      <c r="J686" s="168">
        <v>44245</v>
      </c>
      <c r="K686" s="167" t="s">
        <v>120</v>
      </c>
      <c r="L686" s="167" t="s">
        <v>589</v>
      </c>
      <c r="M686" s="167" t="s">
        <v>1306</v>
      </c>
      <c r="N686" s="165" t="s">
        <v>35</v>
      </c>
      <c r="O686" s="166">
        <v>44713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ht="15.75" hidden="1" customHeight="1" x14ac:dyDescent="0.35">
      <c r="A687" s="164">
        <v>47</v>
      </c>
      <c r="B687" s="164" t="s">
        <v>49</v>
      </c>
      <c r="C687" s="165" t="s">
        <v>469</v>
      </c>
      <c r="D687" s="165" t="s">
        <v>1050</v>
      </c>
      <c r="E687" s="165">
        <v>2</v>
      </c>
      <c r="F687" s="166">
        <v>41953</v>
      </c>
      <c r="G687" s="167" t="s">
        <v>1276</v>
      </c>
      <c r="H687" s="167">
        <v>6464205298</v>
      </c>
      <c r="I687" s="167" t="s">
        <v>1052</v>
      </c>
      <c r="J687" s="168">
        <v>44621</v>
      </c>
      <c r="K687" s="167" t="s">
        <v>112</v>
      </c>
      <c r="L687" s="167" t="s">
        <v>1145</v>
      </c>
      <c r="M687" s="167" t="s">
        <v>1306</v>
      </c>
      <c r="N687" s="165" t="s">
        <v>35</v>
      </c>
      <c r="O687" s="166">
        <v>44713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ht="15.75" hidden="1" customHeight="1" x14ac:dyDescent="0.35">
      <c r="A688" s="164">
        <v>48</v>
      </c>
      <c r="B688" s="164" t="s">
        <v>49</v>
      </c>
      <c r="C688" s="165" t="s">
        <v>134</v>
      </c>
      <c r="D688" s="165" t="s">
        <v>1366</v>
      </c>
      <c r="E688" s="165">
        <v>1</v>
      </c>
      <c r="F688" s="166">
        <v>41239</v>
      </c>
      <c r="G688" s="167" t="s">
        <v>1367</v>
      </c>
      <c r="H688" s="167">
        <v>4088587056</v>
      </c>
      <c r="I688" s="167" t="s">
        <v>1368</v>
      </c>
      <c r="J688" s="168">
        <v>43831</v>
      </c>
      <c r="K688" s="167" t="s">
        <v>112</v>
      </c>
      <c r="L688" s="167" t="s">
        <v>950</v>
      </c>
      <c r="M688" s="167" t="s">
        <v>1306</v>
      </c>
      <c r="N688" s="165" t="s">
        <v>35</v>
      </c>
      <c r="O688" s="166">
        <v>44713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ht="15.75" hidden="1" customHeight="1" x14ac:dyDescent="0.35">
      <c r="A689" s="164">
        <v>49</v>
      </c>
      <c r="B689" s="164" t="s">
        <v>89</v>
      </c>
      <c r="C689" s="165" t="s">
        <v>134</v>
      </c>
      <c r="D689" s="165" t="s">
        <v>1366</v>
      </c>
      <c r="E689" s="165">
        <v>1</v>
      </c>
      <c r="F689" s="166">
        <v>41239</v>
      </c>
      <c r="G689" s="167" t="s">
        <v>1367</v>
      </c>
      <c r="H689" s="167">
        <v>4088587056</v>
      </c>
      <c r="I689" s="167" t="s">
        <v>1368</v>
      </c>
      <c r="J689" s="168">
        <v>43922</v>
      </c>
      <c r="K689" s="167" t="s">
        <v>132</v>
      </c>
      <c r="L689" s="167" t="s">
        <v>589</v>
      </c>
      <c r="M689" s="167" t="s">
        <v>1306</v>
      </c>
      <c r="N689" s="165" t="s">
        <v>35</v>
      </c>
      <c r="O689" s="166">
        <v>44713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ht="15.75" hidden="1" customHeight="1" x14ac:dyDescent="0.35">
      <c r="A690" s="149">
        <v>1</v>
      </c>
      <c r="B690" s="149" t="s">
        <v>89</v>
      </c>
      <c r="C690" s="150" t="s">
        <v>973</v>
      </c>
      <c r="D690" s="150" t="s">
        <v>976</v>
      </c>
      <c r="E690" s="150">
        <v>3</v>
      </c>
      <c r="F690" s="151">
        <v>41059</v>
      </c>
      <c r="G690" s="153" t="s">
        <v>1099</v>
      </c>
      <c r="H690" s="153">
        <v>16504830611</v>
      </c>
      <c r="I690" s="153" t="s">
        <v>1100</v>
      </c>
      <c r="J690" s="154">
        <v>44470</v>
      </c>
      <c r="K690" s="153" t="s">
        <v>251</v>
      </c>
      <c r="L690" s="153" t="s">
        <v>950</v>
      </c>
      <c r="M690" s="153" t="s">
        <v>1369</v>
      </c>
      <c r="N690" s="150" t="s">
        <v>35</v>
      </c>
      <c r="O690" s="151">
        <v>44743</v>
      </c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  <c r="AG690" s="163"/>
      <c r="AH690" s="163"/>
      <c r="AI690" s="163"/>
      <c r="AJ690" s="163"/>
      <c r="AK690" s="163"/>
      <c r="AL690" s="163"/>
      <c r="AM690" s="163"/>
      <c r="AN690" s="163"/>
      <c r="AO690" s="163"/>
      <c r="AP690" s="163"/>
      <c r="AQ690" s="163"/>
      <c r="AR690" s="163"/>
      <c r="AS690" s="163"/>
      <c r="AT690" s="163"/>
    </row>
    <row r="691" spans="1:46" ht="15.75" hidden="1" customHeight="1" x14ac:dyDescent="0.35">
      <c r="A691" s="149">
        <v>2</v>
      </c>
      <c r="B691" s="149" t="s">
        <v>49</v>
      </c>
      <c r="C691" s="150" t="s">
        <v>1286</v>
      </c>
      <c r="D691" s="150" t="s">
        <v>1287</v>
      </c>
      <c r="E691" s="150">
        <v>4</v>
      </c>
      <c r="F691" s="151">
        <v>40898</v>
      </c>
      <c r="G691" s="153" t="s">
        <v>1288</v>
      </c>
      <c r="H691" s="153">
        <v>4087991358</v>
      </c>
      <c r="I691" s="153" t="s">
        <v>1289</v>
      </c>
      <c r="J691" s="154">
        <v>44646</v>
      </c>
      <c r="K691" s="153" t="s">
        <v>112</v>
      </c>
      <c r="L691" s="153" t="s">
        <v>950</v>
      </c>
      <c r="M691" s="153"/>
      <c r="N691" s="150" t="s">
        <v>35</v>
      </c>
      <c r="O691" s="151">
        <v>44743</v>
      </c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  <c r="AG691" s="163"/>
      <c r="AH691" s="163"/>
      <c r="AI691" s="163"/>
      <c r="AJ691" s="163"/>
      <c r="AK691" s="163"/>
      <c r="AL691" s="163"/>
      <c r="AM691" s="163"/>
      <c r="AN691" s="163"/>
      <c r="AO691" s="163"/>
      <c r="AP691" s="163"/>
      <c r="AQ691" s="163"/>
      <c r="AR691" s="163"/>
      <c r="AS691" s="163"/>
      <c r="AT691" s="163"/>
    </row>
    <row r="692" spans="1:46" ht="15.75" hidden="1" customHeight="1" x14ac:dyDescent="0.35">
      <c r="A692" s="149">
        <v>3</v>
      </c>
      <c r="B692" s="149" t="s">
        <v>49</v>
      </c>
      <c r="C692" s="150" t="s">
        <v>302</v>
      </c>
      <c r="D692" s="150" t="s">
        <v>303</v>
      </c>
      <c r="E692" s="150" t="s">
        <v>180</v>
      </c>
      <c r="F692" s="151">
        <v>42270</v>
      </c>
      <c r="G692" s="153" t="s">
        <v>304</v>
      </c>
      <c r="H692" s="153">
        <v>14152727469</v>
      </c>
      <c r="I692" s="153" t="s">
        <v>305</v>
      </c>
      <c r="J692" s="154">
        <v>409863</v>
      </c>
      <c r="K692" s="153" t="s">
        <v>1158</v>
      </c>
      <c r="L692" s="153" t="s">
        <v>589</v>
      </c>
      <c r="M692" s="153" t="s">
        <v>1370</v>
      </c>
      <c r="N692" s="150" t="s">
        <v>35</v>
      </c>
      <c r="O692" s="151">
        <v>44743</v>
      </c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  <c r="AG692" s="163"/>
      <c r="AH692" s="163"/>
      <c r="AI692" s="163"/>
      <c r="AJ692" s="163"/>
      <c r="AK692" s="163"/>
      <c r="AL692" s="163"/>
      <c r="AM692" s="163"/>
      <c r="AN692" s="163"/>
      <c r="AO692" s="163"/>
      <c r="AP692" s="163"/>
      <c r="AQ692" s="163"/>
      <c r="AR692" s="163"/>
      <c r="AS692" s="163"/>
      <c r="AT692" s="163"/>
    </row>
    <row r="693" spans="1:46" ht="15.75" hidden="1" customHeight="1" x14ac:dyDescent="0.35">
      <c r="A693" s="149">
        <v>4</v>
      </c>
      <c r="B693" s="149" t="s">
        <v>89</v>
      </c>
      <c r="C693" s="150" t="s">
        <v>302</v>
      </c>
      <c r="D693" s="150" t="s">
        <v>303</v>
      </c>
      <c r="E693" s="150" t="s">
        <v>180</v>
      </c>
      <c r="F693" s="151">
        <v>42270</v>
      </c>
      <c r="G693" s="153" t="s">
        <v>304</v>
      </c>
      <c r="H693" s="153">
        <v>14152727469</v>
      </c>
      <c r="I693" s="153" t="s">
        <v>305</v>
      </c>
      <c r="J693" s="154">
        <v>409863</v>
      </c>
      <c r="K693" s="153" t="s">
        <v>163</v>
      </c>
      <c r="L693" s="153" t="s">
        <v>950</v>
      </c>
      <c r="M693" s="153"/>
      <c r="N693" s="150" t="s">
        <v>35</v>
      </c>
      <c r="O693" s="151">
        <v>44743</v>
      </c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  <c r="AG693" s="163"/>
      <c r="AH693" s="163"/>
      <c r="AI693" s="163"/>
      <c r="AJ693" s="163"/>
      <c r="AK693" s="163"/>
      <c r="AL693" s="163"/>
      <c r="AM693" s="163"/>
      <c r="AN693" s="163"/>
      <c r="AO693" s="163"/>
      <c r="AP693" s="163"/>
      <c r="AQ693" s="163"/>
      <c r="AR693" s="163"/>
      <c r="AS693" s="163"/>
      <c r="AT693" s="163"/>
    </row>
    <row r="694" spans="1:46" ht="15.75" hidden="1" customHeight="1" x14ac:dyDescent="0.35">
      <c r="A694" s="149">
        <v>5</v>
      </c>
      <c r="B694" s="149" t="s">
        <v>49</v>
      </c>
      <c r="C694" s="150" t="s">
        <v>682</v>
      </c>
      <c r="D694" s="150" t="s">
        <v>1371</v>
      </c>
      <c r="E694" s="150">
        <v>4</v>
      </c>
      <c r="F694" s="151">
        <v>41883</v>
      </c>
      <c r="G694" s="153" t="s">
        <v>1372</v>
      </c>
      <c r="H694" s="153">
        <v>6509969171</v>
      </c>
      <c r="I694" s="153" t="s">
        <v>1373</v>
      </c>
      <c r="J694" s="154">
        <v>43300</v>
      </c>
      <c r="K694" s="153" t="s">
        <v>109</v>
      </c>
      <c r="L694" s="153" t="s">
        <v>994</v>
      </c>
      <c r="M694" s="153" t="s">
        <v>1370</v>
      </c>
      <c r="N694" s="150" t="s">
        <v>35</v>
      </c>
      <c r="O694" s="151">
        <v>44743</v>
      </c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  <c r="AG694" s="163"/>
      <c r="AH694" s="163"/>
      <c r="AI694" s="163"/>
      <c r="AJ694" s="163"/>
      <c r="AK694" s="163"/>
      <c r="AL694" s="163"/>
      <c r="AM694" s="163"/>
      <c r="AN694" s="163"/>
      <c r="AO694" s="163"/>
      <c r="AP694" s="163"/>
      <c r="AQ694" s="163"/>
      <c r="AR694" s="163"/>
      <c r="AS694" s="163"/>
      <c r="AT694" s="163"/>
    </row>
    <row r="695" spans="1:46" ht="15.75" hidden="1" customHeight="1" x14ac:dyDescent="0.35">
      <c r="A695" s="149">
        <v>6</v>
      </c>
      <c r="B695" s="149" t="s">
        <v>89</v>
      </c>
      <c r="C695" s="150" t="s">
        <v>682</v>
      </c>
      <c r="D695" s="150" t="s">
        <v>1371</v>
      </c>
      <c r="E695" s="150">
        <v>4</v>
      </c>
      <c r="F695" s="151">
        <v>41883</v>
      </c>
      <c r="G695" s="153" t="s">
        <v>1372</v>
      </c>
      <c r="H695" s="153">
        <v>6509969171</v>
      </c>
      <c r="I695" s="153" t="s">
        <v>1373</v>
      </c>
      <c r="J695" s="154">
        <v>43300</v>
      </c>
      <c r="K695" s="153" t="s">
        <v>132</v>
      </c>
      <c r="L695" s="153" t="s">
        <v>589</v>
      </c>
      <c r="M695" s="153" t="s">
        <v>1370</v>
      </c>
      <c r="N695" s="150" t="s">
        <v>35</v>
      </c>
      <c r="O695" s="151">
        <v>44743</v>
      </c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  <c r="AG695" s="163"/>
      <c r="AH695" s="163"/>
      <c r="AI695" s="163"/>
      <c r="AJ695" s="163"/>
      <c r="AK695" s="163"/>
      <c r="AL695" s="163"/>
      <c r="AM695" s="163"/>
      <c r="AN695" s="163"/>
      <c r="AO695" s="163"/>
      <c r="AP695" s="163"/>
      <c r="AQ695" s="163"/>
      <c r="AR695" s="163"/>
      <c r="AS695" s="163"/>
      <c r="AT695" s="163"/>
    </row>
    <row r="696" spans="1:46" ht="15.75" hidden="1" customHeight="1" x14ac:dyDescent="0.35">
      <c r="A696" s="149">
        <v>7</v>
      </c>
      <c r="B696" s="149" t="s">
        <v>49</v>
      </c>
      <c r="C696" s="150" t="s">
        <v>682</v>
      </c>
      <c r="D696" s="150" t="s">
        <v>890</v>
      </c>
      <c r="E696" s="150">
        <v>5</v>
      </c>
      <c r="F696" s="151">
        <v>41275</v>
      </c>
      <c r="G696" s="153" t="s">
        <v>1372</v>
      </c>
      <c r="H696" s="153">
        <v>6509969171</v>
      </c>
      <c r="I696" s="153" t="s">
        <v>1373</v>
      </c>
      <c r="J696" s="154">
        <v>43300</v>
      </c>
      <c r="K696" s="153" t="s">
        <v>212</v>
      </c>
      <c r="L696" s="153" t="s">
        <v>994</v>
      </c>
      <c r="M696" s="153" t="s">
        <v>1370</v>
      </c>
      <c r="N696" s="150" t="s">
        <v>35</v>
      </c>
      <c r="O696" s="151">
        <v>44743</v>
      </c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  <c r="AG696" s="163"/>
      <c r="AH696" s="163"/>
      <c r="AI696" s="163"/>
      <c r="AJ696" s="163"/>
      <c r="AK696" s="163"/>
      <c r="AL696" s="163"/>
      <c r="AM696" s="163"/>
      <c r="AN696" s="163"/>
      <c r="AO696" s="163"/>
      <c r="AP696" s="163"/>
      <c r="AQ696" s="163"/>
      <c r="AR696" s="163"/>
      <c r="AS696" s="163"/>
      <c r="AT696" s="163"/>
    </row>
    <row r="697" spans="1:46" ht="15.75" hidden="1" customHeight="1" x14ac:dyDescent="0.35">
      <c r="A697" s="149">
        <v>8</v>
      </c>
      <c r="B697" s="149" t="s">
        <v>89</v>
      </c>
      <c r="C697" s="150" t="s">
        <v>682</v>
      </c>
      <c r="D697" s="150" t="s">
        <v>890</v>
      </c>
      <c r="E697" s="150">
        <v>5</v>
      </c>
      <c r="F697" s="151">
        <v>41275</v>
      </c>
      <c r="G697" s="153" t="s">
        <v>1372</v>
      </c>
      <c r="H697" s="153">
        <v>6509969171</v>
      </c>
      <c r="I697" s="153" t="s">
        <v>1373</v>
      </c>
      <c r="J697" s="154">
        <v>43300</v>
      </c>
      <c r="K697" s="153" t="s">
        <v>167</v>
      </c>
      <c r="L697" s="153" t="s">
        <v>994</v>
      </c>
      <c r="M697" s="153" t="s">
        <v>1370</v>
      </c>
      <c r="N697" s="150" t="s">
        <v>35</v>
      </c>
      <c r="O697" s="151">
        <v>44743</v>
      </c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  <c r="AG697" s="163"/>
      <c r="AH697" s="163"/>
      <c r="AI697" s="163"/>
      <c r="AJ697" s="163"/>
      <c r="AK697" s="163"/>
      <c r="AL697" s="163"/>
      <c r="AM697" s="163"/>
      <c r="AN697" s="163"/>
      <c r="AO697" s="163"/>
      <c r="AP697" s="163"/>
      <c r="AQ697" s="163"/>
      <c r="AR697" s="163"/>
      <c r="AS697" s="163"/>
      <c r="AT697" s="163"/>
    </row>
    <row r="698" spans="1:46" ht="15.75" hidden="1" customHeight="1" x14ac:dyDescent="0.35">
      <c r="A698" s="149">
        <v>9</v>
      </c>
      <c r="B698" s="149" t="s">
        <v>49</v>
      </c>
      <c r="C698" s="150" t="s">
        <v>1249</v>
      </c>
      <c r="D698" s="150" t="s">
        <v>1250</v>
      </c>
      <c r="E698" s="150">
        <v>2</v>
      </c>
      <c r="F698" s="151">
        <v>41461</v>
      </c>
      <c r="G698" s="153" t="s">
        <v>1374</v>
      </c>
      <c r="H698" s="153">
        <v>9132128680</v>
      </c>
      <c r="I698" s="153" t="s">
        <v>1251</v>
      </c>
      <c r="J698" s="154">
        <v>44621</v>
      </c>
      <c r="K698" s="153" t="s">
        <v>130</v>
      </c>
      <c r="L698" s="153" t="s">
        <v>994</v>
      </c>
      <c r="M698" s="153" t="s">
        <v>1175</v>
      </c>
      <c r="N698" s="150" t="s">
        <v>35</v>
      </c>
      <c r="O698" s="151">
        <v>44743</v>
      </c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  <c r="AG698" s="163"/>
      <c r="AH698" s="163"/>
      <c r="AI698" s="163"/>
      <c r="AJ698" s="163"/>
      <c r="AK698" s="163"/>
      <c r="AL698" s="163"/>
      <c r="AM698" s="163"/>
      <c r="AN698" s="163"/>
      <c r="AO698" s="163"/>
      <c r="AP698" s="163"/>
      <c r="AQ698" s="163"/>
      <c r="AR698" s="163"/>
      <c r="AS698" s="163"/>
      <c r="AT698" s="163"/>
    </row>
    <row r="699" spans="1:46" ht="15.75" hidden="1" customHeight="1" x14ac:dyDescent="0.35">
      <c r="A699" s="149">
        <v>10</v>
      </c>
      <c r="B699" s="149" t="s">
        <v>89</v>
      </c>
      <c r="C699" s="150" t="s">
        <v>1249</v>
      </c>
      <c r="D699" s="150" t="s">
        <v>1250</v>
      </c>
      <c r="E699" s="150">
        <v>2</v>
      </c>
      <c r="F699" s="151">
        <v>41461</v>
      </c>
      <c r="G699" s="153" t="s">
        <v>1374</v>
      </c>
      <c r="H699" s="153">
        <v>9132128680</v>
      </c>
      <c r="I699" s="153" t="s">
        <v>1251</v>
      </c>
      <c r="J699" s="154">
        <v>44621</v>
      </c>
      <c r="K699" s="153" t="s">
        <v>167</v>
      </c>
      <c r="L699" s="153" t="s">
        <v>994</v>
      </c>
      <c r="M699" s="153" t="s">
        <v>1175</v>
      </c>
      <c r="N699" s="150" t="s">
        <v>35</v>
      </c>
      <c r="O699" s="151">
        <v>44743</v>
      </c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  <c r="AG699" s="163"/>
      <c r="AH699" s="163"/>
      <c r="AI699" s="163"/>
      <c r="AJ699" s="163"/>
      <c r="AK699" s="163"/>
      <c r="AL699" s="163"/>
      <c r="AM699" s="163"/>
      <c r="AN699" s="163"/>
      <c r="AO699" s="163"/>
      <c r="AP699" s="163"/>
      <c r="AQ699" s="163"/>
      <c r="AR699" s="163"/>
      <c r="AS699" s="163"/>
      <c r="AT699" s="163"/>
    </row>
    <row r="700" spans="1:46" ht="15.75" hidden="1" customHeight="1" x14ac:dyDescent="0.35">
      <c r="A700" s="149">
        <v>11</v>
      </c>
      <c r="B700" s="149" t="s">
        <v>49</v>
      </c>
      <c r="C700" s="150" t="s">
        <v>1375</v>
      </c>
      <c r="D700" s="150" t="s">
        <v>1376</v>
      </c>
      <c r="E700" s="150">
        <v>2</v>
      </c>
      <c r="F700" s="151">
        <v>41915</v>
      </c>
      <c r="G700" s="153" t="s">
        <v>1377</v>
      </c>
      <c r="H700" s="153" t="s">
        <v>1378</v>
      </c>
      <c r="I700" s="153" t="s">
        <v>1379</v>
      </c>
      <c r="J700" s="154">
        <v>44718</v>
      </c>
      <c r="K700" s="153" t="s">
        <v>130</v>
      </c>
      <c r="L700" s="153" t="s">
        <v>1145</v>
      </c>
      <c r="M700" s="153"/>
      <c r="N700" s="150" t="s">
        <v>35</v>
      </c>
      <c r="O700" s="151">
        <v>44743</v>
      </c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  <c r="AG700" s="163"/>
      <c r="AH700" s="163"/>
      <c r="AI700" s="163"/>
      <c r="AJ700" s="163"/>
      <c r="AK700" s="163"/>
      <c r="AL700" s="163"/>
      <c r="AM700" s="163"/>
      <c r="AN700" s="163"/>
      <c r="AO700" s="163"/>
      <c r="AP700" s="163"/>
      <c r="AQ700" s="163"/>
      <c r="AR700" s="163"/>
      <c r="AS700" s="163"/>
      <c r="AT700" s="163"/>
    </row>
    <row r="701" spans="1:46" ht="15.75" hidden="1" customHeight="1" x14ac:dyDescent="0.35">
      <c r="A701" s="149">
        <v>12</v>
      </c>
      <c r="B701" s="149" t="s">
        <v>89</v>
      </c>
      <c r="C701" s="150" t="s">
        <v>1375</v>
      </c>
      <c r="D701" s="150" t="s">
        <v>1376</v>
      </c>
      <c r="E701" s="150">
        <v>2</v>
      </c>
      <c r="F701" s="151">
        <v>41915</v>
      </c>
      <c r="G701" s="153" t="s">
        <v>1377</v>
      </c>
      <c r="H701" s="153" t="s">
        <v>1378</v>
      </c>
      <c r="I701" s="153" t="s">
        <v>1379</v>
      </c>
      <c r="J701" s="154">
        <v>44718</v>
      </c>
      <c r="K701" s="153" t="s">
        <v>132</v>
      </c>
      <c r="L701" s="153" t="s">
        <v>589</v>
      </c>
      <c r="M701" s="153"/>
      <c r="N701" s="150" t="s">
        <v>35</v>
      </c>
      <c r="O701" s="151">
        <v>44743</v>
      </c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  <c r="AG701" s="163"/>
      <c r="AH701" s="163"/>
      <c r="AI701" s="163"/>
      <c r="AJ701" s="163"/>
      <c r="AK701" s="163"/>
      <c r="AL701" s="163"/>
      <c r="AM701" s="163"/>
      <c r="AN701" s="163"/>
      <c r="AO701" s="163"/>
      <c r="AP701" s="163"/>
      <c r="AQ701" s="163"/>
      <c r="AR701" s="163"/>
      <c r="AS701" s="163"/>
      <c r="AT701" s="163"/>
    </row>
    <row r="702" spans="1:46" ht="15.75" hidden="1" customHeight="1" x14ac:dyDescent="0.35">
      <c r="A702" s="149">
        <v>13</v>
      </c>
      <c r="B702" s="149" t="s">
        <v>49</v>
      </c>
      <c r="C702" s="150" t="s">
        <v>889</v>
      </c>
      <c r="D702" s="150" t="s">
        <v>563</v>
      </c>
      <c r="E702" s="150" t="s">
        <v>180</v>
      </c>
      <c r="F702" s="151">
        <v>42673</v>
      </c>
      <c r="G702" s="153" t="s">
        <v>1380</v>
      </c>
      <c r="H702" s="153">
        <v>8034041992</v>
      </c>
      <c r="I702" s="153" t="s">
        <v>1381</v>
      </c>
      <c r="J702" s="154">
        <v>44562</v>
      </c>
      <c r="K702" s="153" t="s">
        <v>182</v>
      </c>
      <c r="L702" s="153" t="s">
        <v>589</v>
      </c>
      <c r="M702" s="153" t="s">
        <v>1234</v>
      </c>
      <c r="N702" s="150" t="s">
        <v>35</v>
      </c>
      <c r="O702" s="151">
        <v>44743</v>
      </c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  <c r="AG702" s="163"/>
      <c r="AH702" s="163"/>
      <c r="AI702" s="163"/>
      <c r="AJ702" s="163"/>
      <c r="AK702" s="163"/>
      <c r="AL702" s="163"/>
      <c r="AM702" s="163"/>
      <c r="AN702" s="163"/>
      <c r="AO702" s="163"/>
      <c r="AP702" s="163"/>
      <c r="AQ702" s="163"/>
      <c r="AR702" s="163"/>
      <c r="AS702" s="163"/>
      <c r="AT702" s="163"/>
    </row>
    <row r="703" spans="1:46" ht="15.75" hidden="1" customHeight="1" x14ac:dyDescent="0.35">
      <c r="A703" s="149">
        <v>14</v>
      </c>
      <c r="B703" s="149" t="s">
        <v>89</v>
      </c>
      <c r="C703" s="150" t="s">
        <v>889</v>
      </c>
      <c r="D703" s="150" t="s">
        <v>563</v>
      </c>
      <c r="E703" s="150" t="s">
        <v>180</v>
      </c>
      <c r="F703" s="151">
        <v>42673</v>
      </c>
      <c r="G703" s="153" t="s">
        <v>1380</v>
      </c>
      <c r="H703" s="153">
        <v>8034041992</v>
      </c>
      <c r="I703" s="153" t="s">
        <v>1381</v>
      </c>
      <c r="J703" s="154">
        <v>44562</v>
      </c>
      <c r="K703" s="153" t="s">
        <v>277</v>
      </c>
      <c r="L703" s="153" t="s">
        <v>994</v>
      </c>
      <c r="M703" s="153" t="s">
        <v>1234</v>
      </c>
      <c r="N703" s="150" t="s">
        <v>35</v>
      </c>
      <c r="O703" s="151">
        <v>44743</v>
      </c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  <c r="AG703" s="163"/>
      <c r="AH703" s="163"/>
      <c r="AI703" s="163"/>
      <c r="AJ703" s="163"/>
      <c r="AK703" s="163"/>
      <c r="AL703" s="163"/>
      <c r="AM703" s="163"/>
      <c r="AN703" s="163"/>
      <c r="AO703" s="163"/>
      <c r="AP703" s="163"/>
      <c r="AQ703" s="163"/>
      <c r="AR703" s="163"/>
      <c r="AS703" s="163"/>
      <c r="AT703" s="163"/>
    </row>
    <row r="704" spans="1:46" ht="15.75" hidden="1" customHeight="1" x14ac:dyDescent="0.35">
      <c r="A704" s="149">
        <v>15</v>
      </c>
      <c r="B704" s="149" t="s">
        <v>49</v>
      </c>
      <c r="C704" s="150" t="s">
        <v>425</v>
      </c>
      <c r="D704" s="150" t="s">
        <v>1382</v>
      </c>
      <c r="E704" s="150">
        <v>1</v>
      </c>
      <c r="F704" s="151">
        <v>42086</v>
      </c>
      <c r="G704" s="153" t="s">
        <v>1383</v>
      </c>
      <c r="H704" s="153">
        <v>5109848496</v>
      </c>
      <c r="I704" s="153" t="s">
        <v>1384</v>
      </c>
      <c r="J704" s="154">
        <v>44447</v>
      </c>
      <c r="K704" s="153" t="s">
        <v>145</v>
      </c>
      <c r="L704" s="153" t="s">
        <v>589</v>
      </c>
      <c r="M704" s="153"/>
      <c r="N704" s="150" t="s">
        <v>35</v>
      </c>
      <c r="O704" s="151">
        <v>44743</v>
      </c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  <c r="AG704" s="163"/>
      <c r="AH704" s="163"/>
      <c r="AI704" s="163"/>
      <c r="AJ704" s="163"/>
      <c r="AK704" s="163"/>
      <c r="AL704" s="163"/>
      <c r="AM704" s="163"/>
      <c r="AN704" s="163"/>
      <c r="AO704" s="163"/>
      <c r="AP704" s="163"/>
      <c r="AQ704" s="163"/>
      <c r="AR704" s="163"/>
      <c r="AS704" s="163"/>
      <c r="AT704" s="163"/>
    </row>
    <row r="705" spans="1:46" ht="15.75" hidden="1" customHeight="1" x14ac:dyDescent="0.35">
      <c r="A705" s="149">
        <v>16</v>
      </c>
      <c r="B705" s="149" t="s">
        <v>49</v>
      </c>
      <c r="C705" s="150" t="s">
        <v>694</v>
      </c>
      <c r="D705" s="150" t="s">
        <v>815</v>
      </c>
      <c r="E705" s="150">
        <v>4</v>
      </c>
      <c r="F705" s="151" t="s">
        <v>696</v>
      </c>
      <c r="G705" s="153" t="s">
        <v>697</v>
      </c>
      <c r="H705" s="153" t="s">
        <v>698</v>
      </c>
      <c r="I705" s="153" t="s">
        <v>699</v>
      </c>
      <c r="J705" s="154">
        <v>44136</v>
      </c>
      <c r="K705" s="153" t="s">
        <v>264</v>
      </c>
      <c r="L705" s="153" t="s">
        <v>994</v>
      </c>
      <c r="M705" s="153"/>
      <c r="N705" s="150" t="s">
        <v>35</v>
      </c>
      <c r="O705" s="151">
        <v>44743</v>
      </c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  <c r="AG705" s="163"/>
      <c r="AH705" s="163"/>
      <c r="AI705" s="163"/>
      <c r="AJ705" s="163"/>
      <c r="AK705" s="163"/>
      <c r="AL705" s="163"/>
      <c r="AM705" s="163"/>
      <c r="AN705" s="163"/>
      <c r="AO705" s="163"/>
      <c r="AP705" s="163"/>
      <c r="AQ705" s="163"/>
      <c r="AR705" s="163"/>
      <c r="AS705" s="163"/>
      <c r="AT705" s="163"/>
    </row>
    <row r="706" spans="1:46" ht="15.75" hidden="1" customHeight="1" x14ac:dyDescent="0.35">
      <c r="A706" s="149">
        <v>17</v>
      </c>
      <c r="B706" s="149" t="s">
        <v>89</v>
      </c>
      <c r="C706" s="150" t="s">
        <v>694</v>
      </c>
      <c r="D706" s="150" t="s">
        <v>815</v>
      </c>
      <c r="E706" s="150">
        <v>4</v>
      </c>
      <c r="F706" s="151" t="s">
        <v>696</v>
      </c>
      <c r="G706" s="153" t="s">
        <v>697</v>
      </c>
      <c r="H706" s="153" t="s">
        <v>698</v>
      </c>
      <c r="I706" s="153" t="s">
        <v>699</v>
      </c>
      <c r="J706" s="154">
        <v>44136</v>
      </c>
      <c r="K706" s="153" t="s">
        <v>240</v>
      </c>
      <c r="L706" s="153" t="s">
        <v>589</v>
      </c>
      <c r="M706" s="153"/>
      <c r="N706" s="150" t="s">
        <v>35</v>
      </c>
      <c r="O706" s="151">
        <v>44743</v>
      </c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  <c r="AG706" s="163"/>
      <c r="AH706" s="163"/>
      <c r="AI706" s="163"/>
      <c r="AJ706" s="163"/>
      <c r="AK706" s="163"/>
      <c r="AL706" s="163"/>
      <c r="AM706" s="163"/>
      <c r="AN706" s="163"/>
      <c r="AO706" s="163"/>
      <c r="AP706" s="163"/>
      <c r="AQ706" s="163"/>
      <c r="AR706" s="163"/>
      <c r="AS706" s="163"/>
      <c r="AT706" s="163"/>
    </row>
    <row r="707" spans="1:46" ht="15.75" hidden="1" customHeight="1" x14ac:dyDescent="0.35">
      <c r="A707" s="149">
        <v>18</v>
      </c>
      <c r="B707" s="149" t="s">
        <v>49</v>
      </c>
      <c r="C707" s="150" t="s">
        <v>465</v>
      </c>
      <c r="D707" s="150" t="s">
        <v>466</v>
      </c>
      <c r="E707" s="150">
        <v>4</v>
      </c>
      <c r="F707" s="151">
        <v>40999</v>
      </c>
      <c r="G707" s="153" t="s">
        <v>467</v>
      </c>
      <c r="H707" s="153">
        <v>5103047872</v>
      </c>
      <c r="I707" s="153" t="s">
        <v>468</v>
      </c>
      <c r="J707" s="154">
        <v>44458</v>
      </c>
      <c r="K707" s="153" t="s">
        <v>256</v>
      </c>
      <c r="L707" s="153" t="s">
        <v>589</v>
      </c>
      <c r="M707" s="153" t="s">
        <v>1369</v>
      </c>
      <c r="N707" s="150" t="s">
        <v>35</v>
      </c>
      <c r="O707" s="151">
        <v>44743</v>
      </c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  <c r="AG707" s="163"/>
      <c r="AH707" s="163"/>
      <c r="AI707" s="163"/>
      <c r="AJ707" s="163"/>
      <c r="AK707" s="163"/>
      <c r="AL707" s="163"/>
      <c r="AM707" s="163"/>
      <c r="AN707" s="163"/>
      <c r="AO707" s="163"/>
      <c r="AP707" s="163"/>
      <c r="AQ707" s="163"/>
      <c r="AR707" s="163"/>
      <c r="AS707" s="163"/>
      <c r="AT707" s="163"/>
    </row>
    <row r="708" spans="1:46" ht="15.75" hidden="1" customHeight="1" x14ac:dyDescent="0.35">
      <c r="A708" s="149">
        <v>19</v>
      </c>
      <c r="B708" s="149" t="s">
        <v>89</v>
      </c>
      <c r="C708" s="150" t="s">
        <v>465</v>
      </c>
      <c r="D708" s="150" t="s">
        <v>466</v>
      </c>
      <c r="E708" s="150">
        <v>4</v>
      </c>
      <c r="F708" s="151">
        <v>40999</v>
      </c>
      <c r="G708" s="153" t="s">
        <v>467</v>
      </c>
      <c r="H708" s="153">
        <v>5103047872</v>
      </c>
      <c r="I708" s="153" t="s">
        <v>468</v>
      </c>
      <c r="J708" s="154">
        <v>44458</v>
      </c>
      <c r="K708" s="153" t="s">
        <v>301</v>
      </c>
      <c r="L708" s="153" t="s">
        <v>543</v>
      </c>
      <c r="M708" s="153"/>
      <c r="N708" s="150" t="s">
        <v>35</v>
      </c>
      <c r="O708" s="151">
        <v>44743</v>
      </c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  <c r="AG708" s="163"/>
      <c r="AH708" s="163"/>
      <c r="AI708" s="163"/>
      <c r="AJ708" s="163"/>
      <c r="AK708" s="163"/>
      <c r="AL708" s="163"/>
      <c r="AM708" s="163"/>
      <c r="AN708" s="163"/>
      <c r="AO708" s="163"/>
      <c r="AP708" s="163"/>
      <c r="AQ708" s="163"/>
      <c r="AR708" s="163"/>
      <c r="AS708" s="163"/>
      <c r="AT708" s="163"/>
    </row>
    <row r="709" spans="1:46" ht="15.75" hidden="1" customHeight="1" x14ac:dyDescent="0.35">
      <c r="A709" s="148">
        <v>1</v>
      </c>
      <c r="B709" s="148" t="s">
        <v>49</v>
      </c>
      <c r="C709" s="89" t="s">
        <v>1385</v>
      </c>
      <c r="D709" s="89" t="s">
        <v>1386</v>
      </c>
      <c r="E709" s="89" t="s">
        <v>180</v>
      </c>
      <c r="F709" s="170">
        <v>42565</v>
      </c>
      <c r="G709" s="171" t="s">
        <v>1387</v>
      </c>
      <c r="H709" s="171">
        <v>6692685623</v>
      </c>
      <c r="I709" s="172" t="s">
        <v>1388</v>
      </c>
      <c r="J709" s="173" t="s">
        <v>1244</v>
      </c>
      <c r="K709" s="171" t="s">
        <v>145</v>
      </c>
      <c r="L709" s="171" t="s">
        <v>994</v>
      </c>
      <c r="M709" s="171"/>
      <c r="N709" s="89" t="s">
        <v>35</v>
      </c>
      <c r="O709" s="170">
        <v>44774</v>
      </c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  <c r="AG709" s="163"/>
      <c r="AH709" s="163"/>
      <c r="AI709" s="163"/>
      <c r="AJ709" s="163"/>
      <c r="AK709" s="163"/>
      <c r="AL709" s="163"/>
      <c r="AM709" s="163"/>
      <c r="AN709" s="163"/>
      <c r="AO709" s="163"/>
      <c r="AP709" s="163"/>
      <c r="AQ709" s="163"/>
      <c r="AR709" s="163"/>
      <c r="AS709" s="163"/>
      <c r="AT709" s="163"/>
    </row>
    <row r="710" spans="1:46" ht="15.75" hidden="1" customHeight="1" x14ac:dyDescent="0.35">
      <c r="A710" s="148">
        <v>2</v>
      </c>
      <c r="B710" s="148" t="s">
        <v>89</v>
      </c>
      <c r="C710" s="89" t="s">
        <v>1385</v>
      </c>
      <c r="D710" s="89" t="s">
        <v>1386</v>
      </c>
      <c r="E710" s="89" t="s">
        <v>180</v>
      </c>
      <c r="F710" s="170">
        <v>42565</v>
      </c>
      <c r="G710" s="171" t="s">
        <v>1387</v>
      </c>
      <c r="H710" s="171">
        <v>6692685623</v>
      </c>
      <c r="I710" s="171" t="s">
        <v>1388</v>
      </c>
      <c r="J710" s="173" t="s">
        <v>1244</v>
      </c>
      <c r="K710" s="171" t="s">
        <v>146</v>
      </c>
      <c r="L710" s="171" t="s">
        <v>994</v>
      </c>
      <c r="M710" s="171"/>
      <c r="N710" s="89" t="s">
        <v>35</v>
      </c>
      <c r="O710" s="170">
        <v>44774</v>
      </c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  <c r="AG710" s="163"/>
      <c r="AH710" s="163"/>
      <c r="AI710" s="163"/>
      <c r="AJ710" s="163"/>
      <c r="AK710" s="163"/>
      <c r="AL710" s="163"/>
      <c r="AM710" s="163"/>
      <c r="AN710" s="163"/>
      <c r="AO710" s="163"/>
      <c r="AP710" s="163"/>
      <c r="AQ710" s="163"/>
      <c r="AR710" s="163"/>
      <c r="AS710" s="163"/>
      <c r="AT710" s="163"/>
    </row>
    <row r="711" spans="1:46" ht="15.75" hidden="1" customHeight="1" x14ac:dyDescent="0.35">
      <c r="A711" s="148">
        <v>3</v>
      </c>
      <c r="B711" s="148" t="s">
        <v>49</v>
      </c>
      <c r="C711" s="89" t="s">
        <v>1389</v>
      </c>
      <c r="D711" s="89" t="s">
        <v>1390</v>
      </c>
      <c r="E711" s="89">
        <v>5</v>
      </c>
      <c r="F711" s="170">
        <v>40985</v>
      </c>
      <c r="G711" s="171" t="s">
        <v>1391</v>
      </c>
      <c r="H711" s="171">
        <v>4084990317</v>
      </c>
      <c r="I711" s="171" t="s">
        <v>1392</v>
      </c>
      <c r="J711" s="173">
        <v>44722</v>
      </c>
      <c r="K711" s="171" t="s">
        <v>161</v>
      </c>
      <c r="L711" s="171" t="s">
        <v>950</v>
      </c>
      <c r="M711" s="171"/>
      <c r="N711" s="89" t="s">
        <v>35</v>
      </c>
      <c r="O711" s="170">
        <v>44774</v>
      </c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  <c r="AG711" s="163"/>
      <c r="AH711" s="163"/>
      <c r="AI711" s="163"/>
      <c r="AJ711" s="163"/>
      <c r="AK711" s="163"/>
      <c r="AL711" s="163"/>
      <c r="AM711" s="163"/>
      <c r="AN711" s="163"/>
      <c r="AO711" s="163"/>
      <c r="AP711" s="163"/>
      <c r="AQ711" s="163"/>
      <c r="AR711" s="163"/>
      <c r="AS711" s="163"/>
      <c r="AT711" s="163"/>
    </row>
    <row r="712" spans="1:46" ht="15.75" hidden="1" customHeight="1" x14ac:dyDescent="0.35">
      <c r="A712" s="148">
        <v>4</v>
      </c>
      <c r="B712" s="148" t="s">
        <v>89</v>
      </c>
      <c r="C712" s="89" t="s">
        <v>1389</v>
      </c>
      <c r="D712" s="89" t="s">
        <v>1390</v>
      </c>
      <c r="E712" s="89">
        <v>5</v>
      </c>
      <c r="F712" s="170">
        <v>40985</v>
      </c>
      <c r="G712" s="171" t="s">
        <v>1391</v>
      </c>
      <c r="H712" s="171">
        <v>4084990317</v>
      </c>
      <c r="I712" s="171" t="s">
        <v>1392</v>
      </c>
      <c r="J712" s="173">
        <v>44722</v>
      </c>
      <c r="K712" s="171" t="s">
        <v>163</v>
      </c>
      <c r="L712" s="171" t="s">
        <v>950</v>
      </c>
      <c r="M712" s="171"/>
      <c r="N712" s="89" t="s">
        <v>35</v>
      </c>
      <c r="O712" s="170">
        <v>44774</v>
      </c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  <c r="AG712" s="163"/>
      <c r="AH712" s="163"/>
      <c r="AI712" s="163"/>
      <c r="AJ712" s="163"/>
      <c r="AK712" s="163"/>
      <c r="AL712" s="163"/>
      <c r="AM712" s="163"/>
      <c r="AN712" s="163"/>
      <c r="AO712" s="163"/>
      <c r="AP712" s="163"/>
      <c r="AQ712" s="163"/>
      <c r="AR712" s="163"/>
      <c r="AS712" s="163"/>
      <c r="AT712" s="163"/>
    </row>
    <row r="713" spans="1:46" ht="15.75" hidden="1" customHeight="1" x14ac:dyDescent="0.35">
      <c r="A713" s="148">
        <v>5</v>
      </c>
      <c r="B713" s="148" t="s">
        <v>49</v>
      </c>
      <c r="C713" s="89" t="s">
        <v>1393</v>
      </c>
      <c r="D713" s="89" t="s">
        <v>1394</v>
      </c>
      <c r="E713" s="89" t="s">
        <v>180</v>
      </c>
      <c r="F713" s="170">
        <v>42521</v>
      </c>
      <c r="G713" s="171" t="s">
        <v>1395</v>
      </c>
      <c r="H713" s="171">
        <v>4082046275</v>
      </c>
      <c r="I713" s="171" t="s">
        <v>1396</v>
      </c>
      <c r="J713" s="173">
        <v>44598</v>
      </c>
      <c r="K713" s="171" t="s">
        <v>691</v>
      </c>
      <c r="L713" s="171" t="s">
        <v>950</v>
      </c>
      <c r="M713" s="171"/>
      <c r="N713" s="89" t="s">
        <v>35</v>
      </c>
      <c r="O713" s="170">
        <v>44774</v>
      </c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  <c r="AG713" s="163"/>
      <c r="AH713" s="163"/>
      <c r="AI713" s="163"/>
      <c r="AJ713" s="163"/>
      <c r="AK713" s="163"/>
      <c r="AL713" s="163"/>
      <c r="AM713" s="163"/>
      <c r="AN713" s="163"/>
      <c r="AO713" s="163"/>
      <c r="AP713" s="163"/>
      <c r="AQ713" s="163"/>
      <c r="AR713" s="163"/>
      <c r="AS713" s="163"/>
      <c r="AT713" s="163"/>
    </row>
    <row r="714" spans="1:46" ht="15.75" hidden="1" customHeight="1" x14ac:dyDescent="0.35">
      <c r="A714" s="148">
        <v>6</v>
      </c>
      <c r="B714" s="148" t="s">
        <v>89</v>
      </c>
      <c r="C714" s="89" t="s">
        <v>1393</v>
      </c>
      <c r="D714" s="89" t="s">
        <v>1394</v>
      </c>
      <c r="E714" s="89" t="s">
        <v>180</v>
      </c>
      <c r="F714" s="170">
        <v>42521</v>
      </c>
      <c r="G714" s="171" t="s">
        <v>1395</v>
      </c>
      <c r="H714" s="171">
        <v>4082046275</v>
      </c>
      <c r="I714" s="171" t="s">
        <v>1396</v>
      </c>
      <c r="J714" s="173">
        <v>44598</v>
      </c>
      <c r="K714" s="171" t="s">
        <v>184</v>
      </c>
      <c r="L714" s="171" t="s">
        <v>950</v>
      </c>
      <c r="M714" s="171"/>
      <c r="N714" s="89" t="s">
        <v>35</v>
      </c>
      <c r="O714" s="170">
        <v>44774</v>
      </c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  <c r="AG714" s="163"/>
      <c r="AH714" s="163"/>
      <c r="AI714" s="163"/>
      <c r="AJ714" s="163"/>
      <c r="AK714" s="163"/>
      <c r="AL714" s="163"/>
      <c r="AM714" s="163"/>
      <c r="AN714" s="163"/>
      <c r="AO714" s="163"/>
      <c r="AP714" s="163"/>
      <c r="AQ714" s="163"/>
      <c r="AR714" s="163"/>
      <c r="AS714" s="163"/>
      <c r="AT714" s="163"/>
    </row>
    <row r="715" spans="1:46" ht="15.75" hidden="1" customHeight="1" x14ac:dyDescent="0.35">
      <c r="A715" s="148">
        <v>7</v>
      </c>
      <c r="B715" s="148" t="s">
        <v>49</v>
      </c>
      <c r="C715" s="89" t="s">
        <v>1393</v>
      </c>
      <c r="D715" s="89" t="s">
        <v>1397</v>
      </c>
      <c r="E715" s="89">
        <v>4</v>
      </c>
      <c r="F715" s="170">
        <v>41275</v>
      </c>
      <c r="G715" s="171" t="s">
        <v>1398</v>
      </c>
      <c r="H715" s="171">
        <v>4082046275</v>
      </c>
      <c r="I715" s="171" t="s">
        <v>1399</v>
      </c>
      <c r="J715" s="173">
        <v>44722</v>
      </c>
      <c r="K715" s="171" t="s">
        <v>161</v>
      </c>
      <c r="L715" s="171" t="s">
        <v>994</v>
      </c>
      <c r="M715" s="171"/>
      <c r="N715" s="89" t="s">
        <v>35</v>
      </c>
      <c r="O715" s="170">
        <v>44774</v>
      </c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  <c r="AG715" s="163"/>
      <c r="AH715" s="163"/>
      <c r="AI715" s="163"/>
      <c r="AJ715" s="163"/>
      <c r="AK715" s="163"/>
      <c r="AL715" s="163"/>
      <c r="AM715" s="163"/>
      <c r="AN715" s="163"/>
      <c r="AO715" s="163"/>
      <c r="AP715" s="163"/>
      <c r="AQ715" s="163"/>
      <c r="AR715" s="163"/>
      <c r="AS715" s="163"/>
      <c r="AT715" s="163"/>
    </row>
    <row r="716" spans="1:46" ht="15.75" hidden="1" customHeight="1" x14ac:dyDescent="0.35">
      <c r="A716" s="148">
        <v>8</v>
      </c>
      <c r="B716" s="148" t="s">
        <v>89</v>
      </c>
      <c r="C716" s="89" t="s">
        <v>1393</v>
      </c>
      <c r="D716" s="89" t="s">
        <v>1397</v>
      </c>
      <c r="E716" s="89">
        <v>4</v>
      </c>
      <c r="F716" s="170">
        <v>41275</v>
      </c>
      <c r="G716" s="171" t="s">
        <v>1398</v>
      </c>
      <c r="H716" s="171">
        <v>4082046275</v>
      </c>
      <c r="I716" s="171" t="s">
        <v>1399</v>
      </c>
      <c r="J716" s="173">
        <v>44722</v>
      </c>
      <c r="K716" s="171" t="s">
        <v>163</v>
      </c>
      <c r="L716" s="171" t="s">
        <v>950</v>
      </c>
      <c r="M716" s="171"/>
      <c r="N716" s="89" t="s">
        <v>35</v>
      </c>
      <c r="O716" s="170">
        <v>44774</v>
      </c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  <c r="AG716" s="163"/>
      <c r="AH716" s="163"/>
      <c r="AI716" s="163"/>
      <c r="AJ716" s="163"/>
      <c r="AK716" s="163"/>
      <c r="AL716" s="163"/>
      <c r="AM716" s="163"/>
      <c r="AN716" s="163"/>
      <c r="AO716" s="163"/>
      <c r="AP716" s="163"/>
      <c r="AQ716" s="163"/>
      <c r="AR716" s="163"/>
      <c r="AS716" s="163"/>
      <c r="AT716" s="163"/>
    </row>
    <row r="717" spans="1:46" ht="15.75" hidden="1" customHeight="1" x14ac:dyDescent="0.35">
      <c r="A717" s="148">
        <v>9</v>
      </c>
      <c r="B717" s="148" t="s">
        <v>89</v>
      </c>
      <c r="C717" s="89" t="s">
        <v>134</v>
      </c>
      <c r="D717" s="89" t="s">
        <v>135</v>
      </c>
      <c r="E717" s="89">
        <v>3</v>
      </c>
      <c r="F717" s="170">
        <v>41393</v>
      </c>
      <c r="G717" s="171" t="s">
        <v>1016</v>
      </c>
      <c r="H717" s="171" t="s">
        <v>137</v>
      </c>
      <c r="I717" s="171" t="s">
        <v>138</v>
      </c>
      <c r="J717" s="173">
        <v>44621</v>
      </c>
      <c r="K717" s="171" t="s">
        <v>163</v>
      </c>
      <c r="L717" s="171" t="s">
        <v>589</v>
      </c>
      <c r="M717" s="171"/>
      <c r="N717" s="89" t="s">
        <v>35</v>
      </c>
      <c r="O717" s="170">
        <v>44774</v>
      </c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  <c r="AG717" s="163"/>
      <c r="AH717" s="163"/>
      <c r="AI717" s="163"/>
      <c r="AJ717" s="163"/>
      <c r="AK717" s="163"/>
      <c r="AL717" s="163"/>
      <c r="AM717" s="163"/>
      <c r="AN717" s="163"/>
      <c r="AO717" s="163"/>
      <c r="AP717" s="163"/>
      <c r="AQ717" s="163"/>
      <c r="AR717" s="163"/>
      <c r="AS717" s="163"/>
      <c r="AT717" s="163"/>
    </row>
    <row r="718" spans="1:46" ht="15.75" hidden="1" customHeight="1" x14ac:dyDescent="0.35">
      <c r="A718" s="148">
        <v>10</v>
      </c>
      <c r="B718" s="148" t="s">
        <v>49</v>
      </c>
      <c r="C718" s="89" t="s">
        <v>1400</v>
      </c>
      <c r="D718" s="89" t="s">
        <v>1401</v>
      </c>
      <c r="E718" s="89">
        <v>7</v>
      </c>
      <c r="F718" s="170">
        <v>40205</v>
      </c>
      <c r="G718" s="171" t="s">
        <v>1402</v>
      </c>
      <c r="H718" s="171">
        <v>4084392389</v>
      </c>
      <c r="I718" s="171" t="s">
        <v>1403</v>
      </c>
      <c r="J718" s="173">
        <v>44729</v>
      </c>
      <c r="K718" s="171" t="s">
        <v>109</v>
      </c>
      <c r="L718" s="171" t="s">
        <v>994</v>
      </c>
      <c r="M718" s="171"/>
      <c r="N718" s="89" t="s">
        <v>35</v>
      </c>
      <c r="O718" s="170">
        <v>44774</v>
      </c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  <c r="AG718" s="163"/>
      <c r="AH718" s="163"/>
      <c r="AI718" s="163"/>
      <c r="AJ718" s="163"/>
      <c r="AK718" s="163"/>
      <c r="AL718" s="163"/>
      <c r="AM718" s="163"/>
      <c r="AN718" s="163"/>
      <c r="AO718" s="163"/>
      <c r="AP718" s="163"/>
      <c r="AQ718" s="163"/>
      <c r="AR718" s="163"/>
      <c r="AS718" s="163"/>
      <c r="AT718" s="163"/>
    </row>
    <row r="719" spans="1:46" ht="15.75" hidden="1" customHeight="1" x14ac:dyDescent="0.35">
      <c r="A719" s="148">
        <v>11</v>
      </c>
      <c r="B719" s="148" t="s">
        <v>89</v>
      </c>
      <c r="C719" s="89" t="s">
        <v>1400</v>
      </c>
      <c r="D719" s="89" t="s">
        <v>1401</v>
      </c>
      <c r="E719" s="89">
        <v>7</v>
      </c>
      <c r="F719" s="170">
        <v>40205</v>
      </c>
      <c r="G719" s="171" t="s">
        <v>1402</v>
      </c>
      <c r="H719" s="171">
        <v>4084392389</v>
      </c>
      <c r="I719" s="171" t="s">
        <v>1403</v>
      </c>
      <c r="J719" s="173">
        <v>44729</v>
      </c>
      <c r="K719" s="171" t="s">
        <v>167</v>
      </c>
      <c r="L719" s="171" t="s">
        <v>994</v>
      </c>
      <c r="M719" s="171"/>
      <c r="N719" s="89" t="s">
        <v>35</v>
      </c>
      <c r="O719" s="170">
        <v>44774</v>
      </c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  <c r="AG719" s="163"/>
      <c r="AH719" s="163"/>
      <c r="AI719" s="163"/>
      <c r="AJ719" s="163"/>
      <c r="AK719" s="163"/>
      <c r="AL719" s="163"/>
      <c r="AM719" s="163"/>
      <c r="AN719" s="163"/>
      <c r="AO719" s="163"/>
      <c r="AP719" s="163"/>
      <c r="AQ719" s="163"/>
      <c r="AR719" s="163"/>
      <c r="AS719" s="163"/>
      <c r="AT719" s="163"/>
    </row>
    <row r="720" spans="1:46" ht="15.75" hidden="1" customHeight="1" x14ac:dyDescent="0.35">
      <c r="A720" s="148">
        <v>12</v>
      </c>
      <c r="B720" s="148" t="s">
        <v>89</v>
      </c>
      <c r="C720" s="89" t="s">
        <v>289</v>
      </c>
      <c r="D720" s="89" t="s">
        <v>290</v>
      </c>
      <c r="E720" s="89">
        <v>4</v>
      </c>
      <c r="F720" s="170">
        <v>41041</v>
      </c>
      <c r="G720" s="171" t="s">
        <v>1404</v>
      </c>
      <c r="H720" s="171">
        <v>4082293998</v>
      </c>
      <c r="I720" s="171" t="s">
        <v>292</v>
      </c>
      <c r="J720" s="173">
        <v>44531</v>
      </c>
      <c r="K720" s="171" t="s">
        <v>167</v>
      </c>
      <c r="L720" s="171" t="s">
        <v>589</v>
      </c>
      <c r="M720" s="171"/>
      <c r="N720" s="89" t="s">
        <v>35</v>
      </c>
      <c r="O720" s="170">
        <v>44774</v>
      </c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  <c r="AG720" s="163"/>
      <c r="AH720" s="163"/>
      <c r="AI720" s="163"/>
      <c r="AJ720" s="163"/>
      <c r="AK720" s="163"/>
      <c r="AL720" s="163"/>
      <c r="AM720" s="163"/>
      <c r="AN720" s="163"/>
      <c r="AO720" s="163"/>
      <c r="AP720" s="163"/>
      <c r="AQ720" s="163"/>
      <c r="AR720" s="163"/>
      <c r="AS720" s="163"/>
      <c r="AT720" s="163"/>
    </row>
    <row r="721" spans="1:46" ht="15.75" hidden="1" customHeight="1" x14ac:dyDescent="0.35">
      <c r="A721" s="148">
        <v>13</v>
      </c>
      <c r="B721" s="148" t="s">
        <v>89</v>
      </c>
      <c r="C721" s="89" t="s">
        <v>289</v>
      </c>
      <c r="D721" s="89" t="s">
        <v>290</v>
      </c>
      <c r="E721" s="89">
        <v>4</v>
      </c>
      <c r="F721" s="170">
        <v>41041</v>
      </c>
      <c r="G721" s="171" t="s">
        <v>1404</v>
      </c>
      <c r="H721" s="171">
        <v>4082293998</v>
      </c>
      <c r="I721" s="171" t="s">
        <v>292</v>
      </c>
      <c r="J721" s="173">
        <v>44531</v>
      </c>
      <c r="K721" s="171" t="s">
        <v>109</v>
      </c>
      <c r="L721" s="171" t="s">
        <v>589</v>
      </c>
      <c r="M721" s="171"/>
      <c r="N721" s="89" t="s">
        <v>35</v>
      </c>
      <c r="O721" s="170">
        <v>44774</v>
      </c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  <c r="AG721" s="163"/>
      <c r="AH721" s="163"/>
      <c r="AI721" s="163"/>
      <c r="AJ721" s="163"/>
      <c r="AK721" s="163"/>
      <c r="AL721" s="163"/>
      <c r="AM721" s="163"/>
      <c r="AN721" s="163"/>
      <c r="AO721" s="163"/>
      <c r="AP721" s="163"/>
      <c r="AQ721" s="163"/>
      <c r="AR721" s="163"/>
      <c r="AS721" s="163"/>
      <c r="AT721" s="163"/>
    </row>
    <row r="722" spans="1:46" ht="15.75" hidden="1" customHeight="1" x14ac:dyDescent="0.35">
      <c r="A722" s="148">
        <v>14</v>
      </c>
      <c r="B722" s="148" t="s">
        <v>89</v>
      </c>
      <c r="C722" s="89" t="s">
        <v>306</v>
      </c>
      <c r="D722" s="89" t="s">
        <v>1268</v>
      </c>
      <c r="E722" s="89">
        <v>1</v>
      </c>
      <c r="F722" s="170">
        <v>42178</v>
      </c>
      <c r="G722" s="171" t="s">
        <v>1269</v>
      </c>
      <c r="H722" s="171">
        <v>6692331853</v>
      </c>
      <c r="I722" s="171" t="s">
        <v>1270</v>
      </c>
      <c r="J722" s="173">
        <v>44621</v>
      </c>
      <c r="K722" s="171" t="s">
        <v>171</v>
      </c>
      <c r="L722" s="171" t="s">
        <v>950</v>
      </c>
      <c r="M722" s="171"/>
      <c r="N722" s="89" t="s">
        <v>35</v>
      </c>
      <c r="O722" s="170">
        <v>44774</v>
      </c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  <c r="AG722" s="163"/>
      <c r="AH722" s="163"/>
      <c r="AI722" s="163"/>
      <c r="AJ722" s="163"/>
      <c r="AK722" s="163"/>
      <c r="AL722" s="163"/>
      <c r="AM722" s="163"/>
      <c r="AN722" s="163"/>
      <c r="AO722" s="163"/>
      <c r="AP722" s="163"/>
      <c r="AQ722" s="163"/>
      <c r="AR722" s="163"/>
      <c r="AS722" s="163"/>
      <c r="AT722" s="163"/>
    </row>
    <row r="723" spans="1:46" ht="15.75" hidden="1" customHeight="1" x14ac:dyDescent="0.35">
      <c r="A723" s="148">
        <v>15</v>
      </c>
      <c r="B723" s="148" t="s">
        <v>49</v>
      </c>
      <c r="C723" s="89" t="s">
        <v>1267</v>
      </c>
      <c r="D723" s="89" t="s">
        <v>1268</v>
      </c>
      <c r="E723" s="89">
        <v>1</v>
      </c>
      <c r="F723" s="170">
        <v>42178</v>
      </c>
      <c r="G723" s="171" t="s">
        <v>1269</v>
      </c>
      <c r="H723" s="171">
        <v>6692331853</v>
      </c>
      <c r="I723" s="171" t="s">
        <v>1270</v>
      </c>
      <c r="J723" s="173">
        <v>44621</v>
      </c>
      <c r="K723" s="171" t="s">
        <v>681</v>
      </c>
      <c r="L723" s="171" t="s">
        <v>1145</v>
      </c>
      <c r="M723" s="171"/>
      <c r="N723" s="89" t="s">
        <v>35</v>
      </c>
      <c r="O723" s="170">
        <v>44774</v>
      </c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  <c r="AG723" s="163"/>
      <c r="AH723" s="163"/>
      <c r="AI723" s="163"/>
      <c r="AJ723" s="163"/>
      <c r="AK723" s="163"/>
      <c r="AL723" s="163"/>
      <c r="AM723" s="163"/>
      <c r="AN723" s="163"/>
      <c r="AO723" s="163"/>
      <c r="AP723" s="163"/>
      <c r="AQ723" s="163"/>
      <c r="AR723" s="163"/>
      <c r="AS723" s="163"/>
      <c r="AT723" s="163"/>
    </row>
    <row r="724" spans="1:46" ht="15.75" hidden="1" customHeight="1" x14ac:dyDescent="0.35">
      <c r="A724" s="148">
        <v>16</v>
      </c>
      <c r="B724" s="148" t="s">
        <v>49</v>
      </c>
      <c r="C724" s="89" t="s">
        <v>313</v>
      </c>
      <c r="D724" s="89" t="s">
        <v>1405</v>
      </c>
      <c r="E724" s="89">
        <v>4</v>
      </c>
      <c r="F724" s="170">
        <v>41253</v>
      </c>
      <c r="G724" s="171" t="s">
        <v>1406</v>
      </c>
      <c r="H724" s="171">
        <v>4153956788</v>
      </c>
      <c r="I724" s="171" t="s">
        <v>1407</v>
      </c>
      <c r="J724" s="173">
        <v>44732</v>
      </c>
      <c r="K724" s="171" t="s">
        <v>112</v>
      </c>
      <c r="L724" s="171" t="s">
        <v>950</v>
      </c>
      <c r="M724" s="171"/>
      <c r="N724" s="89" t="s">
        <v>35</v>
      </c>
      <c r="O724" s="170">
        <v>44774</v>
      </c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  <c r="AG724" s="163"/>
      <c r="AH724" s="163"/>
      <c r="AI724" s="163"/>
      <c r="AJ724" s="163"/>
      <c r="AK724" s="163"/>
      <c r="AL724" s="163"/>
      <c r="AM724" s="163"/>
      <c r="AN724" s="163"/>
      <c r="AO724" s="163"/>
      <c r="AP724" s="163"/>
      <c r="AQ724" s="163"/>
      <c r="AR724" s="163"/>
      <c r="AS724" s="163"/>
      <c r="AT724" s="163"/>
    </row>
    <row r="725" spans="1:46" ht="15.75" hidden="1" customHeight="1" x14ac:dyDescent="0.35">
      <c r="A725" s="148">
        <v>17</v>
      </c>
      <c r="B725" s="148" t="s">
        <v>89</v>
      </c>
      <c r="C725" s="89" t="s">
        <v>313</v>
      </c>
      <c r="D725" s="89" t="s">
        <v>1405</v>
      </c>
      <c r="E725" s="89">
        <v>4</v>
      </c>
      <c r="F725" s="170">
        <v>41253</v>
      </c>
      <c r="G725" s="171" t="s">
        <v>1406</v>
      </c>
      <c r="H725" s="171">
        <v>4153956788</v>
      </c>
      <c r="I725" s="171" t="s">
        <v>1407</v>
      </c>
      <c r="J725" s="173">
        <v>44732</v>
      </c>
      <c r="K725" s="171" t="s">
        <v>163</v>
      </c>
      <c r="L725" s="171" t="s">
        <v>950</v>
      </c>
      <c r="M725" s="171"/>
      <c r="N725" s="89" t="s">
        <v>35</v>
      </c>
      <c r="O725" s="170">
        <v>44774</v>
      </c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  <c r="AG725" s="163"/>
      <c r="AH725" s="163"/>
      <c r="AI725" s="163"/>
      <c r="AJ725" s="163"/>
      <c r="AK725" s="163"/>
      <c r="AL725" s="163"/>
      <c r="AM725" s="163"/>
      <c r="AN725" s="163"/>
      <c r="AO725" s="163"/>
      <c r="AP725" s="163"/>
      <c r="AQ725" s="163"/>
      <c r="AR725" s="163"/>
      <c r="AS725" s="163"/>
      <c r="AT725" s="163"/>
    </row>
    <row r="726" spans="1:46" ht="15.75" hidden="1" customHeight="1" x14ac:dyDescent="0.35">
      <c r="A726" s="148">
        <v>18</v>
      </c>
      <c r="B726" s="148" t="s">
        <v>49</v>
      </c>
      <c r="C726" s="89" t="s">
        <v>313</v>
      </c>
      <c r="D726" s="89" t="s">
        <v>544</v>
      </c>
      <c r="E726" s="89">
        <v>2</v>
      </c>
      <c r="F726" s="170">
        <v>41875</v>
      </c>
      <c r="G726" s="171" t="s">
        <v>1406</v>
      </c>
      <c r="H726" s="171">
        <v>4153956788</v>
      </c>
      <c r="I726" s="171" t="s">
        <v>1407</v>
      </c>
      <c r="J726" s="173">
        <v>44732</v>
      </c>
      <c r="K726" s="171" t="s">
        <v>202</v>
      </c>
      <c r="L726" s="171" t="s">
        <v>950</v>
      </c>
      <c r="M726" s="171"/>
      <c r="N726" s="89" t="s">
        <v>35</v>
      </c>
      <c r="O726" s="170">
        <v>44774</v>
      </c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  <c r="AG726" s="163"/>
      <c r="AH726" s="163"/>
      <c r="AI726" s="163"/>
      <c r="AJ726" s="163"/>
      <c r="AK726" s="163"/>
      <c r="AL726" s="163"/>
      <c r="AM726" s="163"/>
      <c r="AN726" s="163"/>
      <c r="AO726" s="163"/>
      <c r="AP726" s="163"/>
      <c r="AQ726" s="163"/>
      <c r="AR726" s="163"/>
      <c r="AS726" s="163"/>
      <c r="AT726" s="163"/>
    </row>
    <row r="727" spans="1:46" ht="15.75" hidden="1" customHeight="1" x14ac:dyDescent="0.35">
      <c r="A727" s="148">
        <v>19</v>
      </c>
      <c r="B727" s="148" t="s">
        <v>89</v>
      </c>
      <c r="C727" s="89" t="s">
        <v>313</v>
      </c>
      <c r="D727" s="89" t="s">
        <v>544</v>
      </c>
      <c r="E727" s="89">
        <v>2</v>
      </c>
      <c r="F727" s="170">
        <v>41875</v>
      </c>
      <c r="G727" s="171" t="s">
        <v>1406</v>
      </c>
      <c r="H727" s="171">
        <v>4153956788</v>
      </c>
      <c r="I727" s="171" t="s">
        <v>1407</v>
      </c>
      <c r="J727" s="173">
        <v>44732</v>
      </c>
      <c r="K727" s="171" t="s">
        <v>163</v>
      </c>
      <c r="L727" s="171" t="s">
        <v>994</v>
      </c>
      <c r="M727" s="171"/>
      <c r="N727" s="89" t="s">
        <v>35</v>
      </c>
      <c r="O727" s="170">
        <v>44774</v>
      </c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  <c r="AG727" s="163"/>
      <c r="AH727" s="163"/>
      <c r="AI727" s="163"/>
      <c r="AJ727" s="163"/>
      <c r="AK727" s="163"/>
      <c r="AL727" s="163"/>
      <c r="AM727" s="163"/>
      <c r="AN727" s="163"/>
      <c r="AO727" s="163"/>
      <c r="AP727" s="163"/>
      <c r="AQ727" s="163"/>
      <c r="AR727" s="163"/>
      <c r="AS727" s="163"/>
      <c r="AT727" s="163"/>
    </row>
    <row r="728" spans="1:46" ht="15.75" hidden="1" customHeight="1" x14ac:dyDescent="0.35">
      <c r="A728" s="148">
        <v>20</v>
      </c>
      <c r="B728" s="148" t="s">
        <v>89</v>
      </c>
      <c r="C728" s="89" t="s">
        <v>1408</v>
      </c>
      <c r="D728" s="89" t="s">
        <v>1409</v>
      </c>
      <c r="E728" s="89">
        <v>9</v>
      </c>
      <c r="F728" s="170" t="s">
        <v>1410</v>
      </c>
      <c r="G728" s="171" t="s">
        <v>1411</v>
      </c>
      <c r="H728" s="171" t="s">
        <v>1412</v>
      </c>
      <c r="I728" s="171" t="s">
        <v>1413</v>
      </c>
      <c r="J728" s="173">
        <v>44378</v>
      </c>
      <c r="K728" s="171" t="s">
        <v>216</v>
      </c>
      <c r="L728" s="171" t="s">
        <v>994</v>
      </c>
      <c r="M728" s="171"/>
      <c r="N728" s="89" t="s">
        <v>35</v>
      </c>
      <c r="O728" s="170">
        <v>44774</v>
      </c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  <c r="AG728" s="163"/>
      <c r="AH728" s="163"/>
      <c r="AI728" s="163"/>
      <c r="AJ728" s="163"/>
      <c r="AK728" s="163"/>
      <c r="AL728" s="163"/>
      <c r="AM728" s="163"/>
      <c r="AN728" s="163"/>
      <c r="AO728" s="163"/>
      <c r="AP728" s="163"/>
      <c r="AQ728" s="163"/>
      <c r="AR728" s="163"/>
      <c r="AS728" s="163"/>
      <c r="AT728" s="163"/>
    </row>
    <row r="729" spans="1:46" ht="15.75" hidden="1" customHeight="1" x14ac:dyDescent="0.35">
      <c r="A729" s="148">
        <v>21</v>
      </c>
      <c r="B729" s="148" t="s">
        <v>49</v>
      </c>
      <c r="C729" s="89" t="s">
        <v>1414</v>
      </c>
      <c r="D729" s="89" t="s">
        <v>1415</v>
      </c>
      <c r="E729" s="89">
        <v>6</v>
      </c>
      <c r="F729" s="170">
        <v>40410</v>
      </c>
      <c r="G729" s="171" t="s">
        <v>1416</v>
      </c>
      <c r="H729" s="171">
        <v>4087686361</v>
      </c>
      <c r="I729" s="171" t="s">
        <v>1417</v>
      </c>
      <c r="J729" s="173">
        <v>44440</v>
      </c>
      <c r="K729" s="171" t="s">
        <v>153</v>
      </c>
      <c r="L729" s="171" t="s">
        <v>950</v>
      </c>
      <c r="M729" s="171"/>
      <c r="N729" s="89" t="s">
        <v>35</v>
      </c>
      <c r="O729" s="170">
        <v>44774</v>
      </c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  <c r="AG729" s="163"/>
      <c r="AH729" s="163"/>
      <c r="AI729" s="163"/>
      <c r="AJ729" s="163"/>
      <c r="AK729" s="163"/>
      <c r="AL729" s="163"/>
      <c r="AM729" s="163"/>
      <c r="AN729" s="163"/>
      <c r="AO729" s="163"/>
      <c r="AP729" s="163"/>
      <c r="AQ729" s="163"/>
      <c r="AR729" s="163"/>
      <c r="AS729" s="163"/>
      <c r="AT729" s="163"/>
    </row>
    <row r="730" spans="1:46" ht="15.75" hidden="1" customHeight="1" x14ac:dyDescent="0.35">
      <c r="A730" s="148">
        <v>22</v>
      </c>
      <c r="B730" s="148" t="s">
        <v>89</v>
      </c>
      <c r="C730" s="89" t="s">
        <v>1414</v>
      </c>
      <c r="D730" s="89" t="s">
        <v>1415</v>
      </c>
      <c r="E730" s="89">
        <v>6</v>
      </c>
      <c r="F730" s="170">
        <v>40410</v>
      </c>
      <c r="G730" s="171" t="s">
        <v>1416</v>
      </c>
      <c r="H730" s="171">
        <v>4087686361</v>
      </c>
      <c r="I730" s="171" t="s">
        <v>1417</v>
      </c>
      <c r="J730" s="173">
        <v>44440</v>
      </c>
      <c r="K730" s="171" t="s">
        <v>155</v>
      </c>
      <c r="L730" s="171" t="s">
        <v>589</v>
      </c>
      <c r="M730" s="171"/>
      <c r="N730" s="89" t="s">
        <v>35</v>
      </c>
      <c r="O730" s="170">
        <v>44774</v>
      </c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  <c r="AG730" s="163"/>
      <c r="AH730" s="163"/>
      <c r="AI730" s="163"/>
      <c r="AJ730" s="163"/>
      <c r="AK730" s="163"/>
      <c r="AL730" s="163"/>
      <c r="AM730" s="163"/>
      <c r="AN730" s="163"/>
      <c r="AO730" s="163"/>
      <c r="AP730" s="163"/>
      <c r="AQ730" s="163"/>
      <c r="AR730" s="163"/>
      <c r="AS730" s="163"/>
      <c r="AT730" s="163"/>
    </row>
    <row r="731" spans="1:46" ht="15.75" hidden="1" customHeight="1" x14ac:dyDescent="0.35">
      <c r="A731" s="148">
        <v>23</v>
      </c>
      <c r="B731" s="148" t="s">
        <v>89</v>
      </c>
      <c r="C731" s="89" t="s">
        <v>358</v>
      </c>
      <c r="D731" s="89" t="s">
        <v>253</v>
      </c>
      <c r="E731" s="89">
        <v>4</v>
      </c>
      <c r="F731" s="170" t="s">
        <v>937</v>
      </c>
      <c r="G731" s="171" t="s">
        <v>373</v>
      </c>
      <c r="H731" s="171" t="s">
        <v>374</v>
      </c>
      <c r="I731" s="171" t="s">
        <v>375</v>
      </c>
      <c r="J731" s="173">
        <v>43466</v>
      </c>
      <c r="K731" s="171" t="s">
        <v>324</v>
      </c>
      <c r="L731" s="171" t="s">
        <v>589</v>
      </c>
      <c r="M731" s="171"/>
      <c r="N731" s="89" t="s">
        <v>35</v>
      </c>
      <c r="O731" s="170">
        <v>44774</v>
      </c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  <c r="AG731" s="163"/>
      <c r="AH731" s="163"/>
      <c r="AI731" s="163"/>
      <c r="AJ731" s="163"/>
      <c r="AK731" s="163"/>
      <c r="AL731" s="163"/>
      <c r="AM731" s="163"/>
      <c r="AN731" s="163"/>
      <c r="AO731" s="163"/>
      <c r="AP731" s="163"/>
      <c r="AQ731" s="163"/>
      <c r="AR731" s="163"/>
      <c r="AS731" s="163"/>
      <c r="AT731" s="163"/>
    </row>
    <row r="732" spans="1:46" ht="15.75" hidden="1" customHeight="1" x14ac:dyDescent="0.35">
      <c r="A732" s="148">
        <v>24</v>
      </c>
      <c r="B732" s="148" t="s">
        <v>49</v>
      </c>
      <c r="C732" s="89" t="s">
        <v>1350</v>
      </c>
      <c r="D732" s="89" t="s">
        <v>1418</v>
      </c>
      <c r="E732" s="89" t="s">
        <v>149</v>
      </c>
      <c r="F732" s="170">
        <v>41105</v>
      </c>
      <c r="G732" s="171" t="s">
        <v>1419</v>
      </c>
      <c r="H732" s="171" t="s">
        <v>1420</v>
      </c>
      <c r="I732" s="171" t="s">
        <v>1421</v>
      </c>
      <c r="J732" s="173">
        <v>43345</v>
      </c>
      <c r="K732" s="171" t="s">
        <v>256</v>
      </c>
      <c r="L732" s="171" t="s">
        <v>589</v>
      </c>
      <c r="M732" s="171"/>
      <c r="N732" s="89" t="s">
        <v>35</v>
      </c>
      <c r="O732" s="170">
        <v>44774</v>
      </c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  <c r="AG732" s="163"/>
      <c r="AH732" s="163"/>
      <c r="AI732" s="163"/>
      <c r="AJ732" s="163"/>
      <c r="AK732" s="163"/>
      <c r="AL732" s="163"/>
      <c r="AM732" s="163"/>
      <c r="AN732" s="163"/>
      <c r="AO732" s="163"/>
      <c r="AP732" s="163"/>
      <c r="AQ732" s="163"/>
      <c r="AR732" s="163"/>
      <c r="AS732" s="163"/>
      <c r="AT732" s="163"/>
    </row>
    <row r="733" spans="1:46" ht="15.75" hidden="1" customHeight="1" x14ac:dyDescent="0.35">
      <c r="A733" s="148">
        <v>25</v>
      </c>
      <c r="B733" s="148" t="s">
        <v>89</v>
      </c>
      <c r="C733" s="89" t="s">
        <v>1350</v>
      </c>
      <c r="D733" s="89" t="s">
        <v>1418</v>
      </c>
      <c r="E733" s="89" t="s">
        <v>149</v>
      </c>
      <c r="F733" s="170">
        <v>41105</v>
      </c>
      <c r="G733" s="171" t="s">
        <v>1419</v>
      </c>
      <c r="H733" s="171" t="s">
        <v>1420</v>
      </c>
      <c r="I733" s="171" t="s">
        <v>1421</v>
      </c>
      <c r="J733" s="173">
        <v>43345</v>
      </c>
      <c r="K733" s="171" t="s">
        <v>155</v>
      </c>
      <c r="L733" s="171" t="s">
        <v>589</v>
      </c>
      <c r="M733" s="171"/>
      <c r="N733" s="89" t="s">
        <v>35</v>
      </c>
      <c r="O733" s="170">
        <v>44774</v>
      </c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  <c r="AG733" s="163"/>
      <c r="AH733" s="163"/>
      <c r="AI733" s="163"/>
      <c r="AJ733" s="163"/>
      <c r="AK733" s="163"/>
      <c r="AL733" s="163"/>
      <c r="AM733" s="163"/>
      <c r="AN733" s="163"/>
      <c r="AO733" s="163"/>
      <c r="AP733" s="163"/>
      <c r="AQ733" s="163"/>
      <c r="AR733" s="163"/>
      <c r="AS733" s="163"/>
      <c r="AT733" s="163"/>
    </row>
    <row r="734" spans="1:46" ht="15.75" hidden="1" customHeight="1" x14ac:dyDescent="0.35">
      <c r="A734" s="148">
        <v>26</v>
      </c>
      <c r="B734" s="148" t="s">
        <v>49</v>
      </c>
      <c r="C734" s="89" t="s">
        <v>404</v>
      </c>
      <c r="D734" s="89" t="s">
        <v>405</v>
      </c>
      <c r="E734" s="89">
        <v>3</v>
      </c>
      <c r="F734" s="170">
        <v>41766</v>
      </c>
      <c r="G734" s="171" t="s">
        <v>406</v>
      </c>
      <c r="H734" s="171">
        <v>4086076664</v>
      </c>
      <c r="I734" s="171" t="s">
        <v>407</v>
      </c>
      <c r="J734" s="173">
        <v>44718</v>
      </c>
      <c r="K734" s="171" t="s">
        <v>202</v>
      </c>
      <c r="L734" s="171" t="s">
        <v>950</v>
      </c>
      <c r="M734" s="171"/>
      <c r="N734" s="89" t="s">
        <v>35</v>
      </c>
      <c r="O734" s="170">
        <v>44774</v>
      </c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  <c r="AG734" s="163"/>
      <c r="AH734" s="163"/>
      <c r="AI734" s="163"/>
      <c r="AJ734" s="163"/>
      <c r="AK734" s="163"/>
      <c r="AL734" s="163"/>
      <c r="AM734" s="163"/>
      <c r="AN734" s="163"/>
      <c r="AO734" s="163"/>
      <c r="AP734" s="163"/>
      <c r="AQ734" s="163"/>
      <c r="AR734" s="163"/>
      <c r="AS734" s="163"/>
      <c r="AT734" s="163"/>
    </row>
    <row r="735" spans="1:46" ht="15.75" hidden="1" customHeight="1" x14ac:dyDescent="0.35">
      <c r="A735" s="148">
        <v>27</v>
      </c>
      <c r="B735" s="148" t="s">
        <v>89</v>
      </c>
      <c r="C735" s="89" t="s">
        <v>404</v>
      </c>
      <c r="D735" s="89" t="s">
        <v>405</v>
      </c>
      <c r="E735" s="89">
        <v>3</v>
      </c>
      <c r="F735" s="170">
        <v>41766</v>
      </c>
      <c r="G735" s="171" t="s">
        <v>406</v>
      </c>
      <c r="H735" s="171">
        <v>4086076664</v>
      </c>
      <c r="I735" s="171" t="s">
        <v>407</v>
      </c>
      <c r="J735" s="173">
        <v>44718</v>
      </c>
      <c r="K735" s="171" t="s">
        <v>120</v>
      </c>
      <c r="L735" s="171" t="s">
        <v>994</v>
      </c>
      <c r="M735" s="171"/>
      <c r="N735" s="89" t="s">
        <v>35</v>
      </c>
      <c r="O735" s="170">
        <v>44774</v>
      </c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  <c r="AG735" s="163"/>
      <c r="AH735" s="163"/>
      <c r="AI735" s="163"/>
      <c r="AJ735" s="163"/>
      <c r="AK735" s="163"/>
      <c r="AL735" s="163"/>
      <c r="AM735" s="163"/>
      <c r="AN735" s="163"/>
      <c r="AO735" s="163"/>
      <c r="AP735" s="163"/>
      <c r="AQ735" s="163"/>
      <c r="AR735" s="163"/>
      <c r="AS735" s="163"/>
      <c r="AT735" s="163"/>
    </row>
    <row r="736" spans="1:46" ht="15.75" hidden="1" customHeight="1" x14ac:dyDescent="0.35">
      <c r="A736" s="148">
        <v>28</v>
      </c>
      <c r="B736" s="148" t="s">
        <v>49</v>
      </c>
      <c r="C736" s="89" t="s">
        <v>727</v>
      </c>
      <c r="D736" s="89" t="s">
        <v>1422</v>
      </c>
      <c r="E736" s="89">
        <v>2</v>
      </c>
      <c r="F736" s="170">
        <v>41841</v>
      </c>
      <c r="G736" s="171" t="s">
        <v>1423</v>
      </c>
      <c r="H736" s="171">
        <v>6506450741</v>
      </c>
      <c r="I736" s="171" t="s">
        <v>1424</v>
      </c>
      <c r="J736" s="173">
        <v>44426</v>
      </c>
      <c r="K736" s="171" t="s">
        <v>202</v>
      </c>
      <c r="L736" s="171" t="s">
        <v>950</v>
      </c>
      <c r="M736" s="171"/>
      <c r="N736" s="89" t="s">
        <v>35</v>
      </c>
      <c r="O736" s="170">
        <v>44774</v>
      </c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  <c r="AG736" s="163"/>
      <c r="AH736" s="163"/>
      <c r="AI736" s="163"/>
      <c r="AJ736" s="163"/>
      <c r="AK736" s="163"/>
      <c r="AL736" s="163"/>
      <c r="AM736" s="163"/>
      <c r="AN736" s="163"/>
      <c r="AO736" s="163"/>
      <c r="AP736" s="163"/>
      <c r="AQ736" s="163"/>
      <c r="AR736" s="163"/>
      <c r="AS736" s="163"/>
      <c r="AT736" s="163"/>
    </row>
    <row r="737" spans="1:46" ht="15.75" hidden="1" customHeight="1" x14ac:dyDescent="0.35">
      <c r="A737" s="148">
        <v>29</v>
      </c>
      <c r="B737" s="148" t="s">
        <v>89</v>
      </c>
      <c r="C737" s="89" t="s">
        <v>727</v>
      </c>
      <c r="D737" s="89" t="s">
        <v>1422</v>
      </c>
      <c r="E737" s="89">
        <v>2</v>
      </c>
      <c r="F737" s="170">
        <v>41841</v>
      </c>
      <c r="G737" s="171" t="s">
        <v>1423</v>
      </c>
      <c r="H737" s="171">
        <v>6506450741</v>
      </c>
      <c r="I737" s="171" t="s">
        <v>1424</v>
      </c>
      <c r="J737" s="173">
        <v>44426</v>
      </c>
      <c r="K737" s="171" t="s">
        <v>163</v>
      </c>
      <c r="L737" s="171" t="s">
        <v>1145</v>
      </c>
      <c r="M737" s="171"/>
      <c r="N737" s="89" t="s">
        <v>35</v>
      </c>
      <c r="O737" s="170">
        <v>44774</v>
      </c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  <c r="AG737" s="163"/>
      <c r="AH737" s="163"/>
      <c r="AI737" s="163"/>
      <c r="AJ737" s="163"/>
      <c r="AK737" s="163"/>
      <c r="AL737" s="163"/>
      <c r="AM737" s="163"/>
      <c r="AN737" s="163"/>
      <c r="AO737" s="163"/>
      <c r="AP737" s="163"/>
      <c r="AQ737" s="163"/>
      <c r="AR737" s="163"/>
      <c r="AS737" s="163"/>
      <c r="AT737" s="163"/>
    </row>
    <row r="738" spans="1:46" ht="15.75" hidden="1" customHeight="1" x14ac:dyDescent="0.35">
      <c r="A738" s="148">
        <v>30</v>
      </c>
      <c r="B738" s="148" t="s">
        <v>49</v>
      </c>
      <c r="C738" s="89" t="s">
        <v>1425</v>
      </c>
      <c r="D738" s="89" t="s">
        <v>1426</v>
      </c>
      <c r="E738" s="89">
        <v>1</v>
      </c>
      <c r="F738" s="170">
        <v>41231</v>
      </c>
      <c r="G738" s="171" t="s">
        <v>1427</v>
      </c>
      <c r="H738" s="171">
        <v>4082104475</v>
      </c>
      <c r="I738" s="171" t="s">
        <v>1428</v>
      </c>
      <c r="J738" s="173">
        <v>43739</v>
      </c>
      <c r="K738" s="171" t="s">
        <v>109</v>
      </c>
      <c r="L738" s="171" t="s">
        <v>589</v>
      </c>
      <c r="M738" s="171"/>
      <c r="N738" s="89" t="s">
        <v>35</v>
      </c>
      <c r="O738" s="170">
        <v>44774</v>
      </c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  <c r="AG738" s="163"/>
      <c r="AH738" s="163"/>
      <c r="AI738" s="163"/>
      <c r="AJ738" s="163"/>
      <c r="AK738" s="163"/>
      <c r="AL738" s="163"/>
      <c r="AM738" s="163"/>
      <c r="AN738" s="163"/>
      <c r="AO738" s="163"/>
      <c r="AP738" s="163"/>
      <c r="AQ738" s="163"/>
      <c r="AR738" s="163"/>
      <c r="AS738" s="163"/>
      <c r="AT738" s="163"/>
    </row>
    <row r="739" spans="1:46" ht="15.75" hidden="1" customHeight="1" x14ac:dyDescent="0.35">
      <c r="A739" s="148">
        <v>31</v>
      </c>
      <c r="B739" s="148" t="s">
        <v>89</v>
      </c>
      <c r="C739" s="89" t="s">
        <v>1425</v>
      </c>
      <c r="D739" s="89" t="s">
        <v>1426</v>
      </c>
      <c r="E739" s="89">
        <v>1</v>
      </c>
      <c r="F739" s="170">
        <v>41231</v>
      </c>
      <c r="G739" s="171" t="s">
        <v>1427</v>
      </c>
      <c r="H739" s="171">
        <v>4082104475</v>
      </c>
      <c r="I739" s="171" t="s">
        <v>1428</v>
      </c>
      <c r="J739" s="173">
        <v>43739</v>
      </c>
      <c r="K739" s="171" t="s">
        <v>167</v>
      </c>
      <c r="L739" s="171" t="s">
        <v>589</v>
      </c>
      <c r="M739" s="171"/>
      <c r="N739" s="89" t="s">
        <v>35</v>
      </c>
      <c r="O739" s="170">
        <v>44774</v>
      </c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  <c r="AG739" s="163"/>
      <c r="AH739" s="163"/>
      <c r="AI739" s="163"/>
      <c r="AJ739" s="163"/>
      <c r="AK739" s="163"/>
      <c r="AL739" s="163"/>
      <c r="AM739" s="163"/>
      <c r="AN739" s="163"/>
      <c r="AO739" s="163"/>
      <c r="AP739" s="163"/>
      <c r="AQ739" s="163"/>
      <c r="AR739" s="163"/>
      <c r="AS739" s="163"/>
      <c r="AT739" s="163"/>
    </row>
    <row r="740" spans="1:46" ht="15.75" hidden="1" customHeight="1" x14ac:dyDescent="0.35">
      <c r="A740" s="148">
        <v>32</v>
      </c>
      <c r="B740" s="148" t="s">
        <v>89</v>
      </c>
      <c r="C740" s="89" t="s">
        <v>1282</v>
      </c>
      <c r="D740" s="89" t="s">
        <v>1283</v>
      </c>
      <c r="E740" s="89">
        <v>5</v>
      </c>
      <c r="F740" s="170">
        <v>41089</v>
      </c>
      <c r="G740" s="171" t="s">
        <v>1284</v>
      </c>
      <c r="H740" s="171">
        <v>5103388874</v>
      </c>
      <c r="I740" s="171" t="s">
        <v>1429</v>
      </c>
      <c r="J740" s="173">
        <v>44732</v>
      </c>
      <c r="K740" s="171" t="s">
        <v>167</v>
      </c>
      <c r="L740" s="171" t="s">
        <v>950</v>
      </c>
      <c r="M740" s="171"/>
      <c r="N740" s="89" t="s">
        <v>35</v>
      </c>
      <c r="O740" s="170">
        <v>44774</v>
      </c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  <c r="AG740" s="163"/>
      <c r="AH740" s="163"/>
      <c r="AI740" s="163"/>
      <c r="AJ740" s="163"/>
      <c r="AK740" s="163"/>
      <c r="AL740" s="163"/>
      <c r="AM740" s="163"/>
      <c r="AN740" s="163"/>
      <c r="AO740" s="163"/>
      <c r="AP740" s="163"/>
      <c r="AQ740" s="163"/>
      <c r="AR740" s="163"/>
      <c r="AS740" s="163"/>
      <c r="AT740" s="163"/>
    </row>
    <row r="741" spans="1:46" ht="15.75" hidden="1" customHeight="1" x14ac:dyDescent="0.35">
      <c r="A741" s="148">
        <v>33</v>
      </c>
      <c r="B741" s="148" t="s">
        <v>89</v>
      </c>
      <c r="C741" s="89" t="s">
        <v>748</v>
      </c>
      <c r="D741" s="89" t="s">
        <v>1430</v>
      </c>
      <c r="E741" s="89">
        <v>5</v>
      </c>
      <c r="F741" s="170">
        <v>40852</v>
      </c>
      <c r="G741" s="171" t="s">
        <v>1431</v>
      </c>
      <c r="H741" s="171">
        <v>4087170854</v>
      </c>
      <c r="I741" s="171" t="s">
        <v>751</v>
      </c>
      <c r="J741" s="173" t="s">
        <v>1244</v>
      </c>
      <c r="K741" s="171" t="s">
        <v>163</v>
      </c>
      <c r="L741" s="171" t="s">
        <v>589</v>
      </c>
      <c r="M741" s="171"/>
      <c r="N741" s="89" t="s">
        <v>35</v>
      </c>
      <c r="O741" s="170">
        <v>44774</v>
      </c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  <c r="AG741" s="163"/>
      <c r="AH741" s="163"/>
      <c r="AI741" s="163"/>
      <c r="AJ741" s="163"/>
      <c r="AK741" s="163"/>
      <c r="AL741" s="163"/>
      <c r="AM741" s="163"/>
      <c r="AN741" s="163"/>
      <c r="AO741" s="163"/>
      <c r="AP741" s="163"/>
      <c r="AQ741" s="163"/>
      <c r="AR741" s="163"/>
      <c r="AS741" s="163"/>
      <c r="AT741" s="163"/>
    </row>
    <row r="742" spans="1:46" ht="15.75" hidden="1" customHeight="1" x14ac:dyDescent="0.35">
      <c r="A742" s="148">
        <v>34</v>
      </c>
      <c r="B742" s="148" t="s">
        <v>49</v>
      </c>
      <c r="C742" s="89" t="s">
        <v>1432</v>
      </c>
      <c r="D742" s="89" t="s">
        <v>1433</v>
      </c>
      <c r="E742" s="89" t="s">
        <v>149</v>
      </c>
      <c r="F742" s="170">
        <v>42833</v>
      </c>
      <c r="G742" s="171" t="s">
        <v>1434</v>
      </c>
      <c r="H742" s="171">
        <v>3413459852</v>
      </c>
      <c r="I742" s="172" t="s">
        <v>1435</v>
      </c>
      <c r="J742" s="173">
        <v>44722</v>
      </c>
      <c r="K742" s="171" t="s">
        <v>182</v>
      </c>
      <c r="L742" s="171" t="s">
        <v>950</v>
      </c>
      <c r="M742" s="171"/>
      <c r="N742" s="89" t="s">
        <v>35</v>
      </c>
      <c r="O742" s="170">
        <v>44774</v>
      </c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  <c r="AG742" s="163"/>
      <c r="AH742" s="163"/>
      <c r="AI742" s="163"/>
      <c r="AJ742" s="163"/>
      <c r="AK742" s="163"/>
      <c r="AL742" s="163"/>
      <c r="AM742" s="163"/>
      <c r="AN742" s="163"/>
      <c r="AO742" s="163"/>
      <c r="AP742" s="163"/>
      <c r="AQ742" s="163"/>
      <c r="AR742" s="163"/>
      <c r="AS742" s="163"/>
      <c r="AT742" s="163"/>
    </row>
    <row r="743" spans="1:46" ht="15.75" hidden="1" customHeight="1" x14ac:dyDescent="0.35">
      <c r="A743" s="148">
        <v>35</v>
      </c>
      <c r="B743" s="148" t="s">
        <v>89</v>
      </c>
      <c r="C743" s="89" t="s">
        <v>1432</v>
      </c>
      <c r="D743" s="89" t="s">
        <v>1433</v>
      </c>
      <c r="E743" s="89" t="s">
        <v>149</v>
      </c>
      <c r="F743" s="170">
        <v>42833</v>
      </c>
      <c r="G743" s="171" t="s">
        <v>1434</v>
      </c>
      <c r="H743" s="171">
        <v>3413459852</v>
      </c>
      <c r="I743" s="172" t="s">
        <v>1435</v>
      </c>
      <c r="J743" s="173">
        <v>44722</v>
      </c>
      <c r="K743" s="171" t="s">
        <v>679</v>
      </c>
      <c r="L743" s="171" t="s">
        <v>950</v>
      </c>
      <c r="M743" s="171"/>
      <c r="N743" s="89" t="s">
        <v>35</v>
      </c>
      <c r="O743" s="170">
        <v>44774</v>
      </c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  <c r="AG743" s="163"/>
      <c r="AH743" s="163"/>
      <c r="AI743" s="163"/>
      <c r="AJ743" s="163"/>
      <c r="AK743" s="163"/>
      <c r="AL743" s="163"/>
      <c r="AM743" s="163"/>
      <c r="AN743" s="163"/>
      <c r="AO743" s="163"/>
      <c r="AP743" s="163"/>
      <c r="AQ743" s="163"/>
      <c r="AR743" s="163"/>
      <c r="AS743" s="163"/>
      <c r="AT743" s="163"/>
    </row>
    <row r="744" spans="1:46" ht="15.75" hidden="1" customHeight="1" x14ac:dyDescent="0.35">
      <c r="A744" s="148">
        <v>36</v>
      </c>
      <c r="B744" s="148" t="s">
        <v>49</v>
      </c>
      <c r="C744" s="89" t="s">
        <v>469</v>
      </c>
      <c r="D744" s="89" t="s">
        <v>554</v>
      </c>
      <c r="E744" s="89">
        <v>6</v>
      </c>
      <c r="F744" s="170">
        <v>40504</v>
      </c>
      <c r="G744" s="171" t="s">
        <v>1436</v>
      </c>
      <c r="H744" s="171">
        <v>4085066388</v>
      </c>
      <c r="I744" s="172" t="s">
        <v>1437</v>
      </c>
      <c r="J744" s="173">
        <v>44728</v>
      </c>
      <c r="K744" s="171" t="s">
        <v>212</v>
      </c>
      <c r="L744" s="171" t="s">
        <v>994</v>
      </c>
      <c r="M744" s="171"/>
      <c r="N744" s="89" t="s">
        <v>35</v>
      </c>
      <c r="O744" s="170">
        <v>44774</v>
      </c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  <c r="AG744" s="163"/>
      <c r="AH744" s="163"/>
      <c r="AI744" s="163"/>
      <c r="AJ744" s="163"/>
      <c r="AK744" s="163"/>
      <c r="AL744" s="163"/>
      <c r="AM744" s="163"/>
      <c r="AN744" s="163"/>
      <c r="AO744" s="163"/>
      <c r="AP744" s="163"/>
      <c r="AQ744" s="163"/>
      <c r="AR744" s="163"/>
      <c r="AS744" s="163"/>
      <c r="AT744" s="163"/>
    </row>
    <row r="745" spans="1:46" ht="15.75" hidden="1" customHeight="1" x14ac:dyDescent="0.35">
      <c r="A745" s="148">
        <v>37</v>
      </c>
      <c r="B745" s="148" t="s">
        <v>89</v>
      </c>
      <c r="C745" s="89" t="s">
        <v>469</v>
      </c>
      <c r="D745" s="89" t="s">
        <v>554</v>
      </c>
      <c r="E745" s="89">
        <v>6</v>
      </c>
      <c r="F745" s="170">
        <v>40504</v>
      </c>
      <c r="G745" s="171" t="s">
        <v>1436</v>
      </c>
      <c r="H745" s="171">
        <v>4085066388</v>
      </c>
      <c r="I745" s="172" t="s">
        <v>1437</v>
      </c>
      <c r="J745" s="173">
        <v>44728</v>
      </c>
      <c r="K745" s="171" t="s">
        <v>167</v>
      </c>
      <c r="L745" s="171" t="s">
        <v>589</v>
      </c>
      <c r="M745" s="171"/>
      <c r="N745" s="89" t="s">
        <v>35</v>
      </c>
      <c r="O745" s="170">
        <v>44774</v>
      </c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  <c r="AG745" s="163"/>
      <c r="AH745" s="163"/>
      <c r="AI745" s="163"/>
      <c r="AJ745" s="163"/>
      <c r="AK745" s="163"/>
      <c r="AL745" s="163"/>
      <c r="AM745" s="163"/>
      <c r="AN745" s="163"/>
      <c r="AO745" s="163"/>
      <c r="AP745" s="163"/>
      <c r="AQ745" s="163"/>
      <c r="AR745" s="163"/>
      <c r="AS745" s="163"/>
      <c r="AT745" s="163"/>
    </row>
    <row r="746" spans="1:46" ht="15.75" hidden="1" customHeight="1" x14ac:dyDescent="0.35">
      <c r="A746" s="148">
        <v>38</v>
      </c>
      <c r="B746" s="148" t="s">
        <v>49</v>
      </c>
      <c r="C746" s="89" t="s">
        <v>1438</v>
      </c>
      <c r="D746" s="89" t="s">
        <v>307</v>
      </c>
      <c r="E746" s="89" t="s">
        <v>273</v>
      </c>
      <c r="F746" s="170">
        <v>43146</v>
      </c>
      <c r="G746" s="171" t="s">
        <v>1439</v>
      </c>
      <c r="H746" s="171">
        <v>6507668371</v>
      </c>
      <c r="I746" s="171" t="s">
        <v>1440</v>
      </c>
      <c r="J746" s="173">
        <v>44641</v>
      </c>
      <c r="K746" s="171" t="s">
        <v>118</v>
      </c>
      <c r="L746" s="171" t="s">
        <v>950</v>
      </c>
      <c r="M746" s="171"/>
      <c r="N746" s="89" t="s">
        <v>35</v>
      </c>
      <c r="O746" s="170">
        <v>44774</v>
      </c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  <c r="AG746" s="163"/>
      <c r="AH746" s="163"/>
      <c r="AI746" s="163"/>
      <c r="AJ746" s="163"/>
      <c r="AK746" s="163"/>
      <c r="AL746" s="163"/>
      <c r="AM746" s="163"/>
      <c r="AN746" s="163"/>
      <c r="AO746" s="163"/>
      <c r="AP746" s="163"/>
      <c r="AQ746" s="163"/>
      <c r="AR746" s="163"/>
      <c r="AS746" s="163"/>
      <c r="AT746" s="163"/>
    </row>
    <row r="747" spans="1:46" ht="15.75" hidden="1" customHeight="1" x14ac:dyDescent="0.35">
      <c r="A747" s="148">
        <v>39</v>
      </c>
      <c r="B747" s="148" t="s">
        <v>49</v>
      </c>
      <c r="C747" s="89" t="s">
        <v>584</v>
      </c>
      <c r="D747" s="89" t="s">
        <v>198</v>
      </c>
      <c r="E747" s="89">
        <v>5</v>
      </c>
      <c r="F747" s="170">
        <v>40605</v>
      </c>
      <c r="G747" s="171" t="s">
        <v>1441</v>
      </c>
      <c r="H747" s="171" t="s">
        <v>1029</v>
      </c>
      <c r="I747" s="171" t="s">
        <v>1030</v>
      </c>
      <c r="J747" s="173">
        <v>44430</v>
      </c>
      <c r="K747" s="171" t="s">
        <v>1442</v>
      </c>
      <c r="L747" s="171" t="s">
        <v>950</v>
      </c>
      <c r="M747" s="171"/>
      <c r="N747" s="89" t="s">
        <v>35</v>
      </c>
      <c r="O747" s="170">
        <v>44774</v>
      </c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  <c r="AF747" s="163"/>
      <c r="AG747" s="163"/>
      <c r="AH747" s="163"/>
      <c r="AI747" s="163"/>
      <c r="AJ747" s="163"/>
      <c r="AK747" s="163"/>
      <c r="AL747" s="163"/>
      <c r="AM747" s="163"/>
      <c r="AN747" s="163"/>
      <c r="AO747" s="163"/>
      <c r="AP747" s="163"/>
      <c r="AQ747" s="163"/>
      <c r="AR747" s="163"/>
      <c r="AS747" s="163"/>
      <c r="AT747" s="163"/>
    </row>
    <row r="748" spans="1:46" ht="15.75" hidden="1" customHeight="1" x14ac:dyDescent="0.35">
      <c r="A748" s="148">
        <v>40</v>
      </c>
      <c r="B748" s="148" t="s">
        <v>89</v>
      </c>
      <c r="C748" s="89" t="s">
        <v>584</v>
      </c>
      <c r="D748" s="89" t="s">
        <v>198</v>
      </c>
      <c r="E748" s="89">
        <v>5</v>
      </c>
      <c r="F748" s="170">
        <v>40605</v>
      </c>
      <c r="G748" s="171" t="s">
        <v>1441</v>
      </c>
      <c r="H748" s="171" t="s">
        <v>1029</v>
      </c>
      <c r="I748" s="171" t="s">
        <v>1030</v>
      </c>
      <c r="J748" s="173">
        <v>44430</v>
      </c>
      <c r="K748" s="171" t="s">
        <v>216</v>
      </c>
      <c r="L748" s="171" t="s">
        <v>950</v>
      </c>
      <c r="M748" s="171"/>
      <c r="N748" s="89" t="s">
        <v>35</v>
      </c>
      <c r="O748" s="170">
        <v>44774</v>
      </c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  <c r="AG748" s="163"/>
      <c r="AH748" s="163"/>
      <c r="AI748" s="163"/>
      <c r="AJ748" s="163"/>
      <c r="AK748" s="163"/>
      <c r="AL748" s="163"/>
      <c r="AM748" s="163"/>
      <c r="AN748" s="163"/>
      <c r="AO748" s="163"/>
      <c r="AP748" s="163"/>
      <c r="AQ748" s="163"/>
      <c r="AR748" s="163"/>
      <c r="AS748" s="163"/>
      <c r="AT748" s="163"/>
    </row>
    <row r="749" spans="1:46" ht="15.75" hidden="1" customHeight="1" x14ac:dyDescent="0.35">
      <c r="A749" s="148">
        <v>41</v>
      </c>
      <c r="B749" s="148" t="s">
        <v>49</v>
      </c>
      <c r="C749" s="89" t="s">
        <v>918</v>
      </c>
      <c r="D749" s="89" t="s">
        <v>902</v>
      </c>
      <c r="E749" s="89">
        <v>4</v>
      </c>
      <c r="F749" s="170">
        <v>41150</v>
      </c>
      <c r="G749" s="171" t="s">
        <v>1443</v>
      </c>
      <c r="H749" s="171">
        <v>4084399332</v>
      </c>
      <c r="I749" s="171" t="s">
        <v>1444</v>
      </c>
      <c r="J749" s="173">
        <v>44571</v>
      </c>
      <c r="K749" s="171" t="s">
        <v>109</v>
      </c>
      <c r="L749" s="171" t="s">
        <v>543</v>
      </c>
      <c r="M749" s="171"/>
      <c r="N749" s="89" t="s">
        <v>35</v>
      </c>
      <c r="O749" s="170">
        <v>44774</v>
      </c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  <c r="AG749" s="163"/>
      <c r="AH749" s="163"/>
      <c r="AI749" s="163"/>
      <c r="AJ749" s="163"/>
      <c r="AK749" s="163"/>
      <c r="AL749" s="163"/>
      <c r="AM749" s="163"/>
      <c r="AN749" s="163"/>
      <c r="AO749" s="163"/>
      <c r="AP749" s="163"/>
      <c r="AQ749" s="163"/>
      <c r="AR749" s="163"/>
      <c r="AS749" s="163"/>
      <c r="AT749" s="163"/>
    </row>
    <row r="750" spans="1:46" ht="15.75" hidden="1" customHeight="1" x14ac:dyDescent="0.35">
      <c r="A750" s="148">
        <v>42</v>
      </c>
      <c r="B750" s="148" t="s">
        <v>89</v>
      </c>
      <c r="C750" s="89" t="s">
        <v>918</v>
      </c>
      <c r="D750" s="89" t="s">
        <v>902</v>
      </c>
      <c r="E750" s="89">
        <v>4</v>
      </c>
      <c r="F750" s="170">
        <v>41150</v>
      </c>
      <c r="G750" s="171" t="s">
        <v>1443</v>
      </c>
      <c r="H750" s="171">
        <v>4084399332</v>
      </c>
      <c r="I750" s="171" t="s">
        <v>1444</v>
      </c>
      <c r="J750" s="173">
        <v>44571</v>
      </c>
      <c r="K750" s="171" t="s">
        <v>155</v>
      </c>
      <c r="L750" s="171" t="s">
        <v>1145</v>
      </c>
      <c r="M750" s="171"/>
      <c r="N750" s="89" t="s">
        <v>35</v>
      </c>
      <c r="O750" s="170">
        <v>44774</v>
      </c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  <c r="AG750" s="163"/>
      <c r="AH750" s="163"/>
      <c r="AI750" s="163"/>
      <c r="AJ750" s="163"/>
      <c r="AK750" s="163"/>
      <c r="AL750" s="163"/>
      <c r="AM750" s="163"/>
      <c r="AN750" s="163"/>
      <c r="AO750" s="163"/>
      <c r="AP750" s="163"/>
      <c r="AQ750" s="163"/>
      <c r="AR750" s="163"/>
      <c r="AS750" s="163"/>
      <c r="AT750" s="163"/>
    </row>
    <row r="751" spans="1:46" ht="15.75" hidden="1" customHeight="1" x14ac:dyDescent="0.35">
      <c r="A751" s="174">
        <v>1</v>
      </c>
      <c r="B751" s="174" t="s">
        <v>49</v>
      </c>
      <c r="C751" s="175" t="s">
        <v>487</v>
      </c>
      <c r="D751" s="175" t="s">
        <v>978</v>
      </c>
      <c r="E751" s="175">
        <v>7</v>
      </c>
      <c r="F751" s="176">
        <v>40364</v>
      </c>
      <c r="G751" s="177" t="s">
        <v>794</v>
      </c>
      <c r="H751" s="177">
        <v>6262329231</v>
      </c>
      <c r="I751" s="177" t="s">
        <v>1445</v>
      </c>
      <c r="J751" s="178">
        <v>44736</v>
      </c>
      <c r="K751" s="177" t="s">
        <v>153</v>
      </c>
      <c r="L751" s="177" t="s">
        <v>589</v>
      </c>
      <c r="M751" s="177" t="s">
        <v>1446</v>
      </c>
      <c r="N751" s="175" t="s">
        <v>35</v>
      </c>
      <c r="O751" s="176">
        <v>44805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5.75" hidden="1" customHeight="1" x14ac:dyDescent="0.35">
      <c r="A752" s="174">
        <v>2</v>
      </c>
      <c r="B752" s="174" t="s">
        <v>49</v>
      </c>
      <c r="C752" s="175" t="s">
        <v>487</v>
      </c>
      <c r="D752" s="175" t="s">
        <v>574</v>
      </c>
      <c r="E752" s="175">
        <v>4</v>
      </c>
      <c r="F752" s="176">
        <v>41302</v>
      </c>
      <c r="G752" s="177" t="s">
        <v>794</v>
      </c>
      <c r="H752" s="177">
        <v>6262329231</v>
      </c>
      <c r="I752" s="177" t="s">
        <v>1445</v>
      </c>
      <c r="J752" s="178">
        <v>44736</v>
      </c>
      <c r="K752" s="177" t="s">
        <v>112</v>
      </c>
      <c r="L752" s="177" t="s">
        <v>950</v>
      </c>
      <c r="M752" s="177" t="s">
        <v>1446</v>
      </c>
      <c r="N752" s="175" t="s">
        <v>35</v>
      </c>
      <c r="O752" s="176">
        <v>44805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5.75" hidden="1" customHeight="1" x14ac:dyDescent="0.35">
      <c r="A753" s="174">
        <v>3</v>
      </c>
      <c r="B753" s="174" t="s">
        <v>49</v>
      </c>
      <c r="C753" s="175" t="s">
        <v>1447</v>
      </c>
      <c r="D753" s="175" t="s">
        <v>1448</v>
      </c>
      <c r="E753" s="175" t="s">
        <v>273</v>
      </c>
      <c r="F753" s="176">
        <v>43075</v>
      </c>
      <c r="G753" s="177" t="s">
        <v>1449</v>
      </c>
      <c r="H753" s="177">
        <v>4088722587</v>
      </c>
      <c r="I753" s="177" t="s">
        <v>1450</v>
      </c>
      <c r="J753" s="178">
        <v>44778</v>
      </c>
      <c r="K753" s="177" t="s">
        <v>182</v>
      </c>
      <c r="L753" s="177" t="s">
        <v>1451</v>
      </c>
      <c r="M753" s="179" t="s">
        <v>1452</v>
      </c>
      <c r="N753" s="175" t="s">
        <v>35</v>
      </c>
      <c r="O753" s="176">
        <v>44805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5.75" hidden="1" customHeight="1" x14ac:dyDescent="0.35">
      <c r="A754" s="148">
        <v>1</v>
      </c>
      <c r="B754" s="148" t="s">
        <v>89</v>
      </c>
      <c r="C754" s="89" t="s">
        <v>453</v>
      </c>
      <c r="D754" s="89" t="s">
        <v>1453</v>
      </c>
      <c r="E754" s="89">
        <v>8</v>
      </c>
      <c r="F754" s="170">
        <v>39752</v>
      </c>
      <c r="G754" s="171" t="s">
        <v>1454</v>
      </c>
      <c r="H754" s="171">
        <v>4252138383</v>
      </c>
      <c r="I754" s="171" t="s">
        <v>1455</v>
      </c>
      <c r="J754" s="173">
        <v>44728</v>
      </c>
      <c r="K754" s="171" t="s">
        <v>265</v>
      </c>
      <c r="L754" s="171" t="s">
        <v>589</v>
      </c>
      <c r="M754" s="171" t="s">
        <v>1456</v>
      </c>
      <c r="N754" s="89" t="s">
        <v>35</v>
      </c>
      <c r="O754" s="170">
        <v>44835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5.75" hidden="1" customHeight="1" x14ac:dyDescent="0.35">
      <c r="A755" s="148">
        <v>2</v>
      </c>
      <c r="B755" s="148" t="s">
        <v>49</v>
      </c>
      <c r="C755" s="89" t="s">
        <v>358</v>
      </c>
      <c r="D755" s="89" t="s">
        <v>379</v>
      </c>
      <c r="E755" s="89">
        <v>2</v>
      </c>
      <c r="F755" s="170">
        <v>41781</v>
      </c>
      <c r="G755" s="171" t="s">
        <v>380</v>
      </c>
      <c r="H755" s="171">
        <v>9168657621</v>
      </c>
      <c r="I755" s="171" t="s">
        <v>381</v>
      </c>
      <c r="J755" s="173">
        <v>44516</v>
      </c>
      <c r="K755" s="171" t="s">
        <v>112</v>
      </c>
      <c r="L755" s="171" t="s">
        <v>950</v>
      </c>
      <c r="M755" s="171"/>
      <c r="N755" s="89" t="s">
        <v>35</v>
      </c>
      <c r="O755" s="170">
        <v>44835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5.75" hidden="1" customHeight="1" x14ac:dyDescent="0.35">
      <c r="A756" s="148">
        <v>3</v>
      </c>
      <c r="B756" s="148" t="s">
        <v>89</v>
      </c>
      <c r="C756" s="89" t="s">
        <v>358</v>
      </c>
      <c r="D756" s="89" t="s">
        <v>382</v>
      </c>
      <c r="E756" s="89">
        <v>2</v>
      </c>
      <c r="F756" s="170">
        <v>41781</v>
      </c>
      <c r="G756" s="171" t="s">
        <v>380</v>
      </c>
      <c r="H756" s="171">
        <v>9168657621</v>
      </c>
      <c r="I756" s="171" t="s">
        <v>381</v>
      </c>
      <c r="J756" s="173">
        <v>44516</v>
      </c>
      <c r="K756" s="171" t="s">
        <v>163</v>
      </c>
      <c r="L756" s="171" t="s">
        <v>950</v>
      </c>
      <c r="M756" s="171"/>
      <c r="N756" s="89" t="s">
        <v>35</v>
      </c>
      <c r="O756" s="170">
        <v>44835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5.75" hidden="1" customHeight="1" x14ac:dyDescent="0.35">
      <c r="A757" s="148">
        <v>4</v>
      </c>
      <c r="B757" s="148" t="s">
        <v>49</v>
      </c>
      <c r="C757" s="89" t="s">
        <v>1457</v>
      </c>
      <c r="D757" s="89" t="s">
        <v>418</v>
      </c>
      <c r="E757" s="89" t="s">
        <v>180</v>
      </c>
      <c r="F757" s="170">
        <v>42797</v>
      </c>
      <c r="G757" s="171" t="s">
        <v>1458</v>
      </c>
      <c r="H757" s="171">
        <v>4089312793</v>
      </c>
      <c r="I757" s="172" t="s">
        <v>1459</v>
      </c>
      <c r="J757" s="173">
        <v>44823</v>
      </c>
      <c r="K757" s="171" t="s">
        <v>182</v>
      </c>
      <c r="L757" s="171" t="s">
        <v>994</v>
      </c>
      <c r="M757" s="171" t="s">
        <v>1460</v>
      </c>
      <c r="N757" s="89" t="s">
        <v>35</v>
      </c>
      <c r="O757" s="170">
        <v>44835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ht="15.75" hidden="1" customHeight="1" x14ac:dyDescent="0.35">
      <c r="A758" s="174">
        <v>1</v>
      </c>
      <c r="B758" s="174" t="s">
        <v>49</v>
      </c>
      <c r="C758" s="175" t="s">
        <v>266</v>
      </c>
      <c r="D758" s="175" t="s">
        <v>1264</v>
      </c>
      <c r="E758" s="175">
        <v>3</v>
      </c>
      <c r="F758" s="176">
        <v>41947</v>
      </c>
      <c r="G758" s="177" t="s">
        <v>1265</v>
      </c>
      <c r="H758" s="177">
        <v>3107757104</v>
      </c>
      <c r="I758" s="177" t="s">
        <v>1266</v>
      </c>
      <c r="J758" s="178">
        <v>44799</v>
      </c>
      <c r="K758" s="177" t="s">
        <v>1185</v>
      </c>
      <c r="L758" s="177" t="s">
        <v>589</v>
      </c>
      <c r="M758" s="177" t="s">
        <v>1461</v>
      </c>
      <c r="N758" s="175" t="s">
        <v>35</v>
      </c>
      <c r="O758" s="176">
        <v>44866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ht="15.75" hidden="1" customHeight="1" x14ac:dyDescent="0.35">
      <c r="A759" s="174">
        <v>2</v>
      </c>
      <c r="B759" s="174" t="s">
        <v>89</v>
      </c>
      <c r="C759" s="175" t="s">
        <v>266</v>
      </c>
      <c r="D759" s="175" t="s">
        <v>1264</v>
      </c>
      <c r="E759" s="175">
        <v>3</v>
      </c>
      <c r="F759" s="176">
        <v>41947</v>
      </c>
      <c r="G759" s="177" t="s">
        <v>1265</v>
      </c>
      <c r="H759" s="177">
        <v>3107757104</v>
      </c>
      <c r="I759" s="177" t="s">
        <v>1266</v>
      </c>
      <c r="J759" s="178">
        <v>44799</v>
      </c>
      <c r="K759" s="177" t="s">
        <v>163</v>
      </c>
      <c r="L759" s="177" t="s">
        <v>950</v>
      </c>
      <c r="M759" s="177" t="s">
        <v>1461</v>
      </c>
      <c r="N759" s="175" t="s">
        <v>35</v>
      </c>
      <c r="O759" s="176">
        <v>44866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ht="15.75" hidden="1" customHeight="1" x14ac:dyDescent="0.35">
      <c r="A760" s="174">
        <v>3</v>
      </c>
      <c r="B760" s="174" t="s">
        <v>89</v>
      </c>
      <c r="C760" s="175" t="s">
        <v>1462</v>
      </c>
      <c r="D760" s="175" t="s">
        <v>1463</v>
      </c>
      <c r="E760" s="175">
        <v>5</v>
      </c>
      <c r="F760" s="176">
        <v>40257</v>
      </c>
      <c r="G760" s="177" t="s">
        <v>1464</v>
      </c>
      <c r="H760" s="177">
        <v>7146514044</v>
      </c>
      <c r="I760" s="177" t="s">
        <v>1465</v>
      </c>
      <c r="J760" s="178">
        <v>44287</v>
      </c>
      <c r="K760" s="177" t="s">
        <v>261</v>
      </c>
      <c r="L760" s="177" t="s">
        <v>589</v>
      </c>
      <c r="M760" s="177"/>
      <c r="N760" s="175" t="s">
        <v>35</v>
      </c>
      <c r="O760" s="176">
        <v>44866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ht="15.75" hidden="1" customHeight="1" x14ac:dyDescent="0.35">
      <c r="A761" s="174">
        <v>4</v>
      </c>
      <c r="B761" s="174" t="s">
        <v>49</v>
      </c>
      <c r="C761" s="175" t="s">
        <v>1466</v>
      </c>
      <c r="D761" s="175" t="s">
        <v>1467</v>
      </c>
      <c r="E761" s="175">
        <v>2</v>
      </c>
      <c r="F761" s="176">
        <v>42264</v>
      </c>
      <c r="G761" s="177" t="s">
        <v>1468</v>
      </c>
      <c r="H761" s="177">
        <v>4088238680</v>
      </c>
      <c r="I761" s="177" t="s">
        <v>1469</v>
      </c>
      <c r="J761" s="178">
        <v>44826</v>
      </c>
      <c r="K761" s="177" t="s">
        <v>182</v>
      </c>
      <c r="L761" s="177" t="s">
        <v>543</v>
      </c>
      <c r="M761" s="177"/>
      <c r="N761" s="175" t="s">
        <v>35</v>
      </c>
      <c r="O761" s="176">
        <v>44866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ht="15.75" hidden="1" customHeight="1" x14ac:dyDescent="0.35">
      <c r="A762" s="174">
        <v>5</v>
      </c>
      <c r="B762" s="174" t="s">
        <v>89</v>
      </c>
      <c r="C762" s="175" t="s">
        <v>1466</v>
      </c>
      <c r="D762" s="175" t="s">
        <v>1467</v>
      </c>
      <c r="E762" s="175">
        <v>2</v>
      </c>
      <c r="F762" s="176">
        <v>42264</v>
      </c>
      <c r="G762" s="177" t="s">
        <v>1468</v>
      </c>
      <c r="H762" s="177">
        <v>4088238680</v>
      </c>
      <c r="I762" s="177" t="s">
        <v>1469</v>
      </c>
      <c r="J762" s="178">
        <v>44826</v>
      </c>
      <c r="K762" s="177" t="s">
        <v>343</v>
      </c>
      <c r="L762" s="177" t="s">
        <v>950</v>
      </c>
      <c r="M762" s="177"/>
      <c r="N762" s="175" t="s">
        <v>35</v>
      </c>
      <c r="O762" s="176">
        <v>44866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ht="15.75" hidden="1" customHeight="1" x14ac:dyDescent="0.35">
      <c r="A763" s="174">
        <v>6</v>
      </c>
      <c r="B763" s="174" t="s">
        <v>49</v>
      </c>
      <c r="C763" s="175" t="s">
        <v>1470</v>
      </c>
      <c r="D763" s="175" t="s">
        <v>1471</v>
      </c>
      <c r="E763" s="175">
        <v>6</v>
      </c>
      <c r="F763" s="176">
        <v>40566</v>
      </c>
      <c r="G763" s="177" t="s">
        <v>1472</v>
      </c>
      <c r="H763" s="177">
        <v>3473220327</v>
      </c>
      <c r="I763" s="177" t="s">
        <v>1473</v>
      </c>
      <c r="J763" s="178">
        <v>44732</v>
      </c>
      <c r="K763" s="177" t="s">
        <v>153</v>
      </c>
      <c r="L763" s="177" t="s">
        <v>950</v>
      </c>
      <c r="M763" s="177"/>
      <c r="N763" s="175" t="s">
        <v>35</v>
      </c>
      <c r="O763" s="176">
        <v>44866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ht="15.75" hidden="1" customHeight="1" x14ac:dyDescent="0.35">
      <c r="A764" s="174">
        <v>7</v>
      </c>
      <c r="B764" s="174" t="s">
        <v>89</v>
      </c>
      <c r="C764" s="175" t="s">
        <v>1470</v>
      </c>
      <c r="D764" s="175" t="s">
        <v>1471</v>
      </c>
      <c r="E764" s="175">
        <v>6</v>
      </c>
      <c r="F764" s="176">
        <v>40566</v>
      </c>
      <c r="G764" s="177" t="s">
        <v>1472</v>
      </c>
      <c r="H764" s="177">
        <v>3473220327</v>
      </c>
      <c r="I764" s="177" t="s">
        <v>1473</v>
      </c>
      <c r="J764" s="178">
        <v>44732</v>
      </c>
      <c r="K764" s="177" t="s">
        <v>167</v>
      </c>
      <c r="L764" s="177" t="s">
        <v>950</v>
      </c>
      <c r="M764" s="177"/>
      <c r="N764" s="175" t="s">
        <v>35</v>
      </c>
      <c r="O764" s="176">
        <v>44866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ht="15.75" hidden="1" customHeight="1" x14ac:dyDescent="0.35">
      <c r="A765" s="126">
        <v>1</v>
      </c>
      <c r="B765" s="126" t="s">
        <v>49</v>
      </c>
      <c r="C765" s="95" t="s">
        <v>266</v>
      </c>
      <c r="D765" s="95" t="s">
        <v>1474</v>
      </c>
      <c r="E765" s="95">
        <v>3</v>
      </c>
      <c r="F765" s="180">
        <v>41328</v>
      </c>
      <c r="G765" s="181" t="s">
        <v>268</v>
      </c>
      <c r="H765" s="181">
        <v>4086464862</v>
      </c>
      <c r="I765" s="181" t="s">
        <v>269</v>
      </c>
      <c r="J765" s="182">
        <v>44519</v>
      </c>
      <c r="K765" s="181" t="s">
        <v>153</v>
      </c>
      <c r="L765" s="181" t="s">
        <v>950</v>
      </c>
      <c r="M765" s="181" t="s">
        <v>1475</v>
      </c>
      <c r="N765" s="95" t="s">
        <v>35</v>
      </c>
      <c r="O765" s="180">
        <v>44896</v>
      </c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  <c r="AC765" s="96"/>
      <c r="AD765" s="96"/>
      <c r="AE765" s="96"/>
      <c r="AF765" s="96"/>
      <c r="AG765" s="96"/>
      <c r="AH765" s="96"/>
      <c r="AI765" s="96"/>
      <c r="AJ765" s="96"/>
      <c r="AK765" s="96"/>
      <c r="AL765" s="96"/>
      <c r="AM765" s="96"/>
      <c r="AN765" s="96"/>
      <c r="AO765" s="96"/>
      <c r="AP765" s="96"/>
      <c r="AQ765" s="96"/>
      <c r="AR765" s="96"/>
      <c r="AS765" s="96"/>
      <c r="AT765" s="96"/>
    </row>
    <row r="766" spans="1:46" ht="15.75" hidden="1" customHeight="1" x14ac:dyDescent="0.35">
      <c r="A766" s="126">
        <v>2</v>
      </c>
      <c r="B766" s="126" t="s">
        <v>89</v>
      </c>
      <c r="C766" s="95" t="s">
        <v>266</v>
      </c>
      <c r="D766" s="95" t="s">
        <v>1474</v>
      </c>
      <c r="E766" s="95">
        <v>3</v>
      </c>
      <c r="F766" s="180">
        <v>41328</v>
      </c>
      <c r="G766" s="181" t="s">
        <v>268</v>
      </c>
      <c r="H766" s="181">
        <v>4086464862</v>
      </c>
      <c r="I766" s="181" t="s">
        <v>269</v>
      </c>
      <c r="J766" s="182">
        <v>44519</v>
      </c>
      <c r="K766" s="181" t="s">
        <v>155</v>
      </c>
      <c r="L766" s="181" t="s">
        <v>950</v>
      </c>
      <c r="M766" s="181" t="s">
        <v>1475</v>
      </c>
      <c r="N766" s="95" t="s">
        <v>35</v>
      </c>
      <c r="O766" s="180">
        <v>44896</v>
      </c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  <c r="AC766" s="96"/>
      <c r="AD766" s="96"/>
      <c r="AE766" s="96"/>
      <c r="AF766" s="96"/>
      <c r="AG766" s="96"/>
      <c r="AH766" s="96"/>
      <c r="AI766" s="96"/>
      <c r="AJ766" s="96"/>
      <c r="AK766" s="96"/>
      <c r="AL766" s="96"/>
      <c r="AM766" s="96"/>
      <c r="AN766" s="96"/>
      <c r="AO766" s="96"/>
      <c r="AP766" s="96"/>
      <c r="AQ766" s="96"/>
      <c r="AR766" s="96"/>
      <c r="AS766" s="96"/>
      <c r="AT766" s="96"/>
    </row>
    <row r="767" spans="1:46" ht="15.75" hidden="1" customHeight="1" x14ac:dyDescent="0.35">
      <c r="A767" s="126">
        <v>3</v>
      </c>
      <c r="B767" s="126" t="s">
        <v>49</v>
      </c>
      <c r="C767" s="95" t="s">
        <v>1476</v>
      </c>
      <c r="D767" s="95" t="s">
        <v>1477</v>
      </c>
      <c r="E767" s="95">
        <v>5</v>
      </c>
      <c r="F767" s="180">
        <v>40821</v>
      </c>
      <c r="G767" s="181" t="s">
        <v>1478</v>
      </c>
      <c r="H767" s="181">
        <v>4084769963</v>
      </c>
      <c r="I767" s="181" t="s">
        <v>1479</v>
      </c>
      <c r="J767" s="182">
        <v>44790</v>
      </c>
      <c r="K767" s="181" t="s">
        <v>161</v>
      </c>
      <c r="L767" s="181" t="s">
        <v>950</v>
      </c>
      <c r="M767" s="181" t="s">
        <v>1480</v>
      </c>
      <c r="N767" s="95" t="s">
        <v>35</v>
      </c>
      <c r="O767" s="180">
        <v>44896</v>
      </c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  <c r="AD767" s="96"/>
      <c r="AE767" s="96"/>
      <c r="AF767" s="96"/>
      <c r="AG767" s="96"/>
      <c r="AH767" s="96"/>
      <c r="AI767" s="96"/>
      <c r="AJ767" s="96"/>
      <c r="AK767" s="96"/>
      <c r="AL767" s="96"/>
      <c r="AM767" s="96"/>
      <c r="AN767" s="96"/>
      <c r="AO767" s="96"/>
      <c r="AP767" s="96"/>
      <c r="AQ767" s="96"/>
      <c r="AR767" s="96"/>
      <c r="AS767" s="96"/>
      <c r="AT767" s="96"/>
    </row>
    <row r="768" spans="1:46" ht="15.75" hidden="1" customHeight="1" x14ac:dyDescent="0.35">
      <c r="A768" s="126">
        <v>4</v>
      </c>
      <c r="B768" s="126" t="s">
        <v>89</v>
      </c>
      <c r="C768" s="95" t="s">
        <v>1476</v>
      </c>
      <c r="D768" s="95" t="s">
        <v>1477</v>
      </c>
      <c r="E768" s="95">
        <v>5</v>
      </c>
      <c r="F768" s="180">
        <v>40821</v>
      </c>
      <c r="G768" s="181" t="s">
        <v>1478</v>
      </c>
      <c r="H768" s="181">
        <v>4084769963</v>
      </c>
      <c r="I768" s="181" t="s">
        <v>1479</v>
      </c>
      <c r="J768" s="182">
        <v>44790</v>
      </c>
      <c r="K768" s="181" t="s">
        <v>120</v>
      </c>
      <c r="L768" s="181" t="s">
        <v>950</v>
      </c>
      <c r="M768" s="181" t="s">
        <v>1480</v>
      </c>
      <c r="N768" s="95" t="s">
        <v>35</v>
      </c>
      <c r="O768" s="180">
        <v>44896</v>
      </c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  <c r="AC768" s="96"/>
      <c r="AD768" s="96"/>
      <c r="AE768" s="96"/>
      <c r="AF768" s="96"/>
      <c r="AG768" s="96"/>
      <c r="AH768" s="96"/>
      <c r="AI768" s="96"/>
      <c r="AJ768" s="96"/>
      <c r="AK768" s="96"/>
      <c r="AL768" s="96"/>
      <c r="AM768" s="96"/>
      <c r="AN768" s="96"/>
      <c r="AO768" s="96"/>
      <c r="AP768" s="96"/>
      <c r="AQ768" s="96"/>
      <c r="AR768" s="96"/>
      <c r="AS768" s="96"/>
      <c r="AT768" s="96"/>
    </row>
    <row r="769" spans="1:46" ht="15.75" hidden="1" customHeight="1" x14ac:dyDescent="0.35">
      <c r="A769" s="126">
        <v>5</v>
      </c>
      <c r="B769" s="126" t="s">
        <v>49</v>
      </c>
      <c r="C769" s="95" t="s">
        <v>1481</v>
      </c>
      <c r="D769" s="95" t="s">
        <v>546</v>
      </c>
      <c r="E769" s="95" t="s">
        <v>273</v>
      </c>
      <c r="F769" s="180">
        <v>43019</v>
      </c>
      <c r="G769" s="181" t="s">
        <v>1482</v>
      </c>
      <c r="H769" s="181">
        <v>3604507456</v>
      </c>
      <c r="I769" s="181" t="s">
        <v>1483</v>
      </c>
      <c r="J769" s="182">
        <v>44821</v>
      </c>
      <c r="K769" s="181" t="s">
        <v>182</v>
      </c>
      <c r="L769" s="181" t="s">
        <v>543</v>
      </c>
      <c r="M769" s="181" t="s">
        <v>1484</v>
      </c>
      <c r="N769" s="95" t="s">
        <v>35</v>
      </c>
      <c r="O769" s="180">
        <v>44896</v>
      </c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  <c r="AC769" s="96"/>
      <c r="AD769" s="96"/>
      <c r="AE769" s="96"/>
      <c r="AF769" s="96"/>
      <c r="AG769" s="96"/>
      <c r="AH769" s="96"/>
      <c r="AI769" s="96"/>
      <c r="AJ769" s="96"/>
      <c r="AK769" s="96"/>
      <c r="AL769" s="96"/>
      <c r="AM769" s="96"/>
      <c r="AN769" s="96"/>
      <c r="AO769" s="96"/>
      <c r="AP769" s="96"/>
      <c r="AQ769" s="96"/>
      <c r="AR769" s="96"/>
      <c r="AS769" s="96"/>
      <c r="AT769" s="96"/>
    </row>
    <row r="770" spans="1:46" ht="15.75" hidden="1" customHeight="1" x14ac:dyDescent="0.35">
      <c r="A770" s="126">
        <v>6</v>
      </c>
      <c r="B770" s="126" t="s">
        <v>49</v>
      </c>
      <c r="C770" s="95" t="s">
        <v>1485</v>
      </c>
      <c r="D770" s="95" t="s">
        <v>1486</v>
      </c>
      <c r="E770" s="95" t="s">
        <v>273</v>
      </c>
      <c r="F770" s="180">
        <v>42771</v>
      </c>
      <c r="G770" s="181" t="s">
        <v>1487</v>
      </c>
      <c r="H770" s="181">
        <v>6504831473</v>
      </c>
      <c r="I770" s="181" t="s">
        <v>1488</v>
      </c>
      <c r="J770" s="182">
        <v>44476</v>
      </c>
      <c r="K770" s="181" t="s">
        <v>202</v>
      </c>
      <c r="L770" s="181" t="s">
        <v>950</v>
      </c>
      <c r="M770" s="181" t="s">
        <v>1489</v>
      </c>
      <c r="N770" s="95" t="s">
        <v>35</v>
      </c>
      <c r="O770" s="180">
        <v>44896</v>
      </c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  <c r="AC770" s="96"/>
      <c r="AD770" s="96"/>
      <c r="AE770" s="96"/>
      <c r="AF770" s="96"/>
      <c r="AG770" s="96"/>
      <c r="AH770" s="96"/>
      <c r="AI770" s="96"/>
      <c r="AJ770" s="96"/>
      <c r="AK770" s="96"/>
      <c r="AL770" s="96"/>
      <c r="AM770" s="96"/>
      <c r="AN770" s="96"/>
      <c r="AO770" s="96"/>
      <c r="AP770" s="96"/>
      <c r="AQ770" s="96"/>
      <c r="AR770" s="96"/>
      <c r="AS770" s="96"/>
      <c r="AT770" s="96"/>
    </row>
    <row r="771" spans="1:46" ht="15.75" hidden="1" customHeight="1" x14ac:dyDescent="0.35">
      <c r="A771" s="126">
        <v>7</v>
      </c>
      <c r="B771" s="126" t="s">
        <v>89</v>
      </c>
      <c r="C771" s="95" t="s">
        <v>487</v>
      </c>
      <c r="D771" s="95" t="s">
        <v>574</v>
      </c>
      <c r="E771" s="95">
        <v>4</v>
      </c>
      <c r="F771" s="180">
        <v>41302</v>
      </c>
      <c r="G771" s="181" t="s">
        <v>794</v>
      </c>
      <c r="H771" s="181">
        <v>6262329231</v>
      </c>
      <c r="I771" s="181" t="s">
        <v>1445</v>
      </c>
      <c r="J771" s="182">
        <v>44720</v>
      </c>
      <c r="K771" s="181" t="s">
        <v>301</v>
      </c>
      <c r="L771" s="181">
        <v>100</v>
      </c>
      <c r="M771" s="181" t="s">
        <v>1490</v>
      </c>
      <c r="N771" s="95" t="s">
        <v>35</v>
      </c>
      <c r="O771" s="180">
        <v>44896</v>
      </c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  <c r="AD771" s="96"/>
      <c r="AE771" s="96"/>
      <c r="AF771" s="96"/>
      <c r="AG771" s="96"/>
      <c r="AH771" s="96"/>
      <c r="AI771" s="96"/>
      <c r="AJ771" s="96"/>
      <c r="AK771" s="96"/>
      <c r="AL771" s="96"/>
      <c r="AM771" s="96"/>
      <c r="AN771" s="96"/>
      <c r="AO771" s="96"/>
      <c r="AP771" s="96"/>
      <c r="AQ771" s="96"/>
      <c r="AR771" s="96"/>
      <c r="AS771" s="96"/>
      <c r="AT771" s="96"/>
    </row>
    <row r="772" spans="1:46" ht="15.75" hidden="1" customHeight="1" x14ac:dyDescent="0.35">
      <c r="A772" s="126">
        <v>8</v>
      </c>
      <c r="B772" s="126" t="s">
        <v>49</v>
      </c>
      <c r="C772" s="95" t="s">
        <v>266</v>
      </c>
      <c r="D772" s="95" t="s">
        <v>1491</v>
      </c>
      <c r="E772" s="95">
        <v>3</v>
      </c>
      <c r="F772" s="180">
        <v>41516</v>
      </c>
      <c r="G772" s="181" t="s">
        <v>279</v>
      </c>
      <c r="H772" s="181">
        <v>4083342322</v>
      </c>
      <c r="I772" s="181" t="s">
        <v>280</v>
      </c>
      <c r="J772" s="182">
        <v>44519</v>
      </c>
      <c r="K772" s="181" t="s">
        <v>153</v>
      </c>
      <c r="L772" s="181" t="s">
        <v>994</v>
      </c>
      <c r="M772" s="181" t="s">
        <v>1475</v>
      </c>
      <c r="N772" s="95" t="s">
        <v>35</v>
      </c>
      <c r="O772" s="180">
        <v>44896</v>
      </c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  <c r="AD772" s="96"/>
      <c r="AE772" s="96"/>
      <c r="AF772" s="96"/>
      <c r="AG772" s="96"/>
      <c r="AH772" s="96"/>
      <c r="AI772" s="96"/>
      <c r="AJ772" s="96"/>
      <c r="AK772" s="96"/>
      <c r="AL772" s="96"/>
      <c r="AM772" s="96"/>
      <c r="AN772" s="96"/>
      <c r="AO772" s="96"/>
      <c r="AP772" s="96"/>
      <c r="AQ772" s="96"/>
      <c r="AR772" s="96"/>
      <c r="AS772" s="96"/>
      <c r="AT772" s="96"/>
    </row>
    <row r="773" spans="1:46" ht="15.75" hidden="1" customHeight="1" x14ac:dyDescent="0.35">
      <c r="A773" s="126">
        <v>9</v>
      </c>
      <c r="B773" s="126" t="s">
        <v>89</v>
      </c>
      <c r="C773" s="95" t="s">
        <v>266</v>
      </c>
      <c r="D773" s="95" t="s">
        <v>1491</v>
      </c>
      <c r="E773" s="95">
        <v>3</v>
      </c>
      <c r="F773" s="180">
        <v>41516</v>
      </c>
      <c r="G773" s="181" t="s">
        <v>279</v>
      </c>
      <c r="H773" s="181">
        <v>4083342322</v>
      </c>
      <c r="I773" s="181" t="s">
        <v>280</v>
      </c>
      <c r="J773" s="182">
        <v>44519</v>
      </c>
      <c r="K773" s="181" t="s">
        <v>155</v>
      </c>
      <c r="L773" s="181" t="s">
        <v>950</v>
      </c>
      <c r="M773" s="181" t="s">
        <v>1475</v>
      </c>
      <c r="N773" s="95" t="s">
        <v>35</v>
      </c>
      <c r="O773" s="180">
        <v>44896</v>
      </c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  <c r="AD773" s="96"/>
      <c r="AE773" s="96"/>
      <c r="AF773" s="96"/>
      <c r="AG773" s="96"/>
      <c r="AH773" s="96"/>
      <c r="AI773" s="96"/>
      <c r="AJ773" s="96"/>
      <c r="AK773" s="96"/>
      <c r="AL773" s="96"/>
      <c r="AM773" s="96"/>
      <c r="AN773" s="96"/>
      <c r="AO773" s="96"/>
      <c r="AP773" s="96"/>
      <c r="AQ773" s="96"/>
      <c r="AR773" s="96"/>
      <c r="AS773" s="96"/>
      <c r="AT773" s="96"/>
    </row>
    <row r="774" spans="1:46" ht="15.75" hidden="1" customHeight="1" x14ac:dyDescent="0.35">
      <c r="A774" s="126">
        <v>10</v>
      </c>
      <c r="B774" s="126" t="s">
        <v>49</v>
      </c>
      <c r="C774" s="95" t="s">
        <v>1476</v>
      </c>
      <c r="D774" s="95" t="s">
        <v>1492</v>
      </c>
      <c r="E774" s="95">
        <v>5</v>
      </c>
      <c r="F774" s="180">
        <v>40854</v>
      </c>
      <c r="G774" s="181" t="s">
        <v>1478</v>
      </c>
      <c r="H774" s="181">
        <v>4084769963</v>
      </c>
      <c r="I774" s="181" t="s">
        <v>1479</v>
      </c>
      <c r="J774" s="182">
        <v>44790</v>
      </c>
      <c r="K774" s="181" t="s">
        <v>161</v>
      </c>
      <c r="L774" s="181" t="s">
        <v>950</v>
      </c>
      <c r="M774" s="181" t="s">
        <v>1480</v>
      </c>
      <c r="N774" s="95" t="s">
        <v>35</v>
      </c>
      <c r="O774" s="180">
        <v>44896</v>
      </c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  <c r="AD774" s="96"/>
      <c r="AE774" s="96"/>
      <c r="AF774" s="96"/>
      <c r="AG774" s="96"/>
      <c r="AH774" s="96"/>
      <c r="AI774" s="96"/>
      <c r="AJ774" s="96"/>
      <c r="AK774" s="96"/>
      <c r="AL774" s="96"/>
      <c r="AM774" s="96"/>
      <c r="AN774" s="96"/>
      <c r="AO774" s="96"/>
      <c r="AP774" s="96"/>
      <c r="AQ774" s="96"/>
      <c r="AR774" s="96"/>
      <c r="AS774" s="96"/>
      <c r="AT774" s="96"/>
    </row>
    <row r="775" spans="1:46" ht="15.75" hidden="1" customHeight="1" x14ac:dyDescent="0.35">
      <c r="A775" s="126">
        <v>11</v>
      </c>
      <c r="B775" s="126" t="s">
        <v>89</v>
      </c>
      <c r="C775" s="95" t="s">
        <v>1476</v>
      </c>
      <c r="D775" s="95" t="s">
        <v>1492</v>
      </c>
      <c r="E775" s="95">
        <v>5</v>
      </c>
      <c r="F775" s="180">
        <v>40854</v>
      </c>
      <c r="G775" s="181" t="s">
        <v>1478</v>
      </c>
      <c r="H775" s="181">
        <v>4084769963</v>
      </c>
      <c r="I775" s="181" t="s">
        <v>1479</v>
      </c>
      <c r="J775" s="182">
        <v>44790</v>
      </c>
      <c r="K775" s="181" t="s">
        <v>120</v>
      </c>
      <c r="L775" s="181" t="s">
        <v>950</v>
      </c>
      <c r="M775" s="181" t="s">
        <v>1480</v>
      </c>
      <c r="N775" s="95" t="s">
        <v>35</v>
      </c>
      <c r="O775" s="180">
        <v>44896</v>
      </c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  <c r="AD775" s="96"/>
      <c r="AE775" s="96"/>
      <c r="AF775" s="96"/>
      <c r="AG775" s="96"/>
      <c r="AH775" s="96"/>
      <c r="AI775" s="96"/>
      <c r="AJ775" s="96"/>
      <c r="AK775" s="96"/>
      <c r="AL775" s="96"/>
      <c r="AM775" s="96"/>
      <c r="AN775" s="96"/>
      <c r="AO775" s="96"/>
      <c r="AP775" s="96"/>
      <c r="AQ775" s="96"/>
      <c r="AR775" s="96"/>
      <c r="AS775" s="96"/>
      <c r="AT775" s="96"/>
    </row>
    <row r="776" spans="1:46" ht="15.75" hidden="1" customHeight="1" x14ac:dyDescent="0.35">
      <c r="A776" s="126">
        <v>12</v>
      </c>
      <c r="B776" s="126" t="s">
        <v>49</v>
      </c>
      <c r="C776" s="95" t="s">
        <v>1476</v>
      </c>
      <c r="D776" s="95" t="s">
        <v>1493</v>
      </c>
      <c r="E776" s="95">
        <v>5</v>
      </c>
      <c r="F776" s="180">
        <v>40821</v>
      </c>
      <c r="G776" s="181" t="s">
        <v>1478</v>
      </c>
      <c r="H776" s="181">
        <v>4084769963</v>
      </c>
      <c r="I776" s="181" t="s">
        <v>1479</v>
      </c>
      <c r="J776" s="182">
        <v>44790</v>
      </c>
      <c r="K776" s="181" t="s">
        <v>161</v>
      </c>
      <c r="L776" s="181" t="s">
        <v>950</v>
      </c>
      <c r="M776" s="181" t="s">
        <v>1480</v>
      </c>
      <c r="N776" s="95" t="s">
        <v>35</v>
      </c>
      <c r="O776" s="180">
        <v>44896</v>
      </c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  <c r="AD776" s="96"/>
      <c r="AE776" s="96"/>
      <c r="AF776" s="96"/>
      <c r="AG776" s="96"/>
      <c r="AH776" s="96"/>
      <c r="AI776" s="96"/>
      <c r="AJ776" s="96"/>
      <c r="AK776" s="96"/>
      <c r="AL776" s="96"/>
      <c r="AM776" s="96"/>
      <c r="AN776" s="96"/>
      <c r="AO776" s="96"/>
      <c r="AP776" s="96"/>
      <c r="AQ776" s="96"/>
      <c r="AR776" s="96"/>
      <c r="AS776" s="96"/>
      <c r="AT776" s="96"/>
    </row>
    <row r="777" spans="1:46" ht="15.75" hidden="1" customHeight="1" x14ac:dyDescent="0.35">
      <c r="A777" s="126">
        <v>13</v>
      </c>
      <c r="B777" s="126" t="s">
        <v>89</v>
      </c>
      <c r="C777" s="95" t="s">
        <v>1476</v>
      </c>
      <c r="D777" s="95" t="s">
        <v>1493</v>
      </c>
      <c r="E777" s="95">
        <v>5</v>
      </c>
      <c r="F777" s="180">
        <v>40821</v>
      </c>
      <c r="G777" s="181" t="s">
        <v>1478</v>
      </c>
      <c r="H777" s="181">
        <v>4084769963</v>
      </c>
      <c r="I777" s="181" t="s">
        <v>1479</v>
      </c>
      <c r="J777" s="182">
        <v>44790</v>
      </c>
      <c r="K777" s="181" t="s">
        <v>120</v>
      </c>
      <c r="L777" s="181" t="s">
        <v>950</v>
      </c>
      <c r="M777" s="181" t="s">
        <v>1480</v>
      </c>
      <c r="N777" s="95" t="s">
        <v>35</v>
      </c>
      <c r="O777" s="180">
        <v>44896</v>
      </c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  <c r="AD777" s="96"/>
      <c r="AE777" s="96"/>
      <c r="AF777" s="96"/>
      <c r="AG777" s="96"/>
      <c r="AH777" s="96"/>
      <c r="AI777" s="96"/>
      <c r="AJ777" s="96"/>
      <c r="AK777" s="96"/>
      <c r="AL777" s="96"/>
      <c r="AM777" s="96"/>
      <c r="AN777" s="96"/>
      <c r="AO777" s="96"/>
      <c r="AP777" s="96"/>
      <c r="AQ777" s="96"/>
      <c r="AR777" s="96"/>
      <c r="AS777" s="96"/>
      <c r="AT777" s="96"/>
    </row>
    <row r="778" spans="1:46" ht="15.75" hidden="1" customHeight="1" x14ac:dyDescent="0.35">
      <c r="A778" s="126">
        <v>14</v>
      </c>
      <c r="B778" s="126" t="s">
        <v>49</v>
      </c>
      <c r="C778" s="95" t="s">
        <v>952</v>
      </c>
      <c r="D778" s="95" t="s">
        <v>743</v>
      </c>
      <c r="E778" s="95">
        <v>3</v>
      </c>
      <c r="F778" s="180">
        <v>40644</v>
      </c>
      <c r="G778" s="181" t="s">
        <v>953</v>
      </c>
      <c r="H778" s="181">
        <v>4084214334</v>
      </c>
      <c r="I778" s="181" t="s">
        <v>954</v>
      </c>
      <c r="J778" s="182">
        <v>43836</v>
      </c>
      <c r="K778" s="181" t="s">
        <v>281</v>
      </c>
      <c r="L778" s="181" t="s">
        <v>589</v>
      </c>
      <c r="M778" s="181" t="s">
        <v>1494</v>
      </c>
      <c r="N778" s="95" t="s">
        <v>35</v>
      </c>
      <c r="O778" s="180">
        <v>44896</v>
      </c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  <c r="AD778" s="96"/>
      <c r="AE778" s="96"/>
      <c r="AF778" s="96"/>
      <c r="AG778" s="96"/>
      <c r="AH778" s="96"/>
      <c r="AI778" s="96"/>
      <c r="AJ778" s="96"/>
      <c r="AK778" s="96"/>
      <c r="AL778" s="96"/>
      <c r="AM778" s="96"/>
      <c r="AN778" s="96"/>
      <c r="AO778" s="96"/>
      <c r="AP778" s="96"/>
      <c r="AQ778" s="96"/>
      <c r="AR778" s="96"/>
      <c r="AS778" s="96"/>
      <c r="AT778" s="96"/>
    </row>
    <row r="779" spans="1:46" ht="15.75" hidden="1" customHeight="1" x14ac:dyDescent="0.35">
      <c r="A779" s="126">
        <v>15</v>
      </c>
      <c r="B779" s="126" t="s">
        <v>49</v>
      </c>
      <c r="C779" s="95" t="s">
        <v>390</v>
      </c>
      <c r="D779" s="95" t="s">
        <v>391</v>
      </c>
      <c r="E779" s="95">
        <v>4</v>
      </c>
      <c r="F779" s="180">
        <v>41123</v>
      </c>
      <c r="G779" s="181" t="s">
        <v>392</v>
      </c>
      <c r="H779" s="181">
        <v>9255779286</v>
      </c>
      <c r="I779" s="181" t="s">
        <v>393</v>
      </c>
      <c r="J779" s="182">
        <v>44424</v>
      </c>
      <c r="K779" s="181" t="s">
        <v>256</v>
      </c>
      <c r="L779" s="181" t="s">
        <v>589</v>
      </c>
      <c r="M779" s="181" t="s">
        <v>1475</v>
      </c>
      <c r="N779" s="95" t="s">
        <v>35</v>
      </c>
      <c r="O779" s="180">
        <v>44896</v>
      </c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  <c r="AC779" s="96"/>
      <c r="AD779" s="96"/>
      <c r="AE779" s="96"/>
      <c r="AF779" s="96"/>
      <c r="AG779" s="96"/>
      <c r="AH779" s="96"/>
      <c r="AI779" s="96"/>
      <c r="AJ779" s="96"/>
      <c r="AK779" s="96"/>
      <c r="AL779" s="96"/>
      <c r="AM779" s="96"/>
      <c r="AN779" s="96"/>
      <c r="AO779" s="96"/>
      <c r="AP779" s="96"/>
      <c r="AQ779" s="96"/>
      <c r="AR779" s="96"/>
      <c r="AS779" s="96"/>
      <c r="AT779" s="96"/>
    </row>
    <row r="780" spans="1:46" ht="15.75" hidden="1" customHeight="1" x14ac:dyDescent="0.35">
      <c r="A780" s="126">
        <v>16</v>
      </c>
      <c r="B780" s="126" t="s">
        <v>89</v>
      </c>
      <c r="C780" s="95" t="s">
        <v>390</v>
      </c>
      <c r="D780" s="95" t="s">
        <v>391</v>
      </c>
      <c r="E780" s="95">
        <v>4</v>
      </c>
      <c r="F780" s="180">
        <v>41123</v>
      </c>
      <c r="G780" s="181" t="s">
        <v>392</v>
      </c>
      <c r="H780" s="181">
        <v>9255779286</v>
      </c>
      <c r="I780" s="181" t="s">
        <v>393</v>
      </c>
      <c r="J780" s="182">
        <v>44424</v>
      </c>
      <c r="K780" s="181" t="s">
        <v>251</v>
      </c>
      <c r="L780" s="181" t="s">
        <v>1097</v>
      </c>
      <c r="M780" s="181" t="s">
        <v>1475</v>
      </c>
      <c r="N780" s="95" t="s">
        <v>35</v>
      </c>
      <c r="O780" s="180">
        <v>44896</v>
      </c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  <c r="AC780" s="96"/>
      <c r="AD780" s="96"/>
      <c r="AE780" s="96"/>
      <c r="AF780" s="96"/>
      <c r="AG780" s="96"/>
      <c r="AH780" s="96"/>
      <c r="AI780" s="96"/>
      <c r="AJ780" s="96"/>
      <c r="AK780" s="96"/>
      <c r="AL780" s="96"/>
      <c r="AM780" s="96"/>
      <c r="AN780" s="96"/>
      <c r="AO780" s="96"/>
      <c r="AP780" s="96"/>
      <c r="AQ780" s="96"/>
      <c r="AR780" s="96"/>
      <c r="AS780" s="96"/>
      <c r="AT780" s="96"/>
    </row>
    <row r="781" spans="1:46" ht="15.75" hidden="1" customHeight="1" x14ac:dyDescent="0.35">
      <c r="A781" s="148">
        <v>1</v>
      </c>
      <c r="B781" s="148" t="s">
        <v>49</v>
      </c>
      <c r="C781" s="89" t="s">
        <v>1495</v>
      </c>
      <c r="D781" s="89" t="s">
        <v>1496</v>
      </c>
      <c r="E781" s="89">
        <v>6</v>
      </c>
      <c r="F781" s="170">
        <v>40646</v>
      </c>
      <c r="G781" s="171" t="s">
        <v>1497</v>
      </c>
      <c r="H781" s="171">
        <v>9254348068</v>
      </c>
      <c r="I781" s="171" t="s">
        <v>1498</v>
      </c>
      <c r="J781" s="173">
        <v>44839</v>
      </c>
      <c r="K781" s="171" t="s">
        <v>145</v>
      </c>
      <c r="L781" s="171" t="s">
        <v>950</v>
      </c>
      <c r="M781" s="171" t="s">
        <v>1499</v>
      </c>
      <c r="N781" s="89" t="s">
        <v>35</v>
      </c>
      <c r="O781" s="170">
        <v>44927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5.75" hidden="1" customHeight="1" x14ac:dyDescent="0.35">
      <c r="A782" s="148">
        <v>2</v>
      </c>
      <c r="B782" s="148" t="s">
        <v>49</v>
      </c>
      <c r="C782" s="89" t="s">
        <v>1495</v>
      </c>
      <c r="D782" s="89" t="s">
        <v>1500</v>
      </c>
      <c r="E782" s="89" t="s">
        <v>180</v>
      </c>
      <c r="F782" s="170">
        <v>40646</v>
      </c>
      <c r="G782" s="171" t="s">
        <v>1497</v>
      </c>
      <c r="H782" s="171">
        <v>9254348068</v>
      </c>
      <c r="I782" s="171" t="s">
        <v>1498</v>
      </c>
      <c r="J782" s="173">
        <v>44839</v>
      </c>
      <c r="K782" s="171" t="s">
        <v>145</v>
      </c>
      <c r="L782" s="171" t="s">
        <v>589</v>
      </c>
      <c r="M782" s="171" t="s">
        <v>1499</v>
      </c>
      <c r="N782" s="89" t="s">
        <v>35</v>
      </c>
      <c r="O782" s="170">
        <v>44927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5.75" hidden="1" customHeight="1" x14ac:dyDescent="0.35">
      <c r="A783" s="148">
        <v>3</v>
      </c>
      <c r="B783" s="148" t="s">
        <v>49</v>
      </c>
      <c r="C783" s="89" t="s">
        <v>1501</v>
      </c>
      <c r="D783" s="89" t="s">
        <v>1502</v>
      </c>
      <c r="E783" s="89" t="s">
        <v>180</v>
      </c>
      <c r="F783" s="170">
        <v>42861</v>
      </c>
      <c r="G783" s="171" t="s">
        <v>1503</v>
      </c>
      <c r="H783" s="171">
        <v>4085063924</v>
      </c>
      <c r="I783" s="171" t="s">
        <v>1504</v>
      </c>
      <c r="J783" s="173">
        <v>44866</v>
      </c>
      <c r="K783" s="171" t="s">
        <v>182</v>
      </c>
      <c r="L783" s="171" t="s">
        <v>113</v>
      </c>
      <c r="M783" s="171"/>
      <c r="N783" s="89" t="s">
        <v>35</v>
      </c>
      <c r="O783" s="170">
        <v>44927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5.75" hidden="1" customHeight="1" x14ac:dyDescent="0.35">
      <c r="A784" s="148">
        <v>4</v>
      </c>
      <c r="B784" s="148" t="s">
        <v>49</v>
      </c>
      <c r="C784" s="89" t="s">
        <v>354</v>
      </c>
      <c r="D784" s="89" t="s">
        <v>890</v>
      </c>
      <c r="E784" s="89">
        <v>8</v>
      </c>
      <c r="F784" s="170">
        <v>40030</v>
      </c>
      <c r="G784" s="171" t="s">
        <v>1505</v>
      </c>
      <c r="H784" s="171">
        <v>4082047249</v>
      </c>
      <c r="I784" s="171" t="s">
        <v>1506</v>
      </c>
      <c r="J784" s="173">
        <v>44805</v>
      </c>
      <c r="K784" s="171" t="s">
        <v>130</v>
      </c>
      <c r="L784" s="171" t="s">
        <v>113</v>
      </c>
      <c r="M784" s="171" t="s">
        <v>1507</v>
      </c>
      <c r="N784" s="89" t="s">
        <v>35</v>
      </c>
      <c r="O784" s="170">
        <v>44927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ht="15.75" hidden="1" customHeight="1" x14ac:dyDescent="0.35">
      <c r="A785" s="148">
        <v>5</v>
      </c>
      <c r="B785" s="148" t="s">
        <v>89</v>
      </c>
      <c r="C785" s="89" t="s">
        <v>354</v>
      </c>
      <c r="D785" s="89" t="s">
        <v>890</v>
      </c>
      <c r="E785" s="89">
        <v>8</v>
      </c>
      <c r="F785" s="170">
        <v>40030</v>
      </c>
      <c r="G785" s="171" t="s">
        <v>1505</v>
      </c>
      <c r="H785" s="171">
        <v>4082047249</v>
      </c>
      <c r="I785" s="171" t="s">
        <v>1506</v>
      </c>
      <c r="J785" s="173">
        <v>44805</v>
      </c>
      <c r="K785" s="171" t="s">
        <v>167</v>
      </c>
      <c r="L785" s="171" t="s">
        <v>262</v>
      </c>
      <c r="M785" s="171" t="s">
        <v>1507</v>
      </c>
      <c r="N785" s="89" t="s">
        <v>35</v>
      </c>
      <c r="O785" s="170">
        <v>44927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5.75" hidden="1" customHeight="1" x14ac:dyDescent="0.35">
      <c r="A786" s="148">
        <v>6</v>
      </c>
      <c r="B786" s="148" t="s">
        <v>49</v>
      </c>
      <c r="C786" s="89" t="s">
        <v>1508</v>
      </c>
      <c r="D786" s="89" t="s">
        <v>1509</v>
      </c>
      <c r="E786" s="89" t="s">
        <v>180</v>
      </c>
      <c r="F786" s="170">
        <v>42867</v>
      </c>
      <c r="G786" s="171" t="s">
        <v>1510</v>
      </c>
      <c r="H786" s="171">
        <v>4086432868</v>
      </c>
      <c r="I786" s="171" t="s">
        <v>1511</v>
      </c>
      <c r="J786" s="173">
        <v>44896</v>
      </c>
      <c r="K786" s="171" t="s">
        <v>182</v>
      </c>
      <c r="L786" s="171" t="s">
        <v>994</v>
      </c>
      <c r="M786" s="171" t="s">
        <v>1512</v>
      </c>
      <c r="N786" s="89" t="s">
        <v>35</v>
      </c>
      <c r="O786" s="170">
        <v>44927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5.75" hidden="1" customHeight="1" x14ac:dyDescent="0.35">
      <c r="A787" s="148">
        <v>7</v>
      </c>
      <c r="B787" s="148" t="s">
        <v>49</v>
      </c>
      <c r="C787" s="89" t="s">
        <v>1513</v>
      </c>
      <c r="D787" s="89" t="s">
        <v>1514</v>
      </c>
      <c r="E787" s="89">
        <v>3</v>
      </c>
      <c r="F787" s="170">
        <v>41616</v>
      </c>
      <c r="G787" s="171" t="s">
        <v>1515</v>
      </c>
      <c r="H787" s="171">
        <v>5106761325</v>
      </c>
      <c r="I787" s="171" t="s">
        <v>1516</v>
      </c>
      <c r="J787" s="173">
        <v>44851</v>
      </c>
      <c r="K787" s="171" t="s">
        <v>681</v>
      </c>
      <c r="L787" s="171" t="s">
        <v>589</v>
      </c>
      <c r="M787" s="171" t="s">
        <v>1507</v>
      </c>
      <c r="N787" s="89" t="s">
        <v>35</v>
      </c>
      <c r="O787" s="170">
        <v>44927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5.75" hidden="1" customHeight="1" x14ac:dyDescent="0.35">
      <c r="A788" s="148">
        <v>8</v>
      </c>
      <c r="B788" s="148" t="s">
        <v>89</v>
      </c>
      <c r="C788" s="89" t="s">
        <v>1513</v>
      </c>
      <c r="D788" s="89" t="s">
        <v>1514</v>
      </c>
      <c r="E788" s="89">
        <v>3</v>
      </c>
      <c r="F788" s="170">
        <v>41616</v>
      </c>
      <c r="G788" s="171" t="s">
        <v>1515</v>
      </c>
      <c r="H788" s="171">
        <v>5106761325</v>
      </c>
      <c r="I788" s="171" t="s">
        <v>1516</v>
      </c>
      <c r="J788" s="173">
        <v>44851</v>
      </c>
      <c r="K788" s="171" t="s">
        <v>120</v>
      </c>
      <c r="L788" s="171" t="s">
        <v>589</v>
      </c>
      <c r="M788" s="171" t="s">
        <v>1507</v>
      </c>
      <c r="N788" s="89" t="s">
        <v>35</v>
      </c>
      <c r="O788" s="170">
        <v>44927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ht="15.75" hidden="1" customHeight="1" x14ac:dyDescent="0.35">
      <c r="A789" s="149">
        <v>1</v>
      </c>
      <c r="B789" s="149" t="s">
        <v>49</v>
      </c>
      <c r="C789" s="150" t="s">
        <v>358</v>
      </c>
      <c r="D789" s="150" t="s">
        <v>362</v>
      </c>
      <c r="E789" s="150">
        <v>4</v>
      </c>
      <c r="F789" s="151">
        <v>40886</v>
      </c>
      <c r="G789" s="153" t="s">
        <v>363</v>
      </c>
      <c r="H789" s="153" t="s">
        <v>364</v>
      </c>
      <c r="I789" s="153" t="s">
        <v>365</v>
      </c>
      <c r="J789" s="154">
        <v>44621</v>
      </c>
      <c r="K789" s="153" t="s">
        <v>212</v>
      </c>
      <c r="L789" s="153" t="s">
        <v>131</v>
      </c>
      <c r="M789" s="153" t="s">
        <v>1517</v>
      </c>
      <c r="N789" s="150" t="s">
        <v>35</v>
      </c>
      <c r="O789" s="151">
        <v>44958</v>
      </c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  <c r="AG789" s="163"/>
      <c r="AH789" s="163"/>
      <c r="AI789" s="163"/>
      <c r="AJ789" s="163"/>
      <c r="AK789" s="163"/>
      <c r="AL789" s="163"/>
      <c r="AM789" s="163"/>
      <c r="AN789" s="163"/>
      <c r="AO789" s="163"/>
      <c r="AP789" s="163"/>
      <c r="AQ789" s="163"/>
      <c r="AR789" s="163"/>
      <c r="AS789" s="163"/>
      <c r="AT789" s="163"/>
    </row>
    <row r="790" spans="1:46" ht="15.75" hidden="1" customHeight="1" x14ac:dyDescent="0.35">
      <c r="A790" s="149">
        <v>2</v>
      </c>
      <c r="B790" s="149" t="s">
        <v>49</v>
      </c>
      <c r="C790" s="150" t="s">
        <v>1200</v>
      </c>
      <c r="D790" s="150" t="s">
        <v>1518</v>
      </c>
      <c r="E790" s="150">
        <v>5</v>
      </c>
      <c r="F790" s="151">
        <v>40855</v>
      </c>
      <c r="G790" s="153" t="s">
        <v>1519</v>
      </c>
      <c r="H790" s="153">
        <v>5103780855</v>
      </c>
      <c r="I790" s="153" t="s">
        <v>1520</v>
      </c>
      <c r="J790" s="154">
        <v>44789</v>
      </c>
      <c r="K790" s="153" t="s">
        <v>130</v>
      </c>
      <c r="L790" s="153" t="s">
        <v>828</v>
      </c>
      <c r="M790" s="153" t="s">
        <v>1521</v>
      </c>
      <c r="N790" s="150" t="s">
        <v>35</v>
      </c>
      <c r="O790" s="151">
        <v>44958</v>
      </c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  <c r="AG790" s="163"/>
      <c r="AH790" s="163"/>
      <c r="AI790" s="163"/>
      <c r="AJ790" s="163"/>
      <c r="AK790" s="163"/>
      <c r="AL790" s="163"/>
      <c r="AM790" s="163"/>
      <c r="AN790" s="163"/>
      <c r="AO790" s="163"/>
      <c r="AP790" s="163"/>
      <c r="AQ790" s="163"/>
      <c r="AR790" s="163"/>
      <c r="AS790" s="163"/>
      <c r="AT790" s="163"/>
    </row>
    <row r="791" spans="1:46" ht="15.75" hidden="1" customHeight="1" x14ac:dyDescent="0.35">
      <c r="A791" s="149">
        <v>3</v>
      </c>
      <c r="B791" s="149" t="s">
        <v>89</v>
      </c>
      <c r="C791" s="150" t="s">
        <v>1200</v>
      </c>
      <c r="D791" s="150" t="s">
        <v>1518</v>
      </c>
      <c r="E791" s="150">
        <v>5</v>
      </c>
      <c r="F791" s="151">
        <v>40855</v>
      </c>
      <c r="G791" s="153" t="s">
        <v>1519</v>
      </c>
      <c r="H791" s="153">
        <v>5103780855</v>
      </c>
      <c r="I791" s="153" t="s">
        <v>1520</v>
      </c>
      <c r="J791" s="154">
        <v>44789</v>
      </c>
      <c r="K791" s="153" t="s">
        <v>163</v>
      </c>
      <c r="L791" s="153" t="s">
        <v>173</v>
      </c>
      <c r="M791" s="153" t="s">
        <v>1521</v>
      </c>
      <c r="N791" s="150" t="s">
        <v>35</v>
      </c>
      <c r="O791" s="151">
        <v>44958</v>
      </c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  <c r="AG791" s="163"/>
      <c r="AH791" s="163"/>
      <c r="AI791" s="163"/>
      <c r="AJ791" s="163"/>
      <c r="AK791" s="163"/>
      <c r="AL791" s="163"/>
      <c r="AM791" s="163"/>
      <c r="AN791" s="163"/>
      <c r="AO791" s="163"/>
      <c r="AP791" s="163"/>
      <c r="AQ791" s="163"/>
      <c r="AR791" s="163"/>
      <c r="AS791" s="163"/>
      <c r="AT791" s="163"/>
    </row>
    <row r="792" spans="1:46" ht="15.75" hidden="1" customHeight="1" x14ac:dyDescent="0.35">
      <c r="A792" s="149">
        <v>4</v>
      </c>
      <c r="B792" s="149" t="s">
        <v>49</v>
      </c>
      <c r="C792" s="150" t="s">
        <v>313</v>
      </c>
      <c r="D792" s="150" t="s">
        <v>1241</v>
      </c>
      <c r="E792" s="150">
        <v>5</v>
      </c>
      <c r="F792" s="151">
        <v>40809</v>
      </c>
      <c r="G792" s="153" t="s">
        <v>1242</v>
      </c>
      <c r="H792" s="153">
        <v>5102060413</v>
      </c>
      <c r="I792" s="153" t="s">
        <v>1243</v>
      </c>
      <c r="J792" s="154">
        <v>44795</v>
      </c>
      <c r="K792" s="153" t="s">
        <v>384</v>
      </c>
      <c r="L792" s="153" t="s">
        <v>260</v>
      </c>
      <c r="M792" s="153" t="s">
        <v>1522</v>
      </c>
      <c r="N792" s="150" t="s">
        <v>35</v>
      </c>
      <c r="O792" s="151">
        <v>44958</v>
      </c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  <c r="AG792" s="163"/>
      <c r="AH792" s="163"/>
      <c r="AI792" s="163"/>
      <c r="AJ792" s="163"/>
      <c r="AK792" s="163"/>
      <c r="AL792" s="163"/>
      <c r="AM792" s="163"/>
      <c r="AN792" s="163"/>
      <c r="AO792" s="163"/>
      <c r="AP792" s="163"/>
      <c r="AQ792" s="163"/>
      <c r="AR792" s="163"/>
      <c r="AS792" s="163"/>
      <c r="AT792" s="163"/>
    </row>
    <row r="793" spans="1:46" ht="15.75" hidden="1" customHeight="1" x14ac:dyDescent="0.35">
      <c r="A793" s="149">
        <v>5</v>
      </c>
      <c r="B793" s="149" t="s">
        <v>89</v>
      </c>
      <c r="C793" s="150" t="s">
        <v>313</v>
      </c>
      <c r="D793" s="150" t="s">
        <v>1241</v>
      </c>
      <c r="E793" s="150">
        <v>5</v>
      </c>
      <c r="F793" s="151">
        <v>40809</v>
      </c>
      <c r="G793" s="153" t="s">
        <v>1242</v>
      </c>
      <c r="H793" s="153">
        <v>5102060413</v>
      </c>
      <c r="I793" s="153" t="s">
        <v>1243</v>
      </c>
      <c r="J793" s="154">
        <v>44795</v>
      </c>
      <c r="K793" s="153" t="s">
        <v>251</v>
      </c>
      <c r="L793" s="153" t="s">
        <v>123</v>
      </c>
      <c r="M793" s="153" t="s">
        <v>1522</v>
      </c>
      <c r="N793" s="150" t="s">
        <v>35</v>
      </c>
      <c r="O793" s="151">
        <v>44958</v>
      </c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  <c r="AG793" s="163"/>
      <c r="AH793" s="163"/>
      <c r="AI793" s="163"/>
      <c r="AJ793" s="163"/>
      <c r="AK793" s="163"/>
      <c r="AL793" s="163"/>
      <c r="AM793" s="163"/>
      <c r="AN793" s="163"/>
      <c r="AO793" s="163"/>
      <c r="AP793" s="163"/>
      <c r="AQ793" s="163"/>
      <c r="AR793" s="163"/>
      <c r="AS793" s="163"/>
      <c r="AT793" s="163"/>
    </row>
    <row r="794" spans="1:46" ht="15.75" hidden="1" customHeight="1" x14ac:dyDescent="0.35">
      <c r="A794" s="149">
        <v>6</v>
      </c>
      <c r="B794" s="149" t="s">
        <v>49</v>
      </c>
      <c r="C794" s="150" t="s">
        <v>1108</v>
      </c>
      <c r="D794" s="150" t="s">
        <v>1523</v>
      </c>
      <c r="E794" s="150" t="s">
        <v>180</v>
      </c>
      <c r="F794" s="151">
        <v>42778</v>
      </c>
      <c r="G794" s="153" t="s">
        <v>1524</v>
      </c>
      <c r="H794" s="153" t="s">
        <v>1110</v>
      </c>
      <c r="I794" s="153" t="s">
        <v>1525</v>
      </c>
      <c r="J794" s="154">
        <v>44851</v>
      </c>
      <c r="K794" s="153" t="s">
        <v>118</v>
      </c>
      <c r="L794" s="153" t="s">
        <v>288</v>
      </c>
      <c r="M794" s="153" t="s">
        <v>1521</v>
      </c>
      <c r="N794" s="150" t="s">
        <v>35</v>
      </c>
      <c r="O794" s="151">
        <v>44958</v>
      </c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  <c r="AG794" s="163"/>
      <c r="AH794" s="163"/>
      <c r="AI794" s="163"/>
      <c r="AJ794" s="163"/>
      <c r="AK794" s="163"/>
      <c r="AL794" s="163"/>
      <c r="AM794" s="163"/>
      <c r="AN794" s="163"/>
      <c r="AO794" s="163"/>
      <c r="AP794" s="163"/>
      <c r="AQ794" s="163"/>
      <c r="AR794" s="163"/>
      <c r="AS794" s="163"/>
      <c r="AT794" s="163"/>
    </row>
    <row r="795" spans="1:46" ht="15.75" hidden="1" customHeight="1" x14ac:dyDescent="0.35">
      <c r="A795" s="149">
        <v>7</v>
      </c>
      <c r="B795" s="149" t="s">
        <v>89</v>
      </c>
      <c r="C795" s="150" t="s">
        <v>1108</v>
      </c>
      <c r="D795" s="150" t="s">
        <v>1523</v>
      </c>
      <c r="E795" s="150" t="s">
        <v>180</v>
      </c>
      <c r="F795" s="151">
        <v>42778</v>
      </c>
      <c r="G795" s="153" t="s">
        <v>1524</v>
      </c>
      <c r="H795" s="153" t="s">
        <v>1110</v>
      </c>
      <c r="I795" s="153" t="s">
        <v>1525</v>
      </c>
      <c r="J795" s="154">
        <v>44851</v>
      </c>
      <c r="K795" s="153" t="s">
        <v>343</v>
      </c>
      <c r="L795" s="153" t="s">
        <v>979</v>
      </c>
      <c r="M795" s="153" t="s">
        <v>1521</v>
      </c>
      <c r="N795" s="150" t="s">
        <v>35</v>
      </c>
      <c r="O795" s="151">
        <v>44958</v>
      </c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  <c r="AG795" s="163"/>
      <c r="AH795" s="163"/>
      <c r="AI795" s="163"/>
      <c r="AJ795" s="163"/>
      <c r="AK795" s="163"/>
      <c r="AL795" s="163"/>
      <c r="AM795" s="163"/>
      <c r="AN795" s="163"/>
      <c r="AO795" s="163"/>
      <c r="AP795" s="163"/>
      <c r="AQ795" s="163"/>
      <c r="AR795" s="163"/>
      <c r="AS795" s="163"/>
      <c r="AT795" s="163"/>
    </row>
    <row r="796" spans="1:46" ht="15.75" hidden="1" customHeight="1" x14ac:dyDescent="0.35">
      <c r="A796" s="149">
        <v>8</v>
      </c>
      <c r="B796" s="149" t="s">
        <v>49</v>
      </c>
      <c r="C796" s="150" t="s">
        <v>358</v>
      </c>
      <c r="D796" s="150" t="s">
        <v>383</v>
      </c>
      <c r="E796" s="150">
        <v>6</v>
      </c>
      <c r="F796" s="151">
        <v>40070</v>
      </c>
      <c r="G796" s="153" t="s">
        <v>363</v>
      </c>
      <c r="H796" s="153" t="s">
        <v>364</v>
      </c>
      <c r="I796" s="153" t="s">
        <v>365</v>
      </c>
      <c r="J796" s="154">
        <v>44621</v>
      </c>
      <c r="K796" s="153" t="s">
        <v>256</v>
      </c>
      <c r="L796" s="153" t="s">
        <v>113</v>
      </c>
      <c r="M796" s="153" t="s">
        <v>1517</v>
      </c>
      <c r="N796" s="150" t="s">
        <v>35</v>
      </c>
      <c r="O796" s="151">
        <v>44958</v>
      </c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  <c r="AG796" s="163"/>
      <c r="AH796" s="163"/>
      <c r="AI796" s="163"/>
      <c r="AJ796" s="163"/>
      <c r="AK796" s="163"/>
      <c r="AL796" s="163"/>
      <c r="AM796" s="163"/>
      <c r="AN796" s="163"/>
      <c r="AO796" s="163"/>
      <c r="AP796" s="163"/>
      <c r="AQ796" s="163"/>
      <c r="AR796" s="163"/>
      <c r="AS796" s="163"/>
      <c r="AT796" s="163"/>
    </row>
    <row r="797" spans="1:46" ht="15.75" hidden="1" customHeight="1" x14ac:dyDescent="0.35">
      <c r="A797" s="149">
        <v>9</v>
      </c>
      <c r="B797" s="149" t="s">
        <v>49</v>
      </c>
      <c r="C797" s="150" t="s">
        <v>313</v>
      </c>
      <c r="D797" s="150" t="s">
        <v>111</v>
      </c>
      <c r="E797" s="150">
        <v>5</v>
      </c>
      <c r="F797" s="151">
        <v>40809</v>
      </c>
      <c r="G797" s="153" t="s">
        <v>1242</v>
      </c>
      <c r="H797" s="153">
        <v>5102060413</v>
      </c>
      <c r="I797" s="153" t="s">
        <v>1243</v>
      </c>
      <c r="J797" s="154">
        <v>44795</v>
      </c>
      <c r="K797" s="153" t="s">
        <v>153</v>
      </c>
      <c r="L797" s="153" t="s">
        <v>156</v>
      </c>
      <c r="M797" s="153" t="s">
        <v>1522</v>
      </c>
      <c r="N797" s="150" t="s">
        <v>35</v>
      </c>
      <c r="O797" s="151">
        <v>44958</v>
      </c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  <c r="AG797" s="163"/>
      <c r="AH797" s="163"/>
      <c r="AI797" s="163"/>
      <c r="AJ797" s="163"/>
      <c r="AK797" s="163"/>
      <c r="AL797" s="163"/>
      <c r="AM797" s="163"/>
      <c r="AN797" s="163"/>
      <c r="AO797" s="163"/>
      <c r="AP797" s="163"/>
      <c r="AQ797" s="163"/>
      <c r="AR797" s="163"/>
      <c r="AS797" s="163"/>
      <c r="AT797" s="163"/>
    </row>
    <row r="798" spans="1:46" ht="15.75" hidden="1" customHeight="1" x14ac:dyDescent="0.35">
      <c r="A798" s="149">
        <v>10</v>
      </c>
      <c r="B798" s="149" t="s">
        <v>89</v>
      </c>
      <c r="C798" s="150" t="s">
        <v>313</v>
      </c>
      <c r="D798" s="150" t="s">
        <v>111</v>
      </c>
      <c r="E798" s="150">
        <v>5</v>
      </c>
      <c r="F798" s="151">
        <v>40809</v>
      </c>
      <c r="G798" s="153" t="s">
        <v>1242</v>
      </c>
      <c r="H798" s="153">
        <v>5102060413</v>
      </c>
      <c r="I798" s="153" t="s">
        <v>1243</v>
      </c>
      <c r="J798" s="154">
        <v>44795</v>
      </c>
      <c r="K798" s="153" t="s">
        <v>301</v>
      </c>
      <c r="L798" s="153" t="s">
        <v>162</v>
      </c>
      <c r="M798" s="153" t="s">
        <v>1522</v>
      </c>
      <c r="N798" s="150" t="s">
        <v>35</v>
      </c>
      <c r="O798" s="151">
        <v>44958</v>
      </c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  <c r="AG798" s="163"/>
      <c r="AH798" s="163"/>
      <c r="AI798" s="163"/>
      <c r="AJ798" s="163"/>
      <c r="AK798" s="163"/>
      <c r="AL798" s="163"/>
      <c r="AM798" s="163"/>
      <c r="AN798" s="163"/>
      <c r="AO798" s="163"/>
      <c r="AP798" s="163"/>
      <c r="AQ798" s="163"/>
      <c r="AR798" s="163"/>
      <c r="AS798" s="163"/>
      <c r="AT798" s="163"/>
    </row>
    <row r="799" spans="1:46" ht="15.75" hidden="1" customHeight="1" x14ac:dyDescent="0.35">
      <c r="A799" s="149">
        <v>11</v>
      </c>
      <c r="B799" s="149" t="s">
        <v>49</v>
      </c>
      <c r="C799" s="150" t="s">
        <v>358</v>
      </c>
      <c r="D799" s="150" t="s">
        <v>111</v>
      </c>
      <c r="E799" s="150">
        <v>1</v>
      </c>
      <c r="F799" s="151">
        <v>42231</v>
      </c>
      <c r="G799" s="153" t="s">
        <v>363</v>
      </c>
      <c r="H799" s="153" t="s">
        <v>364</v>
      </c>
      <c r="I799" s="153" t="s">
        <v>365</v>
      </c>
      <c r="J799" s="154">
        <v>44621</v>
      </c>
      <c r="K799" s="153" t="s">
        <v>452</v>
      </c>
      <c r="L799" s="153" t="s">
        <v>154</v>
      </c>
      <c r="M799" s="153" t="s">
        <v>1517</v>
      </c>
      <c r="N799" s="150" t="s">
        <v>35</v>
      </c>
      <c r="O799" s="151">
        <v>44958</v>
      </c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  <c r="AG799" s="163"/>
      <c r="AH799" s="163"/>
      <c r="AI799" s="163"/>
      <c r="AJ799" s="163"/>
      <c r="AK799" s="163"/>
      <c r="AL799" s="163"/>
      <c r="AM799" s="163"/>
      <c r="AN799" s="163"/>
      <c r="AO799" s="163"/>
      <c r="AP799" s="163"/>
      <c r="AQ799" s="163"/>
      <c r="AR799" s="163"/>
      <c r="AS799" s="163"/>
      <c r="AT799" s="163"/>
    </row>
    <row r="800" spans="1:46" ht="15.75" hidden="1" customHeight="1" x14ac:dyDescent="0.35">
      <c r="A800" s="183">
        <v>1</v>
      </c>
      <c r="B800" s="183" t="s">
        <v>49</v>
      </c>
      <c r="C800" s="184" t="s">
        <v>1526</v>
      </c>
      <c r="D800" s="184" t="s">
        <v>1527</v>
      </c>
      <c r="E800" s="184">
        <v>1</v>
      </c>
      <c r="F800" s="185">
        <v>42475</v>
      </c>
      <c r="G800" s="186" t="s">
        <v>1528</v>
      </c>
      <c r="H800" s="186">
        <v>9016528577</v>
      </c>
      <c r="I800" s="186" t="s">
        <v>1529</v>
      </c>
      <c r="J800" s="187">
        <v>44810</v>
      </c>
      <c r="K800" s="186" t="s">
        <v>691</v>
      </c>
      <c r="L800" s="186" t="s">
        <v>820</v>
      </c>
      <c r="M800" s="186" t="s">
        <v>1530</v>
      </c>
      <c r="N800" s="184" t="s">
        <v>35</v>
      </c>
      <c r="O800" s="185">
        <v>44986</v>
      </c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  <c r="AA800" s="188"/>
      <c r="AB800" s="188"/>
      <c r="AC800" s="188"/>
      <c r="AD800" s="188"/>
      <c r="AE800" s="188"/>
      <c r="AF800" s="188"/>
      <c r="AG800" s="188"/>
      <c r="AH800" s="188"/>
      <c r="AI800" s="188"/>
      <c r="AJ800" s="188"/>
      <c r="AK800" s="188"/>
      <c r="AL800" s="188"/>
      <c r="AM800" s="188"/>
      <c r="AN800" s="188"/>
      <c r="AO800" s="188"/>
      <c r="AP800" s="188"/>
      <c r="AQ800" s="188"/>
      <c r="AR800" s="188"/>
      <c r="AS800" s="188"/>
      <c r="AT800" s="188"/>
    </row>
    <row r="801" spans="1:46" ht="15.75" hidden="1" customHeight="1" x14ac:dyDescent="0.35">
      <c r="A801" s="183">
        <v>2</v>
      </c>
      <c r="B801" s="183" t="s">
        <v>49</v>
      </c>
      <c r="C801" s="184" t="s">
        <v>682</v>
      </c>
      <c r="D801" s="184" t="s">
        <v>1531</v>
      </c>
      <c r="E801" s="184">
        <v>9</v>
      </c>
      <c r="F801" s="185">
        <v>39295</v>
      </c>
      <c r="G801" s="186" t="s">
        <v>1532</v>
      </c>
      <c r="H801" s="186">
        <v>4088022620</v>
      </c>
      <c r="I801" s="186" t="s">
        <v>1533</v>
      </c>
      <c r="J801" s="187">
        <v>44136</v>
      </c>
      <c r="K801" s="186" t="s">
        <v>237</v>
      </c>
      <c r="L801" s="186" t="s">
        <v>589</v>
      </c>
      <c r="M801" s="186" t="s">
        <v>1534</v>
      </c>
      <c r="N801" s="184" t="s">
        <v>35</v>
      </c>
      <c r="O801" s="185">
        <v>44986</v>
      </c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  <c r="AA801" s="188"/>
      <c r="AB801" s="188"/>
      <c r="AC801" s="188"/>
      <c r="AD801" s="188"/>
      <c r="AE801" s="188"/>
      <c r="AF801" s="188"/>
      <c r="AG801" s="188"/>
      <c r="AH801" s="188"/>
      <c r="AI801" s="188"/>
      <c r="AJ801" s="188"/>
      <c r="AK801" s="188"/>
      <c r="AL801" s="188"/>
      <c r="AM801" s="188"/>
      <c r="AN801" s="188"/>
      <c r="AO801" s="188"/>
      <c r="AP801" s="188"/>
      <c r="AQ801" s="188"/>
      <c r="AR801" s="188"/>
      <c r="AS801" s="188"/>
      <c r="AT801" s="188"/>
    </row>
    <row r="802" spans="1:46" ht="15.75" hidden="1" customHeight="1" x14ac:dyDescent="0.35">
      <c r="A802" s="183">
        <v>3</v>
      </c>
      <c r="B802" s="183" t="s">
        <v>89</v>
      </c>
      <c r="C802" s="184" t="s">
        <v>1414</v>
      </c>
      <c r="D802" s="184" t="s">
        <v>1415</v>
      </c>
      <c r="E802" s="184">
        <v>6</v>
      </c>
      <c r="F802" s="185">
        <v>40410</v>
      </c>
      <c r="G802" s="186" t="s">
        <v>1416</v>
      </c>
      <c r="H802" s="186">
        <v>4087686361</v>
      </c>
      <c r="I802" s="186" t="s">
        <v>1417</v>
      </c>
      <c r="J802" s="187">
        <v>44896</v>
      </c>
      <c r="K802" s="186" t="s">
        <v>251</v>
      </c>
      <c r="L802" s="186" t="s">
        <v>791</v>
      </c>
      <c r="M802" s="186"/>
      <c r="N802" s="184" t="s">
        <v>35</v>
      </c>
      <c r="O802" s="185">
        <v>44986</v>
      </c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  <c r="AA802" s="188"/>
      <c r="AB802" s="188"/>
      <c r="AC802" s="188"/>
      <c r="AD802" s="188"/>
      <c r="AE802" s="188"/>
      <c r="AF802" s="188"/>
      <c r="AG802" s="188"/>
      <c r="AH802" s="188"/>
      <c r="AI802" s="188"/>
      <c r="AJ802" s="188"/>
      <c r="AK802" s="188"/>
      <c r="AL802" s="188"/>
      <c r="AM802" s="188"/>
      <c r="AN802" s="188"/>
      <c r="AO802" s="188"/>
      <c r="AP802" s="188"/>
      <c r="AQ802" s="188"/>
      <c r="AR802" s="188"/>
      <c r="AS802" s="188"/>
      <c r="AT802" s="188"/>
    </row>
    <row r="803" spans="1:46" ht="15.75" hidden="1" customHeight="1" x14ac:dyDescent="0.35">
      <c r="A803" s="174">
        <v>1</v>
      </c>
      <c r="B803" s="174" t="s">
        <v>89</v>
      </c>
      <c r="C803" s="175" t="s">
        <v>174</v>
      </c>
      <c r="D803" s="175" t="s">
        <v>1535</v>
      </c>
      <c r="E803" s="175">
        <v>4</v>
      </c>
      <c r="F803" s="176">
        <v>41071</v>
      </c>
      <c r="G803" s="177" t="s">
        <v>1536</v>
      </c>
      <c r="H803" s="177" t="s">
        <v>1537</v>
      </c>
      <c r="I803" s="177" t="s">
        <v>1538</v>
      </c>
      <c r="J803" s="189">
        <v>44426</v>
      </c>
      <c r="K803" s="177" t="s">
        <v>261</v>
      </c>
      <c r="L803" s="177" t="s">
        <v>820</v>
      </c>
      <c r="M803" s="190"/>
      <c r="N803" s="175" t="s">
        <v>35</v>
      </c>
      <c r="O803" s="176">
        <v>45017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ht="15.75" hidden="1" customHeight="1" x14ac:dyDescent="0.35">
      <c r="A804" s="174">
        <v>2</v>
      </c>
      <c r="B804" s="174" t="s">
        <v>89</v>
      </c>
      <c r="C804" s="175" t="s">
        <v>453</v>
      </c>
      <c r="D804" s="175" t="s">
        <v>1539</v>
      </c>
      <c r="E804" s="175">
        <v>6</v>
      </c>
      <c r="F804" s="176">
        <v>40143</v>
      </c>
      <c r="G804" s="177" t="s">
        <v>1540</v>
      </c>
      <c r="H804" s="177">
        <v>6505757322</v>
      </c>
      <c r="I804" s="177" t="s">
        <v>1541</v>
      </c>
      <c r="J804" s="189">
        <v>44643</v>
      </c>
      <c r="K804" s="177" t="s">
        <v>265</v>
      </c>
      <c r="L804" s="177" t="s">
        <v>288</v>
      </c>
      <c r="M804" s="190"/>
      <c r="N804" s="175" t="s">
        <v>35</v>
      </c>
      <c r="O804" s="176">
        <v>45017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ht="15.75" hidden="1" customHeight="1" x14ac:dyDescent="0.35">
      <c r="A805" s="174">
        <v>3</v>
      </c>
      <c r="B805" s="174" t="s">
        <v>89</v>
      </c>
      <c r="C805" s="175" t="s">
        <v>453</v>
      </c>
      <c r="D805" s="175" t="s">
        <v>1542</v>
      </c>
      <c r="E805" s="175">
        <v>9</v>
      </c>
      <c r="F805" s="176">
        <v>39315</v>
      </c>
      <c r="G805" s="177" t="s">
        <v>1540</v>
      </c>
      <c r="H805" s="177">
        <v>6505757322</v>
      </c>
      <c r="I805" s="177" t="s">
        <v>1541</v>
      </c>
      <c r="J805" s="189">
        <v>44440</v>
      </c>
      <c r="K805" s="177" t="s">
        <v>324</v>
      </c>
      <c r="L805" s="177" t="s">
        <v>1543</v>
      </c>
      <c r="M805" s="190"/>
      <c r="N805" s="175" t="s">
        <v>35</v>
      </c>
      <c r="O805" s="176">
        <v>45017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ht="15.75" hidden="1" customHeight="1" x14ac:dyDescent="0.35">
      <c r="A806" s="174">
        <v>4</v>
      </c>
      <c r="B806" s="174" t="s">
        <v>89</v>
      </c>
      <c r="C806" s="175" t="s">
        <v>487</v>
      </c>
      <c r="D806" s="175" t="s">
        <v>978</v>
      </c>
      <c r="E806" s="175">
        <v>7</v>
      </c>
      <c r="F806" s="176">
        <v>40364</v>
      </c>
      <c r="G806" s="177" t="s">
        <v>794</v>
      </c>
      <c r="H806" s="177">
        <v>6262329231</v>
      </c>
      <c r="I806" s="177" t="s">
        <v>1445</v>
      </c>
      <c r="J806" s="189">
        <v>44720</v>
      </c>
      <c r="K806" s="177" t="s">
        <v>261</v>
      </c>
      <c r="L806" s="177" t="s">
        <v>154</v>
      </c>
      <c r="M806" s="190"/>
      <c r="N806" s="175" t="s">
        <v>35</v>
      </c>
      <c r="O806" s="176">
        <v>45017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5.75" hidden="1" customHeight="1" x14ac:dyDescent="0.35">
      <c r="A807" s="174">
        <v>5</v>
      </c>
      <c r="B807" s="174" t="s">
        <v>49</v>
      </c>
      <c r="C807" s="175" t="s">
        <v>487</v>
      </c>
      <c r="D807" s="175" t="s">
        <v>574</v>
      </c>
      <c r="E807" s="175">
        <v>4</v>
      </c>
      <c r="F807" s="176">
        <v>41302</v>
      </c>
      <c r="G807" s="177" t="s">
        <v>794</v>
      </c>
      <c r="H807" s="177">
        <v>6262329231</v>
      </c>
      <c r="I807" s="177" t="s">
        <v>1445</v>
      </c>
      <c r="J807" s="189">
        <v>44896</v>
      </c>
      <c r="K807" s="177" t="s">
        <v>384</v>
      </c>
      <c r="L807" s="177" t="s">
        <v>394</v>
      </c>
      <c r="M807" s="190" t="s">
        <v>1544</v>
      </c>
      <c r="N807" s="175" t="s">
        <v>35</v>
      </c>
      <c r="O807" s="176">
        <v>45017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5.75" hidden="1" customHeight="1" x14ac:dyDescent="0.35">
      <c r="A808" s="156">
        <v>1</v>
      </c>
      <c r="B808" s="156" t="s">
        <v>49</v>
      </c>
      <c r="C808" s="156" t="s">
        <v>748</v>
      </c>
      <c r="D808" s="156" t="s">
        <v>106</v>
      </c>
      <c r="E808" s="156">
        <v>4</v>
      </c>
      <c r="F808" s="158">
        <v>40820</v>
      </c>
      <c r="G808" s="159" t="s">
        <v>1545</v>
      </c>
      <c r="H808" s="159">
        <v>4087263322</v>
      </c>
      <c r="I808" s="159" t="s">
        <v>1546</v>
      </c>
      <c r="J808" s="161">
        <v>44531</v>
      </c>
      <c r="K808" s="159" t="s">
        <v>212</v>
      </c>
      <c r="L808" s="159" t="s">
        <v>551</v>
      </c>
      <c r="M808" s="159" t="s">
        <v>1547</v>
      </c>
      <c r="N808" s="156" t="s">
        <v>35</v>
      </c>
      <c r="O808" s="158">
        <v>45078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5.75" hidden="1" customHeight="1" x14ac:dyDescent="0.35">
      <c r="A809" s="156">
        <v>2</v>
      </c>
      <c r="B809" s="156" t="s">
        <v>89</v>
      </c>
      <c r="C809" s="156" t="s">
        <v>748</v>
      </c>
      <c r="D809" s="156" t="s">
        <v>106</v>
      </c>
      <c r="E809" s="156">
        <v>4</v>
      </c>
      <c r="F809" s="158">
        <v>40820</v>
      </c>
      <c r="G809" s="159" t="s">
        <v>1545</v>
      </c>
      <c r="H809" s="159">
        <v>4087263322</v>
      </c>
      <c r="I809" s="159" t="s">
        <v>1546</v>
      </c>
      <c r="J809" s="161">
        <v>44531</v>
      </c>
      <c r="K809" s="159" t="s">
        <v>167</v>
      </c>
      <c r="L809" s="159" t="s">
        <v>282</v>
      </c>
      <c r="M809" s="159" t="s">
        <v>1547</v>
      </c>
      <c r="N809" s="156" t="s">
        <v>35</v>
      </c>
      <c r="O809" s="158">
        <v>45078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5.75" hidden="1" customHeight="1" x14ac:dyDescent="0.35">
      <c r="A810" s="156">
        <v>3</v>
      </c>
      <c r="B810" s="156" t="s">
        <v>49</v>
      </c>
      <c r="C810" s="156" t="s">
        <v>1393</v>
      </c>
      <c r="D810" s="156" t="s">
        <v>1394</v>
      </c>
      <c r="E810" s="156">
        <v>1</v>
      </c>
      <c r="F810" s="158">
        <v>42521</v>
      </c>
      <c r="G810" s="159" t="s">
        <v>1395</v>
      </c>
      <c r="H810" s="159">
        <v>4082046275</v>
      </c>
      <c r="I810" s="159" t="s">
        <v>1396</v>
      </c>
      <c r="J810" s="161">
        <v>44942</v>
      </c>
      <c r="K810" s="159" t="s">
        <v>118</v>
      </c>
      <c r="L810" s="159" t="s">
        <v>1548</v>
      </c>
      <c r="M810" s="159"/>
      <c r="N810" s="156" t="s">
        <v>35</v>
      </c>
      <c r="O810" s="158">
        <v>45078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5.75" hidden="1" customHeight="1" x14ac:dyDescent="0.35">
      <c r="A811" s="156">
        <v>4</v>
      </c>
      <c r="B811" s="156" t="s">
        <v>89</v>
      </c>
      <c r="C811" s="156" t="s">
        <v>1393</v>
      </c>
      <c r="D811" s="156" t="s">
        <v>1394</v>
      </c>
      <c r="E811" s="156">
        <v>1</v>
      </c>
      <c r="F811" s="158">
        <v>42521</v>
      </c>
      <c r="G811" s="159" t="s">
        <v>1395</v>
      </c>
      <c r="H811" s="159">
        <v>4082046275</v>
      </c>
      <c r="I811" s="159" t="s">
        <v>1396</v>
      </c>
      <c r="J811" s="161">
        <v>44942</v>
      </c>
      <c r="K811" s="159" t="s">
        <v>277</v>
      </c>
      <c r="L811" s="159" t="s">
        <v>899</v>
      </c>
      <c r="M811" s="159"/>
      <c r="N811" s="156" t="s">
        <v>35</v>
      </c>
      <c r="O811" s="158">
        <v>45078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5.75" hidden="1" customHeight="1" x14ac:dyDescent="0.35">
      <c r="A812" s="156">
        <v>5</v>
      </c>
      <c r="B812" s="156" t="s">
        <v>49</v>
      </c>
      <c r="C812" s="156" t="s">
        <v>437</v>
      </c>
      <c r="D812" s="156" t="s">
        <v>1196</v>
      </c>
      <c r="E812" s="156">
        <v>5</v>
      </c>
      <c r="F812" s="158">
        <v>40920</v>
      </c>
      <c r="G812" s="159" t="s">
        <v>442</v>
      </c>
      <c r="H812" s="159">
        <v>4083290431</v>
      </c>
      <c r="I812" s="159" t="s">
        <v>443</v>
      </c>
      <c r="J812" s="161">
        <v>44896</v>
      </c>
      <c r="K812" s="159" t="s">
        <v>109</v>
      </c>
      <c r="L812" s="159" t="s">
        <v>288</v>
      </c>
      <c r="M812" s="159" t="s">
        <v>1549</v>
      </c>
      <c r="N812" s="156" t="s">
        <v>35</v>
      </c>
      <c r="O812" s="158">
        <v>45078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5.75" hidden="1" customHeight="1" x14ac:dyDescent="0.35">
      <c r="A813" s="156">
        <v>6</v>
      </c>
      <c r="B813" s="156" t="s">
        <v>49</v>
      </c>
      <c r="C813" s="156" t="s">
        <v>174</v>
      </c>
      <c r="D813" s="156" t="s">
        <v>1535</v>
      </c>
      <c r="E813" s="156">
        <v>4</v>
      </c>
      <c r="F813" s="158">
        <v>41071</v>
      </c>
      <c r="G813" s="159" t="s">
        <v>1536</v>
      </c>
      <c r="H813" s="159" t="s">
        <v>1537</v>
      </c>
      <c r="I813" s="159" t="s">
        <v>1538</v>
      </c>
      <c r="J813" s="161">
        <v>44426</v>
      </c>
      <c r="K813" s="159" t="s">
        <v>281</v>
      </c>
      <c r="L813" s="159" t="s">
        <v>125</v>
      </c>
      <c r="M813" s="159" t="s">
        <v>1550</v>
      </c>
      <c r="N813" s="156" t="s">
        <v>35</v>
      </c>
      <c r="O813" s="158">
        <v>45078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5.75" hidden="1" customHeight="1" x14ac:dyDescent="0.35">
      <c r="A814" s="156">
        <v>7</v>
      </c>
      <c r="B814" s="156" t="s">
        <v>49</v>
      </c>
      <c r="C814" s="156" t="s">
        <v>1551</v>
      </c>
      <c r="D814" s="156" t="s">
        <v>1552</v>
      </c>
      <c r="E814" s="156">
        <v>1</v>
      </c>
      <c r="F814" s="158">
        <v>42402</v>
      </c>
      <c r="G814" s="159" t="s">
        <v>1553</v>
      </c>
      <c r="H814" s="159">
        <v>4088029653</v>
      </c>
      <c r="I814" s="159" t="s">
        <v>1554</v>
      </c>
      <c r="J814" s="161">
        <v>44805</v>
      </c>
      <c r="K814" s="159" t="s">
        <v>145</v>
      </c>
      <c r="L814" s="159" t="s">
        <v>994</v>
      </c>
      <c r="M814" s="159"/>
      <c r="N814" s="156" t="s">
        <v>35</v>
      </c>
      <c r="O814" s="158">
        <v>45078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5.75" hidden="1" customHeight="1" x14ac:dyDescent="0.35">
      <c r="A815" s="191">
        <v>1</v>
      </c>
      <c r="B815" s="191" t="s">
        <v>49</v>
      </c>
      <c r="C815" s="191" t="s">
        <v>1555</v>
      </c>
      <c r="D815" s="191" t="s">
        <v>1556</v>
      </c>
      <c r="E815" s="191">
        <v>4</v>
      </c>
      <c r="F815" s="192">
        <v>41337</v>
      </c>
      <c r="G815" s="193" t="s">
        <v>1557</v>
      </c>
      <c r="H815" s="193">
        <v>5103585536</v>
      </c>
      <c r="I815" s="193" t="s">
        <v>1558</v>
      </c>
      <c r="J815" s="194">
        <v>44844</v>
      </c>
      <c r="K815" s="193" t="s">
        <v>212</v>
      </c>
      <c r="L815" s="193" t="s">
        <v>731</v>
      </c>
      <c r="M815" s="193" t="s">
        <v>1559</v>
      </c>
      <c r="N815" s="191" t="s">
        <v>83</v>
      </c>
      <c r="O815" s="192">
        <v>45078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ht="15.75" hidden="1" customHeight="1" x14ac:dyDescent="0.35">
      <c r="A816" s="195">
        <v>2</v>
      </c>
      <c r="B816" s="195" t="s">
        <v>49</v>
      </c>
      <c r="C816" s="195" t="s">
        <v>1307</v>
      </c>
      <c r="D816" s="195" t="s">
        <v>1308</v>
      </c>
      <c r="E816" s="195">
        <v>1</v>
      </c>
      <c r="F816" s="196">
        <v>41922</v>
      </c>
      <c r="G816" s="197" t="s">
        <v>1309</v>
      </c>
      <c r="H816" s="197" t="s">
        <v>1310</v>
      </c>
      <c r="I816" s="197" t="s">
        <v>1311</v>
      </c>
      <c r="J816" s="198">
        <v>44795</v>
      </c>
      <c r="K816" s="197" t="s">
        <v>161</v>
      </c>
      <c r="L816" s="197" t="s">
        <v>516</v>
      </c>
      <c r="M816" s="197" t="s">
        <v>1559</v>
      </c>
      <c r="N816" s="195" t="s">
        <v>83</v>
      </c>
      <c r="O816" s="196">
        <v>45078</v>
      </c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  <c r="AB816" s="199"/>
      <c r="AC816" s="199"/>
      <c r="AD816" s="199"/>
      <c r="AE816" s="199"/>
      <c r="AF816" s="199"/>
      <c r="AG816" s="199"/>
      <c r="AH816" s="199"/>
      <c r="AI816" s="199"/>
      <c r="AJ816" s="199"/>
      <c r="AK816" s="199"/>
      <c r="AL816" s="199"/>
      <c r="AM816" s="199"/>
      <c r="AN816" s="199"/>
      <c r="AO816" s="199"/>
      <c r="AP816" s="199"/>
      <c r="AQ816" s="199"/>
      <c r="AR816" s="199"/>
      <c r="AS816" s="199"/>
      <c r="AT816" s="199"/>
    </row>
    <row r="817" spans="1:46" ht="15.75" hidden="1" customHeight="1" x14ac:dyDescent="0.35">
      <c r="A817" s="195">
        <v>3</v>
      </c>
      <c r="B817" s="195" t="s">
        <v>89</v>
      </c>
      <c r="C817" s="195" t="s">
        <v>1307</v>
      </c>
      <c r="D817" s="195" t="s">
        <v>1308</v>
      </c>
      <c r="E817" s="195">
        <v>1</v>
      </c>
      <c r="F817" s="196">
        <v>41922</v>
      </c>
      <c r="G817" s="197" t="s">
        <v>1309</v>
      </c>
      <c r="H817" s="197" t="s">
        <v>1310</v>
      </c>
      <c r="I817" s="197" t="s">
        <v>1311</v>
      </c>
      <c r="J817" s="198">
        <v>44795</v>
      </c>
      <c r="K817" s="197" t="s">
        <v>132</v>
      </c>
      <c r="L817" s="197" t="s">
        <v>1560</v>
      </c>
      <c r="M817" s="197" t="s">
        <v>1559</v>
      </c>
      <c r="N817" s="195" t="s">
        <v>83</v>
      </c>
      <c r="O817" s="196">
        <v>45078</v>
      </c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  <c r="AB817" s="199"/>
      <c r="AC817" s="199"/>
      <c r="AD817" s="199"/>
      <c r="AE817" s="199"/>
      <c r="AF817" s="199"/>
      <c r="AG817" s="199"/>
      <c r="AH817" s="199"/>
      <c r="AI817" s="199"/>
      <c r="AJ817" s="199"/>
      <c r="AK817" s="199"/>
      <c r="AL817" s="199"/>
      <c r="AM817" s="199"/>
      <c r="AN817" s="199"/>
      <c r="AO817" s="199"/>
      <c r="AP817" s="199"/>
      <c r="AQ817" s="199"/>
      <c r="AR817" s="199"/>
      <c r="AS817" s="199"/>
      <c r="AT817" s="199"/>
    </row>
    <row r="818" spans="1:46" ht="15.75" hidden="1" customHeight="1" x14ac:dyDescent="0.35">
      <c r="A818" s="19">
        <v>4</v>
      </c>
      <c r="B818" s="19" t="s">
        <v>49</v>
      </c>
      <c r="C818" s="19" t="s">
        <v>973</v>
      </c>
      <c r="D818" s="19" t="s">
        <v>976</v>
      </c>
      <c r="E818" s="19">
        <v>3</v>
      </c>
      <c r="F818" s="200">
        <v>41059</v>
      </c>
      <c r="G818" s="201" t="s">
        <v>1099</v>
      </c>
      <c r="H818" s="201">
        <v>16504830611</v>
      </c>
      <c r="I818" s="201" t="s">
        <v>1100</v>
      </c>
      <c r="J818" s="202">
        <v>44928</v>
      </c>
      <c r="K818" s="201" t="s">
        <v>216</v>
      </c>
      <c r="L818" s="201" t="s">
        <v>178</v>
      </c>
      <c r="M818" s="201" t="s">
        <v>1163</v>
      </c>
      <c r="N818" s="19" t="s">
        <v>35</v>
      </c>
      <c r="O818" s="192">
        <v>45078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ht="15.75" hidden="1" customHeight="1" x14ac:dyDescent="0.35">
      <c r="A819" s="19">
        <v>5</v>
      </c>
      <c r="B819" s="19" t="s">
        <v>89</v>
      </c>
      <c r="C819" s="19" t="s">
        <v>973</v>
      </c>
      <c r="D819" s="19" t="s">
        <v>976</v>
      </c>
      <c r="E819" s="19">
        <v>3</v>
      </c>
      <c r="F819" s="200">
        <v>41059</v>
      </c>
      <c r="G819" s="201" t="s">
        <v>1099</v>
      </c>
      <c r="H819" s="201">
        <v>16504830611</v>
      </c>
      <c r="I819" s="201" t="s">
        <v>1100</v>
      </c>
      <c r="J819" s="202">
        <v>44795</v>
      </c>
      <c r="K819" s="201" t="s">
        <v>384</v>
      </c>
      <c r="L819" s="201" t="s">
        <v>178</v>
      </c>
      <c r="M819" s="201" t="s">
        <v>1163</v>
      </c>
      <c r="N819" s="19" t="s">
        <v>35</v>
      </c>
      <c r="O819" s="192">
        <v>45078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5.75" hidden="1" customHeight="1" x14ac:dyDescent="0.35">
      <c r="A820" s="19">
        <v>6</v>
      </c>
      <c r="B820" s="19" t="s">
        <v>49</v>
      </c>
      <c r="C820" s="19" t="s">
        <v>1561</v>
      </c>
      <c r="D820" s="19" t="s">
        <v>1562</v>
      </c>
      <c r="E820" s="19">
        <v>3</v>
      </c>
      <c r="F820" s="200">
        <v>41821</v>
      </c>
      <c r="G820" s="201" t="s">
        <v>1563</v>
      </c>
      <c r="H820" s="201" t="s">
        <v>1564</v>
      </c>
      <c r="I820" s="201" t="s">
        <v>1565</v>
      </c>
      <c r="J820" s="202">
        <v>45002</v>
      </c>
      <c r="K820" s="201" t="s">
        <v>202</v>
      </c>
      <c r="L820" s="201" t="s">
        <v>283</v>
      </c>
      <c r="M820" s="201"/>
      <c r="N820" s="19" t="s">
        <v>35</v>
      </c>
      <c r="O820" s="192">
        <v>45078</v>
      </c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  <c r="AA820" s="135"/>
      <c r="AB820" s="135"/>
      <c r="AC820" s="135"/>
      <c r="AD820" s="135"/>
      <c r="AE820" s="135"/>
      <c r="AF820" s="135"/>
      <c r="AG820" s="135"/>
      <c r="AH820" s="135"/>
      <c r="AI820" s="135"/>
      <c r="AJ820" s="135"/>
      <c r="AK820" s="135"/>
      <c r="AL820" s="135"/>
      <c r="AM820" s="135"/>
      <c r="AN820" s="135"/>
      <c r="AO820" s="135"/>
      <c r="AP820" s="135"/>
      <c r="AQ820" s="135"/>
      <c r="AR820" s="135"/>
      <c r="AS820" s="135"/>
      <c r="AT820" s="135"/>
    </row>
    <row r="821" spans="1:46" ht="15.75" hidden="1" customHeight="1" x14ac:dyDescent="0.35">
      <c r="A821" s="191">
        <v>7</v>
      </c>
      <c r="B821" s="19" t="s">
        <v>49</v>
      </c>
      <c r="C821" s="19" t="s">
        <v>1561</v>
      </c>
      <c r="D821" s="19" t="s">
        <v>1566</v>
      </c>
      <c r="E821" s="19">
        <v>7</v>
      </c>
      <c r="F821" s="200">
        <v>40348</v>
      </c>
      <c r="G821" s="201" t="s">
        <v>1563</v>
      </c>
      <c r="H821" s="201" t="s">
        <v>1564</v>
      </c>
      <c r="I821" s="203" t="s">
        <v>1565</v>
      </c>
      <c r="J821" s="202">
        <v>45002</v>
      </c>
      <c r="K821" s="201" t="s">
        <v>212</v>
      </c>
      <c r="L821" s="201" t="s">
        <v>125</v>
      </c>
      <c r="M821" s="201"/>
      <c r="N821" s="19" t="s">
        <v>35</v>
      </c>
      <c r="O821" s="192">
        <v>45078</v>
      </c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  <c r="AA821" s="135"/>
      <c r="AB821" s="135"/>
      <c r="AC821" s="135"/>
      <c r="AD821" s="135"/>
      <c r="AE821" s="135"/>
      <c r="AF821" s="135"/>
      <c r="AG821" s="135"/>
      <c r="AH821" s="135"/>
      <c r="AI821" s="135"/>
      <c r="AJ821" s="135"/>
      <c r="AK821" s="135"/>
      <c r="AL821" s="135"/>
      <c r="AM821" s="135"/>
      <c r="AN821" s="135"/>
      <c r="AO821" s="135"/>
      <c r="AP821" s="135"/>
      <c r="AQ821" s="135"/>
      <c r="AR821" s="135"/>
      <c r="AS821" s="135"/>
      <c r="AT821" s="135"/>
    </row>
    <row r="822" spans="1:46" ht="13.5" hidden="1" customHeight="1" x14ac:dyDescent="0.35">
      <c r="A822" s="195">
        <v>8</v>
      </c>
      <c r="B822" s="195" t="s">
        <v>49</v>
      </c>
      <c r="C822" s="195" t="s">
        <v>174</v>
      </c>
      <c r="D822" s="195" t="s">
        <v>175</v>
      </c>
      <c r="E822" s="195" t="s">
        <v>149</v>
      </c>
      <c r="F822" s="196">
        <v>42277</v>
      </c>
      <c r="G822" s="197" t="s">
        <v>176</v>
      </c>
      <c r="H822" s="197">
        <v>3472777326</v>
      </c>
      <c r="I822" s="197" t="s">
        <v>177</v>
      </c>
      <c r="J822" s="198">
        <v>44424</v>
      </c>
      <c r="K822" s="197" t="s">
        <v>202</v>
      </c>
      <c r="L822" s="197" t="s">
        <v>560</v>
      </c>
      <c r="M822" s="197" t="s">
        <v>1567</v>
      </c>
      <c r="N822" s="195" t="s">
        <v>35</v>
      </c>
      <c r="O822" s="196">
        <v>45078</v>
      </c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  <c r="AI822" s="204"/>
      <c r="AJ822" s="204"/>
      <c r="AK822" s="204"/>
      <c r="AL822" s="204"/>
      <c r="AM822" s="204"/>
      <c r="AN822" s="204"/>
      <c r="AO822" s="204"/>
      <c r="AP822" s="204"/>
      <c r="AQ822" s="204"/>
      <c r="AR822" s="204"/>
      <c r="AS822" s="204"/>
      <c r="AT822" s="204"/>
    </row>
    <row r="823" spans="1:46" ht="15.75" hidden="1" customHeight="1" x14ac:dyDescent="0.35">
      <c r="A823" s="195">
        <v>9</v>
      </c>
      <c r="B823" s="195" t="s">
        <v>89</v>
      </c>
      <c r="C823" s="195" t="s">
        <v>174</v>
      </c>
      <c r="D823" s="195" t="s">
        <v>175</v>
      </c>
      <c r="E823" s="197" t="s">
        <v>149</v>
      </c>
      <c r="F823" s="197">
        <v>42277</v>
      </c>
      <c r="G823" s="197" t="s">
        <v>176</v>
      </c>
      <c r="H823" s="197">
        <v>3472777326</v>
      </c>
      <c r="I823" s="197" t="s">
        <v>177</v>
      </c>
      <c r="J823" s="197">
        <v>44424</v>
      </c>
      <c r="K823" s="197" t="s">
        <v>120</v>
      </c>
      <c r="L823" s="197" t="s">
        <v>139</v>
      </c>
      <c r="M823" s="197" t="s">
        <v>1567</v>
      </c>
      <c r="N823" s="195" t="s">
        <v>35</v>
      </c>
      <c r="O823" s="196">
        <v>45078</v>
      </c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  <c r="AG823" s="204"/>
      <c r="AH823" s="204"/>
      <c r="AI823" s="204"/>
      <c r="AJ823" s="204"/>
      <c r="AK823" s="204"/>
      <c r="AL823" s="204"/>
      <c r="AM823" s="204"/>
      <c r="AN823" s="204"/>
      <c r="AO823" s="204"/>
      <c r="AP823" s="204"/>
      <c r="AQ823" s="204"/>
      <c r="AR823" s="204"/>
      <c r="AS823" s="204"/>
      <c r="AT823" s="204"/>
    </row>
    <row r="824" spans="1:46" ht="15.75" hidden="1" customHeight="1" x14ac:dyDescent="0.35">
      <c r="A824" s="19">
        <v>10</v>
      </c>
      <c r="B824" s="19" t="s">
        <v>89</v>
      </c>
      <c r="C824" s="19" t="s">
        <v>1568</v>
      </c>
      <c r="D824" s="19" t="s">
        <v>1569</v>
      </c>
      <c r="E824" s="201">
        <v>9</v>
      </c>
      <c r="F824" s="201">
        <v>39666</v>
      </c>
      <c r="G824" s="201" t="s">
        <v>1570</v>
      </c>
      <c r="H824" s="201">
        <v>5104233414</v>
      </c>
      <c r="I824" s="201" t="s">
        <v>1571</v>
      </c>
      <c r="J824" s="201">
        <v>45008</v>
      </c>
      <c r="K824" s="201" t="s">
        <v>216</v>
      </c>
      <c r="L824" s="201" t="s">
        <v>1145</v>
      </c>
      <c r="M824" s="201" t="s">
        <v>1572</v>
      </c>
      <c r="N824" s="19" t="s">
        <v>35</v>
      </c>
      <c r="O824" s="192">
        <v>45078</v>
      </c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  <c r="AA824" s="135"/>
      <c r="AB824" s="135"/>
      <c r="AC824" s="135"/>
      <c r="AD824" s="135"/>
      <c r="AE824" s="135"/>
      <c r="AF824" s="135"/>
      <c r="AG824" s="135"/>
      <c r="AH824" s="135"/>
      <c r="AI824" s="135"/>
      <c r="AJ824" s="135"/>
      <c r="AK824" s="135"/>
      <c r="AL824" s="135"/>
      <c r="AM824" s="135"/>
      <c r="AN824" s="135"/>
      <c r="AO824" s="135"/>
      <c r="AP824" s="135"/>
      <c r="AQ824" s="135"/>
      <c r="AR824" s="135"/>
      <c r="AS824" s="135"/>
      <c r="AT824" s="135"/>
    </row>
    <row r="825" spans="1:46" ht="15.75" hidden="1" customHeight="1" x14ac:dyDescent="0.35">
      <c r="A825" s="195">
        <v>11</v>
      </c>
      <c r="B825" s="195" t="s">
        <v>49</v>
      </c>
      <c r="C825" s="195" t="s">
        <v>191</v>
      </c>
      <c r="D825" s="195" t="s">
        <v>192</v>
      </c>
      <c r="E825" s="197">
        <v>4</v>
      </c>
      <c r="F825" s="197">
        <v>41164</v>
      </c>
      <c r="G825" s="197" t="s">
        <v>193</v>
      </c>
      <c r="H825" s="197" t="s">
        <v>194</v>
      </c>
      <c r="I825" s="197" t="s">
        <v>195</v>
      </c>
      <c r="J825" s="197">
        <v>44790</v>
      </c>
      <c r="K825" s="197" t="s">
        <v>130</v>
      </c>
      <c r="L825" s="197" t="s">
        <v>224</v>
      </c>
      <c r="M825" s="197" t="s">
        <v>526</v>
      </c>
      <c r="N825" s="195" t="s">
        <v>35</v>
      </c>
      <c r="O825" s="196">
        <v>45078</v>
      </c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  <c r="AB825" s="199"/>
      <c r="AC825" s="199"/>
      <c r="AD825" s="199"/>
      <c r="AE825" s="199"/>
      <c r="AF825" s="199"/>
      <c r="AG825" s="199"/>
      <c r="AH825" s="199"/>
      <c r="AI825" s="199"/>
      <c r="AJ825" s="199"/>
      <c r="AK825" s="199"/>
      <c r="AL825" s="199"/>
      <c r="AM825" s="199"/>
      <c r="AN825" s="199"/>
      <c r="AO825" s="199"/>
      <c r="AP825" s="199"/>
      <c r="AQ825" s="199"/>
      <c r="AR825" s="199"/>
      <c r="AS825" s="199"/>
      <c r="AT825" s="199"/>
    </row>
    <row r="826" spans="1:46" ht="15.75" hidden="1" customHeight="1" x14ac:dyDescent="0.35">
      <c r="A826" s="195">
        <v>12</v>
      </c>
      <c r="B826" s="195" t="s">
        <v>89</v>
      </c>
      <c r="C826" s="195" t="s">
        <v>191</v>
      </c>
      <c r="D826" s="195" t="s">
        <v>192</v>
      </c>
      <c r="E826" s="197">
        <v>4</v>
      </c>
      <c r="F826" s="197">
        <v>41164</v>
      </c>
      <c r="G826" s="197" t="s">
        <v>193</v>
      </c>
      <c r="H826" s="197" t="s">
        <v>194</v>
      </c>
      <c r="I826" s="197" t="s">
        <v>195</v>
      </c>
      <c r="J826" s="197">
        <v>44790</v>
      </c>
      <c r="K826" s="197" t="s">
        <v>167</v>
      </c>
      <c r="L826" s="197" t="s">
        <v>449</v>
      </c>
      <c r="M826" s="197" t="s">
        <v>526</v>
      </c>
      <c r="N826" s="195" t="s">
        <v>35</v>
      </c>
      <c r="O826" s="196">
        <v>45078</v>
      </c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  <c r="AB826" s="199"/>
      <c r="AC826" s="199"/>
      <c r="AD826" s="199"/>
      <c r="AE826" s="199"/>
      <c r="AF826" s="199"/>
      <c r="AG826" s="199"/>
      <c r="AH826" s="199"/>
      <c r="AI826" s="199"/>
      <c r="AJ826" s="199"/>
      <c r="AK826" s="199"/>
      <c r="AL826" s="199"/>
      <c r="AM826" s="199"/>
      <c r="AN826" s="199"/>
      <c r="AO826" s="199"/>
      <c r="AP826" s="199"/>
      <c r="AQ826" s="199"/>
      <c r="AR826" s="199"/>
      <c r="AS826" s="199"/>
      <c r="AT826" s="199"/>
    </row>
    <row r="827" spans="1:46" ht="15.75" hidden="1" customHeight="1" x14ac:dyDescent="0.35">
      <c r="A827" s="191">
        <v>13</v>
      </c>
      <c r="B827" s="19" t="s">
        <v>49</v>
      </c>
      <c r="C827" s="19" t="s">
        <v>1573</v>
      </c>
      <c r="D827" s="19" t="s">
        <v>1574</v>
      </c>
      <c r="E827" s="201" t="s">
        <v>180</v>
      </c>
      <c r="F827" s="201">
        <v>42964</v>
      </c>
      <c r="G827" s="201" t="s">
        <v>1575</v>
      </c>
      <c r="H827" s="201">
        <v>6692438102</v>
      </c>
      <c r="I827" s="201" t="s">
        <v>1576</v>
      </c>
      <c r="J827" s="201">
        <v>44911</v>
      </c>
      <c r="K827" s="201" t="s">
        <v>691</v>
      </c>
      <c r="L827" s="201" t="s">
        <v>499</v>
      </c>
      <c r="M827" s="201"/>
      <c r="N827" s="19" t="s">
        <v>35</v>
      </c>
      <c r="O827" s="192">
        <v>45078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5.75" hidden="1" customHeight="1" x14ac:dyDescent="0.35">
      <c r="A828" s="191">
        <v>14</v>
      </c>
      <c r="B828" s="19" t="s">
        <v>89</v>
      </c>
      <c r="C828" s="19" t="s">
        <v>1573</v>
      </c>
      <c r="D828" s="19" t="s">
        <v>1574</v>
      </c>
      <c r="E828" s="19" t="s">
        <v>180</v>
      </c>
      <c r="F828" s="200">
        <v>42964</v>
      </c>
      <c r="G828" s="201" t="s">
        <v>1575</v>
      </c>
      <c r="H828" s="201">
        <v>6692438102</v>
      </c>
      <c r="I828" s="201" t="s">
        <v>1576</v>
      </c>
      <c r="J828" s="202">
        <v>44911</v>
      </c>
      <c r="K828" s="201" t="s">
        <v>171</v>
      </c>
      <c r="L828" s="201" t="s">
        <v>288</v>
      </c>
      <c r="M828" s="201" t="s">
        <v>370</v>
      </c>
      <c r="N828" s="19" t="s">
        <v>35</v>
      </c>
      <c r="O828" s="192">
        <v>45078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5.75" hidden="1" customHeight="1" x14ac:dyDescent="0.35">
      <c r="A829" s="195">
        <v>15</v>
      </c>
      <c r="B829" s="195" t="s">
        <v>49</v>
      </c>
      <c r="C829" s="195" t="s">
        <v>204</v>
      </c>
      <c r="D829" s="195" t="s">
        <v>205</v>
      </c>
      <c r="E829" s="195">
        <v>1</v>
      </c>
      <c r="F829" s="196">
        <v>42196</v>
      </c>
      <c r="G829" s="197" t="s">
        <v>206</v>
      </c>
      <c r="H829" s="197">
        <v>4696488922</v>
      </c>
      <c r="I829" s="197" t="s">
        <v>207</v>
      </c>
      <c r="J829" s="198">
        <v>44564</v>
      </c>
      <c r="K829" s="197" t="s">
        <v>130</v>
      </c>
      <c r="L829" s="197">
        <v>61</v>
      </c>
      <c r="M829" s="197"/>
      <c r="N829" s="195" t="s">
        <v>35</v>
      </c>
      <c r="O829" s="196">
        <v>45078</v>
      </c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  <c r="AB829" s="199"/>
      <c r="AC829" s="199"/>
      <c r="AD829" s="199"/>
      <c r="AE829" s="199"/>
      <c r="AF829" s="199"/>
      <c r="AG829" s="199"/>
      <c r="AH829" s="199"/>
      <c r="AI829" s="199"/>
      <c r="AJ829" s="199"/>
      <c r="AK829" s="199"/>
      <c r="AL829" s="199"/>
      <c r="AM829" s="199"/>
      <c r="AN829" s="199"/>
      <c r="AO829" s="199"/>
      <c r="AP829" s="199"/>
      <c r="AQ829" s="199"/>
      <c r="AR829" s="199"/>
      <c r="AS829" s="199"/>
      <c r="AT829" s="199"/>
    </row>
    <row r="830" spans="1:46" ht="15.75" hidden="1" customHeight="1" x14ac:dyDescent="0.35">
      <c r="A830" s="195">
        <v>16</v>
      </c>
      <c r="B830" s="195" t="s">
        <v>89</v>
      </c>
      <c r="C830" s="195" t="s">
        <v>204</v>
      </c>
      <c r="D830" s="195" t="s">
        <v>205</v>
      </c>
      <c r="E830" s="195">
        <v>1</v>
      </c>
      <c r="F830" s="196">
        <v>42196</v>
      </c>
      <c r="G830" s="197" t="s">
        <v>206</v>
      </c>
      <c r="H830" s="197">
        <v>4696488922</v>
      </c>
      <c r="I830" s="197" t="s">
        <v>207</v>
      </c>
      <c r="J830" s="198">
        <v>44564</v>
      </c>
      <c r="K830" s="197" t="s">
        <v>167</v>
      </c>
      <c r="L830" s="197">
        <v>66</v>
      </c>
      <c r="M830" s="197"/>
      <c r="N830" s="195" t="s">
        <v>35</v>
      </c>
      <c r="O830" s="196">
        <v>45078</v>
      </c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  <c r="AB830" s="199"/>
      <c r="AC830" s="199"/>
      <c r="AD830" s="199"/>
      <c r="AE830" s="199"/>
      <c r="AF830" s="199"/>
      <c r="AG830" s="199"/>
      <c r="AH830" s="199"/>
      <c r="AI830" s="199"/>
      <c r="AJ830" s="199"/>
      <c r="AK830" s="199"/>
      <c r="AL830" s="199"/>
      <c r="AM830" s="199"/>
      <c r="AN830" s="199"/>
      <c r="AO830" s="199"/>
      <c r="AP830" s="199"/>
      <c r="AQ830" s="199"/>
      <c r="AR830" s="199"/>
      <c r="AS830" s="199"/>
      <c r="AT830" s="199"/>
    </row>
    <row r="831" spans="1:46" ht="15.75" hidden="1" customHeight="1" x14ac:dyDescent="0.35">
      <c r="A831" s="19">
        <v>17</v>
      </c>
      <c r="B831" s="19" t="s">
        <v>49</v>
      </c>
      <c r="C831" s="19" t="s">
        <v>812</v>
      </c>
      <c r="D831" s="19" t="s">
        <v>1577</v>
      </c>
      <c r="E831" s="19">
        <v>8</v>
      </c>
      <c r="F831" s="200">
        <v>40124</v>
      </c>
      <c r="G831" s="201" t="s">
        <v>1578</v>
      </c>
      <c r="H831" s="201">
        <v>5105176886</v>
      </c>
      <c r="I831" s="201" t="s">
        <v>1579</v>
      </c>
      <c r="J831" s="202">
        <v>44992</v>
      </c>
      <c r="K831" s="201" t="s">
        <v>109</v>
      </c>
      <c r="L831" s="201">
        <v>91</v>
      </c>
      <c r="M831" s="201"/>
      <c r="N831" s="19" t="s">
        <v>35</v>
      </c>
      <c r="O831" s="192">
        <v>45078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ht="15.75" hidden="1" customHeight="1" x14ac:dyDescent="0.35">
      <c r="A832" s="19">
        <v>18</v>
      </c>
      <c r="B832" s="19" t="s">
        <v>89</v>
      </c>
      <c r="C832" s="19" t="s">
        <v>1277</v>
      </c>
      <c r="D832" s="19" t="s">
        <v>1278</v>
      </c>
      <c r="E832" s="19">
        <v>9</v>
      </c>
      <c r="F832" s="200">
        <v>38959</v>
      </c>
      <c r="G832" s="201" t="s">
        <v>1279</v>
      </c>
      <c r="H832" s="201" t="s">
        <v>1280</v>
      </c>
      <c r="I832" s="201" t="s">
        <v>1281</v>
      </c>
      <c r="J832" s="202">
        <v>44136</v>
      </c>
      <c r="K832" s="201" t="s">
        <v>1580</v>
      </c>
      <c r="L832" s="201" t="s">
        <v>899</v>
      </c>
      <c r="M832" s="201"/>
      <c r="N832" s="19" t="s">
        <v>35</v>
      </c>
      <c r="O832" s="192">
        <v>45078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5.75" hidden="1" customHeight="1" x14ac:dyDescent="0.35">
      <c r="A833" s="191">
        <v>19</v>
      </c>
      <c r="B833" s="19" t="s">
        <v>49</v>
      </c>
      <c r="C833" s="19" t="s">
        <v>1581</v>
      </c>
      <c r="D833" s="19" t="s">
        <v>1582</v>
      </c>
      <c r="E833" s="19">
        <v>2</v>
      </c>
      <c r="F833" s="200">
        <v>42038</v>
      </c>
      <c r="G833" s="201" t="s">
        <v>1583</v>
      </c>
      <c r="H833" s="201">
        <v>5103143894</v>
      </c>
      <c r="I833" s="201" t="s">
        <v>1584</v>
      </c>
      <c r="J833" s="202">
        <v>44851</v>
      </c>
      <c r="K833" s="201" t="s">
        <v>130</v>
      </c>
      <c r="L833" s="201" t="s">
        <v>173</v>
      </c>
      <c r="M833" s="201"/>
      <c r="N833" s="19" t="s">
        <v>35</v>
      </c>
      <c r="O833" s="192">
        <v>45078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5.75" hidden="1" customHeight="1" x14ac:dyDescent="0.35">
      <c r="A834" s="191">
        <v>20</v>
      </c>
      <c r="B834" s="19" t="s">
        <v>89</v>
      </c>
      <c r="C834" s="19" t="s">
        <v>1581</v>
      </c>
      <c r="D834" s="19" t="s">
        <v>1582</v>
      </c>
      <c r="E834" s="19">
        <v>2</v>
      </c>
      <c r="F834" s="200">
        <v>42038</v>
      </c>
      <c r="G834" s="201" t="s">
        <v>1583</v>
      </c>
      <c r="H834" s="201">
        <v>5103143894</v>
      </c>
      <c r="I834" s="201" t="s">
        <v>1584</v>
      </c>
      <c r="J834" s="202">
        <v>44851</v>
      </c>
      <c r="K834" s="201" t="s">
        <v>132</v>
      </c>
      <c r="L834" s="201" t="s">
        <v>125</v>
      </c>
      <c r="M834" s="201" t="s">
        <v>1585</v>
      </c>
      <c r="N834" s="19" t="s">
        <v>35</v>
      </c>
      <c r="O834" s="192">
        <v>45078</v>
      </c>
      <c r="P834" s="2"/>
      <c r="Q834" s="2"/>
      <c r="R834" s="2"/>
      <c r="S834" s="11" t="s">
        <v>182</v>
      </c>
      <c r="T834" s="11" t="s">
        <v>288</v>
      </c>
      <c r="U834" s="11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5.75" hidden="1" customHeight="1" x14ac:dyDescent="0.35">
      <c r="A835" s="195">
        <v>21</v>
      </c>
      <c r="B835" s="195" t="s">
        <v>49</v>
      </c>
      <c r="C835" s="195" t="s">
        <v>266</v>
      </c>
      <c r="D835" s="195" t="s">
        <v>272</v>
      </c>
      <c r="E835" s="195" t="s">
        <v>273</v>
      </c>
      <c r="F835" s="196">
        <v>43277</v>
      </c>
      <c r="G835" s="197" t="s">
        <v>274</v>
      </c>
      <c r="H835" s="197">
        <v>7142305311</v>
      </c>
      <c r="I835" s="197" t="s">
        <v>275</v>
      </c>
      <c r="J835" s="198">
        <v>44988</v>
      </c>
      <c r="K835" s="197" t="s">
        <v>182</v>
      </c>
      <c r="L835" s="197">
        <v>83</v>
      </c>
      <c r="M835" s="197" t="s">
        <v>526</v>
      </c>
      <c r="N835" s="195" t="s">
        <v>35</v>
      </c>
      <c r="O835" s="196">
        <v>45078</v>
      </c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  <c r="AB835" s="199"/>
      <c r="AC835" s="199"/>
      <c r="AD835" s="199"/>
      <c r="AE835" s="199"/>
      <c r="AF835" s="199"/>
      <c r="AG835" s="199"/>
      <c r="AH835" s="199"/>
      <c r="AI835" s="199"/>
      <c r="AJ835" s="199"/>
      <c r="AK835" s="199"/>
      <c r="AL835" s="199"/>
      <c r="AM835" s="199"/>
      <c r="AN835" s="199"/>
      <c r="AO835" s="199"/>
      <c r="AP835" s="199"/>
      <c r="AQ835" s="199"/>
      <c r="AR835" s="199"/>
      <c r="AS835" s="199"/>
      <c r="AT835" s="199"/>
    </row>
    <row r="836" spans="1:46" ht="15.75" hidden="1" customHeight="1" x14ac:dyDescent="0.35">
      <c r="A836" s="195">
        <v>22</v>
      </c>
      <c r="B836" s="195" t="s">
        <v>89</v>
      </c>
      <c r="C836" s="195" t="s">
        <v>266</v>
      </c>
      <c r="D836" s="195" t="s">
        <v>272</v>
      </c>
      <c r="E836" s="195" t="s">
        <v>273</v>
      </c>
      <c r="F836" s="196">
        <v>43277</v>
      </c>
      <c r="G836" s="197" t="s">
        <v>274</v>
      </c>
      <c r="H836" s="197">
        <v>7142305311</v>
      </c>
      <c r="I836" s="197" t="s">
        <v>275</v>
      </c>
      <c r="J836" s="198">
        <v>44988</v>
      </c>
      <c r="K836" s="197" t="s">
        <v>184</v>
      </c>
      <c r="L836" s="197">
        <v>90</v>
      </c>
      <c r="M836" s="197" t="s">
        <v>526</v>
      </c>
      <c r="N836" s="195" t="s">
        <v>35</v>
      </c>
      <c r="O836" s="196">
        <v>45078</v>
      </c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  <c r="AB836" s="199"/>
      <c r="AC836" s="199"/>
      <c r="AD836" s="199"/>
      <c r="AE836" s="199"/>
      <c r="AF836" s="199"/>
      <c r="AG836" s="199"/>
      <c r="AH836" s="199"/>
      <c r="AI836" s="199"/>
      <c r="AJ836" s="199"/>
      <c r="AK836" s="199"/>
      <c r="AL836" s="199"/>
      <c r="AM836" s="199"/>
      <c r="AN836" s="199"/>
      <c r="AO836" s="199"/>
      <c r="AP836" s="199"/>
      <c r="AQ836" s="199"/>
      <c r="AR836" s="199"/>
      <c r="AS836" s="199"/>
      <c r="AT836" s="199"/>
    </row>
    <row r="837" spans="1:46" ht="15.75" hidden="1" customHeight="1" x14ac:dyDescent="0.35">
      <c r="A837" s="195">
        <v>23</v>
      </c>
      <c r="B837" s="195" t="s">
        <v>49</v>
      </c>
      <c r="C837" s="195" t="s">
        <v>595</v>
      </c>
      <c r="D837" s="195" t="s">
        <v>908</v>
      </c>
      <c r="E837" s="195">
        <v>4</v>
      </c>
      <c r="F837" s="196">
        <v>40736</v>
      </c>
      <c r="G837" s="197" t="s">
        <v>1586</v>
      </c>
      <c r="H837" s="197">
        <v>4083321491</v>
      </c>
      <c r="I837" s="197" t="s">
        <v>910</v>
      </c>
      <c r="J837" s="198">
        <v>44004</v>
      </c>
      <c r="K837" s="197" t="s">
        <v>1587</v>
      </c>
      <c r="L837" s="197" t="s">
        <v>215</v>
      </c>
      <c r="M837" s="197" t="s">
        <v>1559</v>
      </c>
      <c r="N837" s="195" t="s">
        <v>83</v>
      </c>
      <c r="O837" s="196">
        <v>45078</v>
      </c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  <c r="AB837" s="199"/>
      <c r="AC837" s="199"/>
      <c r="AD837" s="199"/>
      <c r="AE837" s="199"/>
      <c r="AF837" s="199"/>
      <c r="AG837" s="199"/>
      <c r="AH837" s="199"/>
      <c r="AI837" s="199"/>
      <c r="AJ837" s="199"/>
      <c r="AK837" s="199"/>
      <c r="AL837" s="199"/>
      <c r="AM837" s="199"/>
      <c r="AN837" s="199"/>
      <c r="AO837" s="199"/>
      <c r="AP837" s="199"/>
      <c r="AQ837" s="199"/>
      <c r="AR837" s="199"/>
      <c r="AS837" s="199"/>
      <c r="AT837" s="199"/>
    </row>
    <row r="838" spans="1:46" ht="15.75" hidden="1" customHeight="1" x14ac:dyDescent="0.35">
      <c r="A838" s="195">
        <v>24</v>
      </c>
      <c r="B838" s="195" t="s">
        <v>89</v>
      </c>
      <c r="C838" s="195" t="s">
        <v>595</v>
      </c>
      <c r="D838" s="195" t="s">
        <v>908</v>
      </c>
      <c r="E838" s="195">
        <v>4</v>
      </c>
      <c r="F838" s="196">
        <v>40736</v>
      </c>
      <c r="G838" s="197" t="s">
        <v>1586</v>
      </c>
      <c r="H838" s="197">
        <v>4083321491</v>
      </c>
      <c r="I838" s="197" t="s">
        <v>910</v>
      </c>
      <c r="J838" s="198">
        <v>44004</v>
      </c>
      <c r="K838" s="197" t="s">
        <v>332</v>
      </c>
      <c r="L838" s="197" t="s">
        <v>1588</v>
      </c>
      <c r="M838" s="197" t="s">
        <v>1559</v>
      </c>
      <c r="N838" s="195" t="s">
        <v>83</v>
      </c>
      <c r="O838" s="196">
        <v>45078</v>
      </c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  <c r="AB838" s="199"/>
      <c r="AC838" s="199"/>
      <c r="AD838" s="199"/>
      <c r="AE838" s="199"/>
      <c r="AF838" s="199"/>
      <c r="AG838" s="199"/>
      <c r="AH838" s="199"/>
      <c r="AI838" s="199"/>
      <c r="AJ838" s="199"/>
      <c r="AK838" s="199"/>
      <c r="AL838" s="199"/>
      <c r="AM838" s="199"/>
      <c r="AN838" s="199"/>
      <c r="AO838" s="199"/>
      <c r="AP838" s="199"/>
      <c r="AQ838" s="199"/>
      <c r="AR838" s="199"/>
      <c r="AS838" s="199"/>
      <c r="AT838" s="199"/>
    </row>
    <row r="839" spans="1:46" ht="15.75" hidden="1" customHeight="1" x14ac:dyDescent="0.35">
      <c r="A839" s="191">
        <v>25</v>
      </c>
      <c r="B839" s="19" t="s">
        <v>49</v>
      </c>
      <c r="C839" s="19" t="s">
        <v>1171</v>
      </c>
      <c r="D839" s="19" t="s">
        <v>1589</v>
      </c>
      <c r="E839" s="19">
        <v>2</v>
      </c>
      <c r="F839" s="200">
        <v>41816</v>
      </c>
      <c r="G839" s="201" t="s">
        <v>1590</v>
      </c>
      <c r="H839" s="201">
        <v>6692043014</v>
      </c>
      <c r="I839" s="201" t="s">
        <v>1591</v>
      </c>
      <c r="J839" s="202">
        <v>409885</v>
      </c>
      <c r="K839" s="201" t="s">
        <v>112</v>
      </c>
      <c r="L839" s="201" t="s">
        <v>113</v>
      </c>
      <c r="M839" s="201"/>
      <c r="N839" s="19" t="s">
        <v>35</v>
      </c>
      <c r="O839" s="192">
        <v>45078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ht="15.75" hidden="1" customHeight="1" x14ac:dyDescent="0.35">
      <c r="A840" s="191">
        <v>26</v>
      </c>
      <c r="B840" s="19" t="s">
        <v>89</v>
      </c>
      <c r="C840" s="19" t="s">
        <v>1171</v>
      </c>
      <c r="D840" s="19" t="s">
        <v>1589</v>
      </c>
      <c r="E840" s="19">
        <v>2</v>
      </c>
      <c r="F840" s="200">
        <v>41816</v>
      </c>
      <c r="G840" s="201" t="s">
        <v>1590</v>
      </c>
      <c r="H840" s="201">
        <v>6692043014</v>
      </c>
      <c r="I840" s="201" t="s">
        <v>1591</v>
      </c>
      <c r="J840" s="202">
        <v>409885</v>
      </c>
      <c r="K840" s="201" t="s">
        <v>132</v>
      </c>
      <c r="L840" s="201" t="s">
        <v>165</v>
      </c>
      <c r="M840" s="201"/>
      <c r="N840" s="19" t="s">
        <v>35</v>
      </c>
      <c r="O840" s="192">
        <v>45078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5.75" hidden="1" customHeight="1" x14ac:dyDescent="0.35">
      <c r="A841" s="191">
        <v>27</v>
      </c>
      <c r="B841" s="205" t="s">
        <v>49</v>
      </c>
      <c r="C841" s="205" t="s">
        <v>1171</v>
      </c>
      <c r="D841" s="205" t="s">
        <v>1592</v>
      </c>
      <c r="E841" s="205" t="s">
        <v>180</v>
      </c>
      <c r="F841" s="206">
        <v>42418</v>
      </c>
      <c r="G841" s="207" t="s">
        <v>1590</v>
      </c>
      <c r="H841" s="207">
        <v>6692043014</v>
      </c>
      <c r="I841" s="207" t="s">
        <v>1591</v>
      </c>
      <c r="J841" s="208">
        <v>409885</v>
      </c>
      <c r="K841" s="207" t="s">
        <v>202</v>
      </c>
      <c r="L841" s="207" t="s">
        <v>154</v>
      </c>
      <c r="M841" s="201"/>
      <c r="N841" s="19" t="s">
        <v>35</v>
      </c>
      <c r="O841" s="192">
        <v>45078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5.75" hidden="1" customHeight="1" x14ac:dyDescent="0.35">
      <c r="A842" s="19">
        <v>28</v>
      </c>
      <c r="B842" s="19" t="s">
        <v>89</v>
      </c>
      <c r="C842" s="19" t="s">
        <v>1171</v>
      </c>
      <c r="D842" s="19" t="s">
        <v>1592</v>
      </c>
      <c r="E842" s="19" t="s">
        <v>180</v>
      </c>
      <c r="F842" s="200">
        <v>42418</v>
      </c>
      <c r="G842" s="201" t="s">
        <v>1590</v>
      </c>
      <c r="H842" s="201">
        <v>6692043014</v>
      </c>
      <c r="I842" s="201" t="s">
        <v>1591</v>
      </c>
      <c r="J842" s="202">
        <v>409885</v>
      </c>
      <c r="K842" s="201" t="s">
        <v>120</v>
      </c>
      <c r="L842" s="201" t="s">
        <v>125</v>
      </c>
      <c r="M842" s="201"/>
      <c r="N842" s="19" t="s">
        <v>35</v>
      </c>
      <c r="O842" s="192">
        <v>45078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5.75" hidden="1" customHeight="1" x14ac:dyDescent="0.35">
      <c r="A843" s="19">
        <v>29</v>
      </c>
      <c r="B843" s="19" t="s">
        <v>49</v>
      </c>
      <c r="C843" s="19" t="s">
        <v>682</v>
      </c>
      <c r="D843" s="19" t="s">
        <v>1371</v>
      </c>
      <c r="E843" s="19">
        <v>4</v>
      </c>
      <c r="F843" s="200">
        <v>41883</v>
      </c>
      <c r="G843" s="201" t="s">
        <v>1372</v>
      </c>
      <c r="H843" s="201">
        <v>6509969171</v>
      </c>
      <c r="I843" s="201" t="s">
        <v>1373</v>
      </c>
      <c r="J843" s="202">
        <v>44795</v>
      </c>
      <c r="K843" s="201" t="s">
        <v>109</v>
      </c>
      <c r="L843" s="201" t="s">
        <v>121</v>
      </c>
      <c r="M843" s="201"/>
      <c r="N843" s="19" t="s">
        <v>35</v>
      </c>
      <c r="O843" s="192">
        <v>45078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5.75" hidden="1" customHeight="1" x14ac:dyDescent="0.35">
      <c r="A844" s="19">
        <v>30</v>
      </c>
      <c r="B844" s="19" t="s">
        <v>89</v>
      </c>
      <c r="C844" s="19" t="s">
        <v>682</v>
      </c>
      <c r="D844" s="19" t="s">
        <v>1371</v>
      </c>
      <c r="E844" s="19">
        <v>4</v>
      </c>
      <c r="F844" s="200">
        <v>41883</v>
      </c>
      <c r="G844" s="201" t="s">
        <v>1372</v>
      </c>
      <c r="H844" s="201">
        <v>6509969171</v>
      </c>
      <c r="I844" s="201" t="s">
        <v>1373</v>
      </c>
      <c r="J844" s="202">
        <v>44795</v>
      </c>
      <c r="K844" s="201" t="s">
        <v>155</v>
      </c>
      <c r="L844" s="201" t="s">
        <v>131</v>
      </c>
      <c r="M844" s="201"/>
      <c r="N844" s="19" t="s">
        <v>35</v>
      </c>
      <c r="O844" s="192">
        <v>45078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5.75" hidden="1" customHeight="1" x14ac:dyDescent="0.35">
      <c r="A845" s="191">
        <v>31</v>
      </c>
      <c r="B845" s="19" t="s">
        <v>49</v>
      </c>
      <c r="C845" s="19" t="s">
        <v>682</v>
      </c>
      <c r="D845" s="19" t="s">
        <v>890</v>
      </c>
      <c r="E845" s="19">
        <v>5</v>
      </c>
      <c r="F845" s="200">
        <v>41275</v>
      </c>
      <c r="G845" s="201" t="s">
        <v>1372</v>
      </c>
      <c r="H845" s="201">
        <v>6509969171</v>
      </c>
      <c r="I845" s="201" t="s">
        <v>1373</v>
      </c>
      <c r="J845" s="202">
        <v>44795</v>
      </c>
      <c r="K845" s="201" t="s">
        <v>212</v>
      </c>
      <c r="L845" s="201" t="s">
        <v>165</v>
      </c>
      <c r="M845" s="201"/>
      <c r="N845" s="19" t="s">
        <v>35</v>
      </c>
      <c r="O845" s="192">
        <v>45078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ht="15.75" hidden="1" customHeight="1" x14ac:dyDescent="0.35">
      <c r="A846" s="191">
        <v>32</v>
      </c>
      <c r="B846" s="19" t="s">
        <v>89</v>
      </c>
      <c r="C846" s="19" t="s">
        <v>682</v>
      </c>
      <c r="D846" s="19" t="s">
        <v>890</v>
      </c>
      <c r="E846" s="19">
        <v>5</v>
      </c>
      <c r="F846" s="200">
        <v>41275</v>
      </c>
      <c r="G846" s="201" t="s">
        <v>1372</v>
      </c>
      <c r="H846" s="201">
        <v>6509969171</v>
      </c>
      <c r="I846" s="201" t="s">
        <v>1373</v>
      </c>
      <c r="J846" s="202">
        <v>44795</v>
      </c>
      <c r="K846" s="201" t="s">
        <v>132</v>
      </c>
      <c r="L846" s="201" t="s">
        <v>183</v>
      </c>
      <c r="M846" s="201"/>
      <c r="N846" s="19" t="s">
        <v>35</v>
      </c>
      <c r="O846" s="192">
        <v>45078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ht="15.75" hidden="1" customHeight="1" x14ac:dyDescent="0.35">
      <c r="A847" s="195">
        <v>33</v>
      </c>
      <c r="B847" s="195" t="s">
        <v>49</v>
      </c>
      <c r="C847" s="195" t="s">
        <v>682</v>
      </c>
      <c r="D847" s="195" t="s">
        <v>1593</v>
      </c>
      <c r="E847" s="195">
        <v>6</v>
      </c>
      <c r="F847" s="196">
        <v>40748</v>
      </c>
      <c r="G847" s="197" t="s">
        <v>1594</v>
      </c>
      <c r="H847" s="197" t="s">
        <v>1595</v>
      </c>
      <c r="I847" s="197" t="s">
        <v>1596</v>
      </c>
      <c r="J847" s="198">
        <v>44792</v>
      </c>
      <c r="K847" s="197" t="s">
        <v>417</v>
      </c>
      <c r="L847" s="197" t="s">
        <v>283</v>
      </c>
      <c r="M847" s="197"/>
      <c r="N847" s="195" t="s">
        <v>35</v>
      </c>
      <c r="O847" s="196">
        <v>45078</v>
      </c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  <c r="AB847" s="199"/>
      <c r="AC847" s="199"/>
      <c r="AD847" s="199"/>
      <c r="AE847" s="199"/>
      <c r="AF847" s="199"/>
      <c r="AG847" s="199"/>
      <c r="AH847" s="199"/>
      <c r="AI847" s="199"/>
      <c r="AJ847" s="199"/>
      <c r="AK847" s="199"/>
      <c r="AL847" s="199"/>
      <c r="AM847" s="199"/>
      <c r="AN847" s="199"/>
      <c r="AO847" s="199"/>
      <c r="AP847" s="199"/>
      <c r="AQ847" s="199"/>
      <c r="AR847" s="199"/>
      <c r="AS847" s="199"/>
      <c r="AT847" s="199"/>
    </row>
    <row r="848" spans="1:46" ht="15.75" hidden="1" customHeight="1" x14ac:dyDescent="0.35">
      <c r="A848" s="195">
        <v>34</v>
      </c>
      <c r="B848" s="195" t="s">
        <v>89</v>
      </c>
      <c r="C848" s="195" t="s">
        <v>682</v>
      </c>
      <c r="D848" s="195" t="s">
        <v>1593</v>
      </c>
      <c r="E848" s="195">
        <v>6</v>
      </c>
      <c r="F848" s="196">
        <v>40748</v>
      </c>
      <c r="G848" s="197" t="s">
        <v>1594</v>
      </c>
      <c r="H848" s="197" t="s">
        <v>1595</v>
      </c>
      <c r="I848" s="197" t="s">
        <v>1596</v>
      </c>
      <c r="J848" s="198">
        <v>44866</v>
      </c>
      <c r="K848" s="197" t="s">
        <v>332</v>
      </c>
      <c r="L848" s="197" t="s">
        <v>123</v>
      </c>
      <c r="M848" s="197" t="s">
        <v>385</v>
      </c>
      <c r="N848" s="195" t="s">
        <v>35</v>
      </c>
      <c r="O848" s="196">
        <v>45078</v>
      </c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  <c r="AB848" s="199"/>
      <c r="AC848" s="199"/>
      <c r="AD848" s="199"/>
      <c r="AE848" s="199"/>
      <c r="AF848" s="199"/>
      <c r="AG848" s="199"/>
      <c r="AH848" s="199"/>
      <c r="AI848" s="199"/>
      <c r="AJ848" s="199"/>
      <c r="AK848" s="199"/>
      <c r="AL848" s="199"/>
      <c r="AM848" s="199"/>
      <c r="AN848" s="199"/>
      <c r="AO848" s="199"/>
      <c r="AP848" s="199"/>
      <c r="AQ848" s="199"/>
      <c r="AR848" s="199"/>
      <c r="AS848" s="199"/>
      <c r="AT848" s="199"/>
    </row>
    <row r="849" spans="1:46" ht="15.75" hidden="1" customHeight="1" x14ac:dyDescent="0.35">
      <c r="A849" s="195">
        <v>35</v>
      </c>
      <c r="B849" s="195" t="s">
        <v>49</v>
      </c>
      <c r="C849" s="195" t="s">
        <v>682</v>
      </c>
      <c r="D849" s="195" t="s">
        <v>1556</v>
      </c>
      <c r="E849" s="195" t="s">
        <v>180</v>
      </c>
      <c r="F849" s="196">
        <v>42943</v>
      </c>
      <c r="G849" s="197" t="s">
        <v>1597</v>
      </c>
      <c r="H849" s="197">
        <v>5103035129</v>
      </c>
      <c r="I849" s="209" t="s">
        <v>1598</v>
      </c>
      <c r="J849" s="198">
        <v>44728</v>
      </c>
      <c r="K849" s="197" t="s">
        <v>691</v>
      </c>
      <c r="L849" s="197">
        <v>40</v>
      </c>
      <c r="M849" s="197" t="s">
        <v>1559</v>
      </c>
      <c r="N849" s="195" t="s">
        <v>83</v>
      </c>
      <c r="O849" s="196">
        <v>45078</v>
      </c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99"/>
      <c r="AC849" s="199"/>
      <c r="AD849" s="199"/>
      <c r="AE849" s="199"/>
      <c r="AF849" s="199"/>
      <c r="AG849" s="199"/>
      <c r="AH849" s="199"/>
      <c r="AI849" s="199"/>
      <c r="AJ849" s="199"/>
      <c r="AK849" s="199"/>
      <c r="AL849" s="199"/>
      <c r="AM849" s="199"/>
      <c r="AN849" s="199"/>
      <c r="AO849" s="199"/>
      <c r="AP849" s="199"/>
      <c r="AQ849" s="199"/>
      <c r="AR849" s="199"/>
      <c r="AS849" s="199"/>
      <c r="AT849" s="199"/>
    </row>
    <row r="850" spans="1:46" ht="15.75" hidden="1" customHeight="1" x14ac:dyDescent="0.35">
      <c r="A850" s="195">
        <v>36</v>
      </c>
      <c r="B850" s="195" t="s">
        <v>89</v>
      </c>
      <c r="C850" s="195" t="s">
        <v>682</v>
      </c>
      <c r="D850" s="195" t="s">
        <v>1556</v>
      </c>
      <c r="E850" s="195" t="s">
        <v>180</v>
      </c>
      <c r="F850" s="196">
        <v>42943</v>
      </c>
      <c r="G850" s="197" t="s">
        <v>1597</v>
      </c>
      <c r="H850" s="197">
        <v>5103035129</v>
      </c>
      <c r="I850" s="209" t="s">
        <v>1598</v>
      </c>
      <c r="J850" s="198">
        <v>44728</v>
      </c>
      <c r="K850" s="197" t="s">
        <v>124</v>
      </c>
      <c r="L850" s="197">
        <v>20</v>
      </c>
      <c r="M850" s="197" t="s">
        <v>1559</v>
      </c>
      <c r="N850" s="195" t="s">
        <v>83</v>
      </c>
      <c r="O850" s="196">
        <v>45078</v>
      </c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  <c r="AB850" s="199"/>
      <c r="AC850" s="199"/>
      <c r="AD850" s="199"/>
      <c r="AE850" s="199"/>
      <c r="AF850" s="199"/>
      <c r="AG850" s="199"/>
      <c r="AH850" s="199"/>
      <c r="AI850" s="199"/>
      <c r="AJ850" s="199"/>
      <c r="AK850" s="199"/>
      <c r="AL850" s="199"/>
      <c r="AM850" s="199"/>
      <c r="AN850" s="199"/>
      <c r="AO850" s="199"/>
      <c r="AP850" s="199"/>
      <c r="AQ850" s="199"/>
      <c r="AR850" s="199"/>
      <c r="AS850" s="199"/>
      <c r="AT850" s="199"/>
    </row>
    <row r="851" spans="1:46" ht="15.75" hidden="1" customHeight="1" x14ac:dyDescent="0.35">
      <c r="A851" s="195">
        <v>37</v>
      </c>
      <c r="B851" s="195" t="s">
        <v>89</v>
      </c>
      <c r="C851" s="195" t="s">
        <v>1501</v>
      </c>
      <c r="D851" s="210" t="s">
        <v>1599</v>
      </c>
      <c r="E851" s="195">
        <v>6</v>
      </c>
      <c r="F851" s="196">
        <v>40546</v>
      </c>
      <c r="G851" s="197" t="s">
        <v>1503</v>
      </c>
      <c r="H851" s="197">
        <v>4085063924</v>
      </c>
      <c r="I851" s="197" t="s">
        <v>1504</v>
      </c>
      <c r="J851" s="198">
        <v>44866</v>
      </c>
      <c r="K851" s="197" t="s">
        <v>132</v>
      </c>
      <c r="L851" s="197" t="s">
        <v>156</v>
      </c>
      <c r="M851" s="197"/>
      <c r="N851" s="195" t="s">
        <v>35</v>
      </c>
      <c r="O851" s="196">
        <v>45078</v>
      </c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  <c r="AB851" s="199"/>
      <c r="AC851" s="199"/>
      <c r="AD851" s="199"/>
      <c r="AE851" s="199"/>
      <c r="AF851" s="199"/>
      <c r="AG851" s="199"/>
      <c r="AH851" s="199"/>
      <c r="AI851" s="199"/>
      <c r="AJ851" s="199"/>
      <c r="AK851" s="199"/>
      <c r="AL851" s="199"/>
      <c r="AM851" s="199"/>
      <c r="AN851" s="199"/>
      <c r="AO851" s="199"/>
      <c r="AP851" s="199"/>
      <c r="AQ851" s="199"/>
      <c r="AR851" s="199"/>
      <c r="AS851" s="199"/>
      <c r="AT851" s="199"/>
    </row>
    <row r="852" spans="1:46" ht="15.75" hidden="1" customHeight="1" x14ac:dyDescent="0.35">
      <c r="A852" s="191">
        <v>38</v>
      </c>
      <c r="B852" s="19" t="s">
        <v>49</v>
      </c>
      <c r="C852" s="19" t="s">
        <v>1501</v>
      </c>
      <c r="D852" s="19" t="s">
        <v>1502</v>
      </c>
      <c r="E852" s="19" t="s">
        <v>180</v>
      </c>
      <c r="F852" s="200">
        <v>42861</v>
      </c>
      <c r="G852" s="201" t="s">
        <v>1503</v>
      </c>
      <c r="H852" s="201">
        <v>4085063924</v>
      </c>
      <c r="I852" s="201" t="s">
        <v>1504</v>
      </c>
      <c r="J852" s="202">
        <v>45002</v>
      </c>
      <c r="K852" s="201" t="s">
        <v>182</v>
      </c>
      <c r="L852" s="201">
        <v>50</v>
      </c>
      <c r="M852" s="201"/>
      <c r="N852" s="19" t="s">
        <v>35</v>
      </c>
      <c r="O852" s="192">
        <v>45078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ht="15.75" hidden="1" customHeight="1" x14ac:dyDescent="0.35">
      <c r="A853" s="195">
        <v>39</v>
      </c>
      <c r="B853" s="195" t="s">
        <v>49</v>
      </c>
      <c r="C853" s="195" t="s">
        <v>326</v>
      </c>
      <c r="D853" s="195" t="s">
        <v>327</v>
      </c>
      <c r="E853" s="195">
        <v>3</v>
      </c>
      <c r="F853" s="196">
        <v>41250</v>
      </c>
      <c r="G853" s="197" t="s">
        <v>328</v>
      </c>
      <c r="H853" s="197" t="s">
        <v>329</v>
      </c>
      <c r="I853" s="197" t="s">
        <v>330</v>
      </c>
      <c r="J853" s="198">
        <v>44795</v>
      </c>
      <c r="K853" s="197" t="s">
        <v>323</v>
      </c>
      <c r="L853" s="197" t="s">
        <v>162</v>
      </c>
      <c r="M853" s="197"/>
      <c r="N853" s="195" t="s">
        <v>35</v>
      </c>
      <c r="O853" s="196">
        <v>45078</v>
      </c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  <c r="AB853" s="199"/>
      <c r="AC853" s="199"/>
      <c r="AD853" s="199"/>
      <c r="AE853" s="199"/>
      <c r="AF853" s="199"/>
      <c r="AG853" s="199"/>
      <c r="AH853" s="199"/>
      <c r="AI853" s="199"/>
      <c r="AJ853" s="199"/>
      <c r="AK853" s="199"/>
      <c r="AL853" s="199"/>
      <c r="AM853" s="199"/>
      <c r="AN853" s="199"/>
      <c r="AO853" s="199"/>
      <c r="AP853" s="199"/>
      <c r="AQ853" s="199"/>
      <c r="AR853" s="199"/>
      <c r="AS853" s="199"/>
      <c r="AT853" s="199"/>
    </row>
    <row r="854" spans="1:46" ht="15.75" hidden="1" customHeight="1" x14ac:dyDescent="0.35">
      <c r="A854" s="195">
        <v>40</v>
      </c>
      <c r="B854" s="195" t="s">
        <v>89</v>
      </c>
      <c r="C854" s="195" t="s">
        <v>326</v>
      </c>
      <c r="D854" s="195" t="s">
        <v>327</v>
      </c>
      <c r="E854" s="195">
        <v>3</v>
      </c>
      <c r="F854" s="196">
        <v>41250</v>
      </c>
      <c r="G854" s="197" t="s">
        <v>328</v>
      </c>
      <c r="H854" s="197" t="s">
        <v>329</v>
      </c>
      <c r="I854" s="197" t="s">
        <v>330</v>
      </c>
      <c r="J854" s="198">
        <v>44795</v>
      </c>
      <c r="K854" s="197" t="s">
        <v>261</v>
      </c>
      <c r="L854" s="197" t="s">
        <v>215</v>
      </c>
      <c r="M854" s="197"/>
      <c r="N854" s="195" t="s">
        <v>35</v>
      </c>
      <c r="O854" s="196">
        <v>45078</v>
      </c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  <c r="AB854" s="199"/>
      <c r="AC854" s="199"/>
      <c r="AD854" s="199"/>
      <c r="AE854" s="199"/>
      <c r="AF854" s="199"/>
      <c r="AG854" s="199"/>
      <c r="AH854" s="199"/>
      <c r="AI854" s="199"/>
      <c r="AJ854" s="199"/>
      <c r="AK854" s="199"/>
      <c r="AL854" s="199"/>
      <c r="AM854" s="199"/>
      <c r="AN854" s="199"/>
      <c r="AO854" s="199"/>
      <c r="AP854" s="199"/>
      <c r="AQ854" s="199"/>
      <c r="AR854" s="199"/>
      <c r="AS854" s="199"/>
      <c r="AT854" s="199"/>
    </row>
    <row r="855" spans="1:46" ht="15.75" hidden="1" customHeight="1" x14ac:dyDescent="0.35">
      <c r="A855" s="195">
        <v>41</v>
      </c>
      <c r="B855" s="195" t="s">
        <v>49</v>
      </c>
      <c r="C855" s="195" t="s">
        <v>349</v>
      </c>
      <c r="D855" s="195" t="s">
        <v>350</v>
      </c>
      <c r="E855" s="195">
        <v>2</v>
      </c>
      <c r="F855" s="196">
        <v>41818</v>
      </c>
      <c r="G855" s="197" t="s">
        <v>351</v>
      </c>
      <c r="H855" s="197">
        <v>4083386396</v>
      </c>
      <c r="I855" s="197" t="s">
        <v>352</v>
      </c>
      <c r="J855" s="198">
        <v>44505</v>
      </c>
      <c r="K855" s="197" t="s">
        <v>109</v>
      </c>
      <c r="L855" s="197" t="s">
        <v>378</v>
      </c>
      <c r="M855" s="197"/>
      <c r="N855" s="195" t="s">
        <v>35</v>
      </c>
      <c r="O855" s="196">
        <v>45078</v>
      </c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  <c r="AB855" s="199"/>
      <c r="AC855" s="199"/>
      <c r="AD855" s="199"/>
      <c r="AE855" s="199"/>
      <c r="AF855" s="199"/>
      <c r="AG855" s="199"/>
      <c r="AH855" s="199"/>
      <c r="AI855" s="199"/>
      <c r="AJ855" s="199"/>
      <c r="AK855" s="199"/>
      <c r="AL855" s="199"/>
      <c r="AM855" s="199"/>
      <c r="AN855" s="199"/>
      <c r="AO855" s="199"/>
      <c r="AP855" s="199"/>
      <c r="AQ855" s="199"/>
      <c r="AR855" s="199"/>
      <c r="AS855" s="199"/>
      <c r="AT855" s="199"/>
    </row>
    <row r="856" spans="1:46" ht="15.75" hidden="1" customHeight="1" x14ac:dyDescent="0.35">
      <c r="A856" s="195">
        <v>42</v>
      </c>
      <c r="B856" s="195" t="s">
        <v>89</v>
      </c>
      <c r="C856" s="195" t="s">
        <v>349</v>
      </c>
      <c r="D856" s="195" t="s">
        <v>350</v>
      </c>
      <c r="E856" s="195">
        <v>2</v>
      </c>
      <c r="F856" s="196">
        <v>41818</v>
      </c>
      <c r="G856" s="197" t="s">
        <v>351</v>
      </c>
      <c r="H856" s="197">
        <v>4083386396</v>
      </c>
      <c r="I856" s="197" t="s">
        <v>352</v>
      </c>
      <c r="J856" s="198">
        <v>44713</v>
      </c>
      <c r="K856" s="197" t="s">
        <v>167</v>
      </c>
      <c r="L856" s="197" t="s">
        <v>283</v>
      </c>
      <c r="M856" s="197"/>
      <c r="N856" s="195" t="s">
        <v>35</v>
      </c>
      <c r="O856" s="196">
        <v>45078</v>
      </c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  <c r="AB856" s="199"/>
      <c r="AC856" s="199"/>
      <c r="AD856" s="199"/>
      <c r="AE856" s="199"/>
      <c r="AF856" s="199"/>
      <c r="AG856" s="199"/>
      <c r="AH856" s="199"/>
      <c r="AI856" s="199"/>
      <c r="AJ856" s="199"/>
      <c r="AK856" s="199"/>
      <c r="AL856" s="199"/>
      <c r="AM856" s="199"/>
      <c r="AN856" s="199"/>
      <c r="AO856" s="199"/>
      <c r="AP856" s="199"/>
      <c r="AQ856" s="199"/>
      <c r="AR856" s="199"/>
      <c r="AS856" s="199"/>
      <c r="AT856" s="199"/>
    </row>
    <row r="857" spans="1:46" ht="15.75" hidden="1" customHeight="1" x14ac:dyDescent="0.35">
      <c r="A857" s="191">
        <v>43</v>
      </c>
      <c r="B857" s="19" t="s">
        <v>49</v>
      </c>
      <c r="C857" s="19" t="s">
        <v>358</v>
      </c>
      <c r="D857" s="19" t="s">
        <v>590</v>
      </c>
      <c r="E857" s="19">
        <v>1</v>
      </c>
      <c r="F857" s="200">
        <v>41165</v>
      </c>
      <c r="G857" s="201" t="s">
        <v>591</v>
      </c>
      <c r="H857" s="201">
        <v>4085505781</v>
      </c>
      <c r="I857" s="201" t="s">
        <v>592</v>
      </c>
      <c r="J857" s="202">
        <v>44228</v>
      </c>
      <c r="K857" s="201" t="s">
        <v>212</v>
      </c>
      <c r="L857" s="201" t="s">
        <v>183</v>
      </c>
      <c r="M857" s="201"/>
      <c r="N857" s="19" t="s">
        <v>35</v>
      </c>
      <c r="O857" s="192">
        <v>45078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5.75" hidden="1" customHeight="1" x14ac:dyDescent="0.35">
      <c r="A858" s="191">
        <v>44</v>
      </c>
      <c r="B858" s="19" t="s">
        <v>89</v>
      </c>
      <c r="C858" s="19" t="s">
        <v>358</v>
      </c>
      <c r="D858" s="19" t="s">
        <v>590</v>
      </c>
      <c r="E858" s="19">
        <v>1</v>
      </c>
      <c r="F858" s="200">
        <v>41165</v>
      </c>
      <c r="G858" s="201" t="s">
        <v>591</v>
      </c>
      <c r="H858" s="201">
        <v>4085505781</v>
      </c>
      <c r="I858" s="201" t="s">
        <v>592</v>
      </c>
      <c r="J858" s="202">
        <v>44361</v>
      </c>
      <c r="K858" s="201" t="s">
        <v>155</v>
      </c>
      <c r="L858" s="201" t="s">
        <v>173</v>
      </c>
      <c r="M858" s="201"/>
      <c r="N858" s="19" t="s">
        <v>35</v>
      </c>
      <c r="O858" s="192">
        <v>45078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5.75" hidden="1" customHeight="1" x14ac:dyDescent="0.35">
      <c r="A859" s="191">
        <v>45</v>
      </c>
      <c r="B859" s="19" t="s">
        <v>49</v>
      </c>
      <c r="C859" s="19" t="s">
        <v>358</v>
      </c>
      <c r="D859" s="19" t="s">
        <v>631</v>
      </c>
      <c r="E859" s="19" t="s">
        <v>180</v>
      </c>
      <c r="F859" s="200">
        <v>41802</v>
      </c>
      <c r="G859" s="201" t="s">
        <v>591</v>
      </c>
      <c r="H859" s="201">
        <v>4085505781</v>
      </c>
      <c r="I859" s="201" t="s">
        <v>592</v>
      </c>
      <c r="J859" s="202">
        <v>44228</v>
      </c>
      <c r="K859" s="201" t="s">
        <v>112</v>
      </c>
      <c r="L859" s="201" t="s">
        <v>156</v>
      </c>
      <c r="M859" s="201"/>
      <c r="N859" s="19" t="s">
        <v>35</v>
      </c>
      <c r="O859" s="192">
        <v>45078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5.75" hidden="1" customHeight="1" x14ac:dyDescent="0.35">
      <c r="A860" s="19">
        <v>46</v>
      </c>
      <c r="B860" s="19" t="s">
        <v>89</v>
      </c>
      <c r="C860" s="19" t="s">
        <v>358</v>
      </c>
      <c r="D860" s="19" t="s">
        <v>631</v>
      </c>
      <c r="E860" s="19" t="s">
        <v>180</v>
      </c>
      <c r="F860" s="200">
        <v>41802</v>
      </c>
      <c r="G860" s="201" t="s">
        <v>591</v>
      </c>
      <c r="H860" s="201">
        <v>4085505781</v>
      </c>
      <c r="I860" s="201" t="s">
        <v>592</v>
      </c>
      <c r="J860" s="202">
        <v>44361</v>
      </c>
      <c r="K860" s="201" t="s">
        <v>132</v>
      </c>
      <c r="L860" s="201" t="s">
        <v>140</v>
      </c>
      <c r="M860" s="201"/>
      <c r="N860" s="19" t="s">
        <v>35</v>
      </c>
      <c r="O860" s="192">
        <v>45078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5.75" hidden="1" customHeight="1" x14ac:dyDescent="0.35">
      <c r="A861" s="195">
        <v>47</v>
      </c>
      <c r="B861" s="195" t="s">
        <v>49</v>
      </c>
      <c r="C861" s="195" t="s">
        <v>358</v>
      </c>
      <c r="D861" s="195" t="s">
        <v>371</v>
      </c>
      <c r="E861" s="195" t="s">
        <v>149</v>
      </c>
      <c r="F861" s="196" t="s">
        <v>372</v>
      </c>
      <c r="G861" s="197" t="s">
        <v>373</v>
      </c>
      <c r="H861" s="197" t="s">
        <v>374</v>
      </c>
      <c r="I861" s="197" t="s">
        <v>375</v>
      </c>
      <c r="J861" s="198" t="s">
        <v>938</v>
      </c>
      <c r="K861" s="197" t="s">
        <v>1600</v>
      </c>
      <c r="L861" s="197" t="s">
        <v>376</v>
      </c>
      <c r="M861" s="197" t="s">
        <v>1601</v>
      </c>
      <c r="N861" s="195" t="s">
        <v>35</v>
      </c>
      <c r="O861" s="196">
        <v>45078</v>
      </c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  <c r="AB861" s="199"/>
      <c r="AC861" s="199"/>
      <c r="AD861" s="199"/>
      <c r="AE861" s="199"/>
      <c r="AF861" s="199"/>
      <c r="AG861" s="199"/>
      <c r="AH861" s="199"/>
      <c r="AI861" s="199"/>
      <c r="AJ861" s="199"/>
      <c r="AK861" s="199"/>
      <c r="AL861" s="199"/>
      <c r="AM861" s="199"/>
      <c r="AN861" s="199"/>
      <c r="AO861" s="199"/>
      <c r="AP861" s="199"/>
      <c r="AQ861" s="199"/>
      <c r="AR861" s="199"/>
      <c r="AS861" s="199"/>
      <c r="AT861" s="199"/>
    </row>
    <row r="862" spans="1:46" ht="15.75" hidden="1" customHeight="1" x14ac:dyDescent="0.35">
      <c r="A862" s="195">
        <v>48</v>
      </c>
      <c r="B862" s="195" t="s">
        <v>89</v>
      </c>
      <c r="C862" s="195" t="s">
        <v>358</v>
      </c>
      <c r="D862" s="195" t="s">
        <v>371</v>
      </c>
      <c r="E862" s="195" t="s">
        <v>149</v>
      </c>
      <c r="F862" s="196" t="s">
        <v>372</v>
      </c>
      <c r="G862" s="197" t="s">
        <v>373</v>
      </c>
      <c r="H862" s="197" t="s">
        <v>374</v>
      </c>
      <c r="I862" s="197" t="s">
        <v>377</v>
      </c>
      <c r="J862" s="198">
        <v>43466</v>
      </c>
      <c r="K862" s="197" t="s">
        <v>216</v>
      </c>
      <c r="L862" s="197" t="s">
        <v>154</v>
      </c>
      <c r="M862" s="197" t="s">
        <v>1601</v>
      </c>
      <c r="N862" s="195" t="s">
        <v>35</v>
      </c>
      <c r="O862" s="196">
        <v>45078</v>
      </c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  <c r="AB862" s="199"/>
      <c r="AC862" s="199"/>
      <c r="AD862" s="199"/>
      <c r="AE862" s="199"/>
      <c r="AF862" s="199"/>
      <c r="AG862" s="199"/>
      <c r="AH862" s="199"/>
      <c r="AI862" s="199"/>
      <c r="AJ862" s="199"/>
      <c r="AK862" s="199"/>
      <c r="AL862" s="199"/>
      <c r="AM862" s="199"/>
      <c r="AN862" s="199"/>
      <c r="AO862" s="199"/>
      <c r="AP862" s="199"/>
      <c r="AQ862" s="199"/>
      <c r="AR862" s="199"/>
      <c r="AS862" s="199"/>
      <c r="AT862" s="199"/>
    </row>
    <row r="863" spans="1:46" ht="15.75" hidden="1" customHeight="1" x14ac:dyDescent="0.35">
      <c r="A863" s="195">
        <v>49</v>
      </c>
      <c r="B863" s="195" t="s">
        <v>49</v>
      </c>
      <c r="C863" s="195" t="s">
        <v>358</v>
      </c>
      <c r="D863" s="195" t="s">
        <v>379</v>
      </c>
      <c r="E863" s="195">
        <v>2</v>
      </c>
      <c r="F863" s="196">
        <v>41781</v>
      </c>
      <c r="G863" s="197" t="s">
        <v>380</v>
      </c>
      <c r="H863" s="197">
        <v>9168657621</v>
      </c>
      <c r="I863" s="197" t="s">
        <v>381</v>
      </c>
      <c r="J863" s="198">
        <v>44928</v>
      </c>
      <c r="K863" s="197" t="s">
        <v>130</v>
      </c>
      <c r="L863" s="197" t="s">
        <v>154</v>
      </c>
      <c r="M863" s="197" t="s">
        <v>1602</v>
      </c>
      <c r="N863" s="195" t="s">
        <v>35</v>
      </c>
      <c r="O863" s="196">
        <v>45078</v>
      </c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  <c r="AB863" s="199"/>
      <c r="AC863" s="199"/>
      <c r="AD863" s="199"/>
      <c r="AE863" s="199"/>
      <c r="AF863" s="199"/>
      <c r="AG863" s="199"/>
      <c r="AH863" s="199"/>
      <c r="AI863" s="199"/>
      <c r="AJ863" s="199"/>
      <c r="AK863" s="199"/>
      <c r="AL863" s="199"/>
      <c r="AM863" s="199"/>
      <c r="AN863" s="199"/>
      <c r="AO863" s="199"/>
      <c r="AP863" s="199"/>
      <c r="AQ863" s="199"/>
      <c r="AR863" s="199"/>
      <c r="AS863" s="199"/>
      <c r="AT863" s="199"/>
    </row>
    <row r="864" spans="1:46" ht="15.75" hidden="1" customHeight="1" x14ac:dyDescent="0.35">
      <c r="A864" s="195">
        <v>50</v>
      </c>
      <c r="B864" s="195" t="s">
        <v>89</v>
      </c>
      <c r="C864" s="195" t="s">
        <v>358</v>
      </c>
      <c r="D864" s="195" t="s">
        <v>382</v>
      </c>
      <c r="E864" s="195">
        <v>2</v>
      </c>
      <c r="F864" s="196">
        <v>41781</v>
      </c>
      <c r="G864" s="197" t="s">
        <v>380</v>
      </c>
      <c r="H864" s="197">
        <v>9168657621</v>
      </c>
      <c r="I864" s="197" t="s">
        <v>381</v>
      </c>
      <c r="J864" s="198">
        <v>44928</v>
      </c>
      <c r="K864" s="197" t="s">
        <v>132</v>
      </c>
      <c r="L864" s="197">
        <v>25</v>
      </c>
      <c r="M864" s="197" t="s">
        <v>1602</v>
      </c>
      <c r="N864" s="195" t="s">
        <v>35</v>
      </c>
      <c r="O864" s="196">
        <v>45078</v>
      </c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  <c r="AB864" s="199"/>
      <c r="AC864" s="199"/>
      <c r="AD864" s="199"/>
      <c r="AE864" s="199"/>
      <c r="AF864" s="199"/>
      <c r="AG864" s="199"/>
      <c r="AH864" s="199"/>
      <c r="AI864" s="199"/>
      <c r="AJ864" s="199"/>
      <c r="AK864" s="199"/>
      <c r="AL864" s="199"/>
      <c r="AM864" s="199"/>
      <c r="AN864" s="199"/>
      <c r="AO864" s="199"/>
      <c r="AP864" s="199"/>
      <c r="AQ864" s="199"/>
      <c r="AR864" s="199"/>
      <c r="AS864" s="199"/>
      <c r="AT864" s="199"/>
    </row>
    <row r="865" spans="1:46" ht="15.75" hidden="1" customHeight="1" x14ac:dyDescent="0.35">
      <c r="A865" s="191">
        <v>51</v>
      </c>
      <c r="B865" s="19" t="s">
        <v>49</v>
      </c>
      <c r="C865" s="19" t="s">
        <v>1603</v>
      </c>
      <c r="D865" s="19" t="s">
        <v>221</v>
      </c>
      <c r="E865" s="19">
        <v>4</v>
      </c>
      <c r="F865" s="200">
        <v>41329</v>
      </c>
      <c r="G865" s="201" t="s">
        <v>1604</v>
      </c>
      <c r="H865" s="201">
        <v>4083246655</v>
      </c>
      <c r="I865" s="201" t="s">
        <v>1605</v>
      </c>
      <c r="J865" s="202">
        <v>44718</v>
      </c>
      <c r="K865" s="201" t="s">
        <v>112</v>
      </c>
      <c r="L865" s="201" t="s">
        <v>154</v>
      </c>
      <c r="M865" s="201"/>
      <c r="N865" s="19" t="s">
        <v>35</v>
      </c>
      <c r="O865" s="192">
        <v>45078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ht="15.75" hidden="1" customHeight="1" x14ac:dyDescent="0.35">
      <c r="A866" s="19">
        <v>52</v>
      </c>
      <c r="B866" s="19" t="s">
        <v>89</v>
      </c>
      <c r="C866" s="19" t="s">
        <v>1603</v>
      </c>
      <c r="D866" s="19" t="s">
        <v>221</v>
      </c>
      <c r="E866" s="19">
        <v>4</v>
      </c>
      <c r="F866" s="200">
        <v>41329</v>
      </c>
      <c r="G866" s="201" t="s">
        <v>1604</v>
      </c>
      <c r="H866" s="201">
        <v>4083246655</v>
      </c>
      <c r="I866" s="201" t="s">
        <v>1605</v>
      </c>
      <c r="J866" s="202">
        <v>44718</v>
      </c>
      <c r="K866" s="201" t="s">
        <v>167</v>
      </c>
      <c r="L866" s="201" t="s">
        <v>154</v>
      </c>
      <c r="M866" s="201"/>
      <c r="N866" s="19" t="s">
        <v>35</v>
      </c>
      <c r="O866" s="192">
        <v>45078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ht="15.75" hidden="1" customHeight="1" x14ac:dyDescent="0.35">
      <c r="A867" s="195">
        <v>53</v>
      </c>
      <c r="B867" s="195" t="s">
        <v>49</v>
      </c>
      <c r="C867" s="195" t="s">
        <v>1508</v>
      </c>
      <c r="D867" s="195" t="s">
        <v>1509</v>
      </c>
      <c r="E867" s="195" t="s">
        <v>180</v>
      </c>
      <c r="F867" s="196">
        <v>42867</v>
      </c>
      <c r="G867" s="197" t="s">
        <v>1606</v>
      </c>
      <c r="H867" s="197">
        <v>4086432868</v>
      </c>
      <c r="I867" s="197" t="s">
        <v>1511</v>
      </c>
      <c r="J867" s="198">
        <v>44835</v>
      </c>
      <c r="K867" s="197" t="s">
        <v>691</v>
      </c>
      <c r="L867" s="197" t="s">
        <v>499</v>
      </c>
      <c r="M867" s="197" t="s">
        <v>1559</v>
      </c>
      <c r="N867" s="195" t="s">
        <v>83</v>
      </c>
      <c r="O867" s="196">
        <v>45078</v>
      </c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  <c r="AB867" s="199"/>
      <c r="AC867" s="199"/>
      <c r="AD867" s="199"/>
      <c r="AE867" s="199"/>
      <c r="AF867" s="199"/>
      <c r="AG867" s="199"/>
      <c r="AH867" s="199"/>
      <c r="AI867" s="199"/>
      <c r="AJ867" s="199"/>
      <c r="AK867" s="199"/>
      <c r="AL867" s="199"/>
      <c r="AM867" s="199"/>
      <c r="AN867" s="199"/>
      <c r="AO867" s="199"/>
      <c r="AP867" s="199"/>
      <c r="AQ867" s="199"/>
      <c r="AR867" s="199"/>
      <c r="AS867" s="199"/>
      <c r="AT867" s="199"/>
    </row>
    <row r="868" spans="1:46" ht="15.75" hidden="1" customHeight="1" x14ac:dyDescent="0.35">
      <c r="A868" s="195">
        <v>54</v>
      </c>
      <c r="B868" s="195" t="s">
        <v>89</v>
      </c>
      <c r="C868" s="195" t="s">
        <v>1508</v>
      </c>
      <c r="D868" s="195" t="s">
        <v>1509</v>
      </c>
      <c r="E868" s="195" t="s">
        <v>180</v>
      </c>
      <c r="F868" s="196">
        <v>42867</v>
      </c>
      <c r="G868" s="197" t="s">
        <v>1606</v>
      </c>
      <c r="H868" s="197">
        <v>4086432868</v>
      </c>
      <c r="I868" s="197" t="s">
        <v>1511</v>
      </c>
      <c r="J868" s="198">
        <v>44958</v>
      </c>
      <c r="K868" s="197" t="s">
        <v>171</v>
      </c>
      <c r="L868" s="197" t="s">
        <v>215</v>
      </c>
      <c r="M868" s="197" t="s">
        <v>1559</v>
      </c>
      <c r="N868" s="195" t="s">
        <v>83</v>
      </c>
      <c r="O868" s="196">
        <v>45078</v>
      </c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  <c r="AB868" s="199"/>
      <c r="AC868" s="199"/>
      <c r="AD868" s="199"/>
      <c r="AE868" s="199"/>
      <c r="AF868" s="199"/>
      <c r="AG868" s="199"/>
      <c r="AH868" s="199"/>
      <c r="AI868" s="199"/>
      <c r="AJ868" s="199"/>
      <c r="AK868" s="199"/>
      <c r="AL868" s="199"/>
      <c r="AM868" s="199"/>
      <c r="AN868" s="199"/>
      <c r="AO868" s="199"/>
      <c r="AP868" s="199"/>
      <c r="AQ868" s="199"/>
      <c r="AR868" s="199"/>
      <c r="AS868" s="199"/>
      <c r="AT868" s="199"/>
    </row>
    <row r="869" spans="1:46" ht="15.75" hidden="1" customHeight="1" x14ac:dyDescent="0.35">
      <c r="A869" s="191">
        <v>55</v>
      </c>
      <c r="B869" s="19" t="s">
        <v>49</v>
      </c>
      <c r="C869" s="19" t="s">
        <v>1607</v>
      </c>
      <c r="D869" s="19" t="s">
        <v>1608</v>
      </c>
      <c r="E869" s="19" t="s">
        <v>180</v>
      </c>
      <c r="F869" s="200">
        <v>42526</v>
      </c>
      <c r="G869" s="201" t="s">
        <v>1609</v>
      </c>
      <c r="H869" s="201">
        <v>4082158017</v>
      </c>
      <c r="I869" s="201" t="s">
        <v>1610</v>
      </c>
      <c r="J869" s="202">
        <v>44652</v>
      </c>
      <c r="K869" s="201" t="s">
        <v>490</v>
      </c>
      <c r="L869" s="201" t="s">
        <v>165</v>
      </c>
      <c r="M869" s="201"/>
      <c r="N869" s="19" t="s">
        <v>35</v>
      </c>
      <c r="O869" s="192">
        <v>45078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ht="15.75" hidden="1" customHeight="1" x14ac:dyDescent="0.35">
      <c r="A870" s="191">
        <v>56</v>
      </c>
      <c r="B870" s="19" t="s">
        <v>89</v>
      </c>
      <c r="C870" s="19" t="s">
        <v>1607</v>
      </c>
      <c r="D870" s="19" t="s">
        <v>1608</v>
      </c>
      <c r="E870" s="19" t="s">
        <v>180</v>
      </c>
      <c r="F870" s="200">
        <v>42526</v>
      </c>
      <c r="G870" s="201" t="s">
        <v>1609</v>
      </c>
      <c r="H870" s="201">
        <v>4082158017</v>
      </c>
      <c r="I870" s="201" t="s">
        <v>1610</v>
      </c>
      <c r="J870" s="202">
        <v>44652</v>
      </c>
      <c r="K870" s="201" t="s">
        <v>225</v>
      </c>
      <c r="L870" s="201" t="s">
        <v>394</v>
      </c>
      <c r="M870" s="201" t="s">
        <v>385</v>
      </c>
      <c r="N870" s="19" t="s">
        <v>35</v>
      </c>
      <c r="O870" s="192">
        <v>45078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ht="15.75" hidden="1" customHeight="1" x14ac:dyDescent="0.35">
      <c r="A871" s="195">
        <v>57</v>
      </c>
      <c r="B871" s="195" t="s">
        <v>49</v>
      </c>
      <c r="C871" s="195" t="s">
        <v>1611</v>
      </c>
      <c r="D871" s="210" t="s">
        <v>1612</v>
      </c>
      <c r="E871" s="195">
        <v>2</v>
      </c>
      <c r="F871" s="196">
        <v>42185</v>
      </c>
      <c r="G871" s="197" t="s">
        <v>1613</v>
      </c>
      <c r="H871" s="197">
        <v>6077279968</v>
      </c>
      <c r="I871" s="197" t="s">
        <v>1614</v>
      </c>
      <c r="J871" s="198">
        <v>44873</v>
      </c>
      <c r="K871" s="197" t="s">
        <v>681</v>
      </c>
      <c r="L871" s="197" t="s">
        <v>288</v>
      </c>
      <c r="M871" s="197" t="s">
        <v>1615</v>
      </c>
      <c r="N871" s="195" t="s">
        <v>35</v>
      </c>
      <c r="O871" s="196">
        <v>45078</v>
      </c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  <c r="AB871" s="199"/>
      <c r="AC871" s="199"/>
      <c r="AD871" s="199"/>
      <c r="AE871" s="199"/>
      <c r="AF871" s="199"/>
      <c r="AG871" s="199"/>
      <c r="AH871" s="199"/>
      <c r="AI871" s="199"/>
      <c r="AJ871" s="199"/>
      <c r="AK871" s="199"/>
      <c r="AL871" s="199"/>
      <c r="AM871" s="199"/>
      <c r="AN871" s="199"/>
      <c r="AO871" s="199"/>
      <c r="AP871" s="199"/>
      <c r="AQ871" s="199"/>
      <c r="AR871" s="199"/>
      <c r="AS871" s="199"/>
      <c r="AT871" s="199"/>
    </row>
    <row r="872" spans="1:46" ht="15.75" hidden="1" customHeight="1" x14ac:dyDescent="0.35">
      <c r="A872" s="195">
        <v>58</v>
      </c>
      <c r="B872" s="195" t="s">
        <v>89</v>
      </c>
      <c r="C872" s="195" t="s">
        <v>1611</v>
      </c>
      <c r="D872" s="210" t="s">
        <v>1612</v>
      </c>
      <c r="E872" s="195">
        <v>2</v>
      </c>
      <c r="F872" s="196">
        <v>42185</v>
      </c>
      <c r="G872" s="197" t="s">
        <v>1613</v>
      </c>
      <c r="H872" s="197">
        <v>6077279968</v>
      </c>
      <c r="I872" s="197" t="s">
        <v>1614</v>
      </c>
      <c r="J872" s="198">
        <v>44873</v>
      </c>
      <c r="K872" s="197" t="s">
        <v>120</v>
      </c>
      <c r="L872" s="197" t="s">
        <v>1616</v>
      </c>
      <c r="M872" s="197" t="s">
        <v>1615</v>
      </c>
      <c r="N872" s="195" t="s">
        <v>35</v>
      </c>
      <c r="O872" s="196">
        <v>45078</v>
      </c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  <c r="AB872" s="199"/>
      <c r="AC872" s="199"/>
      <c r="AD872" s="199"/>
      <c r="AE872" s="199"/>
      <c r="AF872" s="199"/>
      <c r="AG872" s="199"/>
      <c r="AH872" s="199"/>
      <c r="AI872" s="199"/>
      <c r="AJ872" s="199"/>
      <c r="AK872" s="199"/>
      <c r="AL872" s="199"/>
      <c r="AM872" s="199"/>
      <c r="AN872" s="199"/>
      <c r="AO872" s="199"/>
      <c r="AP872" s="199"/>
      <c r="AQ872" s="199"/>
      <c r="AR872" s="199"/>
      <c r="AS872" s="199"/>
      <c r="AT872" s="199"/>
    </row>
    <row r="873" spans="1:46" ht="15.75" hidden="1" customHeight="1" x14ac:dyDescent="0.35">
      <c r="A873" s="19">
        <v>59</v>
      </c>
      <c r="B873" s="19" t="s">
        <v>49</v>
      </c>
      <c r="C873" s="19" t="s">
        <v>1282</v>
      </c>
      <c r="D873" s="19" t="s">
        <v>1283</v>
      </c>
      <c r="E873" s="19">
        <v>5</v>
      </c>
      <c r="F873" s="200">
        <v>41089</v>
      </c>
      <c r="G873" s="201" t="s">
        <v>1284</v>
      </c>
      <c r="H873" s="201">
        <v>5103388874</v>
      </c>
      <c r="I873" s="201" t="s">
        <v>1429</v>
      </c>
      <c r="J873" s="202">
        <v>44732</v>
      </c>
      <c r="K873" s="201" t="s">
        <v>384</v>
      </c>
      <c r="L873" s="201" t="s">
        <v>1617</v>
      </c>
      <c r="M873" s="201" t="s">
        <v>1567</v>
      </c>
      <c r="N873" s="19" t="s">
        <v>35</v>
      </c>
      <c r="O873" s="192">
        <v>45078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ht="15.75" hidden="1" customHeight="1" x14ac:dyDescent="0.35">
      <c r="A874" s="19">
        <v>60</v>
      </c>
      <c r="B874" s="19" t="s">
        <v>89</v>
      </c>
      <c r="C874" s="19" t="s">
        <v>733</v>
      </c>
      <c r="D874" s="19" t="s">
        <v>734</v>
      </c>
      <c r="E874" s="19">
        <v>4</v>
      </c>
      <c r="F874" s="200">
        <v>41036</v>
      </c>
      <c r="G874" s="201" t="s">
        <v>735</v>
      </c>
      <c r="H874" s="201" t="s">
        <v>736</v>
      </c>
      <c r="I874" s="201" t="s">
        <v>737</v>
      </c>
      <c r="J874" s="202">
        <v>44928</v>
      </c>
      <c r="K874" s="201" t="s">
        <v>261</v>
      </c>
      <c r="L874" s="201" t="s">
        <v>1618</v>
      </c>
      <c r="M874" s="201" t="s">
        <v>1615</v>
      </c>
      <c r="N874" s="19" t="s">
        <v>35</v>
      </c>
      <c r="O874" s="192">
        <v>45078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ht="15.75" hidden="1" customHeight="1" x14ac:dyDescent="0.35">
      <c r="A875" s="191">
        <v>61</v>
      </c>
      <c r="B875" s="19" t="s">
        <v>49</v>
      </c>
      <c r="C875" s="19" t="s">
        <v>425</v>
      </c>
      <c r="D875" s="19" t="s">
        <v>890</v>
      </c>
      <c r="E875" s="19" t="s">
        <v>180</v>
      </c>
      <c r="F875" s="200">
        <v>42902</v>
      </c>
      <c r="G875" s="201" t="s">
        <v>1619</v>
      </c>
      <c r="H875" s="201">
        <v>4154508285</v>
      </c>
      <c r="I875" s="201" t="s">
        <v>1620</v>
      </c>
      <c r="J875" s="202">
        <v>44792</v>
      </c>
      <c r="K875" s="201" t="s">
        <v>182</v>
      </c>
      <c r="L875" s="201" t="s">
        <v>1621</v>
      </c>
      <c r="M875" s="201" t="s">
        <v>1622</v>
      </c>
      <c r="N875" s="19" t="s">
        <v>35</v>
      </c>
      <c r="O875" s="192">
        <v>45078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ht="15.75" hidden="1" customHeight="1" x14ac:dyDescent="0.35">
      <c r="A876" s="191">
        <v>62</v>
      </c>
      <c r="B876" s="19" t="s">
        <v>89</v>
      </c>
      <c r="C876" s="19" t="s">
        <v>425</v>
      </c>
      <c r="D876" s="19" t="s">
        <v>890</v>
      </c>
      <c r="E876" s="19" t="s">
        <v>180</v>
      </c>
      <c r="F876" s="200">
        <v>42902</v>
      </c>
      <c r="G876" s="201" t="s">
        <v>1619</v>
      </c>
      <c r="H876" s="201">
        <v>4154508285</v>
      </c>
      <c r="I876" s="201" t="s">
        <v>1620</v>
      </c>
      <c r="J876" s="202">
        <v>44792</v>
      </c>
      <c r="K876" s="201" t="s">
        <v>171</v>
      </c>
      <c r="L876" s="201" t="s">
        <v>131</v>
      </c>
      <c r="M876" s="201" t="s">
        <v>1622</v>
      </c>
      <c r="N876" s="19" t="s">
        <v>35</v>
      </c>
      <c r="O876" s="192">
        <v>45078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ht="15.75" hidden="1" customHeight="1" x14ac:dyDescent="0.35">
      <c r="A877" s="195">
        <v>63</v>
      </c>
      <c r="B877" s="195" t="s">
        <v>49</v>
      </c>
      <c r="C877" s="195" t="s">
        <v>425</v>
      </c>
      <c r="D877" s="195" t="s">
        <v>1382</v>
      </c>
      <c r="E877" s="195">
        <v>1</v>
      </c>
      <c r="F877" s="196">
        <v>42086</v>
      </c>
      <c r="G877" s="197" t="s">
        <v>1383</v>
      </c>
      <c r="H877" s="197">
        <v>5109848496</v>
      </c>
      <c r="I877" s="197" t="s">
        <v>1384</v>
      </c>
      <c r="J877" s="198">
        <v>44812</v>
      </c>
      <c r="K877" s="197" t="s">
        <v>112</v>
      </c>
      <c r="L877" s="197" t="s">
        <v>154</v>
      </c>
      <c r="M877" s="197" t="s">
        <v>1559</v>
      </c>
      <c r="N877" s="195" t="s">
        <v>83</v>
      </c>
      <c r="O877" s="196">
        <v>45078</v>
      </c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  <c r="AB877" s="199"/>
      <c r="AC877" s="199"/>
      <c r="AD877" s="199"/>
      <c r="AE877" s="199"/>
      <c r="AF877" s="199"/>
      <c r="AG877" s="199"/>
      <c r="AH877" s="199"/>
      <c r="AI877" s="199"/>
      <c r="AJ877" s="199"/>
      <c r="AK877" s="199"/>
      <c r="AL877" s="199"/>
      <c r="AM877" s="199"/>
      <c r="AN877" s="199"/>
      <c r="AO877" s="199"/>
      <c r="AP877" s="199"/>
      <c r="AQ877" s="199"/>
      <c r="AR877" s="199"/>
      <c r="AS877" s="199"/>
      <c r="AT877" s="199"/>
    </row>
    <row r="878" spans="1:46" ht="15.75" hidden="1" customHeight="1" x14ac:dyDescent="0.35">
      <c r="A878" s="195">
        <v>64</v>
      </c>
      <c r="B878" s="195" t="s">
        <v>89</v>
      </c>
      <c r="C878" s="195" t="s">
        <v>425</v>
      </c>
      <c r="D878" s="195" t="s">
        <v>1382</v>
      </c>
      <c r="E878" s="195">
        <v>1</v>
      </c>
      <c r="F878" s="196">
        <v>42086</v>
      </c>
      <c r="G878" s="197" t="s">
        <v>1383</v>
      </c>
      <c r="H878" s="197">
        <v>5109848496</v>
      </c>
      <c r="I878" s="197" t="s">
        <v>1384</v>
      </c>
      <c r="J878" s="198">
        <v>44812</v>
      </c>
      <c r="K878" s="197" t="s">
        <v>132</v>
      </c>
      <c r="L878" s="197" t="s">
        <v>113</v>
      </c>
      <c r="M878" s="197" t="s">
        <v>1559</v>
      </c>
      <c r="N878" s="195" t="s">
        <v>83</v>
      </c>
      <c r="O878" s="196">
        <v>45078</v>
      </c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  <c r="AB878" s="199"/>
      <c r="AC878" s="199"/>
      <c r="AD878" s="199"/>
      <c r="AE878" s="199"/>
      <c r="AF878" s="199"/>
      <c r="AG878" s="199"/>
      <c r="AH878" s="199"/>
      <c r="AI878" s="199"/>
      <c r="AJ878" s="199"/>
      <c r="AK878" s="199"/>
      <c r="AL878" s="199"/>
      <c r="AM878" s="199"/>
      <c r="AN878" s="199"/>
      <c r="AO878" s="199"/>
      <c r="AP878" s="199"/>
      <c r="AQ878" s="199"/>
      <c r="AR878" s="199"/>
      <c r="AS878" s="199"/>
      <c r="AT878" s="199"/>
    </row>
    <row r="879" spans="1:46" ht="15.75" hidden="1" customHeight="1" x14ac:dyDescent="0.35">
      <c r="A879" s="195">
        <v>65</v>
      </c>
      <c r="B879" s="195" t="s">
        <v>49</v>
      </c>
      <c r="C879" s="195" t="s">
        <v>437</v>
      </c>
      <c r="D879" s="195" t="s">
        <v>1623</v>
      </c>
      <c r="E879" s="195" t="s">
        <v>180</v>
      </c>
      <c r="F879" s="196">
        <v>42707</v>
      </c>
      <c r="G879" s="197" t="s">
        <v>1624</v>
      </c>
      <c r="H879" s="197">
        <v>5108969910</v>
      </c>
      <c r="I879" s="197" t="s">
        <v>1625</v>
      </c>
      <c r="J879" s="198">
        <v>44805</v>
      </c>
      <c r="K879" s="197" t="s">
        <v>490</v>
      </c>
      <c r="L879" s="197" t="s">
        <v>378</v>
      </c>
      <c r="M879" s="197" t="s">
        <v>1559</v>
      </c>
      <c r="N879" s="195" t="s">
        <v>83</v>
      </c>
      <c r="O879" s="196">
        <v>45078</v>
      </c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  <c r="AB879" s="199"/>
      <c r="AC879" s="199"/>
      <c r="AD879" s="199"/>
      <c r="AE879" s="199"/>
      <c r="AF879" s="199"/>
      <c r="AG879" s="199"/>
      <c r="AH879" s="199"/>
      <c r="AI879" s="199"/>
      <c r="AJ879" s="199"/>
      <c r="AK879" s="199"/>
      <c r="AL879" s="199"/>
      <c r="AM879" s="199"/>
      <c r="AN879" s="199"/>
      <c r="AO879" s="199"/>
      <c r="AP879" s="199"/>
      <c r="AQ879" s="199"/>
      <c r="AR879" s="199"/>
      <c r="AS879" s="199"/>
      <c r="AT879" s="199"/>
    </row>
    <row r="880" spans="1:46" ht="15.75" hidden="1" customHeight="1" x14ac:dyDescent="0.35">
      <c r="A880" s="195">
        <v>66</v>
      </c>
      <c r="B880" s="195" t="s">
        <v>89</v>
      </c>
      <c r="C880" s="195" t="s">
        <v>437</v>
      </c>
      <c r="D880" s="195" t="s">
        <v>1623</v>
      </c>
      <c r="E880" s="195" t="s">
        <v>180</v>
      </c>
      <c r="F880" s="196">
        <v>42707</v>
      </c>
      <c r="G880" s="197" t="s">
        <v>1624</v>
      </c>
      <c r="H880" s="197">
        <v>5108969910</v>
      </c>
      <c r="I880" s="197" t="s">
        <v>1625</v>
      </c>
      <c r="J880" s="198">
        <v>44805</v>
      </c>
      <c r="K880" s="197" t="s">
        <v>225</v>
      </c>
      <c r="L880" s="197" t="s">
        <v>183</v>
      </c>
      <c r="M880" s="197" t="s">
        <v>1559</v>
      </c>
      <c r="N880" s="195" t="s">
        <v>83</v>
      </c>
      <c r="O880" s="196">
        <v>45078</v>
      </c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  <c r="AB880" s="199"/>
      <c r="AC880" s="199"/>
      <c r="AD880" s="199"/>
      <c r="AE880" s="199"/>
      <c r="AF880" s="199"/>
      <c r="AG880" s="199"/>
      <c r="AH880" s="199"/>
      <c r="AI880" s="199"/>
      <c r="AJ880" s="199"/>
      <c r="AK880" s="199"/>
      <c r="AL880" s="199"/>
      <c r="AM880" s="199"/>
      <c r="AN880" s="199"/>
      <c r="AO880" s="199"/>
      <c r="AP880" s="199"/>
      <c r="AQ880" s="199"/>
      <c r="AR880" s="199"/>
      <c r="AS880" s="199"/>
      <c r="AT880" s="199"/>
    </row>
    <row r="881" spans="1:46" ht="15.75" hidden="1" customHeight="1" x14ac:dyDescent="0.35">
      <c r="A881" s="195">
        <v>67</v>
      </c>
      <c r="B881" s="195" t="s">
        <v>49</v>
      </c>
      <c r="C881" s="195" t="s">
        <v>437</v>
      </c>
      <c r="D881" s="195" t="s">
        <v>743</v>
      </c>
      <c r="E881" s="195" t="s">
        <v>180</v>
      </c>
      <c r="F881" s="196">
        <v>42902</v>
      </c>
      <c r="G881" s="197" t="s">
        <v>1626</v>
      </c>
      <c r="H881" s="197">
        <v>4352252200</v>
      </c>
      <c r="I881" s="197" t="s">
        <v>1627</v>
      </c>
      <c r="J881" s="198">
        <v>44835</v>
      </c>
      <c r="K881" s="197" t="s">
        <v>691</v>
      </c>
      <c r="L881" s="197" t="s">
        <v>283</v>
      </c>
      <c r="M881" s="197" t="s">
        <v>1559</v>
      </c>
      <c r="N881" s="195" t="s">
        <v>83</v>
      </c>
      <c r="O881" s="196">
        <v>45078</v>
      </c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  <c r="AB881" s="199"/>
      <c r="AC881" s="199"/>
      <c r="AD881" s="199"/>
      <c r="AE881" s="199"/>
      <c r="AF881" s="199"/>
      <c r="AG881" s="199"/>
      <c r="AH881" s="199"/>
      <c r="AI881" s="199"/>
      <c r="AJ881" s="199"/>
      <c r="AK881" s="199"/>
      <c r="AL881" s="199"/>
      <c r="AM881" s="199"/>
      <c r="AN881" s="199"/>
      <c r="AO881" s="199"/>
      <c r="AP881" s="199"/>
      <c r="AQ881" s="199"/>
      <c r="AR881" s="199"/>
      <c r="AS881" s="199"/>
      <c r="AT881" s="199"/>
    </row>
    <row r="882" spans="1:46" ht="15.75" hidden="1" customHeight="1" x14ac:dyDescent="0.35">
      <c r="A882" s="195">
        <v>68</v>
      </c>
      <c r="B882" s="195" t="s">
        <v>49</v>
      </c>
      <c r="C882" s="195" t="s">
        <v>437</v>
      </c>
      <c r="D882" s="195" t="s">
        <v>544</v>
      </c>
      <c r="E882" s="195" t="s">
        <v>180</v>
      </c>
      <c r="F882" s="196">
        <v>42902</v>
      </c>
      <c r="G882" s="197" t="s">
        <v>1626</v>
      </c>
      <c r="H882" s="197">
        <v>4352252200</v>
      </c>
      <c r="I882" s="197" t="s">
        <v>1627</v>
      </c>
      <c r="J882" s="198">
        <v>44835</v>
      </c>
      <c r="K882" s="197" t="s">
        <v>691</v>
      </c>
      <c r="L882" s="197" t="s">
        <v>283</v>
      </c>
      <c r="M882" s="197" t="s">
        <v>1559</v>
      </c>
      <c r="N882" s="195" t="s">
        <v>83</v>
      </c>
      <c r="O882" s="196">
        <v>45078</v>
      </c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  <c r="AB882" s="199"/>
      <c r="AC882" s="199"/>
      <c r="AD882" s="199"/>
      <c r="AE882" s="199"/>
      <c r="AF882" s="199"/>
      <c r="AG882" s="199"/>
      <c r="AH882" s="199"/>
      <c r="AI882" s="199"/>
      <c r="AJ882" s="199"/>
      <c r="AK882" s="199"/>
      <c r="AL882" s="199"/>
      <c r="AM882" s="199"/>
      <c r="AN882" s="199"/>
      <c r="AO882" s="199"/>
      <c r="AP882" s="199"/>
      <c r="AQ882" s="199"/>
      <c r="AR882" s="199"/>
      <c r="AS882" s="199"/>
      <c r="AT882" s="199"/>
    </row>
    <row r="883" spans="1:46" ht="15.75" hidden="1" customHeight="1" x14ac:dyDescent="0.35">
      <c r="A883" s="195">
        <v>69</v>
      </c>
      <c r="B883" s="195" t="s">
        <v>49</v>
      </c>
      <c r="C883" s="195" t="s">
        <v>1166</v>
      </c>
      <c r="D883" s="195" t="s">
        <v>470</v>
      </c>
      <c r="E883" s="195" t="s">
        <v>180</v>
      </c>
      <c r="F883" s="196">
        <v>44927</v>
      </c>
      <c r="G883" s="197" t="s">
        <v>1628</v>
      </c>
      <c r="H883" s="197">
        <v>5108813622</v>
      </c>
      <c r="I883" s="197" t="s">
        <v>1168</v>
      </c>
      <c r="J883" s="198">
        <v>44777</v>
      </c>
      <c r="K883" s="197" t="s">
        <v>490</v>
      </c>
      <c r="L883" s="197" t="s">
        <v>1629</v>
      </c>
      <c r="M883" s="197" t="s">
        <v>1622</v>
      </c>
      <c r="N883" s="195" t="s">
        <v>35</v>
      </c>
      <c r="O883" s="196">
        <v>45078</v>
      </c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  <c r="AB883" s="199"/>
      <c r="AC883" s="199"/>
      <c r="AD883" s="199"/>
      <c r="AE883" s="199"/>
      <c r="AF883" s="199"/>
      <c r="AG883" s="199"/>
      <c r="AH883" s="199"/>
      <c r="AI883" s="199"/>
      <c r="AJ883" s="199"/>
      <c r="AK883" s="199"/>
      <c r="AL883" s="199"/>
      <c r="AM883" s="199"/>
      <c r="AN883" s="199"/>
      <c r="AO883" s="199"/>
      <c r="AP883" s="199"/>
      <c r="AQ883" s="199"/>
      <c r="AR883" s="199"/>
      <c r="AS883" s="199"/>
      <c r="AT883" s="199"/>
    </row>
    <row r="884" spans="1:46" ht="15.75" hidden="1" customHeight="1" x14ac:dyDescent="0.35">
      <c r="A884" s="195">
        <v>70</v>
      </c>
      <c r="B884" s="195" t="s">
        <v>89</v>
      </c>
      <c r="C884" s="195" t="s">
        <v>1166</v>
      </c>
      <c r="D884" s="195" t="s">
        <v>470</v>
      </c>
      <c r="E884" s="195" t="s">
        <v>180</v>
      </c>
      <c r="F884" s="196">
        <v>44927</v>
      </c>
      <c r="G884" s="197" t="s">
        <v>1628</v>
      </c>
      <c r="H884" s="197">
        <v>5108813622</v>
      </c>
      <c r="I884" s="197" t="s">
        <v>1168</v>
      </c>
      <c r="J884" s="198">
        <v>44777</v>
      </c>
      <c r="K884" s="197" t="s">
        <v>124</v>
      </c>
      <c r="L884" s="197">
        <v>52</v>
      </c>
      <c r="M884" s="197" t="s">
        <v>1622</v>
      </c>
      <c r="N884" s="195" t="s">
        <v>35</v>
      </c>
      <c r="O884" s="196">
        <v>45078</v>
      </c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  <c r="AB884" s="199"/>
      <c r="AC884" s="199"/>
      <c r="AD884" s="199"/>
      <c r="AE884" s="199"/>
      <c r="AF884" s="199"/>
      <c r="AG884" s="199"/>
      <c r="AH884" s="199"/>
      <c r="AI884" s="199"/>
      <c r="AJ884" s="199"/>
      <c r="AK884" s="199"/>
      <c r="AL884" s="199"/>
      <c r="AM884" s="199"/>
      <c r="AN884" s="199"/>
      <c r="AO884" s="199"/>
      <c r="AP884" s="199"/>
      <c r="AQ884" s="199"/>
      <c r="AR884" s="199"/>
      <c r="AS884" s="199"/>
      <c r="AT884" s="199"/>
    </row>
    <row r="885" spans="1:46" ht="15.75" hidden="1" customHeight="1" x14ac:dyDescent="0.35">
      <c r="A885" s="195">
        <v>71</v>
      </c>
      <c r="B885" s="195" t="s">
        <v>49</v>
      </c>
      <c r="C885" s="195" t="s">
        <v>1166</v>
      </c>
      <c r="D885" s="195" t="s">
        <v>1167</v>
      </c>
      <c r="E885" s="195">
        <v>4</v>
      </c>
      <c r="F885" s="196">
        <v>41153</v>
      </c>
      <c r="G885" s="197" t="s">
        <v>1630</v>
      </c>
      <c r="H885" s="197">
        <v>5108813622</v>
      </c>
      <c r="I885" s="197" t="s">
        <v>1168</v>
      </c>
      <c r="J885" s="198">
        <v>44426</v>
      </c>
      <c r="K885" s="197" t="s">
        <v>237</v>
      </c>
      <c r="L885" s="197" t="s">
        <v>165</v>
      </c>
      <c r="M885" s="197" t="s">
        <v>1622</v>
      </c>
      <c r="N885" s="195" t="s">
        <v>35</v>
      </c>
      <c r="O885" s="196">
        <v>45078</v>
      </c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  <c r="AB885" s="199"/>
      <c r="AC885" s="199"/>
      <c r="AD885" s="199"/>
      <c r="AE885" s="199"/>
      <c r="AF885" s="199"/>
      <c r="AG885" s="199"/>
      <c r="AH885" s="199"/>
      <c r="AI885" s="199"/>
      <c r="AJ885" s="199"/>
      <c r="AK885" s="199"/>
      <c r="AL885" s="199"/>
      <c r="AM885" s="199"/>
      <c r="AN885" s="199"/>
      <c r="AO885" s="199"/>
      <c r="AP885" s="199"/>
      <c r="AQ885" s="199"/>
      <c r="AR885" s="199"/>
      <c r="AS885" s="199"/>
      <c r="AT885" s="199"/>
    </row>
    <row r="886" spans="1:46" ht="15.75" hidden="1" customHeight="1" x14ac:dyDescent="0.35">
      <c r="A886" s="195">
        <v>72</v>
      </c>
      <c r="B886" s="195" t="s">
        <v>89</v>
      </c>
      <c r="C886" s="195" t="s">
        <v>1166</v>
      </c>
      <c r="D886" s="195" t="s">
        <v>1167</v>
      </c>
      <c r="E886" s="195">
        <v>3</v>
      </c>
      <c r="F886" s="196">
        <v>41153</v>
      </c>
      <c r="G886" s="197" t="s">
        <v>1630</v>
      </c>
      <c r="H886" s="197">
        <v>5108813622</v>
      </c>
      <c r="I886" s="197" t="s">
        <v>1168</v>
      </c>
      <c r="J886" s="198">
        <v>44426</v>
      </c>
      <c r="K886" s="197" t="s">
        <v>251</v>
      </c>
      <c r="L886" s="197" t="s">
        <v>162</v>
      </c>
      <c r="M886" s="197" t="s">
        <v>1622</v>
      </c>
      <c r="N886" s="195" t="s">
        <v>35</v>
      </c>
      <c r="O886" s="196">
        <v>45078</v>
      </c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  <c r="AB886" s="199"/>
      <c r="AC886" s="199"/>
      <c r="AD886" s="199"/>
      <c r="AE886" s="199"/>
      <c r="AF886" s="199"/>
      <c r="AG886" s="199"/>
      <c r="AH886" s="199"/>
      <c r="AI886" s="199"/>
      <c r="AJ886" s="199"/>
      <c r="AK886" s="199"/>
      <c r="AL886" s="199"/>
      <c r="AM886" s="199"/>
      <c r="AN886" s="199"/>
      <c r="AO886" s="199"/>
      <c r="AP886" s="199"/>
      <c r="AQ886" s="199"/>
      <c r="AR886" s="199"/>
      <c r="AS886" s="199"/>
      <c r="AT886" s="199"/>
    </row>
    <row r="887" spans="1:46" ht="15.75" hidden="1" customHeight="1" x14ac:dyDescent="0.35">
      <c r="A887" s="191">
        <v>73</v>
      </c>
      <c r="B887" s="19" t="s">
        <v>49</v>
      </c>
      <c r="C887" s="19" t="s">
        <v>458</v>
      </c>
      <c r="D887" s="19" t="s">
        <v>1631</v>
      </c>
      <c r="E887" s="19">
        <v>5</v>
      </c>
      <c r="F887" s="200">
        <v>40962</v>
      </c>
      <c r="G887" s="201" t="e">
        <v>#N/A</v>
      </c>
      <c r="H887" s="201" t="s">
        <v>1632</v>
      </c>
      <c r="I887" s="201" t="e">
        <v>#N/A</v>
      </c>
      <c r="J887" s="202">
        <v>44837</v>
      </c>
      <c r="K887" s="201" t="s">
        <v>256</v>
      </c>
      <c r="L887" s="201" t="s">
        <v>173</v>
      </c>
      <c r="M887" s="201"/>
      <c r="N887" s="19" t="s">
        <v>35</v>
      </c>
      <c r="O887" s="192">
        <v>45078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5.75" hidden="1" customHeight="1" x14ac:dyDescent="0.35">
      <c r="A888" s="191">
        <v>74</v>
      </c>
      <c r="B888" s="19" t="s">
        <v>89</v>
      </c>
      <c r="C888" s="19" t="s">
        <v>458</v>
      </c>
      <c r="D888" s="19" t="s">
        <v>1631</v>
      </c>
      <c r="E888" s="19">
        <v>5</v>
      </c>
      <c r="F888" s="200">
        <v>40962</v>
      </c>
      <c r="G888" s="201" t="e">
        <v>#N/A</v>
      </c>
      <c r="H888" s="201" t="s">
        <v>1632</v>
      </c>
      <c r="I888" s="201" t="e">
        <v>#N/A</v>
      </c>
      <c r="J888" s="202">
        <v>44837</v>
      </c>
      <c r="K888" s="201" t="s">
        <v>301</v>
      </c>
      <c r="L888" s="201" t="s">
        <v>288</v>
      </c>
      <c r="M888" s="201" t="s">
        <v>1585</v>
      </c>
      <c r="N888" s="19" t="s">
        <v>35</v>
      </c>
      <c r="O888" s="192">
        <v>45078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5.75" hidden="1" customHeight="1" x14ac:dyDescent="0.35">
      <c r="A889" s="191">
        <v>75</v>
      </c>
      <c r="B889" s="19" t="s">
        <v>49</v>
      </c>
      <c r="C889" s="19" t="s">
        <v>694</v>
      </c>
      <c r="D889" s="19" t="s">
        <v>815</v>
      </c>
      <c r="E889" s="19">
        <v>4</v>
      </c>
      <c r="F889" s="200" t="s">
        <v>696</v>
      </c>
      <c r="G889" s="201" t="s">
        <v>697</v>
      </c>
      <c r="H889" s="201" t="s">
        <v>698</v>
      </c>
      <c r="I889" s="201" t="s">
        <v>699</v>
      </c>
      <c r="J889" s="202">
        <v>44795</v>
      </c>
      <c r="K889" s="201" t="s">
        <v>1354</v>
      </c>
      <c r="L889" s="201">
        <v>90</v>
      </c>
      <c r="M889" s="201"/>
      <c r="N889" s="19" t="s">
        <v>35</v>
      </c>
      <c r="O889" s="192">
        <v>45078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5.75" hidden="1" customHeight="1" x14ac:dyDescent="0.35">
      <c r="A890" s="19">
        <v>76</v>
      </c>
      <c r="B890" s="19" t="s">
        <v>89</v>
      </c>
      <c r="C890" s="19" t="s">
        <v>694</v>
      </c>
      <c r="D890" s="19" t="s">
        <v>815</v>
      </c>
      <c r="E890" s="19">
        <v>4</v>
      </c>
      <c r="F890" s="200" t="s">
        <v>696</v>
      </c>
      <c r="G890" s="201" t="s">
        <v>697</v>
      </c>
      <c r="H890" s="201" t="s">
        <v>698</v>
      </c>
      <c r="I890" s="201" t="s">
        <v>699</v>
      </c>
      <c r="J890" s="202">
        <v>44795</v>
      </c>
      <c r="K890" s="201" t="s">
        <v>318</v>
      </c>
      <c r="L890" s="201" t="s">
        <v>1633</v>
      </c>
      <c r="M890" s="201"/>
      <c r="N890" s="19" t="s">
        <v>35</v>
      </c>
      <c r="O890" s="192">
        <v>45078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ht="15.75" hidden="1" customHeight="1" x14ac:dyDescent="0.35">
      <c r="A891" s="19">
        <v>77</v>
      </c>
      <c r="B891" s="19" t="s">
        <v>49</v>
      </c>
      <c r="C891" s="19" t="s">
        <v>469</v>
      </c>
      <c r="D891" s="19" t="s">
        <v>1050</v>
      </c>
      <c r="E891" s="19">
        <v>2</v>
      </c>
      <c r="F891" s="200">
        <v>41953</v>
      </c>
      <c r="G891" s="201" t="s">
        <v>1276</v>
      </c>
      <c r="H891" s="201">
        <v>6464205298</v>
      </c>
      <c r="I891" s="201" t="s">
        <v>1052</v>
      </c>
      <c r="J891" s="202">
        <v>44790</v>
      </c>
      <c r="K891" s="201" t="s">
        <v>212</v>
      </c>
      <c r="L891" s="201" t="s">
        <v>156</v>
      </c>
      <c r="M891" s="201"/>
      <c r="N891" s="19" t="s">
        <v>35</v>
      </c>
      <c r="O891" s="192">
        <v>45078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5.75" hidden="1" customHeight="1" x14ac:dyDescent="0.35">
      <c r="A892" s="19">
        <v>78</v>
      </c>
      <c r="B892" s="19" t="s">
        <v>89</v>
      </c>
      <c r="C892" s="19" t="s">
        <v>469</v>
      </c>
      <c r="D892" s="19" t="s">
        <v>1050</v>
      </c>
      <c r="E892" s="19">
        <v>2</v>
      </c>
      <c r="F892" s="200">
        <v>41953</v>
      </c>
      <c r="G892" s="201" t="s">
        <v>1634</v>
      </c>
      <c r="H892" s="201">
        <v>6464205298</v>
      </c>
      <c r="I892" s="201" t="s">
        <v>1635</v>
      </c>
      <c r="J892" s="202">
        <v>44790</v>
      </c>
      <c r="K892" s="201" t="s">
        <v>155</v>
      </c>
      <c r="L892" s="201" t="s">
        <v>394</v>
      </c>
      <c r="M892" s="201"/>
      <c r="N892" s="19" t="s">
        <v>35</v>
      </c>
      <c r="O892" s="192">
        <v>45078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5.75" hidden="1" customHeight="1" x14ac:dyDescent="0.35">
      <c r="A893" s="191">
        <v>79</v>
      </c>
      <c r="B893" s="19" t="s">
        <v>49</v>
      </c>
      <c r="C893" s="19" t="s">
        <v>1035</v>
      </c>
      <c r="D893" s="19" t="s">
        <v>1085</v>
      </c>
      <c r="E893" s="19">
        <v>1</v>
      </c>
      <c r="F893" s="200">
        <v>41663</v>
      </c>
      <c r="G893" s="201" t="s">
        <v>1086</v>
      </c>
      <c r="H893" s="201">
        <v>4083903175</v>
      </c>
      <c r="I893" s="201" t="s">
        <v>1087</v>
      </c>
      <c r="J893" s="202">
        <v>44004</v>
      </c>
      <c r="K893" s="201" t="s">
        <v>109</v>
      </c>
      <c r="L893" s="201" t="s">
        <v>262</v>
      </c>
      <c r="M893" s="201"/>
      <c r="N893" s="19" t="s">
        <v>35</v>
      </c>
      <c r="O893" s="192">
        <v>45078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5.75" hidden="1" customHeight="1" x14ac:dyDescent="0.35">
      <c r="A894" s="191">
        <v>80</v>
      </c>
      <c r="B894" s="19" t="s">
        <v>89</v>
      </c>
      <c r="C894" s="19" t="s">
        <v>1035</v>
      </c>
      <c r="D894" s="19" t="s">
        <v>1085</v>
      </c>
      <c r="E894" s="19">
        <v>1</v>
      </c>
      <c r="F894" s="200">
        <v>41663</v>
      </c>
      <c r="G894" s="201" t="s">
        <v>1086</v>
      </c>
      <c r="H894" s="201">
        <v>4083903175</v>
      </c>
      <c r="I894" s="201" t="s">
        <v>1087</v>
      </c>
      <c r="J894" s="202">
        <v>44351</v>
      </c>
      <c r="K894" s="201" t="s">
        <v>167</v>
      </c>
      <c r="L894" s="201" t="s">
        <v>721</v>
      </c>
      <c r="M894" s="201"/>
      <c r="N894" s="19" t="s">
        <v>35</v>
      </c>
      <c r="O894" s="192">
        <v>45078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5.75" hidden="1" customHeight="1" x14ac:dyDescent="0.35">
      <c r="A895" s="195">
        <v>81</v>
      </c>
      <c r="B895" s="195" t="s">
        <v>49</v>
      </c>
      <c r="C895" s="195" t="s">
        <v>584</v>
      </c>
      <c r="D895" s="195" t="s">
        <v>1636</v>
      </c>
      <c r="E895" s="195">
        <v>5</v>
      </c>
      <c r="F895" s="196">
        <v>41298</v>
      </c>
      <c r="G895" s="197" t="s">
        <v>1637</v>
      </c>
      <c r="H895" s="197">
        <v>7138395988</v>
      </c>
      <c r="I895" s="197" t="s">
        <v>1638</v>
      </c>
      <c r="J895" s="198">
        <v>44958</v>
      </c>
      <c r="K895" s="197" t="s">
        <v>212</v>
      </c>
      <c r="L895" s="197" t="s">
        <v>325</v>
      </c>
      <c r="M895" s="197" t="s">
        <v>1567</v>
      </c>
      <c r="N895" s="195" t="s">
        <v>35</v>
      </c>
      <c r="O895" s="196">
        <v>45078</v>
      </c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  <c r="AB895" s="199"/>
      <c r="AC895" s="199"/>
      <c r="AD895" s="199"/>
      <c r="AE895" s="199"/>
      <c r="AF895" s="199"/>
      <c r="AG895" s="199"/>
      <c r="AH895" s="199"/>
      <c r="AI895" s="199"/>
      <c r="AJ895" s="199"/>
      <c r="AK895" s="199"/>
      <c r="AL895" s="199"/>
      <c r="AM895" s="199"/>
      <c r="AN895" s="199"/>
      <c r="AO895" s="199"/>
      <c r="AP895" s="199"/>
      <c r="AQ895" s="199"/>
      <c r="AR895" s="199"/>
      <c r="AS895" s="199"/>
      <c r="AT895" s="199"/>
    </row>
    <row r="896" spans="1:46" ht="15.75" hidden="1" customHeight="1" x14ac:dyDescent="0.35">
      <c r="A896" s="195">
        <v>82</v>
      </c>
      <c r="B896" s="195" t="s">
        <v>89</v>
      </c>
      <c r="C896" s="195" t="s">
        <v>584</v>
      </c>
      <c r="D896" s="195" t="s">
        <v>1636</v>
      </c>
      <c r="E896" s="195">
        <v>5</v>
      </c>
      <c r="F896" s="196">
        <v>41298</v>
      </c>
      <c r="G896" s="197" t="s">
        <v>1637</v>
      </c>
      <c r="H896" s="197">
        <v>7138395988</v>
      </c>
      <c r="I896" s="197" t="s">
        <v>1638</v>
      </c>
      <c r="J896" s="198">
        <v>44958</v>
      </c>
      <c r="K896" s="197" t="s">
        <v>301</v>
      </c>
      <c r="L896" s="197" t="s">
        <v>156</v>
      </c>
      <c r="M896" s="197" t="s">
        <v>1567</v>
      </c>
      <c r="N896" s="195" t="s">
        <v>35</v>
      </c>
      <c r="O896" s="196">
        <v>45078</v>
      </c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  <c r="AB896" s="199"/>
      <c r="AC896" s="199"/>
      <c r="AD896" s="199"/>
      <c r="AE896" s="199"/>
      <c r="AF896" s="199"/>
      <c r="AG896" s="199"/>
      <c r="AH896" s="199"/>
      <c r="AI896" s="199"/>
      <c r="AJ896" s="199"/>
      <c r="AK896" s="199"/>
      <c r="AL896" s="199"/>
      <c r="AM896" s="199"/>
      <c r="AN896" s="199"/>
      <c r="AO896" s="199"/>
      <c r="AP896" s="199"/>
      <c r="AQ896" s="199"/>
      <c r="AR896" s="199"/>
      <c r="AS896" s="199"/>
      <c r="AT896" s="199"/>
    </row>
    <row r="897" spans="1:46" ht="15.75" hidden="1" customHeight="1" x14ac:dyDescent="0.35">
      <c r="A897" s="195">
        <v>83</v>
      </c>
      <c r="B897" s="195" t="s">
        <v>49</v>
      </c>
      <c r="C897" s="195" t="s">
        <v>491</v>
      </c>
      <c r="D897" s="195" t="s">
        <v>307</v>
      </c>
      <c r="E897" s="195" t="s">
        <v>149</v>
      </c>
      <c r="F897" s="196">
        <v>42940</v>
      </c>
      <c r="G897" s="197" t="s">
        <v>1639</v>
      </c>
      <c r="H897" s="197">
        <v>5105090555</v>
      </c>
      <c r="I897" s="197" t="s">
        <v>1640</v>
      </c>
      <c r="J897" s="198">
        <v>44723</v>
      </c>
      <c r="K897" s="197" t="s">
        <v>691</v>
      </c>
      <c r="L897" s="197" t="s">
        <v>1641</v>
      </c>
      <c r="M897" s="197" t="s">
        <v>1559</v>
      </c>
      <c r="N897" s="195" t="s">
        <v>83</v>
      </c>
      <c r="O897" s="196">
        <v>45078</v>
      </c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  <c r="AB897" s="199"/>
      <c r="AC897" s="199"/>
      <c r="AD897" s="199"/>
      <c r="AE897" s="199"/>
      <c r="AF897" s="199"/>
      <c r="AG897" s="199"/>
      <c r="AH897" s="199"/>
      <c r="AI897" s="199"/>
      <c r="AJ897" s="199"/>
      <c r="AK897" s="199"/>
      <c r="AL897" s="199"/>
      <c r="AM897" s="199"/>
      <c r="AN897" s="199"/>
      <c r="AO897" s="199"/>
      <c r="AP897" s="199"/>
      <c r="AQ897" s="199"/>
      <c r="AR897" s="199"/>
      <c r="AS897" s="199"/>
      <c r="AT897" s="199"/>
    </row>
    <row r="898" spans="1:46" ht="15.75" hidden="1" customHeight="1" x14ac:dyDescent="0.35">
      <c r="A898" s="195">
        <v>84</v>
      </c>
      <c r="B898" s="195" t="s">
        <v>89</v>
      </c>
      <c r="C898" s="195" t="s">
        <v>491</v>
      </c>
      <c r="D898" s="195" t="s">
        <v>307</v>
      </c>
      <c r="E898" s="195" t="s">
        <v>149</v>
      </c>
      <c r="F898" s="196">
        <v>42940</v>
      </c>
      <c r="G898" s="197" t="s">
        <v>1639</v>
      </c>
      <c r="H898" s="197">
        <v>5105090555</v>
      </c>
      <c r="I898" s="197" t="s">
        <v>1640</v>
      </c>
      <c r="J898" s="198">
        <v>44723</v>
      </c>
      <c r="K898" s="197" t="s">
        <v>124</v>
      </c>
      <c r="L898" s="197" t="s">
        <v>499</v>
      </c>
      <c r="M898" s="197" t="s">
        <v>1559</v>
      </c>
      <c r="N898" s="195" t="s">
        <v>83</v>
      </c>
      <c r="O898" s="196">
        <v>45078</v>
      </c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  <c r="AB898" s="199"/>
      <c r="AC898" s="199"/>
      <c r="AD898" s="199"/>
      <c r="AE898" s="199"/>
      <c r="AF898" s="199"/>
      <c r="AG898" s="199"/>
      <c r="AH898" s="199"/>
      <c r="AI898" s="199"/>
      <c r="AJ898" s="199"/>
      <c r="AK898" s="199"/>
      <c r="AL898" s="199"/>
      <c r="AM898" s="199"/>
      <c r="AN898" s="199"/>
      <c r="AO898" s="199"/>
      <c r="AP898" s="199"/>
      <c r="AQ898" s="199"/>
      <c r="AR898" s="199"/>
      <c r="AS898" s="199"/>
      <c r="AT898" s="199"/>
    </row>
    <row r="899" spans="1:46" ht="15.75" hidden="1" customHeight="1" x14ac:dyDescent="0.35">
      <c r="A899" s="195">
        <v>85</v>
      </c>
      <c r="B899" s="195" t="s">
        <v>49</v>
      </c>
      <c r="C899" s="195" t="s">
        <v>491</v>
      </c>
      <c r="D899" s="195" t="s">
        <v>1642</v>
      </c>
      <c r="E899" s="195">
        <v>5</v>
      </c>
      <c r="F899" s="196">
        <v>40745</v>
      </c>
      <c r="G899" s="197" t="s">
        <v>1643</v>
      </c>
      <c r="H899" s="197">
        <v>5105090555</v>
      </c>
      <c r="I899" s="197" t="s">
        <v>1640</v>
      </c>
      <c r="J899" s="198" t="s">
        <v>1244</v>
      </c>
      <c r="K899" s="197" t="s">
        <v>256</v>
      </c>
      <c r="L899" s="197" t="s">
        <v>162</v>
      </c>
      <c r="M899" s="197" t="s">
        <v>1559</v>
      </c>
      <c r="N899" s="195" t="s">
        <v>83</v>
      </c>
      <c r="O899" s="196">
        <v>45078</v>
      </c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  <c r="AB899" s="199"/>
      <c r="AC899" s="199"/>
      <c r="AD899" s="199"/>
      <c r="AE899" s="199"/>
      <c r="AF899" s="199"/>
      <c r="AG899" s="199"/>
      <c r="AH899" s="199"/>
      <c r="AI899" s="199"/>
      <c r="AJ899" s="199"/>
      <c r="AK899" s="199"/>
      <c r="AL899" s="199"/>
      <c r="AM899" s="199"/>
      <c r="AN899" s="199"/>
      <c r="AO899" s="199"/>
      <c r="AP899" s="199"/>
      <c r="AQ899" s="199"/>
      <c r="AR899" s="199"/>
      <c r="AS899" s="199"/>
      <c r="AT899" s="199"/>
    </row>
    <row r="900" spans="1:46" ht="15.75" hidden="1" customHeight="1" x14ac:dyDescent="0.35">
      <c r="A900" s="195">
        <v>86</v>
      </c>
      <c r="B900" s="211" t="s">
        <v>89</v>
      </c>
      <c r="C900" s="211" t="s">
        <v>491</v>
      </c>
      <c r="D900" s="211" t="s">
        <v>1642</v>
      </c>
      <c r="E900" s="211">
        <v>5</v>
      </c>
      <c r="F900" s="212">
        <v>40745</v>
      </c>
      <c r="G900" s="213" t="s">
        <v>1643</v>
      </c>
      <c r="H900" s="213">
        <v>5105090555</v>
      </c>
      <c r="I900" s="213" t="s">
        <v>1640</v>
      </c>
      <c r="J900" s="214" t="s">
        <v>1244</v>
      </c>
      <c r="K900" s="213" t="s">
        <v>261</v>
      </c>
      <c r="L900" s="213" t="s">
        <v>215</v>
      </c>
      <c r="M900" s="213" t="s">
        <v>1559</v>
      </c>
      <c r="N900" s="211" t="s">
        <v>83</v>
      </c>
      <c r="O900" s="212">
        <v>45078</v>
      </c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  <c r="AB900" s="199"/>
      <c r="AC900" s="199"/>
      <c r="AD900" s="199"/>
      <c r="AE900" s="199"/>
      <c r="AF900" s="199"/>
      <c r="AG900" s="199"/>
      <c r="AH900" s="199"/>
      <c r="AI900" s="199"/>
      <c r="AJ900" s="199"/>
      <c r="AK900" s="199"/>
      <c r="AL900" s="199"/>
      <c r="AM900" s="199"/>
      <c r="AN900" s="199"/>
      <c r="AO900" s="199"/>
      <c r="AP900" s="199"/>
      <c r="AQ900" s="199"/>
      <c r="AR900" s="199"/>
      <c r="AS900" s="199"/>
      <c r="AT900" s="199"/>
    </row>
    <row r="901" spans="1:46" ht="15.75" hidden="1" customHeight="1" x14ac:dyDescent="0.35">
      <c r="A901" s="215">
        <v>1</v>
      </c>
      <c r="B901" s="216" t="s">
        <v>49</v>
      </c>
      <c r="C901" s="216" t="s">
        <v>437</v>
      </c>
      <c r="D901" s="216" t="s">
        <v>438</v>
      </c>
      <c r="E901" s="216">
        <v>5</v>
      </c>
      <c r="F901" s="217">
        <v>40841</v>
      </c>
      <c r="G901" s="218" t="s">
        <v>439</v>
      </c>
      <c r="H901" s="218">
        <v>3364303270</v>
      </c>
      <c r="I901" s="218" t="s">
        <v>440</v>
      </c>
      <c r="J901" s="219">
        <v>44805</v>
      </c>
      <c r="K901" s="220" t="s">
        <v>237</v>
      </c>
      <c r="L901" s="220" t="s">
        <v>173</v>
      </c>
      <c r="M901" s="220" t="s">
        <v>1644</v>
      </c>
      <c r="N901" s="216" t="s">
        <v>35</v>
      </c>
      <c r="O901" s="221">
        <v>45108</v>
      </c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  <c r="AA901" s="222"/>
      <c r="AB901" s="222"/>
      <c r="AC901" s="222"/>
      <c r="AD901" s="222"/>
      <c r="AE901" s="222"/>
      <c r="AF901" s="222"/>
      <c r="AG901" s="222"/>
      <c r="AH901" s="222"/>
      <c r="AI901" s="222"/>
      <c r="AJ901" s="222"/>
      <c r="AK901" s="222"/>
      <c r="AL901" s="222"/>
      <c r="AM901" s="222"/>
      <c r="AN901" s="222"/>
      <c r="AO901" s="222"/>
      <c r="AP901" s="222"/>
      <c r="AQ901" s="222"/>
      <c r="AR901" s="222"/>
      <c r="AS901" s="222"/>
      <c r="AT901" s="222"/>
    </row>
    <row r="902" spans="1:46" ht="15.75" hidden="1" customHeight="1" x14ac:dyDescent="0.35">
      <c r="A902" s="223">
        <v>2</v>
      </c>
      <c r="B902" s="216" t="s">
        <v>49</v>
      </c>
      <c r="C902" s="216" t="s">
        <v>289</v>
      </c>
      <c r="D902" s="216" t="s">
        <v>290</v>
      </c>
      <c r="E902" s="216">
        <v>5</v>
      </c>
      <c r="F902" s="217">
        <v>41041</v>
      </c>
      <c r="G902" s="218" t="s">
        <v>1645</v>
      </c>
      <c r="H902" s="218">
        <v>4082293998</v>
      </c>
      <c r="I902" s="218" t="s">
        <v>292</v>
      </c>
      <c r="J902" s="219">
        <v>44851</v>
      </c>
      <c r="K902" s="220" t="s">
        <v>237</v>
      </c>
      <c r="L902" s="220" t="s">
        <v>394</v>
      </c>
      <c r="M902" s="220" t="s">
        <v>1646</v>
      </c>
      <c r="N902" s="216" t="s">
        <v>35</v>
      </c>
      <c r="O902" s="221">
        <v>45108</v>
      </c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  <c r="AA902" s="222"/>
      <c r="AB902" s="222"/>
      <c r="AC902" s="222"/>
      <c r="AD902" s="222"/>
      <c r="AE902" s="222"/>
      <c r="AF902" s="222"/>
      <c r="AG902" s="222"/>
      <c r="AH902" s="222"/>
      <c r="AI902" s="222"/>
      <c r="AJ902" s="222"/>
      <c r="AK902" s="222"/>
      <c r="AL902" s="222"/>
      <c r="AM902" s="222"/>
      <c r="AN902" s="222"/>
      <c r="AO902" s="222"/>
      <c r="AP902" s="222"/>
      <c r="AQ902" s="222"/>
      <c r="AR902" s="222"/>
      <c r="AS902" s="222"/>
      <c r="AT902" s="222"/>
    </row>
    <row r="903" spans="1:46" ht="15.75" hidden="1" customHeight="1" x14ac:dyDescent="0.35">
      <c r="A903" s="223">
        <v>3</v>
      </c>
      <c r="B903" s="216" t="s">
        <v>89</v>
      </c>
      <c r="C903" s="216" t="s">
        <v>289</v>
      </c>
      <c r="D903" s="216" t="s">
        <v>290</v>
      </c>
      <c r="E903" s="216">
        <v>5</v>
      </c>
      <c r="F903" s="217">
        <v>41041</v>
      </c>
      <c r="G903" s="218" t="s">
        <v>1645</v>
      </c>
      <c r="H903" s="218">
        <v>4082293998</v>
      </c>
      <c r="I903" s="218" t="s">
        <v>292</v>
      </c>
      <c r="J903" s="219">
        <v>44851</v>
      </c>
      <c r="K903" s="220" t="s">
        <v>261</v>
      </c>
      <c r="L903" s="220" t="s">
        <v>183</v>
      </c>
      <c r="M903" s="220" t="s">
        <v>1585</v>
      </c>
      <c r="N903" s="216" t="s">
        <v>35</v>
      </c>
      <c r="O903" s="221">
        <v>45108</v>
      </c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  <c r="AA903" s="222"/>
      <c r="AB903" s="222"/>
      <c r="AC903" s="222"/>
      <c r="AD903" s="222"/>
      <c r="AE903" s="222"/>
      <c r="AF903" s="222"/>
      <c r="AG903" s="222"/>
      <c r="AH903" s="222"/>
      <c r="AI903" s="222"/>
      <c r="AJ903" s="222"/>
      <c r="AK903" s="222"/>
      <c r="AL903" s="222"/>
      <c r="AM903" s="222"/>
      <c r="AN903" s="222"/>
      <c r="AO903" s="222"/>
      <c r="AP903" s="222"/>
      <c r="AQ903" s="222"/>
      <c r="AR903" s="222"/>
      <c r="AS903" s="222"/>
      <c r="AT903" s="222"/>
    </row>
    <row r="904" spans="1:46" ht="15.75" hidden="1" customHeight="1" x14ac:dyDescent="0.35">
      <c r="A904" s="223">
        <v>4</v>
      </c>
      <c r="B904" s="216" t="s">
        <v>49</v>
      </c>
      <c r="C904" s="216" t="s">
        <v>358</v>
      </c>
      <c r="D904" s="216" t="s">
        <v>359</v>
      </c>
      <c r="E904" s="216">
        <v>5</v>
      </c>
      <c r="F904" s="217">
        <v>40833</v>
      </c>
      <c r="G904" s="218" t="s">
        <v>380</v>
      </c>
      <c r="H904" s="218">
        <v>9168657621</v>
      </c>
      <c r="I904" s="218" t="s">
        <v>381</v>
      </c>
      <c r="J904" s="219">
        <v>44516</v>
      </c>
      <c r="K904" s="220" t="s">
        <v>384</v>
      </c>
      <c r="L904" s="220" t="s">
        <v>140</v>
      </c>
      <c r="M904" s="220" t="s">
        <v>1647</v>
      </c>
      <c r="N904" s="216" t="s">
        <v>35</v>
      </c>
      <c r="O904" s="221">
        <v>45108</v>
      </c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  <c r="AA904" s="222"/>
      <c r="AB904" s="222"/>
      <c r="AC904" s="222"/>
      <c r="AD904" s="222"/>
      <c r="AE904" s="222"/>
      <c r="AF904" s="222"/>
      <c r="AG904" s="222"/>
      <c r="AH904" s="222"/>
      <c r="AI904" s="222"/>
      <c r="AJ904" s="222"/>
      <c r="AK904" s="222"/>
      <c r="AL904" s="222"/>
      <c r="AM904" s="222"/>
      <c r="AN904" s="222"/>
      <c r="AO904" s="222"/>
      <c r="AP904" s="222"/>
      <c r="AQ904" s="222"/>
      <c r="AR904" s="222"/>
      <c r="AS904" s="222"/>
      <c r="AT904" s="222"/>
    </row>
    <row r="905" spans="1:46" ht="15.75" hidden="1" customHeight="1" x14ac:dyDescent="0.35">
      <c r="A905" s="223">
        <v>5</v>
      </c>
      <c r="B905" s="216" t="s">
        <v>89</v>
      </c>
      <c r="C905" s="216" t="s">
        <v>358</v>
      </c>
      <c r="D905" s="216" t="s">
        <v>359</v>
      </c>
      <c r="E905" s="216">
        <v>5</v>
      </c>
      <c r="F905" s="217">
        <v>40833</v>
      </c>
      <c r="G905" s="218" t="s">
        <v>380</v>
      </c>
      <c r="H905" s="218">
        <v>9168657621</v>
      </c>
      <c r="I905" s="218" t="s">
        <v>381</v>
      </c>
      <c r="J905" s="219">
        <v>44516</v>
      </c>
      <c r="K905" s="220" t="s">
        <v>301</v>
      </c>
      <c r="L905" s="220" t="s">
        <v>133</v>
      </c>
      <c r="M905" s="220" t="s">
        <v>1647</v>
      </c>
      <c r="N905" s="216" t="s">
        <v>35</v>
      </c>
      <c r="O905" s="221">
        <v>45108</v>
      </c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  <c r="AA905" s="222"/>
      <c r="AB905" s="222"/>
      <c r="AC905" s="222"/>
      <c r="AD905" s="222"/>
      <c r="AE905" s="222"/>
      <c r="AF905" s="222"/>
      <c r="AG905" s="222"/>
      <c r="AH905" s="222"/>
      <c r="AI905" s="222"/>
      <c r="AJ905" s="222"/>
      <c r="AK905" s="222"/>
      <c r="AL905" s="222"/>
      <c r="AM905" s="222"/>
      <c r="AN905" s="222"/>
      <c r="AO905" s="222"/>
      <c r="AP905" s="222"/>
      <c r="AQ905" s="222"/>
      <c r="AR905" s="222"/>
      <c r="AS905" s="222"/>
      <c r="AT905" s="222"/>
    </row>
    <row r="906" spans="1:46" ht="15.75" hidden="1" customHeight="1" x14ac:dyDescent="0.35">
      <c r="A906" s="223">
        <v>6</v>
      </c>
      <c r="B906" s="216" t="s">
        <v>49</v>
      </c>
      <c r="C906" s="216" t="s">
        <v>313</v>
      </c>
      <c r="D906" s="216" t="s">
        <v>1405</v>
      </c>
      <c r="E906" s="216">
        <v>4</v>
      </c>
      <c r="F906" s="217">
        <v>41253</v>
      </c>
      <c r="G906" s="218" t="s">
        <v>1406</v>
      </c>
      <c r="H906" s="218">
        <v>4153956788</v>
      </c>
      <c r="I906" s="218" t="s">
        <v>1407</v>
      </c>
      <c r="J906" s="219">
        <v>44988</v>
      </c>
      <c r="K906" s="220" t="s">
        <v>212</v>
      </c>
      <c r="L906" s="220" t="s">
        <v>125</v>
      </c>
      <c r="M906" s="220" t="s">
        <v>1647</v>
      </c>
      <c r="N906" s="216" t="s">
        <v>35</v>
      </c>
      <c r="O906" s="221">
        <v>45108</v>
      </c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  <c r="AA906" s="222"/>
      <c r="AB906" s="222"/>
      <c r="AC906" s="222"/>
      <c r="AD906" s="222"/>
      <c r="AE906" s="222"/>
      <c r="AF906" s="222"/>
      <c r="AG906" s="222"/>
      <c r="AH906" s="222"/>
      <c r="AI906" s="222"/>
      <c r="AJ906" s="222"/>
      <c r="AK906" s="222"/>
      <c r="AL906" s="222"/>
      <c r="AM906" s="222"/>
      <c r="AN906" s="222"/>
      <c r="AO906" s="222"/>
      <c r="AP906" s="222"/>
      <c r="AQ906" s="222"/>
      <c r="AR906" s="222"/>
      <c r="AS906" s="222"/>
      <c r="AT906" s="222"/>
    </row>
    <row r="907" spans="1:46" ht="15.75" hidden="1" customHeight="1" x14ac:dyDescent="0.35">
      <c r="A907" s="223">
        <v>7</v>
      </c>
      <c r="B907" s="216" t="s">
        <v>89</v>
      </c>
      <c r="C907" s="216" t="s">
        <v>313</v>
      </c>
      <c r="D907" s="216" t="s">
        <v>1405</v>
      </c>
      <c r="E907" s="216">
        <v>4</v>
      </c>
      <c r="F907" s="217">
        <v>41253</v>
      </c>
      <c r="G907" s="218" t="s">
        <v>1406</v>
      </c>
      <c r="H907" s="218">
        <v>4153956788</v>
      </c>
      <c r="I907" s="218" t="s">
        <v>1407</v>
      </c>
      <c r="J907" s="219">
        <v>44988</v>
      </c>
      <c r="K907" s="220" t="s">
        <v>167</v>
      </c>
      <c r="L907" s="220" t="s">
        <v>162</v>
      </c>
      <c r="M907" s="220" t="s">
        <v>1647</v>
      </c>
      <c r="N907" s="216" t="s">
        <v>35</v>
      </c>
      <c r="O907" s="221">
        <v>45108</v>
      </c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  <c r="AA907" s="222"/>
      <c r="AB907" s="222"/>
      <c r="AC907" s="222"/>
      <c r="AD907" s="222"/>
      <c r="AE907" s="222"/>
      <c r="AF907" s="222"/>
      <c r="AG907" s="222"/>
      <c r="AH907" s="222"/>
      <c r="AI907" s="222"/>
      <c r="AJ907" s="222"/>
      <c r="AK907" s="222"/>
      <c r="AL907" s="222"/>
      <c r="AM907" s="222"/>
      <c r="AN907" s="222"/>
      <c r="AO907" s="222"/>
      <c r="AP907" s="222"/>
      <c r="AQ907" s="222"/>
      <c r="AR907" s="222"/>
      <c r="AS907" s="222"/>
      <c r="AT907" s="222"/>
    </row>
    <row r="908" spans="1:46" ht="15.75" hidden="1" customHeight="1" x14ac:dyDescent="0.35">
      <c r="A908" s="223">
        <v>8</v>
      </c>
      <c r="B908" s="216" t="s">
        <v>49</v>
      </c>
      <c r="C908" s="216" t="s">
        <v>302</v>
      </c>
      <c r="D908" s="216" t="s">
        <v>303</v>
      </c>
      <c r="E908" s="216" t="s">
        <v>180</v>
      </c>
      <c r="F908" s="217">
        <v>42270</v>
      </c>
      <c r="G908" s="218" t="s">
        <v>304</v>
      </c>
      <c r="H908" s="218">
        <v>14152727469</v>
      </c>
      <c r="I908" s="218" t="s">
        <v>305</v>
      </c>
      <c r="J908" s="219">
        <v>410047</v>
      </c>
      <c r="K908" s="220" t="s">
        <v>109</v>
      </c>
      <c r="L908" s="220" t="s">
        <v>282</v>
      </c>
      <c r="M908" s="220" t="s">
        <v>1648</v>
      </c>
      <c r="N908" s="216" t="s">
        <v>35</v>
      </c>
      <c r="O908" s="221">
        <v>45108</v>
      </c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  <c r="AA908" s="222"/>
      <c r="AB908" s="222"/>
      <c r="AC908" s="222"/>
      <c r="AD908" s="222"/>
      <c r="AE908" s="222"/>
      <c r="AF908" s="222"/>
      <c r="AG908" s="222"/>
      <c r="AH908" s="222"/>
      <c r="AI908" s="222"/>
      <c r="AJ908" s="222"/>
      <c r="AK908" s="222"/>
      <c r="AL908" s="222"/>
      <c r="AM908" s="222"/>
      <c r="AN908" s="222"/>
      <c r="AO908" s="222"/>
      <c r="AP908" s="222"/>
      <c r="AQ908" s="222"/>
      <c r="AR908" s="222"/>
      <c r="AS908" s="222"/>
      <c r="AT908" s="222"/>
    </row>
    <row r="909" spans="1:46" ht="15.75" hidden="1" customHeight="1" x14ac:dyDescent="0.35">
      <c r="A909" s="215">
        <v>9</v>
      </c>
      <c r="B909" s="216" t="s">
        <v>89</v>
      </c>
      <c r="C909" s="216" t="s">
        <v>302</v>
      </c>
      <c r="D909" s="216" t="s">
        <v>303</v>
      </c>
      <c r="E909" s="216" t="s">
        <v>180</v>
      </c>
      <c r="F909" s="217">
        <v>42270</v>
      </c>
      <c r="G909" s="218" t="s">
        <v>304</v>
      </c>
      <c r="H909" s="218">
        <v>14152727469</v>
      </c>
      <c r="I909" s="218" t="s">
        <v>305</v>
      </c>
      <c r="J909" s="219">
        <v>410047</v>
      </c>
      <c r="K909" s="220" t="s">
        <v>301</v>
      </c>
      <c r="L909" s="220" t="s">
        <v>231</v>
      </c>
      <c r="M909" s="220" t="s">
        <v>1648</v>
      </c>
      <c r="N909" s="216" t="s">
        <v>35</v>
      </c>
      <c r="O909" s="221">
        <v>45108</v>
      </c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  <c r="AA909" s="222"/>
      <c r="AB909" s="222"/>
      <c r="AC909" s="222"/>
      <c r="AD909" s="222"/>
      <c r="AE909" s="222"/>
      <c r="AF909" s="222"/>
      <c r="AG909" s="222"/>
      <c r="AH909" s="222"/>
      <c r="AI909" s="222"/>
      <c r="AJ909" s="222"/>
      <c r="AK909" s="222"/>
      <c r="AL909" s="222"/>
      <c r="AM909" s="222"/>
      <c r="AN909" s="222"/>
      <c r="AO909" s="222"/>
      <c r="AP909" s="222"/>
      <c r="AQ909" s="222"/>
      <c r="AR909" s="222"/>
      <c r="AS909" s="222"/>
      <c r="AT909" s="222"/>
    </row>
    <row r="910" spans="1:46" ht="15.75" hidden="1" customHeight="1" x14ac:dyDescent="0.35">
      <c r="A910" s="223">
        <v>10</v>
      </c>
      <c r="B910" s="216" t="s">
        <v>49</v>
      </c>
      <c r="C910" s="216" t="s">
        <v>437</v>
      </c>
      <c r="D910" s="216" t="s">
        <v>445</v>
      </c>
      <c r="E910" s="216">
        <v>1</v>
      </c>
      <c r="F910" s="217">
        <v>42608</v>
      </c>
      <c r="G910" s="218" t="s">
        <v>439</v>
      </c>
      <c r="H910" s="218">
        <v>3364303270</v>
      </c>
      <c r="I910" s="218" t="s">
        <v>440</v>
      </c>
      <c r="J910" s="219">
        <v>44805</v>
      </c>
      <c r="K910" s="220" t="s">
        <v>202</v>
      </c>
      <c r="L910" s="220" t="s">
        <v>640</v>
      </c>
      <c r="M910" s="220" t="s">
        <v>1644</v>
      </c>
      <c r="N910" s="216" t="s">
        <v>35</v>
      </c>
      <c r="O910" s="221">
        <v>45108</v>
      </c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  <c r="AA910" s="222"/>
      <c r="AB910" s="222"/>
      <c r="AC910" s="222"/>
      <c r="AD910" s="222"/>
      <c r="AE910" s="222"/>
      <c r="AF910" s="222"/>
      <c r="AG910" s="222"/>
      <c r="AH910" s="222"/>
      <c r="AI910" s="222"/>
      <c r="AJ910" s="222"/>
      <c r="AK910" s="222"/>
      <c r="AL910" s="222"/>
      <c r="AM910" s="222"/>
      <c r="AN910" s="222"/>
      <c r="AO910" s="222"/>
      <c r="AP910" s="222"/>
      <c r="AQ910" s="222"/>
      <c r="AR910" s="222"/>
      <c r="AS910" s="222"/>
      <c r="AT910" s="222"/>
    </row>
    <row r="911" spans="1:46" ht="15.75" hidden="1" customHeight="1" x14ac:dyDescent="0.35">
      <c r="A911" s="223">
        <v>11</v>
      </c>
      <c r="B911" s="216" t="s">
        <v>49</v>
      </c>
      <c r="C911" s="216" t="s">
        <v>252</v>
      </c>
      <c r="D911" s="216" t="s">
        <v>253</v>
      </c>
      <c r="E911" s="216">
        <v>5</v>
      </c>
      <c r="F911" s="217">
        <v>41060</v>
      </c>
      <c r="G911" s="218" t="s">
        <v>254</v>
      </c>
      <c r="H911" s="218">
        <v>5106299188</v>
      </c>
      <c r="I911" s="218" t="s">
        <v>255</v>
      </c>
      <c r="J911" s="219">
        <v>44977</v>
      </c>
      <c r="K911" s="220" t="s">
        <v>109</v>
      </c>
      <c r="L911" s="220" t="s">
        <v>162</v>
      </c>
      <c r="M911" s="220" t="s">
        <v>1649</v>
      </c>
      <c r="N911" s="216" t="s">
        <v>35</v>
      </c>
      <c r="O911" s="221">
        <v>45108</v>
      </c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  <c r="AA911" s="222"/>
      <c r="AB911" s="222"/>
      <c r="AC911" s="222"/>
      <c r="AD911" s="222"/>
      <c r="AE911" s="222"/>
      <c r="AF911" s="222"/>
      <c r="AG911" s="222"/>
      <c r="AH911" s="222"/>
      <c r="AI911" s="222"/>
      <c r="AJ911" s="222"/>
      <c r="AK911" s="222"/>
      <c r="AL911" s="222"/>
      <c r="AM911" s="222"/>
      <c r="AN911" s="222"/>
      <c r="AO911" s="222"/>
      <c r="AP911" s="222"/>
      <c r="AQ911" s="222"/>
      <c r="AR911" s="222"/>
      <c r="AS911" s="222"/>
      <c r="AT911" s="222"/>
    </row>
    <row r="912" spans="1:46" ht="15.75" hidden="1" customHeight="1" x14ac:dyDescent="0.35">
      <c r="A912" s="223">
        <v>12</v>
      </c>
      <c r="B912" s="216" t="s">
        <v>49</v>
      </c>
      <c r="C912" s="216" t="s">
        <v>252</v>
      </c>
      <c r="D912" s="216" t="s">
        <v>245</v>
      </c>
      <c r="E912" s="216">
        <v>2</v>
      </c>
      <c r="F912" s="217">
        <v>42102</v>
      </c>
      <c r="G912" s="218" t="s">
        <v>254</v>
      </c>
      <c r="H912" s="218">
        <v>5106299188</v>
      </c>
      <c r="I912" s="218" t="s">
        <v>255</v>
      </c>
      <c r="J912" s="219">
        <v>44977</v>
      </c>
      <c r="K912" s="220" t="s">
        <v>112</v>
      </c>
      <c r="L912" s="220" t="s">
        <v>939</v>
      </c>
      <c r="M912" s="220" t="s">
        <v>1649</v>
      </c>
      <c r="N912" s="216" t="s">
        <v>35</v>
      </c>
      <c r="O912" s="221">
        <v>45108</v>
      </c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  <c r="AA912" s="222"/>
      <c r="AB912" s="222"/>
      <c r="AC912" s="222"/>
      <c r="AD912" s="222"/>
      <c r="AE912" s="222"/>
      <c r="AF912" s="222"/>
      <c r="AG912" s="222"/>
      <c r="AH912" s="222"/>
      <c r="AI912" s="222"/>
      <c r="AJ912" s="222"/>
      <c r="AK912" s="222"/>
      <c r="AL912" s="222"/>
      <c r="AM912" s="222"/>
      <c r="AN912" s="222"/>
      <c r="AO912" s="222"/>
      <c r="AP912" s="222"/>
      <c r="AQ912" s="222"/>
      <c r="AR912" s="222"/>
      <c r="AS912" s="222"/>
      <c r="AT912" s="222"/>
    </row>
    <row r="913" spans="1:46" ht="15.75" hidden="1" customHeight="1" x14ac:dyDescent="0.35">
      <c r="A913" s="224">
        <v>13</v>
      </c>
      <c r="B913" s="225" t="s">
        <v>49</v>
      </c>
      <c r="C913" s="225" t="s">
        <v>1495</v>
      </c>
      <c r="D913" s="225" t="s">
        <v>1496</v>
      </c>
      <c r="E913" s="225">
        <v>6</v>
      </c>
      <c r="F913" s="226">
        <v>40646</v>
      </c>
      <c r="G913" s="227" t="s">
        <v>1650</v>
      </c>
      <c r="H913" s="227">
        <v>9254348068</v>
      </c>
      <c r="I913" s="227" t="s">
        <v>1498</v>
      </c>
      <c r="J913" s="228">
        <v>44973</v>
      </c>
      <c r="K913" s="229" t="s">
        <v>161</v>
      </c>
      <c r="L913" s="229" t="s">
        <v>215</v>
      </c>
      <c r="M913" s="229"/>
      <c r="N913" s="225" t="s">
        <v>35</v>
      </c>
      <c r="O913" s="176">
        <v>45108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5.75" hidden="1" customHeight="1" x14ac:dyDescent="0.35">
      <c r="A914" s="224">
        <v>14</v>
      </c>
      <c r="B914" s="225" t="s">
        <v>49</v>
      </c>
      <c r="C914" s="225" t="s">
        <v>1495</v>
      </c>
      <c r="D914" s="225" t="s">
        <v>1500</v>
      </c>
      <c r="E914" s="225" t="s">
        <v>180</v>
      </c>
      <c r="F914" s="226">
        <v>40646</v>
      </c>
      <c r="G914" s="227" t="s">
        <v>1650</v>
      </c>
      <c r="H914" s="227">
        <v>9254348068</v>
      </c>
      <c r="I914" s="227" t="s">
        <v>1498</v>
      </c>
      <c r="J914" s="228">
        <v>44973</v>
      </c>
      <c r="K914" s="229" t="s">
        <v>161</v>
      </c>
      <c r="L914" s="229" t="s">
        <v>325</v>
      </c>
      <c r="M914" s="229"/>
      <c r="N914" s="225" t="s">
        <v>35</v>
      </c>
      <c r="O914" s="176">
        <v>45108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5.75" hidden="1" customHeight="1" x14ac:dyDescent="0.35">
      <c r="A915" s="224">
        <v>15</v>
      </c>
      <c r="B915" s="225" t="s">
        <v>49</v>
      </c>
      <c r="C915" s="225" t="s">
        <v>174</v>
      </c>
      <c r="D915" s="225" t="s">
        <v>1651</v>
      </c>
      <c r="E915" s="225" t="s">
        <v>180</v>
      </c>
      <c r="F915" s="226">
        <v>42736</v>
      </c>
      <c r="G915" s="227" t="s">
        <v>1536</v>
      </c>
      <c r="H915" s="227" t="s">
        <v>1537</v>
      </c>
      <c r="I915" s="227" t="s">
        <v>1538</v>
      </c>
      <c r="J915" s="228">
        <v>44882</v>
      </c>
      <c r="K915" s="229" t="s">
        <v>691</v>
      </c>
      <c r="L915" s="229" t="s">
        <v>232</v>
      </c>
      <c r="M915" s="229" t="s">
        <v>1652</v>
      </c>
      <c r="N915" s="225" t="s">
        <v>35</v>
      </c>
      <c r="O915" s="176">
        <v>45108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5.75" hidden="1" customHeight="1" x14ac:dyDescent="0.35">
      <c r="A916" s="224">
        <v>16</v>
      </c>
      <c r="B916" s="225" t="s">
        <v>49</v>
      </c>
      <c r="C916" s="225" t="s">
        <v>1653</v>
      </c>
      <c r="D916" s="225" t="s">
        <v>1654</v>
      </c>
      <c r="E916" s="225">
        <v>4</v>
      </c>
      <c r="F916" s="226">
        <v>41074</v>
      </c>
      <c r="G916" s="227" t="s">
        <v>1655</v>
      </c>
      <c r="H916" s="227" t="s">
        <v>1656</v>
      </c>
      <c r="I916" s="227" t="s">
        <v>1657</v>
      </c>
      <c r="J916" s="228">
        <v>44728</v>
      </c>
      <c r="K916" s="229" t="s">
        <v>155</v>
      </c>
      <c r="L916" s="229" t="s">
        <v>276</v>
      </c>
      <c r="M916" s="229" t="s">
        <v>1174</v>
      </c>
      <c r="N916" s="225" t="s">
        <v>35</v>
      </c>
      <c r="O916" s="176">
        <v>45108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5.75" hidden="1" customHeight="1" x14ac:dyDescent="0.35">
      <c r="A917" s="230">
        <v>17</v>
      </c>
      <c r="B917" s="225" t="s">
        <v>89</v>
      </c>
      <c r="C917" s="225" t="s">
        <v>1653</v>
      </c>
      <c r="D917" s="225" t="s">
        <v>1654</v>
      </c>
      <c r="E917" s="225">
        <v>4</v>
      </c>
      <c r="F917" s="226">
        <v>41074</v>
      </c>
      <c r="G917" s="227" t="s">
        <v>1655</v>
      </c>
      <c r="H917" s="227" t="s">
        <v>1656</v>
      </c>
      <c r="I917" s="227" t="s">
        <v>1657</v>
      </c>
      <c r="J917" s="228">
        <v>44531</v>
      </c>
      <c r="K917" s="229" t="s">
        <v>212</v>
      </c>
      <c r="L917" s="231">
        <v>110</v>
      </c>
      <c r="M917" s="229" t="s">
        <v>1174</v>
      </c>
      <c r="N917" s="225" t="s">
        <v>35</v>
      </c>
      <c r="O917" s="176">
        <v>45108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5.75" hidden="1" customHeight="1" x14ac:dyDescent="0.35">
      <c r="A918" s="224">
        <v>18</v>
      </c>
      <c r="B918" s="225" t="s">
        <v>49</v>
      </c>
      <c r="C918" s="225" t="s">
        <v>1658</v>
      </c>
      <c r="D918" s="225" t="s">
        <v>1659</v>
      </c>
      <c r="E918" s="225">
        <v>7</v>
      </c>
      <c r="F918" s="226">
        <v>41733</v>
      </c>
      <c r="G918" s="227" t="s">
        <v>1660</v>
      </c>
      <c r="H918" s="227">
        <v>4085975497</v>
      </c>
      <c r="I918" s="227" t="s">
        <v>1661</v>
      </c>
      <c r="J918" s="228">
        <v>45096</v>
      </c>
      <c r="K918" s="229" t="s">
        <v>161</v>
      </c>
      <c r="L918" s="229" t="s">
        <v>178</v>
      </c>
      <c r="M918" s="229"/>
      <c r="N918" s="225" t="s">
        <v>35</v>
      </c>
      <c r="O918" s="176">
        <v>45108</v>
      </c>
      <c r="P918" s="2"/>
      <c r="Q918" s="134">
        <f>771-217+1+189+295</f>
        <v>1039</v>
      </c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5.75" hidden="1" customHeight="1" x14ac:dyDescent="0.35">
      <c r="A919" s="224">
        <v>19</v>
      </c>
      <c r="B919" s="225" t="s">
        <v>89</v>
      </c>
      <c r="C919" s="225" t="s">
        <v>1658</v>
      </c>
      <c r="D919" s="225" t="s">
        <v>1659</v>
      </c>
      <c r="E919" s="225">
        <v>7</v>
      </c>
      <c r="F919" s="226">
        <v>41733</v>
      </c>
      <c r="G919" s="227" t="s">
        <v>1660</v>
      </c>
      <c r="H919" s="227">
        <v>4085975497</v>
      </c>
      <c r="I919" s="227" t="s">
        <v>1661</v>
      </c>
      <c r="J919" s="228">
        <v>45096</v>
      </c>
      <c r="K919" s="229" t="s">
        <v>120</v>
      </c>
      <c r="L919" s="229" t="s">
        <v>156</v>
      </c>
      <c r="M919" s="229"/>
      <c r="N919" s="225" t="s">
        <v>35</v>
      </c>
      <c r="O919" s="176">
        <v>45108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5.75" hidden="1" customHeight="1" x14ac:dyDescent="0.35">
      <c r="A920" s="224">
        <v>20</v>
      </c>
      <c r="B920" s="225" t="s">
        <v>49</v>
      </c>
      <c r="C920" s="225" t="s">
        <v>1115</v>
      </c>
      <c r="D920" s="225" t="s">
        <v>1116</v>
      </c>
      <c r="E920" s="225">
        <v>6</v>
      </c>
      <c r="F920" s="226">
        <v>41663</v>
      </c>
      <c r="G920" s="227" t="s">
        <v>1662</v>
      </c>
      <c r="H920" s="227">
        <v>6503390856</v>
      </c>
      <c r="I920" s="227" t="s">
        <v>1118</v>
      </c>
      <c r="J920" s="228">
        <v>44795</v>
      </c>
      <c r="K920" s="229" t="s">
        <v>417</v>
      </c>
      <c r="L920" s="229" t="s">
        <v>215</v>
      </c>
      <c r="M920" s="229"/>
      <c r="N920" s="225" t="s">
        <v>35</v>
      </c>
      <c r="O920" s="176">
        <v>45108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5.75" hidden="1" customHeight="1" x14ac:dyDescent="0.35">
      <c r="A921" s="224">
        <v>21</v>
      </c>
      <c r="B921" s="225" t="s">
        <v>89</v>
      </c>
      <c r="C921" s="225" t="s">
        <v>1115</v>
      </c>
      <c r="D921" s="225" t="s">
        <v>1116</v>
      </c>
      <c r="E921" s="225">
        <v>6</v>
      </c>
      <c r="F921" s="226">
        <v>41663</v>
      </c>
      <c r="G921" s="227" t="s">
        <v>1662</v>
      </c>
      <c r="H921" s="227">
        <v>6503390856</v>
      </c>
      <c r="I921" s="227" t="s">
        <v>1118</v>
      </c>
      <c r="J921" s="228">
        <v>44795</v>
      </c>
      <c r="K921" s="229" t="s">
        <v>261</v>
      </c>
      <c r="L921" s="229" t="s">
        <v>178</v>
      </c>
      <c r="M921" s="229"/>
      <c r="N921" s="225" t="s">
        <v>35</v>
      </c>
      <c r="O921" s="176">
        <v>45108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5.75" hidden="1" customHeight="1" x14ac:dyDescent="0.35">
      <c r="A922" s="223">
        <v>22</v>
      </c>
      <c r="B922" s="216" t="s">
        <v>49</v>
      </c>
      <c r="C922" s="216" t="s">
        <v>313</v>
      </c>
      <c r="D922" s="216" t="s">
        <v>544</v>
      </c>
      <c r="E922" s="216">
        <v>2</v>
      </c>
      <c r="F922" s="217">
        <v>41875</v>
      </c>
      <c r="G922" s="218" t="s">
        <v>1406</v>
      </c>
      <c r="H922" s="218">
        <v>4153956788</v>
      </c>
      <c r="I922" s="218" t="s">
        <v>1407</v>
      </c>
      <c r="J922" s="219">
        <v>44988</v>
      </c>
      <c r="K922" s="220" t="s">
        <v>161</v>
      </c>
      <c r="L922" s="220" t="s">
        <v>131</v>
      </c>
      <c r="M922" s="220"/>
      <c r="N922" s="216" t="s">
        <v>35</v>
      </c>
      <c r="O922" s="221">
        <v>45108</v>
      </c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  <c r="AA922" s="222"/>
      <c r="AB922" s="222"/>
      <c r="AC922" s="222"/>
      <c r="AD922" s="222"/>
      <c r="AE922" s="222"/>
      <c r="AF922" s="222"/>
      <c r="AG922" s="222"/>
      <c r="AH922" s="222"/>
      <c r="AI922" s="222"/>
      <c r="AJ922" s="222"/>
      <c r="AK922" s="222"/>
      <c r="AL922" s="222"/>
      <c r="AM922" s="222"/>
      <c r="AN922" s="222"/>
      <c r="AO922" s="222"/>
      <c r="AP922" s="222"/>
      <c r="AQ922" s="222"/>
      <c r="AR922" s="222"/>
      <c r="AS922" s="222"/>
      <c r="AT922" s="222"/>
    </row>
    <row r="923" spans="1:46" ht="15.75" hidden="1" customHeight="1" x14ac:dyDescent="0.35">
      <c r="A923" s="223">
        <v>23</v>
      </c>
      <c r="B923" s="216" t="s">
        <v>89</v>
      </c>
      <c r="C923" s="216" t="s">
        <v>313</v>
      </c>
      <c r="D923" s="216" t="s">
        <v>544</v>
      </c>
      <c r="E923" s="216">
        <v>2</v>
      </c>
      <c r="F923" s="217">
        <v>41875</v>
      </c>
      <c r="G923" s="218" t="s">
        <v>1406</v>
      </c>
      <c r="H923" s="218">
        <v>4153956788</v>
      </c>
      <c r="I923" s="218" t="s">
        <v>1407</v>
      </c>
      <c r="J923" s="219">
        <v>44988</v>
      </c>
      <c r="K923" s="220" t="s">
        <v>132</v>
      </c>
      <c r="L923" s="220" t="s">
        <v>121</v>
      </c>
      <c r="M923" s="220"/>
      <c r="N923" s="216" t="s">
        <v>35</v>
      </c>
      <c r="O923" s="221">
        <v>45108</v>
      </c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  <c r="AA923" s="222"/>
      <c r="AB923" s="222"/>
      <c r="AC923" s="222"/>
      <c r="AD923" s="222"/>
      <c r="AE923" s="222"/>
      <c r="AF923" s="222"/>
      <c r="AG923" s="222"/>
      <c r="AH923" s="222"/>
      <c r="AI923" s="222"/>
      <c r="AJ923" s="222"/>
      <c r="AK923" s="222"/>
      <c r="AL923" s="222"/>
      <c r="AM923" s="222"/>
      <c r="AN923" s="222"/>
      <c r="AO923" s="222"/>
      <c r="AP923" s="222"/>
      <c r="AQ923" s="222"/>
      <c r="AR923" s="222"/>
      <c r="AS923" s="222"/>
      <c r="AT923" s="222"/>
    </row>
    <row r="924" spans="1:46" ht="15.75" hidden="1" customHeight="1" x14ac:dyDescent="0.35">
      <c r="A924" s="224">
        <v>24</v>
      </c>
      <c r="B924" s="225" t="s">
        <v>49</v>
      </c>
      <c r="C924" s="225" t="s">
        <v>1115</v>
      </c>
      <c r="D924" s="225" t="s">
        <v>1120</v>
      </c>
      <c r="E924" s="225">
        <v>3</v>
      </c>
      <c r="F924" s="226">
        <v>41663</v>
      </c>
      <c r="G924" s="227" t="s">
        <v>1662</v>
      </c>
      <c r="H924" s="227">
        <v>6503390856</v>
      </c>
      <c r="I924" s="227" t="s">
        <v>1118</v>
      </c>
      <c r="J924" s="228">
        <v>44718</v>
      </c>
      <c r="K924" s="229" t="s">
        <v>153</v>
      </c>
      <c r="L924" s="229" t="s">
        <v>133</v>
      </c>
      <c r="M924" s="229"/>
      <c r="N924" s="225" t="s">
        <v>35</v>
      </c>
      <c r="O924" s="176">
        <v>45108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5.75" hidden="1" customHeight="1" x14ac:dyDescent="0.35">
      <c r="A925" s="230">
        <v>25</v>
      </c>
      <c r="B925" s="225" t="s">
        <v>89</v>
      </c>
      <c r="C925" s="225" t="s">
        <v>1115</v>
      </c>
      <c r="D925" s="225" t="s">
        <v>1120</v>
      </c>
      <c r="E925" s="225">
        <v>3</v>
      </c>
      <c r="F925" s="226">
        <v>41663</v>
      </c>
      <c r="G925" s="227" t="s">
        <v>1662</v>
      </c>
      <c r="H925" s="227">
        <v>6503390856</v>
      </c>
      <c r="I925" s="227" t="s">
        <v>1118</v>
      </c>
      <c r="J925" s="228">
        <v>44718</v>
      </c>
      <c r="K925" s="229" t="s">
        <v>301</v>
      </c>
      <c r="L925" s="229" t="s">
        <v>224</v>
      </c>
      <c r="M925" s="229"/>
      <c r="N925" s="225" t="s">
        <v>35</v>
      </c>
      <c r="O925" s="176">
        <v>45108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5.75" hidden="1" customHeight="1" x14ac:dyDescent="0.35">
      <c r="A926" s="224">
        <v>26</v>
      </c>
      <c r="B926" s="225" t="s">
        <v>49</v>
      </c>
      <c r="C926" s="225" t="s">
        <v>1470</v>
      </c>
      <c r="D926" s="225" t="s">
        <v>1663</v>
      </c>
      <c r="E926" s="225" t="s">
        <v>180</v>
      </c>
      <c r="F926" s="226">
        <v>42829</v>
      </c>
      <c r="G926" s="227" t="s">
        <v>1472</v>
      </c>
      <c r="H926" s="227">
        <v>3473220327</v>
      </c>
      <c r="I926" s="227" t="s">
        <v>1473</v>
      </c>
      <c r="J926" s="228">
        <v>44732</v>
      </c>
      <c r="K926" s="229" t="s">
        <v>490</v>
      </c>
      <c r="L926" s="229" t="s">
        <v>121</v>
      </c>
      <c r="M926" s="229" t="s">
        <v>1664</v>
      </c>
      <c r="N926" s="225" t="s">
        <v>35</v>
      </c>
      <c r="O926" s="176">
        <v>45108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5.75" hidden="1" customHeight="1" x14ac:dyDescent="0.35">
      <c r="A927" s="224">
        <v>27</v>
      </c>
      <c r="B927" s="225" t="s">
        <v>89</v>
      </c>
      <c r="C927" s="225" t="s">
        <v>1470</v>
      </c>
      <c r="D927" s="225" t="s">
        <v>1663</v>
      </c>
      <c r="E927" s="225" t="s">
        <v>180</v>
      </c>
      <c r="F927" s="226">
        <v>42829</v>
      </c>
      <c r="G927" s="227" t="s">
        <v>1472</v>
      </c>
      <c r="H927" s="227">
        <v>3473220327</v>
      </c>
      <c r="I927" s="227" t="s">
        <v>1473</v>
      </c>
      <c r="J927" s="228">
        <v>44732</v>
      </c>
      <c r="K927" s="229" t="s">
        <v>171</v>
      </c>
      <c r="L927" s="229" t="s">
        <v>288</v>
      </c>
      <c r="M927" s="229" t="s">
        <v>1664</v>
      </c>
      <c r="N927" s="225" t="s">
        <v>35</v>
      </c>
      <c r="O927" s="176">
        <v>45108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5.75" hidden="1" customHeight="1" x14ac:dyDescent="0.35">
      <c r="A928" s="224">
        <v>28</v>
      </c>
      <c r="B928" s="225" t="s">
        <v>49</v>
      </c>
      <c r="C928" s="225" t="s">
        <v>1513</v>
      </c>
      <c r="D928" s="225" t="s">
        <v>1514</v>
      </c>
      <c r="E928" s="225">
        <v>4</v>
      </c>
      <c r="F928" s="226">
        <v>41616</v>
      </c>
      <c r="G928" s="227" t="s">
        <v>1665</v>
      </c>
      <c r="H928" s="227">
        <v>5106761325</v>
      </c>
      <c r="I928" s="227" t="s">
        <v>1516</v>
      </c>
      <c r="J928" s="228">
        <v>44985</v>
      </c>
      <c r="K928" s="229" t="s">
        <v>202</v>
      </c>
      <c r="L928" s="229" t="s">
        <v>162</v>
      </c>
      <c r="M928" s="229"/>
      <c r="N928" s="225" t="s">
        <v>35</v>
      </c>
      <c r="O928" s="176">
        <v>45108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ht="15.75" hidden="1" customHeight="1" x14ac:dyDescent="0.35">
      <c r="A929" s="224">
        <v>29</v>
      </c>
      <c r="B929" s="225" t="s">
        <v>89</v>
      </c>
      <c r="C929" s="225" t="s">
        <v>1513</v>
      </c>
      <c r="D929" s="225" t="s">
        <v>1514</v>
      </c>
      <c r="E929" s="225">
        <v>4</v>
      </c>
      <c r="F929" s="226">
        <v>41616</v>
      </c>
      <c r="G929" s="227" t="s">
        <v>1665</v>
      </c>
      <c r="H929" s="227">
        <v>5106761325</v>
      </c>
      <c r="I929" s="227" t="s">
        <v>1516</v>
      </c>
      <c r="J929" s="228">
        <v>44985</v>
      </c>
      <c r="K929" s="229" t="s">
        <v>120</v>
      </c>
      <c r="L929" s="229" t="s">
        <v>178</v>
      </c>
      <c r="M929" s="229"/>
      <c r="N929" s="225" t="s">
        <v>35</v>
      </c>
      <c r="O929" s="176">
        <v>45108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5.75" customHeight="1" x14ac:dyDescent="0.35">
      <c r="A930" s="216">
        <v>1</v>
      </c>
      <c r="B930" s="232" t="s">
        <v>49</v>
      </c>
      <c r="C930" s="232" t="s">
        <v>134</v>
      </c>
      <c r="D930" s="232" t="s">
        <v>135</v>
      </c>
      <c r="E930" s="232">
        <v>5</v>
      </c>
      <c r="F930" s="233">
        <v>41393</v>
      </c>
      <c r="G930" s="234" t="s">
        <v>136</v>
      </c>
      <c r="H930" s="234" t="s">
        <v>137</v>
      </c>
      <c r="I930" s="234" t="s">
        <v>138</v>
      </c>
      <c r="J930" s="235">
        <v>45098</v>
      </c>
      <c r="K930" s="232" t="s">
        <v>130</v>
      </c>
      <c r="L930" s="232" t="s">
        <v>154</v>
      </c>
      <c r="M930" s="232" t="s">
        <v>1666</v>
      </c>
      <c r="N930" s="232" t="s">
        <v>35</v>
      </c>
      <c r="O930" s="236">
        <v>45139</v>
      </c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  <c r="AA930" s="222"/>
      <c r="AB930" s="222"/>
      <c r="AC930" s="222"/>
      <c r="AD930" s="222"/>
      <c r="AE930" s="222"/>
      <c r="AF930" s="222"/>
      <c r="AG930" s="222"/>
      <c r="AH930" s="222"/>
      <c r="AI930" s="222"/>
      <c r="AJ930" s="222"/>
      <c r="AK930" s="222"/>
      <c r="AL930" s="222"/>
      <c r="AM930" s="222"/>
      <c r="AN930" s="222"/>
      <c r="AO930" s="222"/>
      <c r="AP930" s="222"/>
      <c r="AQ930" s="222"/>
      <c r="AR930" s="222"/>
      <c r="AS930" s="222"/>
      <c r="AT930" s="222"/>
    </row>
    <row r="931" spans="1:46" ht="15.75" customHeight="1" x14ac:dyDescent="0.35">
      <c r="A931" s="216">
        <v>2</v>
      </c>
      <c r="B931" s="216" t="s">
        <v>89</v>
      </c>
      <c r="C931" s="216" t="s">
        <v>134</v>
      </c>
      <c r="D931" s="216" t="s">
        <v>135</v>
      </c>
      <c r="E931" s="216">
        <v>5</v>
      </c>
      <c r="F931" s="217">
        <v>41393</v>
      </c>
      <c r="G931" s="218" t="s">
        <v>136</v>
      </c>
      <c r="H931" s="218" t="s">
        <v>137</v>
      </c>
      <c r="I931" s="218" t="s">
        <v>138</v>
      </c>
      <c r="J931" s="219">
        <v>45098</v>
      </c>
      <c r="K931" s="216" t="s">
        <v>132</v>
      </c>
      <c r="L931" s="216" t="s">
        <v>283</v>
      </c>
      <c r="M931" s="216" t="s">
        <v>1666</v>
      </c>
      <c r="N931" s="216" t="s">
        <v>35</v>
      </c>
      <c r="O931" s="237">
        <v>45139</v>
      </c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  <c r="AA931" s="222"/>
      <c r="AB931" s="222"/>
      <c r="AC931" s="222"/>
      <c r="AD931" s="222"/>
      <c r="AE931" s="222"/>
      <c r="AF931" s="222"/>
      <c r="AG931" s="222"/>
      <c r="AH931" s="222"/>
      <c r="AI931" s="222"/>
      <c r="AJ931" s="222"/>
      <c r="AK931" s="222"/>
      <c r="AL931" s="222"/>
      <c r="AM931" s="222"/>
      <c r="AN931" s="222"/>
      <c r="AO931" s="222"/>
      <c r="AP931" s="222"/>
      <c r="AQ931" s="222"/>
      <c r="AR931" s="222"/>
      <c r="AS931" s="222"/>
      <c r="AT931" s="222"/>
    </row>
    <row r="932" spans="1:46" ht="15.75" customHeight="1" x14ac:dyDescent="0.35">
      <c r="A932" s="238">
        <v>3</v>
      </c>
      <c r="B932" s="238" t="s">
        <v>49</v>
      </c>
      <c r="C932" s="238" t="s">
        <v>134</v>
      </c>
      <c r="D932" s="238" t="s">
        <v>1667</v>
      </c>
      <c r="E932" s="238">
        <v>7</v>
      </c>
      <c r="F932" s="239">
        <v>39858</v>
      </c>
      <c r="G932" s="240" t="s">
        <v>1668</v>
      </c>
      <c r="H932" s="240">
        <v>5107883613</v>
      </c>
      <c r="I932" s="240" t="s">
        <v>1669</v>
      </c>
      <c r="J932" s="241">
        <v>44531</v>
      </c>
      <c r="K932" s="238" t="s">
        <v>264</v>
      </c>
      <c r="L932" s="238" t="s">
        <v>288</v>
      </c>
      <c r="M932" s="238" t="s">
        <v>1666</v>
      </c>
      <c r="N932" s="238" t="s">
        <v>35</v>
      </c>
      <c r="O932" s="242">
        <v>45139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5.75" customHeight="1" x14ac:dyDescent="0.35">
      <c r="A933" s="238">
        <v>4</v>
      </c>
      <c r="B933" s="238" t="s">
        <v>89</v>
      </c>
      <c r="C933" s="238" t="s">
        <v>134</v>
      </c>
      <c r="D933" s="238" t="s">
        <v>1667</v>
      </c>
      <c r="E933" s="238">
        <v>7</v>
      </c>
      <c r="F933" s="239">
        <v>39858</v>
      </c>
      <c r="G933" s="240" t="s">
        <v>1668</v>
      </c>
      <c r="H933" s="240">
        <v>5107883613</v>
      </c>
      <c r="I933" s="240" t="s">
        <v>1669</v>
      </c>
      <c r="J933" s="241">
        <v>44531</v>
      </c>
      <c r="K933" s="238" t="s">
        <v>324</v>
      </c>
      <c r="L933" s="238" t="s">
        <v>162</v>
      </c>
      <c r="M933" s="238" t="s">
        <v>1666</v>
      </c>
      <c r="N933" s="238" t="s">
        <v>35</v>
      </c>
      <c r="O933" s="242">
        <v>45139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ht="15.75" customHeight="1" x14ac:dyDescent="0.35">
      <c r="A934" s="216">
        <v>5</v>
      </c>
      <c r="B934" s="216" t="s">
        <v>49</v>
      </c>
      <c r="C934" s="216" t="s">
        <v>134</v>
      </c>
      <c r="D934" s="216" t="s">
        <v>1670</v>
      </c>
      <c r="E934" s="216">
        <v>3</v>
      </c>
      <c r="F934" s="217">
        <v>41514</v>
      </c>
      <c r="G934" s="218" t="s">
        <v>1668</v>
      </c>
      <c r="H934" s="218">
        <v>5107883613</v>
      </c>
      <c r="I934" s="218" t="s">
        <v>1669</v>
      </c>
      <c r="J934" s="219">
        <v>44531</v>
      </c>
      <c r="K934" s="216" t="s">
        <v>256</v>
      </c>
      <c r="L934" s="216" t="s">
        <v>140</v>
      </c>
      <c r="M934" s="216" t="s">
        <v>1666</v>
      </c>
      <c r="N934" s="216" t="s">
        <v>35</v>
      </c>
      <c r="O934" s="237">
        <v>45139</v>
      </c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  <c r="AA934" s="222"/>
      <c r="AB934" s="222"/>
      <c r="AC934" s="222"/>
      <c r="AD934" s="222"/>
      <c r="AE934" s="222"/>
      <c r="AF934" s="222"/>
      <c r="AG934" s="222"/>
      <c r="AH934" s="222"/>
      <c r="AI934" s="222"/>
      <c r="AJ934" s="222"/>
      <c r="AK934" s="222"/>
      <c r="AL934" s="222"/>
      <c r="AM934" s="222"/>
      <c r="AN934" s="222"/>
      <c r="AO934" s="222"/>
      <c r="AP934" s="222"/>
      <c r="AQ934" s="222"/>
      <c r="AR934" s="222"/>
      <c r="AS934" s="222"/>
      <c r="AT934" s="222"/>
    </row>
    <row r="935" spans="1:46" ht="15.75" customHeight="1" x14ac:dyDescent="0.35">
      <c r="A935" s="216">
        <v>6</v>
      </c>
      <c r="B935" s="216" t="s">
        <v>89</v>
      </c>
      <c r="C935" s="216" t="s">
        <v>134</v>
      </c>
      <c r="D935" s="216" t="s">
        <v>1670</v>
      </c>
      <c r="E935" s="216">
        <v>3</v>
      </c>
      <c r="F935" s="217">
        <v>41514</v>
      </c>
      <c r="G935" s="218" t="s">
        <v>1668</v>
      </c>
      <c r="H935" s="218">
        <v>5107883613</v>
      </c>
      <c r="I935" s="218" t="s">
        <v>1669</v>
      </c>
      <c r="J935" s="219">
        <v>44531</v>
      </c>
      <c r="K935" s="216" t="s">
        <v>155</v>
      </c>
      <c r="L935" s="216" t="s">
        <v>165</v>
      </c>
      <c r="M935" s="216" t="s">
        <v>1666</v>
      </c>
      <c r="N935" s="216" t="s">
        <v>35</v>
      </c>
      <c r="O935" s="237">
        <v>45139</v>
      </c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  <c r="AA935" s="222"/>
      <c r="AB935" s="222"/>
      <c r="AC935" s="222"/>
      <c r="AD935" s="222"/>
      <c r="AE935" s="222"/>
      <c r="AF935" s="222"/>
      <c r="AG935" s="222"/>
      <c r="AH935" s="222"/>
      <c r="AI935" s="222"/>
      <c r="AJ935" s="222"/>
      <c r="AK935" s="222"/>
      <c r="AL935" s="222"/>
      <c r="AM935" s="222"/>
      <c r="AN935" s="222"/>
      <c r="AO935" s="222"/>
      <c r="AP935" s="222"/>
      <c r="AQ935" s="222"/>
      <c r="AR935" s="222"/>
      <c r="AS935" s="222"/>
      <c r="AT935" s="222"/>
    </row>
    <row r="936" spans="1:46" ht="15.75" customHeight="1" x14ac:dyDescent="0.35">
      <c r="A936" s="238">
        <v>7</v>
      </c>
      <c r="B936" s="238" t="s">
        <v>49</v>
      </c>
      <c r="C936" s="238" t="s">
        <v>1294</v>
      </c>
      <c r="D936" s="238" t="s">
        <v>1295</v>
      </c>
      <c r="E936" s="238">
        <v>7</v>
      </c>
      <c r="F936" s="239">
        <v>42901</v>
      </c>
      <c r="G936" s="240" t="s">
        <v>1671</v>
      </c>
      <c r="H936" s="240">
        <v>5109998899</v>
      </c>
      <c r="I936" s="240" t="s">
        <v>1297</v>
      </c>
      <c r="J936" s="241">
        <v>44729</v>
      </c>
      <c r="K936" s="238" t="s">
        <v>490</v>
      </c>
      <c r="L936" s="238" t="s">
        <v>754</v>
      </c>
      <c r="M936" s="238" t="s">
        <v>1672</v>
      </c>
      <c r="N936" s="238" t="s">
        <v>35</v>
      </c>
      <c r="O936" s="242">
        <v>45139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ht="15.75" customHeight="1" x14ac:dyDescent="0.35">
      <c r="A937" s="238">
        <v>8</v>
      </c>
      <c r="B937" s="238" t="s">
        <v>89</v>
      </c>
      <c r="C937" s="238" t="s">
        <v>1294</v>
      </c>
      <c r="D937" s="238" t="s">
        <v>1295</v>
      </c>
      <c r="E937" s="238">
        <v>7</v>
      </c>
      <c r="F937" s="239">
        <v>42901</v>
      </c>
      <c r="G937" s="240" t="s">
        <v>1671</v>
      </c>
      <c r="H937" s="240">
        <v>5109998899</v>
      </c>
      <c r="I937" s="240" t="s">
        <v>1297</v>
      </c>
      <c r="J937" s="241">
        <v>44866</v>
      </c>
      <c r="K937" s="238" t="s">
        <v>171</v>
      </c>
      <c r="L937" s="238" t="s">
        <v>820</v>
      </c>
      <c r="M937" s="238" t="s">
        <v>1672</v>
      </c>
      <c r="N937" s="238" t="s">
        <v>35</v>
      </c>
      <c r="O937" s="242">
        <v>45139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ht="15.75" customHeight="1" x14ac:dyDescent="0.35">
      <c r="A938" s="238">
        <v>9</v>
      </c>
      <c r="B938" s="238" t="s">
        <v>89</v>
      </c>
      <c r="C938" s="238" t="s">
        <v>1673</v>
      </c>
      <c r="D938" s="238" t="s">
        <v>1674</v>
      </c>
      <c r="E938" s="238">
        <v>10</v>
      </c>
      <c r="F938" s="239">
        <v>39315</v>
      </c>
      <c r="G938" s="240" t="s">
        <v>1675</v>
      </c>
      <c r="H938" s="240">
        <v>9258562262</v>
      </c>
      <c r="I938" s="240" t="s">
        <v>1676</v>
      </c>
      <c r="J938" s="241">
        <v>45085</v>
      </c>
      <c r="K938" s="238" t="s">
        <v>214</v>
      </c>
      <c r="L938" s="238" t="s">
        <v>125</v>
      </c>
      <c r="M938" s="238"/>
      <c r="N938" s="238" t="s">
        <v>35</v>
      </c>
      <c r="O938" s="242">
        <v>45139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ht="15.75" customHeight="1" x14ac:dyDescent="0.35">
      <c r="A939" s="238">
        <v>10</v>
      </c>
      <c r="B939" s="238" t="s">
        <v>49</v>
      </c>
      <c r="C939" s="238" t="s">
        <v>1673</v>
      </c>
      <c r="D939" s="238" t="s">
        <v>1674</v>
      </c>
      <c r="E939" s="238">
        <v>10</v>
      </c>
      <c r="F939" s="239">
        <v>39315</v>
      </c>
      <c r="G939" s="240" t="s">
        <v>1675</v>
      </c>
      <c r="H939" s="240">
        <v>9258562262</v>
      </c>
      <c r="I939" s="240" t="s">
        <v>1676</v>
      </c>
      <c r="J939" s="241">
        <v>45096</v>
      </c>
      <c r="K939" s="238" t="s">
        <v>261</v>
      </c>
      <c r="L939" s="238" t="s">
        <v>758</v>
      </c>
      <c r="M939" s="238"/>
      <c r="N939" s="238" t="s">
        <v>35</v>
      </c>
      <c r="O939" s="242">
        <v>45139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ht="15.75" customHeight="1" x14ac:dyDescent="0.35">
      <c r="A940" s="238">
        <v>11</v>
      </c>
      <c r="B940" s="238" t="s">
        <v>49</v>
      </c>
      <c r="C940" s="238" t="s">
        <v>1673</v>
      </c>
      <c r="D940" s="238" t="s">
        <v>1677</v>
      </c>
      <c r="E940" s="238">
        <v>5</v>
      </c>
      <c r="F940" s="239">
        <v>41468</v>
      </c>
      <c r="G940" s="240" t="s">
        <v>1675</v>
      </c>
      <c r="H940" s="240">
        <v>9258562262</v>
      </c>
      <c r="I940" s="240" t="s">
        <v>1676</v>
      </c>
      <c r="J940" s="241">
        <v>45085</v>
      </c>
      <c r="K940" s="238" t="s">
        <v>112</v>
      </c>
      <c r="L940" s="238" t="s">
        <v>731</v>
      </c>
      <c r="M940" s="238"/>
      <c r="N940" s="238" t="s">
        <v>35</v>
      </c>
      <c r="O940" s="242">
        <v>45139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ht="15.75" customHeight="1" x14ac:dyDescent="0.35">
      <c r="A941" s="238">
        <v>12</v>
      </c>
      <c r="B941" s="238" t="s">
        <v>89</v>
      </c>
      <c r="C941" s="238" t="s">
        <v>1673</v>
      </c>
      <c r="D941" s="238" t="s">
        <v>1677</v>
      </c>
      <c r="E941" s="238">
        <v>5</v>
      </c>
      <c r="F941" s="239">
        <v>41468</v>
      </c>
      <c r="G941" s="240" t="s">
        <v>1675</v>
      </c>
      <c r="H941" s="240">
        <v>9258562262</v>
      </c>
      <c r="I941" s="240" t="s">
        <v>1676</v>
      </c>
      <c r="J941" s="241">
        <v>45096</v>
      </c>
      <c r="K941" s="238" t="s">
        <v>132</v>
      </c>
      <c r="L941" s="238" t="s">
        <v>530</v>
      </c>
      <c r="M941" s="238"/>
      <c r="N941" s="238" t="s">
        <v>35</v>
      </c>
      <c r="O941" s="242">
        <v>45139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ht="15.75" customHeight="1" x14ac:dyDescent="0.35">
      <c r="A942" s="238">
        <v>13</v>
      </c>
      <c r="B942" s="238" t="s">
        <v>49</v>
      </c>
      <c r="C942" s="238" t="s">
        <v>1140</v>
      </c>
      <c r="D942" s="238" t="s">
        <v>1036</v>
      </c>
      <c r="E942" s="238" t="s">
        <v>180</v>
      </c>
      <c r="F942" s="239">
        <v>42321</v>
      </c>
      <c r="G942" s="240" t="s">
        <v>1678</v>
      </c>
      <c r="H942" s="240">
        <v>4088160388</v>
      </c>
      <c r="I942" s="240" t="s">
        <v>1679</v>
      </c>
      <c r="J942" s="241">
        <v>44652</v>
      </c>
      <c r="K942" s="238" t="s">
        <v>452</v>
      </c>
      <c r="L942" s="238" t="s">
        <v>1680</v>
      </c>
      <c r="M942" s="238"/>
      <c r="N942" s="238" t="s">
        <v>35</v>
      </c>
      <c r="O942" s="242">
        <v>45139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ht="15.75" customHeight="1" x14ac:dyDescent="0.35">
      <c r="A943" s="238">
        <v>14</v>
      </c>
      <c r="B943" s="238" t="s">
        <v>89</v>
      </c>
      <c r="C943" s="238" t="s">
        <v>1140</v>
      </c>
      <c r="D943" s="238" t="s">
        <v>1036</v>
      </c>
      <c r="E943" s="238" t="s">
        <v>180</v>
      </c>
      <c r="F943" s="239">
        <v>42321</v>
      </c>
      <c r="G943" s="240" t="s">
        <v>1678</v>
      </c>
      <c r="H943" s="240">
        <v>4088160388</v>
      </c>
      <c r="I943" s="240" t="s">
        <v>1679</v>
      </c>
      <c r="J943" s="241">
        <v>44713</v>
      </c>
      <c r="K943" s="238" t="s">
        <v>120</v>
      </c>
      <c r="L943" s="238" t="s">
        <v>215</v>
      </c>
      <c r="M943" s="238"/>
      <c r="N943" s="238" t="s">
        <v>35</v>
      </c>
      <c r="O943" s="242">
        <v>45139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ht="15.75" customHeight="1" x14ac:dyDescent="0.35">
      <c r="A944" s="238">
        <v>15</v>
      </c>
      <c r="B944" s="238" t="s">
        <v>49</v>
      </c>
      <c r="C944" s="238" t="s">
        <v>595</v>
      </c>
      <c r="D944" s="238" t="s">
        <v>1681</v>
      </c>
      <c r="E944" s="238">
        <v>3</v>
      </c>
      <c r="F944" s="239">
        <v>41570</v>
      </c>
      <c r="G944" s="240" t="s">
        <v>1682</v>
      </c>
      <c r="H944" s="240">
        <v>4086133688</v>
      </c>
      <c r="I944" s="240" t="s">
        <v>1683</v>
      </c>
      <c r="J944" s="241">
        <v>45082</v>
      </c>
      <c r="K944" s="238" t="s">
        <v>145</v>
      </c>
      <c r="L944" s="238" t="s">
        <v>119</v>
      </c>
      <c r="M944" s="238"/>
      <c r="N944" s="238" t="s">
        <v>35</v>
      </c>
      <c r="O944" s="242">
        <v>45139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ht="15.75" customHeight="1" x14ac:dyDescent="0.35">
      <c r="A945" s="238">
        <v>16</v>
      </c>
      <c r="B945" s="238" t="s">
        <v>49</v>
      </c>
      <c r="C945" s="238" t="s">
        <v>319</v>
      </c>
      <c r="D945" s="238" t="s">
        <v>1684</v>
      </c>
      <c r="E945" s="238">
        <v>1</v>
      </c>
      <c r="F945" s="239">
        <v>42622</v>
      </c>
      <c r="G945" s="240" t="s">
        <v>1685</v>
      </c>
      <c r="H945" s="240">
        <v>6502083557</v>
      </c>
      <c r="I945" s="240" t="s">
        <v>1686</v>
      </c>
      <c r="J945" s="241">
        <v>45103</v>
      </c>
      <c r="K945" s="238" t="s">
        <v>182</v>
      </c>
      <c r="L945" s="238" t="s">
        <v>386</v>
      </c>
      <c r="M945" s="238" t="s">
        <v>1687</v>
      </c>
      <c r="N945" s="238" t="s">
        <v>35</v>
      </c>
      <c r="O945" s="242">
        <v>45139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ht="15.75" customHeight="1" x14ac:dyDescent="0.35">
      <c r="A946" s="238">
        <v>17</v>
      </c>
      <c r="B946" s="238" t="s">
        <v>49</v>
      </c>
      <c r="C946" s="238" t="s">
        <v>358</v>
      </c>
      <c r="D946" s="238" t="s">
        <v>743</v>
      </c>
      <c r="E946" s="238">
        <v>5</v>
      </c>
      <c r="F946" s="239">
        <v>41283</v>
      </c>
      <c r="G946" s="240" t="s">
        <v>1688</v>
      </c>
      <c r="H946" s="240" t="s">
        <v>1689</v>
      </c>
      <c r="I946" s="240" t="s">
        <v>1690</v>
      </c>
      <c r="J946" s="241">
        <v>45096</v>
      </c>
      <c r="K946" s="238" t="s">
        <v>109</v>
      </c>
      <c r="L946" s="238" t="s">
        <v>178</v>
      </c>
      <c r="M946" s="238"/>
      <c r="N946" s="238" t="s">
        <v>35</v>
      </c>
      <c r="O946" s="242">
        <v>45139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ht="15.75" customHeight="1" x14ac:dyDescent="0.35">
      <c r="A947" s="238">
        <v>18</v>
      </c>
      <c r="B947" s="238" t="s">
        <v>89</v>
      </c>
      <c r="C947" s="238" t="s">
        <v>358</v>
      </c>
      <c r="D947" s="238" t="s">
        <v>743</v>
      </c>
      <c r="E947" s="238">
        <v>5</v>
      </c>
      <c r="F947" s="239">
        <v>41283</v>
      </c>
      <c r="G947" s="240" t="s">
        <v>1688</v>
      </c>
      <c r="H947" s="240" t="s">
        <v>1689</v>
      </c>
      <c r="I947" s="240" t="s">
        <v>1690</v>
      </c>
      <c r="J947" s="241">
        <v>45096</v>
      </c>
      <c r="K947" s="238" t="s">
        <v>167</v>
      </c>
      <c r="L947" s="238" t="s">
        <v>325</v>
      </c>
      <c r="M947" s="238"/>
      <c r="N947" s="238" t="s">
        <v>35</v>
      </c>
      <c r="O947" s="242">
        <v>45139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ht="15.75" customHeight="1" x14ac:dyDescent="0.35">
      <c r="A948" s="238">
        <v>19</v>
      </c>
      <c r="B948" s="238" t="s">
        <v>49</v>
      </c>
      <c r="C948" s="238" t="s">
        <v>358</v>
      </c>
      <c r="D948" s="238" t="s">
        <v>1081</v>
      </c>
      <c r="E948" s="238">
        <v>7</v>
      </c>
      <c r="F948" s="239">
        <v>44361</v>
      </c>
      <c r="G948" s="240" t="s">
        <v>1688</v>
      </c>
      <c r="H948" s="240" t="s">
        <v>1689</v>
      </c>
      <c r="I948" s="240" t="s">
        <v>1690</v>
      </c>
      <c r="J948" s="241">
        <v>45096</v>
      </c>
      <c r="K948" s="238" t="s">
        <v>153</v>
      </c>
      <c r="L948" s="238" t="s">
        <v>133</v>
      </c>
      <c r="M948" s="238"/>
      <c r="N948" s="238" t="s">
        <v>35</v>
      </c>
      <c r="O948" s="242">
        <v>45139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ht="15.75" customHeight="1" x14ac:dyDescent="0.35">
      <c r="A949" s="238">
        <v>20</v>
      </c>
      <c r="B949" s="238" t="s">
        <v>89</v>
      </c>
      <c r="C949" s="238" t="s">
        <v>358</v>
      </c>
      <c r="D949" s="238" t="s">
        <v>1081</v>
      </c>
      <c r="E949" s="238">
        <v>7</v>
      </c>
      <c r="F949" s="239">
        <v>44361</v>
      </c>
      <c r="G949" s="240" t="s">
        <v>1688</v>
      </c>
      <c r="H949" s="240" t="s">
        <v>1689</v>
      </c>
      <c r="I949" s="240" t="s">
        <v>1690</v>
      </c>
      <c r="J949" s="241">
        <v>45096</v>
      </c>
      <c r="K949" s="238" t="s">
        <v>155</v>
      </c>
      <c r="L949" s="238" t="s">
        <v>156</v>
      </c>
      <c r="M949" s="238"/>
      <c r="N949" s="238" t="s">
        <v>35</v>
      </c>
      <c r="O949" s="242">
        <v>45139</v>
      </c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ht="15.75" customHeight="1" x14ac:dyDescent="0.35">
      <c r="A950" s="238">
        <v>21</v>
      </c>
      <c r="B950" s="238" t="s">
        <v>49</v>
      </c>
      <c r="C950" s="238" t="s">
        <v>358</v>
      </c>
      <c r="D950" s="238" t="s">
        <v>1691</v>
      </c>
      <c r="E950" s="243">
        <v>3</v>
      </c>
      <c r="F950" s="244">
        <v>41649</v>
      </c>
      <c r="G950" s="245" t="s">
        <v>1692</v>
      </c>
      <c r="H950" s="245">
        <v>4088929080</v>
      </c>
      <c r="I950" s="245" t="s">
        <v>1693</v>
      </c>
      <c r="J950" s="246">
        <v>45110</v>
      </c>
      <c r="K950" s="243" t="s">
        <v>212</v>
      </c>
      <c r="L950" s="243" t="s">
        <v>125</v>
      </c>
      <c r="M950" s="238" t="s">
        <v>1234</v>
      </c>
      <c r="N950" s="238" t="s">
        <v>35</v>
      </c>
      <c r="O950" s="242">
        <v>45139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ht="15.75" customHeight="1" x14ac:dyDescent="0.35">
      <c r="A951" s="238">
        <v>22</v>
      </c>
      <c r="B951" s="238" t="s">
        <v>89</v>
      </c>
      <c r="C951" s="238" t="s">
        <v>358</v>
      </c>
      <c r="D951" s="238" t="s">
        <v>1691</v>
      </c>
      <c r="E951" s="243">
        <v>3</v>
      </c>
      <c r="F951" s="244">
        <v>41649</v>
      </c>
      <c r="G951" s="245" t="s">
        <v>1692</v>
      </c>
      <c r="H951" s="245">
        <v>4088929080</v>
      </c>
      <c r="I951" s="245" t="s">
        <v>1693</v>
      </c>
      <c r="J951" s="246">
        <v>45110</v>
      </c>
      <c r="K951" s="243" t="s">
        <v>167</v>
      </c>
      <c r="L951" s="243" t="s">
        <v>1694</v>
      </c>
      <c r="M951" s="238" t="s">
        <v>1234</v>
      </c>
      <c r="N951" s="238" t="s">
        <v>35</v>
      </c>
      <c r="O951" s="242">
        <v>45139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ht="15.75" customHeight="1" x14ac:dyDescent="0.35">
      <c r="A952" s="238">
        <v>23</v>
      </c>
      <c r="B952" s="238" t="s">
        <v>49</v>
      </c>
      <c r="C952" s="238" t="s">
        <v>1695</v>
      </c>
      <c r="D952" s="238" t="s">
        <v>106</v>
      </c>
      <c r="E952" s="238">
        <v>5</v>
      </c>
      <c r="F952" s="239">
        <v>40627</v>
      </c>
      <c r="G952" s="240" t="s">
        <v>1696</v>
      </c>
      <c r="H952" s="240">
        <v>6504369879</v>
      </c>
      <c r="I952" s="240"/>
      <c r="J952" s="241">
        <v>44652</v>
      </c>
      <c r="K952" s="238" t="s">
        <v>384</v>
      </c>
      <c r="L952" s="238" t="s">
        <v>939</v>
      </c>
      <c r="M952" s="238"/>
      <c r="N952" s="238" t="s">
        <v>35</v>
      </c>
      <c r="O952" s="242">
        <v>45139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ht="15.75" customHeight="1" x14ac:dyDescent="0.35">
      <c r="A953" s="238">
        <v>24</v>
      </c>
      <c r="B953" s="238" t="s">
        <v>49</v>
      </c>
      <c r="C953" s="238" t="s">
        <v>1697</v>
      </c>
      <c r="D953" s="238" t="s">
        <v>1698</v>
      </c>
      <c r="E953" s="238">
        <v>5</v>
      </c>
      <c r="F953" s="239">
        <v>41289</v>
      </c>
      <c r="G953" s="240" t="s">
        <v>1699</v>
      </c>
      <c r="H953" s="240">
        <v>9497355219</v>
      </c>
      <c r="I953" s="240" t="s">
        <v>1700</v>
      </c>
      <c r="J953" s="241">
        <v>45082</v>
      </c>
      <c r="K953" s="238" t="s">
        <v>109</v>
      </c>
      <c r="L953" s="238" t="s">
        <v>283</v>
      </c>
      <c r="M953" s="238"/>
      <c r="N953" s="238" t="s">
        <v>35</v>
      </c>
      <c r="O953" s="242">
        <v>45139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ht="15.75" customHeight="1" x14ac:dyDescent="0.35">
      <c r="A954" s="238">
        <v>25</v>
      </c>
      <c r="B954" s="238" t="s">
        <v>89</v>
      </c>
      <c r="C954" s="238" t="s">
        <v>1697</v>
      </c>
      <c r="D954" s="238" t="s">
        <v>1698</v>
      </c>
      <c r="E954" s="238">
        <v>5</v>
      </c>
      <c r="F954" s="239">
        <v>41289</v>
      </c>
      <c r="G954" s="240" t="s">
        <v>1699</v>
      </c>
      <c r="H954" s="240">
        <v>9497355219</v>
      </c>
      <c r="I954" s="240" t="s">
        <v>1700</v>
      </c>
      <c r="J954" s="241">
        <v>45082</v>
      </c>
      <c r="K954" s="238" t="s">
        <v>167</v>
      </c>
      <c r="L954" s="238" t="s">
        <v>121</v>
      </c>
      <c r="M954" s="238"/>
      <c r="N954" s="238" t="s">
        <v>35</v>
      </c>
      <c r="O954" s="242">
        <v>45139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ht="15.75" customHeight="1" x14ac:dyDescent="0.35">
      <c r="A955" s="238">
        <v>26</v>
      </c>
      <c r="B955" s="238" t="s">
        <v>49</v>
      </c>
      <c r="C955" s="238" t="s">
        <v>1697</v>
      </c>
      <c r="D955" s="238" t="s">
        <v>1514</v>
      </c>
      <c r="E955" s="238">
        <v>2</v>
      </c>
      <c r="F955" s="239">
        <v>42576</v>
      </c>
      <c r="G955" s="240" t="s">
        <v>1699</v>
      </c>
      <c r="H955" s="240">
        <v>9497355219</v>
      </c>
      <c r="I955" s="240" t="s">
        <v>1700</v>
      </c>
      <c r="J955" s="241">
        <v>45082</v>
      </c>
      <c r="K955" s="238" t="s">
        <v>190</v>
      </c>
      <c r="L955" s="238" t="s">
        <v>140</v>
      </c>
      <c r="M955" s="238"/>
      <c r="N955" s="238" t="s">
        <v>35</v>
      </c>
      <c r="O955" s="242">
        <v>45139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ht="15.75" customHeight="1" x14ac:dyDescent="0.35">
      <c r="A956" s="238">
        <v>27</v>
      </c>
      <c r="B956" s="238" t="s">
        <v>89</v>
      </c>
      <c r="C956" s="238" t="s">
        <v>1697</v>
      </c>
      <c r="D956" s="238" t="s">
        <v>1514</v>
      </c>
      <c r="E956" s="238">
        <v>2</v>
      </c>
      <c r="F956" s="239">
        <v>42576</v>
      </c>
      <c r="G956" s="240" t="s">
        <v>1699</v>
      </c>
      <c r="H956" s="240">
        <v>9497355219</v>
      </c>
      <c r="I956" s="240" t="s">
        <v>1700</v>
      </c>
      <c r="J956" s="241">
        <v>45082</v>
      </c>
      <c r="K956" s="238" t="s">
        <v>120</v>
      </c>
      <c r="L956" s="238" t="s">
        <v>121</v>
      </c>
      <c r="M956" s="238"/>
      <c r="N956" s="238" t="s">
        <v>35</v>
      </c>
      <c r="O956" s="242">
        <v>45139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ht="15.75" customHeight="1" x14ac:dyDescent="0.35">
      <c r="A957" s="238">
        <v>28</v>
      </c>
      <c r="B957" s="238" t="s">
        <v>49</v>
      </c>
      <c r="C957" s="238" t="s">
        <v>893</v>
      </c>
      <c r="D957" s="238" t="s">
        <v>115</v>
      </c>
      <c r="E957" s="238" t="s">
        <v>180</v>
      </c>
      <c r="F957" s="239">
        <v>43347</v>
      </c>
      <c r="G957" s="240" t="s">
        <v>1701</v>
      </c>
      <c r="H957" s="240">
        <v>4088394977</v>
      </c>
      <c r="I957" s="240" t="s">
        <v>1702</v>
      </c>
      <c r="J957" s="241">
        <v>45098</v>
      </c>
      <c r="K957" s="238" t="s">
        <v>118</v>
      </c>
      <c r="L957" s="238" t="s">
        <v>154</v>
      </c>
      <c r="M957" s="238"/>
      <c r="N957" s="238" t="s">
        <v>35</v>
      </c>
      <c r="O957" s="242">
        <v>45139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ht="15.75" customHeight="1" x14ac:dyDescent="0.35">
      <c r="A958" s="238">
        <v>29</v>
      </c>
      <c r="B958" s="238" t="s">
        <v>89</v>
      </c>
      <c r="C958" s="238" t="s">
        <v>893</v>
      </c>
      <c r="D958" s="238" t="s">
        <v>115</v>
      </c>
      <c r="E958" s="238" t="s">
        <v>180</v>
      </c>
      <c r="F958" s="239">
        <v>43347</v>
      </c>
      <c r="G958" s="240" t="s">
        <v>1701</v>
      </c>
      <c r="H958" s="240">
        <v>4088394977</v>
      </c>
      <c r="I958" s="240" t="s">
        <v>1702</v>
      </c>
      <c r="J958" s="241">
        <v>45098</v>
      </c>
      <c r="K958" s="238" t="s">
        <v>184</v>
      </c>
      <c r="L958" s="238" t="s">
        <v>140</v>
      </c>
      <c r="M958" s="238"/>
      <c r="N958" s="238" t="s">
        <v>35</v>
      </c>
      <c r="O958" s="242">
        <v>45139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ht="15.75" customHeight="1" x14ac:dyDescent="0.35">
      <c r="A959" s="238">
        <v>30</v>
      </c>
      <c r="B959" s="238" t="s">
        <v>49</v>
      </c>
      <c r="C959" s="238" t="s">
        <v>429</v>
      </c>
      <c r="D959" s="238" t="s">
        <v>430</v>
      </c>
      <c r="E959" s="238">
        <v>3</v>
      </c>
      <c r="F959" s="239">
        <v>41899</v>
      </c>
      <c r="G959" s="240" t="s">
        <v>431</v>
      </c>
      <c r="H959" s="240">
        <v>5103165128</v>
      </c>
      <c r="I959" s="240" t="s">
        <v>432</v>
      </c>
      <c r="J959" s="241">
        <v>45047</v>
      </c>
      <c r="K959" s="238" t="s">
        <v>163</v>
      </c>
      <c r="L959" s="238" t="s">
        <v>1703</v>
      </c>
      <c r="M959" s="238"/>
      <c r="N959" s="238" t="s">
        <v>35</v>
      </c>
      <c r="O959" s="242">
        <v>45139</v>
      </c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ht="15.75" customHeight="1" x14ac:dyDescent="0.35">
      <c r="A960" s="216">
        <v>31</v>
      </c>
      <c r="B960" s="216" t="s">
        <v>49</v>
      </c>
      <c r="C960" s="216" t="s">
        <v>437</v>
      </c>
      <c r="D960" s="216" t="s">
        <v>890</v>
      </c>
      <c r="E960" s="216">
        <v>1</v>
      </c>
      <c r="F960" s="217">
        <v>42122</v>
      </c>
      <c r="G960" s="218" t="s">
        <v>1329</v>
      </c>
      <c r="H960" s="218" t="s">
        <v>1330</v>
      </c>
      <c r="I960" s="218" t="s">
        <v>1331</v>
      </c>
      <c r="J960" s="219">
        <v>44914</v>
      </c>
      <c r="K960" s="216" t="s">
        <v>112</v>
      </c>
      <c r="L960" s="216" t="s">
        <v>162</v>
      </c>
      <c r="M960" s="216" t="s">
        <v>1704</v>
      </c>
      <c r="N960" s="216" t="s">
        <v>35</v>
      </c>
      <c r="O960" s="237">
        <v>45139</v>
      </c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  <c r="AA960" s="222"/>
      <c r="AB960" s="222"/>
      <c r="AC960" s="222"/>
      <c r="AD960" s="222"/>
      <c r="AE960" s="222"/>
      <c r="AF960" s="222"/>
      <c r="AG960" s="222"/>
      <c r="AH960" s="222"/>
      <c r="AI960" s="222"/>
      <c r="AJ960" s="222"/>
      <c r="AK960" s="222"/>
      <c r="AL960" s="222"/>
      <c r="AM960" s="222"/>
      <c r="AN960" s="222"/>
      <c r="AO960" s="222"/>
      <c r="AP960" s="222"/>
      <c r="AQ960" s="222"/>
      <c r="AR960" s="222"/>
      <c r="AS960" s="222"/>
      <c r="AT960" s="222"/>
    </row>
    <row r="961" spans="1:46" ht="15.75" customHeight="1" x14ac:dyDescent="0.35">
      <c r="A961" s="216">
        <v>32</v>
      </c>
      <c r="B961" s="216" t="s">
        <v>89</v>
      </c>
      <c r="C961" s="216" t="s">
        <v>437</v>
      </c>
      <c r="D961" s="216" t="s">
        <v>890</v>
      </c>
      <c r="E961" s="216">
        <v>1</v>
      </c>
      <c r="F961" s="217">
        <v>42122</v>
      </c>
      <c r="G961" s="218" t="s">
        <v>1329</v>
      </c>
      <c r="H961" s="218" t="s">
        <v>1330</v>
      </c>
      <c r="I961" s="218" t="s">
        <v>1331</v>
      </c>
      <c r="J961" s="219">
        <v>44914</v>
      </c>
      <c r="K961" s="216" t="s">
        <v>120</v>
      </c>
      <c r="L961" s="216" t="s">
        <v>178</v>
      </c>
      <c r="M961" s="216" t="s">
        <v>1704</v>
      </c>
      <c r="N961" s="216" t="s">
        <v>35</v>
      </c>
      <c r="O961" s="237">
        <v>45139</v>
      </c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  <c r="AA961" s="222"/>
      <c r="AB961" s="222"/>
      <c r="AC961" s="222"/>
      <c r="AD961" s="222"/>
      <c r="AE961" s="222"/>
      <c r="AF961" s="222"/>
      <c r="AG961" s="222"/>
      <c r="AH961" s="222"/>
      <c r="AI961" s="222"/>
      <c r="AJ961" s="222"/>
      <c r="AK961" s="222"/>
      <c r="AL961" s="222"/>
      <c r="AM961" s="222"/>
      <c r="AN961" s="222"/>
      <c r="AO961" s="222"/>
      <c r="AP961" s="222"/>
      <c r="AQ961" s="222"/>
      <c r="AR961" s="222"/>
      <c r="AS961" s="222"/>
      <c r="AT961" s="222"/>
    </row>
    <row r="962" spans="1:46" ht="15.75" customHeight="1" x14ac:dyDescent="0.35">
      <c r="A962" s="238">
        <v>33</v>
      </c>
      <c r="B962" s="238" t="s">
        <v>49</v>
      </c>
      <c r="C962" s="238" t="s">
        <v>437</v>
      </c>
      <c r="D962" s="238" t="s">
        <v>1705</v>
      </c>
      <c r="E962" s="238" t="s">
        <v>180</v>
      </c>
      <c r="F962" s="239">
        <v>42556</v>
      </c>
      <c r="G962" s="240" t="s">
        <v>1706</v>
      </c>
      <c r="H962" s="240">
        <v>4088632948</v>
      </c>
      <c r="I962" s="240" t="s">
        <v>1707</v>
      </c>
      <c r="J962" s="241">
        <v>45082</v>
      </c>
      <c r="K962" s="238" t="s">
        <v>145</v>
      </c>
      <c r="L962" s="238" t="s">
        <v>156</v>
      </c>
      <c r="M962" s="238"/>
      <c r="N962" s="238" t="s">
        <v>35</v>
      </c>
      <c r="O962" s="242">
        <v>45139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ht="15.75" customHeight="1" x14ac:dyDescent="0.35">
      <c r="A963" s="238">
        <v>34</v>
      </c>
      <c r="B963" s="238" t="s">
        <v>49</v>
      </c>
      <c r="C963" s="238" t="s">
        <v>480</v>
      </c>
      <c r="D963" s="238" t="s">
        <v>1000</v>
      </c>
      <c r="E963" s="238">
        <v>1</v>
      </c>
      <c r="F963" s="239">
        <v>42730</v>
      </c>
      <c r="G963" s="240" t="s">
        <v>1708</v>
      </c>
      <c r="H963" s="240">
        <v>6692908031</v>
      </c>
      <c r="I963" s="240" t="s">
        <v>1709</v>
      </c>
      <c r="J963" s="241">
        <v>45096</v>
      </c>
      <c r="K963" s="238" t="s">
        <v>118</v>
      </c>
      <c r="L963" s="238" t="s">
        <v>139</v>
      </c>
      <c r="M963" s="238"/>
      <c r="N963" s="238" t="s">
        <v>35</v>
      </c>
      <c r="O963" s="242">
        <v>45139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ht="15.75" customHeight="1" x14ac:dyDescent="0.35">
      <c r="A964" s="238">
        <v>35</v>
      </c>
      <c r="B964" s="238" t="s">
        <v>89</v>
      </c>
      <c r="C964" s="238" t="s">
        <v>480</v>
      </c>
      <c r="D964" s="238" t="s">
        <v>1000</v>
      </c>
      <c r="E964" s="238">
        <v>1</v>
      </c>
      <c r="F964" s="239">
        <v>42730</v>
      </c>
      <c r="G964" s="240" t="s">
        <v>1708</v>
      </c>
      <c r="H964" s="240">
        <v>6692908031</v>
      </c>
      <c r="I964" s="240" t="s">
        <v>1709</v>
      </c>
      <c r="J964" s="241">
        <v>45096</v>
      </c>
      <c r="K964" s="238" t="s">
        <v>184</v>
      </c>
      <c r="L964" s="238" t="s">
        <v>979</v>
      </c>
      <c r="M964" s="238"/>
      <c r="N964" s="238" t="s">
        <v>35</v>
      </c>
      <c r="O964" s="242">
        <v>45139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ht="16.5" customHeight="1" x14ac:dyDescent="0.35">
      <c r="A965" s="247">
        <v>1</v>
      </c>
      <c r="B965" s="247" t="s">
        <v>89</v>
      </c>
      <c r="C965" s="247" t="s">
        <v>358</v>
      </c>
      <c r="D965" s="247" t="s">
        <v>362</v>
      </c>
      <c r="E965" s="247">
        <v>4</v>
      </c>
      <c r="F965" s="248">
        <v>40886</v>
      </c>
      <c r="G965" s="249" t="s">
        <v>363</v>
      </c>
      <c r="H965" s="249" t="s">
        <v>364</v>
      </c>
      <c r="I965" s="249" t="s">
        <v>365</v>
      </c>
      <c r="J965" s="250">
        <v>44682</v>
      </c>
      <c r="K965" s="247" t="s">
        <v>155</v>
      </c>
      <c r="L965" s="247" t="s">
        <v>669</v>
      </c>
      <c r="M965" s="247"/>
      <c r="N965" s="247" t="s">
        <v>35</v>
      </c>
      <c r="O965" s="242">
        <v>45170</v>
      </c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  <c r="AA965" s="251"/>
      <c r="AB965" s="251"/>
      <c r="AC965" s="251"/>
      <c r="AD965" s="251"/>
      <c r="AE965" s="251"/>
      <c r="AF965" s="251"/>
      <c r="AG965" s="251"/>
      <c r="AH965" s="251"/>
      <c r="AI965" s="251"/>
      <c r="AJ965" s="251"/>
      <c r="AK965" s="251"/>
      <c r="AL965" s="251"/>
      <c r="AM965" s="251"/>
      <c r="AN965" s="251"/>
      <c r="AO965" s="251"/>
      <c r="AP965" s="251"/>
      <c r="AQ965" s="251"/>
      <c r="AR965" s="251"/>
      <c r="AS965" s="251"/>
      <c r="AT965" s="251"/>
    </row>
    <row r="966" spans="1:46" ht="16.5" customHeight="1" x14ac:dyDescent="0.35">
      <c r="A966" s="91">
        <v>2</v>
      </c>
      <c r="B966" s="247" t="s">
        <v>49</v>
      </c>
      <c r="C966" s="247" t="s">
        <v>1611</v>
      </c>
      <c r="D966" s="252" t="s">
        <v>1612</v>
      </c>
      <c r="E966" s="247">
        <v>2</v>
      </c>
      <c r="F966" s="248">
        <v>42185</v>
      </c>
      <c r="G966" s="249" t="s">
        <v>1613</v>
      </c>
      <c r="H966" s="249">
        <v>6077279968</v>
      </c>
      <c r="I966" s="249" t="s">
        <v>1614</v>
      </c>
      <c r="J966" s="250">
        <v>45154</v>
      </c>
      <c r="K966" s="247" t="s">
        <v>202</v>
      </c>
      <c r="L966" s="247" t="s">
        <v>231</v>
      </c>
      <c r="M966" s="247" t="s">
        <v>1710</v>
      </c>
      <c r="N966" s="247" t="s">
        <v>35</v>
      </c>
      <c r="O966" s="242">
        <v>45170</v>
      </c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  <c r="AA966" s="251"/>
      <c r="AB966" s="251"/>
      <c r="AC966" s="251"/>
      <c r="AD966" s="251"/>
      <c r="AE966" s="251"/>
      <c r="AF966" s="251"/>
      <c r="AG966" s="251"/>
      <c r="AH966" s="251"/>
      <c r="AI966" s="251"/>
      <c r="AJ966" s="251"/>
      <c r="AK966" s="251"/>
      <c r="AL966" s="251"/>
      <c r="AM966" s="251"/>
      <c r="AN966" s="251"/>
      <c r="AO966" s="251"/>
      <c r="AP966" s="251"/>
      <c r="AQ966" s="251"/>
      <c r="AR966" s="251"/>
      <c r="AS966" s="251"/>
      <c r="AT966" s="251"/>
    </row>
    <row r="967" spans="1:46" ht="16.5" customHeight="1" x14ac:dyDescent="0.35">
      <c r="A967" s="91">
        <v>3</v>
      </c>
      <c r="B967" s="247" t="s">
        <v>89</v>
      </c>
      <c r="C967" s="247" t="s">
        <v>1611</v>
      </c>
      <c r="D967" s="252" t="s">
        <v>1612</v>
      </c>
      <c r="E967" s="247">
        <v>2</v>
      </c>
      <c r="F967" s="248">
        <v>42185</v>
      </c>
      <c r="G967" s="249" t="s">
        <v>1613</v>
      </c>
      <c r="H967" s="249">
        <v>6077279968</v>
      </c>
      <c r="I967" s="249" t="s">
        <v>1614</v>
      </c>
      <c r="J967" s="250">
        <v>45154</v>
      </c>
      <c r="K967" s="247" t="s">
        <v>163</v>
      </c>
      <c r="L967" s="247" t="s">
        <v>669</v>
      </c>
      <c r="M967" s="247" t="s">
        <v>1710</v>
      </c>
      <c r="N967" s="247" t="s">
        <v>35</v>
      </c>
      <c r="O967" s="242">
        <v>45170</v>
      </c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  <c r="AA967" s="251"/>
      <c r="AB967" s="251"/>
      <c r="AC967" s="251"/>
      <c r="AD967" s="251"/>
      <c r="AE967" s="251"/>
      <c r="AF967" s="251"/>
      <c r="AG967" s="251"/>
      <c r="AH967" s="251"/>
      <c r="AI967" s="251"/>
      <c r="AJ967" s="251"/>
      <c r="AK967" s="251"/>
      <c r="AL967" s="251"/>
      <c r="AM967" s="251"/>
      <c r="AN967" s="251"/>
      <c r="AO967" s="251"/>
      <c r="AP967" s="251"/>
      <c r="AQ967" s="251"/>
      <c r="AR967" s="251"/>
      <c r="AS967" s="251"/>
      <c r="AT967" s="251"/>
    </row>
    <row r="968" spans="1:46" ht="16.5" customHeight="1" x14ac:dyDescent="0.35">
      <c r="A968" s="253">
        <v>4</v>
      </c>
      <c r="B968" s="253" t="s">
        <v>49</v>
      </c>
      <c r="C968" s="253" t="s">
        <v>437</v>
      </c>
      <c r="D968" s="253" t="s">
        <v>1535</v>
      </c>
      <c r="E968" s="253">
        <v>1</v>
      </c>
      <c r="F968" s="254">
        <v>43153</v>
      </c>
      <c r="G968" s="255" t="s">
        <v>1711</v>
      </c>
      <c r="H968" s="255">
        <v>6692068365</v>
      </c>
      <c r="I968" s="256" t="s">
        <v>1712</v>
      </c>
      <c r="J968" s="257">
        <v>45124</v>
      </c>
      <c r="K968" s="253" t="s">
        <v>182</v>
      </c>
      <c r="L968" s="253" t="s">
        <v>178</v>
      </c>
      <c r="M968" s="253" t="s">
        <v>1713</v>
      </c>
      <c r="N968" s="253" t="s">
        <v>35</v>
      </c>
      <c r="O968" s="242">
        <v>45170</v>
      </c>
      <c r="P968" s="258"/>
      <c r="Q968" s="258"/>
      <c r="R968" s="258"/>
      <c r="S968" s="258"/>
      <c r="T968" s="258"/>
      <c r="U968" s="258"/>
      <c r="V968" s="258"/>
      <c r="W968" s="258"/>
      <c r="X968" s="258"/>
      <c r="Y968" s="258"/>
      <c r="Z968" s="258"/>
      <c r="AA968" s="258"/>
      <c r="AB968" s="258"/>
      <c r="AC968" s="258"/>
      <c r="AD968" s="258"/>
      <c r="AE968" s="258"/>
      <c r="AF968" s="258"/>
      <c r="AG968" s="258"/>
      <c r="AH968" s="258"/>
      <c r="AI968" s="258"/>
      <c r="AJ968" s="258"/>
      <c r="AK968" s="258"/>
      <c r="AL968" s="258"/>
      <c r="AM968" s="258"/>
      <c r="AN968" s="258"/>
      <c r="AO968" s="258"/>
      <c r="AP968" s="258"/>
      <c r="AQ968" s="258"/>
      <c r="AR968" s="258"/>
      <c r="AS968" s="258"/>
      <c r="AT968" s="258"/>
    </row>
    <row r="969" spans="1:46" ht="16.5" customHeight="1" x14ac:dyDescent="0.35">
      <c r="A969" s="253">
        <v>5</v>
      </c>
      <c r="B969" s="253" t="s">
        <v>49</v>
      </c>
      <c r="C969" s="253" t="s">
        <v>1714</v>
      </c>
      <c r="D969" s="253" t="s">
        <v>198</v>
      </c>
      <c r="E969" s="253">
        <v>1</v>
      </c>
      <c r="F969" s="254">
        <v>42388</v>
      </c>
      <c r="G969" s="255" t="s">
        <v>1715</v>
      </c>
      <c r="H969" s="255">
        <v>4087977701</v>
      </c>
      <c r="I969" s="255" t="s">
        <v>1716</v>
      </c>
      <c r="J969" s="257">
        <v>45033</v>
      </c>
      <c r="K969" s="253" t="s">
        <v>490</v>
      </c>
      <c r="L969" s="253" t="s">
        <v>215</v>
      </c>
      <c r="M969" s="253" t="s">
        <v>1713</v>
      </c>
      <c r="N969" s="253" t="s">
        <v>35</v>
      </c>
      <c r="O969" s="242">
        <v>45170</v>
      </c>
      <c r="P969" s="258"/>
      <c r="Q969" s="258"/>
      <c r="R969" s="258"/>
      <c r="S969" s="258"/>
      <c r="T969" s="258"/>
      <c r="U969" s="258"/>
      <c r="V969" s="258"/>
      <c r="W969" s="258"/>
      <c r="X969" s="258"/>
      <c r="Y969" s="258"/>
      <c r="Z969" s="258"/>
      <c r="AA969" s="258"/>
      <c r="AB969" s="258"/>
      <c r="AC969" s="258"/>
      <c r="AD969" s="258"/>
      <c r="AE969" s="258"/>
      <c r="AF969" s="258"/>
      <c r="AG969" s="258"/>
      <c r="AH969" s="258"/>
      <c r="AI969" s="258"/>
      <c r="AJ969" s="258"/>
      <c r="AK969" s="258"/>
      <c r="AL969" s="258"/>
      <c r="AM969" s="258"/>
      <c r="AN969" s="258"/>
      <c r="AO969" s="258"/>
      <c r="AP969" s="258"/>
      <c r="AQ969" s="258"/>
      <c r="AR969" s="258"/>
      <c r="AS969" s="258"/>
      <c r="AT969" s="258"/>
    </row>
    <row r="970" spans="1:46" ht="16.5" customHeight="1" x14ac:dyDescent="0.35">
      <c r="A970" s="247">
        <v>6</v>
      </c>
      <c r="B970" s="247" t="s">
        <v>49</v>
      </c>
      <c r="C970" s="247" t="s">
        <v>1717</v>
      </c>
      <c r="D970" s="247" t="s">
        <v>1718</v>
      </c>
      <c r="E970" s="247">
        <v>2</v>
      </c>
      <c r="F970" s="248">
        <v>42318</v>
      </c>
      <c r="G970" s="249" t="s">
        <v>1719</v>
      </c>
      <c r="H970" s="249">
        <v>2137063046</v>
      </c>
      <c r="I970" s="249" t="s">
        <v>1720</v>
      </c>
      <c r="J970" s="250">
        <v>45108</v>
      </c>
      <c r="K970" s="247" t="s">
        <v>190</v>
      </c>
      <c r="L970" s="247" t="s">
        <v>113</v>
      </c>
      <c r="M970" s="247"/>
      <c r="N970" s="247" t="s">
        <v>35</v>
      </c>
      <c r="O970" s="242">
        <v>45170</v>
      </c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  <c r="AA970" s="251"/>
      <c r="AB970" s="251"/>
      <c r="AC970" s="251"/>
      <c r="AD970" s="251"/>
      <c r="AE970" s="251"/>
      <c r="AF970" s="251"/>
      <c r="AG970" s="251"/>
      <c r="AH970" s="251"/>
      <c r="AI970" s="251"/>
      <c r="AJ970" s="251"/>
      <c r="AK970" s="251"/>
      <c r="AL970" s="251"/>
      <c r="AM970" s="251"/>
      <c r="AN970" s="251"/>
      <c r="AO970" s="251"/>
      <c r="AP970" s="251"/>
      <c r="AQ970" s="251"/>
      <c r="AR970" s="251"/>
      <c r="AS970" s="251"/>
      <c r="AT970" s="251"/>
    </row>
    <row r="971" spans="1:46" ht="16.5" customHeight="1" x14ac:dyDescent="0.35">
      <c r="A971" s="253">
        <v>7</v>
      </c>
      <c r="B971" s="253" t="s">
        <v>49</v>
      </c>
      <c r="C971" s="253" t="s">
        <v>437</v>
      </c>
      <c r="D971" s="253" t="s">
        <v>1721</v>
      </c>
      <c r="E971" s="253" t="s">
        <v>180</v>
      </c>
      <c r="F971" s="254">
        <v>43153</v>
      </c>
      <c r="G971" s="255" t="s">
        <v>1711</v>
      </c>
      <c r="H971" s="255">
        <v>6692068365</v>
      </c>
      <c r="I971" s="256" t="s">
        <v>1712</v>
      </c>
      <c r="J971" s="257">
        <v>45017</v>
      </c>
      <c r="K971" s="253" t="s">
        <v>118</v>
      </c>
      <c r="L971" s="253" t="s">
        <v>1722</v>
      </c>
      <c r="M971" s="253" t="s">
        <v>1713</v>
      </c>
      <c r="N971" s="253" t="s">
        <v>35</v>
      </c>
      <c r="O971" s="242">
        <v>45170</v>
      </c>
      <c r="P971" s="258"/>
      <c r="Q971" s="258"/>
      <c r="R971" s="258"/>
      <c r="S971" s="258"/>
      <c r="T971" s="258"/>
      <c r="U971" s="258"/>
      <c r="V971" s="258"/>
      <c r="W971" s="258"/>
      <c r="X971" s="258"/>
      <c r="Y971" s="258"/>
      <c r="Z971" s="258"/>
      <c r="AA971" s="258"/>
      <c r="AB971" s="258"/>
      <c r="AC971" s="258"/>
      <c r="AD971" s="258"/>
      <c r="AE971" s="258"/>
      <c r="AF971" s="258"/>
      <c r="AG971" s="258"/>
      <c r="AH971" s="258"/>
      <c r="AI971" s="258"/>
      <c r="AJ971" s="258"/>
      <c r="AK971" s="258"/>
      <c r="AL971" s="258"/>
      <c r="AM971" s="258"/>
      <c r="AN971" s="258"/>
      <c r="AO971" s="258"/>
      <c r="AP971" s="258"/>
      <c r="AQ971" s="258"/>
      <c r="AR971" s="258"/>
      <c r="AS971" s="258"/>
      <c r="AT971" s="258"/>
    </row>
    <row r="972" spans="1:46" ht="16.5" customHeight="1" x14ac:dyDescent="0.35">
      <c r="A972" s="253">
        <v>8</v>
      </c>
      <c r="B972" s="253" t="s">
        <v>49</v>
      </c>
      <c r="C972" s="253" t="s">
        <v>952</v>
      </c>
      <c r="D972" s="253" t="s">
        <v>1287</v>
      </c>
      <c r="E972" s="253">
        <v>1</v>
      </c>
      <c r="F972" s="254">
        <v>42342</v>
      </c>
      <c r="G972" s="255" t="s">
        <v>953</v>
      </c>
      <c r="H972" s="255">
        <v>4084214334</v>
      </c>
      <c r="I972" s="255" t="s">
        <v>954</v>
      </c>
      <c r="J972" s="257">
        <v>44790</v>
      </c>
      <c r="K972" s="253" t="s">
        <v>202</v>
      </c>
      <c r="L972" s="253" t="s">
        <v>183</v>
      </c>
      <c r="M972" s="253" t="s">
        <v>1723</v>
      </c>
      <c r="N972" s="253" t="s">
        <v>35</v>
      </c>
      <c r="O972" s="242">
        <v>45170</v>
      </c>
      <c r="P972" s="258"/>
      <c r="Q972" s="258"/>
      <c r="R972" s="258"/>
      <c r="S972" s="258"/>
      <c r="T972" s="258"/>
      <c r="U972" s="258"/>
      <c r="V972" s="258"/>
      <c r="W972" s="258"/>
      <c r="X972" s="258"/>
      <c r="Y972" s="258"/>
      <c r="Z972" s="258"/>
      <c r="AA972" s="258"/>
      <c r="AB972" s="258"/>
      <c r="AC972" s="258"/>
      <c r="AD972" s="258"/>
      <c r="AE972" s="258"/>
      <c r="AF972" s="258"/>
      <c r="AG972" s="258"/>
      <c r="AH972" s="258"/>
      <c r="AI972" s="258"/>
      <c r="AJ972" s="258"/>
      <c r="AK972" s="258"/>
      <c r="AL972" s="258"/>
      <c r="AM972" s="258"/>
      <c r="AN972" s="258"/>
      <c r="AO972" s="258"/>
      <c r="AP972" s="258"/>
      <c r="AQ972" s="258"/>
      <c r="AR972" s="258"/>
      <c r="AS972" s="258"/>
      <c r="AT972" s="258"/>
    </row>
    <row r="973" spans="1:46" ht="16.5" customHeight="1" x14ac:dyDescent="0.35">
      <c r="A973" s="253">
        <v>9</v>
      </c>
      <c r="B973" s="253" t="s">
        <v>89</v>
      </c>
      <c r="C973" s="253" t="s">
        <v>952</v>
      </c>
      <c r="D973" s="253" t="s">
        <v>1287</v>
      </c>
      <c r="E973" s="253">
        <v>1</v>
      </c>
      <c r="F973" s="254">
        <v>42342</v>
      </c>
      <c r="G973" s="255" t="s">
        <v>953</v>
      </c>
      <c r="H973" s="255">
        <v>4084214334</v>
      </c>
      <c r="I973" s="255" t="s">
        <v>954</v>
      </c>
      <c r="J973" s="257">
        <v>44790</v>
      </c>
      <c r="K973" s="253" t="s">
        <v>163</v>
      </c>
      <c r="L973" s="253" t="s">
        <v>1724</v>
      </c>
      <c r="M973" s="253" t="s">
        <v>1723</v>
      </c>
      <c r="N973" s="253" t="s">
        <v>35</v>
      </c>
      <c r="O973" s="242">
        <v>45170</v>
      </c>
      <c r="P973" s="258"/>
      <c r="Q973" s="258"/>
      <c r="R973" s="258"/>
      <c r="S973" s="258"/>
      <c r="T973" s="258"/>
      <c r="U973" s="258"/>
      <c r="V973" s="258"/>
      <c r="W973" s="258"/>
      <c r="X973" s="258"/>
      <c r="Y973" s="258"/>
      <c r="Z973" s="258"/>
      <c r="AA973" s="258"/>
      <c r="AB973" s="258"/>
      <c r="AC973" s="258"/>
      <c r="AD973" s="258"/>
      <c r="AE973" s="258"/>
      <c r="AF973" s="258"/>
      <c r="AG973" s="258"/>
      <c r="AH973" s="258"/>
      <c r="AI973" s="258"/>
      <c r="AJ973" s="258"/>
      <c r="AK973" s="258"/>
      <c r="AL973" s="258"/>
      <c r="AM973" s="258"/>
      <c r="AN973" s="258"/>
      <c r="AO973" s="258"/>
      <c r="AP973" s="258"/>
      <c r="AQ973" s="258"/>
      <c r="AR973" s="258"/>
      <c r="AS973" s="258"/>
      <c r="AT973" s="258"/>
    </row>
    <row r="974" spans="1:46" ht="16.5" customHeight="1" x14ac:dyDescent="0.35">
      <c r="A974" s="253">
        <v>10</v>
      </c>
      <c r="B974" s="253" t="s">
        <v>89</v>
      </c>
      <c r="C974" s="253" t="s">
        <v>1714</v>
      </c>
      <c r="D974" s="253" t="s">
        <v>1725</v>
      </c>
      <c r="E974" s="253">
        <v>5</v>
      </c>
      <c r="F974" s="254">
        <v>40961</v>
      </c>
      <c r="G974" s="255" t="s">
        <v>1726</v>
      </c>
      <c r="H974" s="255">
        <v>4087977701</v>
      </c>
      <c r="I974" s="255" t="s">
        <v>1716</v>
      </c>
      <c r="J974" s="257">
        <v>44791</v>
      </c>
      <c r="K974" s="253" t="s">
        <v>216</v>
      </c>
      <c r="L974" s="253" t="s">
        <v>156</v>
      </c>
      <c r="M974" s="253" t="s">
        <v>1713</v>
      </c>
      <c r="N974" s="253" t="s">
        <v>35</v>
      </c>
      <c r="O974" s="242">
        <v>45170</v>
      </c>
      <c r="P974" s="258"/>
      <c r="Q974" s="258"/>
      <c r="R974" s="258"/>
      <c r="S974" s="258"/>
      <c r="T974" s="258"/>
      <c r="U974" s="258"/>
      <c r="V974" s="258"/>
      <c r="W974" s="258"/>
      <c r="X974" s="258"/>
      <c r="Y974" s="258"/>
      <c r="Z974" s="258"/>
      <c r="AA974" s="258"/>
      <c r="AB974" s="258"/>
      <c r="AC974" s="258"/>
      <c r="AD974" s="258"/>
      <c r="AE974" s="258"/>
      <c r="AF974" s="258"/>
      <c r="AG974" s="258"/>
      <c r="AH974" s="258"/>
      <c r="AI974" s="258"/>
      <c r="AJ974" s="258"/>
      <c r="AK974" s="258"/>
      <c r="AL974" s="258"/>
      <c r="AM974" s="258"/>
      <c r="AN974" s="258"/>
      <c r="AO974" s="258"/>
      <c r="AP974" s="258"/>
      <c r="AQ974" s="258"/>
      <c r="AR974" s="258"/>
      <c r="AS974" s="258"/>
      <c r="AT974" s="258"/>
    </row>
  </sheetData>
  <hyperlinks>
    <hyperlink ref="I54" r:id="rId1" xr:uid="{00000000-0004-0000-0100-000000000000}"/>
    <hyperlink ref="I55" r:id="rId2" xr:uid="{00000000-0004-0000-0100-000001000000}"/>
    <hyperlink ref="I56" r:id="rId3" xr:uid="{00000000-0004-0000-0100-000002000000}"/>
    <hyperlink ref="I57" r:id="rId4" xr:uid="{00000000-0004-0000-0100-000003000000}"/>
    <hyperlink ref="I60" r:id="rId5" xr:uid="{00000000-0004-0000-0100-000004000000}"/>
    <hyperlink ref="I86" r:id="rId6" xr:uid="{00000000-0004-0000-0100-000005000000}"/>
    <hyperlink ref="I87" r:id="rId7" xr:uid="{00000000-0004-0000-0100-000006000000}"/>
    <hyperlink ref="I155" r:id="rId8" xr:uid="{00000000-0004-0000-0100-000007000000}"/>
    <hyperlink ref="I156" r:id="rId9" xr:uid="{00000000-0004-0000-0100-000008000000}"/>
    <hyperlink ref="I667" r:id="rId10" xr:uid="{00000000-0004-0000-0100-000009000000}"/>
    <hyperlink ref="I709" r:id="rId11" xr:uid="{00000000-0004-0000-0100-00000A000000}"/>
    <hyperlink ref="I742" r:id="rId12" xr:uid="{00000000-0004-0000-0100-00000B000000}"/>
    <hyperlink ref="I743" r:id="rId13" xr:uid="{00000000-0004-0000-0100-00000C000000}"/>
    <hyperlink ref="I744" r:id="rId14" xr:uid="{00000000-0004-0000-0100-00000D000000}"/>
    <hyperlink ref="I745" r:id="rId15" xr:uid="{00000000-0004-0000-0100-00000E000000}"/>
    <hyperlink ref="I757" r:id="rId16" xr:uid="{00000000-0004-0000-0100-00000F000000}"/>
    <hyperlink ref="I821" r:id="rId17" xr:uid="{00000000-0004-0000-0100-000010000000}"/>
    <hyperlink ref="I849" r:id="rId18" xr:uid="{00000000-0004-0000-0100-000011000000}"/>
    <hyperlink ref="I850" r:id="rId19" xr:uid="{00000000-0004-0000-0100-000012000000}"/>
    <hyperlink ref="D851" r:id="rId20" xr:uid="{00000000-0004-0000-0100-000013000000}"/>
    <hyperlink ref="D871" r:id="rId21" xr:uid="{00000000-0004-0000-0100-000014000000}"/>
    <hyperlink ref="D872" r:id="rId22" xr:uid="{00000000-0004-0000-0100-000015000000}"/>
    <hyperlink ref="D966" r:id="rId23" xr:uid="{00000000-0004-0000-0100-000016000000}"/>
    <hyperlink ref="D967" r:id="rId24" xr:uid="{00000000-0004-0000-0100-000017000000}"/>
    <hyperlink ref="I968" r:id="rId25" xr:uid="{00000000-0004-0000-0100-000018000000}"/>
    <hyperlink ref="I971" r:id="rId26" xr:uid="{00000000-0004-0000-0100-000019000000}"/>
  </hyperlinks>
  <pageMargins left="0.25" right="0.25" top="0.75" bottom="0.75" header="0" footer="0"/>
  <pageSetup orientation="portrait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2023-11-28T14:36:30Z</dcterms:modified>
</cp:coreProperties>
</file>